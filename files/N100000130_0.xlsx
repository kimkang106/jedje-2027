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[2026]교육과정편제\학교교육과정 위원회_단일\(2차 학교교육과정위원회_단일)2025,2026수정, 2027수립\(회의후)2.회의결과(회의록+수정된 편제)\"/>
    </mc:Choice>
  </mc:AlternateContent>
  <xr:revisionPtr revIDLastSave="0" documentId="13_ncr:1_{E975ADEA-6E5C-4918-A325-D49C17B8B06A}" xr6:coauthVersionLast="47" xr6:coauthVersionMax="47" xr10:uidLastSave="{00000000-0000-0000-0000-000000000000}"/>
  <bookViews>
    <workbookView xWindow="-108" yWindow="-108" windowWidth="23256" windowHeight="12456" tabRatio="757" activeTab="5" xr2:uid="{00000000-000D-0000-FFFF-FFFF00000000}"/>
  </bookViews>
  <sheets>
    <sheet name="(27_기계)편제표" sheetId="8" r:id="rId1"/>
    <sheet name="(27_기계)NCS" sheetId="21" r:id="rId2"/>
    <sheet name="(27_전기일반)편제표" sheetId="17" r:id="rId3"/>
    <sheet name="(27_전기일반)NCS" sheetId="22" r:id="rId4"/>
    <sheet name="(27_전기도제)편제표" sheetId="19" r:id="rId5"/>
    <sheet name="(27_전기도제)NCS" sheetId="23" r:id="rId6"/>
    <sheet name="삭제금지" sheetId="4" r:id="rId7"/>
    <sheet name="(참고1) 편성 기준🔐" sheetId="16" r:id="rId8"/>
  </sheets>
  <definedNames>
    <definedName name="_xlnm._FilterDatabase" localSheetId="1" hidden="1">'(27_기계)NCS'!#REF!</definedName>
    <definedName name="_xlnm._FilterDatabase" localSheetId="0" hidden="1">'(27_기계)편제표'!$M$3:$P$4</definedName>
    <definedName name="_xlnm._FilterDatabase" localSheetId="5" hidden="1">'(27_전기도제)NCS'!#REF!</definedName>
    <definedName name="_xlnm._FilterDatabase" localSheetId="4" hidden="1">'(27_전기도제)편제표'!$M$3:$P$4</definedName>
    <definedName name="_xlnm._FilterDatabase" localSheetId="3" hidden="1">'(27_전기일반)NCS'!#REF!</definedName>
    <definedName name="_xlnm._FilterDatabase" localSheetId="2" hidden="1">'(27_전기일반)편제표'!$M$3:$P$4</definedName>
    <definedName name="_xlnm._FilterDatabase" localSheetId="6" hidden="1">삭제금지!$A$1:$F$151</definedName>
    <definedName name="_xlnm.Print_Area" localSheetId="0">'(27_기계)편제표'!$A$1:$AA$61</definedName>
    <definedName name="_xlnm.Print_Area" localSheetId="4">'(27_전기도제)편제표'!$A$1:$AF$56</definedName>
    <definedName name="_xlnm.Print_Area" localSheetId="2">'(27_전기일반)편제표'!$A$1:$AF$59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1" i="23" l="1"/>
  <c r="I31" i="23"/>
  <c r="J31" i="23"/>
  <c r="K31" i="23"/>
  <c r="L31" i="23"/>
  <c r="M31" i="23"/>
  <c r="N31" i="23"/>
  <c r="O31" i="23"/>
  <c r="P31" i="23"/>
  <c r="R31" i="23"/>
  <c r="S31" i="23"/>
  <c r="T30" i="23"/>
  <c r="S30" i="23"/>
  <c r="U30" i="23" s="1"/>
  <c r="T29" i="23"/>
  <c r="S29" i="23"/>
  <c r="U29" i="23" s="1"/>
  <c r="T28" i="23"/>
  <c r="S28" i="23"/>
  <c r="U28" i="23" s="1"/>
  <c r="T27" i="23"/>
  <c r="Q27" i="23"/>
  <c r="U27" i="23" s="1"/>
  <c r="T26" i="23"/>
  <c r="Q26" i="23"/>
  <c r="U26" i="23" s="1"/>
  <c r="T25" i="23"/>
  <c r="Q25" i="23"/>
  <c r="U25" i="23" s="1"/>
  <c r="U31" i="23" s="1"/>
  <c r="U28" i="22"/>
  <c r="U25" i="22"/>
  <c r="T28" i="22"/>
  <c r="T25" i="22"/>
  <c r="S29" i="22"/>
  <c r="R29" i="22"/>
  <c r="S28" i="22"/>
  <c r="S27" i="22"/>
  <c r="U27" i="22" s="1"/>
  <c r="S26" i="22"/>
  <c r="Q25" i="22"/>
  <c r="Q24" i="22"/>
  <c r="Q23" i="22"/>
  <c r="O21" i="22"/>
  <c r="U21" i="22" s="1"/>
  <c r="M19" i="22"/>
  <c r="U19" i="22" s="1"/>
  <c r="T19" i="22"/>
  <c r="R37" i="23"/>
  <c r="P37" i="23"/>
  <c r="O37" i="23"/>
  <c r="N37" i="23"/>
  <c r="M37" i="23"/>
  <c r="L37" i="23"/>
  <c r="K37" i="23"/>
  <c r="J37" i="23"/>
  <c r="I37" i="23"/>
  <c r="H37" i="23"/>
  <c r="T36" i="23"/>
  <c r="S36" i="23"/>
  <c r="U36" i="23" s="1"/>
  <c r="T35" i="23"/>
  <c r="S35" i="23"/>
  <c r="U35" i="23" s="1"/>
  <c r="T34" i="23"/>
  <c r="S34" i="23"/>
  <c r="U34" i="23" s="1"/>
  <c r="T33" i="23"/>
  <c r="Q33" i="23"/>
  <c r="U33" i="23" s="1"/>
  <c r="T32" i="23"/>
  <c r="Q32" i="23"/>
  <c r="R24" i="23"/>
  <c r="P24" i="23"/>
  <c r="T23" i="23"/>
  <c r="S23" i="23"/>
  <c r="U23" i="23" s="1"/>
  <c r="T22" i="23"/>
  <c r="S22" i="23"/>
  <c r="T21" i="23"/>
  <c r="Q21" i="23"/>
  <c r="U21" i="23" s="1"/>
  <c r="T20" i="23"/>
  <c r="Q20" i="23"/>
  <c r="U20" i="23" s="1"/>
  <c r="N19" i="23"/>
  <c r="L19" i="23"/>
  <c r="T18" i="23"/>
  <c r="O18" i="23"/>
  <c r="U18" i="23" s="1"/>
  <c r="T17" i="23"/>
  <c r="O17" i="23"/>
  <c r="U17" i="23" s="1"/>
  <c r="T16" i="23"/>
  <c r="O16" i="23"/>
  <c r="U16" i="23" s="1"/>
  <c r="T15" i="23"/>
  <c r="M15" i="23"/>
  <c r="U15" i="23" s="1"/>
  <c r="T14" i="23"/>
  <c r="M14" i="23"/>
  <c r="U14" i="23" s="1"/>
  <c r="T13" i="23"/>
  <c r="M13" i="23"/>
  <c r="U13" i="23" s="1"/>
  <c r="S12" i="23"/>
  <c r="R12" i="23"/>
  <c r="Q12" i="23"/>
  <c r="P12" i="23"/>
  <c r="N12" i="23"/>
  <c r="L12" i="23"/>
  <c r="K12" i="23"/>
  <c r="J12" i="23"/>
  <c r="I12" i="23"/>
  <c r="H12" i="23"/>
  <c r="T11" i="23"/>
  <c r="O11" i="23"/>
  <c r="U11" i="23" s="1"/>
  <c r="T10" i="23"/>
  <c r="M10" i="23"/>
  <c r="U10" i="23" s="1"/>
  <c r="T9" i="23"/>
  <c r="M9" i="23"/>
  <c r="P29" i="22"/>
  <c r="O29" i="22"/>
  <c r="N29" i="22"/>
  <c r="M29" i="22"/>
  <c r="L29" i="22"/>
  <c r="K29" i="22"/>
  <c r="J29" i="22"/>
  <c r="I29" i="22"/>
  <c r="H29" i="22"/>
  <c r="T27" i="22"/>
  <c r="T26" i="22"/>
  <c r="T24" i="22"/>
  <c r="T23" i="22"/>
  <c r="U23" i="22"/>
  <c r="R41" i="22"/>
  <c r="P41" i="22"/>
  <c r="T40" i="22"/>
  <c r="S40" i="22"/>
  <c r="T39" i="22"/>
  <c r="S39" i="22"/>
  <c r="U39" i="22" s="1"/>
  <c r="T38" i="22"/>
  <c r="Q38" i="22"/>
  <c r="U38" i="22" s="1"/>
  <c r="T37" i="22"/>
  <c r="Q37" i="22"/>
  <c r="U37" i="22" s="1"/>
  <c r="R36" i="22"/>
  <c r="P36" i="22"/>
  <c r="T35" i="22"/>
  <c r="S35" i="22"/>
  <c r="U35" i="22" s="1"/>
  <c r="T34" i="22"/>
  <c r="S34" i="22"/>
  <c r="U34" i="22" s="1"/>
  <c r="T33" i="22"/>
  <c r="S33" i="22"/>
  <c r="U33" i="22" s="1"/>
  <c r="T32" i="22"/>
  <c r="Q32" i="22"/>
  <c r="U32" i="22" s="1"/>
  <c r="T31" i="22"/>
  <c r="Q31" i="22"/>
  <c r="U31" i="22" s="1"/>
  <c r="T30" i="22"/>
  <c r="Q30" i="22"/>
  <c r="U30" i="22" s="1"/>
  <c r="N17" i="22"/>
  <c r="M17" i="22"/>
  <c r="L17" i="22"/>
  <c r="T16" i="22"/>
  <c r="O16" i="22"/>
  <c r="U16" i="22" s="1"/>
  <c r="T15" i="22"/>
  <c r="O15" i="22"/>
  <c r="U15" i="22" s="1"/>
  <c r="T14" i="22"/>
  <c r="M14" i="22"/>
  <c r="U14" i="22" s="1"/>
  <c r="T13" i="22"/>
  <c r="M13" i="22"/>
  <c r="U13" i="22" s="1"/>
  <c r="N22" i="22"/>
  <c r="L22" i="22"/>
  <c r="T20" i="22"/>
  <c r="O20" i="22"/>
  <c r="T18" i="22"/>
  <c r="M18" i="22"/>
  <c r="S12" i="22"/>
  <c r="R12" i="22"/>
  <c r="Q12" i="22"/>
  <c r="P12" i="22"/>
  <c r="N12" i="22"/>
  <c r="L12" i="22"/>
  <c r="K12" i="22"/>
  <c r="J12" i="22"/>
  <c r="I12" i="22"/>
  <c r="H12" i="22"/>
  <c r="T11" i="22"/>
  <c r="O11" i="22"/>
  <c r="U11" i="22" s="1"/>
  <c r="T10" i="22"/>
  <c r="M10" i="22"/>
  <c r="U10" i="22" s="1"/>
  <c r="T9" i="22"/>
  <c r="M9" i="22"/>
  <c r="R57" i="21"/>
  <c r="P57" i="21"/>
  <c r="O57" i="21"/>
  <c r="N57" i="21"/>
  <c r="M57" i="21"/>
  <c r="L57" i="21"/>
  <c r="K57" i="21"/>
  <c r="J57" i="21"/>
  <c r="I57" i="21"/>
  <c r="H57" i="21"/>
  <c r="T56" i="21"/>
  <c r="S56" i="21"/>
  <c r="U56" i="21" s="1"/>
  <c r="T55" i="21"/>
  <c r="S55" i="21"/>
  <c r="S57" i="21" s="1"/>
  <c r="T54" i="21"/>
  <c r="Q54" i="21"/>
  <c r="U54" i="21" s="1"/>
  <c r="U53" i="21"/>
  <c r="T53" i="21"/>
  <c r="T57" i="21" s="1"/>
  <c r="Q53" i="21"/>
  <c r="Q57" i="21" s="1"/>
  <c r="R52" i="21"/>
  <c r="Q52" i="21"/>
  <c r="P52" i="21"/>
  <c r="O52" i="21"/>
  <c r="N52" i="21"/>
  <c r="M52" i="21"/>
  <c r="L52" i="21"/>
  <c r="K52" i="21"/>
  <c r="J52" i="21"/>
  <c r="I52" i="21"/>
  <c r="H52" i="21"/>
  <c r="T51" i="21"/>
  <c r="S51" i="21"/>
  <c r="U51" i="21" s="1"/>
  <c r="T50" i="21"/>
  <c r="S50" i="21"/>
  <c r="U50" i="21" s="1"/>
  <c r="U49" i="21"/>
  <c r="T49" i="21"/>
  <c r="T52" i="21" s="1"/>
  <c r="Q49" i="21"/>
  <c r="T48" i="21"/>
  <c r="Q48" i="21"/>
  <c r="U48" i="21" s="1"/>
  <c r="R47" i="21"/>
  <c r="Q47" i="21"/>
  <c r="P47" i="21"/>
  <c r="O47" i="21"/>
  <c r="N47" i="21"/>
  <c r="M47" i="21"/>
  <c r="L47" i="21"/>
  <c r="K47" i="21"/>
  <c r="J47" i="21"/>
  <c r="I47" i="21"/>
  <c r="H47" i="21"/>
  <c r="T46" i="21"/>
  <c r="S46" i="21"/>
  <c r="U46" i="21" s="1"/>
  <c r="T45" i="21"/>
  <c r="T47" i="21" s="1"/>
  <c r="S45" i="21"/>
  <c r="S47" i="21" s="1"/>
  <c r="T44" i="21"/>
  <c r="Q44" i="21"/>
  <c r="U44" i="21" s="1"/>
  <c r="T43" i="21"/>
  <c r="Q43" i="21"/>
  <c r="U43" i="21" s="1"/>
  <c r="S42" i="21"/>
  <c r="R42" i="21"/>
  <c r="P42" i="21"/>
  <c r="T41" i="21"/>
  <c r="S41" i="21"/>
  <c r="U41" i="21" s="1"/>
  <c r="T40" i="21"/>
  <c r="S40" i="21"/>
  <c r="U40" i="21" s="1"/>
  <c r="T39" i="21"/>
  <c r="Q39" i="21"/>
  <c r="U39" i="21" s="1"/>
  <c r="T38" i="21"/>
  <c r="Q38" i="21"/>
  <c r="U38" i="21" s="1"/>
  <c r="U42" i="21" s="1"/>
  <c r="R37" i="21"/>
  <c r="P37" i="21"/>
  <c r="T36" i="21"/>
  <c r="S36" i="21"/>
  <c r="U36" i="21" s="1"/>
  <c r="T35" i="21"/>
  <c r="S35" i="21"/>
  <c r="U35" i="21" s="1"/>
  <c r="T34" i="21"/>
  <c r="Q34" i="21"/>
  <c r="U34" i="21" s="1"/>
  <c r="T33" i="21"/>
  <c r="Q33" i="21"/>
  <c r="U33" i="21" s="1"/>
  <c r="U37" i="21" s="1"/>
  <c r="O32" i="21"/>
  <c r="N32" i="21"/>
  <c r="L32" i="21"/>
  <c r="T31" i="21"/>
  <c r="O31" i="21"/>
  <c r="U31" i="21" s="1"/>
  <c r="T30" i="21"/>
  <c r="O30" i="21"/>
  <c r="U30" i="21" s="1"/>
  <c r="T29" i="21"/>
  <c r="M29" i="21"/>
  <c r="U29" i="21" s="1"/>
  <c r="T28" i="21"/>
  <c r="T32" i="21" s="1"/>
  <c r="M28" i="21"/>
  <c r="M32" i="21" s="1"/>
  <c r="N27" i="21"/>
  <c r="L27" i="21"/>
  <c r="T26" i="21"/>
  <c r="O26" i="21"/>
  <c r="O27" i="21" s="1"/>
  <c r="T25" i="21"/>
  <c r="T27" i="21" s="1"/>
  <c r="M25" i="21"/>
  <c r="U25" i="21" s="1"/>
  <c r="N24" i="21"/>
  <c r="L24" i="21"/>
  <c r="T23" i="21"/>
  <c r="O23" i="21"/>
  <c r="O24" i="21" s="1"/>
  <c r="T22" i="21"/>
  <c r="T24" i="21" s="1"/>
  <c r="M22" i="21"/>
  <c r="U22" i="21" s="1"/>
  <c r="N21" i="21"/>
  <c r="L21" i="21"/>
  <c r="T20" i="21"/>
  <c r="O20" i="21"/>
  <c r="U20" i="21" s="1"/>
  <c r="T19" i="21"/>
  <c r="O19" i="21"/>
  <c r="O21" i="21" s="1"/>
  <c r="T18" i="21"/>
  <c r="M18" i="21"/>
  <c r="U18" i="21" s="1"/>
  <c r="T17" i="21"/>
  <c r="T21" i="21" s="1"/>
  <c r="M17" i="21"/>
  <c r="U17" i="21" s="1"/>
  <c r="S16" i="21"/>
  <c r="R16" i="21"/>
  <c r="Q16" i="21"/>
  <c r="P16" i="21"/>
  <c r="O16" i="21"/>
  <c r="N16" i="21"/>
  <c r="M16" i="21"/>
  <c r="L16" i="21"/>
  <c r="J16" i="21"/>
  <c r="H16" i="21"/>
  <c r="T15" i="21"/>
  <c r="K15" i="21"/>
  <c r="U15" i="21" s="1"/>
  <c r="U14" i="21"/>
  <c r="T14" i="21"/>
  <c r="K14" i="21"/>
  <c r="T13" i="21"/>
  <c r="K13" i="21"/>
  <c r="U13" i="21" s="1"/>
  <c r="T12" i="21"/>
  <c r="K12" i="21"/>
  <c r="U12" i="21" s="1"/>
  <c r="T11" i="21"/>
  <c r="T16" i="21" s="1"/>
  <c r="I11" i="21"/>
  <c r="U11" i="21" s="1"/>
  <c r="U10" i="21"/>
  <c r="T10" i="21"/>
  <c r="K10" i="21"/>
  <c r="I10" i="21"/>
  <c r="T9" i="21"/>
  <c r="K9" i="21"/>
  <c r="I9" i="21"/>
  <c r="I16" i="21" s="1"/>
  <c r="O49" i="17"/>
  <c r="O46" i="19"/>
  <c r="O48" i="19" s="1"/>
  <c r="O37" i="8"/>
  <c r="M51" i="8"/>
  <c r="K51" i="8"/>
  <c r="Q51" i="8"/>
  <c r="O51" i="8"/>
  <c r="Q46" i="19"/>
  <c r="U46" i="19"/>
  <c r="S46" i="19"/>
  <c r="W41" i="19"/>
  <c r="Q49" i="17"/>
  <c r="U49" i="17"/>
  <c r="S49" i="17"/>
  <c r="W41" i="17"/>
  <c r="J26" i="19"/>
  <c r="J25" i="19"/>
  <c r="J26" i="17"/>
  <c r="J25" i="17"/>
  <c r="W34" i="17"/>
  <c r="W34" i="19"/>
  <c r="Q37" i="17"/>
  <c r="O37" i="17"/>
  <c r="W35" i="17"/>
  <c r="Q37" i="8"/>
  <c r="W34" i="8"/>
  <c r="W36" i="8"/>
  <c r="W35" i="19"/>
  <c r="J46" i="19"/>
  <c r="H46" i="19"/>
  <c r="I46" i="19"/>
  <c r="I49" i="17"/>
  <c r="I51" i="8"/>
  <c r="H49" i="17"/>
  <c r="U51" i="8"/>
  <c r="S51" i="8"/>
  <c r="W49" i="8"/>
  <c r="W47" i="8"/>
  <c r="W45" i="8"/>
  <c r="W43" i="8"/>
  <c r="S24" i="23" l="1"/>
  <c r="T31" i="23"/>
  <c r="M12" i="23"/>
  <c r="O12" i="23"/>
  <c r="Q31" i="23"/>
  <c r="T37" i="23"/>
  <c r="T24" i="23"/>
  <c r="Q37" i="23"/>
  <c r="T19" i="23"/>
  <c r="U32" i="23"/>
  <c r="U37" i="23" s="1"/>
  <c r="T12" i="23"/>
  <c r="S37" i="23"/>
  <c r="T42" i="21"/>
  <c r="T37" i="21"/>
  <c r="M22" i="22"/>
  <c r="O22" i="22"/>
  <c r="M12" i="22"/>
  <c r="T41" i="22"/>
  <c r="Q29" i="22"/>
  <c r="T36" i="22"/>
  <c r="T22" i="22"/>
  <c r="U18" i="22"/>
  <c r="S41" i="22"/>
  <c r="O12" i="22"/>
  <c r="T12" i="22"/>
  <c r="Q36" i="22"/>
  <c r="T29" i="22"/>
  <c r="O17" i="22"/>
  <c r="U17" i="22"/>
  <c r="T17" i="22"/>
  <c r="U19" i="23"/>
  <c r="M19" i="23"/>
  <c r="U22" i="23"/>
  <c r="U24" i="23" s="1"/>
  <c r="O19" i="23"/>
  <c r="Q24" i="23"/>
  <c r="U9" i="23"/>
  <c r="U12" i="23" s="1"/>
  <c r="U36" i="22"/>
  <c r="U9" i="22"/>
  <c r="U12" i="22" s="1"/>
  <c r="S36" i="22"/>
  <c r="U20" i="22"/>
  <c r="U40" i="22"/>
  <c r="U41" i="22" s="1"/>
  <c r="U24" i="22"/>
  <c r="Q41" i="22"/>
  <c r="U26" i="22"/>
  <c r="U52" i="21"/>
  <c r="U28" i="21"/>
  <c r="U32" i="21" s="1"/>
  <c r="U45" i="21"/>
  <c r="U47" i="21" s="1"/>
  <c r="U23" i="21"/>
  <c r="U24" i="21" s="1"/>
  <c r="U55" i="21"/>
  <c r="U57" i="21" s="1"/>
  <c r="K16" i="21"/>
  <c r="M21" i="21"/>
  <c r="M24" i="21"/>
  <c r="M27" i="21"/>
  <c r="Q37" i="21"/>
  <c r="S52" i="21"/>
  <c r="Q42" i="21"/>
  <c r="U19" i="21"/>
  <c r="U21" i="21" s="1"/>
  <c r="U26" i="21"/>
  <c r="U27" i="21" s="1"/>
  <c r="U9" i="21"/>
  <c r="U16" i="21" s="1"/>
  <c r="S37" i="21"/>
  <c r="S54" i="19"/>
  <c r="O54" i="19"/>
  <c r="K54" i="19"/>
  <c r="W53" i="19"/>
  <c r="W52" i="19"/>
  <c r="AB53" i="19" s="1"/>
  <c r="Y49" i="19"/>
  <c r="W49" i="19"/>
  <c r="Y46" i="19"/>
  <c r="M46" i="19"/>
  <c r="K46" i="19"/>
  <c r="I48" i="19"/>
  <c r="W43" i="19"/>
  <c r="W42" i="19"/>
  <c r="W40" i="19"/>
  <c r="W39" i="19"/>
  <c r="W38" i="19"/>
  <c r="Y37" i="19"/>
  <c r="U37" i="19"/>
  <c r="S37" i="19"/>
  <c r="Q37" i="19"/>
  <c r="O37" i="19"/>
  <c r="M37" i="19"/>
  <c r="K37" i="19"/>
  <c r="H37" i="19"/>
  <c r="W36" i="19"/>
  <c r="W33" i="19"/>
  <c r="W32" i="19"/>
  <c r="W31" i="19"/>
  <c r="W30" i="19"/>
  <c r="W29" i="19"/>
  <c r="W28" i="19"/>
  <c r="W27" i="19"/>
  <c r="W26" i="19"/>
  <c r="W25" i="19"/>
  <c r="W24" i="19"/>
  <c r="W23" i="19"/>
  <c r="W22" i="19"/>
  <c r="W21" i="19"/>
  <c r="W20" i="19"/>
  <c r="W19" i="19"/>
  <c r="W18" i="19"/>
  <c r="W17" i="19"/>
  <c r="W16" i="19"/>
  <c r="W15" i="19"/>
  <c r="W14" i="19"/>
  <c r="W13" i="19"/>
  <c r="W12" i="19"/>
  <c r="W11" i="19"/>
  <c r="W10" i="19"/>
  <c r="W9" i="19"/>
  <c r="W43" i="17"/>
  <c r="W42" i="17"/>
  <c r="S57" i="17"/>
  <c r="O57" i="17"/>
  <c r="K57" i="17"/>
  <c r="W56" i="17"/>
  <c r="W55" i="17"/>
  <c r="AB56" i="17" s="1"/>
  <c r="Y52" i="17"/>
  <c r="W52" i="17"/>
  <c r="Y49" i="17"/>
  <c r="M49" i="17"/>
  <c r="K49" i="17"/>
  <c r="J49" i="17"/>
  <c r="I51" i="17"/>
  <c r="W40" i="17"/>
  <c r="W39" i="17"/>
  <c r="W38" i="17"/>
  <c r="Y37" i="17"/>
  <c r="U37" i="17"/>
  <c r="S37" i="17"/>
  <c r="S51" i="17" s="1"/>
  <c r="M37" i="17"/>
  <c r="K37" i="17"/>
  <c r="H37" i="17"/>
  <c r="H51" i="17" s="1"/>
  <c r="W36" i="17"/>
  <c r="W33" i="17"/>
  <c r="W32" i="17"/>
  <c r="W31" i="17"/>
  <c r="W30" i="17"/>
  <c r="W29" i="17"/>
  <c r="W28" i="17"/>
  <c r="W27" i="17"/>
  <c r="W26" i="17"/>
  <c r="W25" i="17"/>
  <c r="W24" i="17"/>
  <c r="W23" i="17"/>
  <c r="W22" i="17"/>
  <c r="W21" i="17"/>
  <c r="W20" i="17"/>
  <c r="W19" i="17"/>
  <c r="W18" i="17"/>
  <c r="W17" i="17"/>
  <c r="W16" i="17"/>
  <c r="W15" i="17"/>
  <c r="W14" i="17"/>
  <c r="W13" i="17"/>
  <c r="W12" i="17"/>
  <c r="W11" i="17"/>
  <c r="W10" i="17"/>
  <c r="W9" i="17"/>
  <c r="U22" i="22" l="1"/>
  <c r="U29" i="22"/>
  <c r="Y51" i="17"/>
  <c r="W46" i="19"/>
  <c r="X9" i="19"/>
  <c r="J37" i="17"/>
  <c r="J51" i="17" s="1"/>
  <c r="J37" i="19"/>
  <c r="J48" i="19" s="1"/>
  <c r="X12" i="17"/>
  <c r="X15" i="17"/>
  <c r="U48" i="19"/>
  <c r="X15" i="19"/>
  <c r="K51" i="17"/>
  <c r="H48" i="19"/>
  <c r="Q48" i="19"/>
  <c r="X22" i="19"/>
  <c r="X18" i="17"/>
  <c r="W54" i="19"/>
  <c r="X25" i="17"/>
  <c r="X30" i="19"/>
  <c r="S48" i="19"/>
  <c r="K48" i="19"/>
  <c r="X20" i="19"/>
  <c r="X25" i="19"/>
  <c r="Y48" i="19"/>
  <c r="M48" i="19"/>
  <c r="X18" i="19"/>
  <c r="X33" i="19"/>
  <c r="X12" i="19"/>
  <c r="W37" i="19"/>
  <c r="AB37" i="19" s="1"/>
  <c r="Y53" i="19"/>
  <c r="AB55" i="19" s="1"/>
  <c r="X20" i="17"/>
  <c r="O51" i="17"/>
  <c r="Q51" i="17"/>
  <c r="X30" i="17"/>
  <c r="W57" i="17"/>
  <c r="X9" i="17"/>
  <c r="W49" i="17"/>
  <c r="U51" i="17"/>
  <c r="W37" i="17"/>
  <c r="AB37" i="17" s="1"/>
  <c r="X22" i="17"/>
  <c r="X33" i="17"/>
  <c r="M51" i="17"/>
  <c r="Y56" i="17"/>
  <c r="AB58" i="17" s="1"/>
  <c r="W48" i="19" l="1"/>
  <c r="AB50" i="19" s="1"/>
  <c r="W51" i="17"/>
  <c r="AB53" i="17" s="1"/>
  <c r="J51" i="8" l="1"/>
  <c r="W35" i="8"/>
  <c r="W33" i="8"/>
  <c r="W32" i="8"/>
  <c r="W31" i="8"/>
  <c r="W30" i="8"/>
  <c r="H51" i="8"/>
  <c r="I53" i="8"/>
  <c r="Y51" i="8"/>
  <c r="X33" i="8" l="1"/>
  <c r="X30" i="8"/>
  <c r="W51" i="8"/>
  <c r="S59" i="8" l="1"/>
  <c r="O59" i="8"/>
  <c r="K59" i="8"/>
  <c r="W58" i="8"/>
  <c r="Y58" i="8" s="1"/>
  <c r="W57" i="8"/>
  <c r="AB58" i="8" s="1"/>
  <c r="Y54" i="8"/>
  <c r="W54" i="8"/>
  <c r="W42" i="8"/>
  <c r="W41" i="8"/>
  <c r="W40" i="8"/>
  <c r="W39" i="8"/>
  <c r="W38" i="8"/>
  <c r="Y37" i="8"/>
  <c r="U37" i="8"/>
  <c r="U53" i="8" s="1"/>
  <c r="S37" i="8"/>
  <c r="S53" i="8" s="1"/>
  <c r="Q53" i="8"/>
  <c r="O53" i="8"/>
  <c r="M37" i="8"/>
  <c r="M53" i="8" s="1"/>
  <c r="K37" i="8"/>
  <c r="K53" i="8" s="1"/>
  <c r="H37" i="8"/>
  <c r="H53" i="8" s="1"/>
  <c r="W29" i="8"/>
  <c r="W28" i="8"/>
  <c r="W27" i="8"/>
  <c r="X25" i="8" s="1"/>
  <c r="W26" i="8"/>
  <c r="J26" i="8"/>
  <c r="W25" i="8"/>
  <c r="J25" i="8"/>
  <c r="W24" i="8"/>
  <c r="W23" i="8"/>
  <c r="W22" i="8"/>
  <c r="W21" i="8"/>
  <c r="W20" i="8"/>
  <c r="X20" i="8" s="1"/>
  <c r="W19" i="8"/>
  <c r="W18" i="8"/>
  <c r="W17" i="8"/>
  <c r="W16" i="8"/>
  <c r="W15" i="8"/>
  <c r="W14" i="8"/>
  <c r="W13" i="8"/>
  <c r="W12" i="8"/>
  <c r="W11" i="8"/>
  <c r="W10" i="8"/>
  <c r="W9" i="8"/>
  <c r="J37" i="8" l="1"/>
  <c r="J53" i="8" s="1"/>
  <c r="W37" i="8"/>
  <c r="AB37" i="8" s="1"/>
  <c r="X15" i="8"/>
  <c r="W59" i="8"/>
  <c r="X22" i="8"/>
  <c r="X12" i="8"/>
  <c r="X9" i="8"/>
  <c r="AB60" i="8"/>
  <c r="Y53" i="8"/>
  <c r="X18" i="8"/>
  <c r="W53" i="8" l="1"/>
  <c r="AB5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9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51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C7B3F63A-1601-41FE-BEAB-0E7CB395FAE0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9" authorId="0" shapeId="0" xr:uid="{EB7F9439-1323-4BA7-AA6B-3020150D137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9" authorId="0" shapeId="0" xr:uid="{312A8AD7-790B-471B-9657-9D913DC6F069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38" authorId="0" shapeId="0" xr:uid="{378EC60D-C724-4EDD-B5D6-5B8062AB4B2D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39" authorId="0" shapeId="0" xr:uid="{ED448FC3-C84F-4A60-ABD3-104709ACCA1C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6" authorId="0" shapeId="0" xr:uid="{B2BFB3FD-7942-4C94-AA8F-C7D91DD5ACCC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<sst xmlns="http://schemas.openxmlformats.org/spreadsheetml/2006/main" count="2124" uniqueCount="756">
  <si>
    <t>1학기</t>
  </si>
  <si>
    <t>구분</t>
    <phoneticPr fontId="6" type="noConversion"/>
  </si>
  <si>
    <t>교과영역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</si>
  <si>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</si>
  <si>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</si>
  <si>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</si>
  <si>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</si>
  <si>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</si>
  <si>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</si>
  <si>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</si>
  <si>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</si>
  <si>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</si>
  <si>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</si>
  <si>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</si>
  <si>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</si>
  <si>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</si>
  <si>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</si>
  <si>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</si>
  <si>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</si>
  <si>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</si>
  <si>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</si>
  <si>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</si>
  <si>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</si>
  <si>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</si>
  <si>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</si>
  <si>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</si>
  <si>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</si>
  <si>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</si>
  <si>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</si>
  <si>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</si>
  <si>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</si>
  <si>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</si>
  <si>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</si>
  <si>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</si>
  <si>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</si>
  <si>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</si>
  <si>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</si>
  <si>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</si>
  <si>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</si>
  <si>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</si>
  <si>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</si>
  <si>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</si>
  <si>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</si>
  <si>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</si>
  <si>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</si>
  <si>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</si>
  <si>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</si>
  <si>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</si>
  <si>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</si>
  <si>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</si>
  <si>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</si>
  <si>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</si>
  <si>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</si>
  <si>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</si>
  <si>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</si>
  <si>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</si>
  <si>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</si>
  <si>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</si>
  <si>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</si>
  <si>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</si>
  <si>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</si>
  <si>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</si>
  <si>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</si>
  <si>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</si>
  <si>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</si>
  <si>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</si>
  <si>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</si>
  <si>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</si>
  <si>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</si>
  <si>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</si>
  <si>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</si>
  <si>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</si>
  <si>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</si>
  <si>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</si>
  <si>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</si>
  <si>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</si>
  <si>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</si>
  <si>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</si>
  <si>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</si>
  <si>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</si>
  <si>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</si>
  <si>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</si>
  <si>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</si>
  <si>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</si>
  <si>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</si>
  <si>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</si>
  <si>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</si>
  <si>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</si>
  <si>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</si>
  <si>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</si>
  <si>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</si>
  <si>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</si>
  <si>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</si>
  <si>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</si>
  <si>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</si>
  <si>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</si>
  <si>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</si>
  <si>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</si>
  <si>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</si>
  <si>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</si>
  <si>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</si>
  <si>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</si>
  <si>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</si>
  <si>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</si>
  <si>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</si>
  <si>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</si>
  <si>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</si>
  <si>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</si>
  <si>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</si>
  <si>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</si>
  <si>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</si>
  <si>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</si>
  <si>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</si>
  <si>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</si>
  <si>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</si>
  <si>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</si>
  <si>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</si>
  <si>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</si>
  <si>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</si>
  <si>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</si>
  <si>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</si>
  <si>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</si>
  <si>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</si>
  <si>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</si>
  <si>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</si>
  <si>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</si>
  <si>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</si>
  <si>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</si>
  <si>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</si>
  <si>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</si>
  <si>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유의사항</t>
    <phoneticPr fontId="9" type="noConversion"/>
  </si>
  <si>
    <t>1. 능력단위명과 능력단위 코드는 정확하게 입력해주시기 바랍니다.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</si>
  <si>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</si>
  <si>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</si>
  <si>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</si>
  <si>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</si>
  <si>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</si>
  <si>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</si>
  <si>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</si>
  <si>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</si>
  <si>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</si>
  <si>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</si>
  <si>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</si>
  <si>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</si>
  <si>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</si>
  <si>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</si>
  <si>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교육과정부장</t>
    <phoneticPr fontId="9" type="noConversion"/>
  </si>
  <si>
    <t>교육과정담당</t>
    <phoneticPr fontId="9" type="noConversion"/>
  </si>
  <si>
    <t>학기별 이수학점</t>
    <phoneticPr fontId="9" type="noConversion"/>
  </si>
  <si>
    <t>기계</t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</si>
  <si>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</si>
  <si>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</si>
  <si>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</si>
  <si>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전기·전자</t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</si>
  <si>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</si>
  <si>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</si>
  <si>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</si>
  <si>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</si>
  <si>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</si>
  <si>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</si>
  <si>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</si>
  <si>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</si>
  <si>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</si>
  <si>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</si>
  <si>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</si>
  <si>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</si>
  <si>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</si>
  <si>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</si>
  <si>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</si>
  <si>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</si>
  <si>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</si>
  <si>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</si>
  <si>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</si>
  <si>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</si>
  <si>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</si>
  <si>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</si>
  <si>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</si>
  <si>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</si>
  <si>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</si>
  <si>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</si>
  <si>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</si>
  <si>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</si>
  <si>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</si>
  <si>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</si>
  <si>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</si>
  <si>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</si>
  <si>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</si>
  <si>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</si>
  <si>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</si>
  <si>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</si>
  <si>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</si>
  <si>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</si>
  <si>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</si>
  <si>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</si>
  <si>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</si>
  <si>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</si>
  <si>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</si>
  <si>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</si>
  <si>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</si>
  <si>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</si>
  <si>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</si>
  <si>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</si>
  <si>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</si>
  <si>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</si>
  <si>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</si>
  <si>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</si>
  <si>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</si>
  <si>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</si>
  <si>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</si>
  <si>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</si>
  <si>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</si>
  <si>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</si>
  <si>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</si>
  <si>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</si>
  <si>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</si>
  <si>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</si>
  <si>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</si>
  <si>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</si>
  <si>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</si>
  <si>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</si>
  <si>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</si>
  <si>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</si>
  <si>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</si>
  <si>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</si>
  <si>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</si>
  <si>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</si>
  <si>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</si>
  <si>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</si>
  <si>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</si>
  <si>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</si>
  <si>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</si>
  <si>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</si>
  <si>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</si>
  <si>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</si>
  <si>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</si>
  <si>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</si>
  <si>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</si>
  <si>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</si>
  <si>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</si>
  <si>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</si>
  <si>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</si>
  <si>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</si>
  <si>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</si>
  <si>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</si>
  <si>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</si>
  <si>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</si>
  <si>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</si>
  <si>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</si>
  <si>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</si>
  <si>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</si>
  <si>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</si>
  <si>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</si>
  <si>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</si>
  <si>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</si>
  <si>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</si>
  <si>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</si>
  <si>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</si>
  <si>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</si>
  <si>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</si>
  <si>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</si>
  <si>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</si>
  <si>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</si>
  <si>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</si>
  <si>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</si>
  <si>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</si>
  <si>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</si>
  <si>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</si>
  <si>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</si>
  <si>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</si>
  <si>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</si>
  <si>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</si>
  <si>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</si>
  <si>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</si>
  <si>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</si>
  <si>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</si>
  <si>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</si>
  <si>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</si>
  <si>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</si>
  <si>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</si>
  <si>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</si>
  <si>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</si>
  <si>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</si>
  <si>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</si>
  <si>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</si>
  <si>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</si>
  <si>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</si>
  <si>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</si>
  <si>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</si>
  <si>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</si>
  <si>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</si>
  <si>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</si>
  <si>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</si>
  <si>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</si>
  <si>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</si>
  <si>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</si>
  <si>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</si>
  <si>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</si>
  <si>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</si>
  <si>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</si>
  <si>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</si>
  <si>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</si>
  <si>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</si>
  <si>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</si>
  <si>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</si>
  <si>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</si>
  <si>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</si>
  <si>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</si>
  <si>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</si>
  <si>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</si>
  <si>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</si>
  <si>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</si>
  <si>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</si>
  <si>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</si>
  <si>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</si>
  <si>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</si>
  <si>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</si>
  <si>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</si>
  <si>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</si>
  <si>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</si>
  <si>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</si>
  <si>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</si>
  <si>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</si>
  <si>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</si>
  <si>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</si>
  <si>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</si>
  <si>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</si>
  <si>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</si>
  <si>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</si>
  <si>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</si>
  <si>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</si>
  <si>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</si>
  <si>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</si>
  <si>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</si>
  <si>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</si>
  <si>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</si>
  <si>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</si>
  <si>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</si>
  <si>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</si>
  <si>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</si>
  <si>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</si>
  <si>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</si>
  <si>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직무 수학</t>
    <phoneticPr fontId="9" type="noConversion"/>
  </si>
  <si>
    <t>공통영어1</t>
    <phoneticPr fontId="9" type="noConversion"/>
  </si>
  <si>
    <t>직무 영어</t>
    <phoneticPr fontId="9" type="noConversion"/>
  </si>
  <si>
    <t>사회(역사/도덕 포함)</t>
    <phoneticPr fontId="9" type="noConversion"/>
  </si>
  <si>
    <t>한국사2</t>
    <phoneticPr fontId="9" type="noConversion"/>
  </si>
  <si>
    <t>통합사회2</t>
    <phoneticPr fontId="9" type="noConversion"/>
  </si>
  <si>
    <t>통합과학2</t>
    <phoneticPr fontId="9" type="noConversion"/>
  </si>
  <si>
    <t>융합선택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</si>
  <si>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</si>
  <si>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</si>
  <si>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</si>
  <si>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</si>
  <si>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스포츠 생활1</t>
    <phoneticPr fontId="9" type="noConversion"/>
  </si>
  <si>
    <t>1~2</t>
    <phoneticPr fontId="9" type="noConversion"/>
  </si>
  <si>
    <t>기술·가정/정보/제2외국어/한문/교양</t>
    <phoneticPr fontId="9" type="noConversion"/>
  </si>
  <si>
    <t>전문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</si>
  <si>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</si>
  <si>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</si>
  <si>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</si>
  <si>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</si>
  <si>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</si>
  <si>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</si>
  <si>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</si>
  <si>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</si>
  <si>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</si>
  <si>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</si>
  <si>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</si>
  <si>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</si>
  <si>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</si>
  <si>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</si>
  <si>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</si>
  <si>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</si>
  <si>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</si>
  <si>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</si>
  <si>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</si>
  <si>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</si>
  <si>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</si>
  <si>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</si>
  <si>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</si>
  <si>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</si>
  <si>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</si>
  <si>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</si>
  <si>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</si>
  <si>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</si>
  <si>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</si>
  <si>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</si>
  <si>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</si>
  <si>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</si>
  <si>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</si>
  <si>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</si>
  <si>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</si>
  <si>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</si>
  <si>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</si>
  <si>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</si>
  <si>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</si>
  <si>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</si>
  <si>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</si>
  <si>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</si>
  <si>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</si>
  <si>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</si>
  <si>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</si>
  <si>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</si>
  <si>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</si>
  <si>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</si>
  <si>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</si>
  <si>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</si>
  <si>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</si>
  <si>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</si>
  <si>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</si>
  <si>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</si>
  <si>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</si>
  <si>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</si>
  <si>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</si>
  <si>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</si>
  <si>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</si>
  <si>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</si>
  <si>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</si>
  <si>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</si>
  <si>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</si>
  <si>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</si>
  <si>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</si>
  <si>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</si>
  <si>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</si>
  <si>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</si>
  <si>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</si>
  <si>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</si>
  <si>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</si>
  <si>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</si>
  <si>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</si>
  <si>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</si>
  <si>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</si>
  <si>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</si>
  <si>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</si>
  <si>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</si>
  <si>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</si>
  <si>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</si>
  <si>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</si>
  <si>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</si>
  <si>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</si>
  <si>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</si>
  <si>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</si>
  <si>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</si>
  <si>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</si>
  <si>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</si>
  <si>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</si>
  <si>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</si>
  <si>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</si>
  <si>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</si>
  <si>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</si>
  <si>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</si>
  <si>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</si>
  <si>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</si>
  <si>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</si>
  <si>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</si>
  <si>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</si>
  <si>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</si>
  <si>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</si>
  <si>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</si>
  <si>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</si>
  <si>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</si>
  <si>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</si>
  <si>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</si>
  <si>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</si>
  <si>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</si>
  <si>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</si>
  <si>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</si>
  <si>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</si>
  <si>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</si>
  <si>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</si>
  <si>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</si>
  <si>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</si>
  <si>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</si>
  <si>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</si>
  <si>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</si>
  <si>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</si>
  <si>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</si>
  <si>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</si>
  <si>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</si>
  <si>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</si>
  <si>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</si>
  <si>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</si>
  <si>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</si>
  <si>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</si>
  <si>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</si>
  <si>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</si>
  <si>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</si>
  <si>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</si>
  <si>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</si>
  <si>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</si>
  <si>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</si>
  <si>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</si>
  <si>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</si>
  <si>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</si>
  <si>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</si>
  <si>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</si>
  <si>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</si>
  <si>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</si>
  <si>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</si>
  <si>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</si>
  <si>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이수학점 편성 범위</t>
    <phoneticPr fontId="9" type="noConversion"/>
  </si>
  <si>
    <t>구분</t>
    <phoneticPr fontId="9" type="noConversion"/>
  </si>
  <si>
    <t>공통과목</t>
    <phoneticPr fontId="9" type="noConversion"/>
  </si>
  <si>
    <t>한국사 1,2</t>
    <phoneticPr fontId="9" type="noConversion"/>
  </si>
  <si>
    <t>선택과목</t>
    <phoneticPr fontId="9" type="noConversion"/>
  </si>
  <si>
    <t>체육, 예술, 교양 교과군</t>
    <phoneticPr fontId="9" type="noConversion"/>
  </si>
  <si>
    <t>전문교과</t>
    <phoneticPr fontId="9" type="noConversion"/>
  </si>
  <si>
    <t>기준학점</t>
    <phoneticPr fontId="9" type="noConversion"/>
  </si>
  <si>
    <t>증감</t>
    <phoneticPr fontId="9" type="noConversion"/>
  </si>
  <si>
    <t>편성가능 학점</t>
    <phoneticPr fontId="9" type="noConversion"/>
  </si>
  <si>
    <t>3~4</t>
    <phoneticPr fontId="9" type="noConversion"/>
  </si>
  <si>
    <t>3~5</t>
    <phoneticPr fontId="9" type="noConversion"/>
  </si>
  <si>
    <t>2~4</t>
    <phoneticPr fontId="9" type="noConversion"/>
  </si>
  <si>
    <t>±1</t>
    <phoneticPr fontId="9" type="noConversion"/>
  </si>
  <si>
    <t>충남</t>
  </si>
  <si>
    <t>학교장</t>
    <phoneticPr fontId="9" type="noConversion"/>
  </si>
  <si>
    <t>홍성공업고등학교</t>
    <phoneticPr fontId="9" type="noConversion"/>
  </si>
  <si>
    <t>기계과</t>
  </si>
  <si>
    <t>기계과</t>
    <phoneticPr fontId="9" type="noConversion"/>
  </si>
  <si>
    <t>일반</t>
  </si>
  <si>
    <t>운동과 건강</t>
    <phoneticPr fontId="9" type="noConversion"/>
  </si>
  <si>
    <t>음악 연주와 창작</t>
    <phoneticPr fontId="9" type="noConversion"/>
  </si>
  <si>
    <t>진로선택</t>
    <phoneticPr fontId="9" type="noConversion"/>
  </si>
  <si>
    <t>2~4</t>
    <phoneticPr fontId="9" type="noConversion"/>
  </si>
  <si>
    <t>성공적인 직업생활</t>
    <phoneticPr fontId="9" type="noConversion"/>
  </si>
  <si>
    <t>기계</t>
    <phoneticPr fontId="9" type="noConversion"/>
  </si>
  <si>
    <t>기계 수동 조립</t>
    <phoneticPr fontId="5" type="noConversion"/>
  </si>
  <si>
    <t>선반 가공</t>
    <phoneticPr fontId="5" type="noConversion"/>
  </si>
  <si>
    <t>밀링 가공</t>
    <phoneticPr fontId="9" type="noConversion"/>
  </si>
  <si>
    <t>측정</t>
    <phoneticPr fontId="9" type="noConversion"/>
  </si>
  <si>
    <t>기계 수동 조립</t>
    <phoneticPr fontId="9" type="noConversion"/>
  </si>
  <si>
    <t>조립안전관리</t>
    <phoneticPr fontId="9" type="noConversion"/>
  </si>
  <si>
    <t>기본 작업(선반가공)</t>
    <phoneticPr fontId="9" type="noConversion"/>
  </si>
  <si>
    <t>기본 작업(밀링가공)</t>
    <phoneticPr fontId="9" type="noConversion"/>
  </si>
  <si>
    <t>기계구동장치조립</t>
    <phoneticPr fontId="9" type="noConversion"/>
  </si>
  <si>
    <t>전기전자장치조립준비</t>
    <phoneticPr fontId="9" type="noConversion"/>
  </si>
  <si>
    <t>공기압 장치조립</t>
    <phoneticPr fontId="9" type="noConversion"/>
  </si>
  <si>
    <t>유압 장치조립</t>
    <phoneticPr fontId="9" type="noConversion"/>
  </si>
  <si>
    <t>1503010122_16v1</t>
    <phoneticPr fontId="9" type="noConversion"/>
  </si>
  <si>
    <t>1502010104_16v4</t>
    <phoneticPr fontId="9" type="noConversion"/>
  </si>
  <si>
    <t>1502010204_16v4</t>
    <phoneticPr fontId="9" type="noConversion"/>
  </si>
  <si>
    <t>1503010120_16v1</t>
    <phoneticPr fontId="9" type="noConversion"/>
  </si>
  <si>
    <t>1503010118_16v4</t>
    <phoneticPr fontId="9" type="noConversion"/>
  </si>
  <si>
    <t>1503010116_16v4</t>
    <phoneticPr fontId="9" type="noConversion"/>
  </si>
  <si>
    <t>1503010117_16v4</t>
    <phoneticPr fontId="9" type="noConversion"/>
  </si>
  <si>
    <t>선반 가공</t>
    <phoneticPr fontId="9" type="noConversion"/>
  </si>
  <si>
    <t>단순형상 작업</t>
    <phoneticPr fontId="9" type="noConversion"/>
  </si>
  <si>
    <t>탭·드릴·보링 가공</t>
    <phoneticPr fontId="9" type="noConversion"/>
  </si>
  <si>
    <t>홈·테이퍼 작업</t>
    <phoneticPr fontId="9" type="noConversion"/>
  </si>
  <si>
    <t>평면·총형 가공</t>
    <phoneticPr fontId="9" type="noConversion"/>
  </si>
  <si>
    <t>1502010105_14v2</t>
    <phoneticPr fontId="9" type="noConversion"/>
  </si>
  <si>
    <t>1502010206_14v2</t>
    <phoneticPr fontId="9" type="noConversion"/>
  </si>
  <si>
    <t>1502010106_14v2</t>
    <phoneticPr fontId="9" type="noConversion"/>
  </si>
  <si>
    <t>1502010205_16v4</t>
    <phoneticPr fontId="9" type="noConversion"/>
  </si>
  <si>
    <t>로봇 용접</t>
    <phoneticPr fontId="9" type="noConversion"/>
  </si>
  <si>
    <t>피복아크용접 도면해독</t>
    <phoneticPr fontId="9" type="noConversion"/>
  </si>
  <si>
    <t>기본용접작업</t>
    <phoneticPr fontId="9" type="noConversion"/>
  </si>
  <si>
    <t>1601050102_21v3</t>
    <phoneticPr fontId="9" type="noConversion"/>
  </si>
  <si>
    <t>1601050601_21v3</t>
    <phoneticPr fontId="9" type="noConversion"/>
  </si>
  <si>
    <t>컴퓨터 활용 생산</t>
    <phoneticPr fontId="9" type="noConversion"/>
  </si>
  <si>
    <t>CNC선반 가공 프로그래밍</t>
    <phoneticPr fontId="9" type="noConversion"/>
  </si>
  <si>
    <t>CNC선반 조작</t>
    <phoneticPr fontId="9" type="noConversion"/>
  </si>
  <si>
    <t>1502010404_24v6</t>
    <phoneticPr fontId="9" type="noConversion"/>
  </si>
  <si>
    <t>1502010403_24v4</t>
    <phoneticPr fontId="9" type="noConversion"/>
  </si>
  <si>
    <t>피복 아크 용접</t>
    <phoneticPr fontId="9" type="noConversion"/>
  </si>
  <si>
    <t>수동·반자동 가스절단</t>
    <phoneticPr fontId="9" type="noConversion"/>
  </si>
  <si>
    <t>피복아크용접 필릿용접</t>
    <phoneticPr fontId="9" type="noConversion"/>
  </si>
  <si>
    <t>피복아크용접 맞대기용접</t>
    <phoneticPr fontId="9" type="noConversion"/>
  </si>
  <si>
    <t>피복아크용접부 검사</t>
    <phoneticPr fontId="9" type="noConversion"/>
  </si>
  <si>
    <t>1508020213_17v3</t>
    <phoneticPr fontId="9" type="noConversion"/>
  </si>
  <si>
    <t>1601050112_21v3</t>
    <phoneticPr fontId="9" type="noConversion"/>
  </si>
  <si>
    <t>1601050111_21v3</t>
    <phoneticPr fontId="9" type="noConversion"/>
  </si>
  <si>
    <t>1601050107_21v3</t>
    <phoneticPr fontId="9" type="noConversion"/>
  </si>
  <si>
    <t>엔드밀 가공</t>
    <phoneticPr fontId="9" type="noConversion"/>
  </si>
  <si>
    <t>치공구 관리(밀링가공)</t>
    <phoneticPr fontId="9" type="noConversion"/>
  </si>
  <si>
    <t>품질개선활동</t>
    <phoneticPr fontId="9" type="noConversion"/>
  </si>
  <si>
    <t>안전대책 수립(밀링가공)</t>
    <phoneticPr fontId="9" type="noConversion"/>
  </si>
  <si>
    <t>1502010207_16v4</t>
    <phoneticPr fontId="9" type="noConversion"/>
  </si>
  <si>
    <t>1502010208_16v4</t>
    <phoneticPr fontId="9" type="noConversion"/>
  </si>
  <si>
    <t>1502010210_14v2</t>
    <phoneticPr fontId="9" type="noConversion"/>
  </si>
  <si>
    <t>1502010213_16v4</t>
    <phoneticPr fontId="9" type="noConversion"/>
  </si>
  <si>
    <t>체결요소설계</t>
    <phoneticPr fontId="9" type="noConversion"/>
  </si>
  <si>
    <t>정밀측정</t>
    <phoneticPr fontId="9" type="noConversion"/>
  </si>
  <si>
    <t>치공구요소설계</t>
    <phoneticPr fontId="9" type="noConversion"/>
  </si>
  <si>
    <t>비교측정</t>
    <phoneticPr fontId="9" type="noConversion"/>
  </si>
  <si>
    <t>1501020106_16v3</t>
    <phoneticPr fontId="9" type="noConversion"/>
  </si>
  <si>
    <t>1502010505_20v4</t>
    <phoneticPr fontId="9" type="noConversion"/>
  </si>
  <si>
    <t>1501020108_16v3</t>
    <phoneticPr fontId="9" type="noConversion"/>
  </si>
  <si>
    <t>1502010506_20v4</t>
    <phoneticPr fontId="9" type="noConversion"/>
  </si>
  <si>
    <t>가스 텅스텐 아크 용접</t>
    <phoneticPr fontId="9" type="noConversion"/>
  </si>
  <si>
    <t>가스텅스텐아크용접 가용접 작업</t>
    <phoneticPr fontId="9" type="noConversion"/>
  </si>
  <si>
    <t>가스텅스텐아크용접 비드쌓기</t>
    <phoneticPr fontId="9" type="noConversion"/>
  </si>
  <si>
    <t>가스텅스텐아크용접 맞대기용접</t>
    <phoneticPr fontId="9" type="noConversion"/>
  </si>
  <si>
    <t>가스텅스텐아크용접 필릿용접</t>
    <phoneticPr fontId="9" type="noConversion"/>
  </si>
  <si>
    <t>1601050305_21v4</t>
    <phoneticPr fontId="9" type="noConversion"/>
  </si>
  <si>
    <t>1601050310_21v4</t>
    <phoneticPr fontId="9" type="noConversion"/>
  </si>
  <si>
    <t>1601050311_21v4</t>
    <phoneticPr fontId="9" type="noConversion"/>
  </si>
  <si>
    <t>1601050312_21v4</t>
    <phoneticPr fontId="9" type="noConversion"/>
  </si>
  <si>
    <t>3D형상모델링작업</t>
    <phoneticPr fontId="9" type="noConversion"/>
  </si>
  <si>
    <t>CNC밀링(머시닝센터) 조작</t>
    <phoneticPr fontId="9" type="noConversion"/>
  </si>
  <si>
    <t>3D형상모델링검토</t>
    <phoneticPr fontId="9" type="noConversion"/>
  </si>
  <si>
    <t>CNC밀링(머시닝센터) 가공 프로그래밍</t>
    <phoneticPr fontId="9" type="noConversion"/>
  </si>
  <si>
    <t>1501020113_16v3</t>
    <phoneticPr fontId="9" type="noConversion"/>
  </si>
  <si>
    <t>1502010405_24v4</t>
    <phoneticPr fontId="9" type="noConversion"/>
  </si>
  <si>
    <t>1501020114_19v4</t>
    <phoneticPr fontId="9" type="noConversion"/>
  </si>
  <si>
    <t>1502010406_24v5</t>
    <phoneticPr fontId="9" type="noConversion"/>
  </si>
  <si>
    <t>CO2용접 가용접 작업</t>
    <phoneticPr fontId="9" type="noConversion"/>
  </si>
  <si>
    <t>솔리드와이어용접 비드쌓기</t>
  </si>
  <si>
    <t>솔리드와이어 맞대기용접</t>
  </si>
  <si>
    <t>솔리드와이어 필릿용접</t>
  </si>
  <si>
    <t>1601050205_21v4</t>
  </si>
  <si>
    <t>1601050211_21v4</t>
  </si>
  <si>
    <t>1601050213_21v4</t>
    <phoneticPr fontId="9" type="noConversion"/>
  </si>
  <si>
    <t>1601050212_21v4</t>
  </si>
  <si>
    <t>피복아크
용접원코스</t>
    <phoneticPr fontId="9" type="noConversion"/>
  </si>
  <si>
    <t>기계</t>
    <phoneticPr fontId="9" type="noConversion"/>
  </si>
  <si>
    <t>전공실무</t>
    <phoneticPr fontId="9" type="noConversion"/>
  </si>
  <si>
    <t>학과 간 선택</t>
    <phoneticPr fontId="9" type="noConversion"/>
  </si>
  <si>
    <t>타학과 융합
(택1)</t>
    <phoneticPr fontId="9" type="noConversion"/>
  </si>
  <si>
    <t>전기</t>
    <phoneticPr fontId="9" type="noConversion"/>
  </si>
  <si>
    <t>피복 아크 용접</t>
    <phoneticPr fontId="9" type="noConversion"/>
  </si>
  <si>
    <t>전기 기기 제작</t>
    <phoneticPr fontId="9" type="noConversion"/>
  </si>
  <si>
    <t>이산화탄소 가스 메탈 아크 용접</t>
    <phoneticPr fontId="9" type="noConversion"/>
  </si>
  <si>
    <t>이산화탄소 가스 메탈 아크 용접</t>
    <phoneticPr fontId="9" type="noConversion"/>
  </si>
  <si>
    <t>내선공사</t>
    <phoneticPr fontId="9" type="noConversion"/>
  </si>
  <si>
    <t>피복아크용접원코스
머시닝센터조작원코스</t>
    <phoneticPr fontId="9" type="noConversion"/>
  </si>
  <si>
    <t>전기전자설비유지보수원
코스</t>
    <phoneticPr fontId="9" type="noConversion"/>
  </si>
  <si>
    <r>
      <t>전기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전</t>
    </r>
    <r>
      <rPr>
        <sz val="10"/>
        <rFont val="맑은 고딕"/>
        <family val="3"/>
        <charset val="129"/>
      </rPr>
      <t>자일반</t>
    </r>
    <phoneticPr fontId="5" type="noConversion"/>
  </si>
  <si>
    <t>자동화 설비</t>
    <phoneticPr fontId="9" type="noConversion"/>
  </si>
  <si>
    <t>전기 설비 운영</t>
    <phoneticPr fontId="9" type="noConversion"/>
  </si>
  <si>
    <t>학과 내
선택</t>
    <phoneticPr fontId="9" type="noConversion"/>
  </si>
  <si>
    <t>전기전자
설비유지
보수원 코스</t>
    <phoneticPr fontId="9" type="noConversion"/>
  </si>
  <si>
    <t>자동 제어 시스템 운영</t>
    <phoneticPr fontId="9" type="noConversion"/>
  </si>
  <si>
    <t>전자 부품 생산</t>
    <phoneticPr fontId="9" type="noConversion"/>
  </si>
  <si>
    <t>자동 제어 기기 제작</t>
    <phoneticPr fontId="9" type="noConversion"/>
  </si>
  <si>
    <t>반송설비 운영</t>
    <phoneticPr fontId="9" type="noConversion"/>
  </si>
  <si>
    <t>동력설비 시퀀스 제어 회로 점검</t>
    <phoneticPr fontId="9" type="noConversion"/>
  </si>
  <si>
    <t>전동기설비 운영</t>
    <phoneticPr fontId="9" type="noConversion"/>
  </si>
  <si>
    <t>1901060316_16v1</t>
  </si>
  <si>
    <t>1901060331_19v1</t>
  </si>
  <si>
    <t>1901060315_16v1</t>
  </si>
  <si>
    <t>시퀀스 회로 제어 운영</t>
    <phoneticPr fontId="9" type="noConversion"/>
  </si>
  <si>
    <t>프로그램로직제어(PLC) 기본 운영</t>
    <phoneticPr fontId="9" type="noConversion"/>
  </si>
  <si>
    <t>1901080411_20v3</t>
    <phoneticPr fontId="9" type="noConversion"/>
  </si>
  <si>
    <t>1901080412_20v3</t>
    <phoneticPr fontId="9" type="noConversion"/>
  </si>
  <si>
    <t>전기기기 제작준비</t>
    <phoneticPr fontId="9" type="noConversion"/>
  </si>
  <si>
    <t>전기기기 권선작업</t>
  </si>
  <si>
    <t>전기기기 반제품 조립</t>
  </si>
  <si>
    <t>전기기기 회로부 조립</t>
  </si>
  <si>
    <t>1901050201_14v2</t>
  </si>
  <si>
    <t>1901050203_14v2</t>
  </si>
  <si>
    <t>1901050207_14v2</t>
  </si>
  <si>
    <t>1901050206_14v2</t>
  </si>
  <si>
    <t>전자부품 설비계획</t>
  </si>
  <si>
    <t>전자부품 설비보전</t>
  </si>
  <si>
    <t>전자부품 품질관리</t>
    <phoneticPr fontId="9" type="noConversion"/>
  </si>
  <si>
    <t>전자부품 출하관리</t>
  </si>
  <si>
    <t>제어시스템 점검</t>
  </si>
  <si>
    <t>1902020211_16v3</t>
    <phoneticPr fontId="9" type="noConversion"/>
  </si>
  <si>
    <t>1902020212_16v3</t>
  </si>
  <si>
    <t>1901080302_14v2</t>
    <phoneticPr fontId="9" type="noConversion"/>
  </si>
  <si>
    <t>1902020209_16v3</t>
  </si>
  <si>
    <t>1902020210_16v3</t>
  </si>
  <si>
    <t>1901080405_14v2</t>
  </si>
  <si>
    <t>자동제어 대상 설비 확인</t>
    <phoneticPr fontId="9" type="noConversion"/>
  </si>
  <si>
    <t>전장품 조립</t>
  </si>
  <si>
    <t>부품조립</t>
  </si>
  <si>
    <t>하드웨어 제작</t>
  </si>
  <si>
    <t>소프트웨어 작성</t>
  </si>
  <si>
    <t>1901080214_16v2</t>
  </si>
  <si>
    <t>1901080213_16v2</t>
  </si>
  <si>
    <t>1901080215_16v2</t>
  </si>
  <si>
    <t>1901080216_16v2</t>
  </si>
  <si>
    <t>배관공사</t>
  </si>
  <si>
    <t>배선공사</t>
  </si>
  <si>
    <t>옥내조명공사</t>
  </si>
  <si>
    <t>전열공사</t>
  </si>
  <si>
    <t>1901070117_22v4</t>
  </si>
  <si>
    <t>1901070119_22v4</t>
  </si>
  <si>
    <t>도제</t>
  </si>
  <si>
    <t>전자제품부품생산 및
유지보수원 코스</t>
    <phoneticPr fontId="9" type="noConversion"/>
  </si>
  <si>
    <t>전자제품
부품 생산 및 유지보수원 코스</t>
    <phoneticPr fontId="9" type="noConversion"/>
  </si>
  <si>
    <t>전자 제품 생산</t>
    <phoneticPr fontId="9" type="noConversion"/>
  </si>
  <si>
    <t>전기과(일반)</t>
    <phoneticPr fontId="9" type="noConversion"/>
  </si>
  <si>
    <t>전기과(도제)</t>
    <phoneticPr fontId="9" type="noConversion"/>
  </si>
  <si>
    <t>전자제품 출하관리</t>
  </si>
  <si>
    <t>전자제품생산 자재관리</t>
  </si>
  <si>
    <t>전자부품설비보전</t>
  </si>
  <si>
    <t>전자제품제조</t>
  </si>
  <si>
    <t>전자제품생산 안전관리</t>
  </si>
  <si>
    <t>조립도면작성</t>
  </si>
  <si>
    <t>1902010210_16v3</t>
  </si>
  <si>
    <t>1902010204_13v2</t>
  </si>
  <si>
    <t>1902010207_16v3</t>
  </si>
  <si>
    <t>1902010212_16v3</t>
    <phoneticPr fontId="9" type="noConversion"/>
  </si>
  <si>
    <t>1503010112_16v4</t>
  </si>
  <si>
    <t>전자부품 생산활동</t>
    <phoneticPr fontId="9" type="noConversion"/>
  </si>
  <si>
    <t>조립도면해독</t>
    <phoneticPr fontId="9" type="noConversion"/>
  </si>
  <si>
    <t>전자부품 생산기술지원</t>
    <phoneticPr fontId="9" type="noConversion"/>
  </si>
  <si>
    <t>전기전자장치조립
(학생선택)</t>
    <phoneticPr fontId="9" type="noConversion"/>
  </si>
  <si>
    <t>1902020208_16v3</t>
    <phoneticPr fontId="9" type="noConversion"/>
  </si>
  <si>
    <t>1503010111_16v4</t>
  </si>
  <si>
    <t>1902020201_16v3</t>
    <phoneticPr fontId="9" type="noConversion"/>
  </si>
  <si>
    <t>1503010119_16v4</t>
    <phoneticPr fontId="9" type="noConversion"/>
  </si>
  <si>
    <t>옥외조명공사</t>
  </si>
  <si>
    <t>1901070116_22v4</t>
    <phoneticPr fontId="9" type="noConversion"/>
  </si>
  <si>
    <t>1901070140_22v1</t>
  </si>
  <si>
    <t>품질검사</t>
  </si>
  <si>
    <t>PLC제어 기본 모듈 프로그램 개발</t>
    <phoneticPr fontId="9" type="noConversion"/>
  </si>
  <si>
    <t>하드웨어 성능 구현
(학생 선택)</t>
    <phoneticPr fontId="9" type="noConversion"/>
  </si>
  <si>
    <t>제작공정계획</t>
    <phoneticPr fontId="9" type="noConversion"/>
  </si>
  <si>
    <t>1901080219_16v2</t>
  </si>
  <si>
    <t>1503010210_14v3</t>
  </si>
  <si>
    <t>1901080207_16v2</t>
  </si>
  <si>
    <t>1903010308_21v4</t>
  </si>
  <si>
    <t>2~</t>
    <phoneticPr fontId="9" type="noConversion"/>
  </si>
  <si>
    <t>학과내 
선택</t>
    <phoneticPr fontId="9" type="noConversion"/>
  </si>
  <si>
    <t>2~</t>
    <phoneticPr fontId="9" type="noConversion"/>
  </si>
  <si>
    <t>머시닝센터조작원코스</t>
    <phoneticPr fontId="9" type="noConversion"/>
  </si>
  <si>
    <t>학과간 
선택</t>
    <phoneticPr fontId="9" type="noConversion"/>
  </si>
  <si>
    <t>타학과융합
(택1)</t>
    <phoneticPr fontId="9" type="noConversion"/>
  </si>
  <si>
    <t>기계 요소 설계</t>
    <phoneticPr fontId="9" type="noConversion"/>
  </si>
  <si>
    <t>비고</t>
    <phoneticPr fontId="9" type="noConversion"/>
  </si>
  <si>
    <t>비고</t>
    <phoneticPr fontId="9" type="noConversion"/>
  </si>
  <si>
    <t>이기낭</t>
  </si>
  <si>
    <t>642-8217</t>
  </si>
  <si>
    <t>김민선</t>
  </si>
  <si>
    <t>∙</t>
  </si>
  <si>
    <t>2027학년도 교육과정 편제 및 학점배당표(특성화고)</t>
    <phoneticPr fontId="9" type="noConversion"/>
  </si>
  <si>
    <t>디지털과 직업생활</t>
    <phoneticPr fontId="9" type="noConversion"/>
  </si>
  <si>
    <t>스포츠 문화*</t>
    <phoneticPr fontId="9" type="noConversion"/>
  </si>
  <si>
    <t>정보 대체</t>
    <phoneticPr fontId="9" type="noConversion"/>
  </si>
  <si>
    <t>1. 음악을 2학점씩 유지하되 1학년 1학기 부터 시작하도록 함</t>
    <phoneticPr fontId="9" type="noConversion"/>
  </si>
  <si>
    <t>2. 전문교과 담당 교양을 2학년에 배치하여 시수 및 지도의 균형을 갖춤</t>
    <phoneticPr fontId="9" type="noConversion"/>
  </si>
  <si>
    <t>3. 시험교과, 수행평가 등 학생들의 학업의 균형이 맞춰질 수 있음</t>
    <phoneticPr fontId="9" type="noConversion"/>
  </si>
  <si>
    <t>4. 흡연, 기초건강 보건 수업에 효과를 기대</t>
    <phoneticPr fontId="9" type="noConversion"/>
  </si>
  <si>
    <t>5. 전문교과의 1,2학기의 수업 시수 균형을 갖춤</t>
    <phoneticPr fontId="9" type="noConversion"/>
  </si>
  <si>
    <t>6. 음악교과의 학기 당 시수 차이가 발생함. (국영수과사 도 동일)</t>
    <phoneticPr fontId="9" type="noConversion"/>
  </si>
  <si>
    <t>7. 성공적인 직업생활이 2학년으로 조절되면서 전문교과교사의 진로 교육의 시기가 미뤄짐</t>
    <phoneticPr fontId="9" type="noConversion"/>
  </si>
  <si>
    <t>[제안1]</t>
    <phoneticPr fontId="9" type="noConversion"/>
  </si>
  <si>
    <t>1. 음악을 1학년 1학기로 배치</t>
    <phoneticPr fontId="9" type="noConversion"/>
  </si>
  <si>
    <t>2. 진로와 직업 / 인간과 경제활동의 학기를 고려한 배치</t>
    <phoneticPr fontId="9" type="noConversion"/>
  </si>
  <si>
    <t>3. 진로와 직업 / 성공적인 직업생활 (진로관련)의 동일 학기 편제를 피함</t>
    <phoneticPr fontId="9" type="noConversion"/>
  </si>
  <si>
    <t>4. 전문교과의 2학기 시수 불균형 (출장, 학사운영 등 실제 운영에 어려울 수 있음)</t>
    <phoneticPr fontId="9" type="noConversion"/>
  </si>
  <si>
    <t>[NCS] 2026과 비교하여 작성함</t>
    <phoneticPr fontId="9" type="noConversion"/>
  </si>
  <si>
    <t>1. 기계수동조립 8 + 8 (NCS 조절 필요)</t>
    <phoneticPr fontId="9" type="noConversion"/>
  </si>
  <si>
    <t>2. 밀링가공 5+5 &gt; 5+6 으로 조절 (NCS 시수조절 필요)</t>
    <phoneticPr fontId="9" type="noConversion"/>
  </si>
  <si>
    <t>[제안2]</t>
    <phoneticPr fontId="9" type="noConversion"/>
  </si>
  <si>
    <t>[제안1] = [제안2]</t>
    <phoneticPr fontId="9" type="noConversion"/>
  </si>
  <si>
    <t>현장 제어기기 운영</t>
  </si>
  <si>
    <t>1901080404_14v2</t>
  </si>
  <si>
    <t>배관배선검사</t>
    <phoneticPr fontId="9" type="noConversion"/>
  </si>
  <si>
    <t>1901070118_22v4</t>
    <phoneticPr fontId="9" type="noConversion"/>
  </si>
  <si>
    <t>1901070120_22v4</t>
    <phoneticPr fontId="9" type="noConversion"/>
  </si>
  <si>
    <t>2027학년도 교육과정 편제 및 학점배당표(마이스터고/특성화고)</t>
    <phoneticPr fontId="9" type="noConversion"/>
  </si>
  <si>
    <t>기계요소 설계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</si>
</sst>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77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sz val="10"/>
      <color rgb="FF0070C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6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7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0"/>
      <color theme="5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b/>
      <i/>
      <sz val="10"/>
      <color rgb="FF0070C0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Malgun Gothic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theme="4" tint="0.79998168889431442"/>
        <bgColor indexed="64"/>
      </patternFill>
    </fill>
  </fills>
  <borders count="18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3" fillId="0" borderId="0"/>
  </cellStyleXfs>
  <cellXfs count="8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3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6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32" fillId="0" borderId="6" xfId="0" applyFont="1" applyBorder="1" applyAlignment="1">
      <alignment horizontal="left" vertical="center"/>
    </xf>
    <xf numFmtId="0" fontId="32" fillId="0" borderId="20" xfId="0" applyFont="1" applyBorder="1" applyAlignment="1">
      <alignment horizontal="left" vertical="center"/>
    </xf>
    <xf numFmtId="0" fontId="13" fillId="10" borderId="89" xfId="6" applyFont="1" applyFill="1" applyBorder="1" applyAlignment="1" applyProtection="1">
      <alignment horizontal="center" vertical="center" wrapText="1"/>
    </xf>
    <xf numFmtId="0" fontId="12" fillId="12" borderId="90" xfId="0" applyFont="1" applyFill="1" applyBorder="1" applyAlignment="1" applyProtection="1">
      <alignment horizontal="center" vertical="center"/>
      <protection locked="0"/>
    </xf>
    <xf numFmtId="0" fontId="12" fillId="12" borderId="29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33" fillId="12" borderId="91" xfId="0" applyFont="1" applyFill="1" applyBorder="1" applyAlignment="1" applyProtection="1">
      <alignment horizontal="center" vertical="center"/>
      <protection locked="0"/>
    </xf>
    <xf numFmtId="0" fontId="25" fillId="3" borderId="55" xfId="3" applyFont="1" applyBorder="1" applyAlignment="1" applyProtection="1">
      <alignment horizontal="center" vertical="center"/>
      <protection locked="0"/>
    </xf>
    <xf numFmtId="176" fontId="38" fillId="9" borderId="90" xfId="7" applyNumberFormat="1" applyFont="1" applyFill="1" applyBorder="1" applyAlignment="1" applyProtection="1">
      <alignment horizontal="center" vertical="center" shrinkToFit="1"/>
    </xf>
    <xf numFmtId="176" fontId="39" fillId="18" borderId="11" xfId="0" applyNumberFormat="1" applyFont="1" applyFill="1" applyBorder="1" applyAlignment="1">
      <alignment horizontal="center" vertical="center" shrinkToFit="1"/>
    </xf>
    <xf numFmtId="176" fontId="12" fillId="16" borderId="31" xfId="0" applyNumberFormat="1" applyFont="1" applyFill="1" applyBorder="1" applyAlignment="1">
      <alignment horizontal="right" vertical="center"/>
    </xf>
    <xf numFmtId="176" fontId="12" fillId="16" borderId="102" xfId="0" applyNumberFormat="1" applyFont="1" applyFill="1" applyBorder="1" applyAlignment="1">
      <alignment horizontal="right" vertical="center"/>
    </xf>
    <xf numFmtId="176" fontId="12" fillId="16" borderId="91" xfId="0" applyNumberFormat="1" applyFont="1" applyFill="1" applyBorder="1" applyAlignment="1">
      <alignment horizontal="right" vertical="center"/>
    </xf>
    <xf numFmtId="176" fontId="12" fillId="16" borderId="30" xfId="0" applyNumberFormat="1" applyFont="1" applyFill="1" applyBorder="1" applyAlignment="1">
      <alignment horizontal="right" vertical="center"/>
    </xf>
    <xf numFmtId="0" fontId="39" fillId="18" borderId="109" xfId="0" applyFont="1" applyFill="1" applyBorder="1" applyAlignment="1">
      <alignment horizontal="center" vertical="center" shrinkToFit="1"/>
    </xf>
    <xf numFmtId="0" fontId="12" fillId="12" borderId="114" xfId="0" applyFont="1" applyFill="1" applyBorder="1" applyAlignment="1" applyProtection="1">
      <alignment horizontal="center" vertical="center"/>
      <protection locked="0"/>
    </xf>
    <xf numFmtId="0" fontId="29" fillId="15" borderId="40" xfId="4" applyFont="1" applyFill="1" applyBorder="1" applyAlignment="1" applyProtection="1">
      <alignment horizontal="center" vertical="center" wrapText="1"/>
    </xf>
    <xf numFmtId="0" fontId="29" fillId="15" borderId="43" xfId="4" applyFont="1" applyFill="1" applyBorder="1" applyAlignment="1" applyProtection="1">
      <alignment horizontal="center" vertical="center" wrapText="1"/>
    </xf>
    <xf numFmtId="0" fontId="29" fillId="15" borderId="73" xfId="4" applyFont="1" applyFill="1" applyBorder="1" applyAlignment="1" applyProtection="1">
      <alignment horizontal="center" vertical="center" wrapText="1"/>
    </xf>
    <xf numFmtId="0" fontId="29" fillId="15" borderId="56" xfId="4" applyFont="1" applyFill="1" applyBorder="1" applyAlignment="1" applyProtection="1">
      <alignment horizontal="center" vertical="center" wrapText="1"/>
    </xf>
    <xf numFmtId="0" fontId="29" fillId="0" borderId="57" xfId="4" applyFont="1" applyFill="1" applyBorder="1" applyAlignment="1" applyProtection="1">
      <alignment horizontal="center" vertical="center" wrapText="1"/>
    </xf>
    <xf numFmtId="0" fontId="29" fillId="0" borderId="95" xfId="4" applyFont="1" applyFill="1" applyBorder="1" applyAlignment="1" applyProtection="1">
      <alignment horizontal="center" vertical="center" wrapText="1"/>
    </xf>
    <xf numFmtId="0" fontId="29" fillId="15" borderId="68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2" fillId="0" borderId="104" xfId="0" applyFont="1" applyBorder="1" applyAlignment="1" applyProtection="1">
      <alignment horizontal="center" vertical="center"/>
      <protection locked="0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0" fontId="13" fillId="15" borderId="65" xfId="4" applyFont="1" applyFill="1" applyBorder="1" applyAlignment="1" applyProtection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40" xfId="5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33" xfId="4" applyFont="1" applyFill="1" applyBorder="1" applyAlignment="1" applyProtection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176" fontId="13" fillId="15" borderId="93" xfId="0" applyNumberFormat="1" applyFont="1" applyFill="1" applyBorder="1" applyAlignment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0" fontId="13" fillId="15" borderId="47" xfId="4" applyFont="1" applyFill="1" applyBorder="1" applyAlignment="1" applyProtection="1">
      <alignment horizontal="center" vertical="center" wrapText="1"/>
    </xf>
    <xf numFmtId="176" fontId="13" fillId="15" borderId="39" xfId="0" applyNumberFormat="1" applyFont="1" applyFill="1" applyBorder="1" applyAlignment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176" fontId="13" fillId="15" borderId="79" xfId="0" applyNumberFormat="1" applyFont="1" applyFill="1" applyBorder="1" applyAlignment="1">
      <alignment horizontal="center" vertical="center" wrapText="1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45" xfId="5" applyFont="1" applyFill="1" applyBorder="1" applyAlignment="1" applyProtection="1">
      <alignment horizontal="center" vertical="center" wrapText="1"/>
    </xf>
    <xf numFmtId="0" fontId="13" fillId="15" borderId="94" xfId="4" applyFont="1" applyFill="1" applyBorder="1" applyAlignment="1" applyProtection="1">
      <alignment horizontal="center" vertical="center" shrinkToFit="1"/>
    </xf>
    <xf numFmtId="0" fontId="13" fillId="15" borderId="38" xfId="4" applyFont="1" applyFill="1" applyBorder="1" applyAlignment="1" applyProtection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shrinkToFit="1"/>
    </xf>
    <xf numFmtId="0" fontId="22" fillId="15" borderId="37" xfId="4" applyFont="1" applyFill="1" applyBorder="1" applyAlignment="1" applyProtection="1">
      <alignment horizontal="center" vertical="center" wrapText="1"/>
    </xf>
    <xf numFmtId="0" fontId="22" fillId="15" borderId="38" xfId="4" applyFont="1" applyFill="1" applyBorder="1" applyAlignment="1" applyProtection="1">
      <alignment horizontal="center" vertical="center" shrinkToFit="1"/>
    </xf>
    <xf numFmtId="0" fontId="23" fillId="0" borderId="0" xfId="0" applyFont="1" applyAlignment="1" applyProtection="1">
      <alignment horizontal="center" vertical="center"/>
      <protection locked="0"/>
    </xf>
    <xf numFmtId="0" fontId="22" fillId="0" borderId="124" xfId="0" applyFont="1" applyBorder="1" applyAlignment="1" applyProtection="1">
      <alignment horizontal="center" vertical="center"/>
      <protection locked="0"/>
    </xf>
    <xf numFmtId="0" fontId="36" fillId="0" borderId="0" xfId="16" applyFont="1" applyAlignment="1">
      <alignment vertical="center"/>
    </xf>
    <xf numFmtId="0" fontId="16" fillId="0" borderId="0" xfId="16" applyFont="1" applyAlignment="1"/>
    <xf numFmtId="0" fontId="36" fillId="19" borderId="125" xfId="16" applyFont="1" applyFill="1" applyBorder="1" applyAlignment="1">
      <alignment horizontal="center" vertical="center"/>
    </xf>
    <xf numFmtId="0" fontId="36" fillId="0" borderId="126" xfId="16" applyFont="1" applyBorder="1" applyAlignment="1">
      <alignment vertical="center"/>
    </xf>
    <xf numFmtId="0" fontId="36" fillId="0" borderId="27" xfId="16" applyFont="1" applyBorder="1" applyAlignment="1">
      <alignment vertical="center"/>
    </xf>
    <xf numFmtId="0" fontId="36" fillId="0" borderId="24" xfId="16" applyFont="1" applyBorder="1" applyAlignment="1">
      <alignment vertical="center"/>
    </xf>
    <xf numFmtId="0" fontId="36" fillId="0" borderId="4" xfId="16" applyFont="1" applyBorder="1" applyAlignment="1">
      <alignment vertical="center"/>
    </xf>
    <xf numFmtId="0" fontId="36" fillId="0" borderId="128" xfId="16" applyFont="1" applyBorder="1" applyAlignment="1">
      <alignment vertical="center"/>
    </xf>
    <xf numFmtId="0" fontId="36" fillId="0" borderId="20" xfId="16" applyFont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36" fillId="0" borderId="133" xfId="16" applyFont="1" applyBorder="1" applyAlignment="1">
      <alignment vertical="center"/>
    </xf>
    <xf numFmtId="0" fontId="36" fillId="0" borderId="3" xfId="16" applyFont="1" applyBorder="1" applyAlignment="1">
      <alignment vertical="center"/>
    </xf>
    <xf numFmtId="0" fontId="36" fillId="0" borderId="21" xfId="16" applyFont="1" applyBorder="1" applyAlignment="1">
      <alignment vertical="center"/>
    </xf>
    <xf numFmtId="0" fontId="36" fillId="0" borderId="18" xfId="16" applyFont="1" applyBorder="1" applyAlignment="1">
      <alignment vertical="center"/>
    </xf>
    <xf numFmtId="0" fontId="36" fillId="21" borderId="139" xfId="16" applyFont="1" applyFill="1" applyBorder="1" applyAlignment="1">
      <alignment horizontal="center" vertical="center" wrapText="1"/>
    </xf>
    <xf numFmtId="0" fontId="36" fillId="21" borderId="140" xfId="16" applyFont="1" applyFill="1" applyBorder="1" applyAlignment="1">
      <alignment horizontal="center" vertical="center" wrapText="1"/>
    </xf>
    <xf numFmtId="0" fontId="49" fillId="21" borderId="140" xfId="16" applyFont="1" applyFill="1" applyBorder="1" applyAlignment="1">
      <alignment horizontal="center" vertical="center" wrapText="1"/>
    </xf>
    <xf numFmtId="0" fontId="49" fillId="21" borderId="141" xfId="16" applyFont="1" applyFill="1" applyBorder="1" applyAlignment="1">
      <alignment horizontal="center" vertical="center" wrapText="1"/>
    </xf>
    <xf numFmtId="0" fontId="36" fillId="0" borderId="20" xfId="16" applyFont="1" applyBorder="1" applyAlignment="1">
      <alignment vertical="center" wrapText="1"/>
    </xf>
    <xf numFmtId="0" fontId="36" fillId="0" borderId="6" xfId="16" applyFont="1" applyBorder="1" applyAlignment="1">
      <alignment vertical="center" wrapText="1"/>
    </xf>
    <xf numFmtId="0" fontId="50" fillId="0" borderId="145" xfId="16" applyFont="1" applyBorder="1" applyAlignment="1">
      <alignment horizontal="center" vertical="center" wrapText="1"/>
    </xf>
    <xf numFmtId="0" fontId="50" fillId="0" borderId="147" xfId="16" applyFont="1" applyBorder="1" applyAlignment="1">
      <alignment horizontal="center" vertical="center" wrapText="1"/>
    </xf>
    <xf numFmtId="0" fontId="50" fillId="0" borderId="151" xfId="16" applyFont="1" applyBorder="1" applyAlignment="1">
      <alignment horizontal="center" vertical="center" wrapText="1"/>
    </xf>
    <xf numFmtId="0" fontId="50" fillId="0" borderId="152" xfId="16" applyFont="1" applyBorder="1" applyAlignment="1">
      <alignment horizontal="center" vertical="center" wrapText="1"/>
    </xf>
    <xf numFmtId="0" fontId="50" fillId="0" borderId="155" xfId="16" applyFont="1" applyBorder="1" applyAlignment="1">
      <alignment horizontal="center" vertical="center" wrapText="1"/>
    </xf>
    <xf numFmtId="0" fontId="50" fillId="0" borderId="156" xfId="16" applyFont="1" applyBorder="1" applyAlignment="1">
      <alignment horizontal="center" vertical="center" wrapText="1"/>
    </xf>
    <xf numFmtId="0" fontId="50" fillId="0" borderId="158" xfId="16" applyFont="1" applyBorder="1" applyAlignment="1">
      <alignment horizontal="center" vertical="center" wrapText="1"/>
    </xf>
    <xf numFmtId="0" fontId="36" fillId="0" borderId="158" xfId="16" applyFont="1" applyBorder="1" applyAlignment="1">
      <alignment horizontal="center" vertical="center" wrapText="1"/>
    </xf>
    <xf numFmtId="0" fontId="50" fillId="0" borderId="159" xfId="16" applyFont="1" applyBorder="1" applyAlignment="1">
      <alignment horizontal="center" vertical="center" wrapText="1"/>
    </xf>
    <xf numFmtId="0" fontId="36" fillId="0" borderId="152" xfId="16" applyFont="1" applyBorder="1" applyAlignment="1">
      <alignment horizontal="center" vertical="center" wrapText="1"/>
    </xf>
    <xf numFmtId="0" fontId="36" fillId="0" borderId="155" xfId="16" applyFont="1" applyBorder="1" applyAlignment="1">
      <alignment horizontal="center" vertical="center" wrapText="1"/>
    </xf>
    <xf numFmtId="0" fontId="50" fillId="0" borderId="131" xfId="16" applyFont="1" applyBorder="1" applyAlignment="1">
      <alignment horizontal="center" vertical="center" wrapText="1"/>
    </xf>
    <xf numFmtId="0" fontId="52" fillId="21" borderId="131" xfId="16" applyFont="1" applyFill="1" applyBorder="1" applyAlignment="1">
      <alignment horizontal="center" vertical="center" wrapText="1"/>
    </xf>
    <xf numFmtId="0" fontId="53" fillId="0" borderId="152" xfId="16" applyFont="1" applyBorder="1" applyAlignment="1">
      <alignment horizontal="center" vertical="center" wrapText="1"/>
    </xf>
    <xf numFmtId="0" fontId="53" fillId="0" borderId="130" xfId="16" applyFont="1" applyBorder="1" applyAlignment="1">
      <alignment horizontal="center" vertical="center" wrapText="1"/>
    </xf>
    <xf numFmtId="0" fontId="52" fillId="0" borderId="131" xfId="16" applyFont="1" applyBorder="1" applyAlignment="1">
      <alignment horizontal="center" vertical="center" wrapText="1"/>
    </xf>
    <xf numFmtId="0" fontId="36" fillId="0" borderId="0" xfId="16" applyFont="1" applyBorder="1" applyAlignment="1">
      <alignment vertical="center"/>
    </xf>
    <xf numFmtId="0" fontId="54" fillId="0" borderId="0" xfId="16" applyFont="1" applyBorder="1" applyAlignment="1">
      <alignment horizontal="center" vertical="center"/>
    </xf>
    <xf numFmtId="0" fontId="48" fillId="0" borderId="131" xfId="16" applyFont="1" applyBorder="1" applyAlignment="1">
      <alignment horizontal="center" vertical="center"/>
    </xf>
    <xf numFmtId="0" fontId="48" fillId="20" borderId="152" xfId="16" applyFont="1" applyFill="1" applyBorder="1" applyAlignment="1">
      <alignment horizontal="center" vertical="center"/>
    </xf>
    <xf numFmtId="0" fontId="48" fillId="20" borderId="130" xfId="16" applyFont="1" applyFill="1" applyBorder="1" applyAlignment="1">
      <alignment horizontal="center" vertical="center" wrapText="1"/>
    </xf>
    <xf numFmtId="0" fontId="54" fillId="0" borderId="152" xfId="16" applyFont="1" applyBorder="1" applyAlignment="1">
      <alignment horizontal="center" vertical="center" wrapText="1"/>
    </xf>
    <xf numFmtId="0" fontId="54" fillId="0" borderId="131" xfId="16" applyFont="1" applyBorder="1" applyAlignment="1">
      <alignment horizontal="center" vertical="center" wrapText="1"/>
    </xf>
    <xf numFmtId="0" fontId="48" fillId="0" borderId="152" xfId="16" applyFont="1" applyBorder="1" applyAlignment="1">
      <alignment horizontal="center" vertical="center" wrapText="1"/>
    </xf>
    <xf numFmtId="0" fontId="48" fillId="0" borderId="131" xfId="16" applyFont="1" applyBorder="1" applyAlignment="1">
      <alignment horizontal="center" vertical="center" wrapText="1"/>
    </xf>
    <xf numFmtId="0" fontId="36" fillId="0" borderId="152" xfId="16" applyFont="1" applyBorder="1" applyAlignment="1">
      <alignment vertical="center" wrapText="1"/>
    </xf>
    <xf numFmtId="0" fontId="36" fillId="0" borderId="0" xfId="16" applyFont="1" applyBorder="1" applyAlignment="1">
      <alignment vertical="center" wrapText="1"/>
    </xf>
    <xf numFmtId="0" fontId="48" fillId="20" borderId="131" xfId="16" applyFont="1" applyFill="1" applyBorder="1" applyAlignment="1">
      <alignment horizontal="center" vertical="center"/>
    </xf>
    <xf numFmtId="0" fontId="48" fillId="0" borderId="130" xfId="16" applyFont="1" applyBorder="1" applyAlignment="1">
      <alignment horizontal="center" vertical="center"/>
    </xf>
    <xf numFmtId="0" fontId="48" fillId="0" borderId="152" xfId="16" applyFont="1" applyBorder="1" applyAlignment="1">
      <alignment horizontal="center" vertical="center"/>
    </xf>
    <xf numFmtId="0" fontId="55" fillId="0" borderId="152" xfId="16" applyFont="1" applyBorder="1" applyAlignment="1">
      <alignment horizontal="center" vertical="center"/>
    </xf>
    <xf numFmtId="0" fontId="55" fillId="0" borderId="131" xfId="16" applyFont="1" applyBorder="1" applyAlignment="1">
      <alignment horizontal="center" vertical="center"/>
    </xf>
    <xf numFmtId="0" fontId="36" fillId="0" borderId="138" xfId="16" applyFont="1" applyBorder="1" applyAlignment="1">
      <alignment vertical="center"/>
    </xf>
    <xf numFmtId="0" fontId="36" fillId="0" borderId="136" xfId="16" applyFont="1" applyBorder="1" applyAlignment="1">
      <alignment vertical="center"/>
    </xf>
    <xf numFmtId="0" fontId="36" fillId="0" borderId="163" xfId="16" applyFont="1" applyBorder="1" applyAlignment="1">
      <alignment vertical="center"/>
    </xf>
    <xf numFmtId="0" fontId="36" fillId="0" borderId="164" xfId="16" applyFont="1" applyBorder="1" applyAlignment="1">
      <alignment vertical="center"/>
    </xf>
    <xf numFmtId="0" fontId="36" fillId="0" borderId="109" xfId="16" applyFont="1" applyBorder="1" applyAlignment="1">
      <alignment vertical="center"/>
    </xf>
    <xf numFmtId="0" fontId="36" fillId="0" borderId="134" xfId="16" applyFont="1" applyBorder="1" applyAlignment="1">
      <alignment vertical="center"/>
    </xf>
    <xf numFmtId="0" fontId="36" fillId="0" borderId="166" xfId="16" applyFont="1" applyBorder="1" applyAlignment="1">
      <alignment vertical="center"/>
    </xf>
    <xf numFmtId="0" fontId="36" fillId="0" borderId="167" xfId="16" applyFont="1" applyBorder="1" applyAlignment="1">
      <alignment vertical="center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90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15" borderId="96" xfId="4" applyFont="1" applyFill="1" applyBorder="1" applyAlignment="1" applyProtection="1">
      <alignment horizontal="center" vertical="center" wrapText="1"/>
    </xf>
    <xf numFmtId="0" fontId="13" fillId="15" borderId="169" xfId="4" applyFont="1" applyFill="1" applyBorder="1" applyAlignment="1" applyProtection="1">
      <alignment horizontal="center" vertical="center" wrapText="1"/>
    </xf>
    <xf numFmtId="0" fontId="13" fillId="15" borderId="168" xfId="4" applyFont="1" applyFill="1" applyBorder="1" applyAlignment="1" applyProtection="1">
      <alignment horizontal="center" vertical="center" wrapText="1"/>
    </xf>
    <xf numFmtId="0" fontId="13" fillId="15" borderId="35" xfId="4" applyFont="1" applyFill="1" applyBorder="1" applyAlignment="1" applyProtection="1">
      <alignment horizontal="center" vertical="center" wrapText="1"/>
    </xf>
    <xf numFmtId="0" fontId="22" fillId="15" borderId="170" xfId="4" applyFont="1" applyFill="1" applyBorder="1" applyAlignment="1" applyProtection="1">
      <alignment horizontal="center" vertical="center" wrapText="1"/>
    </xf>
    <xf numFmtId="0" fontId="22" fillId="15" borderId="171" xfId="4" applyFont="1" applyFill="1" applyBorder="1" applyAlignment="1" applyProtection="1">
      <alignment horizontal="center" vertical="center" wrapText="1"/>
    </xf>
    <xf numFmtId="0" fontId="22" fillId="15" borderId="172" xfId="4" applyFont="1" applyFill="1" applyBorder="1" applyAlignment="1" applyProtection="1">
      <alignment horizontal="center" vertical="center" wrapText="1"/>
    </xf>
    <xf numFmtId="0" fontId="61" fillId="0" borderId="0" xfId="0" applyFont="1" applyProtection="1">
      <alignment vertical="center"/>
      <protection locked="0"/>
    </xf>
    <xf numFmtId="0" fontId="13" fillId="15" borderId="58" xfId="4" applyFont="1" applyFill="1" applyBorder="1" applyAlignment="1" applyProtection="1">
      <alignment horizontal="center" vertical="center" wrapText="1"/>
    </xf>
    <xf numFmtId="176" fontId="62" fillId="0" borderId="90" xfId="0" applyNumberFormat="1" applyFont="1" applyBorder="1">
      <alignment vertical="center"/>
    </xf>
    <xf numFmtId="176" fontId="62" fillId="0" borderId="29" xfId="0" applyNumberFormat="1" applyFont="1" applyBorder="1">
      <alignment vertical="center"/>
    </xf>
    <xf numFmtId="176" fontId="62" fillId="0" borderId="14" xfId="0" applyNumberFormat="1" applyFont="1" applyBorder="1">
      <alignment vertical="center"/>
    </xf>
    <xf numFmtId="176" fontId="62" fillId="0" borderId="10" xfId="0" applyNumberFormat="1" applyFont="1" applyBorder="1">
      <alignment vertical="center"/>
    </xf>
    <xf numFmtId="176" fontId="62" fillId="0" borderId="11" xfId="0" applyNumberFormat="1" applyFont="1" applyBorder="1">
      <alignment vertical="center"/>
    </xf>
    <xf numFmtId="176" fontId="62" fillId="0" borderId="100" xfId="0" applyNumberFormat="1" applyFont="1" applyBorder="1">
      <alignment vertical="center"/>
    </xf>
    <xf numFmtId="176" fontId="62" fillId="0" borderId="31" xfId="0" applyNumberFormat="1" applyFont="1" applyBorder="1">
      <alignment vertical="center"/>
    </xf>
    <xf numFmtId="0" fontId="63" fillId="0" borderId="0" xfId="0" applyFont="1" applyAlignment="1">
      <alignment horizontal="center" vertical="center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22" fillId="15" borderId="79" xfId="4" applyFont="1" applyFill="1" applyBorder="1" applyAlignment="1" applyProtection="1">
      <alignment horizontal="center" vertical="center" wrapText="1"/>
    </xf>
    <xf numFmtId="0" fontId="64" fillId="0" borderId="14" xfId="0" applyFont="1" applyBorder="1" applyAlignment="1">
      <alignment horizontal="center" vertical="center"/>
    </xf>
    <xf numFmtId="0" fontId="63" fillId="0" borderId="14" xfId="0" applyFont="1" applyBorder="1" applyAlignment="1">
      <alignment horizontal="center" vertical="center"/>
    </xf>
    <xf numFmtId="0" fontId="13" fillId="15" borderId="13" xfId="4" applyFont="1" applyFill="1" applyBorder="1" applyAlignment="1" applyProtection="1">
      <alignment horizontal="center" vertical="center" shrinkToFit="1"/>
    </xf>
    <xf numFmtId="0" fontId="13" fillId="15" borderId="93" xfId="4" applyFont="1" applyFill="1" applyBorder="1" applyAlignment="1" applyProtection="1">
      <alignment horizontal="center" vertical="center" shrinkToFit="1"/>
    </xf>
    <xf numFmtId="0" fontId="22" fillId="15" borderId="93" xfId="4" applyFont="1" applyFill="1" applyBorder="1" applyAlignment="1" applyProtection="1">
      <alignment horizontal="center" vertical="center" wrapText="1"/>
    </xf>
    <xf numFmtId="0" fontId="13" fillId="15" borderId="79" xfId="4" applyFont="1" applyFill="1" applyBorder="1" applyAlignment="1" applyProtection="1">
      <alignment horizontal="center" vertical="center" shrinkToFit="1"/>
    </xf>
    <xf numFmtId="0" fontId="0" fillId="0" borderId="176" xfId="0" applyBorder="1" applyProtection="1">
      <alignment vertical="center"/>
      <protection locked="0"/>
    </xf>
    <xf numFmtId="0" fontId="13" fillId="15" borderId="34" xfId="4" applyFont="1" applyFill="1" applyBorder="1" applyAlignment="1" applyProtection="1">
      <alignment horizontal="center" vertical="center" wrapText="1"/>
    </xf>
    <xf numFmtId="0" fontId="22" fillId="15" borderId="97" xfId="4" applyFont="1" applyFill="1" applyBorder="1" applyAlignment="1" applyProtection="1">
      <alignment horizontal="center" vertical="center" wrapText="1"/>
    </xf>
    <xf numFmtId="0" fontId="29" fillId="15" borderId="67" xfId="4" applyFont="1" applyFill="1" applyBorder="1" applyAlignment="1" applyProtection="1">
      <alignment horizontal="center" vertical="center" wrapText="1"/>
    </xf>
    <xf numFmtId="0" fontId="29" fillId="15" borderId="35" xfId="4" applyFont="1" applyFill="1" applyBorder="1" applyAlignment="1" applyProtection="1">
      <alignment horizontal="center" vertical="center" wrapText="1"/>
    </xf>
    <xf numFmtId="0" fontId="29" fillId="15" borderId="168" xfId="4" applyFont="1" applyFill="1" applyBorder="1" applyAlignment="1" applyProtection="1">
      <alignment horizontal="center" vertical="center" wrapText="1"/>
    </xf>
    <xf numFmtId="0" fontId="67" fillId="0" borderId="14" xfId="0" applyFont="1" applyBorder="1" applyAlignment="1">
      <alignment horizontal="center" vertical="center"/>
    </xf>
    <xf numFmtId="0" fontId="64" fillId="0" borderId="11" xfId="0" applyFont="1" applyBorder="1" applyAlignment="1">
      <alignment horizontal="center" vertical="center"/>
    </xf>
    <xf numFmtId="0" fontId="66" fillId="0" borderId="14" xfId="0" applyFont="1" applyBorder="1" applyAlignment="1">
      <alignment horizontal="center" vertical="center"/>
    </xf>
    <xf numFmtId="0" fontId="63" fillId="0" borderId="11" xfId="0" applyFont="1" applyBorder="1" applyAlignment="1">
      <alignment horizontal="center" vertical="center"/>
    </xf>
    <xf numFmtId="0" fontId="63" fillId="0" borderId="14" xfId="0" applyFont="1" applyBorder="1" applyAlignment="1">
      <alignment horizontal="center" vertical="center" wrapText="1"/>
    </xf>
    <xf numFmtId="0" fontId="67" fillId="0" borderId="104" xfId="0" applyFont="1" applyBorder="1" applyAlignment="1">
      <alignment horizontal="center" vertical="center"/>
    </xf>
    <xf numFmtId="0" fontId="63" fillId="0" borderId="104" xfId="0" applyFont="1" applyBorder="1" applyAlignment="1">
      <alignment horizontal="center" vertical="center"/>
    </xf>
    <xf numFmtId="0" fontId="63" fillId="0" borderId="104" xfId="0" applyFont="1" applyBorder="1" applyAlignment="1">
      <alignment horizontal="center" vertical="center" wrapText="1"/>
    </xf>
    <xf numFmtId="0" fontId="0" fillId="0" borderId="30" xfId="0" applyBorder="1" applyAlignment="1" applyProtection="1">
      <alignment horizontal="center" vertical="center"/>
      <protection locked="0"/>
    </xf>
    <xf numFmtId="0" fontId="13" fillId="10" borderId="22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69" fillId="8" borderId="13" xfId="4" applyFont="1" applyFill="1" applyBorder="1" applyAlignment="1" applyProtection="1">
      <alignment vertical="center" wrapText="1"/>
    </xf>
    <xf numFmtId="0" fontId="22" fillId="8" borderId="37" xfId="4" applyFont="1" applyFill="1" applyBorder="1" applyAlignment="1" applyProtection="1">
      <alignment horizontal="center" vertical="center" shrinkToFit="1"/>
    </xf>
    <xf numFmtId="0" fontId="22" fillId="8" borderId="13" xfId="4" applyFont="1" applyFill="1" applyBorder="1" applyAlignment="1" applyProtection="1">
      <alignment horizontal="center" vertical="center" wrapText="1"/>
    </xf>
    <xf numFmtId="0" fontId="60" fillId="15" borderId="40" xfId="4" applyFont="1" applyFill="1" applyBorder="1" applyAlignment="1" applyProtection="1">
      <alignment horizontal="center" vertical="center" wrapText="1"/>
    </xf>
    <xf numFmtId="0" fontId="13" fillId="0" borderId="38" xfId="4" applyFont="1" applyFill="1" applyBorder="1" applyAlignment="1" applyProtection="1">
      <alignment horizontal="center" vertical="center" wrapText="1"/>
    </xf>
    <xf numFmtId="0" fontId="59" fillId="22" borderId="39" xfId="4" applyFont="1" applyFill="1" applyBorder="1" applyAlignment="1" applyProtection="1">
      <alignment horizontal="center" vertical="center" wrapText="1"/>
    </xf>
    <xf numFmtId="0" fontId="22" fillId="22" borderId="16" xfId="4" applyFont="1" applyFill="1" applyBorder="1" applyAlignment="1" applyProtection="1">
      <alignment horizontal="center" vertical="center" shrinkToFit="1"/>
    </xf>
    <xf numFmtId="0" fontId="22" fillId="22" borderId="39" xfId="4" applyFont="1" applyFill="1" applyBorder="1" applyAlignment="1" applyProtection="1">
      <alignment horizontal="center" vertical="center" wrapText="1"/>
    </xf>
    <xf numFmtId="0" fontId="60" fillId="15" borderId="180" xfId="4" applyFont="1" applyFill="1" applyBorder="1" applyAlignment="1" applyProtection="1">
      <alignment horizontal="center" vertical="center" wrapText="1"/>
    </xf>
    <xf numFmtId="0" fontId="69" fillId="8" borderId="37" xfId="4" applyFont="1" applyFill="1" applyBorder="1" applyAlignment="1" applyProtection="1">
      <alignment vertical="center" wrapText="1"/>
    </xf>
    <xf numFmtId="0" fontId="22" fillId="8" borderId="37" xfId="4" applyFont="1" applyFill="1" applyBorder="1" applyAlignment="1" applyProtection="1">
      <alignment horizontal="center" vertical="center" wrapText="1"/>
    </xf>
    <xf numFmtId="0" fontId="59" fillId="22" borderId="16" xfId="4" applyFont="1" applyFill="1" applyBorder="1" applyAlignment="1" applyProtection="1">
      <alignment horizontal="center" vertical="center" wrapText="1"/>
    </xf>
    <xf numFmtId="0" fontId="22" fillId="22" borderId="94" xfId="4" applyFont="1" applyFill="1" applyBorder="1" applyAlignment="1" applyProtection="1">
      <alignment horizontal="center" vertical="center" shrinkToFit="1"/>
    </xf>
    <xf numFmtId="0" fontId="22" fillId="22" borderId="93" xfId="4" applyFont="1" applyFill="1" applyBorder="1" applyAlignment="1" applyProtection="1">
      <alignment horizontal="center" vertical="center" wrapText="1"/>
    </xf>
    <xf numFmtId="0" fontId="60" fillId="15" borderId="43" xfId="4" applyFont="1" applyFill="1" applyBorder="1" applyAlignment="1" applyProtection="1">
      <alignment horizontal="center" vertical="center" wrapText="1"/>
    </xf>
    <xf numFmtId="0" fontId="22" fillId="15" borderId="39" xfId="4" applyFont="1" applyFill="1" applyBorder="1" applyAlignment="1" applyProtection="1">
      <alignment horizontal="center" vertical="center" shrinkToFit="1"/>
    </xf>
    <xf numFmtId="0" fontId="13" fillId="15" borderId="39" xfId="4" applyFont="1" applyFill="1" applyBorder="1" applyAlignment="1" applyProtection="1">
      <alignment horizontal="center" vertical="center" wrapText="1"/>
    </xf>
    <xf numFmtId="0" fontId="60" fillId="15" borderId="45" xfId="4" applyFont="1" applyFill="1" applyBorder="1" applyAlignment="1" applyProtection="1">
      <alignment horizontal="center" vertical="center" wrapText="1"/>
    </xf>
    <xf numFmtId="0" fontId="60" fillId="15" borderId="73" xfId="4" applyFont="1" applyFill="1" applyBorder="1" applyAlignment="1" applyProtection="1">
      <alignment horizontal="center" vertical="center" wrapText="1"/>
    </xf>
    <xf numFmtId="0" fontId="22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29" fillId="0" borderId="65" xfId="4" applyFont="1" applyFill="1" applyBorder="1" applyAlignment="1" applyProtection="1">
      <alignment horizontal="center" vertical="center" wrapText="1"/>
    </xf>
    <xf numFmtId="0" fontId="29" fillId="0" borderId="33" xfId="4" applyFont="1" applyFill="1" applyBorder="1" applyAlignment="1" applyProtection="1">
      <alignment horizontal="center" vertical="center" wrapText="1"/>
    </xf>
    <xf numFmtId="0" fontId="29" fillId="0" borderId="41" xfId="4" applyFont="1" applyFill="1" applyBorder="1" applyAlignment="1" applyProtection="1">
      <alignment horizontal="center" vertical="center" wrapText="1"/>
    </xf>
    <xf numFmtId="0" fontId="29" fillId="0" borderId="54" xfId="4" applyFont="1" applyFill="1" applyBorder="1" applyAlignment="1" applyProtection="1">
      <alignment horizontal="center" vertical="center" wrapText="1"/>
    </xf>
    <xf numFmtId="0" fontId="13" fillId="0" borderId="32" xfId="6" applyFont="1" applyFill="1" applyBorder="1" applyAlignment="1" applyProtection="1">
      <alignment horizontal="center" vertical="center" wrapText="1"/>
    </xf>
    <xf numFmtId="0" fontId="13" fillId="0" borderId="33" xfId="4" applyFont="1" applyFill="1" applyBorder="1" applyAlignment="1" applyProtection="1">
      <alignment horizontal="center" vertical="center" wrapText="1"/>
    </xf>
    <xf numFmtId="0" fontId="13" fillId="0" borderId="37" xfId="4" applyFont="1" applyFill="1" applyBorder="1" applyAlignment="1" applyProtection="1">
      <alignment horizontal="center" vertical="center" wrapText="1"/>
    </xf>
    <xf numFmtId="0" fontId="13" fillId="0" borderId="39" xfId="4" applyFont="1" applyFill="1" applyBorder="1" applyAlignment="1" applyProtection="1">
      <alignment horizontal="center" vertical="center" wrapText="1"/>
    </xf>
    <xf numFmtId="0" fontId="13" fillId="6" borderId="22" xfId="4" applyFont="1" applyFill="1" applyBorder="1" applyAlignment="1" applyProtection="1">
      <alignment horizontal="center" vertical="center" wrapText="1"/>
    </xf>
    <xf numFmtId="0" fontId="13" fillId="6" borderId="181" xfId="4" applyFont="1" applyFill="1" applyBorder="1" applyAlignment="1" applyProtection="1">
      <alignment horizontal="center" vertical="center" wrapText="1"/>
    </xf>
    <xf numFmtId="0" fontId="13" fillId="6" borderId="27" xfId="4" applyFont="1" applyFill="1" applyBorder="1" applyAlignment="1" applyProtection="1">
      <alignment horizontal="center" vertical="center" wrapText="1"/>
    </xf>
    <xf numFmtId="0" fontId="13" fillId="0" borderId="16" xfId="6" applyFont="1" applyFill="1" applyBorder="1" applyAlignment="1" applyProtection="1">
      <alignment horizontal="center" vertical="center" wrapText="1"/>
    </xf>
    <xf numFmtId="0" fontId="13" fillId="0" borderId="69" xfId="4" applyFont="1" applyFill="1" applyBorder="1" applyAlignment="1" applyProtection="1">
      <alignment horizontal="center" vertical="center" wrapText="1"/>
    </xf>
    <xf numFmtId="0" fontId="0" fillId="0" borderId="0" xfId="0" applyBorder="1" applyProtection="1">
      <alignment vertical="center"/>
      <protection locked="0"/>
    </xf>
    <xf numFmtId="0" fontId="22" fillId="0" borderId="0" xfId="0" applyFont="1" applyFill="1" applyBorder="1" applyAlignment="1" applyProtection="1">
      <alignment horizontal="center" vertical="center" wrapText="1"/>
      <protection locked="0"/>
    </xf>
    <xf numFmtId="0" fontId="13" fillId="0" borderId="95" xfId="4" applyFont="1" applyFill="1" applyBorder="1" applyAlignment="1" applyProtection="1">
      <alignment horizontal="center" vertical="center" wrapText="1"/>
    </xf>
    <xf numFmtId="0" fontId="13" fillId="0" borderId="171" xfId="4" applyFont="1" applyFill="1" applyBorder="1" applyAlignment="1" applyProtection="1">
      <alignment horizontal="center" vertical="center" wrapText="1"/>
    </xf>
    <xf numFmtId="0" fontId="9" fillId="0" borderId="38" xfId="4" applyFont="1" applyFill="1" applyBorder="1" applyAlignment="1" applyProtection="1">
      <alignment horizontal="center" vertical="center" wrapText="1"/>
    </xf>
    <xf numFmtId="0" fontId="0" fillId="0" borderId="0" xfId="0" applyFill="1" applyAlignment="1" applyProtection="1">
      <alignment horizontal="center" vertical="center"/>
      <protection locked="0"/>
    </xf>
    <xf numFmtId="176" fontId="62" fillId="0" borderId="107" xfId="0" applyNumberFormat="1" applyFont="1" applyBorder="1">
      <alignment vertical="center"/>
    </xf>
    <xf numFmtId="176" fontId="62" fillId="0" borderId="114" xfId="0" applyNumberFormat="1" applyFont="1" applyBorder="1">
      <alignment vertical="center"/>
    </xf>
    <xf numFmtId="176" fontId="62" fillId="0" borderId="24" xfId="0" applyNumberFormat="1" applyFont="1" applyBorder="1">
      <alignment vertical="center"/>
    </xf>
    <xf numFmtId="176" fontId="62" fillId="0" borderId="102" xfId="0" applyNumberFormat="1" applyFont="1" applyBorder="1">
      <alignment vertical="center"/>
    </xf>
    <xf numFmtId="0" fontId="13" fillId="0" borderId="94" xfId="4" applyFont="1" applyFill="1" applyBorder="1" applyAlignment="1" applyProtection="1">
      <alignment horizontal="center" vertical="center" wrapText="1"/>
    </xf>
    <xf numFmtId="176" fontId="62" fillId="0" borderId="182" xfId="0" applyNumberFormat="1" applyFont="1" applyBorder="1">
      <alignment vertical="center"/>
    </xf>
    <xf numFmtId="0" fontId="12" fillId="0" borderId="104" xfId="0" applyFont="1" applyBorder="1" applyAlignment="1" applyProtection="1">
      <alignment horizontal="center" vertical="center" shrinkToFit="1"/>
      <protection locked="0"/>
    </xf>
    <xf numFmtId="0" fontId="33" fillId="0" borderId="183" xfId="0" applyFont="1" applyBorder="1" applyAlignment="1" applyProtection="1">
      <alignment horizontal="center" vertical="center"/>
      <protection locked="0"/>
    </xf>
    <xf numFmtId="0" fontId="22" fillId="15" borderId="43" xfId="4" applyFont="1" applyFill="1" applyBorder="1" applyAlignment="1" applyProtection="1">
      <alignment horizontal="center" vertical="center" wrapText="1"/>
    </xf>
    <xf numFmtId="0" fontId="22" fillId="15" borderId="33" xfId="4" applyFont="1" applyFill="1" applyBorder="1" applyAlignment="1" applyProtection="1">
      <alignment horizontal="center" vertical="center" wrapText="1"/>
    </xf>
    <xf numFmtId="0" fontId="22" fillId="15" borderId="44" xfId="4" applyFont="1" applyFill="1" applyBorder="1" applyAlignment="1" applyProtection="1">
      <alignment horizontal="center" vertical="center" wrapText="1"/>
    </xf>
    <xf numFmtId="0" fontId="13" fillId="15" borderId="75" xfId="5" applyFont="1" applyFill="1" applyBorder="1" applyAlignment="1" applyProtection="1">
      <alignment horizontal="center" vertical="center" wrapText="1"/>
    </xf>
    <xf numFmtId="0" fontId="70" fillId="0" borderId="39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3" fillId="15" borderId="180" xfId="4" applyFont="1" applyFill="1" applyBorder="1" applyAlignment="1" applyProtection="1">
      <alignment horizontal="center" vertical="center" wrapText="1"/>
    </xf>
    <xf numFmtId="0" fontId="13" fillId="15" borderId="88" xfId="4" applyFont="1" applyFill="1" applyBorder="1" applyAlignment="1" applyProtection="1">
      <alignment horizontal="center" vertical="center" wrapText="1"/>
    </xf>
    <xf numFmtId="0" fontId="13" fillId="15" borderId="180" xfId="5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32" fillId="0" borderId="0" xfId="0" applyFont="1">
      <alignment vertical="center"/>
    </xf>
    <xf numFmtId="0" fontId="28" fillId="11" borderId="91" xfId="7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0" fontId="20" fillId="9" borderId="90" xfId="7" applyFont="1" applyFill="1" applyBorder="1" applyAlignment="1">
      <alignment horizontal="center" vertical="center" shrinkToFit="1"/>
    </xf>
    <xf numFmtId="176" fontId="20" fillId="9" borderId="90" xfId="7" applyNumberFormat="1" applyFont="1" applyFill="1" applyBorder="1" applyAlignment="1">
      <alignment horizontal="center" vertical="center" shrinkToFit="1"/>
    </xf>
    <xf numFmtId="0" fontId="32" fillId="0" borderId="6" xfId="0" applyFont="1" applyBorder="1">
      <alignment vertical="center"/>
    </xf>
    <xf numFmtId="0" fontId="32" fillId="0" borderId="20" xfId="0" applyFont="1" applyBorder="1">
      <alignment vertical="center"/>
    </xf>
    <xf numFmtId="0" fontId="20" fillId="9" borderId="14" xfId="7" applyFont="1" applyFill="1" applyBorder="1" applyAlignment="1">
      <alignment horizontal="center" vertical="center" shrinkToFit="1"/>
    </xf>
    <xf numFmtId="0" fontId="20" fillId="9" borderId="11" xfId="7" applyFont="1" applyFill="1" applyBorder="1" applyAlignment="1">
      <alignment horizontal="center" vertical="center" shrinkToFit="1"/>
    </xf>
    <xf numFmtId="176" fontId="20" fillId="9" borderId="14" xfId="7" applyNumberFormat="1" applyFont="1" applyFill="1" applyBorder="1" applyAlignment="1">
      <alignment horizontal="center" vertical="center" shrinkToFit="1"/>
    </xf>
    <xf numFmtId="176" fontId="20" fillId="9" borderId="11" xfId="7" applyNumberFormat="1" applyFont="1" applyFill="1" applyBorder="1" applyAlignment="1">
      <alignment horizontal="center" vertical="center" shrinkToFit="1"/>
    </xf>
    <xf numFmtId="0" fontId="20" fillId="9" borderId="9" xfId="7" applyFont="1" applyFill="1" applyBorder="1" applyAlignment="1">
      <alignment horizontal="center" vertical="center" shrinkToFit="1"/>
    </xf>
    <xf numFmtId="176" fontId="20" fillId="9" borderId="9" xfId="7" applyNumberFormat="1" applyFont="1" applyFill="1" applyBorder="1" applyAlignment="1">
      <alignment horizontal="center" vertical="center" shrinkToFit="1"/>
    </xf>
    <xf numFmtId="0" fontId="18" fillId="16" borderId="91" xfId="7" applyFont="1" applyFill="1" applyBorder="1" applyAlignment="1">
      <alignment horizontal="center" vertical="center" shrinkToFit="1"/>
    </xf>
    <xf numFmtId="176" fontId="18" fillId="16" borderId="91" xfId="7" applyNumberFormat="1" applyFont="1" applyFill="1" applyBorder="1" applyAlignment="1">
      <alignment horizontal="center" vertical="center" shrinkToFit="1"/>
    </xf>
    <xf numFmtId="176" fontId="18" fillId="16" borderId="91" xfId="7" applyNumberFormat="1" applyFont="1" applyFill="1" applyBorder="1" applyAlignment="1">
      <alignment horizontal="right" vertical="center" shrinkToFit="1"/>
    </xf>
    <xf numFmtId="176" fontId="18" fillId="16" borderId="30" xfId="7" applyNumberFormat="1" applyFont="1" applyFill="1" applyBorder="1" applyAlignment="1">
      <alignment horizontal="right" vertical="center" shrinkToFit="1"/>
    </xf>
    <xf numFmtId="0" fontId="38" fillId="9" borderId="90" xfId="7" applyFont="1" applyFill="1" applyBorder="1" applyAlignment="1">
      <alignment horizontal="center" vertical="center" shrinkToFit="1"/>
    </xf>
    <xf numFmtId="176" fontId="38" fillId="9" borderId="90" xfId="7" applyNumberFormat="1" applyFont="1" applyFill="1" applyBorder="1" applyAlignment="1">
      <alignment horizontal="center" vertical="center" shrinkToFit="1"/>
    </xf>
    <xf numFmtId="0" fontId="12" fillId="0" borderId="0" xfId="0" applyFont="1" applyProtection="1">
      <alignment vertical="center"/>
      <protection locked="0"/>
    </xf>
    <xf numFmtId="0" fontId="38" fillId="9" borderId="11" xfId="7" applyFont="1" applyFill="1" applyBorder="1" applyAlignment="1">
      <alignment horizontal="center" vertical="center" shrinkToFit="1"/>
    </xf>
    <xf numFmtId="176" fontId="38" fillId="9" borderId="11" xfId="7" applyNumberFormat="1" applyFont="1" applyFill="1" applyBorder="1" applyAlignment="1">
      <alignment horizontal="center" vertical="center" shrinkToFit="1"/>
    </xf>
    <xf numFmtId="176" fontId="38" fillId="9" borderId="14" xfId="7" applyNumberFormat="1" applyFont="1" applyFill="1" applyBorder="1" applyAlignment="1">
      <alignment horizontal="center" vertical="center" shrinkToFit="1"/>
    </xf>
    <xf numFmtId="0" fontId="73" fillId="0" borderId="0" xfId="0" applyFont="1" applyProtection="1">
      <alignment vertical="center"/>
      <protection locked="0"/>
    </xf>
    <xf numFmtId="0" fontId="38" fillId="9" borderId="14" xfId="7" applyFont="1" applyFill="1" applyBorder="1" applyAlignment="1">
      <alignment horizontal="center" vertical="center" shrinkToFit="1"/>
    </xf>
    <xf numFmtId="0" fontId="37" fillId="16" borderId="91" xfId="7" applyFont="1" applyFill="1" applyBorder="1" applyAlignment="1">
      <alignment horizontal="center" vertical="center" shrinkToFit="1"/>
    </xf>
    <xf numFmtId="176" fontId="37" fillId="16" borderId="91" xfId="7" applyNumberFormat="1" applyFont="1" applyFill="1" applyBorder="1" applyAlignment="1">
      <alignment horizontal="center" vertical="center" shrinkToFit="1"/>
    </xf>
    <xf numFmtId="0" fontId="74" fillId="0" borderId="0" xfId="0" applyFont="1" applyProtection="1">
      <alignment vertical="center"/>
      <protection locked="0"/>
    </xf>
    <xf numFmtId="0" fontId="38" fillId="9" borderId="110" xfId="7" applyFont="1" applyFill="1" applyBorder="1" applyAlignment="1">
      <alignment horizontal="center" vertical="center" shrinkToFit="1"/>
    </xf>
    <xf numFmtId="0" fontId="37" fillId="16" borderId="31" xfId="7" applyFont="1" applyFill="1" applyBorder="1" applyAlignment="1">
      <alignment horizontal="center" vertical="center" shrinkToFit="1"/>
    </xf>
    <xf numFmtId="176" fontId="37" fillId="16" borderId="31" xfId="7" applyNumberFormat="1" applyFont="1" applyFill="1" applyBorder="1" applyAlignment="1">
      <alignment horizontal="center" vertical="center" shrinkToFit="1"/>
    </xf>
    <xf numFmtId="0" fontId="38" fillId="0" borderId="111" xfId="7" applyFont="1" applyBorder="1" applyAlignment="1">
      <alignment horizontal="center" vertical="center" shrinkToFit="1"/>
    </xf>
    <xf numFmtId="0" fontId="38" fillId="0" borderId="90" xfId="7" applyFont="1" applyBorder="1" applyAlignment="1">
      <alignment horizontal="center" vertical="center" shrinkToFit="1"/>
    </xf>
    <xf numFmtId="0" fontId="38" fillId="0" borderId="110" xfId="7" applyFont="1" applyBorder="1" applyAlignment="1">
      <alignment horizontal="center" vertical="center" shrinkToFit="1"/>
    </xf>
    <xf numFmtId="0" fontId="38" fillId="0" borderId="112" xfId="7" applyFont="1" applyBorder="1" applyAlignment="1">
      <alignment horizontal="center" vertical="center" shrinkToFit="1"/>
    </xf>
    <xf numFmtId="0" fontId="38" fillId="9" borderId="104" xfId="7" applyFont="1" applyFill="1" applyBorder="1" applyAlignment="1">
      <alignment horizontal="center" vertical="center" shrinkToFit="1"/>
    </xf>
    <xf numFmtId="0" fontId="38" fillId="9" borderId="113" xfId="7" applyFont="1" applyFill="1" applyBorder="1" applyAlignment="1">
      <alignment horizontal="center" vertical="center" shrinkToFit="1"/>
    </xf>
    <xf numFmtId="0" fontId="38" fillId="0" borderId="7" xfId="7" applyFont="1" applyBorder="1" applyAlignment="1">
      <alignment horizontal="center" vertical="center" shrinkToFit="1"/>
    </xf>
    <xf numFmtId="0" fontId="38" fillId="9" borderId="19" xfId="7" applyFont="1" applyFill="1" applyBorder="1" applyAlignment="1">
      <alignment horizontal="center" vertical="center" shrinkToFit="1"/>
    </xf>
    <xf numFmtId="0" fontId="38" fillId="9" borderId="106" xfId="7" applyFont="1" applyFill="1" applyBorder="1" applyAlignment="1">
      <alignment horizontal="center" vertical="center" shrinkToFit="1"/>
    </xf>
    <xf numFmtId="0" fontId="38" fillId="0" borderId="14" xfId="7" applyFont="1" applyBorder="1" applyAlignment="1">
      <alignment horizontal="center" vertical="center" shrinkToFit="1"/>
    </xf>
    <xf numFmtId="0" fontId="20" fillId="9" borderId="0" xfId="7" applyFont="1" applyFill="1" applyAlignment="1">
      <alignment horizontal="center" vertical="center" shrinkToFit="1"/>
    </xf>
    <xf numFmtId="0" fontId="38" fillId="9" borderId="112" xfId="7" applyFont="1" applyFill="1" applyBorder="1" applyAlignment="1">
      <alignment horizontal="center" vertical="center" shrinkToFit="1"/>
    </xf>
    <xf numFmtId="176" fontId="75" fillId="16" borderId="91" xfId="0" applyNumberFormat="1" applyFont="1" applyFill="1" applyBorder="1" applyAlignment="1">
      <alignment horizontal="right" vertical="center"/>
    </xf>
    <xf numFmtId="176" fontId="75" fillId="16" borderId="30" xfId="0" applyNumberFormat="1" applyFont="1" applyFill="1" applyBorder="1" applyAlignment="1">
      <alignment horizontal="right" vertical="center"/>
    </xf>
    <xf numFmtId="0" fontId="20" fillId="0" borderId="90" xfId="7" applyFont="1" applyFill="1" applyBorder="1" applyAlignment="1">
      <alignment horizontal="center" vertical="center" shrinkToFit="1"/>
    </xf>
    <xf numFmtId="176" fontId="20" fillId="0" borderId="90" xfId="7" applyNumberFormat="1" applyFont="1" applyFill="1" applyBorder="1" applyAlignment="1">
      <alignment horizontal="center" vertical="center" shrinkToFit="1"/>
    </xf>
    <xf numFmtId="176" fontId="20" fillId="0" borderId="14" xfId="7" applyNumberFormat="1" applyFont="1" applyFill="1" applyBorder="1" applyAlignment="1">
      <alignment horizontal="center" vertical="center" shrinkToFit="1"/>
    </xf>
    <xf numFmtId="176" fontId="62" fillId="0" borderId="31" xfId="0" applyNumberFormat="1" applyFont="1" applyFill="1" applyBorder="1">
      <alignment vertical="center"/>
    </xf>
    <xf numFmtId="176" fontId="62" fillId="0" borderId="10" xfId="0" applyNumberFormat="1" applyFont="1" applyFill="1" applyBorder="1">
      <alignment vertical="center"/>
    </xf>
    <xf numFmtId="0" fontId="20" fillId="0" borderId="110" xfId="7" applyFont="1" applyFill="1" applyBorder="1" applyAlignment="1">
      <alignment horizontal="center" vertical="center" shrinkToFit="1"/>
    </xf>
    <xf numFmtId="0" fontId="20" fillId="0" borderId="11" xfId="7" applyFont="1" applyFill="1" applyBorder="1" applyAlignment="1">
      <alignment horizontal="center" vertical="center" shrinkToFit="1"/>
    </xf>
    <xf numFmtId="176" fontId="20" fillId="0" borderId="11" xfId="7" applyNumberFormat="1" applyFont="1" applyFill="1" applyBorder="1" applyAlignment="1">
      <alignment horizontal="center" vertical="center" shrinkToFit="1"/>
    </xf>
    <xf numFmtId="0" fontId="20" fillId="0" borderId="14" xfId="7" applyFont="1" applyFill="1" applyBorder="1" applyAlignment="1">
      <alignment horizontal="center" vertical="center" shrinkToFit="1"/>
    </xf>
    <xf numFmtId="0" fontId="20" fillId="0" borderId="9" xfId="7" applyFont="1" applyFill="1" applyBorder="1" applyAlignment="1">
      <alignment horizontal="center" vertical="center" shrinkToFit="1"/>
    </xf>
    <xf numFmtId="0" fontId="63" fillId="0" borderId="90" xfId="0" applyFont="1" applyBorder="1" applyAlignment="1">
      <alignment horizontal="center" vertical="center"/>
    </xf>
    <xf numFmtId="0" fontId="62" fillId="0" borderId="90" xfId="0" applyFont="1" applyFill="1" applyBorder="1" applyAlignment="1">
      <alignment horizontal="center" vertical="center"/>
    </xf>
    <xf numFmtId="0" fontId="20" fillId="0" borderId="112" xfId="7" applyFont="1" applyFill="1" applyBorder="1" applyAlignment="1">
      <alignment horizontal="center" vertical="center" shrinkToFit="1"/>
    </xf>
    <xf numFmtId="176" fontId="76" fillId="0" borderId="11" xfId="0" applyNumberFormat="1" applyFont="1" applyFill="1" applyBorder="1" applyAlignment="1">
      <alignment horizontal="center" vertical="center" shrinkToFit="1"/>
    </xf>
    <xf numFmtId="0" fontId="62" fillId="0" borderId="14" xfId="0" applyFont="1" applyFill="1" applyBorder="1" applyAlignment="1">
      <alignment horizontal="center" vertical="center"/>
    </xf>
    <xf numFmtId="0" fontId="32" fillId="0" borderId="0" xfId="0" applyFont="1" applyBorder="1">
      <alignment vertical="center"/>
    </xf>
    <xf numFmtId="0" fontId="38" fillId="0" borderId="11" xfId="7" applyFont="1" applyBorder="1" applyAlignment="1">
      <alignment horizontal="center" vertical="center" shrinkToFit="1"/>
    </xf>
    <xf numFmtId="0" fontId="38" fillId="0" borderId="105" xfId="7" applyFont="1" applyBorder="1" applyAlignment="1">
      <alignment horizontal="center" vertical="center" shrinkToFit="1"/>
    </xf>
    <xf numFmtId="0" fontId="38" fillId="0" borderId="106" xfId="7" applyFont="1" applyBorder="1" applyAlignment="1">
      <alignment horizontal="center" vertical="center" shrinkToFit="1"/>
    </xf>
    <xf numFmtId="176" fontId="38" fillId="0" borderId="11" xfId="7" applyNumberFormat="1" applyFont="1" applyBorder="1" applyAlignment="1">
      <alignment horizontal="center" vertical="center" shrinkToFit="1"/>
    </xf>
    <xf numFmtId="0" fontId="38" fillId="0" borderId="31" xfId="7" applyFont="1" applyBorder="1" applyAlignment="1">
      <alignment horizontal="center" vertical="center" shrinkToFit="1"/>
    </xf>
    <xf numFmtId="176" fontId="38" fillId="0" borderId="14" xfId="7" applyNumberFormat="1" applyFont="1" applyBorder="1" applyAlignment="1">
      <alignment horizontal="center" vertical="center" shrinkToFit="1"/>
    </xf>
    <xf numFmtId="0" fontId="38" fillId="0" borderId="9" xfId="7" applyFont="1" applyBorder="1" applyAlignment="1">
      <alignment horizontal="center" vertical="center" shrinkToFit="1"/>
    </xf>
    <xf numFmtId="176" fontId="38" fillId="0" borderId="9" xfId="7" applyNumberFormat="1" applyFont="1" applyBorder="1" applyAlignment="1">
      <alignment horizontal="center" vertical="center" shrinkToFit="1"/>
    </xf>
    <xf numFmtId="176" fontId="38" fillId="0" borderId="31" xfId="7" applyNumberFormat="1" applyFont="1" applyBorder="1" applyAlignment="1">
      <alignment horizontal="center" vertical="center" shrinkToFit="1"/>
    </xf>
    <xf numFmtId="0" fontId="18" fillId="16" borderId="91" xfId="7" applyFont="1" applyFill="1" applyBorder="1" applyAlignment="1">
      <alignment horizontal="center" vertical="center" shrinkToFit="1"/>
    </xf>
    <xf numFmtId="0" fontId="14" fillId="4" borderId="13" xfId="3" applyFont="1" applyFill="1" applyBorder="1" applyAlignment="1" applyProtection="1">
      <alignment horizontal="center" vertical="center" wrapText="1"/>
      <protection locked="0"/>
    </xf>
    <xf numFmtId="0" fontId="14" fillId="4" borderId="16" xfId="3" applyFont="1" applyFill="1" applyBorder="1" applyAlignment="1" applyProtection="1">
      <alignment horizontal="center" vertical="center" wrapText="1"/>
      <protection locked="0"/>
    </xf>
    <xf numFmtId="0" fontId="60" fillId="0" borderId="78" xfId="4" applyFont="1" applyFill="1" applyBorder="1" applyAlignment="1" applyProtection="1">
      <alignment horizontal="center" vertical="center" wrapText="1"/>
      <protection locked="0"/>
    </xf>
    <xf numFmtId="0" fontId="60" fillId="0" borderId="50" xfId="4" applyFont="1" applyFill="1" applyBorder="1" applyAlignment="1" applyProtection="1">
      <alignment horizontal="center" vertical="center" wrapText="1"/>
      <protection locked="0"/>
    </xf>
    <xf numFmtId="0" fontId="60" fillId="0" borderId="70" xfId="4" applyFont="1" applyFill="1" applyBorder="1" applyAlignment="1" applyProtection="1">
      <alignment horizontal="center" vertical="center" wrapText="1"/>
      <protection locked="0"/>
    </xf>
    <xf numFmtId="0" fontId="60" fillId="0" borderId="59" xfId="4" applyFont="1" applyFill="1" applyBorder="1" applyAlignment="1" applyProtection="1">
      <alignment horizontal="center" vertical="center" wrapText="1"/>
      <protection locked="0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4" xfId="5" applyFont="1" applyFill="1" applyBorder="1" applyAlignment="1" applyProtection="1">
      <alignment horizontal="center" vertical="center" wrapText="1"/>
    </xf>
    <xf numFmtId="0" fontId="13" fillId="15" borderId="18" xfId="5" applyFont="1" applyFill="1" applyBorder="1" applyAlignment="1" applyProtection="1">
      <alignment horizontal="center" vertical="center" wrapText="1"/>
    </xf>
    <xf numFmtId="0" fontId="13" fillId="15" borderId="21" xfId="5" applyFont="1" applyFill="1" applyBorder="1" applyAlignment="1" applyProtection="1">
      <alignment horizontal="center" vertical="center" wrapText="1"/>
    </xf>
    <xf numFmtId="0" fontId="22" fillId="0" borderId="55" xfId="0" applyFont="1" applyBorder="1" applyAlignment="1" applyProtection="1">
      <alignment horizontal="center" vertical="center" shrinkToFit="1"/>
      <protection locked="0"/>
    </xf>
    <xf numFmtId="0" fontId="22" fillId="0" borderId="52" xfId="0" applyFont="1" applyBorder="1" applyAlignment="1" applyProtection="1">
      <alignment horizontal="center" vertical="center" shrinkToFit="1"/>
      <protection locked="0"/>
    </xf>
    <xf numFmtId="0" fontId="60" fillId="0" borderId="55" xfId="4" applyFont="1" applyFill="1" applyBorder="1" applyAlignment="1" applyProtection="1">
      <alignment horizontal="center" vertical="center" wrapText="1"/>
      <protection locked="0"/>
    </xf>
    <xf numFmtId="0" fontId="60" fillId="0" borderId="51" xfId="4" applyFont="1" applyFill="1" applyBorder="1" applyAlignment="1" applyProtection="1">
      <alignment horizontal="center" vertical="center" wrapText="1"/>
      <protection locked="0"/>
    </xf>
    <xf numFmtId="0" fontId="60" fillId="0" borderId="119" xfId="4" applyFont="1" applyFill="1" applyBorder="1" applyAlignment="1" applyProtection="1">
      <alignment horizontal="center" vertical="center" wrapText="1"/>
      <protection locked="0"/>
    </xf>
    <xf numFmtId="0" fontId="60" fillId="0" borderId="71" xfId="4" applyFont="1" applyFill="1" applyBorder="1" applyAlignment="1" applyProtection="1">
      <alignment horizontal="center" vertical="center" wrapText="1"/>
      <protection locked="0"/>
    </xf>
    <xf numFmtId="0" fontId="60" fillId="0" borderId="52" xfId="4" applyFont="1" applyFill="1" applyBorder="1" applyAlignment="1" applyProtection="1">
      <alignment horizontal="center" vertical="center" wrapText="1"/>
      <protection locked="0"/>
    </xf>
    <xf numFmtId="0" fontId="60" fillId="0" borderId="66" xfId="4" applyFont="1" applyFill="1" applyBorder="1" applyAlignment="1" applyProtection="1">
      <alignment horizontal="center" vertical="center" wrapText="1"/>
      <protection locked="0"/>
    </xf>
    <xf numFmtId="0" fontId="60" fillId="0" borderId="24" xfId="4" applyFont="1" applyFill="1" applyBorder="1" applyAlignment="1" applyProtection="1">
      <alignment horizontal="center" vertical="center" wrapText="1"/>
      <protection locked="0"/>
    </xf>
    <xf numFmtId="0" fontId="60" fillId="0" borderId="62" xfId="4" applyFont="1" applyFill="1" applyBorder="1" applyAlignment="1" applyProtection="1">
      <alignment horizontal="center" vertical="center" wrapText="1"/>
      <protection locked="0"/>
    </xf>
    <xf numFmtId="0" fontId="60" fillId="0" borderId="21" xfId="4" applyFont="1" applyFill="1" applyBorder="1" applyAlignment="1" applyProtection="1">
      <alignment horizontal="center" vertical="center" wrapText="1"/>
      <protection locked="0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20" xfId="5" applyFont="1" applyFill="1" applyBorder="1" applyAlignment="1" applyProtection="1">
      <alignment horizontal="center" vertical="center" wrapText="1"/>
    </xf>
    <xf numFmtId="0" fontId="59" fillId="22" borderId="55" xfId="0" applyFont="1" applyFill="1" applyBorder="1" applyAlignment="1" applyProtection="1">
      <alignment horizontal="center" vertical="center" shrinkToFit="1"/>
      <protection locked="0"/>
    </xf>
    <xf numFmtId="0" fontId="59" fillId="22" borderId="52" xfId="0" applyFont="1" applyFill="1" applyBorder="1" applyAlignment="1" applyProtection="1">
      <alignment horizontal="center" vertical="center" shrinkToFit="1"/>
      <protection locked="0"/>
    </xf>
    <xf numFmtId="0" fontId="69" fillId="8" borderId="6" xfId="0" applyFont="1" applyFill="1" applyBorder="1" applyAlignment="1" applyProtection="1">
      <alignment horizontal="center" vertical="center" shrinkToFit="1"/>
      <protection locked="0"/>
    </xf>
    <xf numFmtId="0" fontId="69" fillId="8" borderId="20" xfId="0" applyFont="1" applyFill="1" applyBorder="1" applyAlignment="1" applyProtection="1">
      <alignment horizontal="center" vertical="center" shrinkToFit="1"/>
      <protection locked="0"/>
    </xf>
    <xf numFmtId="0" fontId="60" fillId="0" borderId="65" xfId="4" applyFont="1" applyFill="1" applyBorder="1" applyAlignment="1" applyProtection="1">
      <alignment horizontal="center" vertical="center" wrapText="1"/>
    </xf>
    <xf numFmtId="0" fontId="60" fillId="0" borderId="88" xfId="4" applyFont="1" applyFill="1" applyBorder="1" applyAlignment="1" applyProtection="1">
      <alignment horizontal="center" vertical="center" wrapText="1"/>
    </xf>
    <xf numFmtId="0" fontId="60" fillId="15" borderId="74" xfId="4" applyFont="1" applyFill="1" applyBorder="1" applyAlignment="1" applyProtection="1">
      <alignment horizontal="center" vertical="center" wrapText="1"/>
    </xf>
    <xf numFmtId="0" fontId="60" fillId="15" borderId="61" xfId="4" applyFont="1" applyFill="1" applyBorder="1" applyAlignment="1" applyProtection="1">
      <alignment horizontal="center" vertical="center" wrapText="1"/>
    </xf>
    <xf numFmtId="0" fontId="60" fillId="0" borderId="4" xfId="4" applyFont="1" applyFill="1" applyBorder="1" applyAlignment="1" applyProtection="1">
      <alignment horizontal="center" vertical="center" wrapText="1"/>
      <protection locked="0"/>
    </xf>
    <xf numFmtId="0" fontId="60" fillId="0" borderId="67" xfId="4" applyFont="1" applyFill="1" applyBorder="1" applyAlignment="1" applyProtection="1">
      <alignment horizontal="center" vertical="center" wrapText="1"/>
      <protection locked="0"/>
    </xf>
    <xf numFmtId="0" fontId="60" fillId="0" borderId="18" xfId="4" applyFont="1" applyFill="1" applyBorder="1" applyAlignment="1" applyProtection="1">
      <alignment horizontal="center" vertical="center" wrapText="1"/>
      <protection locked="0"/>
    </xf>
    <xf numFmtId="0" fontId="60" fillId="0" borderId="60" xfId="4" applyFont="1" applyFill="1" applyBorder="1" applyAlignment="1" applyProtection="1">
      <alignment horizontal="center" vertical="center" wrapText="1"/>
      <protection locked="0"/>
    </xf>
    <xf numFmtId="0" fontId="60" fillId="0" borderId="122" xfId="4" applyFont="1" applyFill="1" applyBorder="1" applyAlignment="1" applyProtection="1">
      <alignment horizontal="center" vertical="center" wrapText="1"/>
      <protection locked="0"/>
    </xf>
    <xf numFmtId="0" fontId="60" fillId="0" borderId="87" xfId="4" applyFont="1" applyFill="1" applyBorder="1" applyAlignment="1" applyProtection="1">
      <alignment horizontal="center" vertical="center" wrapText="1"/>
      <protection locked="0"/>
    </xf>
    <xf numFmtId="0" fontId="60" fillId="0" borderId="123" xfId="4" applyFont="1" applyFill="1" applyBorder="1" applyAlignment="1" applyProtection="1">
      <alignment horizontal="center" vertical="center" wrapText="1"/>
      <protection locked="0"/>
    </xf>
    <xf numFmtId="0" fontId="60" fillId="0" borderId="80" xfId="4" applyFont="1" applyFill="1" applyBorder="1" applyAlignment="1" applyProtection="1">
      <alignment horizontal="center" vertical="center" wrapText="1"/>
      <protection locked="0"/>
    </xf>
    <xf numFmtId="0" fontId="22" fillId="15" borderId="13" xfId="4" applyFont="1" applyFill="1" applyBorder="1" applyAlignment="1" applyProtection="1">
      <alignment horizontal="center" vertical="center" wrapText="1"/>
    </xf>
    <xf numFmtId="0" fontId="22" fillId="15" borderId="16" xfId="4" applyFont="1" applyFill="1" applyBorder="1" applyAlignment="1" applyProtection="1">
      <alignment horizontal="center" vertical="center" wrapText="1"/>
    </xf>
    <xf numFmtId="0" fontId="22" fillId="15" borderId="79" xfId="4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22" fillId="0" borderId="48" xfId="0" applyFont="1" applyBorder="1" applyAlignment="1" applyProtection="1">
      <alignment horizontal="center" vertical="center" shrinkToFit="1"/>
      <protection locked="0"/>
    </xf>
    <xf numFmtId="0" fontId="22" fillId="0" borderId="59" xfId="0" applyFont="1" applyBorder="1" applyAlignment="1" applyProtection="1">
      <alignment horizontal="center" vertical="center" shrinkToFit="1"/>
      <protection locked="0"/>
    </xf>
    <xf numFmtId="0" fontId="60" fillId="0" borderId="41" xfId="4" applyFont="1" applyFill="1" applyBorder="1" applyAlignment="1" applyProtection="1">
      <alignment horizontal="center" vertical="center" wrapText="1"/>
    </xf>
    <xf numFmtId="0" fontId="60" fillId="0" borderId="46" xfId="4" applyFont="1" applyFill="1" applyBorder="1" applyAlignment="1" applyProtection="1">
      <alignment horizontal="center" vertical="center" wrapText="1"/>
    </xf>
    <xf numFmtId="0" fontId="60" fillId="0" borderId="48" xfId="4" applyFont="1" applyFill="1" applyBorder="1" applyAlignment="1" applyProtection="1">
      <alignment horizontal="center" vertical="center" wrapText="1"/>
      <protection locked="0"/>
    </xf>
    <xf numFmtId="0" fontId="60" fillId="0" borderId="54" xfId="4" applyFont="1" applyFill="1" applyBorder="1" applyAlignment="1" applyProtection="1">
      <alignment horizontal="center" vertical="center" wrapText="1"/>
    </xf>
    <xf numFmtId="0" fontId="60" fillId="0" borderId="116" xfId="4" applyFont="1" applyFill="1" applyBorder="1" applyAlignment="1" applyProtection="1">
      <alignment horizontal="center" vertical="center" wrapText="1"/>
      <protection locked="0"/>
    </xf>
    <xf numFmtId="0" fontId="60" fillId="0" borderId="115" xfId="4" applyFont="1" applyFill="1" applyBorder="1" applyAlignment="1" applyProtection="1">
      <alignment horizontal="center" vertical="center" wrapText="1"/>
      <protection locked="0"/>
    </xf>
    <xf numFmtId="0" fontId="60" fillId="0" borderId="121" xfId="4" applyFont="1" applyFill="1" applyBorder="1" applyAlignment="1" applyProtection="1">
      <alignment horizontal="center" vertical="center" wrapText="1"/>
      <protection locked="0"/>
    </xf>
    <xf numFmtId="0" fontId="60" fillId="0" borderId="120" xfId="4" applyFont="1" applyFill="1" applyBorder="1" applyAlignment="1" applyProtection="1">
      <alignment horizontal="center" vertical="center" wrapText="1"/>
      <protection locked="0"/>
    </xf>
    <xf numFmtId="0" fontId="0" fillId="0" borderId="91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28" xfId="6" applyFont="1" applyFill="1" applyBorder="1" applyAlignment="1" applyProtection="1">
      <alignment horizontal="center" vertical="center" wrapText="1"/>
    </xf>
    <xf numFmtId="0" fontId="13" fillId="10" borderId="103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55" xfId="6" applyFont="1" applyFill="1" applyBorder="1" applyAlignment="1" applyProtection="1">
      <alignment horizontal="center" vertical="center" wrapText="1"/>
    </xf>
    <xf numFmtId="0" fontId="13" fillId="15" borderId="71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5" borderId="55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119" xfId="4" applyFont="1" applyFill="1" applyBorder="1" applyAlignment="1" applyProtection="1">
      <alignment horizontal="center" vertical="center" wrapText="1"/>
    </xf>
    <xf numFmtId="0" fontId="13" fillId="15" borderId="120" xfId="4" applyFont="1" applyFill="1" applyBorder="1" applyAlignment="1" applyProtection="1">
      <alignment horizontal="center" vertical="center" wrapText="1"/>
    </xf>
    <xf numFmtId="0" fontId="13" fillId="15" borderId="121" xfId="4" applyFont="1" applyFill="1" applyBorder="1" applyAlignment="1" applyProtection="1">
      <alignment horizontal="center" vertical="center" wrapText="1"/>
    </xf>
    <xf numFmtId="0" fontId="13" fillId="15" borderId="52" xfId="4" applyFont="1" applyFill="1" applyBorder="1" applyAlignment="1" applyProtection="1">
      <alignment horizontal="center" vertical="center" wrapText="1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53" xfId="4" applyFont="1" applyFill="1" applyBorder="1" applyAlignment="1" applyProtection="1">
      <alignment horizontal="center" vertical="center" wrapText="1"/>
      <protection locked="0"/>
    </xf>
    <xf numFmtId="0" fontId="23" fillId="13" borderId="23" xfId="0" applyFont="1" applyFill="1" applyBorder="1" applyAlignment="1" applyProtection="1">
      <alignment horizontal="center" vertical="center"/>
      <protection locked="0"/>
    </xf>
    <xf numFmtId="0" fontId="23" fillId="13" borderId="28" xfId="0" applyFont="1" applyFill="1" applyBorder="1" applyAlignment="1" applyProtection="1">
      <alignment horizontal="center" vertical="center"/>
      <protection locked="0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4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64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6" borderId="4" xfId="4" applyFont="1" applyFill="1" applyBorder="1" applyAlignment="1" applyProtection="1">
      <alignment horizontal="center" vertical="center" wrapText="1"/>
    </xf>
    <xf numFmtId="0" fontId="13" fillId="6" borderId="18" xfId="4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7" xfId="6" applyFont="1" applyFill="1" applyBorder="1" applyAlignment="1" applyProtection="1">
      <alignment horizontal="center" vertical="center" wrapText="1"/>
    </xf>
    <xf numFmtId="0" fontId="13" fillId="15" borderId="24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1" xfId="6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78" xfId="6" applyFont="1" applyFill="1" applyBorder="1" applyAlignment="1" applyProtection="1">
      <alignment horizontal="center" vertical="center" wrapText="1"/>
    </xf>
    <xf numFmtId="0" fontId="13" fillId="15" borderId="59" xfId="6" applyFont="1" applyFill="1" applyBorder="1" applyAlignment="1" applyProtection="1">
      <alignment horizontal="center" vertical="center" wrapText="1"/>
    </xf>
    <xf numFmtId="0" fontId="13" fillId="15" borderId="97" xfId="6" applyFont="1" applyFill="1" applyBorder="1" applyAlignment="1" applyProtection="1">
      <alignment horizontal="center" vertical="center" wrapText="1"/>
    </xf>
    <xf numFmtId="0" fontId="13" fillId="15" borderId="98" xfId="6" applyFont="1" applyFill="1" applyBorder="1" applyAlignment="1" applyProtection="1">
      <alignment horizontal="center" vertical="center" wrapText="1"/>
    </xf>
    <xf numFmtId="0" fontId="13" fillId="6" borderId="6" xfId="4" applyFont="1" applyFill="1" applyBorder="1" applyAlignment="1" applyProtection="1">
      <alignment horizontal="center" vertical="center" wrapText="1"/>
    </xf>
    <xf numFmtId="0" fontId="13" fillId="6" borderId="97" xfId="4" applyFont="1" applyFill="1" applyBorder="1" applyAlignment="1" applyProtection="1">
      <alignment horizontal="center" vertical="center" wrapText="1"/>
    </xf>
    <xf numFmtId="0" fontId="13" fillId="15" borderId="49" xfId="6" applyFont="1" applyFill="1" applyBorder="1" applyAlignment="1" applyProtection="1">
      <alignment horizontal="center" vertical="center" wrapText="1"/>
    </xf>
    <xf numFmtId="0" fontId="13" fillId="15" borderId="69" xfId="6" applyFont="1" applyFill="1" applyBorder="1" applyAlignment="1" applyProtection="1">
      <alignment horizontal="center" vertical="center" wrapText="1"/>
    </xf>
    <xf numFmtId="0" fontId="13" fillId="15" borderId="53" xfId="6" applyFont="1" applyFill="1" applyBorder="1" applyAlignment="1" applyProtection="1">
      <alignment horizontal="center" vertical="center" wrapText="1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70" xfId="4" applyFont="1" applyFill="1" applyBorder="1" applyAlignment="1" applyProtection="1">
      <alignment horizontal="center" vertical="center" wrapText="1"/>
      <protection locked="0"/>
    </xf>
    <xf numFmtId="0" fontId="13" fillId="0" borderId="59" xfId="4" applyFont="1" applyFill="1" applyBorder="1" applyAlignment="1" applyProtection="1">
      <alignment horizontal="center" vertical="center" wrapText="1"/>
      <protection locked="0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10" borderId="67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75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54" xfId="6" applyFont="1" applyFill="1" applyBorder="1" applyAlignment="1" applyProtection="1">
      <alignment horizontal="center" vertical="center" wrapText="1"/>
    </xf>
    <xf numFmtId="0" fontId="13" fillId="10" borderId="74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22" fillId="15" borderId="4" xfId="4" applyFont="1" applyFill="1" applyBorder="1" applyAlignment="1" applyProtection="1">
      <alignment horizontal="center" vertical="center" wrapText="1"/>
    </xf>
    <xf numFmtId="0" fontId="22" fillId="15" borderId="24" xfId="4" applyFont="1" applyFill="1" applyBorder="1" applyAlignment="1" applyProtection="1">
      <alignment horizontal="center" vertical="center" wrapText="1"/>
    </xf>
    <xf numFmtId="0" fontId="22" fillId="15" borderId="6" xfId="4" applyFont="1" applyFill="1" applyBorder="1" applyAlignment="1" applyProtection="1">
      <alignment horizontal="center" vertical="center" wrapText="1"/>
    </xf>
    <xf numFmtId="0" fontId="22" fillId="15" borderId="20" xfId="4" applyFont="1" applyFill="1" applyBorder="1" applyAlignment="1" applyProtection="1">
      <alignment horizontal="center" vertical="center" wrapText="1"/>
    </xf>
    <xf numFmtId="0" fontId="13" fillId="0" borderId="23" xfId="0" applyFont="1" applyBorder="1" applyAlignment="1" applyProtection="1">
      <alignment horizontal="center" vertical="center" wrapText="1"/>
      <protection locked="0"/>
    </xf>
    <xf numFmtId="0" fontId="29" fillId="0" borderId="28" xfId="0" applyFont="1" applyBorder="1" applyAlignment="1" applyProtection="1">
      <alignment horizontal="center" vertical="center" wrapText="1"/>
      <protection locked="0"/>
    </xf>
    <xf numFmtId="0" fontId="71" fillId="0" borderId="23" xfId="4" applyFont="1" applyFill="1" applyBorder="1" applyAlignment="1" applyProtection="1">
      <alignment horizontal="center" vertical="center" wrapText="1"/>
      <protection locked="0"/>
    </xf>
    <xf numFmtId="0" fontId="71" fillId="0" borderId="64" xfId="4" applyFont="1" applyFill="1" applyBorder="1" applyAlignment="1" applyProtection="1">
      <alignment horizontal="center" vertical="center" wrapText="1"/>
      <protection locked="0"/>
    </xf>
    <xf numFmtId="0" fontId="13" fillId="0" borderId="49" xfId="2" applyFont="1" applyBorder="1" applyAlignment="1" applyProtection="1">
      <alignment horizontal="center" vertical="center" wrapText="1"/>
      <protection locked="0"/>
    </xf>
    <xf numFmtId="0" fontId="13" fillId="0" borderId="53" xfId="2" applyFont="1" applyBorder="1" applyAlignment="1" applyProtection="1">
      <alignment horizontal="center" vertical="center" wrapText="1"/>
      <protection locked="0"/>
    </xf>
    <xf numFmtId="0" fontId="60" fillId="0" borderId="49" xfId="4" applyFont="1" applyFill="1" applyBorder="1" applyAlignment="1" applyProtection="1">
      <alignment horizontal="center" vertical="center" wrapText="1"/>
      <protection locked="0"/>
    </xf>
    <xf numFmtId="0" fontId="60" fillId="0" borderId="35" xfId="4" applyFont="1" applyFill="1" applyBorder="1" applyAlignment="1" applyProtection="1">
      <alignment horizontal="center" vertical="center" wrapText="1"/>
      <protection locked="0"/>
    </xf>
    <xf numFmtId="0" fontId="13" fillId="0" borderId="49" xfId="0" applyFont="1" applyFill="1" applyBorder="1" applyAlignment="1" applyProtection="1">
      <alignment horizontal="center" vertical="center" shrinkToFit="1"/>
      <protection locked="0"/>
    </xf>
    <xf numFmtId="0" fontId="13" fillId="0" borderId="53" xfId="0" applyFont="1" applyFill="1" applyBorder="1" applyAlignment="1" applyProtection="1">
      <alignment horizontal="center" vertical="center" shrinkToFit="1"/>
      <protection locked="0"/>
    </xf>
    <xf numFmtId="176" fontId="13" fillId="15" borderId="23" xfId="0" applyNumberFormat="1" applyFont="1" applyFill="1" applyBorder="1" applyAlignment="1">
      <alignment horizontal="center" vertical="center" wrapText="1"/>
    </xf>
    <xf numFmtId="176" fontId="13" fillId="15" borderId="28" xfId="0" applyNumberFormat="1" applyFont="1" applyFill="1" applyBorder="1" applyAlignment="1">
      <alignment horizontal="center" vertical="center" wrapText="1"/>
    </xf>
    <xf numFmtId="0" fontId="13" fillId="15" borderId="49" xfId="5" applyFont="1" applyFill="1" applyBorder="1" applyAlignment="1" applyProtection="1">
      <alignment horizontal="center" vertical="center" wrapText="1"/>
    </xf>
    <xf numFmtId="0" fontId="13" fillId="15" borderId="53" xfId="5" applyFont="1" applyFill="1" applyBorder="1" applyAlignment="1" applyProtection="1">
      <alignment horizontal="center" vertical="center" wrapText="1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28" xfId="5" applyFont="1" applyFill="1" applyBorder="1" applyAlignment="1" applyProtection="1">
      <alignment horizontal="center" vertical="center" wrapText="1"/>
    </xf>
    <xf numFmtId="0" fontId="60" fillId="0" borderId="34" xfId="4" applyFont="1" applyFill="1" applyBorder="1" applyAlignment="1" applyProtection="1">
      <alignment horizontal="center" vertical="center" wrapText="1"/>
      <protection locked="0"/>
    </xf>
    <xf numFmtId="0" fontId="60" fillId="0" borderId="53" xfId="4" applyFont="1" applyFill="1" applyBorder="1" applyAlignment="1" applyProtection="1">
      <alignment horizontal="center" vertical="center" wrapText="1"/>
      <protection locked="0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68" fillId="15" borderId="13" xfId="4" applyFont="1" applyFill="1" applyBorder="1" applyAlignment="1" applyProtection="1">
      <alignment horizontal="center" vertical="center" wrapText="1"/>
    </xf>
    <xf numFmtId="0" fontId="68" fillId="15" borderId="16" xfId="4" applyFont="1" applyFill="1" applyBorder="1" applyAlignment="1" applyProtection="1">
      <alignment horizontal="center" vertical="center" wrapText="1"/>
    </xf>
    <xf numFmtId="0" fontId="68" fillId="15" borderId="79" xfId="4" applyFont="1" applyFill="1" applyBorder="1" applyAlignment="1" applyProtection="1">
      <alignment horizontal="center" vertical="center" wrapText="1"/>
    </xf>
    <xf numFmtId="0" fontId="69" fillId="8" borderId="4" xfId="0" applyFont="1" applyFill="1" applyBorder="1" applyAlignment="1" applyProtection="1">
      <alignment horizontal="center" vertical="center" shrinkToFit="1"/>
      <protection locked="0"/>
    </xf>
    <xf numFmtId="0" fontId="69" fillId="8" borderId="24" xfId="0" applyFont="1" applyFill="1" applyBorder="1" applyAlignment="1" applyProtection="1">
      <alignment horizontal="center" vertical="center" shrinkToFit="1"/>
      <protection locked="0"/>
    </xf>
    <xf numFmtId="0" fontId="40" fillId="15" borderId="13" xfId="0" applyFont="1" applyFill="1" applyBorder="1" applyAlignment="1">
      <alignment horizontal="center" vertical="center" wrapText="1"/>
    </xf>
    <xf numFmtId="0" fontId="40" fillId="15" borderId="16" xfId="0" applyFont="1" applyFill="1" applyBorder="1" applyAlignment="1">
      <alignment horizontal="center" vertical="center" wrapText="1"/>
    </xf>
    <xf numFmtId="0" fontId="22" fillId="0" borderId="48" xfId="4" applyFont="1" applyFill="1" applyBorder="1" applyAlignment="1" applyProtection="1">
      <alignment horizontal="center" vertical="center" wrapText="1"/>
      <protection locked="0"/>
    </xf>
    <xf numFmtId="0" fontId="22" fillId="0" borderId="59" xfId="4" applyFont="1" applyFill="1" applyBorder="1" applyAlignment="1" applyProtection="1">
      <alignment horizontal="center" vertical="center" wrapText="1"/>
      <protection locked="0"/>
    </xf>
    <xf numFmtId="0" fontId="13" fillId="6" borderId="22" xfId="4" applyFont="1" applyFill="1" applyBorder="1" applyAlignment="1" applyProtection="1">
      <alignment horizontal="center" vertical="center" wrapText="1"/>
    </xf>
    <xf numFmtId="0" fontId="22" fillId="0" borderId="177" xfId="4" applyFont="1" applyFill="1" applyBorder="1" applyAlignment="1" applyProtection="1">
      <alignment horizontal="center" vertical="center" wrapText="1"/>
      <protection locked="0"/>
    </xf>
    <xf numFmtId="0" fontId="22" fillId="0" borderId="72" xfId="4" applyFont="1" applyFill="1" applyBorder="1" applyAlignment="1" applyProtection="1">
      <alignment horizontal="center" vertical="center" wrapText="1"/>
      <protection locked="0"/>
    </xf>
    <xf numFmtId="0" fontId="60" fillId="0" borderId="117" xfId="4" applyFont="1" applyFill="1" applyBorder="1" applyAlignment="1" applyProtection="1">
      <alignment horizontal="center" vertical="center" wrapText="1"/>
      <protection locked="0"/>
    </xf>
    <xf numFmtId="0" fontId="60" fillId="0" borderId="118" xfId="4" applyFont="1" applyFill="1" applyBorder="1" applyAlignment="1" applyProtection="1">
      <alignment horizontal="center" vertical="center" wrapText="1"/>
      <protection locked="0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15" borderId="79" xfId="0" applyFont="1" applyFill="1" applyBorder="1" applyAlignment="1">
      <alignment horizontal="center" vertical="center" wrapText="1"/>
    </xf>
    <xf numFmtId="0" fontId="13" fillId="6" borderId="23" xfId="4" applyFont="1" applyFill="1" applyBorder="1" applyAlignment="1" applyProtection="1">
      <alignment horizontal="center" vertical="center" wrapText="1"/>
    </xf>
    <xf numFmtId="0" fontId="22" fillId="0" borderId="49" xfId="4" applyFont="1" applyFill="1" applyBorder="1" applyAlignment="1" applyProtection="1">
      <alignment horizontal="center" vertical="center" wrapText="1"/>
      <protection locked="0"/>
    </xf>
    <xf numFmtId="0" fontId="22" fillId="0" borderId="53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103" xfId="0" applyFont="1" applyBorder="1" applyAlignment="1" applyProtection="1">
      <alignment horizontal="center" vertical="center"/>
      <protection locked="0"/>
    </xf>
    <xf numFmtId="0" fontId="22" fillId="0" borderId="28" xfId="0" applyFont="1" applyBorder="1" applyAlignment="1" applyProtection="1">
      <alignment horizontal="center" vertical="center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44" xfId="3" applyFont="1" applyFill="1" applyBorder="1" applyAlignment="1" applyProtection="1">
      <alignment horizontal="center" vertical="center" wrapText="1"/>
      <protection locked="0"/>
    </xf>
    <xf numFmtId="0" fontId="14" fillId="4" borderId="59" xfId="3" applyFont="1" applyFill="1" applyBorder="1" applyAlignment="1" applyProtection="1">
      <alignment horizontal="center" vertical="center" wrapText="1"/>
      <protection locked="0"/>
    </xf>
    <xf numFmtId="0" fontId="14" fillId="4" borderId="53" xfId="3" applyFont="1" applyFill="1" applyBorder="1" applyAlignment="1" applyProtection="1">
      <alignment horizontal="center" vertical="center" wrapText="1"/>
      <protection locked="0"/>
    </xf>
    <xf numFmtId="0" fontId="25" fillId="3" borderId="36" xfId="3" applyFont="1" applyBorder="1" applyAlignment="1" applyProtection="1">
      <alignment horizontal="center" vertical="center"/>
      <protection locked="0"/>
    </xf>
    <xf numFmtId="0" fontId="25" fillId="3" borderId="72" xfId="3" applyFont="1" applyBorder="1" applyAlignment="1" applyProtection="1">
      <alignment horizontal="center" vertical="center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9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4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8" xfId="0" applyFont="1" applyFill="1" applyBorder="1" applyAlignment="1" applyProtection="1">
      <alignment horizontal="center" vertical="center"/>
      <protection locked="0"/>
    </xf>
    <xf numFmtId="0" fontId="22" fillId="0" borderId="23" xfId="0" applyFont="1" applyBorder="1" applyAlignment="1" applyProtection="1">
      <alignment horizontal="center" vertical="center"/>
      <protection locked="0"/>
    </xf>
    <xf numFmtId="0" fontId="14" fillId="4" borderId="35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2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20" xfId="4" applyFont="1" applyFill="1" applyBorder="1" applyAlignment="1" applyProtection="1">
      <alignment horizontal="center" vertical="center" wrapText="1"/>
    </xf>
    <xf numFmtId="0" fontId="22" fillId="0" borderId="50" xfId="4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4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1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38" xfId="3" applyFont="1" applyFill="1" applyBorder="1" applyAlignment="1" applyProtection="1">
      <alignment horizontal="center" vertical="center" wrapText="1"/>
      <protection locked="0"/>
    </xf>
    <xf numFmtId="0" fontId="14" fillId="4" borderId="48" xfId="3" applyFont="1" applyFill="1" applyBorder="1" applyAlignment="1" applyProtection="1">
      <alignment horizontal="center" vertical="center" wrapText="1"/>
      <protection locked="0"/>
    </xf>
    <xf numFmtId="0" fontId="14" fillId="4" borderId="78" xfId="3" applyFont="1" applyFill="1" applyBorder="1" applyAlignment="1" applyProtection="1">
      <alignment horizontal="center" vertical="center" wrapText="1"/>
      <protection locked="0"/>
    </xf>
    <xf numFmtId="0" fontId="22" fillId="0" borderId="35" xfId="4" applyFont="1" applyFill="1" applyBorder="1" applyAlignment="1" applyProtection="1">
      <alignment horizontal="center" vertical="center" wrapText="1"/>
      <protection locked="0"/>
    </xf>
    <xf numFmtId="0" fontId="22" fillId="0" borderId="34" xfId="4" applyFont="1" applyFill="1" applyBorder="1" applyAlignment="1" applyProtection="1">
      <alignment horizontal="center" vertical="center" wrapText="1"/>
      <protection locked="0"/>
    </xf>
    <xf numFmtId="0" fontId="22" fillId="0" borderId="117" xfId="4" applyFont="1" applyFill="1" applyBorder="1" applyAlignment="1" applyProtection="1">
      <alignment horizontal="center" vertical="center" wrapText="1"/>
      <protection locked="0"/>
    </xf>
    <xf numFmtId="0" fontId="14" fillId="4" borderId="50" xfId="3" applyFont="1" applyFill="1" applyBorder="1" applyAlignment="1" applyProtection="1">
      <alignment horizontal="center" vertical="center" wrapText="1"/>
      <protection locked="0"/>
    </xf>
    <xf numFmtId="0" fontId="14" fillId="4" borderId="82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70" xfId="3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65" fillId="0" borderId="15" xfId="0" applyFont="1" applyBorder="1" applyAlignment="1" applyProtection="1">
      <alignment horizontal="center" vertical="center" wrapText="1"/>
      <protection locked="0"/>
    </xf>
    <xf numFmtId="0" fontId="22" fillId="0" borderId="22" xfId="0" applyFont="1" applyBorder="1" applyAlignment="1" applyProtection="1">
      <alignment horizontal="center" vertical="center" wrapText="1"/>
      <protection locked="0"/>
    </xf>
    <xf numFmtId="0" fontId="22" fillId="0" borderId="28" xfId="0" applyFont="1" applyBorder="1" applyAlignment="1" applyProtection="1">
      <alignment horizontal="center" vertical="center" wrapText="1"/>
      <protection locked="0"/>
    </xf>
    <xf numFmtId="0" fontId="13" fillId="15" borderId="74" xfId="5" applyFont="1" applyFill="1" applyBorder="1" applyAlignment="1" applyProtection="1">
      <alignment horizontal="center" vertical="center" wrapText="1"/>
    </xf>
    <xf numFmtId="0" fontId="13" fillId="15" borderId="77" xfId="5" applyFont="1" applyFill="1" applyBorder="1" applyAlignment="1" applyProtection="1">
      <alignment horizontal="center" vertical="center" wrapText="1"/>
    </xf>
    <xf numFmtId="0" fontId="13" fillId="15" borderId="61" xfId="5" applyFont="1" applyFill="1" applyBorder="1" applyAlignment="1" applyProtection="1">
      <alignment horizontal="center" vertical="center" wrapText="1"/>
    </xf>
    <xf numFmtId="0" fontId="22" fillId="0" borderId="55" xfId="4" applyFont="1" applyFill="1" applyBorder="1" applyAlignment="1" applyProtection="1">
      <alignment horizontal="center" vertical="center" wrapText="1"/>
      <protection locked="0"/>
    </xf>
    <xf numFmtId="0" fontId="22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55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22" fillId="0" borderId="116" xfId="4" applyFont="1" applyFill="1" applyBorder="1" applyAlignment="1" applyProtection="1">
      <alignment horizontal="center" vertical="center" wrapText="1"/>
      <protection locked="0"/>
    </xf>
    <xf numFmtId="0" fontId="22" fillId="0" borderId="70" xfId="4" applyFont="1" applyFill="1" applyBorder="1" applyAlignment="1" applyProtection="1">
      <alignment horizontal="center" vertical="center" wrapText="1"/>
      <protection locked="0"/>
    </xf>
    <xf numFmtId="0" fontId="22" fillId="0" borderId="115" xfId="4" applyFont="1" applyFill="1" applyBorder="1" applyAlignment="1" applyProtection="1">
      <alignment horizontal="center" vertical="center" wrapText="1"/>
      <protection locked="0"/>
    </xf>
    <xf numFmtId="0" fontId="29" fillId="0" borderId="116" xfId="4" applyFont="1" applyFill="1" applyBorder="1" applyAlignment="1" applyProtection="1">
      <alignment horizontal="center" vertical="center" wrapText="1"/>
      <protection locked="0"/>
    </xf>
    <xf numFmtId="0" fontId="29" fillId="0" borderId="50" xfId="4" applyFont="1" applyFill="1" applyBorder="1" applyAlignment="1" applyProtection="1">
      <alignment horizontal="center" vertical="center" wrapText="1"/>
      <protection locked="0"/>
    </xf>
    <xf numFmtId="0" fontId="13" fillId="15" borderId="21" xfId="4" applyFont="1" applyFill="1" applyBorder="1" applyAlignment="1" applyProtection="1">
      <alignment horizontal="center" vertical="center" wrapText="1"/>
    </xf>
    <xf numFmtId="0" fontId="22" fillId="0" borderId="119" xfId="4" applyFont="1" applyFill="1" applyBorder="1" applyAlignment="1" applyProtection="1">
      <alignment horizontal="center" vertical="center" wrapText="1"/>
      <protection locked="0"/>
    </xf>
    <xf numFmtId="0" fontId="22" fillId="0" borderId="120" xfId="4" applyFont="1" applyFill="1" applyBorder="1" applyAlignment="1" applyProtection="1">
      <alignment horizontal="center" vertical="center" wrapText="1"/>
      <protection locked="0"/>
    </xf>
    <xf numFmtId="0" fontId="13" fillId="10" borderId="81" xfId="6" applyFont="1" applyFill="1" applyBorder="1" applyAlignment="1" applyProtection="1">
      <alignment horizontal="center" vertical="center" wrapText="1"/>
    </xf>
    <xf numFmtId="0" fontId="22" fillId="0" borderId="51" xfId="4" applyFont="1" applyFill="1" applyBorder="1" applyAlignment="1" applyProtection="1">
      <alignment horizontal="center" vertical="center" wrapText="1"/>
      <protection locked="0"/>
    </xf>
    <xf numFmtId="0" fontId="22" fillId="0" borderId="121" xfId="4" applyFont="1" applyFill="1" applyBorder="1" applyAlignment="1" applyProtection="1">
      <alignment horizontal="center" vertical="center" wrapText="1"/>
      <protection locked="0"/>
    </xf>
    <xf numFmtId="0" fontId="59" fillId="0" borderId="52" xfId="4" applyFont="1" applyFill="1" applyBorder="1" applyAlignment="1" applyProtection="1">
      <alignment horizontal="center" vertical="center" wrapText="1"/>
      <protection locked="0"/>
    </xf>
    <xf numFmtId="0" fontId="22" fillId="0" borderId="97" xfId="4" applyFont="1" applyFill="1" applyBorder="1" applyAlignment="1" applyProtection="1">
      <alignment horizontal="center" vertical="center" wrapText="1"/>
      <protection locked="0"/>
    </xf>
    <xf numFmtId="0" fontId="22" fillId="0" borderId="168" xfId="4" applyFont="1" applyFill="1" applyBorder="1" applyAlignment="1" applyProtection="1">
      <alignment horizontal="center" vertical="center" wrapText="1"/>
      <protection locked="0"/>
    </xf>
    <xf numFmtId="0" fontId="22" fillId="0" borderId="118" xfId="4" applyFont="1" applyFill="1" applyBorder="1" applyAlignment="1" applyProtection="1">
      <alignment horizontal="center" vertical="center" wrapText="1"/>
      <protection locked="0"/>
    </xf>
    <xf numFmtId="0" fontId="22" fillId="0" borderId="4" xfId="4" applyFont="1" applyFill="1" applyBorder="1" applyAlignment="1" applyProtection="1">
      <alignment horizontal="center" vertical="center" wrapText="1"/>
      <protection locked="0"/>
    </xf>
    <xf numFmtId="0" fontId="22" fillId="0" borderId="67" xfId="4" applyFont="1" applyFill="1" applyBorder="1" applyAlignment="1" applyProtection="1">
      <alignment horizontal="center" vertical="center" wrapText="1"/>
      <protection locked="0"/>
    </xf>
    <xf numFmtId="0" fontId="22" fillId="0" borderId="18" xfId="4" applyFont="1" applyFill="1" applyBorder="1" applyAlignment="1" applyProtection="1">
      <alignment horizontal="center" vertical="center" wrapText="1"/>
      <protection locked="0"/>
    </xf>
    <xf numFmtId="0" fontId="22" fillId="0" borderId="21" xfId="4" applyFont="1" applyFill="1" applyBorder="1" applyAlignment="1" applyProtection="1">
      <alignment horizontal="center" vertical="center" wrapText="1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28" xfId="0" applyFont="1" applyFill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21" xfId="0" applyFont="1" applyBorder="1" applyAlignment="1" applyProtection="1">
      <alignment horizontal="center" vertical="center"/>
      <protection locked="0"/>
    </xf>
    <xf numFmtId="0" fontId="15" fillId="17" borderId="23" xfId="0" applyFont="1" applyFill="1" applyBorder="1" applyAlignment="1" applyProtection="1">
      <alignment horizontal="center" vertical="center"/>
      <protection locked="0"/>
    </xf>
    <xf numFmtId="0" fontId="15" fillId="17" borderId="64" xfId="0" applyFont="1" applyFill="1" applyBorder="1" applyAlignment="1" applyProtection="1">
      <alignment horizontal="center" vertical="center"/>
      <protection locked="0"/>
    </xf>
    <xf numFmtId="0" fontId="12" fillId="8" borderId="92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2" fillId="8" borderId="26" xfId="0" applyFont="1" applyFill="1" applyBorder="1" applyAlignment="1" applyProtection="1">
      <alignment horizontal="center" vertical="center" wrapText="1"/>
      <protection locked="0"/>
    </xf>
    <xf numFmtId="0" fontId="29" fillId="0" borderId="34" xfId="4" applyFont="1" applyFill="1" applyBorder="1" applyAlignment="1" applyProtection="1">
      <alignment horizontal="center" vertical="center" wrapText="1"/>
      <protection locked="0"/>
    </xf>
    <xf numFmtId="0" fontId="29" fillId="0" borderId="117" xfId="4" applyFont="1" applyFill="1" applyBorder="1" applyAlignment="1" applyProtection="1">
      <alignment horizontal="center" vertical="center" wrapText="1"/>
      <protection locked="0"/>
    </xf>
    <xf numFmtId="0" fontId="29" fillId="0" borderId="118" xfId="4" applyFont="1" applyFill="1" applyBorder="1" applyAlignment="1" applyProtection="1">
      <alignment horizontal="center" vertical="center" wrapText="1"/>
      <protection locked="0"/>
    </xf>
    <xf numFmtId="0" fontId="29" fillId="0" borderId="35" xfId="4" applyFont="1" applyFill="1" applyBorder="1" applyAlignment="1" applyProtection="1">
      <alignment horizontal="center" vertical="center" wrapText="1"/>
      <protection locked="0"/>
    </xf>
    <xf numFmtId="0" fontId="72" fillId="0" borderId="70" xfId="4" applyFont="1" applyFill="1" applyBorder="1" applyAlignment="1" applyProtection="1">
      <alignment horizontal="center" vertical="center" wrapText="1"/>
      <protection locked="0"/>
    </xf>
    <xf numFmtId="0" fontId="72" fillId="0" borderId="78" xfId="4" applyFont="1" applyFill="1" applyBorder="1" applyAlignment="1" applyProtection="1">
      <alignment horizontal="center" vertical="center" wrapText="1"/>
      <protection locked="0"/>
    </xf>
    <xf numFmtId="0" fontId="72" fillId="0" borderId="34" xfId="4" applyFont="1" applyFill="1" applyBorder="1" applyAlignment="1" applyProtection="1">
      <alignment horizontal="center" vertical="center" wrapText="1"/>
      <protection locked="0"/>
    </xf>
    <xf numFmtId="0" fontId="72" fillId="0" borderId="69" xfId="4" applyFont="1" applyFill="1" applyBorder="1" applyAlignment="1" applyProtection="1">
      <alignment horizontal="center" vertical="center" wrapText="1"/>
      <protection locked="0"/>
    </xf>
    <xf numFmtId="0" fontId="29" fillId="0" borderId="53" xfId="4" applyFont="1" applyFill="1" applyBorder="1" applyAlignment="1" applyProtection="1">
      <alignment horizontal="center" vertical="center" wrapText="1"/>
      <protection locked="0"/>
    </xf>
    <xf numFmtId="0" fontId="22" fillId="0" borderId="66" xfId="4" applyFont="1" applyFill="1" applyBorder="1" applyAlignment="1" applyProtection="1">
      <alignment horizontal="center" vertical="center" wrapText="1"/>
      <protection locked="0"/>
    </xf>
    <xf numFmtId="0" fontId="22" fillId="0" borderId="122" xfId="4" applyFont="1" applyFill="1" applyBorder="1" applyAlignment="1" applyProtection="1">
      <alignment horizontal="center" vertical="center" wrapText="1"/>
      <protection locked="0"/>
    </xf>
    <xf numFmtId="0" fontId="22" fillId="0" borderId="123" xfId="4" applyFont="1" applyFill="1" applyBorder="1" applyAlignment="1" applyProtection="1">
      <alignment horizontal="center" vertical="center" wrapText="1"/>
      <protection locked="0"/>
    </xf>
    <xf numFmtId="0" fontId="22" fillId="0" borderId="24" xfId="4" applyFont="1" applyFill="1" applyBorder="1" applyAlignment="1" applyProtection="1">
      <alignment horizontal="center" vertical="center" wrapText="1"/>
      <protection locked="0"/>
    </xf>
    <xf numFmtId="0" fontId="60" fillId="0" borderId="69" xfId="4" applyFont="1" applyFill="1" applyBorder="1" applyAlignment="1" applyProtection="1">
      <alignment horizontal="center" vertical="center" wrapText="1"/>
      <protection locked="0"/>
    </xf>
    <xf numFmtId="0" fontId="13" fillId="10" borderId="58" xfId="6" applyFont="1" applyFill="1" applyBorder="1" applyAlignment="1" applyProtection="1">
      <alignment horizontal="center" vertical="center" wrapText="1"/>
    </xf>
    <xf numFmtId="0" fontId="13" fillId="10" borderId="84" xfId="6" applyFont="1" applyFill="1" applyBorder="1" applyAlignment="1" applyProtection="1">
      <alignment horizontal="center" vertical="center" wrapText="1"/>
    </xf>
    <xf numFmtId="0" fontId="29" fillId="0" borderId="15" xfId="4" applyFont="1" applyFill="1" applyBorder="1" applyAlignment="1" applyProtection="1">
      <alignment horizontal="center" vertical="center" wrapText="1"/>
      <protection locked="0"/>
    </xf>
    <xf numFmtId="0" fontId="29" fillId="0" borderId="64" xfId="4" applyFont="1" applyFill="1" applyBorder="1" applyAlignment="1" applyProtection="1">
      <alignment horizontal="center" vertical="center" wrapText="1"/>
      <protection locked="0"/>
    </xf>
    <xf numFmtId="0" fontId="29" fillId="0" borderId="63" xfId="4" applyFont="1" applyFill="1" applyBorder="1" applyAlignment="1" applyProtection="1">
      <alignment horizontal="center" vertical="center" wrapText="1"/>
      <protection locked="0"/>
    </xf>
    <xf numFmtId="0" fontId="29" fillId="0" borderId="28" xfId="4" applyFont="1" applyFill="1" applyBorder="1" applyAlignment="1" applyProtection="1">
      <alignment horizontal="center" vertical="center" wrapText="1"/>
      <protection locked="0"/>
    </xf>
    <xf numFmtId="0" fontId="15" fillId="0" borderId="34" xfId="4" applyFont="1" applyFill="1" applyBorder="1" applyAlignment="1" applyProtection="1">
      <alignment horizontal="center" vertical="center" wrapText="1"/>
      <protection locked="0"/>
    </xf>
    <xf numFmtId="0" fontId="15" fillId="0" borderId="69" xfId="4" applyFont="1" applyFill="1" applyBorder="1" applyAlignment="1" applyProtection="1">
      <alignment horizontal="center" vertical="center" wrapText="1"/>
      <protection locked="0"/>
    </xf>
    <xf numFmtId="0" fontId="13" fillId="15" borderId="74" xfId="4" applyFont="1" applyFill="1" applyBorder="1" applyAlignment="1" applyProtection="1">
      <alignment horizontal="center" vertical="center" wrapText="1"/>
    </xf>
    <xf numFmtId="0" fontId="13" fillId="15" borderId="61" xfId="4" applyFont="1" applyFill="1" applyBorder="1" applyAlignment="1" applyProtection="1">
      <alignment horizontal="center" vertical="center" wrapText="1"/>
    </xf>
    <xf numFmtId="0" fontId="13" fillId="15" borderId="77" xfId="4" applyFont="1" applyFill="1" applyBorder="1" applyAlignment="1" applyProtection="1">
      <alignment horizontal="center" vertical="center" wrapText="1"/>
    </xf>
    <xf numFmtId="0" fontId="29" fillId="0" borderId="121" xfId="4" applyFont="1" applyFill="1" applyBorder="1" applyAlignment="1" applyProtection="1">
      <alignment horizontal="center" vertical="center" wrapText="1"/>
      <protection locked="0"/>
    </xf>
    <xf numFmtId="0" fontId="29" fillId="0" borderId="51" xfId="4" applyFont="1" applyFill="1" applyBorder="1" applyAlignment="1" applyProtection="1">
      <alignment horizontal="center" vertical="center" wrapText="1"/>
      <protection locked="0"/>
    </xf>
    <xf numFmtId="0" fontId="29" fillId="0" borderId="119" xfId="4" applyFont="1" applyFill="1" applyBorder="1" applyAlignment="1" applyProtection="1">
      <alignment horizontal="center" vertical="center" wrapText="1"/>
      <protection locked="0"/>
    </xf>
    <xf numFmtId="0" fontId="29" fillId="0" borderId="52" xfId="4" applyFont="1" applyFill="1" applyBorder="1" applyAlignment="1" applyProtection="1">
      <alignment horizontal="center" vertical="center" wrapText="1"/>
      <protection locked="0"/>
    </xf>
    <xf numFmtId="0" fontId="29" fillId="0" borderId="70" xfId="4" applyFont="1" applyFill="1" applyBorder="1" applyAlignment="1" applyProtection="1">
      <alignment horizontal="center" vertical="center" wrapText="1"/>
      <protection locked="0"/>
    </xf>
    <xf numFmtId="0" fontId="29" fillId="0" borderId="59" xfId="4" applyFont="1" applyFill="1" applyBorder="1" applyAlignment="1" applyProtection="1">
      <alignment horizontal="center" vertical="center" wrapText="1"/>
      <protection locked="0"/>
    </xf>
    <xf numFmtId="0" fontId="72" fillId="0" borderId="53" xfId="4" applyFont="1" applyFill="1" applyBorder="1" applyAlignment="1" applyProtection="1">
      <alignment horizontal="center" vertical="center" wrapText="1"/>
      <protection locked="0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29" fillId="0" borderId="103" xfId="4" applyFont="1" applyFill="1" applyBorder="1" applyAlignment="1" applyProtection="1">
      <alignment horizontal="center" vertical="center" wrapText="1"/>
      <protection locked="0"/>
    </xf>
    <xf numFmtId="0" fontId="18" fillId="16" borderId="91" xfId="7" applyFont="1" applyFill="1" applyBorder="1" applyAlignment="1">
      <alignment horizontal="center" vertical="center" shrinkToFit="1"/>
    </xf>
    <xf numFmtId="0" fontId="17" fillId="9" borderId="99" xfId="7" applyFont="1" applyFill="1" applyBorder="1" applyAlignment="1">
      <alignment horizontal="center" vertical="center" wrapText="1"/>
    </xf>
    <xf numFmtId="0" fontId="17" fillId="9" borderId="25" xfId="7" applyFont="1" applyFill="1" applyBorder="1" applyAlignment="1">
      <alignment horizontal="center" vertical="center" wrapText="1"/>
    </xf>
    <xf numFmtId="0" fontId="17" fillId="9" borderId="101" xfId="7" applyFont="1" applyFill="1" applyBorder="1" applyAlignment="1">
      <alignment horizontal="center" vertical="center" wrapText="1"/>
    </xf>
    <xf numFmtId="0" fontId="17" fillId="9" borderId="8" xfId="7" applyFont="1" applyFill="1" applyBorder="1" applyAlignment="1">
      <alignment horizontal="center" vertical="center" wrapText="1"/>
    </xf>
    <xf numFmtId="176" fontId="17" fillId="9" borderId="11" xfId="7" applyNumberFormat="1" applyFont="1" applyFill="1" applyBorder="1" applyAlignment="1">
      <alignment horizontal="center" vertical="center" wrapText="1"/>
    </xf>
    <xf numFmtId="176" fontId="17" fillId="9" borderId="9" xfId="7" applyNumberFormat="1" applyFont="1" applyFill="1" applyBorder="1" applyAlignment="1">
      <alignment horizontal="center" vertical="center" wrapText="1"/>
    </xf>
    <xf numFmtId="0" fontId="17" fillId="9" borderId="31" xfId="7" applyFont="1" applyFill="1" applyBorder="1" applyAlignment="1">
      <alignment horizontal="center" vertical="center" wrapText="1"/>
    </xf>
    <xf numFmtId="0" fontId="17" fillId="9" borderId="91" xfId="7" applyFont="1" applyFill="1" applyBorder="1" applyAlignment="1">
      <alignment horizontal="center" vertical="center" wrapText="1"/>
    </xf>
    <xf numFmtId="0" fontId="37" fillId="16" borderId="105" xfId="7" applyFont="1" applyFill="1" applyBorder="1" applyAlignment="1">
      <alignment horizontal="center" vertical="center" shrinkToFit="1"/>
    </xf>
    <xf numFmtId="0" fontId="37" fillId="16" borderId="31" xfId="7" applyFont="1" applyFill="1" applyBorder="1" applyAlignment="1">
      <alignment horizontal="center" vertical="center" shrinkToFit="1"/>
    </xf>
    <xf numFmtId="0" fontId="37" fillId="16" borderId="17" xfId="7" applyFont="1" applyFill="1" applyBorder="1" applyAlignment="1">
      <alignment horizontal="center" vertical="center" shrinkToFit="1"/>
    </xf>
    <xf numFmtId="0" fontId="37" fillId="16" borderId="91" xfId="7" applyFont="1" applyFill="1" applyBorder="1" applyAlignment="1">
      <alignment horizontal="center" vertical="center" shrinkToFit="1"/>
    </xf>
    <xf numFmtId="0" fontId="17" fillId="9" borderId="5" xfId="7" applyFont="1" applyFill="1" applyBorder="1" applyAlignment="1">
      <alignment horizontal="center" vertical="center" wrapText="1"/>
    </xf>
    <xf numFmtId="0" fontId="17" fillId="9" borderId="12" xfId="7" applyFont="1" applyFill="1" applyBorder="1" applyAlignment="1">
      <alignment horizontal="center" vertical="center" wrapText="1"/>
    </xf>
    <xf numFmtId="176" fontId="17" fillId="9" borderId="90" xfId="7" applyNumberFormat="1" applyFont="1" applyFill="1" applyBorder="1" applyAlignment="1">
      <alignment horizontal="center" vertical="center" wrapText="1"/>
    </xf>
    <xf numFmtId="0" fontId="17" fillId="9" borderId="14" xfId="7" applyFont="1" applyFill="1" applyBorder="1" applyAlignment="1">
      <alignment horizontal="center" vertical="center" wrapText="1"/>
    </xf>
    <xf numFmtId="0" fontId="17" fillId="11" borderId="90" xfId="7" applyFont="1" applyFill="1" applyBorder="1" applyAlignment="1">
      <alignment horizontal="center" vertical="center"/>
    </xf>
    <xf numFmtId="0" fontId="27" fillId="11" borderId="90" xfId="7" applyFont="1" applyFill="1" applyBorder="1" applyAlignment="1">
      <alignment horizontal="center" vertical="center" wrapText="1"/>
    </xf>
    <xf numFmtId="0" fontId="27" fillId="11" borderId="14" xfId="7" applyFont="1" applyFill="1" applyBorder="1" applyAlignment="1">
      <alignment horizontal="center" vertical="center"/>
    </xf>
    <xf numFmtId="0" fontId="27" fillId="11" borderId="91" xfId="7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0" fontId="32" fillId="0" borderId="27" xfId="0" applyFont="1" applyBorder="1" applyAlignment="1">
      <alignment horizontal="left" vertical="center"/>
    </xf>
    <xf numFmtId="0" fontId="32" fillId="0" borderId="24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27" fillId="11" borderId="29" xfId="7" applyFont="1" applyFill="1" applyBorder="1" applyAlignment="1">
      <alignment horizontal="center" vertical="center" wrapText="1"/>
    </xf>
    <xf numFmtId="0" fontId="27" fillId="11" borderId="10" xfId="7" applyFont="1" applyFill="1" applyBorder="1" applyAlignment="1">
      <alignment horizontal="center" vertical="center"/>
    </xf>
    <xf numFmtId="0" fontId="27" fillId="11" borderId="30" xfId="7" applyFont="1" applyFill="1" applyBorder="1" applyAlignment="1">
      <alignment horizontal="center" vertical="center"/>
    </xf>
    <xf numFmtId="0" fontId="17" fillId="11" borderId="90" xfId="7" applyFont="1" applyFill="1" applyBorder="1" applyAlignment="1">
      <alignment horizontal="center" vertical="center" shrinkToFit="1"/>
    </xf>
    <xf numFmtId="0" fontId="17" fillId="11" borderId="14" xfId="7" applyFont="1" applyFill="1" applyBorder="1" applyAlignment="1">
      <alignment horizontal="center" vertical="center" shrinkToFit="1"/>
    </xf>
    <xf numFmtId="0" fontId="17" fillId="11" borderId="91" xfId="7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6" fillId="8" borderId="75" xfId="0" applyFont="1" applyFill="1" applyBorder="1" applyAlignment="1">
      <alignment horizontal="center" vertical="center"/>
    </xf>
    <xf numFmtId="0" fontId="26" fillId="8" borderId="65" xfId="0" applyFont="1" applyFill="1" applyBorder="1" applyAlignment="1">
      <alignment horizontal="center" vertical="center"/>
    </xf>
    <xf numFmtId="0" fontId="26" fillId="8" borderId="178" xfId="0" applyFont="1" applyFill="1" applyBorder="1" applyAlignment="1">
      <alignment horizontal="center" vertical="center"/>
    </xf>
    <xf numFmtId="0" fontId="26" fillId="8" borderId="56" xfId="0" applyFont="1" applyFill="1" applyBorder="1" applyAlignment="1">
      <alignment horizontal="center" vertical="center"/>
    </xf>
    <xf numFmtId="0" fontId="26" fillId="8" borderId="58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2" xfId="7" applyFont="1" applyFill="1" applyBorder="1" applyAlignment="1">
      <alignment horizontal="center" vertical="center" wrapText="1"/>
    </xf>
    <xf numFmtId="0" fontId="17" fillId="11" borderId="8" xfId="7" applyFont="1" applyFill="1" applyBorder="1" applyAlignment="1">
      <alignment horizontal="center" vertical="center" wrapText="1"/>
    </xf>
    <xf numFmtId="0" fontId="17" fillId="11" borderId="90" xfId="7" applyFont="1" applyFill="1" applyBorder="1" applyAlignment="1">
      <alignment horizontal="center" vertical="center" wrapText="1"/>
    </xf>
    <xf numFmtId="0" fontId="17" fillId="11" borderId="14" xfId="7" applyFont="1" applyFill="1" applyBorder="1" applyAlignment="1">
      <alignment horizontal="center" vertical="center" wrapText="1"/>
    </xf>
    <xf numFmtId="0" fontId="17" fillId="11" borderId="91" xfId="7" applyFont="1" applyFill="1" applyBorder="1" applyAlignment="1">
      <alignment horizontal="center" vertical="center" wrapText="1"/>
    </xf>
    <xf numFmtId="0" fontId="13" fillId="0" borderId="123" xfId="4" applyFont="1" applyFill="1" applyBorder="1" applyAlignment="1" applyProtection="1">
      <alignment horizontal="center" vertical="center" wrapText="1"/>
      <protection locked="0"/>
    </xf>
    <xf numFmtId="0" fontId="13" fillId="0" borderId="67" xfId="4" applyFont="1" applyFill="1" applyBorder="1" applyAlignment="1" applyProtection="1">
      <alignment horizontal="center" vertical="center" wrapText="1"/>
      <protection locked="0"/>
    </xf>
    <xf numFmtId="0" fontId="13" fillId="0" borderId="80" xfId="4" applyFont="1" applyFill="1" applyBorder="1" applyAlignment="1" applyProtection="1">
      <alignment horizontal="center" vertical="center" wrapText="1"/>
      <protection locked="0"/>
    </xf>
    <xf numFmtId="0" fontId="13" fillId="0" borderId="60" xfId="4" applyFont="1" applyFill="1" applyBorder="1" applyAlignment="1" applyProtection="1">
      <alignment horizontal="center" vertical="center" wrapText="1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24" xfId="4" applyFont="1" applyFill="1" applyBorder="1" applyAlignment="1" applyProtection="1">
      <alignment horizontal="center" vertical="center" wrapText="1"/>
      <protection locked="0"/>
    </xf>
    <xf numFmtId="0" fontId="13" fillId="0" borderId="62" xfId="4" applyFont="1" applyFill="1" applyBorder="1" applyAlignment="1" applyProtection="1">
      <alignment horizontal="center" vertical="center" wrapText="1"/>
      <protection locked="0"/>
    </xf>
    <xf numFmtId="0" fontId="13" fillId="0" borderId="21" xfId="4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69" xfId="3" applyFont="1" applyFill="1" applyBorder="1" applyAlignment="1" applyProtection="1">
      <alignment horizontal="center" vertical="center" wrapText="1"/>
      <protection locked="0"/>
    </xf>
    <xf numFmtId="0" fontId="13" fillId="15" borderId="18" xfId="4" applyFont="1" applyFill="1" applyBorder="1" applyAlignment="1" applyProtection="1">
      <alignment horizontal="center" vertical="center" wrapText="1"/>
    </xf>
    <xf numFmtId="0" fontId="29" fillId="0" borderId="23" xfId="4" applyFont="1" applyFill="1" applyBorder="1" applyAlignment="1" applyProtection="1">
      <alignment horizontal="center" vertical="center" wrapText="1"/>
      <protection locked="0"/>
    </xf>
    <xf numFmtId="0" fontId="13" fillId="0" borderId="177" xfId="0" applyFont="1" applyFill="1" applyBorder="1" applyAlignment="1" applyProtection="1">
      <alignment horizontal="left" vertical="center" shrinkToFit="1"/>
      <protection locked="0"/>
    </xf>
    <xf numFmtId="0" fontId="13" fillId="0" borderId="72" xfId="0" applyFont="1" applyFill="1" applyBorder="1" applyAlignment="1" applyProtection="1">
      <alignment horizontal="left" vertical="center" shrinkToFit="1"/>
      <protection locked="0"/>
    </xf>
    <xf numFmtId="0" fontId="13" fillId="0" borderId="177" xfId="4" applyFont="1" applyFill="1" applyBorder="1" applyAlignment="1" applyProtection="1">
      <alignment horizontal="center" vertical="center" wrapText="1"/>
      <protection locked="0"/>
    </xf>
    <xf numFmtId="0" fontId="13" fillId="0" borderId="184" xfId="4" applyFont="1" applyFill="1" applyBorder="1" applyAlignment="1" applyProtection="1">
      <alignment horizontal="center" vertical="center" wrapText="1"/>
      <protection locked="0"/>
    </xf>
    <xf numFmtId="0" fontId="13" fillId="0" borderId="36" xfId="4" applyFont="1" applyFill="1" applyBorder="1" applyAlignment="1" applyProtection="1">
      <alignment horizontal="center" vertical="center" wrapText="1"/>
      <protection locked="0"/>
    </xf>
    <xf numFmtId="0" fontId="13" fillId="0" borderId="185" xfId="4" applyFont="1" applyFill="1" applyBorder="1" applyAlignment="1" applyProtection="1">
      <alignment horizontal="center" vertical="center" wrapText="1"/>
      <protection locked="0"/>
    </xf>
    <xf numFmtId="0" fontId="13" fillId="0" borderId="186" xfId="4" applyFont="1" applyFill="1" applyBorder="1" applyAlignment="1" applyProtection="1">
      <alignment horizontal="center" vertical="center" wrapText="1"/>
      <protection locked="0"/>
    </xf>
    <xf numFmtId="0" fontId="13" fillId="0" borderId="72" xfId="4" applyFont="1" applyFill="1" applyBorder="1" applyAlignment="1" applyProtection="1">
      <alignment horizontal="center" vertical="center" wrapText="1"/>
      <protection locked="0"/>
    </xf>
    <xf numFmtId="0" fontId="13" fillId="0" borderId="55" xfId="0" applyFont="1" applyFill="1" applyBorder="1" applyAlignment="1" applyProtection="1">
      <alignment horizontal="left" vertical="center" shrinkToFit="1"/>
      <protection locked="0"/>
    </xf>
    <xf numFmtId="0" fontId="13" fillId="0" borderId="52" xfId="0" applyFont="1" applyFill="1" applyBorder="1" applyAlignment="1" applyProtection="1">
      <alignment horizontal="left" vertical="center" shrinkToFit="1"/>
      <protection locked="0"/>
    </xf>
    <xf numFmtId="0" fontId="13" fillId="15" borderId="177" xfId="5" applyFont="1" applyFill="1" applyBorder="1" applyAlignment="1" applyProtection="1">
      <alignment horizontal="center" vertical="center" wrapText="1"/>
    </xf>
    <xf numFmtId="0" fontId="13" fillId="15" borderId="72" xfId="5" applyFont="1" applyFill="1" applyBorder="1" applyAlignment="1" applyProtection="1">
      <alignment horizontal="center" vertical="center" wrapText="1"/>
    </xf>
    <xf numFmtId="0" fontId="13" fillId="0" borderId="49" xfId="2" applyFont="1" applyBorder="1" applyAlignment="1" applyProtection="1">
      <alignment horizontal="left" vertical="center" wrapText="1"/>
      <protection locked="0"/>
    </xf>
    <xf numFmtId="0" fontId="13" fillId="0" borderId="53" xfId="2" applyFont="1" applyBorder="1" applyAlignment="1" applyProtection="1">
      <alignment horizontal="left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29" fillId="0" borderId="69" xfId="4" applyFont="1" applyFill="1" applyBorder="1" applyAlignment="1" applyProtection="1">
      <alignment horizontal="center" vertical="center" wrapText="1"/>
      <protection locked="0"/>
    </xf>
    <xf numFmtId="0" fontId="13" fillId="15" borderId="27" xfId="5" applyFont="1" applyFill="1" applyBorder="1" applyAlignment="1" applyProtection="1">
      <alignment horizontal="center" vertical="center" wrapText="1"/>
    </xf>
    <xf numFmtId="0" fontId="13" fillId="15" borderId="0" xfId="5" applyFont="1" applyFill="1" applyBorder="1" applyAlignment="1" applyProtection="1">
      <alignment horizontal="center" vertical="center" wrapText="1"/>
    </xf>
    <xf numFmtId="0" fontId="29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171" xfId="4" applyFont="1" applyFill="1" applyBorder="1" applyAlignment="1" applyProtection="1">
      <alignment horizontal="center" vertical="center" wrapText="1"/>
      <protection locked="0"/>
    </xf>
    <xf numFmtId="0" fontId="13" fillId="0" borderId="172" xfId="4" applyFont="1" applyFill="1" applyBorder="1" applyAlignment="1" applyProtection="1">
      <alignment horizontal="center" vertical="center" wrapText="1"/>
      <protection locked="0"/>
    </xf>
    <xf numFmtId="0" fontId="13" fillId="0" borderId="78" xfId="4" applyFont="1" applyFill="1" applyBorder="1" applyAlignment="1" applyProtection="1">
      <alignment horizontal="center" vertical="center" wrapText="1"/>
      <protection locked="0"/>
    </xf>
    <xf numFmtId="0" fontId="13" fillId="0" borderId="187" xfId="4" applyFont="1" applyFill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left" vertical="center" shrinkToFit="1"/>
      <protection locked="0"/>
    </xf>
    <xf numFmtId="0" fontId="13" fillId="0" borderId="24" xfId="0" applyFont="1" applyBorder="1" applyAlignment="1" applyProtection="1">
      <alignment horizontal="left" vertical="center" shrinkToFit="1"/>
      <protection locked="0"/>
    </xf>
    <xf numFmtId="0" fontId="13" fillId="15" borderId="66" xfId="4" applyFont="1" applyFill="1" applyBorder="1" applyAlignment="1" applyProtection="1">
      <alignment horizontal="center" vertical="center" wrapText="1"/>
    </xf>
    <xf numFmtId="0" fontId="13" fillId="15" borderId="76" xfId="4" applyFont="1" applyFill="1" applyBorder="1" applyAlignment="1" applyProtection="1">
      <alignment horizontal="center" vertical="center" wrapText="1"/>
    </xf>
    <xf numFmtId="0" fontId="29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43" xfId="0" applyFont="1" applyFill="1" applyBorder="1" applyAlignment="1" applyProtection="1">
      <alignment horizontal="left" vertical="center" shrinkToFit="1"/>
      <protection locked="0"/>
    </xf>
    <xf numFmtId="0" fontId="13" fillId="0" borderId="44" xfId="0" applyFont="1" applyFill="1" applyBorder="1" applyAlignment="1" applyProtection="1">
      <alignment horizontal="left" vertical="center" shrinkToFit="1"/>
      <protection locked="0"/>
    </xf>
    <xf numFmtId="0" fontId="29" fillId="0" borderId="170" xfId="4" applyFont="1" applyFill="1" applyBorder="1" applyAlignment="1" applyProtection="1">
      <alignment horizontal="center" vertical="center" wrapText="1"/>
      <protection locked="0"/>
    </xf>
    <xf numFmtId="0" fontId="29" fillId="0" borderId="171" xfId="4" applyFont="1" applyFill="1" applyBorder="1" applyAlignment="1" applyProtection="1">
      <alignment horizontal="center" vertical="center" wrapText="1"/>
      <protection locked="0"/>
    </xf>
    <xf numFmtId="0" fontId="29" fillId="0" borderId="187" xfId="4" applyFont="1" applyFill="1" applyBorder="1" applyAlignment="1" applyProtection="1">
      <alignment horizontal="center" vertical="center" wrapText="1"/>
      <protection locked="0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87" xfId="4" applyFont="1" applyFill="1" applyBorder="1" applyAlignment="1" applyProtection="1">
      <alignment horizontal="center" vertical="center" wrapText="1"/>
      <protection locked="0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122" xfId="6" applyFont="1" applyFill="1" applyBorder="1" applyAlignment="1" applyProtection="1">
      <alignment horizontal="center" vertical="center" wrapText="1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87" xfId="6" applyFont="1" applyFill="1" applyBorder="1" applyAlignment="1" applyProtection="1">
      <alignment horizontal="center" vertical="center" wrapText="1"/>
    </xf>
    <xf numFmtId="0" fontId="29" fillId="0" borderId="55" xfId="4" applyFont="1" applyFill="1" applyBorder="1" applyAlignment="1" applyProtection="1">
      <alignment horizontal="center" vertical="center" wrapText="1"/>
      <protection locked="0"/>
    </xf>
    <xf numFmtId="0" fontId="29" fillId="0" borderId="120" xfId="4" applyFont="1" applyFill="1" applyBorder="1" applyAlignment="1" applyProtection="1">
      <alignment horizontal="center" vertical="center" wrapText="1"/>
      <protection locked="0"/>
    </xf>
    <xf numFmtId="0" fontId="9" fillId="15" borderId="16" xfId="4" applyFont="1" applyFill="1" applyBorder="1" applyAlignment="1" applyProtection="1">
      <alignment horizontal="center" vertical="center" wrapText="1"/>
    </xf>
    <xf numFmtId="0" fontId="9" fillId="15" borderId="79" xfId="4" applyFont="1" applyFill="1" applyBorder="1" applyAlignment="1" applyProtection="1">
      <alignment horizontal="center" vertical="center" wrapText="1"/>
    </xf>
    <xf numFmtId="0" fontId="13" fillId="0" borderId="97" xfId="0" applyFont="1" applyFill="1" applyBorder="1" applyAlignment="1" applyProtection="1">
      <alignment horizontal="left" vertical="center" shrinkToFit="1"/>
      <protection locked="0"/>
    </xf>
    <xf numFmtId="0" fontId="13" fillId="0" borderId="98" xfId="0" applyFont="1" applyFill="1" applyBorder="1" applyAlignment="1" applyProtection="1">
      <alignment horizontal="left" vertical="center" shrinkToFit="1"/>
      <protection locked="0"/>
    </xf>
    <xf numFmtId="0" fontId="29" fillId="0" borderId="97" xfId="4" applyFont="1" applyFill="1" applyBorder="1" applyAlignment="1" applyProtection="1">
      <alignment horizontal="center" vertical="center" wrapText="1"/>
      <protection locked="0"/>
    </xf>
    <xf numFmtId="0" fontId="29" fillId="0" borderId="168" xfId="4" applyFont="1" applyFill="1" applyBorder="1" applyAlignment="1" applyProtection="1">
      <alignment horizontal="center" vertical="center" wrapText="1"/>
      <protection locked="0"/>
    </xf>
    <xf numFmtId="0" fontId="29" fillId="0" borderId="174" xfId="4" applyFont="1" applyFill="1" applyBorder="1" applyAlignment="1" applyProtection="1">
      <alignment horizontal="center" vertical="center" wrapText="1"/>
      <protection locked="0"/>
    </xf>
    <xf numFmtId="0" fontId="29" fillId="0" borderId="175" xfId="4" applyFont="1" applyFill="1" applyBorder="1" applyAlignment="1" applyProtection="1">
      <alignment horizontal="center" vertical="center" wrapText="1"/>
      <protection locked="0"/>
    </xf>
    <xf numFmtId="0" fontId="13" fillId="0" borderId="173" xfId="4" applyFont="1" applyFill="1" applyBorder="1" applyAlignment="1" applyProtection="1">
      <alignment horizontal="center" vertical="center" wrapText="1"/>
      <protection locked="0"/>
    </xf>
    <xf numFmtId="0" fontId="13" fillId="0" borderId="168" xfId="4" applyFont="1" applyFill="1" applyBorder="1" applyAlignment="1" applyProtection="1">
      <alignment horizontal="center" vertical="center" wrapText="1"/>
      <protection locked="0"/>
    </xf>
    <xf numFmtId="0" fontId="13" fillId="0" borderId="174" xfId="4" applyFont="1" applyFill="1" applyBorder="1" applyAlignment="1" applyProtection="1">
      <alignment horizontal="center" vertical="center" wrapText="1"/>
      <protection locked="0"/>
    </xf>
    <xf numFmtId="0" fontId="13" fillId="0" borderId="175" xfId="4" applyFont="1" applyFill="1" applyBorder="1" applyAlignment="1" applyProtection="1">
      <alignment horizontal="center" vertical="center" wrapText="1"/>
      <protection locked="0"/>
    </xf>
    <xf numFmtId="0" fontId="9" fillId="15" borderId="13" xfId="4" applyFont="1" applyFill="1" applyBorder="1" applyAlignment="1" applyProtection="1">
      <alignment horizontal="center" vertical="center" wrapText="1"/>
    </xf>
    <xf numFmtId="0" fontId="13" fillId="0" borderId="48" xfId="0" applyFont="1" applyFill="1" applyBorder="1" applyAlignment="1" applyProtection="1">
      <alignment horizontal="left" vertical="center" shrinkToFit="1"/>
      <protection locked="0"/>
    </xf>
    <xf numFmtId="0" fontId="13" fillId="0" borderId="59" xfId="0" applyFont="1" applyFill="1" applyBorder="1" applyAlignment="1" applyProtection="1">
      <alignment horizontal="left" vertical="center" shrinkToFit="1"/>
      <protection locked="0"/>
    </xf>
    <xf numFmtId="0" fontId="9" fillId="15" borderId="6" xfId="4" applyFont="1" applyFill="1" applyBorder="1" applyAlignment="1" applyProtection="1">
      <alignment horizontal="center" vertical="center" wrapText="1"/>
    </xf>
    <xf numFmtId="0" fontId="13" fillId="10" borderId="123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29" fillId="0" borderId="49" xfId="4" applyFont="1" applyFill="1" applyBorder="1" applyAlignment="1" applyProtection="1">
      <alignment horizontal="center" vertical="center" wrapText="1"/>
      <protection locked="0"/>
    </xf>
    <xf numFmtId="0" fontId="13" fillId="15" borderId="55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18" fillId="9" borderId="92" xfId="7" applyFont="1" applyFill="1" applyBorder="1" applyAlignment="1">
      <alignment horizontal="center" vertical="center" wrapText="1"/>
    </xf>
    <xf numFmtId="0" fontId="18" fillId="9" borderId="25" xfId="7" applyFont="1" applyFill="1" applyBorder="1" applyAlignment="1">
      <alignment horizontal="center" vertical="center" wrapText="1"/>
    </xf>
    <xf numFmtId="0" fontId="18" fillId="9" borderId="26" xfId="7" applyFont="1" applyFill="1" applyBorder="1" applyAlignment="1">
      <alignment horizontal="center" vertical="center" wrapText="1"/>
    </xf>
    <xf numFmtId="176" fontId="18" fillId="9" borderId="107" xfId="7" applyNumberFormat="1" applyFont="1" applyFill="1" applyBorder="1" applyAlignment="1">
      <alignment horizontal="center" vertical="center" wrapText="1"/>
    </xf>
    <xf numFmtId="176" fontId="18" fillId="9" borderId="9" xfId="7" applyNumberFormat="1" applyFont="1" applyFill="1" applyBorder="1" applyAlignment="1">
      <alignment horizontal="center" vertical="center" wrapText="1"/>
    </xf>
    <xf numFmtId="176" fontId="18" fillId="9" borderId="108" xfId="7" applyNumberFormat="1" applyFont="1" applyFill="1" applyBorder="1" applyAlignment="1">
      <alignment horizontal="center" vertical="center" wrapText="1"/>
    </xf>
    <xf numFmtId="0" fontId="18" fillId="9" borderId="5" xfId="7" applyFont="1" applyFill="1" applyBorder="1" applyAlignment="1">
      <alignment horizontal="center" vertical="center" wrapText="1"/>
    </xf>
    <xf numFmtId="0" fontId="18" fillId="9" borderId="99" xfId="7" applyFont="1" applyFill="1" applyBorder="1" applyAlignment="1">
      <alignment horizontal="center" vertical="center" wrapText="1"/>
    </xf>
    <xf numFmtId="0" fontId="18" fillId="9" borderId="8" xfId="7" applyFont="1" applyFill="1" applyBorder="1" applyAlignment="1">
      <alignment horizontal="center" vertical="center" wrapText="1"/>
    </xf>
    <xf numFmtId="176" fontId="18" fillId="9" borderId="90" xfId="7" applyNumberFormat="1" applyFont="1" applyFill="1" applyBorder="1" applyAlignment="1">
      <alignment horizontal="center" vertical="center" wrapText="1"/>
    </xf>
    <xf numFmtId="176" fontId="18" fillId="9" borderId="11" xfId="7" applyNumberFormat="1" applyFont="1" applyFill="1" applyBorder="1" applyAlignment="1">
      <alignment horizontal="center" vertical="center" wrapText="1"/>
    </xf>
    <xf numFmtId="0" fontId="18" fillId="9" borderId="91" xfId="7" applyFont="1" applyFill="1" applyBorder="1" applyAlignment="1">
      <alignment horizontal="center" vertical="center" wrapText="1"/>
    </xf>
    <xf numFmtId="0" fontId="18" fillId="16" borderId="31" xfId="7" applyFont="1" applyFill="1" applyBorder="1" applyAlignment="1">
      <alignment horizontal="center" vertical="center" shrinkToFit="1"/>
    </xf>
    <xf numFmtId="0" fontId="18" fillId="9" borderId="101" xfId="7" applyFont="1" applyFill="1" applyBorder="1" applyAlignment="1">
      <alignment horizontal="center" vertical="center" wrapText="1"/>
    </xf>
    <xf numFmtId="176" fontId="18" fillId="9" borderId="113" xfId="7" applyNumberFormat="1" applyFont="1" applyFill="1" applyBorder="1" applyAlignment="1">
      <alignment horizontal="center" vertical="center" wrapText="1"/>
    </xf>
    <xf numFmtId="176" fontId="18" fillId="9" borderId="19" xfId="7" applyNumberFormat="1" applyFont="1" applyFill="1" applyBorder="1" applyAlignment="1">
      <alignment horizontal="center" vertical="center" wrapText="1"/>
    </xf>
    <xf numFmtId="0" fontId="18" fillId="9" borderId="106" xfId="7" applyFont="1" applyFill="1" applyBorder="1" applyAlignment="1">
      <alignment horizontal="center" vertical="center" wrapText="1"/>
    </xf>
    <xf numFmtId="0" fontId="60" fillId="0" borderId="23" xfId="4" applyFont="1" applyFill="1" applyBorder="1" applyAlignment="1" applyProtection="1">
      <alignment horizontal="center" vertical="center" wrapText="1"/>
      <protection locked="0"/>
    </xf>
    <xf numFmtId="0" fontId="60" fillId="0" borderId="64" xfId="4" applyFont="1" applyFill="1" applyBorder="1" applyAlignment="1" applyProtection="1">
      <alignment horizontal="center" vertical="center" wrapText="1"/>
      <protection locked="0"/>
    </xf>
    <xf numFmtId="0" fontId="60" fillId="0" borderId="63" xfId="4" applyFont="1" applyFill="1" applyBorder="1" applyAlignment="1" applyProtection="1">
      <alignment horizontal="center" vertical="center" wrapText="1"/>
      <protection locked="0"/>
    </xf>
    <xf numFmtId="0" fontId="60" fillId="0" borderId="103" xfId="4" applyFont="1" applyFill="1" applyBorder="1" applyAlignment="1" applyProtection="1">
      <alignment horizontal="center" vertical="center" wrapText="1"/>
      <protection locked="0"/>
    </xf>
    <xf numFmtId="0" fontId="22" fillId="0" borderId="15" xfId="4" applyFont="1" applyFill="1" applyBorder="1" applyAlignment="1" applyProtection="1">
      <alignment horizontal="center" vertical="center" wrapText="1"/>
      <protection locked="0"/>
    </xf>
    <xf numFmtId="0" fontId="22" fillId="0" borderId="64" xfId="4" applyFont="1" applyFill="1" applyBorder="1" applyAlignment="1" applyProtection="1">
      <alignment horizontal="center" vertical="center" wrapText="1"/>
      <protection locked="0"/>
    </xf>
    <xf numFmtId="0" fontId="60" fillId="0" borderId="15" xfId="4" applyFont="1" applyFill="1" applyBorder="1" applyAlignment="1" applyProtection="1">
      <alignment horizontal="center" vertical="center" wrapText="1"/>
      <protection locked="0"/>
    </xf>
    <xf numFmtId="0" fontId="13" fillId="0" borderId="49" xfId="0" applyFont="1" applyFill="1" applyBorder="1" applyAlignment="1" applyProtection="1">
      <alignment horizontal="left" vertical="center" shrinkToFit="1"/>
      <protection locked="0"/>
    </xf>
    <xf numFmtId="0" fontId="13" fillId="0" borderId="53" xfId="0" applyFont="1" applyFill="1" applyBorder="1" applyAlignment="1" applyProtection="1">
      <alignment horizontal="left" vertical="center" shrinkToFit="1"/>
      <protection locked="0"/>
    </xf>
    <xf numFmtId="0" fontId="22" fillId="0" borderId="186" xfId="4" applyFont="1" applyFill="1" applyBorder="1" applyAlignment="1" applyProtection="1">
      <alignment horizontal="center" vertical="center" wrapText="1"/>
      <protection locked="0"/>
    </xf>
    <xf numFmtId="0" fontId="22" fillId="0" borderId="184" xfId="4" applyFont="1" applyFill="1" applyBorder="1" applyAlignment="1" applyProtection="1">
      <alignment horizontal="center" vertical="center" wrapText="1"/>
      <protection locked="0"/>
    </xf>
    <xf numFmtId="0" fontId="22" fillId="0" borderId="36" xfId="4" applyFont="1" applyFill="1" applyBorder="1" applyAlignment="1" applyProtection="1">
      <alignment horizontal="center" vertical="center" wrapText="1"/>
      <protection locked="0"/>
    </xf>
    <xf numFmtId="0" fontId="22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18" xfId="0" applyFont="1" applyFill="1" applyBorder="1" applyAlignment="1" applyProtection="1">
      <alignment horizontal="left" vertical="center" shrinkToFit="1"/>
      <protection locked="0"/>
    </xf>
    <xf numFmtId="0" fontId="13" fillId="0" borderId="21" xfId="0" applyFont="1" applyFill="1" applyBorder="1" applyAlignment="1" applyProtection="1">
      <alignment horizontal="left" vertical="center" shrinkToFit="1"/>
      <protection locked="0"/>
    </xf>
    <xf numFmtId="0" fontId="60" fillId="0" borderId="45" xfId="4" applyFont="1" applyFill="1" applyBorder="1" applyAlignment="1" applyProtection="1">
      <alignment horizontal="center" vertical="center" wrapText="1"/>
      <protection locked="0"/>
    </xf>
    <xf numFmtId="0" fontId="60" fillId="0" borderId="46" xfId="4" applyFont="1" applyFill="1" applyBorder="1" applyAlignment="1" applyProtection="1">
      <alignment horizontal="center" vertical="center" wrapText="1"/>
      <protection locked="0"/>
    </xf>
    <xf numFmtId="0" fontId="60" fillId="0" borderId="179" xfId="4" applyFont="1" applyFill="1" applyBorder="1" applyAlignment="1" applyProtection="1">
      <alignment horizontal="center" vertical="center" wrapText="1"/>
      <protection locked="0"/>
    </xf>
    <xf numFmtId="0" fontId="60" fillId="0" borderId="28" xfId="4" applyFont="1" applyFill="1" applyBorder="1" applyAlignment="1" applyProtection="1">
      <alignment horizontal="center" vertical="center" wrapText="1"/>
      <protection locked="0"/>
    </xf>
    <xf numFmtId="0" fontId="22" fillId="0" borderId="78" xfId="4" applyFont="1" applyFill="1" applyBorder="1" applyAlignment="1" applyProtection="1">
      <alignment horizontal="center" vertical="center" wrapText="1"/>
      <protection locked="0"/>
    </xf>
    <xf numFmtId="0" fontId="22" fillId="0" borderId="46" xfId="4" applyFont="1" applyFill="1" applyBorder="1" applyAlignment="1" applyProtection="1">
      <alignment horizontal="center" vertical="center" wrapText="1"/>
      <protection locked="0"/>
    </xf>
    <xf numFmtId="0" fontId="22" fillId="0" borderId="179" xfId="4" applyFont="1" applyFill="1" applyBorder="1" applyAlignment="1" applyProtection="1">
      <alignment horizontal="center" vertical="center" wrapText="1"/>
      <protection locked="0"/>
    </xf>
    <xf numFmtId="0" fontId="22" fillId="0" borderId="62" xfId="4" applyFont="1" applyFill="1" applyBorder="1" applyAlignment="1" applyProtection="1">
      <alignment horizontal="center" vertical="center" wrapText="1"/>
      <protection locked="0"/>
    </xf>
    <xf numFmtId="0" fontId="22" fillId="0" borderId="87" xfId="4" applyFont="1" applyFill="1" applyBorder="1" applyAlignment="1" applyProtection="1">
      <alignment horizontal="center" vertical="center" wrapText="1"/>
      <protection locked="0"/>
    </xf>
    <xf numFmtId="0" fontId="22" fillId="0" borderId="80" xfId="4" applyFont="1" applyFill="1" applyBorder="1" applyAlignment="1" applyProtection="1">
      <alignment horizontal="center" vertical="center" wrapText="1"/>
      <protection locked="0"/>
    </xf>
    <xf numFmtId="0" fontId="22" fillId="0" borderId="60" xfId="4" applyFont="1" applyFill="1" applyBorder="1" applyAlignment="1" applyProtection="1">
      <alignment horizontal="center" vertical="center" wrapText="1"/>
      <protection locked="0"/>
    </xf>
    <xf numFmtId="0" fontId="60" fillId="0" borderId="33" xfId="4" applyFont="1" applyFill="1" applyBorder="1" applyAlignment="1" applyProtection="1">
      <alignment horizontal="center" vertical="center" wrapText="1"/>
      <protection locked="0"/>
    </xf>
    <xf numFmtId="0" fontId="60" fillId="0" borderId="83" xfId="4" applyFont="1" applyFill="1" applyBorder="1" applyAlignment="1" applyProtection="1">
      <alignment horizontal="center" vertical="center" wrapText="1"/>
      <protection locked="0"/>
    </xf>
    <xf numFmtId="0" fontId="22" fillId="0" borderId="33" xfId="4" applyFont="1" applyFill="1" applyBorder="1" applyAlignment="1" applyProtection="1">
      <alignment horizontal="center" vertical="center" wrapText="1"/>
      <protection locked="0"/>
    </xf>
    <xf numFmtId="0" fontId="22" fillId="0" borderId="83" xfId="4" applyFont="1" applyFill="1" applyBorder="1" applyAlignment="1" applyProtection="1">
      <alignment horizontal="center" vertical="center" wrapText="1"/>
      <protection locked="0"/>
    </xf>
    <xf numFmtId="0" fontId="60" fillId="0" borderId="43" xfId="4" applyFont="1" applyFill="1" applyBorder="1" applyAlignment="1" applyProtection="1">
      <alignment horizontal="center" vertical="center" wrapText="1"/>
      <protection locked="0"/>
    </xf>
    <xf numFmtId="0" fontId="22" fillId="0" borderId="44" xfId="4" applyFont="1" applyFill="1" applyBorder="1" applyAlignment="1" applyProtection="1">
      <alignment horizontal="center" vertical="center" wrapText="1"/>
      <protection locked="0"/>
    </xf>
    <xf numFmtId="0" fontId="22" fillId="0" borderId="47" xfId="4" applyFont="1" applyFill="1" applyBorder="1" applyAlignment="1" applyProtection="1">
      <alignment horizontal="center" vertical="center" wrapText="1"/>
      <protection locked="0"/>
    </xf>
    <xf numFmtId="176" fontId="17" fillId="9" borderId="113" xfId="7" applyNumberFormat="1" applyFont="1" applyFill="1" applyBorder="1" applyAlignment="1">
      <alignment horizontal="center" vertical="center" wrapText="1"/>
    </xf>
    <xf numFmtId="176" fontId="17" fillId="9" borderId="19" xfId="7" applyNumberFormat="1" applyFont="1" applyFill="1" applyBorder="1" applyAlignment="1">
      <alignment horizontal="center" vertical="center" wrapText="1"/>
    </xf>
    <xf numFmtId="0" fontId="17" fillId="9" borderId="106" xfId="7" applyFont="1" applyFill="1" applyBorder="1" applyAlignment="1">
      <alignment horizontal="center" vertical="center" wrapText="1"/>
    </xf>
    <xf numFmtId="0" fontId="56" fillId="0" borderId="157" xfId="16" applyFont="1" applyBorder="1" applyAlignment="1">
      <alignment horizontal="center" vertical="center"/>
    </xf>
    <xf numFmtId="0" fontId="41" fillId="0" borderId="154" xfId="16" applyFont="1" applyBorder="1"/>
    <xf numFmtId="0" fontId="36" fillId="0" borderId="0" xfId="16" applyFont="1" applyBorder="1" applyAlignment="1">
      <alignment vertical="center" wrapText="1"/>
    </xf>
    <xf numFmtId="0" fontId="16" fillId="0" borderId="0" xfId="16" applyFont="1" applyBorder="1" applyAlignment="1"/>
    <xf numFmtId="0" fontId="36" fillId="19" borderId="165" xfId="16" applyFont="1" applyFill="1" applyBorder="1" applyAlignment="1">
      <alignment horizontal="center" vertical="center" wrapText="1"/>
    </xf>
    <xf numFmtId="0" fontId="41" fillId="0" borderId="127" xfId="16" applyFont="1" applyBorder="1"/>
    <xf numFmtId="0" fontId="41" fillId="0" borderId="132" xfId="16" applyFont="1" applyBorder="1"/>
    <xf numFmtId="0" fontId="36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4" fillId="20" borderId="135" xfId="16" applyFont="1" applyFill="1" applyBorder="1" applyAlignment="1">
      <alignment horizontal="center" vertical="center"/>
    </xf>
    <xf numFmtId="0" fontId="41" fillId="0" borderId="137" xfId="16" applyFont="1" applyBorder="1"/>
    <xf numFmtId="0" fontId="54" fillId="20" borderId="131" xfId="16" applyFont="1" applyFill="1" applyBorder="1" applyAlignment="1">
      <alignment horizontal="center" vertical="center"/>
    </xf>
    <xf numFmtId="0" fontId="41" fillId="0" borderId="130" xfId="16" applyFont="1" applyBorder="1"/>
    <xf numFmtId="0" fontId="41" fillId="0" borderId="129" xfId="16" applyFont="1" applyBorder="1"/>
    <xf numFmtId="0" fontId="55" fillId="0" borderId="135" xfId="16" applyFont="1" applyBorder="1" applyAlignment="1">
      <alignment horizontal="center" vertical="center"/>
    </xf>
    <xf numFmtId="0" fontId="57" fillId="0" borderId="137" xfId="16" applyFont="1" applyBorder="1"/>
    <xf numFmtId="0" fontId="48" fillId="20" borderId="129" xfId="16" applyFont="1" applyFill="1" applyBorder="1" applyAlignment="1">
      <alignment horizontal="center" vertical="center" wrapText="1"/>
    </xf>
    <xf numFmtId="0" fontId="48" fillId="0" borderId="131" xfId="16" applyFont="1" applyBorder="1" applyAlignment="1">
      <alignment horizontal="center" vertical="center" wrapText="1"/>
    </xf>
    <xf numFmtId="0" fontId="36" fillId="19" borderId="125" xfId="16" applyFont="1" applyFill="1" applyBorder="1" applyAlignment="1">
      <alignment horizontal="center" vertical="center" wrapText="1"/>
    </xf>
    <xf numFmtId="0" fontId="54" fillId="20" borderId="129" xfId="16" applyFont="1" applyFill="1" applyBorder="1" applyAlignment="1">
      <alignment horizontal="center" vertical="center" wrapText="1"/>
    </xf>
    <xf numFmtId="0" fontId="50" fillId="21" borderId="129" xfId="16" applyFont="1" applyFill="1" applyBorder="1" applyAlignment="1">
      <alignment horizontal="center" vertical="center" wrapText="1"/>
    </xf>
    <xf numFmtId="0" fontId="52" fillId="21" borderId="131" xfId="16" applyFont="1" applyFill="1" applyBorder="1" applyAlignment="1">
      <alignment horizontal="center" vertical="center" wrapText="1"/>
    </xf>
    <xf numFmtId="0" fontId="54" fillId="20" borderId="129" xfId="16" applyFont="1" applyFill="1" applyBorder="1" applyAlignment="1">
      <alignment horizontal="center" vertical="center"/>
    </xf>
    <xf numFmtId="0" fontId="54" fillId="0" borderId="131" xfId="16" applyFont="1" applyBorder="1" applyAlignment="1">
      <alignment horizontal="center" vertical="center"/>
    </xf>
    <xf numFmtId="0" fontId="48" fillId="20" borderId="129" xfId="16" applyFont="1" applyFill="1" applyBorder="1" applyAlignment="1">
      <alignment horizontal="center" vertical="center"/>
    </xf>
    <xf numFmtId="0" fontId="48" fillId="0" borderId="109" xfId="16" applyFont="1" applyBorder="1" applyAlignment="1">
      <alignment horizontal="center" vertical="center"/>
    </xf>
    <xf numFmtId="0" fontId="41" fillId="0" borderId="128" xfId="16" applyFont="1" applyBorder="1"/>
    <xf numFmtId="0" fontId="41" fillId="0" borderId="138" xfId="16" applyFont="1" applyBorder="1"/>
    <xf numFmtId="0" fontId="48" fillId="0" borderId="131" xfId="16" applyFont="1" applyBorder="1" applyAlignment="1">
      <alignment horizontal="center" vertical="center"/>
    </xf>
    <xf numFmtId="0" fontId="50" fillId="0" borderId="143" xfId="16" applyFont="1" applyBorder="1" applyAlignment="1">
      <alignment horizontal="center" vertical="center" wrapText="1"/>
    </xf>
    <xf numFmtId="0" fontId="41" fillId="0" borderId="149" xfId="16" applyFont="1" applyBorder="1"/>
    <xf numFmtId="0" fontId="50" fillId="0" borderId="146" xfId="16" applyFont="1" applyBorder="1" applyAlignment="1">
      <alignment horizontal="center" vertical="center" wrapText="1"/>
    </xf>
    <xf numFmtId="0" fontId="41" fillId="0" borderId="148" xfId="16" applyFont="1" applyBorder="1"/>
    <xf numFmtId="0" fontId="41" fillId="0" borderId="136" xfId="16" applyFont="1" applyBorder="1"/>
    <xf numFmtId="0" fontId="50" fillId="0" borderId="157" xfId="16" applyFont="1" applyBorder="1" applyAlignment="1">
      <alignment horizontal="center" vertical="center" wrapText="1"/>
    </xf>
    <xf numFmtId="0" fontId="50" fillId="0" borderId="159" xfId="16" applyFont="1" applyBorder="1" applyAlignment="1">
      <alignment horizontal="center" vertical="center" wrapText="1"/>
    </xf>
    <xf numFmtId="0" fontId="41" fillId="0" borderId="160" xfId="16" applyFont="1" applyBorder="1"/>
    <xf numFmtId="0" fontId="50" fillId="0" borderId="109" xfId="16" applyFont="1" applyBorder="1" applyAlignment="1">
      <alignment horizontal="center" vertical="center" wrapText="1"/>
    </xf>
    <xf numFmtId="0" fontId="50" fillId="0" borderId="161" xfId="16" applyFont="1" applyBorder="1" applyAlignment="1">
      <alignment horizontal="center" vertical="center" wrapText="1"/>
    </xf>
    <xf numFmtId="0" fontId="41" fillId="0" borderId="162" xfId="16" applyFont="1" applyBorder="1"/>
    <xf numFmtId="0" fontId="50" fillId="0" borderId="131" xfId="16" applyFont="1" applyBorder="1" applyAlignment="1">
      <alignment horizontal="center" vertical="center" wrapText="1"/>
    </xf>
    <xf numFmtId="0" fontId="49" fillId="21" borderId="141" xfId="16" applyFont="1" applyFill="1" applyBorder="1" applyAlignment="1">
      <alignment horizontal="center" vertical="center" wrapText="1"/>
    </xf>
    <xf numFmtId="0" fontId="41" fillId="0" borderId="142" xfId="16" applyFont="1" applyBorder="1"/>
    <xf numFmtId="0" fontId="50" fillId="0" borderId="144" xfId="16" applyFont="1" applyBorder="1" applyAlignment="1">
      <alignment horizontal="center" vertical="center" wrapText="1"/>
    </xf>
    <xf numFmtId="0" fontId="41" fillId="0" borderId="150" xfId="16" applyFont="1" applyBorder="1"/>
    <xf numFmtId="0" fontId="41" fillId="0" borderId="153" xfId="16" applyFont="1" applyBorder="1"/>
    <xf numFmtId="0" fontId="50" fillId="0" borderId="129" xfId="16" applyFont="1" applyBorder="1" applyAlignment="1">
      <alignment horizontal="center" vertical="center" wrapText="1"/>
    </xf>
    <xf numFmtId="0" fontId="52" fillId="0" borderId="131" xfId="16" applyFont="1" applyBorder="1" applyAlignment="1">
      <alignment horizontal="center" vertical="center" wrapText="1"/>
    </xf>
    <xf numFmtId="0" fontId="50" fillId="21" borderId="131" xfId="16" applyFont="1" applyFill="1" applyBorder="1" applyAlignment="1">
      <alignment horizontal="center" vertical="center" wrapText="1"/>
    </xf>
    <xf numFmtId="0" fontId="48" fillId="20" borderId="134" xfId="16" applyFont="1" applyFill="1" applyBorder="1" applyAlignment="1">
      <alignment horizontal="center" vertical="center"/>
    </xf>
    <xf numFmtId="0" fontId="41" fillId="0" borderId="135" xfId="16" applyFont="1" applyBorder="1"/>
    <xf numFmtId="0" fontId="48" fillId="0" borderId="109" xfId="16" applyFont="1" applyBorder="1" applyAlignment="1">
      <alignment horizontal="center" vertical="center" wrapText="1"/>
    </xf>
    <xf numFmtId="0" fontId="41" fillId="0" borderId="134" xfId="16" applyFont="1" applyBorder="1"/>
    <xf numFmtId="0" fontId="44" fillId="0" borderId="0" xfId="16" applyFont="1" applyAlignment="1">
      <alignment horizontal="center" vertical="center"/>
    </xf>
    <xf numFmtId="0" fontId="46" fillId="0" borderId="0" xfId="16" applyFont="1" applyAlignment="1"/>
    <xf numFmtId="0" fontId="47" fillId="0" borderId="126" xfId="16" applyFont="1" applyBorder="1" applyAlignment="1">
      <alignment horizontal="center" vertical="center"/>
    </xf>
    <xf numFmtId="0" fontId="41" fillId="0" borderId="27" xfId="16" applyFont="1" applyBorder="1"/>
    <xf numFmtId="0" fontId="41" fillId="0" borderId="24" xfId="16" applyFont="1" applyBorder="1"/>
    <xf numFmtId="0" fontId="47" fillId="8" borderId="4" xfId="16" applyFont="1" applyFill="1" applyBorder="1" applyAlignment="1">
      <alignment horizontal="center" vertical="center"/>
    </xf>
    <xf numFmtId="0" fontId="41" fillId="8" borderId="27" xfId="16" applyFont="1" applyFill="1" applyBorder="1"/>
    <xf numFmtId="0" fontId="41" fillId="8" borderId="24" xfId="16" applyFont="1" applyFill="1" applyBorder="1"/>
    <xf numFmtId="0" fontId="15" fillId="0" borderId="70" xfId="4" applyFont="1" applyFill="1" applyBorder="1" applyAlignment="1" applyProtection="1">
      <alignment horizontal="center" vertical="center" wrapText="1"/>
      <protection locked="0"/>
    </xf>
    <xf numFmtId="0" fontId="15" fillId="0" borderId="78" xfId="4" applyFont="1" applyFill="1" applyBorder="1" applyAlignment="1" applyProtection="1">
      <alignment horizontal="center" vertical="center" wrapText="1"/>
      <protection locked="0"/>
    </xf>
    <xf numFmtId="0" fontId="71" fillId="0" borderId="70" xfId="4" applyFont="1" applyFill="1" applyBorder="1" applyAlignment="1" applyProtection="1">
      <alignment horizontal="center" vertical="center" wrapText="1"/>
      <protection locked="0"/>
    </xf>
    <xf numFmtId="0" fontId="71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15" xfId="4" applyFont="1" applyFill="1" applyBorder="1" applyAlignment="1" applyProtection="1">
      <alignment horizontal="center" vertical="center" wrapText="1"/>
      <protection locked="0"/>
    </xf>
    <xf numFmtId="0" fontId="13" fillId="0" borderId="64" xfId="4" applyFont="1" applyFill="1" applyBorder="1" applyAlignment="1" applyProtection="1">
      <alignment horizontal="center" vertical="center" wrapText="1"/>
      <protection locked="0"/>
    </xf>
    <xf numFmtId="0" fontId="17" fillId="0" borderId="25" xfId="7" applyFont="1" applyFill="1" applyBorder="1" applyAlignment="1">
      <alignment horizontal="center" vertical="center" wrapText="1"/>
    </xf>
    <xf numFmtId="0" fontId="17" fillId="0" borderId="107" xfId="7" applyFont="1" applyFill="1" applyBorder="1" applyAlignment="1">
      <alignment horizontal="center" vertical="center" wrapText="1"/>
    </xf>
    <xf numFmtId="0" fontId="17" fillId="0" borderId="9" xfId="7" applyFont="1" applyFill="1" applyBorder="1" applyAlignment="1">
      <alignment horizontal="center" vertical="center" wrapText="1"/>
    </xf>
    <xf numFmtId="0" fontId="17" fillId="0" borderId="26" xfId="7" applyFont="1" applyFill="1" applyBorder="1" applyAlignment="1">
      <alignment horizontal="center" vertical="center" wrapText="1"/>
    </xf>
    <xf numFmtId="0" fontId="17" fillId="0" borderId="108" xfId="7" applyFont="1" applyFill="1" applyBorder="1" applyAlignment="1">
      <alignment horizontal="center" vertical="center" wrapText="1"/>
    </xf>
    <xf numFmtId="0" fontId="17" fillId="0" borderId="5" xfId="7" applyFont="1" applyFill="1" applyBorder="1" applyAlignment="1">
      <alignment horizontal="center" vertical="center" wrapText="1"/>
    </xf>
    <xf numFmtId="176" fontId="17" fillId="0" borderId="90" xfId="7" applyNumberFormat="1" applyFont="1" applyFill="1" applyBorder="1" applyAlignment="1">
      <alignment horizontal="center" vertical="center" wrapText="1"/>
    </xf>
    <xf numFmtId="0" fontId="17" fillId="0" borderId="12" xfId="7" applyFont="1" applyFill="1" applyBorder="1" applyAlignment="1">
      <alignment horizontal="center" vertical="center" wrapText="1"/>
    </xf>
    <xf numFmtId="0" fontId="17" fillId="0" borderId="14" xfId="7" applyFont="1" applyFill="1" applyBorder="1" applyAlignment="1">
      <alignment horizontal="center" vertical="center" wrapText="1"/>
    </xf>
    <xf numFmtId="0" fontId="17" fillId="0" borderId="8" xfId="7" applyFont="1" applyFill="1" applyBorder="1" applyAlignment="1">
      <alignment horizontal="center" vertical="center" wrapText="1"/>
    </xf>
    <xf numFmtId="0" fontId="17" fillId="0" borderId="91" xfId="7" applyFont="1" applyFill="1" applyBorder="1" applyAlignment="1">
      <alignment horizontal="center" vertical="center" wrapText="1"/>
    </xf>
    <xf numFmtId="0" fontId="18" fillId="9" borderId="31" xfId="7" applyFont="1" applyFill="1" applyBorder="1" applyAlignment="1">
      <alignment horizontal="center" vertical="center" wrapText="1"/>
    </xf>
    <xf numFmtId="0" fontId="18" fillId="0" borderId="92" xfId="7" applyFont="1" applyFill="1" applyBorder="1" applyAlignment="1">
      <alignment horizontal="center" vertical="center" wrapText="1"/>
    </xf>
    <xf numFmtId="176" fontId="18" fillId="0" borderId="107" xfId="7" applyNumberFormat="1" applyFont="1" applyFill="1" applyBorder="1" applyAlignment="1">
      <alignment horizontal="center" vertical="center" wrapText="1"/>
    </xf>
    <xf numFmtId="0" fontId="18" fillId="0" borderId="25" xfId="7" applyFont="1" applyFill="1" applyBorder="1" applyAlignment="1">
      <alignment horizontal="center" vertical="center" wrapText="1"/>
    </xf>
    <xf numFmtId="176" fontId="18" fillId="0" borderId="9" xfId="7" applyNumberFormat="1" applyFont="1" applyFill="1" applyBorder="1" applyAlignment="1">
      <alignment horizontal="center" vertical="center" wrapText="1"/>
    </xf>
    <xf numFmtId="0" fontId="18" fillId="0" borderId="26" xfId="7" applyFont="1" applyFill="1" applyBorder="1" applyAlignment="1">
      <alignment horizontal="center" vertical="center" wrapText="1"/>
    </xf>
    <xf numFmtId="176" fontId="18" fillId="0" borderId="108" xfId="7" applyNumberFormat="1" applyFont="1" applyFill="1" applyBorder="1" applyAlignment="1">
      <alignment horizontal="center" vertical="center" wrapText="1"/>
    </xf>
    <xf numFmtId="176" fontId="20" fillId="0" borderId="9" xfId="7" applyNumberFormat="1" applyFont="1" applyFill="1" applyBorder="1" applyAlignment="1">
      <alignment horizontal="center" vertical="center" shrinkToFit="1"/>
    </xf>
    <xf numFmtId="176" fontId="20" fillId="0" borderId="31" xfId="7" applyNumberFormat="1" applyFont="1" applyFill="1" applyBorder="1" applyAlignment="1">
      <alignment horizontal="center" vertical="center" shrinkToFit="1"/>
    </xf>
    <xf numFmtId="0" fontId="63" fillId="0" borderId="90" xfId="0" applyFont="1" applyFill="1" applyBorder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0" fontId="38" fillId="0" borderId="14" xfId="7" applyFont="1" applyFill="1" applyBorder="1" applyAlignment="1">
      <alignment horizontal="center" vertical="center" shrinkToFit="1"/>
    </xf>
    <xf numFmtId="0" fontId="38" fillId="0" borderId="11" xfId="7" applyFont="1" applyFill="1" applyBorder="1" applyAlignment="1">
      <alignment horizontal="center" vertical="center" shrinkToFit="1"/>
    </xf>
    <xf numFmtId="176" fontId="38" fillId="0" borderId="11" xfId="7" applyNumberFormat="1" applyFont="1" applyFill="1" applyBorder="1" applyAlignment="1">
      <alignment horizontal="center" vertical="center" shrinkToFit="1"/>
    </xf>
    <xf numFmtId="176" fontId="39" fillId="0" borderId="11" xfId="0" applyNumberFormat="1" applyFont="1" applyFill="1" applyBorder="1" applyAlignment="1">
      <alignment horizontal="center" vertical="center" shrinkToFit="1"/>
    </xf>
    <xf numFmtId="0" fontId="63" fillId="0" borderId="14" xfId="0" applyFont="1" applyFill="1" applyBorder="1" applyAlignment="1">
      <alignment horizontal="center" vertical="center"/>
    </xf>
    <xf numFmtId="0" fontId="18" fillId="16" borderId="183" xfId="7" applyFont="1" applyFill="1" applyBorder="1" applyAlignment="1">
      <alignment horizontal="center" vertical="center" shrinkToFit="1"/>
    </xf>
    <xf numFmtId="0" fontId="18" fillId="16" borderId="17" xfId="7" applyFont="1" applyFill="1" applyBorder="1" applyAlignment="1">
      <alignment horizontal="center" vertical="center" shrinkToFit="1"/>
    </xf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4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D4F084FD-93A2-4967-9A83-FB39CF5EE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E3EFE16F-9050-4B31-B484-7D6A001A8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76200</xdr:colOff>
      <xdr:row>7</xdr:row>
      <xdr:rowOff>76200</xdr:rowOff>
    </xdr:from>
    <xdr:ext cx="6494930" cy="1105488"/>
    <xdr:pic>
      <xdr:nvPicPr>
        <xdr:cNvPr id="2" name="그림 1">
          <a:extLst>
            <a:ext uri="{FF2B5EF4-FFF2-40B4-BE49-F238E27FC236}">
              <a16:creationId xmlns:a16="http://schemas.microsoft.com/office/drawing/2014/main" id="{97BF1102-B1AF-43C6-BF19-BFB4BF111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75180" y="2247900"/>
          <a:ext cx="6494930" cy="110548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E92"/>
  <sheetViews>
    <sheetView view="pageBreakPreview" zoomScale="77" zoomScaleNormal="100" zoomScaleSheetLayoutView="77" workbookViewId="0">
      <pane ySplit="8" topLeftCell="A39" activePane="bottomLeft" state="frozen"/>
      <selection pane="bottomLeft" activeCell="O38" sqref="O38:P38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6" width="6.3984375" style="4" customWidth="1"/>
    <col min="27" max="27" width="8.69921875" style="4"/>
    <col min="28" max="28" width="16.3984375" style="4" customWidth="1"/>
    <col min="29" max="30" width="12.8984375" style="4" customWidth="1"/>
    <col min="31" max="31" width="13.8984375" style="4" customWidth="1"/>
    <col min="32" max="16384" width="8.69921875" style="4"/>
  </cols>
  <sheetData>
    <row r="1" spans="2:31" ht="18" thickBot="1"/>
    <row r="2" spans="2:31" ht="30.75" customHeight="1" thickBot="1">
      <c r="B2" s="567" t="s">
        <v>754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8"/>
      <c r="V2" s="569" t="s">
        <v>129</v>
      </c>
      <c r="W2" s="570"/>
      <c r="X2" s="565">
        <v>2027</v>
      </c>
      <c r="Y2" s="566"/>
      <c r="Z2" s="205"/>
      <c r="AB2" s="571" t="s">
        <v>142</v>
      </c>
      <c r="AC2" s="14" t="s">
        <v>143</v>
      </c>
      <c r="AD2" s="28" t="s">
        <v>151</v>
      </c>
      <c r="AE2" s="15" t="s">
        <v>144</v>
      </c>
    </row>
    <row r="3" spans="2:31" ht="18" thickBot="1">
      <c r="B3" s="497" t="s">
        <v>361</v>
      </c>
      <c r="C3" s="499" t="s">
        <v>52</v>
      </c>
      <c r="D3" s="500"/>
      <c r="E3" s="500"/>
      <c r="F3" s="499" t="s">
        <v>63</v>
      </c>
      <c r="G3" s="503"/>
      <c r="H3" s="499" t="s">
        <v>53</v>
      </c>
      <c r="I3" s="500"/>
      <c r="J3" s="500"/>
      <c r="K3" s="499" t="s">
        <v>54</v>
      </c>
      <c r="L3" s="500"/>
      <c r="M3" s="500"/>
      <c r="N3" s="500"/>
      <c r="O3" s="503"/>
      <c r="P3" s="505" t="s">
        <v>55</v>
      </c>
      <c r="Q3" s="506"/>
      <c r="R3" s="506"/>
      <c r="S3" s="506"/>
      <c r="T3" s="506"/>
      <c r="U3" s="506"/>
      <c r="V3" s="506"/>
      <c r="W3" s="506"/>
      <c r="X3" s="506"/>
      <c r="Y3" s="507"/>
      <c r="Z3" s="205"/>
      <c r="AB3" s="572"/>
      <c r="AC3" s="16" t="s">
        <v>145</v>
      </c>
      <c r="AD3" s="39" t="s">
        <v>724</v>
      </c>
      <c r="AE3" s="17" t="s">
        <v>725</v>
      </c>
    </row>
    <row r="4" spans="2:31" ht="18" thickBot="1">
      <c r="B4" s="498"/>
      <c r="C4" s="501"/>
      <c r="D4" s="502"/>
      <c r="E4" s="502"/>
      <c r="F4" s="501"/>
      <c r="G4" s="504"/>
      <c r="H4" s="501"/>
      <c r="I4" s="502"/>
      <c r="J4" s="502"/>
      <c r="K4" s="501"/>
      <c r="L4" s="502"/>
      <c r="M4" s="502"/>
      <c r="N4" s="502"/>
      <c r="O4" s="504"/>
      <c r="P4" s="505" t="s">
        <v>126</v>
      </c>
      <c r="Q4" s="506"/>
      <c r="R4" s="506"/>
      <c r="S4" s="506"/>
      <c r="T4" s="505" t="s">
        <v>60</v>
      </c>
      <c r="U4" s="506"/>
      <c r="V4" s="507"/>
      <c r="W4" s="506" t="s">
        <v>127</v>
      </c>
      <c r="X4" s="506"/>
      <c r="Y4" s="507"/>
      <c r="Z4" s="205"/>
      <c r="AB4" s="572"/>
      <c r="AC4" s="18" t="s">
        <v>146</v>
      </c>
      <c r="AD4" s="231" t="s">
        <v>726</v>
      </c>
      <c r="AE4" s="17" t="s">
        <v>725</v>
      </c>
    </row>
    <row r="5" spans="2:31" ht="26.25" customHeight="1" thickBot="1">
      <c r="B5" s="69" t="s">
        <v>514</v>
      </c>
      <c r="C5" s="485" t="s">
        <v>516</v>
      </c>
      <c r="D5" s="486"/>
      <c r="E5" s="487"/>
      <c r="F5" s="485" t="s">
        <v>149</v>
      </c>
      <c r="G5" s="488"/>
      <c r="H5" s="508" t="s">
        <v>517</v>
      </c>
      <c r="I5" s="486"/>
      <c r="J5" s="487"/>
      <c r="K5" s="485" t="s">
        <v>517</v>
      </c>
      <c r="L5" s="486"/>
      <c r="M5" s="486"/>
      <c r="N5" s="486"/>
      <c r="O5" s="488"/>
      <c r="P5" s="508" t="s">
        <v>518</v>
      </c>
      <c r="Q5" s="486"/>
      <c r="R5" s="486"/>
      <c r="S5" s="487"/>
      <c r="T5" s="485" t="s">
        <v>519</v>
      </c>
      <c r="U5" s="486"/>
      <c r="V5" s="487"/>
      <c r="W5" s="536" t="s">
        <v>625</v>
      </c>
      <c r="X5" s="537"/>
      <c r="Y5" s="538"/>
      <c r="Z5" s="204"/>
      <c r="AB5" s="573"/>
      <c r="AC5" s="19" t="s">
        <v>147</v>
      </c>
      <c r="AD5" s="232" t="s">
        <v>727</v>
      </c>
      <c r="AE5" s="181" t="s">
        <v>727</v>
      </c>
    </row>
    <row r="6" spans="2:31" ht="15.75" customHeight="1" thickBot="1">
      <c r="U6" s="519"/>
      <c r="V6" s="519"/>
      <c r="W6" s="519"/>
      <c r="X6" s="519"/>
      <c r="Y6" s="519"/>
      <c r="Z6" s="184"/>
    </row>
    <row r="7" spans="2:31" s="10" customFormat="1" ht="22.5" customHeight="1">
      <c r="B7" s="520" t="s">
        <v>2</v>
      </c>
      <c r="C7" s="521"/>
      <c r="D7" s="524" t="s">
        <v>119</v>
      </c>
      <c r="E7" s="526" t="s">
        <v>56</v>
      </c>
      <c r="F7" s="527"/>
      <c r="G7" s="493"/>
      <c r="H7" s="489" t="s">
        <v>132</v>
      </c>
      <c r="I7" s="511" t="s">
        <v>133</v>
      </c>
      <c r="J7" s="490" t="s">
        <v>134</v>
      </c>
      <c r="K7" s="531" t="s">
        <v>57</v>
      </c>
      <c r="L7" s="511"/>
      <c r="M7" s="511"/>
      <c r="N7" s="532"/>
      <c r="O7" s="533" t="s">
        <v>58</v>
      </c>
      <c r="P7" s="511"/>
      <c r="Q7" s="511"/>
      <c r="R7" s="532"/>
      <c r="S7" s="531" t="s">
        <v>59</v>
      </c>
      <c r="T7" s="511"/>
      <c r="U7" s="511"/>
      <c r="V7" s="534"/>
      <c r="W7" s="489" t="s">
        <v>135</v>
      </c>
      <c r="X7" s="490"/>
      <c r="Y7" s="493" t="s">
        <v>136</v>
      </c>
      <c r="Z7" s="315" t="s">
        <v>722</v>
      </c>
      <c r="AA7" s="9"/>
    </row>
    <row r="8" spans="2:31" s="10" customFormat="1" ht="22.5" customHeight="1" thickBot="1">
      <c r="B8" s="522"/>
      <c r="C8" s="523"/>
      <c r="D8" s="525"/>
      <c r="E8" s="20" t="s">
        <v>17</v>
      </c>
      <c r="F8" s="495" t="s">
        <v>18</v>
      </c>
      <c r="G8" s="496"/>
      <c r="H8" s="491"/>
      <c r="I8" s="510"/>
      <c r="J8" s="492"/>
      <c r="K8" s="509" t="s">
        <v>0</v>
      </c>
      <c r="L8" s="510"/>
      <c r="M8" s="510" t="s">
        <v>61</v>
      </c>
      <c r="N8" s="512"/>
      <c r="O8" s="513" t="s">
        <v>0</v>
      </c>
      <c r="P8" s="510"/>
      <c r="Q8" s="510" t="s">
        <v>61</v>
      </c>
      <c r="R8" s="512"/>
      <c r="S8" s="509" t="s">
        <v>0</v>
      </c>
      <c r="T8" s="510"/>
      <c r="U8" s="510" t="s">
        <v>61</v>
      </c>
      <c r="V8" s="535"/>
      <c r="W8" s="491"/>
      <c r="X8" s="492"/>
      <c r="Y8" s="494"/>
      <c r="Z8" s="316"/>
      <c r="AB8" s="371" t="s">
        <v>500</v>
      </c>
      <c r="AC8" s="371"/>
      <c r="AD8" s="371"/>
      <c r="AE8" s="371"/>
    </row>
    <row r="9" spans="2:31" ht="16.5" customHeight="1" thickBot="1">
      <c r="B9" s="514" t="s">
        <v>337</v>
      </c>
      <c r="C9" s="515"/>
      <c r="D9" s="477" t="s">
        <v>20</v>
      </c>
      <c r="E9" s="40" t="s">
        <v>11</v>
      </c>
      <c r="F9" s="470" t="s">
        <v>201</v>
      </c>
      <c r="G9" s="471"/>
      <c r="H9" s="41">
        <v>4</v>
      </c>
      <c r="I9" s="42" t="s">
        <v>338</v>
      </c>
      <c r="J9" s="43">
        <v>3</v>
      </c>
      <c r="K9" s="470">
        <v>3</v>
      </c>
      <c r="L9" s="518"/>
      <c r="M9" s="547"/>
      <c r="N9" s="548"/>
      <c r="O9" s="546"/>
      <c r="P9" s="518"/>
      <c r="Q9" s="547"/>
      <c r="R9" s="548"/>
      <c r="S9" s="546"/>
      <c r="T9" s="518"/>
      <c r="U9" s="547"/>
      <c r="V9" s="471"/>
      <c r="W9" s="44">
        <f>SUM(K9:V9)</f>
        <v>3</v>
      </c>
      <c r="X9" s="596">
        <f>SUM(W9:W11)</f>
        <v>9</v>
      </c>
      <c r="Y9" s="480">
        <v>24</v>
      </c>
      <c r="Z9" s="212"/>
      <c r="AB9" s="130" t="s">
        <v>501</v>
      </c>
      <c r="AC9" s="131" t="s">
        <v>507</v>
      </c>
      <c r="AD9" s="131" t="s">
        <v>508</v>
      </c>
      <c r="AE9" s="132" t="s">
        <v>509</v>
      </c>
    </row>
    <row r="10" spans="2:31" ht="18" thickBot="1">
      <c r="B10" s="516"/>
      <c r="C10" s="517"/>
      <c r="D10" s="478"/>
      <c r="E10" s="45" t="s">
        <v>11</v>
      </c>
      <c r="F10" s="481" t="s">
        <v>202</v>
      </c>
      <c r="G10" s="482"/>
      <c r="H10" s="46">
        <v>4</v>
      </c>
      <c r="I10" s="47" t="s">
        <v>338</v>
      </c>
      <c r="J10" s="48">
        <v>3</v>
      </c>
      <c r="K10" s="481"/>
      <c r="L10" s="528"/>
      <c r="M10" s="529">
        <v>3</v>
      </c>
      <c r="N10" s="530"/>
      <c r="O10" s="560"/>
      <c r="P10" s="528"/>
      <c r="Q10" s="529"/>
      <c r="R10" s="530"/>
      <c r="S10" s="560"/>
      <c r="T10" s="528"/>
      <c r="U10" s="529"/>
      <c r="V10" s="482"/>
      <c r="W10" s="49">
        <f t="shared" ref="W10:W24" si="0">SUM(K10:V10)</f>
        <v>3</v>
      </c>
      <c r="X10" s="598"/>
      <c r="Y10" s="480"/>
      <c r="Z10" s="189"/>
      <c r="AB10" s="133" t="s">
        <v>502</v>
      </c>
      <c r="AC10" s="134">
        <v>4</v>
      </c>
      <c r="AD10" s="134">
        <v>-1</v>
      </c>
      <c r="AE10" s="17" t="s">
        <v>510</v>
      </c>
    </row>
    <row r="11" spans="2:31" ht="18" thickBot="1">
      <c r="B11" s="516"/>
      <c r="C11" s="517"/>
      <c r="D11" s="479"/>
      <c r="E11" s="50" t="s">
        <v>339</v>
      </c>
      <c r="F11" s="542" t="s">
        <v>205</v>
      </c>
      <c r="G11" s="543"/>
      <c r="H11" s="51">
        <v>4</v>
      </c>
      <c r="I11" s="52" t="s">
        <v>340</v>
      </c>
      <c r="J11" s="53">
        <v>3</v>
      </c>
      <c r="K11" s="542"/>
      <c r="L11" s="555"/>
      <c r="M11" s="552"/>
      <c r="N11" s="553"/>
      <c r="O11" s="556"/>
      <c r="P11" s="555"/>
      <c r="Q11" s="552">
        <v>3</v>
      </c>
      <c r="R11" s="553"/>
      <c r="S11" s="556"/>
      <c r="T11" s="555"/>
      <c r="U11" s="552"/>
      <c r="V11" s="543"/>
      <c r="W11" s="49">
        <f t="shared" si="0"/>
        <v>3</v>
      </c>
      <c r="X11" s="598"/>
      <c r="Y11" s="480"/>
      <c r="Z11" s="189"/>
      <c r="AB11" s="133" t="s">
        <v>503</v>
      </c>
      <c r="AC11" s="134">
        <v>3</v>
      </c>
      <c r="AD11" s="134"/>
      <c r="AE11" s="17">
        <v>3</v>
      </c>
    </row>
    <row r="12" spans="2:31" ht="18" thickBot="1">
      <c r="B12" s="516"/>
      <c r="C12" s="517"/>
      <c r="D12" s="477" t="s">
        <v>4</v>
      </c>
      <c r="E12" s="40" t="s">
        <v>11</v>
      </c>
      <c r="F12" s="470" t="s">
        <v>213</v>
      </c>
      <c r="G12" s="471"/>
      <c r="H12" s="41">
        <v>4</v>
      </c>
      <c r="I12" s="42" t="s">
        <v>338</v>
      </c>
      <c r="J12" s="43">
        <v>3</v>
      </c>
      <c r="K12" s="470">
        <v>3</v>
      </c>
      <c r="L12" s="518"/>
      <c r="M12" s="547"/>
      <c r="N12" s="548"/>
      <c r="O12" s="546"/>
      <c r="P12" s="518"/>
      <c r="Q12" s="547"/>
      <c r="R12" s="548"/>
      <c r="S12" s="549"/>
      <c r="T12" s="550"/>
      <c r="U12" s="603"/>
      <c r="V12" s="604"/>
      <c r="W12" s="44">
        <f t="shared" si="0"/>
        <v>3</v>
      </c>
      <c r="X12" s="596">
        <f t="shared" ref="X12" si="1">SUM(W12:W14)</f>
        <v>9</v>
      </c>
      <c r="Y12" s="480"/>
      <c r="Z12" s="189"/>
      <c r="AB12" s="133" t="s">
        <v>504</v>
      </c>
      <c r="AC12" s="134">
        <v>4</v>
      </c>
      <c r="AD12" s="134" t="s">
        <v>513</v>
      </c>
      <c r="AE12" s="17" t="s">
        <v>511</v>
      </c>
    </row>
    <row r="13" spans="2:31" ht="18" thickBot="1">
      <c r="B13" s="516"/>
      <c r="C13" s="517"/>
      <c r="D13" s="478"/>
      <c r="E13" s="45" t="s">
        <v>11</v>
      </c>
      <c r="F13" s="481" t="s">
        <v>215</v>
      </c>
      <c r="G13" s="482"/>
      <c r="H13" s="46">
        <v>4</v>
      </c>
      <c r="I13" s="47" t="s">
        <v>338</v>
      </c>
      <c r="J13" s="48">
        <v>3</v>
      </c>
      <c r="K13" s="481"/>
      <c r="L13" s="528"/>
      <c r="M13" s="529">
        <v>3</v>
      </c>
      <c r="N13" s="530"/>
      <c r="O13" s="560"/>
      <c r="P13" s="528"/>
      <c r="Q13" s="529"/>
      <c r="R13" s="530"/>
      <c r="S13" s="576"/>
      <c r="T13" s="577"/>
      <c r="U13" s="574"/>
      <c r="V13" s="582"/>
      <c r="W13" s="49">
        <f t="shared" si="0"/>
        <v>3</v>
      </c>
      <c r="X13" s="598"/>
      <c r="Y13" s="480"/>
      <c r="Z13" s="189"/>
      <c r="AB13" s="133" t="s">
        <v>505</v>
      </c>
      <c r="AC13" s="134">
        <v>3</v>
      </c>
      <c r="AD13" s="134" t="s">
        <v>513</v>
      </c>
      <c r="AE13" s="17" t="s">
        <v>512</v>
      </c>
    </row>
    <row r="14" spans="2:31" ht="18" thickBot="1">
      <c r="B14" s="516"/>
      <c r="C14" s="517"/>
      <c r="D14" s="479"/>
      <c r="E14" s="50" t="s">
        <v>339</v>
      </c>
      <c r="F14" s="542" t="s">
        <v>341</v>
      </c>
      <c r="G14" s="543"/>
      <c r="H14" s="51">
        <v>4</v>
      </c>
      <c r="I14" s="52" t="s">
        <v>340</v>
      </c>
      <c r="J14" s="53">
        <v>3</v>
      </c>
      <c r="K14" s="542"/>
      <c r="L14" s="555"/>
      <c r="M14" s="552"/>
      <c r="N14" s="553"/>
      <c r="O14" s="556">
        <v>3</v>
      </c>
      <c r="P14" s="555"/>
      <c r="Q14" s="552"/>
      <c r="R14" s="553"/>
      <c r="S14" s="599"/>
      <c r="T14" s="600"/>
      <c r="U14" s="601"/>
      <c r="V14" s="602"/>
      <c r="W14" s="49">
        <f t="shared" si="0"/>
        <v>3</v>
      </c>
      <c r="X14" s="598"/>
      <c r="Y14" s="480"/>
      <c r="Z14" s="189"/>
      <c r="AB14" s="135" t="s">
        <v>506</v>
      </c>
      <c r="AC14" s="369" t="s">
        <v>515</v>
      </c>
      <c r="AD14" s="369"/>
      <c r="AE14" s="370"/>
    </row>
    <row r="15" spans="2:31" ht="18" thickBot="1">
      <c r="B15" s="516"/>
      <c r="C15" s="517"/>
      <c r="D15" s="477" t="s">
        <v>5</v>
      </c>
      <c r="E15" s="40" t="s">
        <v>11</v>
      </c>
      <c r="F15" s="470" t="s">
        <v>342</v>
      </c>
      <c r="G15" s="471"/>
      <c r="H15" s="41">
        <v>4</v>
      </c>
      <c r="I15" s="42" t="s">
        <v>338</v>
      </c>
      <c r="J15" s="43">
        <v>3</v>
      </c>
      <c r="K15" s="470">
        <v>3</v>
      </c>
      <c r="L15" s="518"/>
      <c r="M15" s="547"/>
      <c r="N15" s="548"/>
      <c r="O15" s="546"/>
      <c r="P15" s="518"/>
      <c r="Q15" s="547"/>
      <c r="R15" s="548"/>
      <c r="S15" s="546"/>
      <c r="T15" s="518"/>
      <c r="U15" s="547"/>
      <c r="V15" s="471"/>
      <c r="W15" s="44">
        <f t="shared" si="0"/>
        <v>3</v>
      </c>
      <c r="X15" s="596">
        <f t="shared" ref="X15" si="2">SUM(W15:W17)</f>
        <v>9</v>
      </c>
      <c r="Y15" s="480"/>
      <c r="Z15" s="189"/>
    </row>
    <row r="16" spans="2:31" ht="18" thickBot="1">
      <c r="B16" s="516"/>
      <c r="C16" s="517"/>
      <c r="D16" s="478"/>
      <c r="E16" s="45" t="s">
        <v>11</v>
      </c>
      <c r="F16" s="481" t="s">
        <v>226</v>
      </c>
      <c r="G16" s="482"/>
      <c r="H16" s="46">
        <v>4</v>
      </c>
      <c r="I16" s="47" t="s">
        <v>338</v>
      </c>
      <c r="J16" s="48">
        <v>3</v>
      </c>
      <c r="K16" s="481"/>
      <c r="L16" s="528"/>
      <c r="M16" s="529">
        <v>3</v>
      </c>
      <c r="N16" s="530"/>
      <c r="O16" s="560"/>
      <c r="P16" s="528"/>
      <c r="Q16" s="529"/>
      <c r="R16" s="530"/>
      <c r="S16" s="560"/>
      <c r="T16" s="528"/>
      <c r="U16" s="529"/>
      <c r="V16" s="482"/>
      <c r="W16" s="49">
        <f t="shared" si="0"/>
        <v>3</v>
      </c>
      <c r="X16" s="598"/>
      <c r="Y16" s="480"/>
      <c r="Z16" s="189"/>
    </row>
    <row r="17" spans="2:30" ht="18" thickBot="1">
      <c r="B17" s="516"/>
      <c r="C17" s="517"/>
      <c r="D17" s="479"/>
      <c r="E17" s="54" t="s">
        <v>339</v>
      </c>
      <c r="F17" s="542" t="s">
        <v>343</v>
      </c>
      <c r="G17" s="543"/>
      <c r="H17" s="51">
        <v>4</v>
      </c>
      <c r="I17" s="52" t="s">
        <v>340</v>
      </c>
      <c r="J17" s="53">
        <v>3</v>
      </c>
      <c r="K17" s="542"/>
      <c r="L17" s="555"/>
      <c r="M17" s="552"/>
      <c r="N17" s="553"/>
      <c r="O17" s="556">
        <v>3</v>
      </c>
      <c r="P17" s="555"/>
      <c r="Q17" s="552"/>
      <c r="R17" s="553"/>
      <c r="S17" s="556"/>
      <c r="T17" s="555"/>
      <c r="U17" s="552"/>
      <c r="V17" s="543"/>
      <c r="W17" s="49">
        <f t="shared" si="0"/>
        <v>3</v>
      </c>
      <c r="X17" s="598"/>
      <c r="Y17" s="480"/>
      <c r="Z17" s="189"/>
    </row>
    <row r="18" spans="2:30" ht="18" thickBot="1">
      <c r="B18" s="516"/>
      <c r="C18" s="517"/>
      <c r="D18" s="477" t="s">
        <v>344</v>
      </c>
      <c r="E18" s="40" t="s">
        <v>11</v>
      </c>
      <c r="F18" s="470" t="s">
        <v>234</v>
      </c>
      <c r="G18" s="471"/>
      <c r="H18" s="41">
        <v>3</v>
      </c>
      <c r="I18" s="55">
        <v>3</v>
      </c>
      <c r="J18" s="43">
        <v>3</v>
      </c>
      <c r="K18" s="561">
        <v>3</v>
      </c>
      <c r="L18" s="562"/>
      <c r="M18" s="583"/>
      <c r="N18" s="584"/>
      <c r="O18" s="585"/>
      <c r="P18" s="562"/>
      <c r="Q18" s="583"/>
      <c r="R18" s="584"/>
      <c r="S18" s="585"/>
      <c r="T18" s="562"/>
      <c r="U18" s="583"/>
      <c r="V18" s="586"/>
      <c r="W18" s="44">
        <f t="shared" si="0"/>
        <v>3</v>
      </c>
      <c r="X18" s="596">
        <f>SUM(W18:W19)</f>
        <v>6</v>
      </c>
      <c r="Y18" s="480">
        <v>6</v>
      </c>
      <c r="Z18" s="189"/>
    </row>
    <row r="19" spans="2:30" ht="18" thickBot="1">
      <c r="B19" s="516"/>
      <c r="C19" s="517"/>
      <c r="D19" s="478"/>
      <c r="E19" s="56" t="s">
        <v>11</v>
      </c>
      <c r="F19" s="563" t="s">
        <v>345</v>
      </c>
      <c r="G19" s="564"/>
      <c r="H19" s="57">
        <v>3</v>
      </c>
      <c r="I19" s="58">
        <v>3</v>
      </c>
      <c r="J19" s="59">
        <v>3</v>
      </c>
      <c r="K19" s="542"/>
      <c r="L19" s="555"/>
      <c r="M19" s="552">
        <v>3</v>
      </c>
      <c r="N19" s="553"/>
      <c r="O19" s="556"/>
      <c r="P19" s="555"/>
      <c r="Q19" s="552"/>
      <c r="R19" s="553"/>
      <c r="S19" s="556"/>
      <c r="T19" s="555"/>
      <c r="U19" s="552"/>
      <c r="V19" s="543"/>
      <c r="W19" s="60">
        <f t="shared" si="0"/>
        <v>3</v>
      </c>
      <c r="X19" s="597"/>
      <c r="Y19" s="480"/>
      <c r="Z19" s="189"/>
      <c r="AB19" s="377"/>
      <c r="AC19" s="377"/>
      <c r="AD19" s="36"/>
    </row>
    <row r="20" spans="2:30" ht="18" thickBot="1">
      <c r="B20" s="516"/>
      <c r="C20" s="517"/>
      <c r="D20" s="478"/>
      <c r="E20" s="40" t="s">
        <v>11</v>
      </c>
      <c r="F20" s="470" t="s">
        <v>237</v>
      </c>
      <c r="G20" s="471"/>
      <c r="H20" s="41">
        <v>4</v>
      </c>
      <c r="I20" s="55" t="s">
        <v>338</v>
      </c>
      <c r="J20" s="43">
        <v>3</v>
      </c>
      <c r="K20" s="470"/>
      <c r="L20" s="518"/>
      <c r="M20" s="547"/>
      <c r="N20" s="548"/>
      <c r="O20" s="546">
        <v>3</v>
      </c>
      <c r="P20" s="518"/>
      <c r="Q20" s="547"/>
      <c r="R20" s="548"/>
      <c r="S20" s="546"/>
      <c r="T20" s="518"/>
      <c r="U20" s="547"/>
      <c r="V20" s="471"/>
      <c r="W20" s="44">
        <f t="shared" si="0"/>
        <v>3</v>
      </c>
      <c r="X20" s="596">
        <f>SUM(W20:W21)</f>
        <v>6</v>
      </c>
      <c r="Y20" s="480">
        <v>12</v>
      </c>
      <c r="Z20" s="189"/>
    </row>
    <row r="21" spans="2:30" ht="18" thickBot="1">
      <c r="B21" s="516"/>
      <c r="C21" s="517"/>
      <c r="D21" s="479"/>
      <c r="E21" s="54" t="s">
        <v>11</v>
      </c>
      <c r="F21" s="542" t="s">
        <v>346</v>
      </c>
      <c r="G21" s="543"/>
      <c r="H21" s="51">
        <v>4</v>
      </c>
      <c r="I21" s="52" t="s">
        <v>338</v>
      </c>
      <c r="J21" s="53">
        <v>3</v>
      </c>
      <c r="K21" s="542"/>
      <c r="L21" s="555"/>
      <c r="M21" s="552"/>
      <c r="N21" s="553"/>
      <c r="O21" s="556"/>
      <c r="P21" s="555"/>
      <c r="Q21" s="552">
        <v>3</v>
      </c>
      <c r="R21" s="553"/>
      <c r="S21" s="556"/>
      <c r="T21" s="555"/>
      <c r="U21" s="552"/>
      <c r="V21" s="543"/>
      <c r="W21" s="60">
        <f t="shared" si="0"/>
        <v>3</v>
      </c>
      <c r="X21" s="597"/>
      <c r="Y21" s="480"/>
      <c r="Z21" s="189"/>
    </row>
    <row r="22" spans="2:30" ht="18" thickBot="1">
      <c r="B22" s="516"/>
      <c r="C22" s="517"/>
      <c r="D22" s="477" t="s">
        <v>25</v>
      </c>
      <c r="E22" s="40" t="s">
        <v>11</v>
      </c>
      <c r="F22" s="470" t="s">
        <v>255</v>
      </c>
      <c r="G22" s="471"/>
      <c r="H22" s="41">
        <v>4</v>
      </c>
      <c r="I22" s="55" t="s">
        <v>338</v>
      </c>
      <c r="J22" s="43">
        <v>3</v>
      </c>
      <c r="K22" s="470">
        <v>3</v>
      </c>
      <c r="L22" s="518"/>
      <c r="M22" s="547"/>
      <c r="N22" s="548"/>
      <c r="O22" s="546"/>
      <c r="P22" s="518"/>
      <c r="Q22" s="547"/>
      <c r="R22" s="548"/>
      <c r="S22" s="549"/>
      <c r="T22" s="550"/>
      <c r="U22" s="603"/>
      <c r="V22" s="604"/>
      <c r="W22" s="44">
        <f t="shared" si="0"/>
        <v>3</v>
      </c>
      <c r="X22" s="515">
        <f>SUM(W22:W24)</f>
        <v>9</v>
      </c>
      <c r="Y22" s="480"/>
      <c r="Z22" s="189"/>
    </row>
    <row r="23" spans="2:30" ht="18" thickBot="1">
      <c r="B23" s="516"/>
      <c r="C23" s="517"/>
      <c r="D23" s="478"/>
      <c r="E23" s="45" t="s">
        <v>11</v>
      </c>
      <c r="F23" s="481" t="s">
        <v>347</v>
      </c>
      <c r="G23" s="482"/>
      <c r="H23" s="46">
        <v>4</v>
      </c>
      <c r="I23" s="47" t="s">
        <v>338</v>
      </c>
      <c r="J23" s="48">
        <v>3</v>
      </c>
      <c r="K23" s="481"/>
      <c r="L23" s="528"/>
      <c r="M23" s="529">
        <v>3</v>
      </c>
      <c r="N23" s="530"/>
      <c r="O23" s="560"/>
      <c r="P23" s="528"/>
      <c r="Q23" s="529"/>
      <c r="R23" s="530"/>
      <c r="S23" s="576"/>
      <c r="T23" s="577"/>
      <c r="U23" s="574"/>
      <c r="V23" s="582"/>
      <c r="W23" s="49">
        <f t="shared" si="0"/>
        <v>3</v>
      </c>
      <c r="X23" s="517"/>
      <c r="Y23" s="480"/>
      <c r="Z23" s="189"/>
    </row>
    <row r="24" spans="2:30" ht="18" thickBot="1">
      <c r="B24" s="516"/>
      <c r="C24" s="517"/>
      <c r="D24" s="479"/>
      <c r="E24" s="54" t="s">
        <v>348</v>
      </c>
      <c r="F24" s="542" t="s">
        <v>259</v>
      </c>
      <c r="G24" s="557"/>
      <c r="H24" s="51">
        <v>4</v>
      </c>
      <c r="I24" s="52" t="s">
        <v>340</v>
      </c>
      <c r="J24" s="53">
        <v>3</v>
      </c>
      <c r="K24" s="542"/>
      <c r="L24" s="555"/>
      <c r="M24" s="552"/>
      <c r="N24" s="553"/>
      <c r="O24" s="556"/>
      <c r="P24" s="555"/>
      <c r="Q24" s="552">
        <v>3</v>
      </c>
      <c r="R24" s="553"/>
      <c r="S24" s="599"/>
      <c r="T24" s="600"/>
      <c r="U24" s="601"/>
      <c r="V24" s="602"/>
      <c r="W24" s="60">
        <f t="shared" si="0"/>
        <v>3</v>
      </c>
      <c r="X24" s="551"/>
      <c r="Y24" s="480"/>
      <c r="Z24" s="189"/>
      <c r="AB24" s="263" t="s">
        <v>747</v>
      </c>
    </row>
    <row r="25" spans="2:30" ht="16.5" customHeight="1" thickBot="1">
      <c r="B25" s="516"/>
      <c r="C25" s="517"/>
      <c r="D25" s="477" t="s">
        <v>7</v>
      </c>
      <c r="E25" s="40" t="s">
        <v>349</v>
      </c>
      <c r="F25" s="470" t="s">
        <v>350</v>
      </c>
      <c r="G25" s="471"/>
      <c r="H25" s="41">
        <v>3</v>
      </c>
      <c r="I25" s="55" t="s">
        <v>351</v>
      </c>
      <c r="J25" s="43">
        <f t="shared" ref="J25:J26" si="3">SUM(K25:V25)</f>
        <v>2</v>
      </c>
      <c r="K25" s="425">
        <v>2</v>
      </c>
      <c r="L25" s="426"/>
      <c r="M25" s="423"/>
      <c r="N25" s="428"/>
      <c r="O25" s="427"/>
      <c r="P25" s="426"/>
      <c r="Q25" s="423"/>
      <c r="R25" s="428"/>
      <c r="S25" s="427"/>
      <c r="T25" s="426"/>
      <c r="U25" s="423"/>
      <c r="V25" s="424"/>
      <c r="W25" s="44">
        <f>SUM(K25:V25)</f>
        <v>2</v>
      </c>
      <c r="X25" s="539">
        <f>SUM(W25:W29)</f>
        <v>10</v>
      </c>
      <c r="Y25" s="480">
        <v>8</v>
      </c>
      <c r="Z25" s="189"/>
      <c r="AB25" s="263" t="s">
        <v>732</v>
      </c>
    </row>
    <row r="26" spans="2:30" ht="18" thickBot="1">
      <c r="B26" s="516"/>
      <c r="C26" s="517"/>
      <c r="D26" s="478"/>
      <c r="E26" s="45" t="s">
        <v>349</v>
      </c>
      <c r="F26" s="481" t="s">
        <v>352</v>
      </c>
      <c r="G26" s="482"/>
      <c r="H26" s="46">
        <v>3</v>
      </c>
      <c r="I26" s="47" t="s">
        <v>351</v>
      </c>
      <c r="J26" s="48">
        <f t="shared" si="3"/>
        <v>2</v>
      </c>
      <c r="K26" s="421"/>
      <c r="L26" s="388"/>
      <c r="M26" s="389">
        <v>2</v>
      </c>
      <c r="N26" s="422"/>
      <c r="O26" s="387"/>
      <c r="P26" s="388"/>
      <c r="Q26" s="389"/>
      <c r="R26" s="422"/>
      <c r="S26" s="387"/>
      <c r="T26" s="388"/>
      <c r="U26" s="389"/>
      <c r="V26" s="390"/>
      <c r="W26" s="49">
        <f t="shared" ref="W26:W29" si="4">SUM(K26:V26)</f>
        <v>2</v>
      </c>
      <c r="X26" s="540"/>
      <c r="Y26" s="480"/>
      <c r="Z26" s="189"/>
      <c r="AB26" s="263" t="s">
        <v>733</v>
      </c>
    </row>
    <row r="27" spans="2:30" ht="18" thickBot="1">
      <c r="B27" s="516"/>
      <c r="C27" s="517"/>
      <c r="D27" s="478"/>
      <c r="E27" s="45" t="s">
        <v>348</v>
      </c>
      <c r="F27" s="481" t="s">
        <v>730</v>
      </c>
      <c r="G27" s="482"/>
      <c r="H27" s="46">
        <v>3</v>
      </c>
      <c r="I27" s="47" t="s">
        <v>351</v>
      </c>
      <c r="J27" s="48">
        <v>2</v>
      </c>
      <c r="K27" s="421"/>
      <c r="L27" s="388"/>
      <c r="M27" s="389"/>
      <c r="N27" s="422"/>
      <c r="O27" s="387">
        <v>2</v>
      </c>
      <c r="P27" s="388"/>
      <c r="Q27" s="389"/>
      <c r="R27" s="422"/>
      <c r="S27" s="387"/>
      <c r="T27" s="388"/>
      <c r="U27" s="389"/>
      <c r="V27" s="390"/>
      <c r="W27" s="49">
        <f t="shared" si="4"/>
        <v>2</v>
      </c>
      <c r="X27" s="540"/>
      <c r="Y27" s="480"/>
      <c r="Z27" s="189"/>
      <c r="AB27" s="263" t="s">
        <v>734</v>
      </c>
    </row>
    <row r="28" spans="2:30" ht="18" thickBot="1">
      <c r="B28" s="516"/>
      <c r="C28" s="517"/>
      <c r="D28" s="478"/>
      <c r="E28" s="45" t="s">
        <v>348</v>
      </c>
      <c r="F28" s="481" t="s">
        <v>520</v>
      </c>
      <c r="G28" s="482"/>
      <c r="H28" s="46">
        <v>3</v>
      </c>
      <c r="I28" s="47" t="s">
        <v>351</v>
      </c>
      <c r="J28" s="48">
        <v>2</v>
      </c>
      <c r="K28" s="421"/>
      <c r="L28" s="388"/>
      <c r="M28" s="389"/>
      <c r="N28" s="422"/>
      <c r="O28" s="387"/>
      <c r="P28" s="388"/>
      <c r="Q28" s="389">
        <v>2</v>
      </c>
      <c r="R28" s="422"/>
      <c r="S28" s="387"/>
      <c r="T28" s="388"/>
      <c r="U28" s="389"/>
      <c r="V28" s="390"/>
      <c r="W28" s="49">
        <f t="shared" si="4"/>
        <v>2</v>
      </c>
      <c r="X28" s="540"/>
      <c r="Y28" s="480"/>
      <c r="Z28" s="189"/>
      <c r="AB28" s="263" t="s">
        <v>735</v>
      </c>
    </row>
    <row r="29" spans="2:30" ht="18" thickBot="1">
      <c r="B29" s="516"/>
      <c r="C29" s="517"/>
      <c r="D29" s="479"/>
      <c r="E29" s="54" t="s">
        <v>339</v>
      </c>
      <c r="F29" s="542" t="s">
        <v>353</v>
      </c>
      <c r="G29" s="543"/>
      <c r="H29" s="51">
        <v>3</v>
      </c>
      <c r="I29" s="52" t="s">
        <v>351</v>
      </c>
      <c r="J29" s="53">
        <v>2</v>
      </c>
      <c r="K29" s="544"/>
      <c r="L29" s="545"/>
      <c r="M29" s="483"/>
      <c r="N29" s="606"/>
      <c r="O29" s="607"/>
      <c r="P29" s="545"/>
      <c r="Q29" s="483"/>
      <c r="R29" s="606"/>
      <c r="S29" s="607">
        <v>2</v>
      </c>
      <c r="T29" s="545"/>
      <c r="U29" s="483"/>
      <c r="V29" s="484"/>
      <c r="W29" s="60">
        <f t="shared" si="4"/>
        <v>2</v>
      </c>
      <c r="X29" s="541"/>
      <c r="Y29" s="480"/>
      <c r="Z29" s="189"/>
      <c r="AB29" s="263" t="s">
        <v>736</v>
      </c>
    </row>
    <row r="30" spans="2:30" ht="18" thickBot="1">
      <c r="B30" s="516"/>
      <c r="C30" s="517"/>
      <c r="D30" s="477" t="s">
        <v>27</v>
      </c>
      <c r="E30" s="40" t="s">
        <v>349</v>
      </c>
      <c r="F30" s="470" t="s">
        <v>8</v>
      </c>
      <c r="G30" s="471"/>
      <c r="H30" s="41">
        <v>3</v>
      </c>
      <c r="I30" s="55" t="s">
        <v>351</v>
      </c>
      <c r="J30" s="43">
        <v>2</v>
      </c>
      <c r="K30" s="470">
        <v>2</v>
      </c>
      <c r="L30" s="518"/>
      <c r="M30" s="547"/>
      <c r="N30" s="548"/>
      <c r="O30" s="546"/>
      <c r="P30" s="518"/>
      <c r="Q30" s="547"/>
      <c r="R30" s="548"/>
      <c r="S30" s="546"/>
      <c r="T30" s="518"/>
      <c r="U30" s="850"/>
      <c r="V30" s="851"/>
      <c r="W30" s="44">
        <f t="shared" ref="W30:W38" si="5">SUM(K30:V30)</f>
        <v>2</v>
      </c>
      <c r="X30" s="322">
        <f>SUM(W30:W32)</f>
        <v>6</v>
      </c>
      <c r="Y30" s="480">
        <v>6</v>
      </c>
      <c r="Z30" s="189"/>
      <c r="AB30" s="263" t="s">
        <v>737</v>
      </c>
      <c r="AC30" s="167"/>
    </row>
    <row r="31" spans="2:30" ht="18" thickBot="1">
      <c r="B31" s="516"/>
      <c r="C31" s="517"/>
      <c r="D31" s="478"/>
      <c r="E31" s="50" t="s">
        <v>522</v>
      </c>
      <c r="F31" s="481" t="s">
        <v>521</v>
      </c>
      <c r="G31" s="482"/>
      <c r="H31" s="46">
        <v>3</v>
      </c>
      <c r="I31" s="138" t="s">
        <v>523</v>
      </c>
      <c r="J31" s="238">
        <v>2</v>
      </c>
      <c r="K31" s="481"/>
      <c r="L31" s="528"/>
      <c r="M31" s="529">
        <v>2</v>
      </c>
      <c r="N31" s="530"/>
      <c r="O31" s="560"/>
      <c r="P31" s="528"/>
      <c r="Q31" s="529"/>
      <c r="R31" s="530"/>
      <c r="S31" s="560"/>
      <c r="T31" s="528"/>
      <c r="U31" s="594"/>
      <c r="V31" s="595"/>
      <c r="W31" s="49">
        <f t="shared" si="5"/>
        <v>2</v>
      </c>
      <c r="X31" s="337"/>
      <c r="Y31" s="480"/>
      <c r="Z31" s="189"/>
      <c r="AB31" s="263" t="s">
        <v>738</v>
      </c>
    </row>
    <row r="32" spans="2:30" ht="18" thickBot="1">
      <c r="B32" s="516"/>
      <c r="C32" s="517"/>
      <c r="D32" s="478"/>
      <c r="E32" s="50" t="s">
        <v>339</v>
      </c>
      <c r="F32" s="481" t="s">
        <v>282</v>
      </c>
      <c r="G32" s="482"/>
      <c r="H32" s="51">
        <v>3</v>
      </c>
      <c r="I32" s="139" t="s">
        <v>351</v>
      </c>
      <c r="J32" s="137">
        <v>2</v>
      </c>
      <c r="K32" s="481"/>
      <c r="L32" s="528"/>
      <c r="M32" s="529"/>
      <c r="N32" s="530"/>
      <c r="O32" s="560">
        <v>2</v>
      </c>
      <c r="P32" s="528"/>
      <c r="Q32" s="529"/>
      <c r="R32" s="530"/>
      <c r="S32" s="560"/>
      <c r="T32" s="528"/>
      <c r="U32" s="594"/>
      <c r="V32" s="595"/>
      <c r="W32" s="60">
        <f t="shared" si="5"/>
        <v>2</v>
      </c>
      <c r="X32" s="324"/>
      <c r="Y32" s="480"/>
      <c r="Z32" s="189"/>
    </row>
    <row r="33" spans="2:29" ht="16.5" customHeight="1" thickBot="1">
      <c r="B33" s="516"/>
      <c r="C33" s="517"/>
      <c r="D33" s="468" t="s">
        <v>355</v>
      </c>
      <c r="E33" s="40" t="s">
        <v>348</v>
      </c>
      <c r="F33" s="470" t="s">
        <v>336</v>
      </c>
      <c r="G33" s="471"/>
      <c r="H33" s="41">
        <v>3</v>
      </c>
      <c r="I33" s="55" t="s">
        <v>351</v>
      </c>
      <c r="J33" s="43">
        <v>2</v>
      </c>
      <c r="K33" s="363"/>
      <c r="L33" s="318"/>
      <c r="M33" s="319"/>
      <c r="N33" s="366"/>
      <c r="O33" s="365"/>
      <c r="P33" s="318"/>
      <c r="Q33" s="852">
        <v>2</v>
      </c>
      <c r="R33" s="853"/>
      <c r="S33" s="549"/>
      <c r="T33" s="550"/>
      <c r="U33" s="578"/>
      <c r="V33" s="579"/>
      <c r="W33" s="236">
        <f t="shared" si="5"/>
        <v>2</v>
      </c>
      <c r="X33" s="539">
        <f>SUM(W33:W36)</f>
        <v>9</v>
      </c>
      <c r="Y33" s="472">
        <v>8</v>
      </c>
      <c r="Z33" s="189"/>
    </row>
    <row r="34" spans="2:29" ht="16.5" customHeight="1" thickBot="1">
      <c r="B34" s="516"/>
      <c r="C34" s="517"/>
      <c r="D34" s="469"/>
      <c r="E34" s="50" t="s">
        <v>339</v>
      </c>
      <c r="F34" s="481" t="s">
        <v>50</v>
      </c>
      <c r="G34" s="482"/>
      <c r="H34" s="239">
        <v>3</v>
      </c>
      <c r="I34" s="240" t="s">
        <v>351</v>
      </c>
      <c r="J34" s="238">
        <v>2</v>
      </c>
      <c r="K34" s="449"/>
      <c r="L34" s="450"/>
      <c r="M34" s="459">
        <v>2</v>
      </c>
      <c r="N34" s="475"/>
      <c r="O34" s="476"/>
      <c r="P34" s="450"/>
      <c r="Q34" s="574"/>
      <c r="R34" s="575"/>
      <c r="S34" s="576"/>
      <c r="T34" s="577"/>
      <c r="U34" s="580"/>
      <c r="V34" s="605"/>
      <c r="W34" s="49">
        <f t="shared" si="5"/>
        <v>2</v>
      </c>
      <c r="X34" s="540"/>
      <c r="Y34" s="472"/>
      <c r="Z34" s="189"/>
    </row>
    <row r="35" spans="2:29" ht="16.5" customHeight="1" thickBot="1">
      <c r="B35" s="516"/>
      <c r="C35" s="517"/>
      <c r="D35" s="469"/>
      <c r="E35" s="50" t="s">
        <v>349</v>
      </c>
      <c r="F35" s="473" t="s">
        <v>49</v>
      </c>
      <c r="G35" s="474"/>
      <c r="H35" s="140">
        <v>3</v>
      </c>
      <c r="I35" s="141" t="s">
        <v>351</v>
      </c>
      <c r="J35" s="142">
        <v>2</v>
      </c>
      <c r="K35" s="449">
        <v>2</v>
      </c>
      <c r="L35" s="450"/>
      <c r="M35" s="459"/>
      <c r="N35" s="475"/>
      <c r="O35" s="476"/>
      <c r="P35" s="450"/>
      <c r="Q35" s="574"/>
      <c r="R35" s="575"/>
      <c r="S35" s="576"/>
      <c r="T35" s="577"/>
      <c r="U35" s="580"/>
      <c r="V35" s="581"/>
      <c r="W35" s="49">
        <f t="shared" si="5"/>
        <v>2</v>
      </c>
      <c r="X35" s="540"/>
      <c r="Y35" s="472"/>
      <c r="Z35" s="189"/>
    </row>
    <row r="36" spans="2:29" ht="16.5" customHeight="1" thickBot="1">
      <c r="B36" s="516"/>
      <c r="C36" s="517"/>
      <c r="D36" s="469"/>
      <c r="E36" s="50" t="s">
        <v>349</v>
      </c>
      <c r="F36" s="481" t="s">
        <v>729</v>
      </c>
      <c r="G36" s="482"/>
      <c r="H36" s="233">
        <v>4</v>
      </c>
      <c r="I36" s="234" t="s">
        <v>340</v>
      </c>
      <c r="J36" s="235">
        <v>3</v>
      </c>
      <c r="K36" s="558"/>
      <c r="L36" s="559"/>
      <c r="M36" s="529"/>
      <c r="N36" s="530"/>
      <c r="O36" s="560"/>
      <c r="P36" s="528"/>
      <c r="Q36" s="529">
        <v>3</v>
      </c>
      <c r="R36" s="530"/>
      <c r="S36" s="560"/>
      <c r="T36" s="528"/>
      <c r="U36" s="594"/>
      <c r="V36" s="595"/>
      <c r="W36" s="49">
        <f t="shared" si="5"/>
        <v>3</v>
      </c>
      <c r="X36" s="540"/>
      <c r="Y36" s="472"/>
      <c r="Z36" s="237" t="s">
        <v>731</v>
      </c>
      <c r="AA36" s="143"/>
    </row>
    <row r="37" spans="2:29" ht="24.75" customHeight="1" thickBot="1">
      <c r="B37" s="372" t="s">
        <v>362</v>
      </c>
      <c r="C37" s="373"/>
      <c r="D37" s="373"/>
      <c r="E37" s="373"/>
      <c r="F37" s="373"/>
      <c r="G37" s="374"/>
      <c r="H37" s="37">
        <f>SUM(H20:H36)</f>
        <v>57</v>
      </c>
      <c r="I37" s="13"/>
      <c r="J37" s="38">
        <f>SUM(J9:J36)</f>
        <v>73</v>
      </c>
      <c r="K37" s="461">
        <f>SUM(K9:L36)</f>
        <v>21</v>
      </c>
      <c r="L37" s="462"/>
      <c r="M37" s="462">
        <f>SUM(M9:N36)</f>
        <v>21</v>
      </c>
      <c r="N37" s="398"/>
      <c r="O37" s="554">
        <f>SUM(O9:P36)</f>
        <v>13</v>
      </c>
      <c r="P37" s="462"/>
      <c r="Q37" s="462">
        <f>SUM(Q9:R36)</f>
        <v>16</v>
      </c>
      <c r="R37" s="589"/>
      <c r="S37" s="397">
        <f>SUM(S9:T36)</f>
        <v>2</v>
      </c>
      <c r="T37" s="462"/>
      <c r="U37" s="462">
        <f>SUM(U9:V36)</f>
        <v>0</v>
      </c>
      <c r="V37" s="588"/>
      <c r="W37" s="372">
        <f t="shared" si="5"/>
        <v>73</v>
      </c>
      <c r="X37" s="374"/>
      <c r="Y37" s="182">
        <f>SUM(Y9:Y36)</f>
        <v>64</v>
      </c>
      <c r="Z37" s="217"/>
      <c r="AB37" s="391" t="b">
        <f>W37&gt;=Y37</f>
        <v>1</v>
      </c>
      <c r="AC37" s="392"/>
    </row>
    <row r="38" spans="2:29" ht="17.25" customHeight="1" thickBot="1">
      <c r="B38" s="439" t="s">
        <v>356</v>
      </c>
      <c r="C38" s="440"/>
      <c r="D38" s="453" t="s">
        <v>357</v>
      </c>
      <c r="E38" s="454"/>
      <c r="F38" s="443" t="s">
        <v>524</v>
      </c>
      <c r="G38" s="444"/>
      <c r="H38" s="32">
        <v>2</v>
      </c>
      <c r="I38" s="33" t="s">
        <v>715</v>
      </c>
      <c r="J38" s="144">
        <v>2</v>
      </c>
      <c r="K38" s="445"/>
      <c r="L38" s="446"/>
      <c r="M38" s="592"/>
      <c r="N38" s="608"/>
      <c r="O38" s="854">
        <v>2</v>
      </c>
      <c r="P38" s="855"/>
      <c r="Q38" s="592"/>
      <c r="R38" s="608"/>
      <c r="S38" s="590"/>
      <c r="T38" s="591"/>
      <c r="U38" s="592"/>
      <c r="V38" s="593"/>
      <c r="W38" s="457">
        <f t="shared" si="5"/>
        <v>2</v>
      </c>
      <c r="X38" s="458"/>
      <c r="Y38" s="399">
        <v>80</v>
      </c>
      <c r="Z38" s="212"/>
    </row>
    <row r="39" spans="2:29" ht="17.25" customHeight="1">
      <c r="B39" s="441"/>
      <c r="C39" s="442"/>
      <c r="D39" s="61" t="s">
        <v>67</v>
      </c>
      <c r="E39" s="62" t="s">
        <v>359</v>
      </c>
      <c r="F39" s="447" t="s">
        <v>526</v>
      </c>
      <c r="G39" s="448"/>
      <c r="H39" s="35">
        <v>2</v>
      </c>
      <c r="I39" s="34" t="s">
        <v>715</v>
      </c>
      <c r="J39" s="136">
        <v>18</v>
      </c>
      <c r="K39" s="449">
        <v>8</v>
      </c>
      <c r="L39" s="450"/>
      <c r="M39" s="459">
        <v>8</v>
      </c>
      <c r="N39" s="587"/>
      <c r="O39" s="476"/>
      <c r="P39" s="450"/>
      <c r="Q39" s="459"/>
      <c r="R39" s="475"/>
      <c r="S39" s="587"/>
      <c r="T39" s="450"/>
      <c r="U39" s="459"/>
      <c r="V39" s="460"/>
      <c r="W39" s="455">
        <f t="shared" ref="W39:W42" si="6">SUM(K39:V39)</f>
        <v>16</v>
      </c>
      <c r="X39" s="456"/>
      <c r="Y39" s="416"/>
      <c r="Z39" s="189"/>
    </row>
    <row r="40" spans="2:29" ht="17.25" customHeight="1">
      <c r="B40" s="441"/>
      <c r="C40" s="442"/>
      <c r="D40" s="61" t="s">
        <v>525</v>
      </c>
      <c r="E40" s="62" t="s">
        <v>359</v>
      </c>
      <c r="F40" s="447" t="s">
        <v>527</v>
      </c>
      <c r="G40" s="448"/>
      <c r="H40" s="35">
        <v>2</v>
      </c>
      <c r="I40" s="34" t="s">
        <v>715</v>
      </c>
      <c r="J40" s="136">
        <v>11</v>
      </c>
      <c r="K40" s="449"/>
      <c r="L40" s="450"/>
      <c r="M40" s="459"/>
      <c r="N40" s="475"/>
      <c r="O40" s="476">
        <v>6</v>
      </c>
      <c r="P40" s="450"/>
      <c r="Q40" s="459">
        <v>5</v>
      </c>
      <c r="R40" s="475"/>
      <c r="S40" s="476"/>
      <c r="T40" s="450"/>
      <c r="U40" s="459"/>
      <c r="V40" s="460"/>
      <c r="W40" s="455">
        <f t="shared" si="6"/>
        <v>11</v>
      </c>
      <c r="X40" s="456"/>
      <c r="Y40" s="416"/>
      <c r="Z40" s="189"/>
    </row>
    <row r="41" spans="2:29" ht="17.25" customHeight="1">
      <c r="B41" s="441"/>
      <c r="C41" s="442"/>
      <c r="D41" s="61" t="s">
        <v>525</v>
      </c>
      <c r="E41" s="62" t="s">
        <v>359</v>
      </c>
      <c r="F41" s="447" t="s">
        <v>528</v>
      </c>
      <c r="G41" s="448"/>
      <c r="H41" s="35">
        <v>2</v>
      </c>
      <c r="I41" s="34" t="s">
        <v>715</v>
      </c>
      <c r="J41" s="136">
        <v>10</v>
      </c>
      <c r="K41" s="449"/>
      <c r="L41" s="450"/>
      <c r="M41" s="459"/>
      <c r="N41" s="475"/>
      <c r="O41" s="476"/>
      <c r="P41" s="450"/>
      <c r="Q41" s="459"/>
      <c r="R41" s="475"/>
      <c r="S41" s="476">
        <v>5</v>
      </c>
      <c r="T41" s="450"/>
      <c r="U41" s="459">
        <v>6</v>
      </c>
      <c r="V41" s="460"/>
      <c r="W41" s="455">
        <f t="shared" si="6"/>
        <v>11</v>
      </c>
      <c r="X41" s="456"/>
      <c r="Y41" s="416"/>
      <c r="Z41" s="189"/>
      <c r="AB41" s="219"/>
    </row>
    <row r="42" spans="2:29" ht="17.25" customHeight="1" thickBot="1">
      <c r="B42" s="441"/>
      <c r="C42" s="442"/>
      <c r="D42" s="65" t="s">
        <v>525</v>
      </c>
      <c r="E42" s="62" t="s">
        <v>359</v>
      </c>
      <c r="F42" s="451" t="s">
        <v>529</v>
      </c>
      <c r="G42" s="452"/>
      <c r="H42" s="35">
        <v>2</v>
      </c>
      <c r="I42" s="34" t="s">
        <v>715</v>
      </c>
      <c r="J42" s="136">
        <v>18</v>
      </c>
      <c r="K42" s="449"/>
      <c r="L42" s="450"/>
      <c r="M42" s="459"/>
      <c r="N42" s="475"/>
      <c r="O42" s="476"/>
      <c r="P42" s="450"/>
      <c r="Q42" s="459"/>
      <c r="R42" s="475"/>
      <c r="S42" s="476">
        <v>9</v>
      </c>
      <c r="T42" s="450"/>
      <c r="U42" s="459">
        <v>10</v>
      </c>
      <c r="V42" s="460"/>
      <c r="W42" s="455">
        <f t="shared" si="6"/>
        <v>19</v>
      </c>
      <c r="X42" s="456"/>
      <c r="Y42" s="416"/>
      <c r="Z42" s="189"/>
      <c r="AB42" s="219"/>
    </row>
    <row r="43" spans="2:29" ht="31.2">
      <c r="B43" s="463" t="s">
        <v>716</v>
      </c>
      <c r="C43" s="185" t="s">
        <v>614</v>
      </c>
      <c r="D43" s="186" t="s">
        <v>67</v>
      </c>
      <c r="E43" s="187" t="s">
        <v>359</v>
      </c>
      <c r="F43" s="466" t="s">
        <v>554</v>
      </c>
      <c r="G43" s="467"/>
      <c r="H43" s="188">
        <v>2</v>
      </c>
      <c r="I43" s="342" t="s">
        <v>717</v>
      </c>
      <c r="J43" s="344">
        <v>4</v>
      </c>
      <c r="K43" s="346"/>
      <c r="L43" s="347"/>
      <c r="M43" s="332"/>
      <c r="N43" s="350"/>
      <c r="O43" s="352">
        <v>2</v>
      </c>
      <c r="P43" s="347"/>
      <c r="Q43" s="332">
        <v>2</v>
      </c>
      <c r="R43" s="350"/>
      <c r="S43" s="352"/>
      <c r="T43" s="347"/>
      <c r="U43" s="332"/>
      <c r="V43" s="333"/>
      <c r="W43" s="321">
        <f>SUM(O43:V44)</f>
        <v>4</v>
      </c>
      <c r="X43" s="322"/>
      <c r="Y43" s="416"/>
      <c r="Z43" s="189"/>
      <c r="AA43" s="218"/>
      <c r="AB43" s="219"/>
    </row>
    <row r="44" spans="2:29" ht="31.8" thickBot="1">
      <c r="B44" s="464"/>
      <c r="C44" s="190" t="s">
        <v>718</v>
      </c>
      <c r="D44" s="191" t="s">
        <v>67</v>
      </c>
      <c r="E44" s="192" t="s">
        <v>359</v>
      </c>
      <c r="F44" s="338" t="s">
        <v>559</v>
      </c>
      <c r="G44" s="339"/>
      <c r="H44" s="193">
        <v>2</v>
      </c>
      <c r="I44" s="343"/>
      <c r="J44" s="345"/>
      <c r="K44" s="348"/>
      <c r="L44" s="349"/>
      <c r="M44" s="334"/>
      <c r="N44" s="351"/>
      <c r="O44" s="353"/>
      <c r="P44" s="349"/>
      <c r="Q44" s="334"/>
      <c r="R44" s="351"/>
      <c r="S44" s="353"/>
      <c r="T44" s="349"/>
      <c r="U44" s="334"/>
      <c r="V44" s="335"/>
      <c r="W44" s="336"/>
      <c r="X44" s="337"/>
      <c r="Y44" s="416"/>
      <c r="Z44" s="189"/>
      <c r="AA44" s="218"/>
      <c r="AB44" s="219"/>
    </row>
    <row r="45" spans="2:29" ht="31.2">
      <c r="B45" s="464"/>
      <c r="C45" s="194" t="s">
        <v>614</v>
      </c>
      <c r="D45" s="186" t="s">
        <v>67</v>
      </c>
      <c r="E45" s="195" t="s">
        <v>359</v>
      </c>
      <c r="F45" s="340" t="s">
        <v>589</v>
      </c>
      <c r="G45" s="341"/>
      <c r="H45" s="188">
        <v>2</v>
      </c>
      <c r="I45" s="342" t="s">
        <v>717</v>
      </c>
      <c r="J45" s="344">
        <v>12</v>
      </c>
      <c r="K45" s="346"/>
      <c r="L45" s="347"/>
      <c r="M45" s="332"/>
      <c r="N45" s="350"/>
      <c r="O45" s="352"/>
      <c r="P45" s="347"/>
      <c r="Q45" s="332"/>
      <c r="R45" s="350"/>
      <c r="S45" s="352">
        <v>6</v>
      </c>
      <c r="T45" s="347"/>
      <c r="U45" s="332">
        <v>6</v>
      </c>
      <c r="V45" s="333"/>
      <c r="W45" s="321">
        <f>SUM(K45:V46)</f>
        <v>12</v>
      </c>
      <c r="X45" s="322"/>
      <c r="Y45" s="416"/>
      <c r="Z45" s="189"/>
      <c r="AA45" s="218"/>
      <c r="AB45" s="219"/>
    </row>
    <row r="46" spans="2:29" ht="31.8" thickBot="1">
      <c r="B46" s="465"/>
      <c r="C46" s="196" t="s">
        <v>718</v>
      </c>
      <c r="D46" s="197" t="s">
        <v>67</v>
      </c>
      <c r="E46" s="198" t="s">
        <v>359</v>
      </c>
      <c r="F46" s="338" t="s">
        <v>721</v>
      </c>
      <c r="G46" s="339"/>
      <c r="H46" s="199">
        <v>2</v>
      </c>
      <c r="I46" s="343"/>
      <c r="J46" s="345"/>
      <c r="K46" s="348"/>
      <c r="L46" s="349"/>
      <c r="M46" s="334"/>
      <c r="N46" s="351"/>
      <c r="O46" s="353"/>
      <c r="P46" s="349"/>
      <c r="Q46" s="334"/>
      <c r="R46" s="351"/>
      <c r="S46" s="353"/>
      <c r="T46" s="349"/>
      <c r="U46" s="334"/>
      <c r="V46" s="335"/>
      <c r="W46" s="336"/>
      <c r="X46" s="337"/>
      <c r="Y46" s="416"/>
      <c r="Z46" s="189"/>
      <c r="AA46" s="218"/>
      <c r="AB46" s="219"/>
    </row>
    <row r="47" spans="2:29">
      <c r="B47" s="354" t="s">
        <v>719</v>
      </c>
      <c r="C47" s="357" t="s">
        <v>720</v>
      </c>
      <c r="D47" s="63" t="s">
        <v>67</v>
      </c>
      <c r="E47" s="64" t="s">
        <v>359</v>
      </c>
      <c r="F47" s="359" t="s">
        <v>564</v>
      </c>
      <c r="G47" s="360"/>
      <c r="H47" s="188">
        <v>2</v>
      </c>
      <c r="I47" s="361" t="s">
        <v>717</v>
      </c>
      <c r="J47" s="344">
        <v>12</v>
      </c>
      <c r="K47" s="363"/>
      <c r="L47" s="318"/>
      <c r="M47" s="319"/>
      <c r="N47" s="317"/>
      <c r="O47" s="352">
        <v>6</v>
      </c>
      <c r="P47" s="347"/>
      <c r="Q47" s="332">
        <v>6</v>
      </c>
      <c r="R47" s="350"/>
      <c r="S47" s="317"/>
      <c r="T47" s="318"/>
      <c r="U47" s="319"/>
      <c r="V47" s="320"/>
      <c r="W47" s="321">
        <f>SUM(K47:V48)</f>
        <v>12</v>
      </c>
      <c r="X47" s="322"/>
      <c r="Y47" s="416"/>
      <c r="Z47" s="189"/>
      <c r="AA47" s="218"/>
      <c r="AB47" s="219"/>
    </row>
    <row r="48" spans="2:29" ht="18" thickBot="1">
      <c r="B48" s="355"/>
      <c r="C48" s="358"/>
      <c r="D48" s="200" t="s">
        <v>153</v>
      </c>
      <c r="E48" s="201" t="s">
        <v>359</v>
      </c>
      <c r="F48" s="325" t="s">
        <v>632</v>
      </c>
      <c r="G48" s="326"/>
      <c r="H48" s="202">
        <v>2</v>
      </c>
      <c r="I48" s="362"/>
      <c r="J48" s="345"/>
      <c r="K48" s="327"/>
      <c r="L48" s="328"/>
      <c r="M48" s="329"/>
      <c r="N48" s="330"/>
      <c r="O48" s="353"/>
      <c r="P48" s="349"/>
      <c r="Q48" s="334"/>
      <c r="R48" s="351"/>
      <c r="S48" s="330"/>
      <c r="T48" s="328"/>
      <c r="U48" s="329"/>
      <c r="V48" s="331"/>
      <c r="W48" s="323"/>
      <c r="X48" s="324"/>
      <c r="Y48" s="416"/>
      <c r="Z48" s="189"/>
      <c r="AA48" s="218"/>
      <c r="AB48" s="219"/>
    </row>
    <row r="49" spans="2:31">
      <c r="B49" s="355"/>
      <c r="C49" s="357" t="s">
        <v>720</v>
      </c>
      <c r="D49" s="63" t="s">
        <v>67</v>
      </c>
      <c r="E49" s="64" t="s">
        <v>359</v>
      </c>
      <c r="F49" s="359" t="s">
        <v>622</v>
      </c>
      <c r="G49" s="360"/>
      <c r="H49" s="188">
        <v>2</v>
      </c>
      <c r="I49" s="342" t="s">
        <v>717</v>
      </c>
      <c r="J49" s="344">
        <v>14</v>
      </c>
      <c r="K49" s="363"/>
      <c r="L49" s="318"/>
      <c r="M49" s="319"/>
      <c r="N49" s="317"/>
      <c r="O49" s="365"/>
      <c r="P49" s="318"/>
      <c r="Q49" s="319"/>
      <c r="R49" s="366"/>
      <c r="S49" s="352">
        <v>7</v>
      </c>
      <c r="T49" s="347"/>
      <c r="U49" s="332">
        <v>7</v>
      </c>
      <c r="V49" s="333"/>
      <c r="W49" s="321">
        <f>SUM(K49:V50)</f>
        <v>14</v>
      </c>
      <c r="X49" s="322"/>
      <c r="Y49" s="416"/>
      <c r="Z49" s="189"/>
      <c r="AA49" s="218"/>
      <c r="AB49" s="219"/>
      <c r="AE49" s="183"/>
    </row>
    <row r="50" spans="2:31" ht="18" thickBot="1">
      <c r="B50" s="356"/>
      <c r="C50" s="358"/>
      <c r="D50" s="200" t="s">
        <v>153</v>
      </c>
      <c r="E50" s="201" t="s">
        <v>359</v>
      </c>
      <c r="F50" s="325" t="s">
        <v>634</v>
      </c>
      <c r="G50" s="326"/>
      <c r="H50" s="203">
        <v>2</v>
      </c>
      <c r="I50" s="364"/>
      <c r="J50" s="345"/>
      <c r="K50" s="327"/>
      <c r="L50" s="328"/>
      <c r="M50" s="329"/>
      <c r="N50" s="330"/>
      <c r="O50" s="367"/>
      <c r="P50" s="328"/>
      <c r="Q50" s="329"/>
      <c r="R50" s="368"/>
      <c r="S50" s="353"/>
      <c r="T50" s="349"/>
      <c r="U50" s="334"/>
      <c r="V50" s="335"/>
      <c r="W50" s="323"/>
      <c r="X50" s="324"/>
      <c r="Y50" s="416"/>
      <c r="Z50" s="189"/>
      <c r="AA50" s="218"/>
      <c r="AB50" s="219"/>
      <c r="AE50" s="68"/>
    </row>
    <row r="51" spans="2:31" ht="24.75" customHeight="1">
      <c r="B51" s="393" t="s">
        <v>363</v>
      </c>
      <c r="C51" s="431"/>
      <c r="D51" s="431"/>
      <c r="E51" s="431"/>
      <c r="F51" s="431"/>
      <c r="G51" s="394"/>
      <c r="H51" s="433">
        <f>SUM(H38:H42)</f>
        <v>10</v>
      </c>
      <c r="I51" s="435">
        <f>SUM(I38:I50)</f>
        <v>0</v>
      </c>
      <c r="J51" s="437">
        <f>SUM(J38:J50)</f>
        <v>101</v>
      </c>
      <c r="K51" s="393">
        <f>SUM(K38:L50)</f>
        <v>8</v>
      </c>
      <c r="L51" s="429"/>
      <c r="M51" s="431">
        <f>SUM(M38:N50)</f>
        <v>8</v>
      </c>
      <c r="N51" s="429"/>
      <c r="O51" s="393">
        <f>SUM(O38:P50)</f>
        <v>16</v>
      </c>
      <c r="P51" s="429"/>
      <c r="Q51" s="431">
        <f>SUM(Q38:R50)</f>
        <v>13</v>
      </c>
      <c r="R51" s="429"/>
      <c r="S51" s="393">
        <f>SUM(S38:T50)</f>
        <v>27</v>
      </c>
      <c r="T51" s="429"/>
      <c r="U51" s="431">
        <f>SUM(U38:V50)</f>
        <v>29</v>
      </c>
      <c r="V51" s="429"/>
      <c r="W51" s="393">
        <f>SUM(K51:V52)</f>
        <v>101</v>
      </c>
      <c r="X51" s="394"/>
      <c r="Y51" s="399">
        <f>SUM(Y38:Y50)</f>
        <v>80</v>
      </c>
      <c r="Z51" s="189"/>
      <c r="AD51" s="156"/>
    </row>
    <row r="52" spans="2:31" ht="18" thickBot="1">
      <c r="B52" s="395"/>
      <c r="C52" s="432"/>
      <c r="D52" s="432"/>
      <c r="E52" s="432"/>
      <c r="F52" s="432"/>
      <c r="G52" s="396"/>
      <c r="H52" s="434"/>
      <c r="I52" s="436"/>
      <c r="J52" s="438"/>
      <c r="K52" s="395"/>
      <c r="L52" s="430"/>
      <c r="M52" s="432"/>
      <c r="N52" s="430"/>
      <c r="O52" s="395"/>
      <c r="P52" s="430"/>
      <c r="Q52" s="432"/>
      <c r="R52" s="430"/>
      <c r="S52" s="395"/>
      <c r="T52" s="430"/>
      <c r="U52" s="432"/>
      <c r="V52" s="430"/>
      <c r="W52" s="395"/>
      <c r="X52" s="396"/>
      <c r="Y52" s="400"/>
      <c r="Z52" s="189"/>
      <c r="AD52" s="68"/>
    </row>
    <row r="53" spans="2:31" ht="17.25" customHeight="1" thickBot="1">
      <c r="B53" s="372"/>
      <c r="C53" s="373"/>
      <c r="D53" s="373"/>
      <c r="E53" s="373"/>
      <c r="F53" s="373"/>
      <c r="G53" s="374"/>
      <c r="H53" s="159">
        <f>SUM(H37,H51)</f>
        <v>67</v>
      </c>
      <c r="I53" s="153">
        <f>SUM(I37,I51)</f>
        <v>0</v>
      </c>
      <c r="J53" s="154">
        <f>SUM(J37,J51)</f>
        <v>174</v>
      </c>
      <c r="K53" s="372">
        <f>SUM(K37,K51)</f>
        <v>29</v>
      </c>
      <c r="L53" s="397"/>
      <c r="M53" s="398">
        <f>SUM(M37,M51)</f>
        <v>29</v>
      </c>
      <c r="N53" s="375"/>
      <c r="O53" s="376">
        <f>SUM(O37,O51)</f>
        <v>29</v>
      </c>
      <c r="P53" s="397"/>
      <c r="Q53" s="398">
        <f>SUM(Q37,Q51)</f>
        <v>29</v>
      </c>
      <c r="R53" s="375"/>
      <c r="S53" s="376">
        <f>SUM(S37,S51)</f>
        <v>29</v>
      </c>
      <c r="T53" s="397"/>
      <c r="U53" s="398">
        <f>SUM(U37,U51)</f>
        <v>29</v>
      </c>
      <c r="V53" s="374"/>
      <c r="W53" s="372">
        <f>SUM(K53:V53)</f>
        <v>174</v>
      </c>
      <c r="X53" s="374"/>
      <c r="Y53" s="214">
        <f>Y51+Y37</f>
        <v>144</v>
      </c>
      <c r="Z53" s="189"/>
      <c r="AB53" s="377" t="s">
        <v>154</v>
      </c>
      <c r="AC53" s="377"/>
    </row>
    <row r="54" spans="2:31" ht="18.75" customHeight="1" thickBot="1">
      <c r="B54" s="402" t="s">
        <v>364</v>
      </c>
      <c r="C54" s="403"/>
      <c r="D54" s="403"/>
      <c r="E54" s="404"/>
      <c r="F54" s="411" t="s">
        <v>360</v>
      </c>
      <c r="G54" s="412"/>
      <c r="H54" s="412"/>
      <c r="I54" s="412"/>
      <c r="J54" s="413"/>
      <c r="K54" s="425">
        <v>16</v>
      </c>
      <c r="L54" s="426"/>
      <c r="M54" s="423">
        <v>16</v>
      </c>
      <c r="N54" s="428"/>
      <c r="O54" s="427">
        <v>16</v>
      </c>
      <c r="P54" s="426"/>
      <c r="Q54" s="423">
        <v>16</v>
      </c>
      <c r="R54" s="428"/>
      <c r="S54" s="427">
        <v>16</v>
      </c>
      <c r="T54" s="426"/>
      <c r="U54" s="423">
        <v>16</v>
      </c>
      <c r="V54" s="424"/>
      <c r="W54" s="402">
        <f>SUM(K54:V56)</f>
        <v>288</v>
      </c>
      <c r="X54" s="404"/>
      <c r="Y54" s="399">
        <f>Y57*16</f>
        <v>288</v>
      </c>
      <c r="Z54" s="189"/>
      <c r="AB54" s="401"/>
      <c r="AC54" s="401"/>
    </row>
    <row r="55" spans="2:31" ht="17.25" customHeight="1" thickBot="1">
      <c r="B55" s="405"/>
      <c r="C55" s="406"/>
      <c r="D55" s="406"/>
      <c r="E55" s="407"/>
      <c r="F55" s="418" t="s">
        <v>62</v>
      </c>
      <c r="G55" s="419"/>
      <c r="H55" s="419"/>
      <c r="I55" s="419"/>
      <c r="J55" s="420"/>
      <c r="K55" s="421">
        <v>16</v>
      </c>
      <c r="L55" s="388"/>
      <c r="M55" s="389">
        <v>16</v>
      </c>
      <c r="N55" s="422"/>
      <c r="O55" s="387">
        <v>16</v>
      </c>
      <c r="P55" s="388"/>
      <c r="Q55" s="389">
        <v>16</v>
      </c>
      <c r="R55" s="422"/>
      <c r="S55" s="387">
        <v>16</v>
      </c>
      <c r="T55" s="388"/>
      <c r="U55" s="389">
        <v>16</v>
      </c>
      <c r="V55" s="390"/>
      <c r="W55" s="405"/>
      <c r="X55" s="407"/>
      <c r="Y55" s="416"/>
      <c r="Z55" s="189"/>
      <c r="AB55" s="391" t="b">
        <f>W53&gt;=Y53</f>
        <v>1</v>
      </c>
      <c r="AC55" s="392"/>
    </row>
    <row r="56" spans="2:31" ht="17.25" customHeight="1">
      <c r="B56" s="405"/>
      <c r="C56" s="406"/>
      <c r="D56" s="406"/>
      <c r="E56" s="407"/>
      <c r="F56" s="418" t="s">
        <v>10</v>
      </c>
      <c r="G56" s="419"/>
      <c r="H56" s="419"/>
      <c r="I56" s="419"/>
      <c r="J56" s="420"/>
      <c r="K56" s="421">
        <v>16</v>
      </c>
      <c r="L56" s="388"/>
      <c r="M56" s="389">
        <v>16</v>
      </c>
      <c r="N56" s="422"/>
      <c r="O56" s="387">
        <v>16</v>
      </c>
      <c r="P56" s="388"/>
      <c r="Q56" s="389">
        <v>16</v>
      </c>
      <c r="R56" s="422"/>
      <c r="S56" s="387">
        <v>16</v>
      </c>
      <c r="T56" s="388"/>
      <c r="U56" s="389">
        <v>16</v>
      </c>
      <c r="V56" s="390"/>
      <c r="W56" s="414"/>
      <c r="X56" s="415"/>
      <c r="Y56" s="417"/>
      <c r="Z56" s="189"/>
    </row>
    <row r="57" spans="2:31" ht="17.25" customHeight="1" thickBot="1">
      <c r="B57" s="408"/>
      <c r="C57" s="409"/>
      <c r="D57" s="409"/>
      <c r="E57" s="410"/>
      <c r="F57" s="378" t="s">
        <v>148</v>
      </c>
      <c r="G57" s="379"/>
      <c r="H57" s="379"/>
      <c r="I57" s="379"/>
      <c r="J57" s="380"/>
      <c r="K57" s="381">
        <v>3</v>
      </c>
      <c r="L57" s="382"/>
      <c r="M57" s="383">
        <v>3</v>
      </c>
      <c r="N57" s="384"/>
      <c r="O57" s="385">
        <v>3</v>
      </c>
      <c r="P57" s="382"/>
      <c r="Q57" s="383">
        <v>3</v>
      </c>
      <c r="R57" s="384"/>
      <c r="S57" s="385">
        <v>3</v>
      </c>
      <c r="T57" s="382"/>
      <c r="U57" s="383">
        <v>3</v>
      </c>
      <c r="V57" s="386"/>
      <c r="W57" s="378">
        <f>SUM(K57:V57)</f>
        <v>18</v>
      </c>
      <c r="X57" s="380"/>
      <c r="Y57" s="215">
        <v>18</v>
      </c>
      <c r="Z57" s="189"/>
      <c r="AB57" s="377" t="s">
        <v>155</v>
      </c>
      <c r="AC57" s="377"/>
    </row>
    <row r="58" spans="2:31" ht="17.25" customHeight="1" thickBot="1">
      <c r="B58" s="372"/>
      <c r="C58" s="373"/>
      <c r="D58" s="373"/>
      <c r="E58" s="373"/>
      <c r="F58" s="373"/>
      <c r="G58" s="373"/>
      <c r="H58" s="373"/>
      <c r="I58" s="373"/>
      <c r="J58" s="374"/>
      <c r="K58" s="372">
        <v>32</v>
      </c>
      <c r="L58" s="397"/>
      <c r="M58" s="398">
        <v>32</v>
      </c>
      <c r="N58" s="375"/>
      <c r="O58" s="376">
        <v>32</v>
      </c>
      <c r="P58" s="397"/>
      <c r="Q58" s="398">
        <v>32</v>
      </c>
      <c r="R58" s="375"/>
      <c r="S58" s="376">
        <v>32</v>
      </c>
      <c r="T58" s="397"/>
      <c r="U58" s="398">
        <v>32</v>
      </c>
      <c r="V58" s="374"/>
      <c r="W58" s="372">
        <f>SUM(K58:V58)</f>
        <v>192</v>
      </c>
      <c r="X58" s="374"/>
      <c r="Y58" s="216">
        <f>W58</f>
        <v>192</v>
      </c>
      <c r="Z58" s="189"/>
      <c r="AB58" s="391" t="b">
        <f>W57&gt;=Y57</f>
        <v>1</v>
      </c>
      <c r="AC58" s="392"/>
    </row>
    <row r="59" spans="2:31" ht="17.25" customHeight="1" thickBot="1">
      <c r="B59" s="372"/>
      <c r="C59" s="373"/>
      <c r="D59" s="373"/>
      <c r="E59" s="373"/>
      <c r="F59" s="373"/>
      <c r="G59" s="373"/>
      <c r="H59" s="373"/>
      <c r="I59" s="373"/>
      <c r="J59" s="374"/>
      <c r="K59" s="372">
        <f>SUM(K58:N58)</f>
        <v>64</v>
      </c>
      <c r="L59" s="373"/>
      <c r="M59" s="373"/>
      <c r="N59" s="375"/>
      <c r="O59" s="376">
        <f>SUM(O58:R58)</f>
        <v>64</v>
      </c>
      <c r="P59" s="373"/>
      <c r="Q59" s="373"/>
      <c r="R59" s="375"/>
      <c r="S59" s="376">
        <f>SUM(S58:V58)</f>
        <v>64</v>
      </c>
      <c r="T59" s="373"/>
      <c r="U59" s="373"/>
      <c r="V59" s="374"/>
      <c r="W59" s="372">
        <f>SUM(K59:V59)</f>
        <v>192</v>
      </c>
      <c r="X59" s="374"/>
      <c r="Y59" s="214"/>
      <c r="Z59" s="213"/>
      <c r="AB59" s="377" t="s">
        <v>152</v>
      </c>
      <c r="AC59" s="377"/>
    </row>
    <row r="60" spans="2:31" ht="17.25" customHeight="1" thickBot="1">
      <c r="AB60" s="391" t="b">
        <f>W58&gt;=Y58</f>
        <v>1</v>
      </c>
      <c r="AC60" s="392"/>
    </row>
    <row r="61" spans="2:31" ht="17.25" customHeight="1"/>
    <row r="62" spans="2:31" ht="17.25" customHeight="1"/>
    <row r="63" spans="2:31" ht="17.25" customHeight="1"/>
    <row r="65" ht="24.9" customHeight="1"/>
    <row r="66" ht="24.9" customHeight="1"/>
    <row r="67" ht="32.25" customHeight="1"/>
    <row r="68" ht="24.9" customHeight="1"/>
    <row r="70" ht="16.5" customHeight="1"/>
    <row r="71" ht="17.2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244.5" customHeight="1"/>
  </sheetData>
  <mergeCells count="442">
    <mergeCell ref="Q41:R41"/>
    <mergeCell ref="S41:T41"/>
    <mergeCell ref="U41:V41"/>
    <mergeCell ref="M38:N38"/>
    <mergeCell ref="O38:P38"/>
    <mergeCell ref="M39:N39"/>
    <mergeCell ref="Q38:R38"/>
    <mergeCell ref="M40:N40"/>
    <mergeCell ref="M41:N41"/>
    <mergeCell ref="O40:P40"/>
    <mergeCell ref="O41:P41"/>
    <mergeCell ref="O39:P39"/>
    <mergeCell ref="F20:G20"/>
    <mergeCell ref="K24:L24"/>
    <mergeCell ref="F23:G23"/>
    <mergeCell ref="F34:G34"/>
    <mergeCell ref="K34:L34"/>
    <mergeCell ref="M34:N34"/>
    <mergeCell ref="O34:P34"/>
    <mergeCell ref="S34:T34"/>
    <mergeCell ref="U34:V34"/>
    <mergeCell ref="Q34:R34"/>
    <mergeCell ref="O31:P31"/>
    <mergeCell ref="M24:N24"/>
    <mergeCell ref="Q25:R25"/>
    <mergeCell ref="S25:T25"/>
    <mergeCell ref="U25:V25"/>
    <mergeCell ref="M26:N26"/>
    <mergeCell ref="O26:P26"/>
    <mergeCell ref="Q26:R26"/>
    <mergeCell ref="S26:T26"/>
    <mergeCell ref="U26:V26"/>
    <mergeCell ref="M29:N29"/>
    <mergeCell ref="O29:P29"/>
    <mergeCell ref="Q29:R29"/>
    <mergeCell ref="S29:T29"/>
    <mergeCell ref="Y9:Y17"/>
    <mergeCell ref="O16:P16"/>
    <mergeCell ref="Q16:R16"/>
    <mergeCell ref="S16:T16"/>
    <mergeCell ref="U16:V16"/>
    <mergeCell ref="O15:P15"/>
    <mergeCell ref="X12:X14"/>
    <mergeCell ref="Y20:Y24"/>
    <mergeCell ref="U20:V20"/>
    <mergeCell ref="X9:X11"/>
    <mergeCell ref="O9:P9"/>
    <mergeCell ref="Q9:R9"/>
    <mergeCell ref="S9:T9"/>
    <mergeCell ref="U9:V9"/>
    <mergeCell ref="O13:P13"/>
    <mergeCell ref="Q13:R13"/>
    <mergeCell ref="S13:T13"/>
    <mergeCell ref="O24:P24"/>
    <mergeCell ref="U24:V24"/>
    <mergeCell ref="S22:T22"/>
    <mergeCell ref="U22:V22"/>
    <mergeCell ref="S23:T23"/>
    <mergeCell ref="U23:V23"/>
    <mergeCell ref="S24:T24"/>
    <mergeCell ref="M9:N9"/>
    <mergeCell ref="X18:X19"/>
    <mergeCell ref="Q15:R15"/>
    <mergeCell ref="S15:T15"/>
    <mergeCell ref="U15:V15"/>
    <mergeCell ref="M16:N16"/>
    <mergeCell ref="M17:N17"/>
    <mergeCell ref="O17:P17"/>
    <mergeCell ref="Q17:R17"/>
    <mergeCell ref="S17:T17"/>
    <mergeCell ref="M14:N14"/>
    <mergeCell ref="O14:P14"/>
    <mergeCell ref="Q14:R14"/>
    <mergeCell ref="S14:T14"/>
    <mergeCell ref="U14:V14"/>
    <mergeCell ref="M13:N13"/>
    <mergeCell ref="Q10:R10"/>
    <mergeCell ref="S10:T10"/>
    <mergeCell ref="U10:V10"/>
    <mergeCell ref="Q11:R11"/>
    <mergeCell ref="S11:T11"/>
    <mergeCell ref="U11:V11"/>
    <mergeCell ref="U12:V12"/>
    <mergeCell ref="M12:N12"/>
    <mergeCell ref="X20:X21"/>
    <mergeCell ref="U19:V19"/>
    <mergeCell ref="M15:N15"/>
    <mergeCell ref="M21:N21"/>
    <mergeCell ref="O21:P21"/>
    <mergeCell ref="Q21:R21"/>
    <mergeCell ref="S21:T21"/>
    <mergeCell ref="U21:V21"/>
    <mergeCell ref="M20:N20"/>
    <mergeCell ref="O20:P20"/>
    <mergeCell ref="Q20:R20"/>
    <mergeCell ref="S20:T20"/>
    <mergeCell ref="Q19:R19"/>
    <mergeCell ref="U17:V17"/>
    <mergeCell ref="X15:X17"/>
    <mergeCell ref="S19:T19"/>
    <mergeCell ref="W40:X40"/>
    <mergeCell ref="Q40:R40"/>
    <mergeCell ref="S39:T39"/>
    <mergeCell ref="U37:V37"/>
    <mergeCell ref="W37:X37"/>
    <mergeCell ref="U30:V30"/>
    <mergeCell ref="S40:T40"/>
    <mergeCell ref="U40:V40"/>
    <mergeCell ref="Q37:R37"/>
    <mergeCell ref="S37:T37"/>
    <mergeCell ref="Q39:R39"/>
    <mergeCell ref="S38:T38"/>
    <mergeCell ref="U38:V38"/>
    <mergeCell ref="U39:V39"/>
    <mergeCell ref="X30:X32"/>
    <mergeCell ref="X33:X36"/>
    <mergeCell ref="Q36:R36"/>
    <mergeCell ref="S36:T36"/>
    <mergeCell ref="U36:V36"/>
    <mergeCell ref="X2:Y2"/>
    <mergeCell ref="B2:U2"/>
    <mergeCell ref="V2:W2"/>
    <mergeCell ref="AB2:AB5"/>
    <mergeCell ref="M42:N42"/>
    <mergeCell ref="O42:P42"/>
    <mergeCell ref="Q42:R42"/>
    <mergeCell ref="S42:T42"/>
    <mergeCell ref="Q33:R33"/>
    <mergeCell ref="Q35:R35"/>
    <mergeCell ref="S33:T33"/>
    <mergeCell ref="S35:T35"/>
    <mergeCell ref="U33:V33"/>
    <mergeCell ref="U35:V35"/>
    <mergeCell ref="U13:V13"/>
    <mergeCell ref="M10:N10"/>
    <mergeCell ref="O10:P10"/>
    <mergeCell ref="Y18:Y19"/>
    <mergeCell ref="AB19:AC19"/>
    <mergeCell ref="M18:N18"/>
    <mergeCell ref="O18:P18"/>
    <mergeCell ref="Q18:R18"/>
    <mergeCell ref="S18:T18"/>
    <mergeCell ref="U18:V18"/>
    <mergeCell ref="D12:D14"/>
    <mergeCell ref="F12:G12"/>
    <mergeCell ref="K12:L12"/>
    <mergeCell ref="D15:D17"/>
    <mergeCell ref="F15:G15"/>
    <mergeCell ref="K15:L15"/>
    <mergeCell ref="K18:L18"/>
    <mergeCell ref="F19:G19"/>
    <mergeCell ref="K19:L19"/>
    <mergeCell ref="F16:G16"/>
    <mergeCell ref="K16:L16"/>
    <mergeCell ref="F17:G17"/>
    <mergeCell ref="K17:L17"/>
    <mergeCell ref="F18:G18"/>
    <mergeCell ref="M37:N37"/>
    <mergeCell ref="O37:P37"/>
    <mergeCell ref="Q31:R31"/>
    <mergeCell ref="F11:G11"/>
    <mergeCell ref="K11:L11"/>
    <mergeCell ref="F13:G13"/>
    <mergeCell ref="K13:L13"/>
    <mergeCell ref="F14:G14"/>
    <mergeCell ref="K14:L14"/>
    <mergeCell ref="M19:N19"/>
    <mergeCell ref="O19:P19"/>
    <mergeCell ref="M11:N11"/>
    <mergeCell ref="O11:P11"/>
    <mergeCell ref="K23:L23"/>
    <mergeCell ref="F24:G24"/>
    <mergeCell ref="K20:L20"/>
    <mergeCell ref="F21:G21"/>
    <mergeCell ref="K21:L21"/>
    <mergeCell ref="F36:G36"/>
    <mergeCell ref="K36:L36"/>
    <mergeCell ref="M36:N36"/>
    <mergeCell ref="O23:P23"/>
    <mergeCell ref="Q23:R23"/>
    <mergeCell ref="M22:N22"/>
    <mergeCell ref="F10:G10"/>
    <mergeCell ref="W5:Y5"/>
    <mergeCell ref="U28:V28"/>
    <mergeCell ref="M27:N27"/>
    <mergeCell ref="X25:X29"/>
    <mergeCell ref="F26:G26"/>
    <mergeCell ref="K26:L26"/>
    <mergeCell ref="F27:G27"/>
    <mergeCell ref="K27:L27"/>
    <mergeCell ref="F28:G28"/>
    <mergeCell ref="K28:L28"/>
    <mergeCell ref="F29:G29"/>
    <mergeCell ref="K29:L29"/>
    <mergeCell ref="O27:P27"/>
    <mergeCell ref="Q27:R27"/>
    <mergeCell ref="S27:T27"/>
    <mergeCell ref="U27:V27"/>
    <mergeCell ref="O12:P12"/>
    <mergeCell ref="Q12:R12"/>
    <mergeCell ref="S12:T12"/>
    <mergeCell ref="X22:X24"/>
    <mergeCell ref="O22:P22"/>
    <mergeCell ref="Q22:R22"/>
    <mergeCell ref="Q24:R24"/>
    <mergeCell ref="B9:C36"/>
    <mergeCell ref="D9:D11"/>
    <mergeCell ref="F9:G9"/>
    <mergeCell ref="K9:L9"/>
    <mergeCell ref="U6:Y6"/>
    <mergeCell ref="B7:C8"/>
    <mergeCell ref="D7:D8"/>
    <mergeCell ref="E7:G7"/>
    <mergeCell ref="H7:H8"/>
    <mergeCell ref="D22:D24"/>
    <mergeCell ref="F22:G22"/>
    <mergeCell ref="K22:L22"/>
    <mergeCell ref="D18:D21"/>
    <mergeCell ref="K10:L10"/>
    <mergeCell ref="M23:N23"/>
    <mergeCell ref="K7:N7"/>
    <mergeCell ref="O7:R7"/>
    <mergeCell ref="S7:V7"/>
    <mergeCell ref="S8:T8"/>
    <mergeCell ref="U8:V8"/>
    <mergeCell ref="D30:D32"/>
    <mergeCell ref="F30:G30"/>
    <mergeCell ref="K30:L30"/>
    <mergeCell ref="K25:L25"/>
    <mergeCell ref="C5:E5"/>
    <mergeCell ref="F5:G5"/>
    <mergeCell ref="W7:X8"/>
    <mergeCell ref="Y7:Y8"/>
    <mergeCell ref="F8:G8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H5:J5"/>
    <mergeCell ref="K5:O5"/>
    <mergeCell ref="P5:S5"/>
    <mergeCell ref="T5:V5"/>
    <mergeCell ref="K8:L8"/>
    <mergeCell ref="I7:I8"/>
    <mergeCell ref="J7:J8"/>
    <mergeCell ref="M8:N8"/>
    <mergeCell ref="O8:P8"/>
    <mergeCell ref="Q8:R8"/>
    <mergeCell ref="D25:D29"/>
    <mergeCell ref="F25:G25"/>
    <mergeCell ref="S31:T31"/>
    <mergeCell ref="U31:V31"/>
    <mergeCell ref="M32:N32"/>
    <mergeCell ref="M25:N25"/>
    <mergeCell ref="O25:P25"/>
    <mergeCell ref="Y30:Y32"/>
    <mergeCell ref="F32:G32"/>
    <mergeCell ref="K32:L32"/>
    <mergeCell ref="M30:N30"/>
    <mergeCell ref="O30:P30"/>
    <mergeCell ref="Q30:R30"/>
    <mergeCell ref="S30:T30"/>
    <mergeCell ref="F31:G31"/>
    <mergeCell ref="K31:L31"/>
    <mergeCell ref="M31:N31"/>
    <mergeCell ref="U29:V29"/>
    <mergeCell ref="M28:N28"/>
    <mergeCell ref="O28:P28"/>
    <mergeCell ref="Q28:R28"/>
    <mergeCell ref="S28:T28"/>
    <mergeCell ref="Y25:Y29"/>
    <mergeCell ref="D33:D36"/>
    <mergeCell ref="F33:G33"/>
    <mergeCell ref="K33:L33"/>
    <mergeCell ref="Y33:Y36"/>
    <mergeCell ref="F35:G35"/>
    <mergeCell ref="K35:L35"/>
    <mergeCell ref="O32:P32"/>
    <mergeCell ref="Q32:R32"/>
    <mergeCell ref="S32:T32"/>
    <mergeCell ref="U32:V32"/>
    <mergeCell ref="M33:N33"/>
    <mergeCell ref="M35:N35"/>
    <mergeCell ref="O35:P35"/>
    <mergeCell ref="O33:P33"/>
    <mergeCell ref="O36:P36"/>
    <mergeCell ref="AB37:AC37"/>
    <mergeCell ref="B38:C42"/>
    <mergeCell ref="F38:G38"/>
    <mergeCell ref="K38:L38"/>
    <mergeCell ref="Y38:Y50"/>
    <mergeCell ref="F39:G39"/>
    <mergeCell ref="K39:L39"/>
    <mergeCell ref="F40:G40"/>
    <mergeCell ref="K40:L40"/>
    <mergeCell ref="F41:G41"/>
    <mergeCell ref="K41:L41"/>
    <mergeCell ref="F42:G42"/>
    <mergeCell ref="K42:L42"/>
    <mergeCell ref="D38:E38"/>
    <mergeCell ref="W42:X42"/>
    <mergeCell ref="W41:X41"/>
    <mergeCell ref="W39:X39"/>
    <mergeCell ref="W38:X38"/>
    <mergeCell ref="U42:V42"/>
    <mergeCell ref="B37:G37"/>
    <mergeCell ref="K37:L37"/>
    <mergeCell ref="B43:B46"/>
    <mergeCell ref="F43:G43"/>
    <mergeCell ref="I43:I44"/>
    <mergeCell ref="O51:P52"/>
    <mergeCell ref="Q51:R52"/>
    <mergeCell ref="S51:T52"/>
    <mergeCell ref="U51:V52"/>
    <mergeCell ref="K53:L53"/>
    <mergeCell ref="B51:G52"/>
    <mergeCell ref="H51:H52"/>
    <mergeCell ref="I51:I52"/>
    <mergeCell ref="J51:J52"/>
    <mergeCell ref="K51:L52"/>
    <mergeCell ref="M51:N52"/>
    <mergeCell ref="M53:N53"/>
    <mergeCell ref="O53:P53"/>
    <mergeCell ref="S53:T53"/>
    <mergeCell ref="U53:V53"/>
    <mergeCell ref="Q56:R56"/>
    <mergeCell ref="S56:T56"/>
    <mergeCell ref="U56:V56"/>
    <mergeCell ref="B53:G53"/>
    <mergeCell ref="Q53:R53"/>
    <mergeCell ref="U54:V54"/>
    <mergeCell ref="K54:L54"/>
    <mergeCell ref="S54:T54"/>
    <mergeCell ref="M54:N54"/>
    <mergeCell ref="O54:P54"/>
    <mergeCell ref="Q54:R54"/>
    <mergeCell ref="F56:J56"/>
    <mergeCell ref="K56:L56"/>
    <mergeCell ref="M56:N56"/>
    <mergeCell ref="W51:X52"/>
    <mergeCell ref="AB60:AC60"/>
    <mergeCell ref="B58:J58"/>
    <mergeCell ref="K58:L58"/>
    <mergeCell ref="M58:N58"/>
    <mergeCell ref="O58:P58"/>
    <mergeCell ref="Q58:R58"/>
    <mergeCell ref="S58:T58"/>
    <mergeCell ref="U58:V58"/>
    <mergeCell ref="W58:X58"/>
    <mergeCell ref="AB58:AC58"/>
    <mergeCell ref="Y51:Y52"/>
    <mergeCell ref="W53:X53"/>
    <mergeCell ref="AB53:AC54"/>
    <mergeCell ref="B54:E57"/>
    <mergeCell ref="F54:J54"/>
    <mergeCell ref="W54:X56"/>
    <mergeCell ref="Y54:Y56"/>
    <mergeCell ref="F55:J55"/>
    <mergeCell ref="K55:L55"/>
    <mergeCell ref="M55:N55"/>
    <mergeCell ref="O55:P55"/>
    <mergeCell ref="Q55:R55"/>
    <mergeCell ref="O56:P56"/>
    <mergeCell ref="K43:L44"/>
    <mergeCell ref="M43:N44"/>
    <mergeCell ref="O43:P44"/>
    <mergeCell ref="Q43:R44"/>
    <mergeCell ref="AC14:AE14"/>
    <mergeCell ref="AB8:AE8"/>
    <mergeCell ref="B59:J59"/>
    <mergeCell ref="K59:N59"/>
    <mergeCell ref="O59:R59"/>
    <mergeCell ref="S59:V59"/>
    <mergeCell ref="W59:X59"/>
    <mergeCell ref="AB59:AC59"/>
    <mergeCell ref="F57:J57"/>
    <mergeCell ref="K57:L57"/>
    <mergeCell ref="M57:N57"/>
    <mergeCell ref="O57:P57"/>
    <mergeCell ref="Q57:R57"/>
    <mergeCell ref="S57:T57"/>
    <mergeCell ref="U57:V57"/>
    <mergeCell ref="W57:X57"/>
    <mergeCell ref="AB57:AC57"/>
    <mergeCell ref="S55:T55"/>
    <mergeCell ref="U55:V55"/>
    <mergeCell ref="AB55:AC55"/>
    <mergeCell ref="U49:V50"/>
    <mergeCell ref="W49:X50"/>
    <mergeCell ref="F50:G50"/>
    <mergeCell ref="K50:L50"/>
    <mergeCell ref="M50:N50"/>
    <mergeCell ref="O50:P50"/>
    <mergeCell ref="Q50:R50"/>
    <mergeCell ref="S49:T50"/>
    <mergeCell ref="F46:G46"/>
    <mergeCell ref="B47:B50"/>
    <mergeCell ref="C47:C48"/>
    <mergeCell ref="F47:G47"/>
    <mergeCell ref="I47:I48"/>
    <mergeCell ref="J47:J48"/>
    <mergeCell ref="K47:L47"/>
    <mergeCell ref="M47:N47"/>
    <mergeCell ref="O47:P48"/>
    <mergeCell ref="Q47:R48"/>
    <mergeCell ref="C49:C50"/>
    <mergeCell ref="F49:G49"/>
    <mergeCell ref="I49:I50"/>
    <mergeCell ref="J49:J50"/>
    <mergeCell ref="K49:L49"/>
    <mergeCell ref="M49:N49"/>
    <mergeCell ref="O49:P49"/>
    <mergeCell ref="Q49:R49"/>
    <mergeCell ref="Z7:Z8"/>
    <mergeCell ref="S47:T47"/>
    <mergeCell ref="U47:V47"/>
    <mergeCell ref="W47:X48"/>
    <mergeCell ref="F48:G48"/>
    <mergeCell ref="K48:L48"/>
    <mergeCell ref="M48:N48"/>
    <mergeCell ref="S48:T48"/>
    <mergeCell ref="U48:V48"/>
    <mergeCell ref="U43:V44"/>
    <mergeCell ref="W43:X44"/>
    <mergeCell ref="F44:G44"/>
    <mergeCell ref="F45:G45"/>
    <mergeCell ref="I45:I46"/>
    <mergeCell ref="J45:J46"/>
    <mergeCell ref="K45:L46"/>
    <mergeCell ref="M45:N46"/>
    <mergeCell ref="O45:P46"/>
    <mergeCell ref="Q45:R46"/>
    <mergeCell ref="S45:T46"/>
    <mergeCell ref="U45:V46"/>
    <mergeCell ref="W45:X46"/>
    <mergeCell ref="S43:T44"/>
    <mergeCell ref="J43:J44"/>
  </mergeCells>
  <phoneticPr fontId="9" type="noConversion"/>
  <conditionalFormatting sqref="AB37:AC37 AD52 AB55:AC55 AB58:AC58 AB60:AC60">
    <cfRule type="containsText" dxfId="3" priority="2" operator="containsText" text="FALSE">
      <formula>NOT(ISERROR(SEARCH("FALSE",AB37)))</formula>
    </cfRule>
  </conditionalFormatting>
  <conditionalFormatting sqref="AE50">
    <cfRule type="containsText" dxfId="2" priority="1" operator="containsText" text="FALSE">
      <formula>NOT(ISERROR(SEARCH("FALSE",AE50)))</formula>
    </cfRule>
  </conditionalFormatting>
  <dataValidations disablePrompts="1" count="1">
    <dataValidation type="list" allowBlank="1" showInputMessage="1" showErrorMessage="1" sqref="D50 D48" xr:uid="{390F5271-A939-4C5D-A4A8-57847F49C417}"/>
  </dataValidations>
  <printOptions horizontalCentered="1" verticalCentered="1"/>
  <pageMargins left="0.25" right="0.25" top="0.75" bottom="0.75" header="0.3" footer="0.3"/>
  <pageSetup paperSize="12" scale="74" orientation="portrait" cellComments="asDisplayed" r:id="rId1"/>
  <rowBreaks count="1" manualBreakCount="1">
    <brk id="51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EFFD-4E52-4878-B39C-45F28347DAA8}">
  <sheetPr>
    <pageSetUpPr fitToPage="1"/>
  </sheetPr>
  <dimension ref="B2:AG57"/>
  <sheetViews>
    <sheetView showGridLines="0" view="pageBreakPreview" topLeftCell="A38" zoomScale="85" zoomScaleNormal="85" zoomScaleSheetLayoutView="85" workbookViewId="0">
      <selection activeCell="E61" sqref="E61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643" t="s">
        <v>150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</row>
    <row r="3" spans="2:33" ht="27" customHeight="1" thickBot="1"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644" t="s">
        <v>128</v>
      </c>
      <c r="O3" s="645"/>
      <c r="P3" s="646"/>
      <c r="Q3" s="644" t="s">
        <v>126</v>
      </c>
      <c r="R3" s="645"/>
      <c r="S3" s="646"/>
      <c r="T3" s="647" t="s">
        <v>129</v>
      </c>
      <c r="U3" s="648"/>
    </row>
    <row r="4" spans="2:33" ht="27" customHeight="1" thickBot="1"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649" t="s">
        <v>516</v>
      </c>
      <c r="O4" s="650"/>
      <c r="P4" s="651"/>
      <c r="Q4" s="652" t="s">
        <v>98</v>
      </c>
      <c r="R4" s="653"/>
      <c r="S4" s="654"/>
      <c r="T4" s="653">
        <v>2027</v>
      </c>
      <c r="U4" s="654"/>
    </row>
    <row r="5" spans="2:33" ht="24" customHeight="1" thickBot="1">
      <c r="B5" s="655"/>
      <c r="C5" s="655"/>
    </row>
    <row r="6" spans="2:33" ht="20.25" customHeight="1">
      <c r="B6" s="656" t="s">
        <v>12</v>
      </c>
      <c r="C6" s="659" t="s">
        <v>139</v>
      </c>
      <c r="D6" s="640" t="s">
        <v>13</v>
      </c>
      <c r="E6" s="640" t="s">
        <v>14</v>
      </c>
      <c r="F6" s="640" t="s">
        <v>140</v>
      </c>
      <c r="G6" s="640" t="s">
        <v>141</v>
      </c>
      <c r="H6" s="626" t="s">
        <v>57</v>
      </c>
      <c r="I6" s="626"/>
      <c r="J6" s="626"/>
      <c r="K6" s="626"/>
      <c r="L6" s="626" t="s">
        <v>58</v>
      </c>
      <c r="M6" s="626"/>
      <c r="N6" s="626"/>
      <c r="O6" s="626"/>
      <c r="P6" s="626" t="s">
        <v>59</v>
      </c>
      <c r="Q6" s="626"/>
      <c r="R6" s="626"/>
      <c r="S6" s="626"/>
      <c r="T6" s="627" t="s">
        <v>138</v>
      </c>
      <c r="U6" s="637" t="s">
        <v>125</v>
      </c>
      <c r="W6" s="630" t="s">
        <v>130</v>
      </c>
      <c r="X6" s="631"/>
      <c r="Y6" s="631"/>
      <c r="Z6" s="631"/>
      <c r="AA6" s="631"/>
      <c r="AB6" s="631"/>
      <c r="AC6" s="631"/>
      <c r="AD6" s="631"/>
      <c r="AE6" s="631"/>
      <c r="AF6" s="632"/>
      <c r="AG6" s="244"/>
    </row>
    <row r="7" spans="2:33" ht="16.5" customHeight="1">
      <c r="B7" s="657"/>
      <c r="C7" s="660"/>
      <c r="D7" s="641"/>
      <c r="E7" s="641"/>
      <c r="F7" s="641"/>
      <c r="G7" s="641"/>
      <c r="H7" s="633" t="s">
        <v>123</v>
      </c>
      <c r="I7" s="633"/>
      <c r="J7" s="633" t="s">
        <v>61</v>
      </c>
      <c r="K7" s="633"/>
      <c r="L7" s="633" t="s">
        <v>123</v>
      </c>
      <c r="M7" s="633"/>
      <c r="N7" s="633" t="s">
        <v>61</v>
      </c>
      <c r="O7" s="633"/>
      <c r="P7" s="633" t="s">
        <v>123</v>
      </c>
      <c r="Q7" s="633"/>
      <c r="R7" s="633" t="s">
        <v>61</v>
      </c>
      <c r="S7" s="633"/>
      <c r="T7" s="628"/>
      <c r="U7" s="638"/>
      <c r="W7" s="634" t="s">
        <v>131</v>
      </c>
      <c r="X7" s="635"/>
      <c r="Y7" s="635"/>
      <c r="Z7" s="635"/>
      <c r="AA7" s="635"/>
      <c r="AB7" s="635"/>
      <c r="AC7" s="635"/>
      <c r="AD7" s="635"/>
      <c r="AE7" s="635"/>
      <c r="AF7" s="636"/>
      <c r="AG7" s="244"/>
    </row>
    <row r="8" spans="2:33" ht="17.25" customHeight="1" thickBot="1">
      <c r="B8" s="658"/>
      <c r="C8" s="661"/>
      <c r="D8" s="642"/>
      <c r="E8" s="642"/>
      <c r="F8" s="642"/>
      <c r="G8" s="642"/>
      <c r="H8" s="245" t="s">
        <v>137</v>
      </c>
      <c r="I8" s="245" t="s">
        <v>124</v>
      </c>
      <c r="J8" s="245" t="s">
        <v>137</v>
      </c>
      <c r="K8" s="245" t="s">
        <v>124</v>
      </c>
      <c r="L8" s="245" t="s">
        <v>137</v>
      </c>
      <c r="M8" s="245" t="s">
        <v>124</v>
      </c>
      <c r="N8" s="245" t="s">
        <v>137</v>
      </c>
      <c r="O8" s="245" t="s">
        <v>124</v>
      </c>
      <c r="P8" s="245" t="s">
        <v>137</v>
      </c>
      <c r="Q8" s="245" t="s">
        <v>124</v>
      </c>
      <c r="R8" s="245" t="s">
        <v>137</v>
      </c>
      <c r="S8" s="245" t="s">
        <v>124</v>
      </c>
      <c r="T8" s="629"/>
      <c r="U8" s="639"/>
      <c r="W8" s="11"/>
      <c r="X8" s="246"/>
      <c r="Y8" s="246"/>
      <c r="Z8" s="246"/>
      <c r="AA8" s="246"/>
      <c r="AB8" s="246"/>
      <c r="AC8" s="246"/>
      <c r="AD8" s="246"/>
      <c r="AE8" s="246"/>
      <c r="AF8" s="12"/>
      <c r="AG8" s="244"/>
    </row>
    <row r="9" spans="2:33" ht="16.5" customHeight="1">
      <c r="B9" s="736" t="s">
        <v>530</v>
      </c>
      <c r="C9" s="739">
        <v>14</v>
      </c>
      <c r="D9" s="247" t="s">
        <v>531</v>
      </c>
      <c r="E9" s="247" t="s">
        <v>538</v>
      </c>
      <c r="F9" s="247">
        <v>64</v>
      </c>
      <c r="G9" s="247">
        <v>2</v>
      </c>
      <c r="H9" s="248">
        <v>4</v>
      </c>
      <c r="I9" s="248">
        <f>H9*16</f>
        <v>64</v>
      </c>
      <c r="J9" s="248"/>
      <c r="K9" s="248">
        <f>J9*16</f>
        <v>0</v>
      </c>
      <c r="L9" s="248"/>
      <c r="M9" s="248"/>
      <c r="N9" s="248"/>
      <c r="O9" s="248"/>
      <c r="P9" s="248"/>
      <c r="Q9" s="248"/>
      <c r="R9" s="248"/>
      <c r="S9" s="248"/>
      <c r="T9" s="145">
        <f>SUM(H9,J9,L9,N9,P9,R9)</f>
        <v>4</v>
      </c>
      <c r="U9" s="146">
        <f>SUM(I9,K9,M9,O9,Q9,S9)</f>
        <v>64</v>
      </c>
      <c r="W9" s="249"/>
      <c r="X9" s="244"/>
      <c r="Y9" s="244"/>
      <c r="Z9" s="244"/>
      <c r="AA9" s="244"/>
      <c r="AB9" s="244"/>
      <c r="AC9" s="244"/>
      <c r="AD9" s="244"/>
      <c r="AE9" s="244"/>
      <c r="AF9" s="250"/>
      <c r="AG9" s="244"/>
    </row>
    <row r="10" spans="2:33" ht="16.5" customHeight="1">
      <c r="B10" s="737"/>
      <c r="C10" s="740"/>
      <c r="D10" s="251" t="s">
        <v>532</v>
      </c>
      <c r="E10" s="252" t="s">
        <v>539</v>
      </c>
      <c r="F10" s="251">
        <v>32</v>
      </c>
      <c r="G10" s="251">
        <v>2</v>
      </c>
      <c r="H10" s="253">
        <v>2</v>
      </c>
      <c r="I10" s="253">
        <f t="shared" ref="I10:S56" si="0">H10*16</f>
        <v>32</v>
      </c>
      <c r="J10" s="253"/>
      <c r="K10" s="253">
        <f t="shared" ref="K10" si="1">J10*16</f>
        <v>0</v>
      </c>
      <c r="L10" s="253"/>
      <c r="M10" s="253"/>
      <c r="N10" s="253"/>
      <c r="O10" s="253"/>
      <c r="P10" s="253"/>
      <c r="Q10" s="253"/>
      <c r="R10" s="253"/>
      <c r="S10" s="253"/>
      <c r="T10" s="147">
        <f t="shared" ref="T10:U15" si="2">SUM(H10,J10,L10,N10,P10,R10)</f>
        <v>2</v>
      </c>
      <c r="U10" s="148">
        <f t="shared" si="2"/>
        <v>32</v>
      </c>
      <c r="W10" s="249"/>
      <c r="X10" s="244"/>
      <c r="Y10" s="244"/>
      <c r="Z10" s="244"/>
      <c r="AA10" s="244"/>
      <c r="AB10" s="244"/>
      <c r="AC10" s="244"/>
      <c r="AD10" s="244"/>
      <c r="AE10" s="244"/>
      <c r="AF10" s="250"/>
      <c r="AG10" s="244"/>
    </row>
    <row r="11" spans="2:33">
      <c r="B11" s="737"/>
      <c r="C11" s="740"/>
      <c r="D11" s="252" t="s">
        <v>533</v>
      </c>
      <c r="E11" s="251" t="s">
        <v>540</v>
      </c>
      <c r="F11" s="252">
        <v>32</v>
      </c>
      <c r="G11" s="252">
        <v>2</v>
      </c>
      <c r="H11" s="254">
        <v>2</v>
      </c>
      <c r="I11" s="253">
        <f t="shared" si="0"/>
        <v>32</v>
      </c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147">
        <f t="shared" si="2"/>
        <v>2</v>
      </c>
      <c r="U11" s="148">
        <f t="shared" si="2"/>
        <v>32</v>
      </c>
    </row>
    <row r="12" spans="2:33">
      <c r="B12" s="737"/>
      <c r="C12" s="740"/>
      <c r="D12" s="252" t="s">
        <v>534</v>
      </c>
      <c r="E12" s="252" t="s">
        <v>541</v>
      </c>
      <c r="F12" s="252">
        <v>64</v>
      </c>
      <c r="G12" s="252">
        <v>3</v>
      </c>
      <c r="H12" s="254"/>
      <c r="I12" s="254"/>
      <c r="J12" s="254">
        <v>2</v>
      </c>
      <c r="K12" s="253">
        <f t="shared" si="0"/>
        <v>32</v>
      </c>
      <c r="L12" s="254"/>
      <c r="M12" s="254"/>
      <c r="N12" s="254"/>
      <c r="O12" s="254"/>
      <c r="P12" s="254"/>
      <c r="Q12" s="254"/>
      <c r="R12" s="254"/>
      <c r="S12" s="254"/>
      <c r="T12" s="149">
        <f t="shared" si="2"/>
        <v>2</v>
      </c>
      <c r="U12" s="150">
        <f t="shared" si="2"/>
        <v>32</v>
      </c>
    </row>
    <row r="13" spans="2:33">
      <c r="B13" s="737"/>
      <c r="C13" s="740"/>
      <c r="D13" s="252" t="s">
        <v>535</v>
      </c>
      <c r="E13" s="252" t="s">
        <v>542</v>
      </c>
      <c r="F13" s="252">
        <v>32</v>
      </c>
      <c r="G13" s="252">
        <v>2</v>
      </c>
      <c r="H13" s="254"/>
      <c r="I13" s="254"/>
      <c r="J13" s="254">
        <v>2</v>
      </c>
      <c r="K13" s="253">
        <f t="shared" si="0"/>
        <v>32</v>
      </c>
      <c r="L13" s="254"/>
      <c r="M13" s="254"/>
      <c r="N13" s="254"/>
      <c r="O13" s="254"/>
      <c r="P13" s="254"/>
      <c r="Q13" s="254"/>
      <c r="R13" s="254"/>
      <c r="S13" s="254"/>
      <c r="T13" s="147">
        <f t="shared" si="2"/>
        <v>2</v>
      </c>
      <c r="U13" s="148">
        <f t="shared" si="2"/>
        <v>32</v>
      </c>
    </row>
    <row r="14" spans="2:33">
      <c r="B14" s="737"/>
      <c r="C14" s="740"/>
      <c r="D14" s="252" t="s">
        <v>536</v>
      </c>
      <c r="E14" s="252" t="s">
        <v>543</v>
      </c>
      <c r="F14" s="252">
        <v>32</v>
      </c>
      <c r="G14" s="252">
        <v>2</v>
      </c>
      <c r="H14" s="254"/>
      <c r="I14" s="254"/>
      <c r="J14" s="254">
        <v>2</v>
      </c>
      <c r="K14" s="253">
        <f t="shared" si="0"/>
        <v>32</v>
      </c>
      <c r="L14" s="254"/>
      <c r="M14" s="254"/>
      <c r="N14" s="254"/>
      <c r="O14" s="254"/>
      <c r="P14" s="254"/>
      <c r="Q14" s="254"/>
      <c r="R14" s="254"/>
      <c r="S14" s="254"/>
      <c r="T14" s="147">
        <f t="shared" si="2"/>
        <v>2</v>
      </c>
      <c r="U14" s="148">
        <f t="shared" si="2"/>
        <v>32</v>
      </c>
    </row>
    <row r="15" spans="2:33">
      <c r="B15" s="737"/>
      <c r="C15" s="740"/>
      <c r="D15" s="255" t="s">
        <v>537</v>
      </c>
      <c r="E15" s="255" t="s">
        <v>544</v>
      </c>
      <c r="F15" s="255">
        <v>32</v>
      </c>
      <c r="G15" s="255">
        <v>3</v>
      </c>
      <c r="H15" s="256"/>
      <c r="I15" s="256"/>
      <c r="J15" s="256">
        <v>2</v>
      </c>
      <c r="K15" s="253">
        <f t="shared" si="0"/>
        <v>32</v>
      </c>
      <c r="L15" s="256"/>
      <c r="M15" s="256"/>
      <c r="N15" s="256"/>
      <c r="O15" s="256"/>
      <c r="P15" s="256"/>
      <c r="Q15" s="256"/>
      <c r="R15" s="256"/>
      <c r="S15" s="256"/>
      <c r="T15" s="147">
        <f t="shared" si="2"/>
        <v>2</v>
      </c>
      <c r="U15" s="148">
        <f t="shared" si="2"/>
        <v>32</v>
      </c>
    </row>
    <row r="16" spans="2:33" ht="18" thickBot="1">
      <c r="B16" s="738"/>
      <c r="C16" s="741"/>
      <c r="D16" s="609" t="s">
        <v>15</v>
      </c>
      <c r="E16" s="609"/>
      <c r="F16" s="314"/>
      <c r="G16" s="314"/>
      <c r="H16" s="258">
        <f>SUM(H9:H15)</f>
        <v>8</v>
      </c>
      <c r="I16" s="258">
        <f>SUM(I9:I15)</f>
        <v>128</v>
      </c>
      <c r="J16" s="258">
        <f>SUM(J11:J15)</f>
        <v>8</v>
      </c>
      <c r="K16" s="258">
        <f>SUM(K11:K15)</f>
        <v>128</v>
      </c>
      <c r="L16" s="258">
        <f t="shared" ref="L16:S16" si="3">SUM(L9:L14)</f>
        <v>0</v>
      </c>
      <c r="M16" s="258">
        <f t="shared" si="3"/>
        <v>0</v>
      </c>
      <c r="N16" s="258">
        <f t="shared" si="3"/>
        <v>0</v>
      </c>
      <c r="O16" s="258">
        <f t="shared" si="3"/>
        <v>0</v>
      </c>
      <c r="P16" s="258">
        <f t="shared" si="3"/>
        <v>0</v>
      </c>
      <c r="Q16" s="258">
        <f t="shared" si="3"/>
        <v>0</v>
      </c>
      <c r="R16" s="258">
        <f t="shared" si="3"/>
        <v>0</v>
      </c>
      <c r="S16" s="258">
        <f t="shared" si="3"/>
        <v>0</v>
      </c>
      <c r="T16" s="259">
        <f>SUM(T9:T15)</f>
        <v>16</v>
      </c>
      <c r="U16" s="260">
        <f>SUM(U9:U15)</f>
        <v>256</v>
      </c>
    </row>
    <row r="17" spans="2:23">
      <c r="B17" s="622" t="s">
        <v>545</v>
      </c>
      <c r="C17" s="624">
        <v>11</v>
      </c>
      <c r="D17" s="261" t="s">
        <v>546</v>
      </c>
      <c r="E17" s="261" t="s">
        <v>550</v>
      </c>
      <c r="F17" s="261">
        <v>48</v>
      </c>
      <c r="G17" s="261">
        <v>2</v>
      </c>
      <c r="H17" s="262"/>
      <c r="I17" s="262"/>
      <c r="J17" s="262"/>
      <c r="K17" s="262"/>
      <c r="L17" s="262">
        <v>3</v>
      </c>
      <c r="M17" s="253">
        <f t="shared" si="0"/>
        <v>48</v>
      </c>
      <c r="N17" s="262"/>
      <c r="O17" s="262"/>
      <c r="P17" s="262"/>
      <c r="Q17" s="262"/>
      <c r="R17" s="262"/>
      <c r="S17" s="262"/>
      <c r="T17" s="145">
        <f>SUM(H17,J17,L17,N17,P17,R17)</f>
        <v>3</v>
      </c>
      <c r="U17" s="146">
        <f>SUM(I17,K17,M17,O17,Q17,S17)</f>
        <v>48</v>
      </c>
      <c r="W17" s="263" t="s">
        <v>748</v>
      </c>
    </row>
    <row r="18" spans="2:23">
      <c r="B18" s="610"/>
      <c r="C18" s="614"/>
      <c r="D18" s="264" t="s">
        <v>547</v>
      </c>
      <c r="E18" s="264" t="s">
        <v>551</v>
      </c>
      <c r="F18" s="264">
        <v>48</v>
      </c>
      <c r="G18" s="264">
        <v>3</v>
      </c>
      <c r="H18" s="265"/>
      <c r="I18" s="265"/>
      <c r="J18" s="265"/>
      <c r="K18" s="265"/>
      <c r="L18" s="265">
        <v>3</v>
      </c>
      <c r="M18" s="253">
        <f t="shared" si="0"/>
        <v>48</v>
      </c>
      <c r="N18" s="265"/>
      <c r="O18" s="265"/>
      <c r="P18" s="265"/>
      <c r="Q18" s="265"/>
      <c r="R18" s="265"/>
      <c r="S18" s="266"/>
      <c r="T18" s="147">
        <f t="shared" ref="T18:U20" si="4">SUM(H18,J18,L18,N18,P18,R18)</f>
        <v>3</v>
      </c>
      <c r="U18" s="148">
        <f>SUM(I18,K18,M18,O18,Q18,S18)</f>
        <v>48</v>
      </c>
      <c r="W18" s="267" t="s">
        <v>740</v>
      </c>
    </row>
    <row r="19" spans="2:23">
      <c r="B19" s="610"/>
      <c r="C19" s="614"/>
      <c r="D19" s="264" t="s">
        <v>548</v>
      </c>
      <c r="E19" s="264" t="s">
        <v>552</v>
      </c>
      <c r="F19" s="264">
        <v>48</v>
      </c>
      <c r="G19" s="264">
        <v>2</v>
      </c>
      <c r="H19" s="265"/>
      <c r="I19" s="265"/>
      <c r="J19" s="265"/>
      <c r="K19" s="265"/>
      <c r="L19" s="265"/>
      <c r="M19" s="265"/>
      <c r="N19" s="265">
        <v>3</v>
      </c>
      <c r="O19" s="253">
        <f t="shared" si="0"/>
        <v>48</v>
      </c>
      <c r="P19" s="265"/>
      <c r="Q19" s="265"/>
      <c r="R19" s="265"/>
      <c r="S19" s="266"/>
      <c r="T19" s="147">
        <f t="shared" si="4"/>
        <v>3</v>
      </c>
      <c r="U19" s="148">
        <f t="shared" si="4"/>
        <v>48</v>
      </c>
      <c r="W19" s="263" t="s">
        <v>741</v>
      </c>
    </row>
    <row r="20" spans="2:23">
      <c r="B20" s="623"/>
      <c r="C20" s="625"/>
      <c r="D20" s="268" t="s">
        <v>549</v>
      </c>
      <c r="E20" s="152" t="s">
        <v>553</v>
      </c>
      <c r="F20" s="268">
        <v>32</v>
      </c>
      <c r="G20" s="268">
        <v>2</v>
      </c>
      <c r="H20" s="266"/>
      <c r="I20" s="266"/>
      <c r="J20" s="266"/>
      <c r="K20" s="266"/>
      <c r="L20" s="266"/>
      <c r="M20" s="266"/>
      <c r="N20" s="266">
        <v>2</v>
      </c>
      <c r="O20" s="253">
        <f t="shared" si="0"/>
        <v>32</v>
      </c>
      <c r="P20" s="266"/>
      <c r="Q20" s="266"/>
      <c r="R20" s="266"/>
      <c r="S20" s="266"/>
      <c r="T20" s="147">
        <f t="shared" si="4"/>
        <v>2</v>
      </c>
      <c r="U20" s="148">
        <f t="shared" si="4"/>
        <v>32</v>
      </c>
      <c r="W20" s="263" t="s">
        <v>742</v>
      </c>
    </row>
    <row r="21" spans="2:23" ht="18" thickBot="1">
      <c r="B21" s="613"/>
      <c r="C21" s="617"/>
      <c r="D21" s="621" t="s">
        <v>15</v>
      </c>
      <c r="E21" s="621"/>
      <c r="F21" s="269"/>
      <c r="G21" s="269"/>
      <c r="H21" s="270"/>
      <c r="I21" s="270"/>
      <c r="J21" s="270"/>
      <c r="K21" s="270"/>
      <c r="L21" s="270">
        <f>SUM(L17:L20)</f>
        <v>6</v>
      </c>
      <c r="M21" s="270">
        <f>SUM(M17:M20)</f>
        <v>96</v>
      </c>
      <c r="N21" s="270">
        <f>SUM(N17:N20)</f>
        <v>5</v>
      </c>
      <c r="O21" s="270">
        <f>SUM(O17:O20)</f>
        <v>80</v>
      </c>
      <c r="P21" s="270"/>
      <c r="Q21" s="270"/>
      <c r="R21" s="270"/>
      <c r="S21" s="270"/>
      <c r="T21" s="25">
        <f>SUM(T17:T20)</f>
        <v>11</v>
      </c>
      <c r="U21" s="26">
        <f>SUM(U17:U20)</f>
        <v>176</v>
      </c>
      <c r="W21" s="271" t="s">
        <v>743</v>
      </c>
    </row>
    <row r="22" spans="2:23">
      <c r="B22" s="856" t="s">
        <v>554</v>
      </c>
      <c r="C22" s="857">
        <v>4</v>
      </c>
      <c r="D22" s="272" t="s">
        <v>555</v>
      </c>
      <c r="E22" s="264" t="s">
        <v>557</v>
      </c>
      <c r="F22" s="264">
        <v>32</v>
      </c>
      <c r="G22" s="264">
        <v>4</v>
      </c>
      <c r="H22" s="265"/>
      <c r="I22" s="265"/>
      <c r="J22" s="265"/>
      <c r="K22" s="265"/>
      <c r="L22" s="265">
        <v>2</v>
      </c>
      <c r="M22" s="253">
        <f t="shared" si="0"/>
        <v>32</v>
      </c>
      <c r="N22" s="265"/>
      <c r="O22" s="265"/>
      <c r="P22" s="265"/>
      <c r="Q22" s="265"/>
      <c r="R22" s="265"/>
      <c r="S22" s="265"/>
      <c r="T22" s="145">
        <f>SUM(H22,J22,L22,N22,P22,R22)</f>
        <v>2</v>
      </c>
      <c r="U22" s="146">
        <f>SUM(I22,K22,M22,O22,Q22,S22)</f>
        <v>32</v>
      </c>
    </row>
    <row r="23" spans="2:23">
      <c r="B23" s="856"/>
      <c r="C23" s="858"/>
      <c r="D23" s="272" t="s">
        <v>556</v>
      </c>
      <c r="E23" s="27" t="s">
        <v>558</v>
      </c>
      <c r="F23" s="264">
        <v>32</v>
      </c>
      <c r="G23" s="264">
        <v>3</v>
      </c>
      <c r="H23" s="265"/>
      <c r="I23" s="265"/>
      <c r="J23" s="265"/>
      <c r="K23" s="265"/>
      <c r="L23" s="265"/>
      <c r="M23" s="265"/>
      <c r="N23" s="265">
        <v>2</v>
      </c>
      <c r="O23" s="253">
        <f t="shared" si="0"/>
        <v>32</v>
      </c>
      <c r="P23" s="265"/>
      <c r="Q23" s="265"/>
      <c r="R23" s="265"/>
      <c r="S23" s="266"/>
      <c r="T23" s="147">
        <f t="shared" ref="T23" si="5">SUM(H23,J23,L23,N23,P23,R23)</f>
        <v>2</v>
      </c>
      <c r="U23" s="148">
        <f>SUM(I23,K23,M23,O23,Q23,S23)</f>
        <v>32</v>
      </c>
    </row>
    <row r="24" spans="2:23" ht="18" thickBot="1">
      <c r="B24" s="859"/>
      <c r="C24" s="860"/>
      <c r="D24" s="618"/>
      <c r="E24" s="619"/>
      <c r="F24" s="273"/>
      <c r="G24" s="273"/>
      <c r="H24" s="274"/>
      <c r="I24" s="274"/>
      <c r="J24" s="274"/>
      <c r="K24" s="274"/>
      <c r="L24" s="274">
        <f>SUM(L22:L23)</f>
        <v>2</v>
      </c>
      <c r="M24" s="274">
        <f>SUM(M22:M23)</f>
        <v>32</v>
      </c>
      <c r="N24" s="274">
        <f>SUM(N22:N23)</f>
        <v>2</v>
      </c>
      <c r="O24" s="274">
        <f>SUM(O22:O23)</f>
        <v>32</v>
      </c>
      <c r="P24" s="274"/>
      <c r="Q24" s="274"/>
      <c r="R24" s="274"/>
      <c r="S24" s="274"/>
      <c r="T24" s="23">
        <f>SUM(T22:T23)</f>
        <v>4</v>
      </c>
      <c r="U24" s="24">
        <f>SUM(U22:U23)</f>
        <v>64</v>
      </c>
      <c r="W24" t="s">
        <v>744</v>
      </c>
    </row>
    <row r="25" spans="2:23">
      <c r="B25" s="861" t="s">
        <v>559</v>
      </c>
      <c r="C25" s="862">
        <v>4</v>
      </c>
      <c r="D25" s="275" t="s">
        <v>560</v>
      </c>
      <c r="E25" s="261" t="s">
        <v>562</v>
      </c>
      <c r="F25" s="261">
        <v>32</v>
      </c>
      <c r="G25" s="276">
        <v>3</v>
      </c>
      <c r="H25" s="262"/>
      <c r="I25" s="262"/>
      <c r="J25" s="262"/>
      <c r="K25" s="262"/>
      <c r="L25" s="262">
        <v>2</v>
      </c>
      <c r="M25" s="253">
        <f t="shared" si="0"/>
        <v>32</v>
      </c>
      <c r="N25" s="262"/>
      <c r="O25" s="262"/>
      <c r="P25" s="262"/>
      <c r="Q25" s="262"/>
      <c r="R25" s="262"/>
      <c r="S25" s="262"/>
      <c r="T25" s="225">
        <f>SUM(H25,J25,L25,N25,P25,R25)</f>
        <v>2</v>
      </c>
      <c r="U25" s="146">
        <f>SUM(I25,K25,M25,O25,Q25,S25)</f>
        <v>32</v>
      </c>
      <c r="W25" t="s">
        <v>745</v>
      </c>
    </row>
    <row r="26" spans="2:23">
      <c r="B26" s="863"/>
      <c r="C26" s="864"/>
      <c r="D26" s="277" t="s">
        <v>561</v>
      </c>
      <c r="E26" s="264" t="s">
        <v>563</v>
      </c>
      <c r="F26" s="264">
        <v>32</v>
      </c>
      <c r="G26" s="264">
        <v>2</v>
      </c>
      <c r="H26" s="265"/>
      <c r="I26" s="265"/>
      <c r="J26" s="265"/>
      <c r="K26" s="265"/>
      <c r="L26" s="265"/>
      <c r="M26" s="265"/>
      <c r="N26" s="265">
        <v>2</v>
      </c>
      <c r="O26" s="253">
        <f t="shared" si="0"/>
        <v>32</v>
      </c>
      <c r="P26" s="265"/>
      <c r="Q26" s="265"/>
      <c r="R26" s="265"/>
      <c r="S26" s="265"/>
      <c r="T26" s="147">
        <f>SUM(H26,J26,L26,N26,P26,R26)</f>
        <v>2</v>
      </c>
      <c r="U26" s="148">
        <f>SUM(I26,K26,M26,O26,Q26,S26)</f>
        <v>32</v>
      </c>
      <c r="W26" t="s">
        <v>746</v>
      </c>
    </row>
    <row r="27" spans="2:23" ht="18" thickBot="1">
      <c r="B27" s="865"/>
      <c r="C27" s="866"/>
      <c r="D27" s="620" t="s">
        <v>15</v>
      </c>
      <c r="E27" s="621"/>
      <c r="F27" s="269"/>
      <c r="G27" s="269"/>
      <c r="H27" s="270"/>
      <c r="I27" s="270"/>
      <c r="J27" s="270"/>
      <c r="K27" s="270"/>
      <c r="L27" s="270">
        <f>SUM(L25:L26)</f>
        <v>2</v>
      </c>
      <c r="M27" s="270">
        <f>SUM(M25:M26)</f>
        <v>32</v>
      </c>
      <c r="N27" s="270">
        <f>SUM(N25:N26)</f>
        <v>2</v>
      </c>
      <c r="O27" s="270">
        <f>SUM(O25:O26)</f>
        <v>32</v>
      </c>
      <c r="P27" s="270"/>
      <c r="Q27" s="270"/>
      <c r="R27" s="270"/>
      <c r="S27" s="270"/>
      <c r="T27" s="25">
        <f>SUM(T25:T26)</f>
        <v>4</v>
      </c>
      <c r="U27" s="26">
        <f>SUM(U25:U26)</f>
        <v>64</v>
      </c>
    </row>
    <row r="28" spans="2:23">
      <c r="B28" s="610" t="s">
        <v>564</v>
      </c>
      <c r="C28" s="614">
        <v>12</v>
      </c>
      <c r="D28" s="278" t="s">
        <v>565</v>
      </c>
      <c r="E28" s="279" t="s">
        <v>569</v>
      </c>
      <c r="F28" s="268">
        <v>32</v>
      </c>
      <c r="G28" s="264">
        <v>3</v>
      </c>
      <c r="H28" s="265"/>
      <c r="I28" s="265"/>
      <c r="J28" s="265"/>
      <c r="K28" s="265"/>
      <c r="L28" s="265">
        <v>2</v>
      </c>
      <c r="M28" s="253">
        <f t="shared" si="0"/>
        <v>32</v>
      </c>
      <c r="N28" s="265"/>
      <c r="O28" s="265"/>
      <c r="P28" s="22"/>
      <c r="Q28" s="22"/>
      <c r="R28" s="22"/>
      <c r="S28" s="22"/>
      <c r="T28" s="146">
        <f>SUM(H28,J28,L28,N28,P28,R28)</f>
        <v>2</v>
      </c>
      <c r="U28" s="146">
        <f>SUM(I28,K28,M28,O28,Q28,S28)</f>
        <v>32</v>
      </c>
    </row>
    <row r="29" spans="2:23">
      <c r="B29" s="610"/>
      <c r="C29" s="614"/>
      <c r="D29" s="277" t="s">
        <v>566</v>
      </c>
      <c r="E29" s="280" t="s">
        <v>570</v>
      </c>
      <c r="F29" s="264">
        <v>64</v>
      </c>
      <c r="G29" s="264">
        <v>3</v>
      </c>
      <c r="H29" s="265"/>
      <c r="I29" s="265"/>
      <c r="J29" s="265"/>
      <c r="K29" s="265"/>
      <c r="L29" s="265">
        <v>4</v>
      </c>
      <c r="M29" s="253">
        <f t="shared" si="0"/>
        <v>64</v>
      </c>
      <c r="N29" s="265"/>
      <c r="O29" s="265"/>
      <c r="P29" s="22"/>
      <c r="Q29" s="22"/>
      <c r="R29" s="22"/>
      <c r="S29" s="22"/>
      <c r="T29" s="147">
        <f>SUM(H29,J29,L29,N29,P29,R29)</f>
        <v>4</v>
      </c>
      <c r="U29" s="148">
        <f>SUM(I29,K29,M29,O29,Q29,S29)</f>
        <v>64</v>
      </c>
    </row>
    <row r="30" spans="2:23">
      <c r="B30" s="611"/>
      <c r="C30" s="615"/>
      <c r="D30" s="281" t="s">
        <v>567</v>
      </c>
      <c r="E30" s="282" t="s">
        <v>571</v>
      </c>
      <c r="F30" s="264">
        <v>48</v>
      </c>
      <c r="G30" s="264">
        <v>4</v>
      </c>
      <c r="H30" s="265"/>
      <c r="I30" s="265"/>
      <c r="J30" s="265"/>
      <c r="K30" s="265"/>
      <c r="L30" s="265"/>
      <c r="M30" s="265"/>
      <c r="N30" s="265">
        <v>3</v>
      </c>
      <c r="O30" s="253">
        <f t="shared" si="0"/>
        <v>48</v>
      </c>
      <c r="P30" s="22"/>
      <c r="Q30" s="22"/>
      <c r="R30" s="22"/>
      <c r="S30" s="22"/>
      <c r="T30" s="147">
        <f t="shared" ref="T30:T31" si="6">SUM(H30,J30,L30,N30,P30,R30)</f>
        <v>3</v>
      </c>
      <c r="U30" s="148">
        <f>SUM(I30,K30,M30,O30,Q30,S30)</f>
        <v>48</v>
      </c>
    </row>
    <row r="31" spans="2:23">
      <c r="B31" s="612"/>
      <c r="C31" s="616"/>
      <c r="D31" s="161" t="s">
        <v>568</v>
      </c>
      <c r="E31" s="283" t="s">
        <v>572</v>
      </c>
      <c r="F31" s="268">
        <v>48</v>
      </c>
      <c r="G31" s="264">
        <v>5</v>
      </c>
      <c r="H31" s="265"/>
      <c r="I31" s="265"/>
      <c r="J31" s="265"/>
      <c r="K31" s="265"/>
      <c r="L31" s="265"/>
      <c r="M31" s="265"/>
      <c r="N31" s="265">
        <v>3</v>
      </c>
      <c r="O31" s="253">
        <f t="shared" si="0"/>
        <v>48</v>
      </c>
      <c r="P31" s="22"/>
      <c r="Q31" s="22"/>
      <c r="R31" s="22"/>
      <c r="S31" s="22"/>
      <c r="T31" s="147">
        <f t="shared" si="6"/>
        <v>3</v>
      </c>
      <c r="U31" s="148">
        <f>SUM(I31,K31,M31,O31,Q31,S31)</f>
        <v>48</v>
      </c>
    </row>
    <row r="32" spans="2:23" ht="18" thickBot="1">
      <c r="B32" s="613"/>
      <c r="C32" s="617"/>
      <c r="D32" s="609" t="s">
        <v>15</v>
      </c>
      <c r="E32" s="609"/>
      <c r="F32" s="257"/>
      <c r="G32" s="257"/>
      <c r="H32" s="258"/>
      <c r="I32" s="258"/>
      <c r="J32" s="258"/>
      <c r="K32" s="258"/>
      <c r="L32" s="258">
        <f>SUM(L28:L31)</f>
        <v>6</v>
      </c>
      <c r="M32" s="258">
        <f>SUM(M28:M31)</f>
        <v>96</v>
      </c>
      <c r="N32" s="258">
        <f>SUM(N28:N31)</f>
        <v>6</v>
      </c>
      <c r="O32" s="258">
        <f>SUM(O28:O31)</f>
        <v>96</v>
      </c>
      <c r="P32" s="258"/>
      <c r="Q32" s="258"/>
      <c r="R32" s="258"/>
      <c r="S32" s="258"/>
      <c r="T32" s="25">
        <f>SUM(T28:T31)</f>
        <v>12</v>
      </c>
      <c r="U32" s="26">
        <f>SUM(U28:U31)</f>
        <v>192</v>
      </c>
    </row>
    <row r="33" spans="2:33" ht="17.399999999999999" customHeight="1">
      <c r="B33" s="743" t="s">
        <v>528</v>
      </c>
      <c r="C33" s="746">
        <v>11</v>
      </c>
      <c r="D33" s="278" t="s">
        <v>573</v>
      </c>
      <c r="E33" s="279" t="s">
        <v>577</v>
      </c>
      <c r="F33" s="268">
        <v>48</v>
      </c>
      <c r="G33" s="264">
        <v>2</v>
      </c>
      <c r="H33" s="265"/>
      <c r="I33" s="265"/>
      <c r="J33" s="265"/>
      <c r="K33" s="265"/>
      <c r="L33" s="265"/>
      <c r="M33" s="265"/>
      <c r="N33" s="265"/>
      <c r="O33" s="265"/>
      <c r="P33" s="22">
        <v>3</v>
      </c>
      <c r="Q33" s="253">
        <f t="shared" si="0"/>
        <v>48</v>
      </c>
      <c r="R33" s="22"/>
      <c r="S33" s="22"/>
      <c r="T33" s="226">
        <f t="shared" ref="T33:U36" si="7">SUM(H33,J33,L33,N33,P33,R33)</f>
        <v>3</v>
      </c>
      <c r="U33" s="146">
        <f t="shared" si="7"/>
        <v>48</v>
      </c>
    </row>
    <row r="34" spans="2:33">
      <c r="B34" s="743"/>
      <c r="C34" s="746"/>
      <c r="D34" s="277" t="s">
        <v>574</v>
      </c>
      <c r="E34" s="280" t="s">
        <v>578</v>
      </c>
      <c r="F34" s="264">
        <v>32</v>
      </c>
      <c r="G34" s="264">
        <v>3</v>
      </c>
      <c r="H34" s="265"/>
      <c r="I34" s="265"/>
      <c r="J34" s="265"/>
      <c r="K34" s="265"/>
      <c r="L34" s="265"/>
      <c r="M34" s="265"/>
      <c r="N34" s="265"/>
      <c r="O34" s="265"/>
      <c r="P34" s="22">
        <v>2</v>
      </c>
      <c r="Q34" s="253">
        <f t="shared" si="0"/>
        <v>32</v>
      </c>
      <c r="R34" s="22"/>
      <c r="S34" s="22"/>
      <c r="T34" s="147">
        <f t="shared" si="7"/>
        <v>2</v>
      </c>
      <c r="U34" s="148">
        <f t="shared" si="7"/>
        <v>32</v>
      </c>
    </row>
    <row r="35" spans="2:33">
      <c r="B35" s="737"/>
      <c r="C35" s="740"/>
      <c r="D35" s="284" t="s">
        <v>575</v>
      </c>
      <c r="E35" s="282" t="s">
        <v>579</v>
      </c>
      <c r="F35" s="264">
        <v>48</v>
      </c>
      <c r="G35" s="264">
        <v>5</v>
      </c>
      <c r="H35" s="265"/>
      <c r="I35" s="265"/>
      <c r="J35" s="265"/>
      <c r="K35" s="265"/>
      <c r="L35" s="265"/>
      <c r="M35" s="265"/>
      <c r="N35" s="265"/>
      <c r="O35" s="265"/>
      <c r="P35" s="22"/>
      <c r="Q35" s="22"/>
      <c r="R35" s="22">
        <v>3</v>
      </c>
      <c r="S35" s="253">
        <f t="shared" si="0"/>
        <v>48</v>
      </c>
      <c r="T35" s="147">
        <f t="shared" si="7"/>
        <v>3</v>
      </c>
      <c r="U35" s="148">
        <f t="shared" si="7"/>
        <v>48</v>
      </c>
    </row>
    <row r="36" spans="2:33">
      <c r="B36" s="749"/>
      <c r="C36" s="867"/>
      <c r="D36" s="152" t="s">
        <v>576</v>
      </c>
      <c r="E36" s="283" t="s">
        <v>580</v>
      </c>
      <c r="F36" s="268">
        <v>32</v>
      </c>
      <c r="G36" s="264">
        <v>4</v>
      </c>
      <c r="H36" s="265"/>
      <c r="I36" s="265"/>
      <c r="J36" s="265"/>
      <c r="K36" s="265"/>
      <c r="L36" s="265"/>
      <c r="M36" s="265"/>
      <c r="N36" s="265"/>
      <c r="O36" s="265"/>
      <c r="P36" s="22"/>
      <c r="Q36" s="22"/>
      <c r="R36" s="22">
        <v>3</v>
      </c>
      <c r="S36" s="253">
        <f t="shared" si="0"/>
        <v>48</v>
      </c>
      <c r="T36" s="147">
        <f t="shared" si="7"/>
        <v>3</v>
      </c>
      <c r="U36" s="148">
        <f t="shared" si="7"/>
        <v>48</v>
      </c>
    </row>
    <row r="37" spans="2:33" ht="18" thickBot="1">
      <c r="B37" s="744"/>
      <c r="C37" s="747"/>
      <c r="D37" s="609" t="s">
        <v>15</v>
      </c>
      <c r="E37" s="609"/>
      <c r="F37" s="257"/>
      <c r="G37" s="257"/>
      <c r="H37" s="258"/>
      <c r="I37" s="258"/>
      <c r="J37" s="258"/>
      <c r="K37" s="258"/>
      <c r="L37" s="258"/>
      <c r="M37" s="258"/>
      <c r="N37" s="258"/>
      <c r="O37" s="258"/>
      <c r="P37" s="258">
        <f t="shared" ref="P37:T37" si="8">SUM(P33:P36)</f>
        <v>5</v>
      </c>
      <c r="Q37" s="258">
        <f t="shared" si="8"/>
        <v>80</v>
      </c>
      <c r="R37" s="258">
        <f t="shared" si="8"/>
        <v>6</v>
      </c>
      <c r="S37" s="258">
        <f t="shared" si="8"/>
        <v>96</v>
      </c>
      <c r="T37" s="25">
        <f t="shared" si="8"/>
        <v>11</v>
      </c>
      <c r="U37" s="26">
        <f>SUM(U33:U36)</f>
        <v>176</v>
      </c>
    </row>
    <row r="38" spans="2:33">
      <c r="B38" s="610" t="s">
        <v>529</v>
      </c>
      <c r="C38" s="614">
        <v>18</v>
      </c>
      <c r="D38" s="278" t="s">
        <v>581</v>
      </c>
      <c r="E38" s="279" t="s">
        <v>585</v>
      </c>
      <c r="F38" s="268">
        <v>64</v>
      </c>
      <c r="G38" s="264">
        <v>3</v>
      </c>
      <c r="H38" s="265"/>
      <c r="I38" s="265"/>
      <c r="J38" s="265"/>
      <c r="K38" s="265"/>
      <c r="L38" s="265"/>
      <c r="M38" s="265"/>
      <c r="N38" s="265"/>
      <c r="O38" s="265"/>
      <c r="P38" s="22">
        <v>4</v>
      </c>
      <c r="Q38" s="253">
        <f t="shared" si="0"/>
        <v>64</v>
      </c>
      <c r="R38" s="22"/>
      <c r="S38" s="22"/>
      <c r="T38" s="145">
        <f t="shared" ref="T38:U41" si="9">SUM(H38,J38,L38,N38,P38,R38)</f>
        <v>4</v>
      </c>
      <c r="U38" s="227">
        <f t="shared" si="9"/>
        <v>64</v>
      </c>
    </row>
    <row r="39" spans="2:33">
      <c r="B39" s="610"/>
      <c r="C39" s="614"/>
      <c r="D39" s="277" t="s">
        <v>582</v>
      </c>
      <c r="E39" s="280" t="s">
        <v>586</v>
      </c>
      <c r="F39" s="264">
        <v>80</v>
      </c>
      <c r="G39" s="264">
        <v>3</v>
      </c>
      <c r="H39" s="265"/>
      <c r="I39" s="265"/>
      <c r="J39" s="265"/>
      <c r="K39" s="265"/>
      <c r="L39" s="265"/>
      <c r="M39" s="265"/>
      <c r="N39" s="265"/>
      <c r="O39" s="265"/>
      <c r="P39" s="22">
        <v>5</v>
      </c>
      <c r="Q39" s="253">
        <f t="shared" si="0"/>
        <v>80</v>
      </c>
      <c r="R39" s="22"/>
      <c r="S39" s="22"/>
      <c r="T39" s="147">
        <f t="shared" si="9"/>
        <v>5</v>
      </c>
      <c r="U39" s="228">
        <f t="shared" si="9"/>
        <v>80</v>
      </c>
    </row>
    <row r="40" spans="2:33">
      <c r="B40" s="611"/>
      <c r="C40" s="615"/>
      <c r="D40" s="284" t="s">
        <v>583</v>
      </c>
      <c r="E40" s="282" t="s">
        <v>587</v>
      </c>
      <c r="F40" s="264">
        <v>80</v>
      </c>
      <c r="G40" s="264">
        <v>3</v>
      </c>
      <c r="H40" s="265"/>
      <c r="I40" s="265"/>
      <c r="J40" s="265"/>
      <c r="K40" s="265"/>
      <c r="L40" s="265"/>
      <c r="M40" s="265"/>
      <c r="N40" s="265"/>
      <c r="O40" s="265"/>
      <c r="P40" s="22"/>
      <c r="Q40" s="22"/>
      <c r="R40" s="22">
        <v>5</v>
      </c>
      <c r="S40" s="253">
        <f t="shared" si="0"/>
        <v>80</v>
      </c>
      <c r="T40" s="147">
        <f t="shared" si="9"/>
        <v>5</v>
      </c>
      <c r="U40" s="228">
        <f t="shared" si="9"/>
        <v>80</v>
      </c>
    </row>
    <row r="41" spans="2:33">
      <c r="B41" s="612"/>
      <c r="C41" s="616"/>
      <c r="D41" s="152" t="s">
        <v>584</v>
      </c>
      <c r="E41" s="283" t="s">
        <v>588</v>
      </c>
      <c r="F41" s="268">
        <v>64</v>
      </c>
      <c r="G41" s="264">
        <v>4</v>
      </c>
      <c r="H41" s="265"/>
      <c r="I41" s="265"/>
      <c r="J41" s="265"/>
      <c r="K41" s="265"/>
      <c r="L41" s="265"/>
      <c r="M41" s="265"/>
      <c r="N41" s="265"/>
      <c r="O41" s="265"/>
      <c r="P41" s="22"/>
      <c r="Q41" s="22"/>
      <c r="R41" s="22">
        <v>5</v>
      </c>
      <c r="S41" s="253">
        <f t="shared" si="0"/>
        <v>80</v>
      </c>
      <c r="T41" s="147">
        <f t="shared" si="9"/>
        <v>5</v>
      </c>
      <c r="U41" s="148">
        <f t="shared" si="9"/>
        <v>80</v>
      </c>
    </row>
    <row r="42" spans="2:33" ht="18" thickBot="1">
      <c r="B42" s="613"/>
      <c r="C42" s="617"/>
      <c r="D42" s="609" t="s">
        <v>15</v>
      </c>
      <c r="E42" s="609"/>
      <c r="F42" s="257"/>
      <c r="G42" s="257"/>
      <c r="H42" s="258"/>
      <c r="I42" s="258"/>
      <c r="J42" s="258"/>
      <c r="K42" s="258"/>
      <c r="L42" s="258"/>
      <c r="M42" s="258"/>
      <c r="N42" s="258"/>
      <c r="O42" s="258"/>
      <c r="P42" s="258">
        <f t="shared" ref="P42:U42" si="10">SUM(P38:P41)</f>
        <v>9</v>
      </c>
      <c r="Q42" s="258">
        <f t="shared" si="10"/>
        <v>144</v>
      </c>
      <c r="R42" s="258">
        <f t="shared" si="10"/>
        <v>10</v>
      </c>
      <c r="S42" s="258">
        <f t="shared" si="10"/>
        <v>160</v>
      </c>
      <c r="T42" s="25">
        <f t="shared" si="10"/>
        <v>19</v>
      </c>
      <c r="U42" s="26">
        <f t="shared" si="10"/>
        <v>304</v>
      </c>
    </row>
    <row r="43" spans="2:33" ht="16.5" customHeight="1">
      <c r="B43" s="868" t="s">
        <v>589</v>
      </c>
      <c r="C43" s="869">
        <v>12</v>
      </c>
      <c r="D43" s="247" t="s">
        <v>590</v>
      </c>
      <c r="E43" s="247" t="s">
        <v>594</v>
      </c>
      <c r="F43" s="247">
        <v>48</v>
      </c>
      <c r="G43" s="247">
        <v>4</v>
      </c>
      <c r="H43" s="248"/>
      <c r="I43" s="248"/>
      <c r="J43" s="248"/>
      <c r="K43" s="248"/>
      <c r="L43" s="248"/>
      <c r="M43" s="248"/>
      <c r="N43" s="248"/>
      <c r="O43" s="248"/>
      <c r="P43" s="248">
        <v>3</v>
      </c>
      <c r="Q43" s="253">
        <f t="shared" si="0"/>
        <v>48</v>
      </c>
      <c r="R43" s="248"/>
      <c r="S43" s="248"/>
      <c r="T43" s="147">
        <f t="shared" ref="T43:U46" si="11">SUM(H43,J43,L43,N43,P43,R43)</f>
        <v>3</v>
      </c>
      <c r="U43" s="227">
        <f t="shared" si="11"/>
        <v>48</v>
      </c>
      <c r="W43" s="244"/>
      <c r="X43" s="244"/>
      <c r="Y43" s="244"/>
      <c r="Z43" s="244"/>
      <c r="AA43" s="244"/>
      <c r="AB43" s="244"/>
      <c r="AC43" s="244"/>
      <c r="AD43" s="244"/>
      <c r="AE43" s="244"/>
      <c r="AF43" s="250"/>
      <c r="AG43" s="244"/>
    </row>
    <row r="44" spans="2:33" ht="16.5" customHeight="1">
      <c r="B44" s="870"/>
      <c r="C44" s="871"/>
      <c r="D44" s="251" t="s">
        <v>591</v>
      </c>
      <c r="E44" s="252" t="s">
        <v>595</v>
      </c>
      <c r="F44" s="251">
        <v>48</v>
      </c>
      <c r="G44" s="251">
        <v>3</v>
      </c>
      <c r="H44" s="253"/>
      <c r="I44" s="253"/>
      <c r="J44" s="253"/>
      <c r="K44" s="253"/>
      <c r="L44" s="253"/>
      <c r="M44" s="253"/>
      <c r="N44" s="253"/>
      <c r="O44" s="253"/>
      <c r="P44" s="253">
        <v>3</v>
      </c>
      <c r="Q44" s="253">
        <f t="shared" si="0"/>
        <v>48</v>
      </c>
      <c r="R44" s="253"/>
      <c r="S44" s="253"/>
      <c r="T44" s="147">
        <f t="shared" si="11"/>
        <v>3</v>
      </c>
      <c r="U44" s="228">
        <f t="shared" si="11"/>
        <v>48</v>
      </c>
      <c r="W44" s="244"/>
      <c r="X44" s="244"/>
      <c r="Y44" s="244"/>
      <c r="Z44" s="244"/>
      <c r="AA44" s="244"/>
      <c r="AB44" s="244"/>
      <c r="AC44" s="244"/>
      <c r="AD44" s="244"/>
      <c r="AE44" s="244"/>
      <c r="AF44" s="250"/>
      <c r="AG44" s="244"/>
    </row>
    <row r="45" spans="2:33">
      <c r="B45" s="870"/>
      <c r="C45" s="871"/>
      <c r="D45" s="252" t="s">
        <v>592</v>
      </c>
      <c r="E45" s="251" t="s">
        <v>596</v>
      </c>
      <c r="F45" s="252">
        <v>48</v>
      </c>
      <c r="G45" s="252">
        <v>4</v>
      </c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>
        <v>3</v>
      </c>
      <c r="S45" s="253">
        <f t="shared" si="0"/>
        <v>48</v>
      </c>
      <c r="T45" s="147">
        <f t="shared" si="11"/>
        <v>3</v>
      </c>
      <c r="U45" s="228">
        <f t="shared" si="11"/>
        <v>48</v>
      </c>
    </row>
    <row r="46" spans="2:33">
      <c r="B46" s="870"/>
      <c r="C46" s="871"/>
      <c r="D46" s="252" t="s">
        <v>593</v>
      </c>
      <c r="E46" s="252" t="s">
        <v>597</v>
      </c>
      <c r="F46" s="252">
        <v>48</v>
      </c>
      <c r="G46" s="252">
        <v>3</v>
      </c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>
        <v>3</v>
      </c>
      <c r="S46" s="253">
        <f t="shared" si="0"/>
        <v>48</v>
      </c>
      <c r="T46" s="147">
        <f t="shared" si="11"/>
        <v>3</v>
      </c>
      <c r="U46" s="228">
        <f t="shared" si="11"/>
        <v>48</v>
      </c>
    </row>
    <row r="47" spans="2:33" ht="18" thickBot="1">
      <c r="B47" s="872"/>
      <c r="C47" s="873"/>
      <c r="D47" s="609" t="s">
        <v>15</v>
      </c>
      <c r="E47" s="609"/>
      <c r="F47" s="257"/>
      <c r="G47" s="257"/>
      <c r="H47" s="258">
        <f>SUM(H43:H46)</f>
        <v>0</v>
      </c>
      <c r="I47" s="258">
        <f>SUM(I43:I46)</f>
        <v>0</v>
      </c>
      <c r="J47" s="258">
        <f>SUM(J45:J46)</f>
        <v>0</v>
      </c>
      <c r="K47" s="258">
        <f>SUM(K45:K46)</f>
        <v>0</v>
      </c>
      <c r="L47" s="258">
        <f t="shared" ref="L47:U47" si="12">SUM(L43:L46)</f>
        <v>0</v>
      </c>
      <c r="M47" s="258">
        <f t="shared" si="12"/>
        <v>0</v>
      </c>
      <c r="N47" s="258">
        <f t="shared" si="12"/>
        <v>0</v>
      </c>
      <c r="O47" s="258">
        <f t="shared" si="12"/>
        <v>0</v>
      </c>
      <c r="P47" s="258">
        <f t="shared" si="12"/>
        <v>6</v>
      </c>
      <c r="Q47" s="258">
        <f t="shared" si="12"/>
        <v>96</v>
      </c>
      <c r="R47" s="258">
        <f t="shared" si="12"/>
        <v>6</v>
      </c>
      <c r="S47" s="258">
        <f t="shared" si="12"/>
        <v>96</v>
      </c>
      <c r="T47" s="259">
        <f t="shared" si="12"/>
        <v>12</v>
      </c>
      <c r="U47" s="260">
        <f t="shared" si="12"/>
        <v>192</v>
      </c>
    </row>
    <row r="48" spans="2:33" ht="16.5" customHeight="1">
      <c r="B48" s="868" t="s">
        <v>755</v>
      </c>
      <c r="C48" s="869">
        <v>12</v>
      </c>
      <c r="D48" s="247" t="s">
        <v>598</v>
      </c>
      <c r="E48" s="247" t="s">
        <v>602</v>
      </c>
      <c r="F48" s="247">
        <v>48</v>
      </c>
      <c r="G48" s="247">
        <v>2</v>
      </c>
      <c r="H48" s="248"/>
      <c r="I48" s="248"/>
      <c r="J48" s="248"/>
      <c r="K48" s="248"/>
      <c r="L48" s="248"/>
      <c r="M48" s="248"/>
      <c r="N48" s="248"/>
      <c r="O48" s="248"/>
      <c r="P48" s="248">
        <v>3</v>
      </c>
      <c r="Q48" s="253">
        <f t="shared" si="0"/>
        <v>48</v>
      </c>
      <c r="R48" s="248"/>
      <c r="S48" s="248"/>
      <c r="T48" s="145">
        <f>SUM(H48,J48,L48,N48,P48,R48)</f>
        <v>3</v>
      </c>
      <c r="U48" s="146">
        <f>SUM(I48,K48,M48,O48,Q48,S48)</f>
        <v>48</v>
      </c>
      <c r="W48" s="244"/>
      <c r="X48" s="244"/>
      <c r="Y48" s="244"/>
      <c r="Z48" s="244"/>
      <c r="AA48" s="244"/>
      <c r="AB48" s="244"/>
      <c r="AC48" s="244"/>
      <c r="AD48" s="244"/>
      <c r="AE48" s="244"/>
      <c r="AF48" s="250"/>
      <c r="AG48" s="244"/>
    </row>
    <row r="49" spans="2:33" ht="16.5" customHeight="1">
      <c r="B49" s="870"/>
      <c r="C49" s="871"/>
      <c r="D49" s="251" t="s">
        <v>599</v>
      </c>
      <c r="E49" s="252" t="s">
        <v>603</v>
      </c>
      <c r="F49" s="251">
        <v>48</v>
      </c>
      <c r="G49" s="251">
        <v>2</v>
      </c>
      <c r="H49" s="253"/>
      <c r="I49" s="253"/>
      <c r="J49" s="253"/>
      <c r="K49" s="253"/>
      <c r="L49" s="253"/>
      <c r="M49" s="253"/>
      <c r="N49" s="253"/>
      <c r="O49" s="253"/>
      <c r="P49" s="253">
        <v>3</v>
      </c>
      <c r="Q49" s="253">
        <f t="shared" si="0"/>
        <v>48</v>
      </c>
      <c r="R49" s="253"/>
      <c r="S49" s="253"/>
      <c r="T49" s="147">
        <f t="shared" ref="T49:U51" si="13">SUM(H49,J49,L49,N49,P49,R49)</f>
        <v>3</v>
      </c>
      <c r="U49" s="148">
        <f t="shared" si="13"/>
        <v>48</v>
      </c>
      <c r="W49" s="244"/>
      <c r="X49" s="244"/>
      <c r="Y49" s="244"/>
      <c r="Z49" s="244"/>
      <c r="AA49" s="244"/>
      <c r="AB49" s="244"/>
      <c r="AC49" s="244"/>
      <c r="AD49" s="244"/>
      <c r="AE49" s="244"/>
      <c r="AF49" s="250"/>
      <c r="AG49" s="244"/>
    </row>
    <row r="50" spans="2:33">
      <c r="B50" s="870"/>
      <c r="C50" s="871"/>
      <c r="D50" s="252" t="s">
        <v>600</v>
      </c>
      <c r="E50" s="251" t="s">
        <v>604</v>
      </c>
      <c r="F50" s="252">
        <v>48</v>
      </c>
      <c r="G50" s="252">
        <v>2</v>
      </c>
      <c r="H50" s="254"/>
      <c r="I50" s="254"/>
      <c r="J50" s="254"/>
      <c r="K50" s="254"/>
      <c r="L50" s="254"/>
      <c r="M50" s="254"/>
      <c r="N50" s="254"/>
      <c r="O50" s="254"/>
      <c r="P50" s="254"/>
      <c r="Q50" s="254"/>
      <c r="R50" s="254">
        <v>3</v>
      </c>
      <c r="S50" s="253">
        <f t="shared" si="0"/>
        <v>48</v>
      </c>
      <c r="T50" s="147">
        <f t="shared" si="13"/>
        <v>3</v>
      </c>
      <c r="U50" s="148">
        <f t="shared" si="13"/>
        <v>48</v>
      </c>
    </row>
    <row r="51" spans="2:33">
      <c r="B51" s="870"/>
      <c r="C51" s="871"/>
      <c r="D51" s="252" t="s">
        <v>601</v>
      </c>
      <c r="E51" s="252" t="s">
        <v>605</v>
      </c>
      <c r="F51" s="252">
        <v>48</v>
      </c>
      <c r="G51" s="252">
        <v>3</v>
      </c>
      <c r="H51" s="254"/>
      <c r="I51" s="254"/>
      <c r="J51" s="254"/>
      <c r="K51" s="254"/>
      <c r="L51" s="254"/>
      <c r="M51" s="254"/>
      <c r="N51" s="254"/>
      <c r="O51" s="254"/>
      <c r="P51" s="254"/>
      <c r="Q51" s="254"/>
      <c r="R51" s="254">
        <v>3</v>
      </c>
      <c r="S51" s="253">
        <f t="shared" si="0"/>
        <v>48</v>
      </c>
      <c r="T51" s="149">
        <f t="shared" si="13"/>
        <v>3</v>
      </c>
      <c r="U51" s="150">
        <f t="shared" si="13"/>
        <v>48</v>
      </c>
    </row>
    <row r="52" spans="2:33" ht="18" thickBot="1">
      <c r="B52" s="872"/>
      <c r="C52" s="873"/>
      <c r="D52" s="609" t="s">
        <v>15</v>
      </c>
      <c r="E52" s="609"/>
      <c r="F52" s="257"/>
      <c r="G52" s="257"/>
      <c r="H52" s="258">
        <f>SUM(H48:H51)</f>
        <v>0</v>
      </c>
      <c r="I52" s="258">
        <f>SUM(I48:I51)</f>
        <v>0</v>
      </c>
      <c r="J52" s="258">
        <f>SUM(J50:J51)</f>
        <v>0</v>
      </c>
      <c r="K52" s="258">
        <f>SUM(K50:K51)</f>
        <v>0</v>
      </c>
      <c r="L52" s="258">
        <f t="shared" ref="L52:U52" si="14">SUM(L48:L51)</f>
        <v>0</v>
      </c>
      <c r="M52" s="258">
        <f t="shared" si="14"/>
        <v>0</v>
      </c>
      <c r="N52" s="258">
        <f t="shared" si="14"/>
        <v>0</v>
      </c>
      <c r="O52" s="258">
        <f t="shared" si="14"/>
        <v>0</v>
      </c>
      <c r="P52" s="258">
        <f t="shared" si="14"/>
        <v>6</v>
      </c>
      <c r="Q52" s="258">
        <f t="shared" si="14"/>
        <v>96</v>
      </c>
      <c r="R52" s="258">
        <f t="shared" si="14"/>
        <v>6</v>
      </c>
      <c r="S52" s="258">
        <f t="shared" si="14"/>
        <v>96</v>
      </c>
      <c r="T52" s="259">
        <f t="shared" si="14"/>
        <v>12</v>
      </c>
      <c r="U52" s="260">
        <f t="shared" si="14"/>
        <v>192</v>
      </c>
    </row>
    <row r="53" spans="2:33" ht="16.5" customHeight="1">
      <c r="B53" s="868" t="s">
        <v>622</v>
      </c>
      <c r="C53" s="869">
        <v>14</v>
      </c>
      <c r="D53" s="247" t="s">
        <v>606</v>
      </c>
      <c r="E53" s="152" t="s">
        <v>610</v>
      </c>
      <c r="F53" s="247">
        <v>48</v>
      </c>
      <c r="G53" s="247">
        <v>4</v>
      </c>
      <c r="H53" s="248"/>
      <c r="I53" s="248"/>
      <c r="J53" s="248"/>
      <c r="K53" s="248"/>
      <c r="L53" s="248"/>
      <c r="M53" s="248"/>
      <c r="N53" s="248"/>
      <c r="O53" s="248"/>
      <c r="P53" s="248">
        <v>3</v>
      </c>
      <c r="Q53" s="253">
        <f t="shared" si="0"/>
        <v>48</v>
      </c>
      <c r="R53" s="248"/>
      <c r="S53" s="248"/>
      <c r="T53" s="145">
        <f>SUM(H53,J53,L53,N53,P53,R53)</f>
        <v>3</v>
      </c>
      <c r="U53" s="146">
        <f>SUM(I53,K53,M53,O53,Q53,S53)</f>
        <v>48</v>
      </c>
      <c r="W53" s="244"/>
      <c r="X53" s="244"/>
      <c r="Y53" s="244"/>
      <c r="Z53" s="244"/>
      <c r="AA53" s="244"/>
      <c r="AB53" s="244"/>
      <c r="AC53" s="244"/>
      <c r="AD53" s="244"/>
      <c r="AE53" s="244"/>
      <c r="AF53" s="250"/>
      <c r="AG53" s="244"/>
    </row>
    <row r="54" spans="2:33" ht="16.5" customHeight="1">
      <c r="B54" s="870"/>
      <c r="C54" s="871"/>
      <c r="D54" s="161" t="s">
        <v>607</v>
      </c>
      <c r="E54" s="162" t="s">
        <v>611</v>
      </c>
      <c r="F54" s="251">
        <v>64</v>
      </c>
      <c r="G54" s="251">
        <v>3</v>
      </c>
      <c r="H54" s="253"/>
      <c r="I54" s="253"/>
      <c r="J54" s="253"/>
      <c r="K54" s="253"/>
      <c r="L54" s="253"/>
      <c r="M54" s="253"/>
      <c r="N54" s="253"/>
      <c r="O54" s="253"/>
      <c r="P54" s="253">
        <v>4</v>
      </c>
      <c r="Q54" s="253">
        <f t="shared" si="0"/>
        <v>64</v>
      </c>
      <c r="R54" s="253"/>
      <c r="S54" s="253"/>
      <c r="T54" s="147">
        <f t="shared" ref="T54:U56" si="15">SUM(H54,J54,L54,N54,P54,R54)</f>
        <v>4</v>
      </c>
      <c r="U54" s="148">
        <f t="shared" si="15"/>
        <v>64</v>
      </c>
      <c r="W54" s="244"/>
      <c r="X54" s="244"/>
      <c r="Y54" s="244"/>
      <c r="Z54" s="244"/>
      <c r="AA54" s="244"/>
      <c r="AB54" s="244"/>
      <c r="AC54" s="244"/>
      <c r="AD54" s="244"/>
      <c r="AE54" s="244"/>
      <c r="AF54" s="250"/>
      <c r="AG54" s="244"/>
    </row>
    <row r="55" spans="2:33">
      <c r="B55" s="870"/>
      <c r="C55" s="871"/>
      <c r="D55" s="161" t="s">
        <v>608</v>
      </c>
      <c r="E55" s="162" t="s">
        <v>612</v>
      </c>
      <c r="F55" s="252">
        <v>48</v>
      </c>
      <c r="G55" s="252">
        <v>4</v>
      </c>
      <c r="H55" s="254"/>
      <c r="I55" s="254"/>
      <c r="J55" s="254"/>
      <c r="K55" s="254"/>
      <c r="L55" s="254"/>
      <c r="M55" s="254"/>
      <c r="N55" s="254"/>
      <c r="O55" s="254"/>
      <c r="P55" s="254"/>
      <c r="Q55" s="254"/>
      <c r="R55" s="254">
        <v>3</v>
      </c>
      <c r="S55" s="253">
        <f t="shared" si="0"/>
        <v>48</v>
      </c>
      <c r="T55" s="147">
        <f t="shared" si="15"/>
        <v>3</v>
      </c>
      <c r="U55" s="148">
        <f t="shared" si="15"/>
        <v>48</v>
      </c>
    </row>
    <row r="56" spans="2:33">
      <c r="B56" s="870"/>
      <c r="C56" s="871"/>
      <c r="D56" s="161" t="s">
        <v>609</v>
      </c>
      <c r="E56" s="162" t="s">
        <v>613</v>
      </c>
      <c r="F56" s="252">
        <v>64</v>
      </c>
      <c r="G56" s="252">
        <v>4</v>
      </c>
      <c r="H56" s="254"/>
      <c r="I56" s="254"/>
      <c r="J56" s="254"/>
      <c r="K56" s="254"/>
      <c r="L56" s="254"/>
      <c r="M56" s="254"/>
      <c r="N56" s="254"/>
      <c r="O56" s="254"/>
      <c r="P56" s="254"/>
      <c r="Q56" s="254"/>
      <c r="R56" s="254">
        <v>4</v>
      </c>
      <c r="S56" s="253">
        <f t="shared" si="0"/>
        <v>64</v>
      </c>
      <c r="T56" s="147">
        <f t="shared" si="15"/>
        <v>4</v>
      </c>
      <c r="U56" s="148">
        <f t="shared" si="15"/>
        <v>64</v>
      </c>
    </row>
    <row r="57" spans="2:33" ht="18" thickBot="1">
      <c r="B57" s="872"/>
      <c r="C57" s="873"/>
      <c r="D57" s="609" t="s">
        <v>15</v>
      </c>
      <c r="E57" s="609"/>
      <c r="F57" s="257"/>
      <c r="G57" s="257"/>
      <c r="H57" s="258">
        <f>SUM(H53:H56)</f>
        <v>0</v>
      </c>
      <c r="I57" s="258">
        <f>SUM(I53:I56)</f>
        <v>0</v>
      </c>
      <c r="J57" s="258">
        <f>SUM(J55:J56)</f>
        <v>0</v>
      </c>
      <c r="K57" s="258">
        <f>SUM(K55:K56)</f>
        <v>0</v>
      </c>
      <c r="L57" s="258">
        <f t="shared" ref="L57:U57" si="16">SUM(L53:L56)</f>
        <v>0</v>
      </c>
      <c r="M57" s="258">
        <f t="shared" si="16"/>
        <v>0</v>
      </c>
      <c r="N57" s="258">
        <f t="shared" si="16"/>
        <v>0</v>
      </c>
      <c r="O57" s="258">
        <f t="shared" si="16"/>
        <v>0</v>
      </c>
      <c r="P57" s="258">
        <f t="shared" si="16"/>
        <v>7</v>
      </c>
      <c r="Q57" s="258">
        <f t="shared" si="16"/>
        <v>112</v>
      </c>
      <c r="R57" s="258">
        <f t="shared" si="16"/>
        <v>7</v>
      </c>
      <c r="S57" s="258">
        <f t="shared" si="16"/>
        <v>112</v>
      </c>
      <c r="T57" s="259">
        <f t="shared" si="16"/>
        <v>14</v>
      </c>
      <c r="U57" s="260">
        <f t="shared" si="16"/>
        <v>224</v>
      </c>
    </row>
  </sheetData>
  <mergeCells count="57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6"/>
    <mergeCell ref="C9:C16"/>
    <mergeCell ref="D16:E16"/>
    <mergeCell ref="B17:B21"/>
    <mergeCell ref="C17:C21"/>
    <mergeCell ref="D21:E21"/>
    <mergeCell ref="B22:B24"/>
    <mergeCell ref="C22:C24"/>
    <mergeCell ref="D24:E24"/>
    <mergeCell ref="B25:B27"/>
    <mergeCell ref="C25:C27"/>
    <mergeCell ref="D27:E27"/>
    <mergeCell ref="B28:B32"/>
    <mergeCell ref="C28:C32"/>
    <mergeCell ref="D32:E32"/>
    <mergeCell ref="B33:B37"/>
    <mergeCell ref="C33:C37"/>
    <mergeCell ref="D37:E37"/>
    <mergeCell ref="B38:B42"/>
    <mergeCell ref="C38:C42"/>
    <mergeCell ref="D42:E42"/>
    <mergeCell ref="B43:B47"/>
    <mergeCell ref="C43:C47"/>
    <mergeCell ref="D47:E47"/>
    <mergeCell ref="B48:B52"/>
    <mergeCell ref="C48:C52"/>
    <mergeCell ref="D52:E52"/>
    <mergeCell ref="B53:B57"/>
    <mergeCell ref="C53:C57"/>
    <mergeCell ref="D57:E57"/>
  </mergeCells>
  <phoneticPr fontId="9" type="noConversion"/>
  <pageMargins left="0.70866141732283472" right="0.70866141732283472" top="0.74803149606299213" bottom="0.74803149606299213" header="0.31496062992125984" footer="0.31496062992125984"/>
  <pageSetup paperSize="12" scale="54" orientation="landscape" cellComments="asDisplayed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335A-37C0-4EB1-9543-B47CCF703B2A}">
  <sheetPr>
    <pageSetUpPr fitToPage="1"/>
  </sheetPr>
  <dimension ref="B1:AE90"/>
  <sheetViews>
    <sheetView view="pageBreakPreview" zoomScale="71" zoomScaleNormal="100" zoomScaleSheetLayoutView="71" workbookViewId="0">
      <pane ySplit="8" topLeftCell="A33" activePane="bottomLeft" state="frozen"/>
      <selection pane="bottomLeft" activeCell="U44" sqref="U44:V44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6" width="6.3984375" style="4" customWidth="1"/>
    <col min="27" max="27" width="8.69921875" style="4"/>
    <col min="28" max="28" width="16.3984375" style="4" customWidth="1"/>
    <col min="29" max="30" width="12.8984375" style="4" customWidth="1"/>
    <col min="31" max="31" width="13.8984375" style="4" customWidth="1"/>
    <col min="32" max="16384" width="8.69921875" style="4"/>
  </cols>
  <sheetData>
    <row r="1" spans="2:31" ht="18" thickBot="1"/>
    <row r="2" spans="2:31" ht="30.75" customHeight="1" thickBot="1">
      <c r="B2" s="567" t="s">
        <v>728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8"/>
      <c r="V2" s="569" t="s">
        <v>129</v>
      </c>
      <c r="W2" s="570"/>
      <c r="X2" s="565">
        <v>2027</v>
      </c>
      <c r="Y2" s="566"/>
      <c r="Z2" s="205"/>
      <c r="AB2" s="571" t="s">
        <v>142</v>
      </c>
      <c r="AC2" s="14" t="s">
        <v>143</v>
      </c>
      <c r="AD2" s="28" t="s">
        <v>151</v>
      </c>
      <c r="AE2" s="15" t="s">
        <v>144</v>
      </c>
    </row>
    <row r="3" spans="2:31" ht="18" thickBot="1">
      <c r="B3" s="497" t="s">
        <v>361</v>
      </c>
      <c r="C3" s="499" t="s">
        <v>52</v>
      </c>
      <c r="D3" s="500"/>
      <c r="E3" s="500"/>
      <c r="F3" s="499" t="s">
        <v>63</v>
      </c>
      <c r="G3" s="503"/>
      <c r="H3" s="499" t="s">
        <v>53</v>
      </c>
      <c r="I3" s="500"/>
      <c r="J3" s="500"/>
      <c r="K3" s="499" t="s">
        <v>54</v>
      </c>
      <c r="L3" s="500"/>
      <c r="M3" s="500"/>
      <c r="N3" s="500"/>
      <c r="O3" s="503"/>
      <c r="P3" s="505" t="s">
        <v>55</v>
      </c>
      <c r="Q3" s="506"/>
      <c r="R3" s="506"/>
      <c r="S3" s="506"/>
      <c r="T3" s="506"/>
      <c r="U3" s="506"/>
      <c r="V3" s="506"/>
      <c r="W3" s="506"/>
      <c r="X3" s="506"/>
      <c r="Y3" s="507"/>
      <c r="Z3" s="205"/>
      <c r="AB3" s="572"/>
      <c r="AC3" s="16" t="s">
        <v>145</v>
      </c>
      <c r="AD3" s="39" t="s">
        <v>724</v>
      </c>
      <c r="AE3" s="17" t="s">
        <v>725</v>
      </c>
    </row>
    <row r="4" spans="2:31" ht="18" thickBot="1">
      <c r="B4" s="498"/>
      <c r="C4" s="501"/>
      <c r="D4" s="502"/>
      <c r="E4" s="502"/>
      <c r="F4" s="501"/>
      <c r="G4" s="504"/>
      <c r="H4" s="501"/>
      <c r="I4" s="502"/>
      <c r="J4" s="502"/>
      <c r="K4" s="501"/>
      <c r="L4" s="502"/>
      <c r="M4" s="502"/>
      <c r="N4" s="502"/>
      <c r="O4" s="504"/>
      <c r="P4" s="505" t="s">
        <v>126</v>
      </c>
      <c r="Q4" s="506"/>
      <c r="R4" s="506"/>
      <c r="S4" s="506"/>
      <c r="T4" s="505" t="s">
        <v>60</v>
      </c>
      <c r="U4" s="506"/>
      <c r="V4" s="507"/>
      <c r="W4" s="506" t="s">
        <v>127</v>
      </c>
      <c r="X4" s="506"/>
      <c r="Y4" s="507"/>
      <c r="Z4" s="205"/>
      <c r="AB4" s="572"/>
      <c r="AC4" s="18" t="s">
        <v>146</v>
      </c>
      <c r="AD4" s="231" t="s">
        <v>726</v>
      </c>
      <c r="AE4" s="17" t="s">
        <v>725</v>
      </c>
    </row>
    <row r="5" spans="2:31" ht="26.25" customHeight="1" thickBot="1">
      <c r="B5" s="69" t="s">
        <v>514</v>
      </c>
      <c r="C5" s="485" t="s">
        <v>516</v>
      </c>
      <c r="D5" s="486"/>
      <c r="E5" s="487"/>
      <c r="F5" s="485" t="s">
        <v>70</v>
      </c>
      <c r="G5" s="488"/>
      <c r="H5" s="508" t="s">
        <v>107</v>
      </c>
      <c r="I5" s="486"/>
      <c r="J5" s="487"/>
      <c r="K5" s="485"/>
      <c r="L5" s="486"/>
      <c r="M5" s="486"/>
      <c r="N5" s="486"/>
      <c r="O5" s="488"/>
      <c r="P5" s="508" t="s">
        <v>107</v>
      </c>
      <c r="Q5" s="486"/>
      <c r="R5" s="486"/>
      <c r="S5" s="487"/>
      <c r="T5" s="485" t="s">
        <v>519</v>
      </c>
      <c r="U5" s="486"/>
      <c r="V5" s="487"/>
      <c r="W5" s="536" t="s">
        <v>626</v>
      </c>
      <c r="X5" s="537"/>
      <c r="Y5" s="538"/>
      <c r="Z5" s="220"/>
      <c r="AB5" s="573"/>
      <c r="AC5" s="19" t="s">
        <v>147</v>
      </c>
      <c r="AD5" s="232" t="s">
        <v>727</v>
      </c>
      <c r="AE5" s="181" t="s">
        <v>727</v>
      </c>
    </row>
    <row r="6" spans="2:31" ht="15.75" customHeight="1" thickBot="1">
      <c r="U6" s="519"/>
      <c r="V6" s="519"/>
      <c r="W6" s="519"/>
      <c r="X6" s="519"/>
      <c r="Y6" s="519"/>
      <c r="Z6" s="184"/>
    </row>
    <row r="7" spans="2:31" s="10" customFormat="1" ht="22.5" customHeight="1">
      <c r="B7" s="520" t="s">
        <v>2</v>
      </c>
      <c r="C7" s="521"/>
      <c r="D7" s="524" t="s">
        <v>119</v>
      </c>
      <c r="E7" s="526" t="s">
        <v>56</v>
      </c>
      <c r="F7" s="527"/>
      <c r="G7" s="493"/>
      <c r="H7" s="489" t="s">
        <v>132</v>
      </c>
      <c r="I7" s="511" t="s">
        <v>133</v>
      </c>
      <c r="J7" s="490" t="s">
        <v>134</v>
      </c>
      <c r="K7" s="531" t="s">
        <v>57</v>
      </c>
      <c r="L7" s="511"/>
      <c r="M7" s="511"/>
      <c r="N7" s="532"/>
      <c r="O7" s="533" t="s">
        <v>58</v>
      </c>
      <c r="P7" s="511"/>
      <c r="Q7" s="511"/>
      <c r="R7" s="532"/>
      <c r="S7" s="531" t="s">
        <v>59</v>
      </c>
      <c r="T7" s="511"/>
      <c r="U7" s="511"/>
      <c r="V7" s="534"/>
      <c r="W7" s="489" t="s">
        <v>135</v>
      </c>
      <c r="X7" s="490"/>
      <c r="Y7" s="527" t="s">
        <v>136</v>
      </c>
      <c r="Z7" s="524" t="s">
        <v>723</v>
      </c>
      <c r="AA7" s="9"/>
    </row>
    <row r="8" spans="2:31" s="10" customFormat="1" ht="22.5" customHeight="1" thickBot="1">
      <c r="B8" s="522"/>
      <c r="C8" s="523"/>
      <c r="D8" s="525"/>
      <c r="E8" s="20" t="s">
        <v>17</v>
      </c>
      <c r="F8" s="495" t="s">
        <v>18</v>
      </c>
      <c r="G8" s="496"/>
      <c r="H8" s="491"/>
      <c r="I8" s="510"/>
      <c r="J8" s="492"/>
      <c r="K8" s="509" t="s">
        <v>0</v>
      </c>
      <c r="L8" s="510"/>
      <c r="M8" s="510" t="s">
        <v>61</v>
      </c>
      <c r="N8" s="512"/>
      <c r="O8" s="513" t="s">
        <v>0</v>
      </c>
      <c r="P8" s="510"/>
      <c r="Q8" s="510" t="s">
        <v>61</v>
      </c>
      <c r="R8" s="512"/>
      <c r="S8" s="509" t="s">
        <v>0</v>
      </c>
      <c r="T8" s="510"/>
      <c r="U8" s="510" t="s">
        <v>61</v>
      </c>
      <c r="V8" s="535"/>
      <c r="W8" s="491"/>
      <c r="X8" s="492"/>
      <c r="Y8" s="671"/>
      <c r="Z8" s="670"/>
      <c r="AB8" s="371" t="s">
        <v>500</v>
      </c>
      <c r="AC8" s="371"/>
      <c r="AD8" s="371"/>
      <c r="AE8" s="371"/>
    </row>
    <row r="9" spans="2:31" ht="16.5" customHeight="1" thickBot="1">
      <c r="B9" s="514" t="s">
        <v>337</v>
      </c>
      <c r="C9" s="515"/>
      <c r="D9" s="477" t="s">
        <v>20</v>
      </c>
      <c r="E9" s="40" t="s">
        <v>11</v>
      </c>
      <c r="F9" s="470" t="s">
        <v>201</v>
      </c>
      <c r="G9" s="320"/>
      <c r="H9" s="41">
        <v>4</v>
      </c>
      <c r="I9" s="42" t="s">
        <v>338</v>
      </c>
      <c r="J9" s="43">
        <v>3</v>
      </c>
      <c r="K9" s="470">
        <v>3</v>
      </c>
      <c r="L9" s="518"/>
      <c r="M9" s="547"/>
      <c r="N9" s="548"/>
      <c r="O9" s="546"/>
      <c r="P9" s="518"/>
      <c r="Q9" s="547"/>
      <c r="R9" s="548"/>
      <c r="S9" s="546"/>
      <c r="T9" s="518"/>
      <c r="U9" s="547"/>
      <c r="V9" s="471"/>
      <c r="W9" s="44">
        <f>SUM(K9:V9)</f>
        <v>3</v>
      </c>
      <c r="X9" s="596">
        <f>SUM(W9:W11)</f>
        <v>9</v>
      </c>
      <c r="Y9" s="480">
        <v>24</v>
      </c>
      <c r="Z9" s="212"/>
      <c r="AB9" s="130" t="s">
        <v>17</v>
      </c>
      <c r="AC9" s="131" t="s">
        <v>507</v>
      </c>
      <c r="AD9" s="131" t="s">
        <v>508</v>
      </c>
      <c r="AE9" s="132" t="s">
        <v>509</v>
      </c>
    </row>
    <row r="10" spans="2:31" ht="18" thickBot="1">
      <c r="B10" s="516"/>
      <c r="C10" s="517"/>
      <c r="D10" s="478"/>
      <c r="E10" s="45" t="s">
        <v>11</v>
      </c>
      <c r="F10" s="481" t="s">
        <v>202</v>
      </c>
      <c r="G10" s="460"/>
      <c r="H10" s="46">
        <v>4</v>
      </c>
      <c r="I10" s="47" t="s">
        <v>338</v>
      </c>
      <c r="J10" s="48">
        <v>3</v>
      </c>
      <c r="K10" s="481"/>
      <c r="L10" s="528"/>
      <c r="M10" s="529">
        <v>3</v>
      </c>
      <c r="N10" s="530"/>
      <c r="O10" s="560"/>
      <c r="P10" s="528"/>
      <c r="Q10" s="529"/>
      <c r="R10" s="530"/>
      <c r="S10" s="560"/>
      <c r="T10" s="528"/>
      <c r="U10" s="529"/>
      <c r="V10" s="482"/>
      <c r="W10" s="49">
        <f t="shared" ref="W10:W24" si="0">SUM(K10:V10)</f>
        <v>3</v>
      </c>
      <c r="X10" s="598"/>
      <c r="Y10" s="480"/>
      <c r="Z10" s="189"/>
      <c r="AB10" s="133" t="s">
        <v>502</v>
      </c>
      <c r="AC10" s="134">
        <v>4</v>
      </c>
      <c r="AD10" s="134">
        <v>-1</v>
      </c>
      <c r="AE10" s="17" t="s">
        <v>338</v>
      </c>
    </row>
    <row r="11" spans="2:31" ht="18" thickBot="1">
      <c r="B11" s="516"/>
      <c r="C11" s="517"/>
      <c r="D11" s="479"/>
      <c r="E11" s="50" t="s">
        <v>339</v>
      </c>
      <c r="F11" s="542" t="s">
        <v>205</v>
      </c>
      <c r="G11" s="331"/>
      <c r="H11" s="51">
        <v>4</v>
      </c>
      <c r="I11" s="52" t="s">
        <v>340</v>
      </c>
      <c r="J11" s="53">
        <v>3</v>
      </c>
      <c r="K11" s="542"/>
      <c r="L11" s="555"/>
      <c r="M11" s="552"/>
      <c r="N11" s="553"/>
      <c r="O11" s="556"/>
      <c r="P11" s="555"/>
      <c r="Q11" s="552">
        <v>3</v>
      </c>
      <c r="R11" s="553"/>
      <c r="S11" s="556"/>
      <c r="T11" s="555"/>
      <c r="U11" s="552"/>
      <c r="V11" s="543"/>
      <c r="W11" s="49">
        <f t="shared" si="0"/>
        <v>3</v>
      </c>
      <c r="X11" s="598"/>
      <c r="Y11" s="480"/>
      <c r="Z11" s="189"/>
      <c r="AB11" s="133" t="s">
        <v>503</v>
      </c>
      <c r="AC11" s="134">
        <v>3</v>
      </c>
      <c r="AD11" s="134"/>
      <c r="AE11" s="17">
        <v>3</v>
      </c>
    </row>
    <row r="12" spans="2:31" ht="18" thickBot="1">
      <c r="B12" s="516"/>
      <c r="C12" s="517"/>
      <c r="D12" s="477" t="s">
        <v>4</v>
      </c>
      <c r="E12" s="40" t="s">
        <v>11</v>
      </c>
      <c r="F12" s="470" t="s">
        <v>213</v>
      </c>
      <c r="G12" s="471"/>
      <c r="H12" s="41">
        <v>4</v>
      </c>
      <c r="I12" s="42" t="s">
        <v>338</v>
      </c>
      <c r="J12" s="43">
        <v>3</v>
      </c>
      <c r="K12" s="470">
        <v>3</v>
      </c>
      <c r="L12" s="518"/>
      <c r="M12" s="547"/>
      <c r="N12" s="548"/>
      <c r="O12" s="546"/>
      <c r="P12" s="518"/>
      <c r="Q12" s="547"/>
      <c r="R12" s="548"/>
      <c r="S12" s="549"/>
      <c r="T12" s="550"/>
      <c r="U12" s="603"/>
      <c r="V12" s="604"/>
      <c r="W12" s="44">
        <f t="shared" si="0"/>
        <v>3</v>
      </c>
      <c r="X12" s="596">
        <f t="shared" ref="X12" si="1">SUM(W12:W14)</f>
        <v>9</v>
      </c>
      <c r="Y12" s="480"/>
      <c r="Z12" s="189"/>
      <c r="AB12" s="133" t="s">
        <v>504</v>
      </c>
      <c r="AC12" s="134">
        <v>4</v>
      </c>
      <c r="AD12" s="134" t="s">
        <v>513</v>
      </c>
      <c r="AE12" s="17" t="s">
        <v>340</v>
      </c>
    </row>
    <row r="13" spans="2:31" ht="18" thickBot="1">
      <c r="B13" s="516"/>
      <c r="C13" s="517"/>
      <c r="D13" s="478"/>
      <c r="E13" s="45" t="s">
        <v>11</v>
      </c>
      <c r="F13" s="481" t="s">
        <v>215</v>
      </c>
      <c r="G13" s="482"/>
      <c r="H13" s="46">
        <v>4</v>
      </c>
      <c r="I13" s="47" t="s">
        <v>338</v>
      </c>
      <c r="J13" s="48">
        <v>3</v>
      </c>
      <c r="K13" s="481"/>
      <c r="L13" s="528"/>
      <c r="M13" s="529">
        <v>3</v>
      </c>
      <c r="N13" s="530"/>
      <c r="O13" s="560"/>
      <c r="P13" s="528"/>
      <c r="Q13" s="529"/>
      <c r="R13" s="530"/>
      <c r="S13" s="576"/>
      <c r="T13" s="577"/>
      <c r="U13" s="574"/>
      <c r="V13" s="582"/>
      <c r="W13" s="49">
        <f t="shared" si="0"/>
        <v>3</v>
      </c>
      <c r="X13" s="598"/>
      <c r="Y13" s="480"/>
      <c r="Z13" s="189"/>
      <c r="AB13" s="133" t="s">
        <v>505</v>
      </c>
      <c r="AC13" s="134">
        <v>3</v>
      </c>
      <c r="AD13" s="134" t="s">
        <v>513</v>
      </c>
      <c r="AE13" s="17" t="s">
        <v>351</v>
      </c>
    </row>
    <row r="14" spans="2:31" ht="18" thickBot="1">
      <c r="B14" s="516"/>
      <c r="C14" s="517"/>
      <c r="D14" s="479"/>
      <c r="E14" s="50" t="s">
        <v>339</v>
      </c>
      <c r="F14" s="542" t="s">
        <v>341</v>
      </c>
      <c r="G14" s="543"/>
      <c r="H14" s="51">
        <v>4</v>
      </c>
      <c r="I14" s="52" t="s">
        <v>340</v>
      </c>
      <c r="J14" s="53">
        <v>3</v>
      </c>
      <c r="K14" s="542"/>
      <c r="L14" s="555"/>
      <c r="M14" s="552"/>
      <c r="N14" s="553"/>
      <c r="O14" s="556">
        <v>3</v>
      </c>
      <c r="P14" s="555"/>
      <c r="Q14" s="552"/>
      <c r="R14" s="553"/>
      <c r="S14" s="599"/>
      <c r="T14" s="600"/>
      <c r="U14" s="601"/>
      <c r="V14" s="602"/>
      <c r="W14" s="49">
        <f t="shared" si="0"/>
        <v>3</v>
      </c>
      <c r="X14" s="598"/>
      <c r="Y14" s="480"/>
      <c r="Z14" s="229"/>
      <c r="AB14" s="135" t="s">
        <v>506</v>
      </c>
      <c r="AC14" s="369" t="s">
        <v>515</v>
      </c>
      <c r="AD14" s="369"/>
      <c r="AE14" s="370"/>
    </row>
    <row r="15" spans="2:31" ht="18" thickBot="1">
      <c r="B15" s="516"/>
      <c r="C15" s="517"/>
      <c r="D15" s="477" t="s">
        <v>5</v>
      </c>
      <c r="E15" s="40" t="s">
        <v>11</v>
      </c>
      <c r="F15" s="470" t="s">
        <v>220</v>
      </c>
      <c r="G15" s="471"/>
      <c r="H15" s="41">
        <v>4</v>
      </c>
      <c r="I15" s="42" t="s">
        <v>338</v>
      </c>
      <c r="J15" s="43">
        <v>3</v>
      </c>
      <c r="K15" s="470">
        <v>3</v>
      </c>
      <c r="L15" s="518"/>
      <c r="M15" s="547"/>
      <c r="N15" s="548"/>
      <c r="O15" s="546"/>
      <c r="P15" s="518"/>
      <c r="Q15" s="547"/>
      <c r="R15" s="548"/>
      <c r="S15" s="546"/>
      <c r="T15" s="518"/>
      <c r="U15" s="547"/>
      <c r="V15" s="471"/>
      <c r="W15" s="44">
        <f t="shared" si="0"/>
        <v>3</v>
      </c>
      <c r="X15" s="596">
        <f t="shared" ref="X15" si="2">SUM(W15:W17)</f>
        <v>9</v>
      </c>
      <c r="Y15" s="480"/>
      <c r="Z15" s="189"/>
    </row>
    <row r="16" spans="2:31" ht="18" thickBot="1">
      <c r="B16" s="516"/>
      <c r="C16" s="517"/>
      <c r="D16" s="478"/>
      <c r="E16" s="45" t="s">
        <v>11</v>
      </c>
      <c r="F16" s="481" t="s">
        <v>226</v>
      </c>
      <c r="G16" s="482"/>
      <c r="H16" s="46">
        <v>4</v>
      </c>
      <c r="I16" s="47" t="s">
        <v>338</v>
      </c>
      <c r="J16" s="48">
        <v>3</v>
      </c>
      <c r="K16" s="481"/>
      <c r="L16" s="528"/>
      <c r="M16" s="529">
        <v>3</v>
      </c>
      <c r="N16" s="530"/>
      <c r="O16" s="560"/>
      <c r="P16" s="528"/>
      <c r="Q16" s="529"/>
      <c r="R16" s="530"/>
      <c r="S16" s="560"/>
      <c r="T16" s="528"/>
      <c r="U16" s="529"/>
      <c r="V16" s="482"/>
      <c r="W16" s="49">
        <f t="shared" si="0"/>
        <v>3</v>
      </c>
      <c r="X16" s="598"/>
      <c r="Y16" s="480"/>
      <c r="Z16" s="189"/>
    </row>
    <row r="17" spans="2:30" ht="18" thickBot="1">
      <c r="B17" s="516"/>
      <c r="C17" s="517"/>
      <c r="D17" s="479"/>
      <c r="E17" s="54" t="s">
        <v>339</v>
      </c>
      <c r="F17" s="542" t="s">
        <v>343</v>
      </c>
      <c r="G17" s="543"/>
      <c r="H17" s="51">
        <v>4</v>
      </c>
      <c r="I17" s="52" t="s">
        <v>340</v>
      </c>
      <c r="J17" s="53">
        <v>3</v>
      </c>
      <c r="K17" s="542"/>
      <c r="L17" s="555"/>
      <c r="M17" s="552"/>
      <c r="N17" s="553"/>
      <c r="O17" s="556">
        <v>3</v>
      </c>
      <c r="P17" s="555"/>
      <c r="Q17" s="552"/>
      <c r="R17" s="553"/>
      <c r="S17" s="556"/>
      <c r="T17" s="555"/>
      <c r="U17" s="552"/>
      <c r="V17" s="543"/>
      <c r="W17" s="49">
        <f t="shared" si="0"/>
        <v>3</v>
      </c>
      <c r="X17" s="598"/>
      <c r="Y17" s="480"/>
      <c r="Z17" s="189"/>
    </row>
    <row r="18" spans="2:30" ht="18" thickBot="1">
      <c r="B18" s="516"/>
      <c r="C18" s="517"/>
      <c r="D18" s="477" t="s">
        <v>344</v>
      </c>
      <c r="E18" s="40" t="s">
        <v>11</v>
      </c>
      <c r="F18" s="470" t="s">
        <v>234</v>
      </c>
      <c r="G18" s="471"/>
      <c r="H18" s="41">
        <v>3</v>
      </c>
      <c r="I18" s="55">
        <v>3</v>
      </c>
      <c r="J18" s="43">
        <v>3</v>
      </c>
      <c r="K18" s="561">
        <v>3</v>
      </c>
      <c r="L18" s="562"/>
      <c r="M18" s="583"/>
      <c r="N18" s="584"/>
      <c r="O18" s="585"/>
      <c r="P18" s="562"/>
      <c r="Q18" s="583"/>
      <c r="R18" s="584"/>
      <c r="S18" s="585"/>
      <c r="T18" s="562"/>
      <c r="U18" s="583"/>
      <c r="V18" s="586"/>
      <c r="W18" s="44">
        <f t="shared" si="0"/>
        <v>3</v>
      </c>
      <c r="X18" s="596">
        <f>SUM(W18:W19)</f>
        <v>6</v>
      </c>
      <c r="Y18" s="480">
        <v>6</v>
      </c>
      <c r="Z18" s="189"/>
    </row>
    <row r="19" spans="2:30" ht="18" thickBot="1">
      <c r="B19" s="516"/>
      <c r="C19" s="517"/>
      <c r="D19" s="478"/>
      <c r="E19" s="56" t="s">
        <v>11</v>
      </c>
      <c r="F19" s="563" t="s">
        <v>235</v>
      </c>
      <c r="G19" s="564"/>
      <c r="H19" s="57">
        <v>3</v>
      </c>
      <c r="I19" s="58">
        <v>3</v>
      </c>
      <c r="J19" s="158">
        <v>3</v>
      </c>
      <c r="K19" s="542"/>
      <c r="L19" s="555"/>
      <c r="M19" s="552">
        <v>3</v>
      </c>
      <c r="N19" s="553"/>
      <c r="O19" s="556"/>
      <c r="P19" s="555"/>
      <c r="Q19" s="552"/>
      <c r="R19" s="553"/>
      <c r="S19" s="556"/>
      <c r="T19" s="555"/>
      <c r="U19" s="552"/>
      <c r="V19" s="543"/>
      <c r="W19" s="60">
        <f t="shared" si="0"/>
        <v>3</v>
      </c>
      <c r="X19" s="597"/>
      <c r="Y19" s="480"/>
      <c r="Z19" s="189"/>
      <c r="AB19" s="377"/>
      <c r="AC19" s="377"/>
      <c r="AD19" s="156"/>
    </row>
    <row r="20" spans="2:30" ht="18" thickBot="1">
      <c r="B20" s="516"/>
      <c r="C20" s="517"/>
      <c r="D20" s="478"/>
      <c r="E20" s="40" t="s">
        <v>11</v>
      </c>
      <c r="F20" s="470" t="s">
        <v>237</v>
      </c>
      <c r="G20" s="471"/>
      <c r="H20" s="41">
        <v>4</v>
      </c>
      <c r="I20" s="55" t="s">
        <v>338</v>
      </c>
      <c r="J20" s="43">
        <v>3</v>
      </c>
      <c r="K20" s="470"/>
      <c r="L20" s="518"/>
      <c r="M20" s="547"/>
      <c r="N20" s="548"/>
      <c r="O20" s="546">
        <v>3</v>
      </c>
      <c r="P20" s="518"/>
      <c r="Q20" s="547"/>
      <c r="R20" s="548"/>
      <c r="S20" s="546"/>
      <c r="T20" s="518"/>
      <c r="U20" s="547"/>
      <c r="V20" s="471"/>
      <c r="W20" s="44">
        <f t="shared" si="0"/>
        <v>3</v>
      </c>
      <c r="X20" s="596">
        <f>SUM(W20:W21)</f>
        <v>6</v>
      </c>
      <c r="Y20" s="480">
        <v>12</v>
      </c>
      <c r="Z20" s="189"/>
    </row>
    <row r="21" spans="2:30" ht="18" thickBot="1">
      <c r="B21" s="516"/>
      <c r="C21" s="517"/>
      <c r="D21" s="479"/>
      <c r="E21" s="54" t="s">
        <v>11</v>
      </c>
      <c r="F21" s="542" t="s">
        <v>238</v>
      </c>
      <c r="G21" s="543"/>
      <c r="H21" s="51">
        <v>4</v>
      </c>
      <c r="I21" s="52" t="s">
        <v>338</v>
      </c>
      <c r="J21" s="53">
        <v>3</v>
      </c>
      <c r="K21" s="542"/>
      <c r="L21" s="555"/>
      <c r="M21" s="552"/>
      <c r="N21" s="553"/>
      <c r="O21" s="556"/>
      <c r="P21" s="555"/>
      <c r="Q21" s="552">
        <v>3</v>
      </c>
      <c r="R21" s="553"/>
      <c r="S21" s="556"/>
      <c r="T21" s="555"/>
      <c r="U21" s="552"/>
      <c r="V21" s="543"/>
      <c r="W21" s="60">
        <f t="shared" si="0"/>
        <v>3</v>
      </c>
      <c r="X21" s="597"/>
      <c r="Y21" s="480"/>
      <c r="Z21" s="189"/>
    </row>
    <row r="22" spans="2:30" ht="18" thickBot="1">
      <c r="B22" s="516"/>
      <c r="C22" s="517"/>
      <c r="D22" s="477" t="s">
        <v>25</v>
      </c>
      <c r="E22" s="40" t="s">
        <v>11</v>
      </c>
      <c r="F22" s="363" t="s">
        <v>255</v>
      </c>
      <c r="G22" s="320"/>
      <c r="H22" s="41">
        <v>4</v>
      </c>
      <c r="I22" s="55" t="s">
        <v>338</v>
      </c>
      <c r="J22" s="43">
        <v>3</v>
      </c>
      <c r="K22" s="470">
        <v>3</v>
      </c>
      <c r="L22" s="518"/>
      <c r="M22" s="547"/>
      <c r="N22" s="548"/>
      <c r="O22" s="546"/>
      <c r="P22" s="518"/>
      <c r="Q22" s="547"/>
      <c r="R22" s="548"/>
      <c r="S22" s="549"/>
      <c r="T22" s="550"/>
      <c r="U22" s="603"/>
      <c r="V22" s="604"/>
      <c r="W22" s="44">
        <f t="shared" si="0"/>
        <v>3</v>
      </c>
      <c r="X22" s="515">
        <f>SUM(W22:W24)</f>
        <v>9</v>
      </c>
      <c r="Y22" s="480"/>
      <c r="Z22" s="189"/>
    </row>
    <row r="23" spans="2:30" ht="18" thickBot="1">
      <c r="B23" s="516"/>
      <c r="C23" s="517"/>
      <c r="D23" s="478"/>
      <c r="E23" s="45" t="s">
        <v>11</v>
      </c>
      <c r="F23" s="449" t="s">
        <v>256</v>
      </c>
      <c r="G23" s="460"/>
      <c r="H23" s="46">
        <v>4</v>
      </c>
      <c r="I23" s="47" t="s">
        <v>338</v>
      </c>
      <c r="J23" s="48">
        <v>3</v>
      </c>
      <c r="K23" s="481"/>
      <c r="L23" s="528"/>
      <c r="M23" s="529">
        <v>3</v>
      </c>
      <c r="N23" s="530"/>
      <c r="O23" s="560"/>
      <c r="P23" s="528"/>
      <c r="Q23" s="529"/>
      <c r="R23" s="530"/>
      <c r="S23" s="576"/>
      <c r="T23" s="577"/>
      <c r="U23" s="574"/>
      <c r="V23" s="582"/>
      <c r="W23" s="49">
        <f t="shared" si="0"/>
        <v>3</v>
      </c>
      <c r="X23" s="517"/>
      <c r="Y23" s="480"/>
      <c r="Z23" s="189"/>
    </row>
    <row r="24" spans="2:30" ht="18" thickBot="1">
      <c r="B24" s="516"/>
      <c r="C24" s="517"/>
      <c r="D24" s="479"/>
      <c r="E24" s="54" t="s">
        <v>348</v>
      </c>
      <c r="F24" s="542" t="s">
        <v>259</v>
      </c>
      <c r="G24" s="557"/>
      <c r="H24" s="51">
        <v>4</v>
      </c>
      <c r="I24" s="52" t="s">
        <v>340</v>
      </c>
      <c r="J24" s="53">
        <v>3</v>
      </c>
      <c r="K24" s="542"/>
      <c r="L24" s="555"/>
      <c r="M24" s="552"/>
      <c r="N24" s="553"/>
      <c r="O24" s="556"/>
      <c r="P24" s="555"/>
      <c r="Q24" s="552">
        <v>3</v>
      </c>
      <c r="R24" s="553"/>
      <c r="S24" s="599"/>
      <c r="T24" s="600"/>
      <c r="U24" s="601"/>
      <c r="V24" s="602"/>
      <c r="W24" s="60">
        <f t="shared" si="0"/>
        <v>3</v>
      </c>
      <c r="X24" s="551"/>
      <c r="Y24" s="480"/>
      <c r="Z24" s="189"/>
      <c r="AB24" s="263" t="s">
        <v>747</v>
      </c>
    </row>
    <row r="25" spans="2:30" ht="16.5" customHeight="1" thickBot="1">
      <c r="B25" s="516"/>
      <c r="C25" s="517"/>
      <c r="D25" s="477" t="s">
        <v>7</v>
      </c>
      <c r="E25" s="40" t="s">
        <v>349</v>
      </c>
      <c r="F25" s="470" t="s">
        <v>350</v>
      </c>
      <c r="G25" s="471"/>
      <c r="H25" s="41">
        <v>3</v>
      </c>
      <c r="I25" s="55" t="s">
        <v>351</v>
      </c>
      <c r="J25" s="43">
        <f t="shared" ref="J25:J26" si="3">SUM(K25:V25)</f>
        <v>2</v>
      </c>
      <c r="K25" s="425">
        <v>2</v>
      </c>
      <c r="L25" s="426"/>
      <c r="M25" s="423"/>
      <c r="N25" s="428"/>
      <c r="O25" s="427"/>
      <c r="P25" s="426"/>
      <c r="Q25" s="423"/>
      <c r="R25" s="428"/>
      <c r="S25" s="427"/>
      <c r="T25" s="426"/>
      <c r="U25" s="423"/>
      <c r="V25" s="424"/>
      <c r="W25" s="44">
        <f>SUM(K25:V25)</f>
        <v>2</v>
      </c>
      <c r="X25" s="539">
        <f>SUM(W25:W29)</f>
        <v>10</v>
      </c>
      <c r="Y25" s="480">
        <v>8</v>
      </c>
      <c r="Z25" s="189"/>
      <c r="AB25" s="263" t="s">
        <v>732</v>
      </c>
    </row>
    <row r="26" spans="2:30" ht="18" thickBot="1">
      <c r="B26" s="516"/>
      <c r="C26" s="517"/>
      <c r="D26" s="478"/>
      <c r="E26" s="45" t="s">
        <v>349</v>
      </c>
      <c r="F26" s="481" t="s">
        <v>352</v>
      </c>
      <c r="G26" s="482"/>
      <c r="H26" s="46">
        <v>3</v>
      </c>
      <c r="I26" s="47" t="s">
        <v>351</v>
      </c>
      <c r="J26" s="48">
        <f t="shared" si="3"/>
        <v>2</v>
      </c>
      <c r="K26" s="421"/>
      <c r="L26" s="388"/>
      <c r="M26" s="389">
        <v>2</v>
      </c>
      <c r="N26" s="422"/>
      <c r="O26" s="387"/>
      <c r="P26" s="388"/>
      <c r="Q26" s="389"/>
      <c r="R26" s="422"/>
      <c r="S26" s="387"/>
      <c r="T26" s="388"/>
      <c r="U26" s="389"/>
      <c r="V26" s="390"/>
      <c r="W26" s="49">
        <f t="shared" ref="W26:W29" si="4">SUM(K26:V26)</f>
        <v>2</v>
      </c>
      <c r="X26" s="540"/>
      <c r="Y26" s="480"/>
      <c r="Z26" s="189"/>
      <c r="AB26" s="263" t="s">
        <v>733</v>
      </c>
    </row>
    <row r="27" spans="2:30" ht="18" thickBot="1">
      <c r="B27" s="516"/>
      <c r="C27" s="517"/>
      <c r="D27" s="478"/>
      <c r="E27" s="45" t="s">
        <v>348</v>
      </c>
      <c r="F27" s="481" t="s">
        <v>730</v>
      </c>
      <c r="G27" s="482"/>
      <c r="H27" s="46">
        <v>3</v>
      </c>
      <c r="I27" s="47" t="s">
        <v>351</v>
      </c>
      <c r="J27" s="48">
        <v>2</v>
      </c>
      <c r="K27" s="421"/>
      <c r="L27" s="388"/>
      <c r="M27" s="389"/>
      <c r="N27" s="422"/>
      <c r="O27" s="387">
        <v>2</v>
      </c>
      <c r="P27" s="388"/>
      <c r="Q27" s="389"/>
      <c r="R27" s="422"/>
      <c r="S27" s="387"/>
      <c r="T27" s="388"/>
      <c r="U27" s="389"/>
      <c r="V27" s="390"/>
      <c r="W27" s="49">
        <f t="shared" si="4"/>
        <v>2</v>
      </c>
      <c r="X27" s="540"/>
      <c r="Y27" s="480"/>
      <c r="Z27" s="189"/>
      <c r="AB27" s="263" t="s">
        <v>734</v>
      </c>
    </row>
    <row r="28" spans="2:30" ht="18" thickBot="1">
      <c r="B28" s="516"/>
      <c r="C28" s="517"/>
      <c r="D28" s="478"/>
      <c r="E28" s="45" t="s">
        <v>348</v>
      </c>
      <c r="F28" s="481" t="s">
        <v>520</v>
      </c>
      <c r="G28" s="482"/>
      <c r="H28" s="46">
        <v>3</v>
      </c>
      <c r="I28" s="47" t="s">
        <v>351</v>
      </c>
      <c r="J28" s="48">
        <v>2</v>
      </c>
      <c r="K28" s="421"/>
      <c r="L28" s="388"/>
      <c r="M28" s="389"/>
      <c r="N28" s="422"/>
      <c r="O28" s="387"/>
      <c r="P28" s="388"/>
      <c r="Q28" s="389">
        <v>2</v>
      </c>
      <c r="R28" s="422"/>
      <c r="S28" s="387"/>
      <c r="T28" s="388"/>
      <c r="U28" s="389"/>
      <c r="V28" s="390"/>
      <c r="W28" s="49">
        <f t="shared" si="4"/>
        <v>2</v>
      </c>
      <c r="X28" s="540"/>
      <c r="Y28" s="480"/>
      <c r="Z28" s="189"/>
      <c r="AB28" s="263" t="s">
        <v>735</v>
      </c>
    </row>
    <row r="29" spans="2:30" ht="18" thickBot="1">
      <c r="B29" s="516"/>
      <c r="C29" s="517"/>
      <c r="D29" s="479"/>
      <c r="E29" s="54" t="s">
        <v>339</v>
      </c>
      <c r="F29" s="542" t="s">
        <v>353</v>
      </c>
      <c r="G29" s="543"/>
      <c r="H29" s="51">
        <v>3</v>
      </c>
      <c r="I29" s="52" t="s">
        <v>351</v>
      </c>
      <c r="J29" s="53">
        <v>2</v>
      </c>
      <c r="K29" s="544"/>
      <c r="L29" s="545"/>
      <c r="M29" s="483"/>
      <c r="N29" s="606"/>
      <c r="O29" s="607"/>
      <c r="P29" s="545"/>
      <c r="Q29" s="483"/>
      <c r="R29" s="606"/>
      <c r="S29" s="607">
        <v>2</v>
      </c>
      <c r="T29" s="545"/>
      <c r="U29" s="483"/>
      <c r="V29" s="484"/>
      <c r="W29" s="60">
        <f t="shared" si="4"/>
        <v>2</v>
      </c>
      <c r="X29" s="541"/>
      <c r="Y29" s="480"/>
      <c r="Z29" s="189"/>
      <c r="AB29" s="263" t="s">
        <v>736</v>
      </c>
    </row>
    <row r="30" spans="2:30" ht="18" thickBot="1">
      <c r="B30" s="516"/>
      <c r="C30" s="517"/>
      <c r="D30" s="477" t="s">
        <v>27</v>
      </c>
      <c r="E30" s="40" t="s">
        <v>349</v>
      </c>
      <c r="F30" s="470" t="s">
        <v>8</v>
      </c>
      <c r="G30" s="471"/>
      <c r="H30" s="41">
        <v>3</v>
      </c>
      <c r="I30" s="55" t="s">
        <v>351</v>
      </c>
      <c r="J30" s="43">
        <v>2</v>
      </c>
      <c r="K30" s="470">
        <v>2</v>
      </c>
      <c r="L30" s="518"/>
      <c r="M30" s="547"/>
      <c r="N30" s="548"/>
      <c r="O30" s="546"/>
      <c r="P30" s="518"/>
      <c r="Q30" s="547"/>
      <c r="R30" s="548"/>
      <c r="S30" s="546"/>
      <c r="T30" s="518"/>
      <c r="U30" s="850"/>
      <c r="V30" s="851"/>
      <c r="W30" s="44">
        <f t="shared" ref="W30:W38" si="5">SUM(K30:V30)</f>
        <v>2</v>
      </c>
      <c r="X30" s="322">
        <f>SUM(W30:W32)</f>
        <v>6</v>
      </c>
      <c r="Y30" s="480">
        <v>6</v>
      </c>
      <c r="Z30" s="189"/>
      <c r="AB30" s="263" t="s">
        <v>737</v>
      </c>
      <c r="AC30" s="167"/>
    </row>
    <row r="31" spans="2:30" ht="18" thickBot="1">
      <c r="B31" s="516"/>
      <c r="C31" s="517"/>
      <c r="D31" s="478"/>
      <c r="E31" s="50" t="s">
        <v>339</v>
      </c>
      <c r="F31" s="481" t="s">
        <v>281</v>
      </c>
      <c r="G31" s="482"/>
      <c r="H31" s="46">
        <v>3</v>
      </c>
      <c r="I31" s="138" t="s">
        <v>351</v>
      </c>
      <c r="J31" s="242">
        <v>2</v>
      </c>
      <c r="K31" s="481"/>
      <c r="L31" s="528"/>
      <c r="M31" s="529">
        <v>2</v>
      </c>
      <c r="N31" s="530"/>
      <c r="O31" s="560"/>
      <c r="P31" s="528"/>
      <c r="Q31" s="529"/>
      <c r="R31" s="530"/>
      <c r="S31" s="560"/>
      <c r="T31" s="528"/>
      <c r="U31" s="594"/>
      <c r="V31" s="595"/>
      <c r="W31" s="49">
        <f t="shared" si="5"/>
        <v>2</v>
      </c>
      <c r="X31" s="337"/>
      <c r="Y31" s="480"/>
      <c r="Z31" s="189"/>
      <c r="AB31" s="263" t="s">
        <v>738</v>
      </c>
      <c r="AC31" s="167"/>
    </row>
    <row r="32" spans="2:30" ht="18" thickBot="1">
      <c r="B32" s="516"/>
      <c r="C32" s="517"/>
      <c r="D32" s="478"/>
      <c r="E32" s="50" t="s">
        <v>339</v>
      </c>
      <c r="F32" s="481" t="s">
        <v>282</v>
      </c>
      <c r="G32" s="482"/>
      <c r="H32" s="51">
        <v>3</v>
      </c>
      <c r="I32" s="139" t="s">
        <v>351</v>
      </c>
      <c r="J32" s="137">
        <v>2</v>
      </c>
      <c r="K32" s="481"/>
      <c r="L32" s="528"/>
      <c r="M32" s="529"/>
      <c r="N32" s="530"/>
      <c r="O32" s="560">
        <v>2</v>
      </c>
      <c r="P32" s="528"/>
      <c r="Q32" s="529"/>
      <c r="R32" s="530"/>
      <c r="S32" s="560"/>
      <c r="T32" s="528"/>
      <c r="U32" s="594"/>
      <c r="V32" s="595"/>
      <c r="W32" s="60">
        <f t="shared" si="5"/>
        <v>2</v>
      </c>
      <c r="X32" s="324"/>
      <c r="Y32" s="480"/>
      <c r="Z32" s="189"/>
    </row>
    <row r="33" spans="2:29" ht="16.5" customHeight="1" thickBot="1">
      <c r="B33" s="516"/>
      <c r="C33" s="517"/>
      <c r="D33" s="468" t="s">
        <v>355</v>
      </c>
      <c r="E33" s="40" t="s">
        <v>349</v>
      </c>
      <c r="F33" s="470" t="s">
        <v>336</v>
      </c>
      <c r="G33" s="471"/>
      <c r="H33" s="41">
        <v>3</v>
      </c>
      <c r="I33" s="55" t="s">
        <v>351</v>
      </c>
      <c r="J33" s="43">
        <v>2</v>
      </c>
      <c r="K33" s="363"/>
      <c r="L33" s="318"/>
      <c r="M33" s="319"/>
      <c r="N33" s="366"/>
      <c r="O33" s="365"/>
      <c r="P33" s="318"/>
      <c r="Q33" s="852">
        <v>2</v>
      </c>
      <c r="R33" s="853"/>
      <c r="S33" s="549"/>
      <c r="T33" s="550"/>
      <c r="U33" s="578"/>
      <c r="V33" s="579"/>
      <c r="W33" s="236">
        <f t="shared" si="5"/>
        <v>2</v>
      </c>
      <c r="X33" s="539">
        <f>SUM(W33:W36)</f>
        <v>9</v>
      </c>
      <c r="Y33" s="472">
        <v>8</v>
      </c>
      <c r="Z33" s="189"/>
    </row>
    <row r="34" spans="2:29" ht="16.5" customHeight="1" thickBot="1">
      <c r="B34" s="516"/>
      <c r="C34" s="517"/>
      <c r="D34" s="469"/>
      <c r="E34" s="50" t="s">
        <v>339</v>
      </c>
      <c r="F34" s="481" t="s">
        <v>50</v>
      </c>
      <c r="G34" s="482"/>
      <c r="H34" s="239">
        <v>3</v>
      </c>
      <c r="I34" s="240" t="s">
        <v>351</v>
      </c>
      <c r="J34" s="242">
        <v>2</v>
      </c>
      <c r="K34" s="449"/>
      <c r="L34" s="450"/>
      <c r="M34" s="459">
        <v>2</v>
      </c>
      <c r="N34" s="475"/>
      <c r="O34" s="476"/>
      <c r="P34" s="450"/>
      <c r="Q34" s="574"/>
      <c r="R34" s="575"/>
      <c r="S34" s="576"/>
      <c r="T34" s="577"/>
      <c r="U34" s="580"/>
      <c r="V34" s="605"/>
      <c r="W34" s="49">
        <f t="shared" si="5"/>
        <v>2</v>
      </c>
      <c r="X34" s="540"/>
      <c r="Y34" s="472"/>
      <c r="Z34" s="189"/>
    </row>
    <row r="35" spans="2:29" ht="16.5" customHeight="1" thickBot="1">
      <c r="B35" s="516"/>
      <c r="C35" s="517"/>
      <c r="D35" s="469"/>
      <c r="E35" s="50" t="s">
        <v>348</v>
      </c>
      <c r="F35" s="473" t="s">
        <v>49</v>
      </c>
      <c r="G35" s="474"/>
      <c r="H35" s="140">
        <v>3</v>
      </c>
      <c r="I35" s="141" t="s">
        <v>351</v>
      </c>
      <c r="J35" s="142">
        <v>2</v>
      </c>
      <c r="K35" s="449">
        <v>2</v>
      </c>
      <c r="L35" s="450"/>
      <c r="M35" s="459"/>
      <c r="N35" s="475"/>
      <c r="O35" s="476"/>
      <c r="P35" s="450"/>
      <c r="Q35" s="574"/>
      <c r="R35" s="575"/>
      <c r="S35" s="576"/>
      <c r="T35" s="577"/>
      <c r="U35" s="580"/>
      <c r="V35" s="581"/>
      <c r="W35" s="49">
        <f t="shared" si="5"/>
        <v>2</v>
      </c>
      <c r="X35" s="540"/>
      <c r="Y35" s="472"/>
      <c r="Z35" s="223"/>
      <c r="AA35" s="143"/>
    </row>
    <row r="36" spans="2:29" ht="18" thickBot="1">
      <c r="B36" s="672"/>
      <c r="C36" s="551"/>
      <c r="D36" s="469"/>
      <c r="E36" s="50" t="s">
        <v>349</v>
      </c>
      <c r="F36" s="481" t="s">
        <v>729</v>
      </c>
      <c r="G36" s="482"/>
      <c r="H36" s="233">
        <v>4</v>
      </c>
      <c r="I36" s="234" t="s">
        <v>340</v>
      </c>
      <c r="J36" s="235">
        <v>3</v>
      </c>
      <c r="K36" s="558"/>
      <c r="L36" s="559"/>
      <c r="M36" s="529"/>
      <c r="N36" s="530"/>
      <c r="O36" s="560"/>
      <c r="P36" s="528"/>
      <c r="Q36" s="529">
        <v>3</v>
      </c>
      <c r="R36" s="530"/>
      <c r="S36" s="560"/>
      <c r="T36" s="528"/>
      <c r="U36" s="594"/>
      <c r="V36" s="595"/>
      <c r="W36" s="60">
        <f t="shared" si="5"/>
        <v>3</v>
      </c>
      <c r="X36" s="541"/>
      <c r="Y36" s="472"/>
      <c r="Z36" s="237" t="s">
        <v>731</v>
      </c>
    </row>
    <row r="37" spans="2:29" ht="24.75" customHeight="1" thickBot="1">
      <c r="B37" s="372" t="s">
        <v>362</v>
      </c>
      <c r="C37" s="373"/>
      <c r="D37" s="373"/>
      <c r="E37" s="373"/>
      <c r="F37" s="373"/>
      <c r="G37" s="374"/>
      <c r="H37" s="155">
        <f>SUM(H20:H36)</f>
        <v>57</v>
      </c>
      <c r="I37" s="13"/>
      <c r="J37" s="154">
        <f>SUM(J9:J36)</f>
        <v>73</v>
      </c>
      <c r="K37" s="461">
        <f>SUM(K9:L36)</f>
        <v>21</v>
      </c>
      <c r="L37" s="462"/>
      <c r="M37" s="462">
        <f>SUM(M9:N36)</f>
        <v>21</v>
      </c>
      <c r="N37" s="398"/>
      <c r="O37" s="554">
        <f>SUM(O9:P36)</f>
        <v>13</v>
      </c>
      <c r="P37" s="462"/>
      <c r="Q37" s="462">
        <f>SUM(Q9:R36)</f>
        <v>16</v>
      </c>
      <c r="R37" s="589"/>
      <c r="S37" s="397">
        <f>SUM(S9:T36)</f>
        <v>2</v>
      </c>
      <c r="T37" s="462"/>
      <c r="U37" s="462">
        <f>SUM(U9:V36)</f>
        <v>0</v>
      </c>
      <c r="V37" s="588"/>
      <c r="W37" s="372">
        <f t="shared" si="5"/>
        <v>73</v>
      </c>
      <c r="X37" s="374"/>
      <c r="Y37" s="182">
        <f>SUM(Y9:Y36)</f>
        <v>64</v>
      </c>
      <c r="Z37" s="210"/>
      <c r="AB37" s="391" t="b">
        <f>W37&gt;=Y37</f>
        <v>1</v>
      </c>
      <c r="AC37" s="392"/>
    </row>
    <row r="38" spans="2:29" ht="17.25" customHeight="1" thickBot="1">
      <c r="B38" s="439" t="s">
        <v>356</v>
      </c>
      <c r="C38" s="440"/>
      <c r="D38" s="453" t="s">
        <v>357</v>
      </c>
      <c r="E38" s="454"/>
      <c r="F38" s="443" t="s">
        <v>524</v>
      </c>
      <c r="G38" s="444"/>
      <c r="H38" s="32">
        <v>2</v>
      </c>
      <c r="I38" s="33" t="s">
        <v>717</v>
      </c>
      <c r="J38" s="144">
        <v>2</v>
      </c>
      <c r="K38" s="673"/>
      <c r="L38" s="591"/>
      <c r="M38" s="592"/>
      <c r="N38" s="608"/>
      <c r="O38" s="854">
        <v>2</v>
      </c>
      <c r="P38" s="855"/>
      <c r="Q38" s="592"/>
      <c r="R38" s="608"/>
      <c r="S38" s="590"/>
      <c r="T38" s="591"/>
      <c r="U38" s="592"/>
      <c r="V38" s="593"/>
      <c r="W38" s="457">
        <f t="shared" si="5"/>
        <v>2</v>
      </c>
      <c r="X38" s="458"/>
      <c r="Y38" s="399">
        <v>80</v>
      </c>
      <c r="Z38" s="212"/>
    </row>
    <row r="39" spans="2:29" ht="17.25" customHeight="1">
      <c r="B39" s="441"/>
      <c r="C39" s="442"/>
      <c r="D39" s="61" t="s">
        <v>70</v>
      </c>
      <c r="E39" s="62" t="s">
        <v>358</v>
      </c>
      <c r="F39" s="686" t="s">
        <v>627</v>
      </c>
      <c r="G39" s="687"/>
      <c r="H39" s="35">
        <v>2</v>
      </c>
      <c r="I39" s="34" t="s">
        <v>717</v>
      </c>
      <c r="J39" s="136">
        <v>8</v>
      </c>
      <c r="K39" s="421">
        <v>8</v>
      </c>
      <c r="L39" s="388"/>
      <c r="M39" s="389"/>
      <c r="N39" s="688"/>
      <c r="O39" s="576"/>
      <c r="P39" s="577"/>
      <c r="Q39" s="574"/>
      <c r="R39" s="575"/>
      <c r="S39" s="689"/>
      <c r="T39" s="577"/>
      <c r="U39" s="574"/>
      <c r="V39" s="582"/>
      <c r="W39" s="455">
        <f t="shared" ref="W39:W42" si="6">SUM(K39:V39)</f>
        <v>8</v>
      </c>
      <c r="X39" s="456"/>
      <c r="Y39" s="416"/>
      <c r="Z39" s="189"/>
    </row>
    <row r="40" spans="2:29" ht="17.25" customHeight="1">
      <c r="B40" s="441"/>
      <c r="C40" s="442"/>
      <c r="D40" s="61" t="s">
        <v>153</v>
      </c>
      <c r="E40" s="62" t="s">
        <v>358</v>
      </c>
      <c r="F40" s="686" t="s">
        <v>628</v>
      </c>
      <c r="G40" s="687"/>
      <c r="H40" s="35">
        <v>2</v>
      </c>
      <c r="I40" s="34" t="s">
        <v>717</v>
      </c>
      <c r="J40" s="136">
        <v>6</v>
      </c>
      <c r="K40" s="421"/>
      <c r="L40" s="388"/>
      <c r="M40" s="389">
        <v>8</v>
      </c>
      <c r="N40" s="422"/>
      <c r="O40" s="387"/>
      <c r="P40" s="388"/>
      <c r="Q40" s="389"/>
      <c r="R40" s="422"/>
      <c r="S40" s="387"/>
      <c r="T40" s="388"/>
      <c r="U40" s="389"/>
      <c r="V40" s="390"/>
      <c r="W40" s="455">
        <f t="shared" si="6"/>
        <v>8</v>
      </c>
      <c r="X40" s="456"/>
      <c r="Y40" s="416"/>
      <c r="Z40" s="189"/>
    </row>
    <row r="41" spans="2:29" ht="17.25" customHeight="1">
      <c r="B41" s="441"/>
      <c r="C41" s="442"/>
      <c r="D41" s="61" t="s">
        <v>153</v>
      </c>
      <c r="E41" s="62" t="s">
        <v>359</v>
      </c>
      <c r="F41" s="674" t="s">
        <v>629</v>
      </c>
      <c r="G41" s="675"/>
      <c r="H41" s="35">
        <v>2</v>
      </c>
      <c r="I41" s="34" t="s">
        <v>715</v>
      </c>
      <c r="J41" s="136">
        <v>7</v>
      </c>
      <c r="K41" s="676"/>
      <c r="L41" s="677"/>
      <c r="M41" s="678"/>
      <c r="N41" s="679"/>
      <c r="O41" s="387">
        <v>4</v>
      </c>
      <c r="P41" s="388"/>
      <c r="Q41" s="389">
        <v>3</v>
      </c>
      <c r="R41" s="422"/>
      <c r="S41" s="680"/>
      <c r="T41" s="677"/>
      <c r="U41" s="678"/>
      <c r="V41" s="681"/>
      <c r="W41" s="684">
        <f t="shared" ref="W41" si="7">SUM(K41:V41)</f>
        <v>7</v>
      </c>
      <c r="X41" s="685"/>
      <c r="Y41" s="416"/>
      <c r="Z41" s="189"/>
    </row>
    <row r="42" spans="2:29" ht="17.25" customHeight="1" thickBot="1">
      <c r="B42" s="441"/>
      <c r="C42" s="442"/>
      <c r="D42" s="61" t="s">
        <v>153</v>
      </c>
      <c r="E42" s="62" t="s">
        <v>359</v>
      </c>
      <c r="F42" s="682" t="s">
        <v>624</v>
      </c>
      <c r="G42" s="683"/>
      <c r="H42" s="35">
        <v>2</v>
      </c>
      <c r="I42" s="34" t="s">
        <v>717</v>
      </c>
      <c r="J42" s="136">
        <v>22</v>
      </c>
      <c r="K42" s="544"/>
      <c r="L42" s="545"/>
      <c r="M42" s="483"/>
      <c r="N42" s="606"/>
      <c r="O42" s="664"/>
      <c r="P42" s="665"/>
      <c r="Q42" s="668"/>
      <c r="R42" s="708"/>
      <c r="S42" s="607">
        <v>10</v>
      </c>
      <c r="T42" s="545"/>
      <c r="U42" s="483">
        <v>12</v>
      </c>
      <c r="V42" s="484"/>
      <c r="W42" s="734">
        <f t="shared" si="6"/>
        <v>22</v>
      </c>
      <c r="X42" s="735"/>
      <c r="Y42" s="416"/>
      <c r="Z42" s="189"/>
    </row>
    <row r="43" spans="2:29" ht="16.5" customHeight="1">
      <c r="B43" s="354" t="s">
        <v>630</v>
      </c>
      <c r="C43" s="727" t="s">
        <v>631</v>
      </c>
      <c r="D43" s="163" t="s">
        <v>153</v>
      </c>
      <c r="E43" s="157" t="s">
        <v>359</v>
      </c>
      <c r="F43" s="697" t="s">
        <v>621</v>
      </c>
      <c r="G43" s="698"/>
      <c r="H43" s="170">
        <v>2</v>
      </c>
      <c r="I43" s="206" t="s">
        <v>717</v>
      </c>
      <c r="J43" s="699">
        <v>48</v>
      </c>
      <c r="K43" s="701"/>
      <c r="L43" s="550"/>
      <c r="M43" s="603"/>
      <c r="N43" s="692"/>
      <c r="O43" s="695">
        <v>4</v>
      </c>
      <c r="P43" s="426"/>
      <c r="Q43" s="423">
        <v>4</v>
      </c>
      <c r="R43" s="428"/>
      <c r="S43" s="695"/>
      <c r="T43" s="426"/>
      <c r="U43" s="423"/>
      <c r="V43" s="424"/>
      <c r="W43" s="690">
        <f>SUM(K43:V44)</f>
        <v>28</v>
      </c>
      <c r="X43" s="322"/>
      <c r="Y43" s="416"/>
      <c r="Z43" s="189"/>
    </row>
    <row r="44" spans="2:29" ht="16.5" customHeight="1" thickBot="1">
      <c r="B44" s="355"/>
      <c r="C44" s="730"/>
      <c r="D44" s="61" t="s">
        <v>153</v>
      </c>
      <c r="E44" s="168" t="s">
        <v>359</v>
      </c>
      <c r="F44" s="702" t="s">
        <v>633</v>
      </c>
      <c r="G44" s="703"/>
      <c r="H44" s="171">
        <v>2</v>
      </c>
      <c r="I44" s="207" t="s">
        <v>717</v>
      </c>
      <c r="J44" s="700"/>
      <c r="K44" s="704"/>
      <c r="L44" s="705"/>
      <c r="M44" s="705"/>
      <c r="N44" s="706"/>
      <c r="O44" s="677"/>
      <c r="P44" s="693"/>
      <c r="Q44" s="693"/>
      <c r="R44" s="696"/>
      <c r="S44" s="677">
        <v>10</v>
      </c>
      <c r="T44" s="693"/>
      <c r="U44" s="693">
        <v>10</v>
      </c>
      <c r="V44" s="694"/>
      <c r="W44" s="691"/>
      <c r="X44" s="337"/>
      <c r="Y44" s="416"/>
      <c r="Z44" s="189"/>
    </row>
    <row r="45" spans="2:29">
      <c r="B45" s="354" t="s">
        <v>617</v>
      </c>
      <c r="C45" s="727" t="s">
        <v>618</v>
      </c>
      <c r="D45" s="63" t="s">
        <v>615</v>
      </c>
      <c r="E45" s="66" t="s">
        <v>616</v>
      </c>
      <c r="F45" s="728" t="s">
        <v>620</v>
      </c>
      <c r="G45" s="729"/>
      <c r="H45" s="29">
        <v>2</v>
      </c>
      <c r="I45" s="208" t="s">
        <v>717</v>
      </c>
      <c r="J45" s="596">
        <v>12</v>
      </c>
      <c r="K45" s="701"/>
      <c r="L45" s="550"/>
      <c r="M45" s="603"/>
      <c r="N45" s="692"/>
      <c r="O45" s="662">
        <v>6</v>
      </c>
      <c r="P45" s="663"/>
      <c r="Q45" s="666">
        <v>6</v>
      </c>
      <c r="R45" s="707"/>
      <c r="S45" s="427"/>
      <c r="T45" s="426"/>
      <c r="U45" s="423"/>
      <c r="V45" s="424"/>
      <c r="W45" s="321">
        <v>12</v>
      </c>
      <c r="X45" s="322"/>
      <c r="Y45" s="416"/>
      <c r="Z45" s="189"/>
    </row>
    <row r="46" spans="2:29" ht="18" thickBot="1">
      <c r="B46" s="355"/>
      <c r="C46" s="716"/>
      <c r="D46" s="166" t="s">
        <v>619</v>
      </c>
      <c r="E46" s="160" t="s">
        <v>616</v>
      </c>
      <c r="F46" s="682" t="s">
        <v>632</v>
      </c>
      <c r="G46" s="683"/>
      <c r="H46" s="31">
        <v>2</v>
      </c>
      <c r="I46" s="209" t="s">
        <v>717</v>
      </c>
      <c r="J46" s="597"/>
      <c r="K46" s="713"/>
      <c r="L46" s="600"/>
      <c r="M46" s="601"/>
      <c r="N46" s="714"/>
      <c r="O46" s="664"/>
      <c r="P46" s="665"/>
      <c r="Q46" s="668"/>
      <c r="R46" s="708"/>
      <c r="S46" s="607"/>
      <c r="T46" s="545"/>
      <c r="U46" s="483"/>
      <c r="V46" s="484"/>
      <c r="W46" s="323"/>
      <c r="X46" s="324"/>
      <c r="Y46" s="416"/>
      <c r="Z46" s="189"/>
    </row>
    <row r="47" spans="2:29">
      <c r="B47" s="355"/>
      <c r="C47" s="715" t="s">
        <v>618</v>
      </c>
      <c r="D47" s="164" t="s">
        <v>615</v>
      </c>
      <c r="E47" s="165" t="s">
        <v>616</v>
      </c>
      <c r="F47" s="717" t="s">
        <v>623</v>
      </c>
      <c r="G47" s="718"/>
      <c r="H47" s="35">
        <v>2</v>
      </c>
      <c r="I47" s="34" t="s">
        <v>717</v>
      </c>
      <c r="J47" s="596">
        <v>14</v>
      </c>
      <c r="K47" s="719"/>
      <c r="L47" s="720"/>
      <c r="M47" s="721"/>
      <c r="N47" s="722"/>
      <c r="O47" s="723"/>
      <c r="P47" s="724"/>
      <c r="Q47" s="725"/>
      <c r="R47" s="726"/>
      <c r="S47" s="662">
        <v>7</v>
      </c>
      <c r="T47" s="663"/>
      <c r="U47" s="666">
        <v>7</v>
      </c>
      <c r="V47" s="667"/>
      <c r="W47" s="336">
        <v>14</v>
      </c>
      <c r="X47" s="337"/>
      <c r="Y47" s="416"/>
      <c r="Z47" s="189"/>
    </row>
    <row r="48" spans="2:29" ht="18" thickBot="1">
      <c r="B48" s="356"/>
      <c r="C48" s="716"/>
      <c r="D48" s="67" t="s">
        <v>619</v>
      </c>
      <c r="E48" s="62" t="s">
        <v>359</v>
      </c>
      <c r="F48" s="682" t="s">
        <v>634</v>
      </c>
      <c r="G48" s="683"/>
      <c r="H48" s="30">
        <v>2</v>
      </c>
      <c r="I48" s="207" t="s">
        <v>717</v>
      </c>
      <c r="J48" s="597"/>
      <c r="K48" s="733"/>
      <c r="L48" s="577"/>
      <c r="M48" s="574"/>
      <c r="N48" s="689"/>
      <c r="O48" s="387"/>
      <c r="P48" s="388"/>
      <c r="Q48" s="389"/>
      <c r="R48" s="422"/>
      <c r="S48" s="664"/>
      <c r="T48" s="665"/>
      <c r="U48" s="668"/>
      <c r="V48" s="669"/>
      <c r="W48" s="323"/>
      <c r="X48" s="324"/>
      <c r="Y48" s="416"/>
      <c r="Z48" s="189"/>
    </row>
    <row r="49" spans="2:30" ht="24.75" customHeight="1">
      <c r="B49" s="393" t="s">
        <v>363</v>
      </c>
      <c r="C49" s="431"/>
      <c r="D49" s="431"/>
      <c r="E49" s="431"/>
      <c r="F49" s="431"/>
      <c r="G49" s="394"/>
      <c r="H49" s="433">
        <f>SUM(H38:H48)</f>
        <v>22</v>
      </c>
      <c r="I49" s="435">
        <f>SUM(I37:I48)</f>
        <v>0</v>
      </c>
      <c r="J49" s="437">
        <f>SUM(J38:J48)</f>
        <v>119</v>
      </c>
      <c r="K49" s="393">
        <f>SUM(K38:L48)</f>
        <v>8</v>
      </c>
      <c r="L49" s="429"/>
      <c r="M49" s="709">
        <f>SUM(M38:N44)</f>
        <v>8</v>
      </c>
      <c r="N49" s="710"/>
      <c r="O49" s="731">
        <f>SUM(O41,O43,O45,O38)</f>
        <v>16</v>
      </c>
      <c r="P49" s="429"/>
      <c r="Q49" s="709">
        <f>SUM(Q41,Q43,Q45)</f>
        <v>13</v>
      </c>
      <c r="R49" s="710"/>
      <c r="S49" s="731">
        <f>SUM(S42,S44,S47)</f>
        <v>27</v>
      </c>
      <c r="T49" s="429"/>
      <c r="U49" s="431">
        <f>SUM(U42,U44,U47)</f>
        <v>29</v>
      </c>
      <c r="V49" s="429"/>
      <c r="W49" s="393">
        <f>SUM(K49:V50)</f>
        <v>101</v>
      </c>
      <c r="X49" s="394"/>
      <c r="Y49" s="399">
        <f>SUM(Y38:Y44)</f>
        <v>80</v>
      </c>
      <c r="Z49" s="189"/>
      <c r="AD49" s="156"/>
    </row>
    <row r="50" spans="2:30" ht="18" thickBot="1">
      <c r="B50" s="395"/>
      <c r="C50" s="432"/>
      <c r="D50" s="432"/>
      <c r="E50" s="432"/>
      <c r="F50" s="432"/>
      <c r="G50" s="396"/>
      <c r="H50" s="434"/>
      <c r="I50" s="436"/>
      <c r="J50" s="438"/>
      <c r="K50" s="395"/>
      <c r="L50" s="430"/>
      <c r="M50" s="711"/>
      <c r="N50" s="712"/>
      <c r="O50" s="732"/>
      <c r="P50" s="430"/>
      <c r="Q50" s="711"/>
      <c r="R50" s="712"/>
      <c r="S50" s="732"/>
      <c r="T50" s="430"/>
      <c r="U50" s="432"/>
      <c r="V50" s="430"/>
      <c r="W50" s="395"/>
      <c r="X50" s="396"/>
      <c r="Y50" s="400"/>
      <c r="Z50" s="189"/>
      <c r="AD50" s="68"/>
    </row>
    <row r="51" spans="2:30" ht="17.25" customHeight="1" thickBot="1">
      <c r="B51" s="372"/>
      <c r="C51" s="373"/>
      <c r="D51" s="373"/>
      <c r="E51" s="373"/>
      <c r="F51" s="373"/>
      <c r="G51" s="374"/>
      <c r="H51" s="159">
        <f>SUM(H37,H49)</f>
        <v>79</v>
      </c>
      <c r="I51" s="153">
        <f>SUM(I37,I49)</f>
        <v>0</v>
      </c>
      <c r="J51" s="154">
        <f>SUM(J37,J49)</f>
        <v>192</v>
      </c>
      <c r="K51" s="372">
        <f>SUM(K37,K49)</f>
        <v>29</v>
      </c>
      <c r="L51" s="397"/>
      <c r="M51" s="398">
        <f>SUM(M37,M49)</f>
        <v>29</v>
      </c>
      <c r="N51" s="375"/>
      <c r="O51" s="376">
        <f>SUM(O37,O49)</f>
        <v>29</v>
      </c>
      <c r="P51" s="397"/>
      <c r="Q51" s="398">
        <f>SUM(Q37,Q49)</f>
        <v>29</v>
      </c>
      <c r="R51" s="375"/>
      <c r="S51" s="376">
        <f>SUM(S37,S49)</f>
        <v>29</v>
      </c>
      <c r="T51" s="397"/>
      <c r="U51" s="398">
        <f>SUM(U37,U49)</f>
        <v>29</v>
      </c>
      <c r="V51" s="374"/>
      <c r="W51" s="372">
        <f>SUM(K51:V51)</f>
        <v>174</v>
      </c>
      <c r="X51" s="374"/>
      <c r="Y51" s="214">
        <f>Y49+Y37</f>
        <v>144</v>
      </c>
      <c r="Z51" s="189"/>
      <c r="AB51" s="377" t="s">
        <v>154</v>
      </c>
      <c r="AC51" s="377"/>
    </row>
    <row r="52" spans="2:30" ht="18.75" customHeight="1" thickBot="1">
      <c r="B52" s="402" t="s">
        <v>364</v>
      </c>
      <c r="C52" s="403"/>
      <c r="D52" s="403"/>
      <c r="E52" s="404"/>
      <c r="F52" s="411" t="s">
        <v>360</v>
      </c>
      <c r="G52" s="412"/>
      <c r="H52" s="412"/>
      <c r="I52" s="412"/>
      <c r="J52" s="413"/>
      <c r="K52" s="425">
        <v>16</v>
      </c>
      <c r="L52" s="426"/>
      <c r="M52" s="423">
        <v>16</v>
      </c>
      <c r="N52" s="428"/>
      <c r="O52" s="427">
        <v>16</v>
      </c>
      <c r="P52" s="426"/>
      <c r="Q52" s="423">
        <v>16</v>
      </c>
      <c r="R52" s="428"/>
      <c r="S52" s="427">
        <v>16</v>
      </c>
      <c r="T52" s="426"/>
      <c r="U52" s="423">
        <v>16</v>
      </c>
      <c r="V52" s="424"/>
      <c r="W52" s="402">
        <f>SUM(K52:V54)</f>
        <v>288</v>
      </c>
      <c r="X52" s="404"/>
      <c r="Y52" s="399">
        <f>Y55*16</f>
        <v>288</v>
      </c>
      <c r="Z52" s="189"/>
      <c r="AB52" s="401"/>
      <c r="AC52" s="401"/>
    </row>
    <row r="53" spans="2:30" ht="17.25" customHeight="1" thickBot="1">
      <c r="B53" s="405"/>
      <c r="C53" s="406"/>
      <c r="D53" s="406"/>
      <c r="E53" s="407"/>
      <c r="F53" s="418" t="s">
        <v>62</v>
      </c>
      <c r="G53" s="419"/>
      <c r="H53" s="419"/>
      <c r="I53" s="419"/>
      <c r="J53" s="420"/>
      <c r="K53" s="421">
        <v>16</v>
      </c>
      <c r="L53" s="388"/>
      <c r="M53" s="389">
        <v>16</v>
      </c>
      <c r="N53" s="422"/>
      <c r="O53" s="387">
        <v>16</v>
      </c>
      <c r="P53" s="388"/>
      <c r="Q53" s="389">
        <v>16</v>
      </c>
      <c r="R53" s="422"/>
      <c r="S53" s="387">
        <v>16</v>
      </c>
      <c r="T53" s="388"/>
      <c r="U53" s="389">
        <v>16</v>
      </c>
      <c r="V53" s="390"/>
      <c r="W53" s="405"/>
      <c r="X53" s="407"/>
      <c r="Y53" s="416"/>
      <c r="Z53" s="189"/>
      <c r="AB53" s="391" t="b">
        <f>W51&gt;=Y51</f>
        <v>1</v>
      </c>
      <c r="AC53" s="392"/>
    </row>
    <row r="54" spans="2:30" ht="17.25" customHeight="1">
      <c r="B54" s="405"/>
      <c r="C54" s="406"/>
      <c r="D54" s="406"/>
      <c r="E54" s="407"/>
      <c r="F54" s="418" t="s">
        <v>10</v>
      </c>
      <c r="G54" s="419"/>
      <c r="H54" s="419"/>
      <c r="I54" s="419"/>
      <c r="J54" s="420"/>
      <c r="K54" s="421">
        <v>16</v>
      </c>
      <c r="L54" s="388"/>
      <c r="M54" s="389">
        <v>16</v>
      </c>
      <c r="N54" s="422"/>
      <c r="O54" s="387">
        <v>16</v>
      </c>
      <c r="P54" s="388"/>
      <c r="Q54" s="389">
        <v>16</v>
      </c>
      <c r="R54" s="422"/>
      <c r="S54" s="387">
        <v>16</v>
      </c>
      <c r="T54" s="388"/>
      <c r="U54" s="389">
        <v>16</v>
      </c>
      <c r="V54" s="390"/>
      <c r="W54" s="414"/>
      <c r="X54" s="415"/>
      <c r="Y54" s="417"/>
      <c r="Z54" s="189"/>
    </row>
    <row r="55" spans="2:30" ht="17.25" customHeight="1" thickBot="1">
      <c r="B55" s="408"/>
      <c r="C55" s="409"/>
      <c r="D55" s="409"/>
      <c r="E55" s="410"/>
      <c r="F55" s="378" t="s">
        <v>148</v>
      </c>
      <c r="G55" s="379"/>
      <c r="H55" s="379"/>
      <c r="I55" s="379"/>
      <c r="J55" s="380"/>
      <c r="K55" s="381">
        <v>3</v>
      </c>
      <c r="L55" s="382"/>
      <c r="M55" s="383">
        <v>3</v>
      </c>
      <c r="N55" s="384"/>
      <c r="O55" s="385">
        <v>3</v>
      </c>
      <c r="P55" s="382"/>
      <c r="Q55" s="383">
        <v>3</v>
      </c>
      <c r="R55" s="384"/>
      <c r="S55" s="385">
        <v>3</v>
      </c>
      <c r="T55" s="382"/>
      <c r="U55" s="383">
        <v>3</v>
      </c>
      <c r="V55" s="386"/>
      <c r="W55" s="378">
        <f>SUM(K55:V55)</f>
        <v>18</v>
      </c>
      <c r="X55" s="380"/>
      <c r="Y55" s="215">
        <v>18</v>
      </c>
      <c r="Z55" s="189"/>
      <c r="AB55" s="377" t="s">
        <v>155</v>
      </c>
      <c r="AC55" s="377"/>
    </row>
    <row r="56" spans="2:30" ht="17.25" customHeight="1" thickBot="1">
      <c r="B56" s="372"/>
      <c r="C56" s="373"/>
      <c r="D56" s="373"/>
      <c r="E56" s="373"/>
      <c r="F56" s="373"/>
      <c r="G56" s="373"/>
      <c r="H56" s="373"/>
      <c r="I56" s="373"/>
      <c r="J56" s="374"/>
      <c r="K56" s="372">
        <v>32</v>
      </c>
      <c r="L56" s="397"/>
      <c r="M56" s="398">
        <v>32</v>
      </c>
      <c r="N56" s="375"/>
      <c r="O56" s="376">
        <v>32</v>
      </c>
      <c r="P56" s="397"/>
      <c r="Q56" s="398">
        <v>32</v>
      </c>
      <c r="R56" s="375"/>
      <c r="S56" s="376">
        <v>32</v>
      </c>
      <c r="T56" s="397"/>
      <c r="U56" s="398">
        <v>32</v>
      </c>
      <c r="V56" s="374"/>
      <c r="W56" s="372">
        <f>SUM(K56:V56)</f>
        <v>192</v>
      </c>
      <c r="X56" s="374"/>
      <c r="Y56" s="216">
        <f>W56</f>
        <v>192</v>
      </c>
      <c r="Z56" s="189"/>
      <c r="AB56" s="391" t="b">
        <f>W55&gt;=Y55</f>
        <v>1</v>
      </c>
      <c r="AC56" s="392"/>
    </row>
    <row r="57" spans="2:30" ht="17.25" customHeight="1" thickBot="1">
      <c r="B57" s="372"/>
      <c r="C57" s="373"/>
      <c r="D57" s="373"/>
      <c r="E57" s="373"/>
      <c r="F57" s="373"/>
      <c r="G57" s="373"/>
      <c r="H57" s="373"/>
      <c r="I57" s="373"/>
      <c r="J57" s="374"/>
      <c r="K57" s="372">
        <f>SUM(K56:N56)</f>
        <v>64</v>
      </c>
      <c r="L57" s="373"/>
      <c r="M57" s="373"/>
      <c r="N57" s="375"/>
      <c r="O57" s="376">
        <f>SUM(O56:R56)</f>
        <v>64</v>
      </c>
      <c r="P57" s="373"/>
      <c r="Q57" s="373"/>
      <c r="R57" s="375"/>
      <c r="S57" s="376">
        <f>SUM(S56:V56)</f>
        <v>64</v>
      </c>
      <c r="T57" s="373"/>
      <c r="U57" s="373"/>
      <c r="V57" s="374"/>
      <c r="W57" s="372">
        <f>SUM(K57:V57)</f>
        <v>192</v>
      </c>
      <c r="X57" s="374"/>
      <c r="Y57" s="214"/>
      <c r="Z57" s="213"/>
      <c r="AB57" s="377" t="s">
        <v>152</v>
      </c>
      <c r="AC57" s="377"/>
    </row>
    <row r="58" spans="2:30" ht="17.25" customHeight="1" thickBot="1">
      <c r="AB58" s="391" t="b">
        <f>W56&gt;=Y56</f>
        <v>1</v>
      </c>
      <c r="AC58" s="392"/>
    </row>
    <row r="59" spans="2:30" ht="17.25" customHeight="1"/>
    <row r="60" spans="2:30" ht="17.25" customHeight="1"/>
    <row r="61" spans="2:30" ht="17.25" customHeight="1"/>
    <row r="63" spans="2:30" ht="24.9" customHeight="1"/>
    <row r="64" spans="2:30" ht="24.9" customHeight="1"/>
    <row r="65" ht="32.25" customHeight="1"/>
    <row r="66" ht="24.9" customHeight="1"/>
    <row r="68" ht="16.5" customHeight="1"/>
    <row r="69" ht="17.2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244.5" customHeight="1"/>
  </sheetData>
  <mergeCells count="435">
    <mergeCell ref="F34:G34"/>
    <mergeCell ref="K34:L34"/>
    <mergeCell ref="M34:N34"/>
    <mergeCell ref="O34:P34"/>
    <mergeCell ref="Q34:R34"/>
    <mergeCell ref="S34:T34"/>
    <mergeCell ref="U34:V34"/>
    <mergeCell ref="AB58:AC58"/>
    <mergeCell ref="W42:X42"/>
    <mergeCell ref="U42:V42"/>
    <mergeCell ref="S42:T42"/>
    <mergeCell ref="Q42:R42"/>
    <mergeCell ref="O42:P42"/>
    <mergeCell ref="W56:X56"/>
    <mergeCell ref="AB56:AC56"/>
    <mergeCell ref="B57:J57"/>
    <mergeCell ref="K57:N57"/>
    <mergeCell ref="O57:R57"/>
    <mergeCell ref="S57:V57"/>
    <mergeCell ref="W57:X57"/>
    <mergeCell ref="AB57:AC57"/>
    <mergeCell ref="U55:V55"/>
    <mergeCell ref="W55:X55"/>
    <mergeCell ref="AB55:AC55"/>
    <mergeCell ref="B56:J56"/>
    <mergeCell ref="K56:L56"/>
    <mergeCell ref="M56:N56"/>
    <mergeCell ref="O56:P56"/>
    <mergeCell ref="Q56:R56"/>
    <mergeCell ref="S56:T56"/>
    <mergeCell ref="F55:J55"/>
    <mergeCell ref="K55:L55"/>
    <mergeCell ref="M55:N55"/>
    <mergeCell ref="O55:P55"/>
    <mergeCell ref="Q55:R55"/>
    <mergeCell ref="S55:T55"/>
    <mergeCell ref="U52:V52"/>
    <mergeCell ref="W52:X54"/>
    <mergeCell ref="C43:C44"/>
    <mergeCell ref="K53:L53"/>
    <mergeCell ref="M53:N53"/>
    <mergeCell ref="O53:P53"/>
    <mergeCell ref="Q53:R53"/>
    <mergeCell ref="S53:T53"/>
    <mergeCell ref="U53:V53"/>
    <mergeCell ref="U51:V51"/>
    <mergeCell ref="W51:X51"/>
    <mergeCell ref="F53:J53"/>
    <mergeCell ref="O49:P50"/>
    <mergeCell ref="Q49:R50"/>
    <mergeCell ref="S49:T50"/>
    <mergeCell ref="U49:V50"/>
    <mergeCell ref="W49:X50"/>
    <mergeCell ref="W47:X48"/>
    <mergeCell ref="F48:G48"/>
    <mergeCell ref="K48:L48"/>
    <mergeCell ref="M48:N48"/>
    <mergeCell ref="O48:P48"/>
    <mergeCell ref="Q48:R48"/>
    <mergeCell ref="K45:L45"/>
    <mergeCell ref="U56:V56"/>
    <mergeCell ref="AB51:AC52"/>
    <mergeCell ref="B52:E55"/>
    <mergeCell ref="F52:J52"/>
    <mergeCell ref="K52:L52"/>
    <mergeCell ref="M52:N52"/>
    <mergeCell ref="O52:P52"/>
    <mergeCell ref="Q52:R52"/>
    <mergeCell ref="S52:T52"/>
    <mergeCell ref="B51:G51"/>
    <mergeCell ref="K51:L51"/>
    <mergeCell ref="M51:N51"/>
    <mergeCell ref="O51:P51"/>
    <mergeCell ref="Q51:R51"/>
    <mergeCell ref="S51:T51"/>
    <mergeCell ref="AB53:AC53"/>
    <mergeCell ref="F54:J54"/>
    <mergeCell ref="K54:L54"/>
    <mergeCell ref="M54:N54"/>
    <mergeCell ref="O54:P54"/>
    <mergeCell ref="Q54:R54"/>
    <mergeCell ref="S54:T54"/>
    <mergeCell ref="U54:V54"/>
    <mergeCell ref="Y52:Y54"/>
    <mergeCell ref="Y49:Y50"/>
    <mergeCell ref="B49:G50"/>
    <mergeCell ref="H49:H50"/>
    <mergeCell ref="I49:I50"/>
    <mergeCell ref="J49:J50"/>
    <mergeCell ref="K49:L50"/>
    <mergeCell ref="M49:N50"/>
    <mergeCell ref="W45:X46"/>
    <mergeCell ref="F46:G46"/>
    <mergeCell ref="K46:L46"/>
    <mergeCell ref="M46:N46"/>
    <mergeCell ref="S46:T46"/>
    <mergeCell ref="U46:V46"/>
    <mergeCell ref="C47:C48"/>
    <mergeCell ref="F47:G47"/>
    <mergeCell ref="J47:J48"/>
    <mergeCell ref="K47:L47"/>
    <mergeCell ref="M47:N47"/>
    <mergeCell ref="O47:P47"/>
    <mergeCell ref="Q47:R47"/>
    <mergeCell ref="B45:B48"/>
    <mergeCell ref="C45:C46"/>
    <mergeCell ref="F45:G45"/>
    <mergeCell ref="J45:J46"/>
    <mergeCell ref="B43:B44"/>
    <mergeCell ref="S45:T45"/>
    <mergeCell ref="U45:V45"/>
    <mergeCell ref="O43:P43"/>
    <mergeCell ref="Q43:R43"/>
    <mergeCell ref="S43:T43"/>
    <mergeCell ref="Q44:R44"/>
    <mergeCell ref="F43:G43"/>
    <mergeCell ref="J43:J44"/>
    <mergeCell ref="K43:L43"/>
    <mergeCell ref="M43:N43"/>
    <mergeCell ref="F44:G44"/>
    <mergeCell ref="K44:L44"/>
    <mergeCell ref="M44:N44"/>
    <mergeCell ref="O44:P44"/>
    <mergeCell ref="O45:P46"/>
    <mergeCell ref="Q45:R46"/>
    <mergeCell ref="W41:X41"/>
    <mergeCell ref="W38:X38"/>
    <mergeCell ref="Y38:Y48"/>
    <mergeCell ref="F39:G39"/>
    <mergeCell ref="K39:L39"/>
    <mergeCell ref="M39:N39"/>
    <mergeCell ref="O39:P39"/>
    <mergeCell ref="Q39:R39"/>
    <mergeCell ref="S39:T39"/>
    <mergeCell ref="U39:V39"/>
    <mergeCell ref="U40:V40"/>
    <mergeCell ref="W40:X40"/>
    <mergeCell ref="F40:G40"/>
    <mergeCell ref="K40:L40"/>
    <mergeCell ref="M40:N40"/>
    <mergeCell ref="O40:P40"/>
    <mergeCell ref="Q40:R40"/>
    <mergeCell ref="S40:T40"/>
    <mergeCell ref="W39:X39"/>
    <mergeCell ref="U43:V43"/>
    <mergeCell ref="W43:X44"/>
    <mergeCell ref="M45:N45"/>
    <mergeCell ref="S44:T44"/>
    <mergeCell ref="U44:V44"/>
    <mergeCell ref="B38:C42"/>
    <mergeCell ref="D38:E38"/>
    <mergeCell ref="F38:G38"/>
    <mergeCell ref="K38:L38"/>
    <mergeCell ref="M38:N38"/>
    <mergeCell ref="O38:P38"/>
    <mergeCell ref="Q38:R38"/>
    <mergeCell ref="S38:T38"/>
    <mergeCell ref="U38:V38"/>
    <mergeCell ref="F41:G41"/>
    <mergeCell ref="K41:L41"/>
    <mergeCell ref="M41:N41"/>
    <mergeCell ref="O41:P41"/>
    <mergeCell ref="Q41:R41"/>
    <mergeCell ref="S41:T41"/>
    <mergeCell ref="U41:V41"/>
    <mergeCell ref="M42:N42"/>
    <mergeCell ref="K42:L42"/>
    <mergeCell ref="F42:G42"/>
    <mergeCell ref="B37:G37"/>
    <mergeCell ref="K37:L37"/>
    <mergeCell ref="M37:N37"/>
    <mergeCell ref="O37:P37"/>
    <mergeCell ref="Q37:R37"/>
    <mergeCell ref="S37:T37"/>
    <mergeCell ref="U37:V37"/>
    <mergeCell ref="W37:X37"/>
    <mergeCell ref="AB37:AC37"/>
    <mergeCell ref="X33:X36"/>
    <mergeCell ref="Y33:Y36"/>
    <mergeCell ref="F35:G35"/>
    <mergeCell ref="K35:L35"/>
    <mergeCell ref="M35:N35"/>
    <mergeCell ref="O35:P35"/>
    <mergeCell ref="Q35:R35"/>
    <mergeCell ref="D33:D36"/>
    <mergeCell ref="F33:G33"/>
    <mergeCell ref="K33:L33"/>
    <mergeCell ref="M33:N33"/>
    <mergeCell ref="O33:P33"/>
    <mergeCell ref="Q33:R33"/>
    <mergeCell ref="F36:G36"/>
    <mergeCell ref="K36:L36"/>
    <mergeCell ref="M36:N36"/>
    <mergeCell ref="O36:P36"/>
    <mergeCell ref="S35:T35"/>
    <mergeCell ref="U35:V35"/>
    <mergeCell ref="S33:T33"/>
    <mergeCell ref="U33:V33"/>
    <mergeCell ref="Q36:R36"/>
    <mergeCell ref="S36:T36"/>
    <mergeCell ref="U36:V36"/>
    <mergeCell ref="X30:X32"/>
    <mergeCell ref="Y30:Y32"/>
    <mergeCell ref="F31:G31"/>
    <mergeCell ref="K31:L31"/>
    <mergeCell ref="M31:N31"/>
    <mergeCell ref="O31:P31"/>
    <mergeCell ref="Q31:R31"/>
    <mergeCell ref="S31:T31"/>
    <mergeCell ref="D30:D32"/>
    <mergeCell ref="F30:G30"/>
    <mergeCell ref="K30:L30"/>
    <mergeCell ref="M30:N30"/>
    <mergeCell ref="O30:P30"/>
    <mergeCell ref="Q30:R30"/>
    <mergeCell ref="U31:V31"/>
    <mergeCell ref="F32:G32"/>
    <mergeCell ref="K32:L32"/>
    <mergeCell ref="M32:N32"/>
    <mergeCell ref="O32:P32"/>
    <mergeCell ref="Q32:R32"/>
    <mergeCell ref="S32:T32"/>
    <mergeCell ref="U32:V32"/>
    <mergeCell ref="S30:T30"/>
    <mergeCell ref="U30:V30"/>
    <mergeCell ref="X25:X29"/>
    <mergeCell ref="Y25:Y29"/>
    <mergeCell ref="F26:G26"/>
    <mergeCell ref="K26:L26"/>
    <mergeCell ref="M26:N26"/>
    <mergeCell ref="O26:P26"/>
    <mergeCell ref="Q26:R26"/>
    <mergeCell ref="S26:T26"/>
    <mergeCell ref="U26:V26"/>
    <mergeCell ref="F27:G27"/>
    <mergeCell ref="U28:V28"/>
    <mergeCell ref="F29:G29"/>
    <mergeCell ref="K29:L29"/>
    <mergeCell ref="M29:N29"/>
    <mergeCell ref="O29:P29"/>
    <mergeCell ref="Q29:R29"/>
    <mergeCell ref="S29:T29"/>
    <mergeCell ref="U29:V29"/>
    <mergeCell ref="F28:G28"/>
    <mergeCell ref="K28:L28"/>
    <mergeCell ref="M28:N28"/>
    <mergeCell ref="O28:P28"/>
    <mergeCell ref="Q28:R28"/>
    <mergeCell ref="S28:T28"/>
    <mergeCell ref="D25:D29"/>
    <mergeCell ref="F25:G25"/>
    <mergeCell ref="K25:L25"/>
    <mergeCell ref="M25:N25"/>
    <mergeCell ref="O25:P25"/>
    <mergeCell ref="Q25:R25"/>
    <mergeCell ref="S25:T25"/>
    <mergeCell ref="U25:V25"/>
    <mergeCell ref="D22:D24"/>
    <mergeCell ref="K27:L27"/>
    <mergeCell ref="M27:N27"/>
    <mergeCell ref="O27:P27"/>
    <mergeCell ref="Q27:R27"/>
    <mergeCell ref="S27:T27"/>
    <mergeCell ref="U27:V27"/>
    <mergeCell ref="Q23:R23"/>
    <mergeCell ref="S23:T23"/>
    <mergeCell ref="U23:V23"/>
    <mergeCell ref="F24:G24"/>
    <mergeCell ref="K24:L24"/>
    <mergeCell ref="F22:G22"/>
    <mergeCell ref="K22:L22"/>
    <mergeCell ref="M22:N22"/>
    <mergeCell ref="O22:P22"/>
    <mergeCell ref="AB19:AC19"/>
    <mergeCell ref="F20:G20"/>
    <mergeCell ref="K20:L20"/>
    <mergeCell ref="M20:N20"/>
    <mergeCell ref="O20:P20"/>
    <mergeCell ref="Q20:R20"/>
    <mergeCell ref="S20:T20"/>
    <mergeCell ref="U20:V20"/>
    <mergeCell ref="X20:X21"/>
    <mergeCell ref="Y20:Y24"/>
    <mergeCell ref="F21:G21"/>
    <mergeCell ref="K21:L21"/>
    <mergeCell ref="M21:N21"/>
    <mergeCell ref="O21:P21"/>
    <mergeCell ref="Q21:R21"/>
    <mergeCell ref="S21:T21"/>
    <mergeCell ref="U21:V21"/>
    <mergeCell ref="S22:T22"/>
    <mergeCell ref="U22:V22"/>
    <mergeCell ref="X22:X24"/>
    <mergeCell ref="F23:G23"/>
    <mergeCell ref="K23:L23"/>
    <mergeCell ref="M23:N23"/>
    <mergeCell ref="O23:P23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Q22:R22"/>
    <mergeCell ref="M24:N24"/>
    <mergeCell ref="O24:P24"/>
    <mergeCell ref="Q24:R24"/>
    <mergeCell ref="S24:T24"/>
    <mergeCell ref="U24:V24"/>
    <mergeCell ref="Q16:R16"/>
    <mergeCell ref="S16:T16"/>
    <mergeCell ref="D18:D21"/>
    <mergeCell ref="F18:G18"/>
    <mergeCell ref="K18:L18"/>
    <mergeCell ref="M18:N18"/>
    <mergeCell ref="O18:P18"/>
    <mergeCell ref="Q18:R18"/>
    <mergeCell ref="U16:V16"/>
    <mergeCell ref="F17:G17"/>
    <mergeCell ref="K17:L17"/>
    <mergeCell ref="M17:N17"/>
    <mergeCell ref="O17:P17"/>
    <mergeCell ref="Q17:R17"/>
    <mergeCell ref="S17:T17"/>
    <mergeCell ref="U17:V17"/>
    <mergeCell ref="S18:T18"/>
    <mergeCell ref="U18:V18"/>
    <mergeCell ref="AC14:AE14"/>
    <mergeCell ref="D15:D17"/>
    <mergeCell ref="F15:G15"/>
    <mergeCell ref="K15:L15"/>
    <mergeCell ref="M15:N15"/>
    <mergeCell ref="O15:P15"/>
    <mergeCell ref="X12:X14"/>
    <mergeCell ref="F13:G13"/>
    <mergeCell ref="K13:L13"/>
    <mergeCell ref="M13:N13"/>
    <mergeCell ref="O13:P13"/>
    <mergeCell ref="Q13:R13"/>
    <mergeCell ref="S13:T13"/>
    <mergeCell ref="U13:V13"/>
    <mergeCell ref="F14:G14"/>
    <mergeCell ref="K14:L14"/>
    <mergeCell ref="Q15:R15"/>
    <mergeCell ref="S15:T15"/>
    <mergeCell ref="U15:V15"/>
    <mergeCell ref="X15:X17"/>
    <mergeCell ref="F16:G16"/>
    <mergeCell ref="K16:L16"/>
    <mergeCell ref="M16:N16"/>
    <mergeCell ref="O16:P16"/>
    <mergeCell ref="O12:P12"/>
    <mergeCell ref="Q12:R12"/>
    <mergeCell ref="S12:T12"/>
    <mergeCell ref="U12:V12"/>
    <mergeCell ref="M14:N14"/>
    <mergeCell ref="F11:G11"/>
    <mergeCell ref="K11:L11"/>
    <mergeCell ref="M11:N11"/>
    <mergeCell ref="O11:P11"/>
    <mergeCell ref="Q11:R11"/>
    <mergeCell ref="S11:T11"/>
    <mergeCell ref="O14:P14"/>
    <mergeCell ref="Q14:R14"/>
    <mergeCell ref="S14:T14"/>
    <mergeCell ref="U14:V14"/>
    <mergeCell ref="AB8:AE8"/>
    <mergeCell ref="B9:C36"/>
    <mergeCell ref="D9:D11"/>
    <mergeCell ref="F9:G9"/>
    <mergeCell ref="K9:L9"/>
    <mergeCell ref="M9:N9"/>
    <mergeCell ref="O9:P9"/>
    <mergeCell ref="Q9:R9"/>
    <mergeCell ref="S9:T9"/>
    <mergeCell ref="U9:V9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U11:V11"/>
    <mergeCell ref="D12:D14"/>
    <mergeCell ref="F12:G12"/>
    <mergeCell ref="K12:L12"/>
    <mergeCell ref="M12:N12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S47:T48"/>
    <mergeCell ref="U47:V48"/>
    <mergeCell ref="Z7:Z8"/>
    <mergeCell ref="B2:U2"/>
    <mergeCell ref="V2:W2"/>
    <mergeCell ref="X2:Y2"/>
    <mergeCell ref="AB2:AB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</mergeCells>
  <phoneticPr fontId="9" type="noConversion"/>
  <conditionalFormatting sqref="AB37:AC37 AD50 AB53:AC53 AB56:AC56 AB58:AC58">
    <cfRule type="containsText" dxfId="1" priority="1" operator="containsText" text="FALSE">
      <formula>NOT(ISERROR(SEARCH("FALSE",AB37)))</formula>
    </cfRule>
  </conditionalFormatting>
  <dataValidations disablePrompts="1" count="1">
    <dataValidation type="list" allowBlank="1" showInputMessage="1" showErrorMessage="1" sqref="D48" xr:uid="{32E59641-7849-4793-B71A-4B8FD4258D84}"/>
  </dataValidations>
  <printOptions horizontalCentered="1" verticalCentered="1"/>
  <pageMargins left="0.25" right="0.25" top="0.75" bottom="0.75" header="0.3" footer="0.3"/>
  <pageSetup paperSize="12" scale="52" orientation="portrait" cellComments="asDisplayed" r:id="rId1"/>
  <rowBreaks count="1" manualBreakCount="1">
    <brk id="49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C900472C-1D28-4F84-A0B2-2D9DAA0FB0C0}">
          <x14:formula1>
            <xm:f>삭제금지!$J$2:$J$59</xm:f>
          </x14:formula1>
          <xm:sqref>H5:J5</xm:sqref>
        </x14:dataValidation>
        <x14:dataValidation type="list" allowBlank="1" showInputMessage="1" showErrorMessage="1" xr:uid="{5C13112D-D6FD-4B70-AED9-EF6B726BE874}">
          <x14:formula1>
            <xm:f>삭제금지!$I$2:$I$18</xm:f>
          </x14:formula1>
          <xm:sqref>F5:G5</xm:sqref>
        </x14:dataValidation>
        <x14:dataValidation type="list" allowBlank="1" showInputMessage="1" showErrorMessage="1" xr:uid="{1579602F-D408-49BF-8B33-1D374327AF3C}">
          <x14:formula1>
            <xm:f>삭제금지!$K$2:$K$59</xm:f>
          </x14:formula1>
          <xm:sqref>K5:O5</xm:sqref>
        </x14:dataValidation>
        <x14:dataValidation type="list" allowBlank="1" showInputMessage="1" showErrorMessage="1" xr:uid="{697CAF86-DD50-4D78-A53C-05BF80AE05E9}">
          <x14:formula1>
            <xm:f>삭제금지!$L$2:$L$4</xm:f>
          </x14:formula1>
          <xm:sqref>T5:V5</xm:sqref>
        </x14:dataValidation>
        <x14:dataValidation type="list" allowBlank="1" showInputMessage="1" showErrorMessage="1" xr:uid="{936D41A1-B8EA-4452-87CF-C55929A0E618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B135-BCBC-4856-B348-A271710534DC}">
  <sheetPr>
    <pageSetUpPr fitToPage="1"/>
  </sheetPr>
  <dimension ref="B2:AG41"/>
  <sheetViews>
    <sheetView showGridLines="0" view="pageBreakPreview" topLeftCell="A14" zoomScale="95" zoomScaleNormal="85" zoomScaleSheetLayoutView="95" workbookViewId="0">
      <selection activeCell="A23" sqref="A23:XFD29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643" t="s">
        <v>150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</row>
    <row r="3" spans="2:33" ht="27" customHeight="1" thickBot="1"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644" t="s">
        <v>128</v>
      </c>
      <c r="O3" s="645"/>
      <c r="P3" s="646"/>
      <c r="Q3" s="644" t="s">
        <v>126</v>
      </c>
      <c r="R3" s="645"/>
      <c r="S3" s="646"/>
      <c r="T3" s="647" t="s">
        <v>129</v>
      </c>
      <c r="U3" s="648"/>
    </row>
    <row r="4" spans="2:33" ht="27" customHeight="1" thickBot="1"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649" t="s">
        <v>516</v>
      </c>
      <c r="O4" s="650"/>
      <c r="P4" s="651"/>
      <c r="Q4" s="652" t="s">
        <v>683</v>
      </c>
      <c r="R4" s="653"/>
      <c r="S4" s="654"/>
      <c r="T4" s="653">
        <v>2027</v>
      </c>
      <c r="U4" s="654"/>
    </row>
    <row r="5" spans="2:33" ht="24" customHeight="1" thickBot="1">
      <c r="B5" s="655"/>
      <c r="C5" s="655"/>
    </row>
    <row r="6" spans="2:33" ht="20.25" customHeight="1">
      <c r="B6" s="656" t="s">
        <v>12</v>
      </c>
      <c r="C6" s="659" t="s">
        <v>139</v>
      </c>
      <c r="D6" s="640" t="s">
        <v>13</v>
      </c>
      <c r="E6" s="640" t="s">
        <v>14</v>
      </c>
      <c r="F6" s="640" t="s">
        <v>140</v>
      </c>
      <c r="G6" s="640" t="s">
        <v>141</v>
      </c>
      <c r="H6" s="626" t="s">
        <v>57</v>
      </c>
      <c r="I6" s="626"/>
      <c r="J6" s="626"/>
      <c r="K6" s="626"/>
      <c r="L6" s="626" t="s">
        <v>58</v>
      </c>
      <c r="M6" s="626"/>
      <c r="N6" s="626"/>
      <c r="O6" s="626"/>
      <c r="P6" s="626" t="s">
        <v>59</v>
      </c>
      <c r="Q6" s="626"/>
      <c r="R6" s="626"/>
      <c r="S6" s="626"/>
      <c r="T6" s="627" t="s">
        <v>138</v>
      </c>
      <c r="U6" s="637" t="s">
        <v>125</v>
      </c>
      <c r="W6" s="630" t="s">
        <v>130</v>
      </c>
      <c r="X6" s="631"/>
      <c r="Y6" s="631"/>
      <c r="Z6" s="631"/>
      <c r="AA6" s="631"/>
      <c r="AB6" s="631"/>
      <c r="AC6" s="631"/>
      <c r="AD6" s="631"/>
      <c r="AE6" s="631"/>
      <c r="AF6" s="632"/>
      <c r="AG6" s="244"/>
    </row>
    <row r="7" spans="2:33" ht="16.5" customHeight="1">
      <c r="B7" s="657"/>
      <c r="C7" s="660"/>
      <c r="D7" s="641"/>
      <c r="E7" s="641"/>
      <c r="F7" s="641"/>
      <c r="G7" s="641"/>
      <c r="H7" s="633" t="s">
        <v>123</v>
      </c>
      <c r="I7" s="633"/>
      <c r="J7" s="633" t="s">
        <v>61</v>
      </c>
      <c r="K7" s="633"/>
      <c r="L7" s="633" t="s">
        <v>123</v>
      </c>
      <c r="M7" s="633"/>
      <c r="N7" s="633" t="s">
        <v>61</v>
      </c>
      <c r="O7" s="633"/>
      <c r="P7" s="633" t="s">
        <v>123</v>
      </c>
      <c r="Q7" s="633"/>
      <c r="R7" s="633" t="s">
        <v>61</v>
      </c>
      <c r="S7" s="633"/>
      <c r="T7" s="628"/>
      <c r="U7" s="638"/>
      <c r="W7" s="634" t="s">
        <v>131</v>
      </c>
      <c r="X7" s="635"/>
      <c r="Y7" s="635"/>
      <c r="Z7" s="635"/>
      <c r="AA7" s="635"/>
      <c r="AB7" s="635"/>
      <c r="AC7" s="635"/>
      <c r="AD7" s="635"/>
      <c r="AE7" s="635"/>
      <c r="AF7" s="636"/>
      <c r="AG7" s="244"/>
    </row>
    <row r="8" spans="2:33" ht="17.25" customHeight="1" thickBot="1">
      <c r="B8" s="658"/>
      <c r="C8" s="661"/>
      <c r="D8" s="642"/>
      <c r="E8" s="642"/>
      <c r="F8" s="642"/>
      <c r="G8" s="642"/>
      <c r="H8" s="245" t="s">
        <v>137</v>
      </c>
      <c r="I8" s="245" t="s">
        <v>124</v>
      </c>
      <c r="J8" s="245" t="s">
        <v>137</v>
      </c>
      <c r="K8" s="245" t="s">
        <v>124</v>
      </c>
      <c r="L8" s="245" t="s">
        <v>137</v>
      </c>
      <c r="M8" s="245" t="s">
        <v>124</v>
      </c>
      <c r="N8" s="245" t="s">
        <v>137</v>
      </c>
      <c r="O8" s="245" t="s">
        <v>124</v>
      </c>
      <c r="P8" s="245" t="s">
        <v>137</v>
      </c>
      <c r="Q8" s="245" t="s">
        <v>124</v>
      </c>
      <c r="R8" s="245" t="s">
        <v>137</v>
      </c>
      <c r="S8" s="245" t="s">
        <v>124</v>
      </c>
      <c r="T8" s="629"/>
      <c r="U8" s="639"/>
      <c r="W8" s="11"/>
      <c r="X8" s="246"/>
      <c r="Y8" s="246"/>
      <c r="Z8" s="246"/>
      <c r="AA8" s="246"/>
      <c r="AB8" s="246"/>
      <c r="AC8" s="246"/>
      <c r="AD8" s="246"/>
      <c r="AE8" s="246"/>
      <c r="AF8" s="12"/>
      <c r="AG8" s="244"/>
    </row>
    <row r="9" spans="2:33" ht="16.5" customHeight="1">
      <c r="B9" s="736" t="s">
        <v>629</v>
      </c>
      <c r="C9" s="739">
        <v>7</v>
      </c>
      <c r="D9" s="247" t="s">
        <v>635</v>
      </c>
      <c r="E9" s="174" t="s">
        <v>638</v>
      </c>
      <c r="F9" s="247">
        <v>32</v>
      </c>
      <c r="G9" s="247">
        <v>3</v>
      </c>
      <c r="H9" s="248"/>
      <c r="I9" s="248"/>
      <c r="J9" s="248"/>
      <c r="K9" s="248"/>
      <c r="L9" s="248">
        <v>2</v>
      </c>
      <c r="M9" s="248">
        <f>L9*16</f>
        <v>32</v>
      </c>
      <c r="N9" s="248"/>
      <c r="O9" s="248"/>
      <c r="P9" s="248"/>
      <c r="Q9" s="248"/>
      <c r="R9" s="248"/>
      <c r="S9" s="248"/>
      <c r="T9" s="225">
        <f t="shared" ref="T9:U11" si="0">SUM(H9,J9,L9,N9,P9,R9)</f>
        <v>2</v>
      </c>
      <c r="U9" s="230">
        <f t="shared" si="0"/>
        <v>32</v>
      </c>
      <c r="W9" s="249"/>
      <c r="X9" s="244"/>
      <c r="Y9" s="244"/>
      <c r="Z9" s="244"/>
      <c r="AA9" s="244"/>
      <c r="AB9" s="244"/>
      <c r="AC9" s="244"/>
      <c r="AD9" s="244"/>
      <c r="AE9" s="244"/>
      <c r="AF9" s="250"/>
      <c r="AG9" s="244"/>
    </row>
    <row r="10" spans="2:33" ht="16.5" customHeight="1">
      <c r="B10" s="737"/>
      <c r="C10" s="740"/>
      <c r="D10" s="173" t="s">
        <v>636</v>
      </c>
      <c r="E10" s="161" t="s">
        <v>639</v>
      </c>
      <c r="F10" s="251">
        <v>32</v>
      </c>
      <c r="G10" s="251">
        <v>5</v>
      </c>
      <c r="H10" s="253"/>
      <c r="I10" s="253"/>
      <c r="J10" s="253"/>
      <c r="K10" s="253"/>
      <c r="L10" s="253">
        <v>2</v>
      </c>
      <c r="M10" s="253">
        <f>L10*16</f>
        <v>32</v>
      </c>
      <c r="N10" s="253"/>
      <c r="O10" s="253"/>
      <c r="P10" s="253"/>
      <c r="Q10" s="253"/>
      <c r="R10" s="253"/>
      <c r="S10" s="253"/>
      <c r="T10" s="151">
        <f t="shared" si="0"/>
        <v>2</v>
      </c>
      <c r="U10" s="148">
        <f t="shared" si="0"/>
        <v>32</v>
      </c>
      <c r="W10" s="249"/>
      <c r="X10" s="244"/>
      <c r="Y10" s="244"/>
      <c r="Z10" s="244"/>
      <c r="AA10" s="244"/>
      <c r="AB10" s="244"/>
      <c r="AC10" s="244"/>
      <c r="AD10" s="244"/>
      <c r="AE10" s="244"/>
      <c r="AF10" s="250"/>
      <c r="AG10" s="244"/>
    </row>
    <row r="11" spans="2:33">
      <c r="B11" s="737"/>
      <c r="C11" s="740"/>
      <c r="D11" s="252" t="s">
        <v>637</v>
      </c>
      <c r="E11" s="161" t="s">
        <v>640</v>
      </c>
      <c r="F11" s="252">
        <v>48</v>
      </c>
      <c r="G11" s="252">
        <v>3</v>
      </c>
      <c r="H11" s="254"/>
      <c r="I11" s="254"/>
      <c r="J11" s="254"/>
      <c r="K11" s="254"/>
      <c r="L11" s="254"/>
      <c r="M11" s="254"/>
      <c r="N11" s="254">
        <v>3</v>
      </c>
      <c r="O11" s="253">
        <f>N11*16</f>
        <v>48</v>
      </c>
      <c r="P11" s="254"/>
      <c r="Q11" s="254"/>
      <c r="R11" s="254"/>
      <c r="S11" s="254"/>
      <c r="T11" s="147">
        <f t="shared" si="0"/>
        <v>3</v>
      </c>
      <c r="U11" s="148">
        <f t="shared" si="0"/>
        <v>48</v>
      </c>
    </row>
    <row r="12" spans="2:33" ht="18" thickBot="1">
      <c r="B12" s="738"/>
      <c r="C12" s="741"/>
      <c r="D12" s="609" t="s">
        <v>15</v>
      </c>
      <c r="E12" s="609"/>
      <c r="F12" s="257"/>
      <c r="G12" s="257"/>
      <c r="H12" s="258">
        <f>SUM(H9:H11)</f>
        <v>0</v>
      </c>
      <c r="I12" s="258">
        <f>SUM(I9:I11)</f>
        <v>0</v>
      </c>
      <c r="J12" s="258">
        <f>SUM(J11:J11)</f>
        <v>0</v>
      </c>
      <c r="K12" s="258">
        <f>SUM(K11:K11)</f>
        <v>0</v>
      </c>
      <c r="L12" s="258">
        <f t="shared" ref="L12:U12" si="1">SUM(L9:L11)</f>
        <v>4</v>
      </c>
      <c r="M12" s="258">
        <f t="shared" si="1"/>
        <v>64</v>
      </c>
      <c r="N12" s="258">
        <f t="shared" si="1"/>
        <v>3</v>
      </c>
      <c r="O12" s="258">
        <f t="shared" si="1"/>
        <v>48</v>
      </c>
      <c r="P12" s="258">
        <f t="shared" si="1"/>
        <v>0</v>
      </c>
      <c r="Q12" s="258">
        <f t="shared" si="1"/>
        <v>0</v>
      </c>
      <c r="R12" s="258">
        <f t="shared" si="1"/>
        <v>0</v>
      </c>
      <c r="S12" s="258">
        <f t="shared" si="1"/>
        <v>0</v>
      </c>
      <c r="T12" s="259">
        <f t="shared" si="1"/>
        <v>7</v>
      </c>
      <c r="U12" s="260">
        <f t="shared" si="1"/>
        <v>112</v>
      </c>
    </row>
    <row r="13" spans="2:33">
      <c r="B13" s="743" t="s">
        <v>621</v>
      </c>
      <c r="C13" s="750">
        <v>8</v>
      </c>
      <c r="D13" s="300" t="s">
        <v>645</v>
      </c>
      <c r="E13" s="300" t="s">
        <v>649</v>
      </c>
      <c r="F13" s="301">
        <v>48</v>
      </c>
      <c r="G13" s="295">
        <v>3</v>
      </c>
      <c r="H13" s="296"/>
      <c r="I13" s="296"/>
      <c r="J13" s="296"/>
      <c r="K13" s="296"/>
      <c r="L13" s="296">
        <v>2</v>
      </c>
      <c r="M13" s="291">
        <f>L13*16</f>
        <v>32</v>
      </c>
      <c r="N13" s="296"/>
      <c r="O13" s="296"/>
      <c r="P13" s="302"/>
      <c r="Q13" s="302"/>
      <c r="R13" s="302"/>
      <c r="S13" s="302"/>
      <c r="T13" s="292">
        <f t="shared" ref="T13:U16" si="2">SUM(H13,J13,L13,N13,P13,R13)</f>
        <v>2</v>
      </c>
      <c r="U13" s="293">
        <f t="shared" si="2"/>
        <v>32</v>
      </c>
    </row>
    <row r="14" spans="2:33">
      <c r="B14" s="743"/>
      <c r="C14" s="750"/>
      <c r="D14" s="303" t="s">
        <v>646</v>
      </c>
      <c r="E14" s="303" t="s">
        <v>650</v>
      </c>
      <c r="F14" s="294">
        <v>48</v>
      </c>
      <c r="G14" s="295">
        <v>2</v>
      </c>
      <c r="H14" s="296"/>
      <c r="I14" s="296"/>
      <c r="J14" s="296"/>
      <c r="K14" s="296"/>
      <c r="L14" s="296">
        <v>2</v>
      </c>
      <c r="M14" s="291">
        <f>L14*16</f>
        <v>32</v>
      </c>
      <c r="N14" s="296"/>
      <c r="O14" s="296"/>
      <c r="P14" s="302"/>
      <c r="Q14" s="302"/>
      <c r="R14" s="302"/>
      <c r="S14" s="302"/>
      <c r="T14" s="292">
        <f t="shared" si="2"/>
        <v>2</v>
      </c>
      <c r="U14" s="293">
        <f t="shared" si="2"/>
        <v>32</v>
      </c>
    </row>
    <row r="15" spans="2:33">
      <c r="B15" s="737"/>
      <c r="C15" s="751"/>
      <c r="D15" s="303" t="s">
        <v>647</v>
      </c>
      <c r="E15" s="303" t="s">
        <v>651</v>
      </c>
      <c r="F15" s="294">
        <v>48</v>
      </c>
      <c r="G15" s="295">
        <v>2</v>
      </c>
      <c r="H15" s="296"/>
      <c r="I15" s="296"/>
      <c r="J15" s="296"/>
      <c r="K15" s="296"/>
      <c r="L15" s="296"/>
      <c r="M15" s="296"/>
      <c r="N15" s="296">
        <v>2</v>
      </c>
      <c r="O15" s="291">
        <f>N15*16</f>
        <v>32</v>
      </c>
      <c r="P15" s="302"/>
      <c r="Q15" s="302"/>
      <c r="R15" s="302"/>
      <c r="S15" s="302"/>
      <c r="T15" s="292">
        <f t="shared" si="2"/>
        <v>2</v>
      </c>
      <c r="U15" s="293">
        <f t="shared" si="2"/>
        <v>32</v>
      </c>
    </row>
    <row r="16" spans="2:33">
      <c r="B16" s="749"/>
      <c r="C16" s="752"/>
      <c r="D16" s="303" t="s">
        <v>648</v>
      </c>
      <c r="E16" s="303" t="s">
        <v>652</v>
      </c>
      <c r="F16" s="301">
        <v>48</v>
      </c>
      <c r="G16" s="295">
        <v>2</v>
      </c>
      <c r="H16" s="296"/>
      <c r="I16" s="296"/>
      <c r="J16" s="296"/>
      <c r="K16" s="296"/>
      <c r="L16" s="296"/>
      <c r="M16" s="296"/>
      <c r="N16" s="296">
        <v>2</v>
      </c>
      <c r="O16" s="291">
        <f>N16*16</f>
        <v>32</v>
      </c>
      <c r="P16" s="302"/>
      <c r="Q16" s="302"/>
      <c r="R16" s="302"/>
      <c r="S16" s="302"/>
      <c r="T16" s="292">
        <f t="shared" si="2"/>
        <v>2</v>
      </c>
      <c r="U16" s="293">
        <f t="shared" si="2"/>
        <v>32</v>
      </c>
    </row>
    <row r="17" spans="2:33" ht="18" thickBot="1">
      <c r="B17" s="744"/>
      <c r="C17" s="747"/>
      <c r="D17" s="609" t="s">
        <v>15</v>
      </c>
      <c r="E17" s="609"/>
      <c r="F17" s="257"/>
      <c r="G17" s="257"/>
      <c r="H17" s="258"/>
      <c r="I17" s="258"/>
      <c r="J17" s="258"/>
      <c r="K17" s="258"/>
      <c r="L17" s="258">
        <f>SUM(L13:L16)</f>
        <v>4</v>
      </c>
      <c r="M17" s="258">
        <f>SUM(M13:M16)</f>
        <v>64</v>
      </c>
      <c r="N17" s="258">
        <f>SUM(N13:N16)</f>
        <v>4</v>
      </c>
      <c r="O17" s="258">
        <f>SUM(O13:O16)</f>
        <v>64</v>
      </c>
      <c r="P17" s="258"/>
      <c r="Q17" s="258"/>
      <c r="R17" s="258"/>
      <c r="S17" s="258"/>
      <c r="T17" s="25">
        <f>SUM(T13:T16)</f>
        <v>8</v>
      </c>
      <c r="U17" s="26">
        <f>SUM(U13:U16)</f>
        <v>128</v>
      </c>
      <c r="W17" s="263" t="s">
        <v>739</v>
      </c>
    </row>
    <row r="18" spans="2:33">
      <c r="B18" s="742" t="s">
        <v>632</v>
      </c>
      <c r="C18" s="745">
        <v>12</v>
      </c>
      <c r="D18" s="289" t="s">
        <v>641</v>
      </c>
      <c r="E18" s="289" t="s">
        <v>643</v>
      </c>
      <c r="F18" s="289">
        <v>64</v>
      </c>
      <c r="G18" s="289">
        <v>2</v>
      </c>
      <c r="H18" s="290"/>
      <c r="I18" s="290"/>
      <c r="J18" s="290"/>
      <c r="K18" s="290"/>
      <c r="L18" s="290">
        <v>4</v>
      </c>
      <c r="M18" s="291">
        <f>L18*16</f>
        <v>64</v>
      </c>
      <c r="N18" s="290"/>
      <c r="O18" s="290"/>
      <c r="P18" s="290"/>
      <c r="Q18" s="290"/>
      <c r="R18" s="290"/>
      <c r="S18" s="290"/>
      <c r="T18" s="292">
        <f t="shared" ref="T18:U20" si="3">SUM(H18,J18,L18,N18,P18,R18)</f>
        <v>4</v>
      </c>
      <c r="U18" s="293">
        <f t="shared" si="3"/>
        <v>64</v>
      </c>
      <c r="W18" s="285"/>
    </row>
    <row r="19" spans="2:33">
      <c r="B19" s="743"/>
      <c r="C19" s="746"/>
      <c r="D19" s="294" t="s">
        <v>657</v>
      </c>
      <c r="E19" s="295" t="s">
        <v>663</v>
      </c>
      <c r="F19" s="295">
        <v>48</v>
      </c>
      <c r="G19" s="295">
        <v>2</v>
      </c>
      <c r="H19" s="296"/>
      <c r="I19" s="296"/>
      <c r="J19" s="296"/>
      <c r="K19" s="296"/>
      <c r="L19" s="296">
        <v>2</v>
      </c>
      <c r="M19" s="291">
        <f>L19*16</f>
        <v>32</v>
      </c>
      <c r="N19" s="296"/>
      <c r="O19" s="296"/>
      <c r="P19" s="296"/>
      <c r="Q19" s="296"/>
      <c r="R19" s="296"/>
      <c r="S19" s="296"/>
      <c r="T19" s="292">
        <f t="shared" si="3"/>
        <v>2</v>
      </c>
      <c r="U19" s="293">
        <f t="shared" si="3"/>
        <v>32</v>
      </c>
      <c r="W19" s="285"/>
    </row>
    <row r="20" spans="2:33">
      <c r="B20" s="743"/>
      <c r="C20" s="746"/>
      <c r="D20" s="297" t="s">
        <v>642</v>
      </c>
      <c r="E20" s="298" t="s">
        <v>644</v>
      </c>
      <c r="F20" s="295">
        <v>64</v>
      </c>
      <c r="G20" s="295">
        <v>3</v>
      </c>
      <c r="H20" s="296"/>
      <c r="I20" s="296"/>
      <c r="J20" s="296"/>
      <c r="K20" s="296"/>
      <c r="L20" s="296"/>
      <c r="M20" s="296"/>
      <c r="N20" s="296">
        <v>4</v>
      </c>
      <c r="O20" s="291">
        <f>N20*16</f>
        <v>64</v>
      </c>
      <c r="P20" s="296"/>
      <c r="Q20" s="296"/>
      <c r="R20" s="296"/>
      <c r="S20" s="291"/>
      <c r="T20" s="292">
        <f t="shared" si="3"/>
        <v>4</v>
      </c>
      <c r="U20" s="293">
        <f t="shared" si="3"/>
        <v>64</v>
      </c>
    </row>
    <row r="21" spans="2:33">
      <c r="B21" s="737"/>
      <c r="C21" s="740"/>
      <c r="D21" s="294" t="s">
        <v>749</v>
      </c>
      <c r="E21" s="297" t="s">
        <v>750</v>
      </c>
      <c r="F21" s="298">
        <v>48</v>
      </c>
      <c r="G21" s="298">
        <v>2</v>
      </c>
      <c r="H21" s="874"/>
      <c r="I21" s="874"/>
      <c r="J21" s="874"/>
      <c r="K21" s="874"/>
      <c r="L21" s="874"/>
      <c r="M21" s="874"/>
      <c r="N21" s="874">
        <v>2</v>
      </c>
      <c r="O21" s="291">
        <f>N21*16</f>
        <v>32</v>
      </c>
      <c r="P21" s="874"/>
      <c r="Q21" s="874"/>
      <c r="R21" s="874"/>
      <c r="S21" s="875"/>
      <c r="T21" s="292">
        <v>3</v>
      </c>
      <c r="U21" s="293">
        <f>SUM(I21,K21,M21,O21,Q21,S21)</f>
        <v>32</v>
      </c>
    </row>
    <row r="22" spans="2:33" ht="18" thickBot="1">
      <c r="B22" s="744"/>
      <c r="C22" s="747"/>
      <c r="D22" s="748" t="s">
        <v>15</v>
      </c>
      <c r="E22" s="748"/>
      <c r="F22" s="257"/>
      <c r="G22" s="257"/>
      <c r="H22" s="258"/>
      <c r="I22" s="258"/>
      <c r="J22" s="258"/>
      <c r="K22" s="258"/>
      <c r="L22" s="258">
        <f>SUM(L18:L20)</f>
        <v>6</v>
      </c>
      <c r="M22" s="258">
        <f>SUM(M18:M21)</f>
        <v>96</v>
      </c>
      <c r="N22" s="258">
        <f>SUM(N18:N20)</f>
        <v>4</v>
      </c>
      <c r="O22" s="258">
        <f>SUM(O18:O21)</f>
        <v>96</v>
      </c>
      <c r="P22" s="258"/>
      <c r="Q22" s="258"/>
      <c r="R22" s="258"/>
      <c r="S22" s="258"/>
      <c r="T22" s="287">
        <f>SUM(T18:T21)</f>
        <v>13</v>
      </c>
      <c r="U22" s="288">
        <f>SUM(U18:U21)</f>
        <v>192</v>
      </c>
    </row>
    <row r="23" spans="2:33" ht="16.5" customHeight="1">
      <c r="B23" s="736" t="s">
        <v>624</v>
      </c>
      <c r="C23" s="739">
        <v>22</v>
      </c>
      <c r="D23" s="278" t="s">
        <v>673</v>
      </c>
      <c r="E23" s="279" t="s">
        <v>705</v>
      </c>
      <c r="F23" s="264">
        <v>64</v>
      </c>
      <c r="G23" s="276">
        <v>2</v>
      </c>
      <c r="H23" s="262"/>
      <c r="I23" s="262"/>
      <c r="J23" s="262"/>
      <c r="K23" s="262"/>
      <c r="L23" s="262"/>
      <c r="M23" s="266"/>
      <c r="N23" s="262"/>
      <c r="O23" s="262"/>
      <c r="P23" s="262">
        <v>4</v>
      </c>
      <c r="Q23" s="265">
        <f>P23*16</f>
        <v>64</v>
      </c>
      <c r="R23" s="262"/>
      <c r="S23" s="262"/>
      <c r="T23" s="292">
        <f t="shared" ref="T23:U28" si="4">SUM(H23,J23,L23,N23,P23,R23)</f>
        <v>4</v>
      </c>
      <c r="U23" s="293">
        <f t="shared" si="4"/>
        <v>64</v>
      </c>
      <c r="W23" s="244"/>
      <c r="X23" s="244"/>
      <c r="Y23" s="244"/>
      <c r="Z23" s="244"/>
      <c r="AA23" s="244"/>
      <c r="AB23" s="244"/>
      <c r="AC23" s="244"/>
      <c r="AD23" s="244"/>
      <c r="AE23" s="244"/>
      <c r="AF23" s="250"/>
      <c r="AG23" s="244"/>
    </row>
    <row r="24" spans="2:33" ht="16.5" customHeight="1">
      <c r="B24" s="737"/>
      <c r="C24" s="740"/>
      <c r="D24" s="277" t="s">
        <v>674</v>
      </c>
      <c r="E24" s="280" t="s">
        <v>677</v>
      </c>
      <c r="F24" s="264">
        <v>64</v>
      </c>
      <c r="G24" s="305">
        <v>2</v>
      </c>
      <c r="H24" s="265"/>
      <c r="I24" s="265"/>
      <c r="J24" s="265"/>
      <c r="K24" s="265"/>
      <c r="L24" s="265"/>
      <c r="M24" s="265"/>
      <c r="N24" s="265"/>
      <c r="O24" s="265"/>
      <c r="P24" s="265">
        <v>4</v>
      </c>
      <c r="Q24" s="265">
        <f>P24*16</f>
        <v>64</v>
      </c>
      <c r="R24" s="265"/>
      <c r="S24" s="265"/>
      <c r="T24" s="292">
        <f t="shared" si="4"/>
        <v>4</v>
      </c>
      <c r="U24" s="293">
        <f t="shared" si="4"/>
        <v>64</v>
      </c>
      <c r="W24" s="244"/>
      <c r="X24" s="244"/>
      <c r="Y24" s="244"/>
      <c r="Z24" s="244"/>
      <c r="AA24" s="244"/>
      <c r="AB24" s="244"/>
      <c r="AC24" s="244"/>
      <c r="AD24" s="244"/>
      <c r="AE24" s="244"/>
      <c r="AF24" s="250"/>
      <c r="AG24" s="244"/>
    </row>
    <row r="25" spans="2:33" ht="16.5" customHeight="1">
      <c r="B25" s="737"/>
      <c r="C25" s="740"/>
      <c r="D25" s="281" t="s">
        <v>751</v>
      </c>
      <c r="E25" s="282" t="s">
        <v>752</v>
      </c>
      <c r="F25" s="264">
        <v>32</v>
      </c>
      <c r="G25" s="305">
        <v>2</v>
      </c>
      <c r="H25" s="265"/>
      <c r="I25" s="265"/>
      <c r="J25" s="265"/>
      <c r="K25" s="265"/>
      <c r="L25" s="265"/>
      <c r="M25" s="265"/>
      <c r="N25" s="265"/>
      <c r="O25" s="265"/>
      <c r="P25" s="265">
        <v>2</v>
      </c>
      <c r="Q25" s="265">
        <f>P25*16</f>
        <v>32</v>
      </c>
      <c r="R25" s="265"/>
      <c r="S25" s="265"/>
      <c r="T25" s="292">
        <f t="shared" si="4"/>
        <v>2</v>
      </c>
      <c r="U25" s="293">
        <f t="shared" si="4"/>
        <v>32</v>
      </c>
      <c r="W25" s="244"/>
      <c r="X25" s="244"/>
      <c r="Y25" s="244"/>
      <c r="Z25" s="244"/>
      <c r="AA25" s="244"/>
      <c r="AB25" s="244"/>
      <c r="AC25" s="244"/>
      <c r="AD25" s="244"/>
      <c r="AE25" s="244"/>
      <c r="AF25" s="304"/>
      <c r="AG25" s="244"/>
    </row>
    <row r="26" spans="2:33">
      <c r="B26" s="737"/>
      <c r="C26" s="740"/>
      <c r="D26" s="306" t="s">
        <v>675</v>
      </c>
      <c r="E26" s="307" t="s">
        <v>678</v>
      </c>
      <c r="F26" s="284">
        <v>64</v>
      </c>
      <c r="G26" s="305">
        <v>2</v>
      </c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>
        <v>4</v>
      </c>
      <c r="S26" s="308">
        <f>R26*16</f>
        <v>64</v>
      </c>
      <c r="T26" s="292">
        <f t="shared" si="4"/>
        <v>4</v>
      </c>
      <c r="U26" s="293">
        <f t="shared" si="4"/>
        <v>64</v>
      </c>
    </row>
    <row r="27" spans="2:33">
      <c r="B27" s="737"/>
      <c r="C27" s="740"/>
      <c r="D27" s="306" t="s">
        <v>676</v>
      </c>
      <c r="E27" s="307" t="s">
        <v>753</v>
      </c>
      <c r="F27" s="309">
        <v>64</v>
      </c>
      <c r="G27" s="305">
        <v>2</v>
      </c>
      <c r="H27" s="308"/>
      <c r="I27" s="308"/>
      <c r="J27" s="308"/>
      <c r="K27" s="308"/>
      <c r="L27" s="308"/>
      <c r="M27" s="308"/>
      <c r="N27" s="308"/>
      <c r="O27" s="310"/>
      <c r="P27" s="308"/>
      <c r="Q27" s="308"/>
      <c r="R27" s="308">
        <v>4</v>
      </c>
      <c r="S27" s="308">
        <f>R27*16</f>
        <v>64</v>
      </c>
      <c r="T27" s="292">
        <f t="shared" si="4"/>
        <v>4</v>
      </c>
      <c r="U27" s="293">
        <f t="shared" si="4"/>
        <v>64</v>
      </c>
    </row>
    <row r="28" spans="2:33">
      <c r="B28" s="737"/>
      <c r="C28" s="740"/>
      <c r="D28" s="306" t="s">
        <v>704</v>
      </c>
      <c r="E28" s="307" t="s">
        <v>706</v>
      </c>
      <c r="F28" s="309">
        <v>64</v>
      </c>
      <c r="G28" s="311">
        <v>2</v>
      </c>
      <c r="H28" s="312"/>
      <c r="I28" s="312"/>
      <c r="J28" s="312"/>
      <c r="K28" s="312"/>
      <c r="L28" s="312"/>
      <c r="M28" s="312"/>
      <c r="N28" s="312"/>
      <c r="O28" s="313"/>
      <c r="P28" s="312"/>
      <c r="Q28" s="312"/>
      <c r="R28" s="312">
        <v>4</v>
      </c>
      <c r="S28" s="308">
        <f>R28*16</f>
        <v>64</v>
      </c>
      <c r="T28" s="292">
        <f t="shared" si="4"/>
        <v>4</v>
      </c>
      <c r="U28" s="293">
        <f t="shared" si="4"/>
        <v>64</v>
      </c>
    </row>
    <row r="29" spans="2:33" ht="18" thickBot="1">
      <c r="B29" s="738"/>
      <c r="C29" s="741"/>
      <c r="D29" s="609" t="s">
        <v>15</v>
      </c>
      <c r="E29" s="609"/>
      <c r="F29" s="257"/>
      <c r="G29" s="257"/>
      <c r="H29" s="258">
        <f>SUM(H23:H27)</f>
        <v>0</v>
      </c>
      <c r="I29" s="258">
        <f>SUM(I23:I27)</f>
        <v>0</v>
      </c>
      <c r="J29" s="258">
        <f>SUM(J26:J27)</f>
        <v>0</v>
      </c>
      <c r="K29" s="258">
        <f>SUM(K26:K27)</f>
        <v>0</v>
      </c>
      <c r="L29" s="258">
        <f t="shared" ref="L29:U29" si="5">SUM(L23:L27)</f>
        <v>0</v>
      </c>
      <c r="M29" s="258">
        <f t="shared" si="5"/>
        <v>0</v>
      </c>
      <c r="N29" s="258">
        <f t="shared" si="5"/>
        <v>0</v>
      </c>
      <c r="O29" s="258">
        <f t="shared" si="5"/>
        <v>0</v>
      </c>
      <c r="P29" s="258">
        <f t="shared" si="5"/>
        <v>10</v>
      </c>
      <c r="Q29" s="258">
        <f t="shared" si="5"/>
        <v>160</v>
      </c>
      <c r="R29" s="258">
        <f>SUM(R23:R28)</f>
        <v>12</v>
      </c>
      <c r="S29" s="258">
        <f>SUM(S23:S28)</f>
        <v>192</v>
      </c>
      <c r="T29" s="259">
        <f t="shared" si="5"/>
        <v>18</v>
      </c>
      <c r="U29" s="260">
        <f t="shared" si="5"/>
        <v>288</v>
      </c>
    </row>
    <row r="30" spans="2:33" ht="17.399999999999999" customHeight="1">
      <c r="B30" s="610" t="s">
        <v>633</v>
      </c>
      <c r="C30" s="614">
        <v>20</v>
      </c>
      <c r="D30" s="299" t="s">
        <v>653</v>
      </c>
      <c r="E30" s="299" t="s">
        <v>658</v>
      </c>
      <c r="F30" s="268">
        <v>64</v>
      </c>
      <c r="G30" s="264">
        <v>2</v>
      </c>
      <c r="H30" s="265"/>
      <c r="I30" s="265"/>
      <c r="J30" s="265"/>
      <c r="K30" s="265"/>
      <c r="L30" s="265"/>
      <c r="M30" s="265"/>
      <c r="N30" s="265"/>
      <c r="O30" s="265"/>
      <c r="P30" s="22">
        <v>4</v>
      </c>
      <c r="Q30" s="253">
        <f>P30*16</f>
        <v>64</v>
      </c>
      <c r="R30" s="253"/>
      <c r="S30" s="22"/>
      <c r="T30" s="151">
        <f t="shared" ref="T30:U35" si="6">SUM(H30,J30,L30,N30,P30,R30)</f>
        <v>4</v>
      </c>
      <c r="U30" s="148">
        <f t="shared" si="6"/>
        <v>64</v>
      </c>
      <c r="W30" s="267" t="s">
        <v>740</v>
      </c>
    </row>
    <row r="31" spans="2:33">
      <c r="B31" s="610"/>
      <c r="C31" s="614"/>
      <c r="D31" s="162" t="s">
        <v>654</v>
      </c>
      <c r="E31" s="162" t="s">
        <v>659</v>
      </c>
      <c r="F31" s="264">
        <v>48</v>
      </c>
      <c r="G31" s="264">
        <v>2</v>
      </c>
      <c r="H31" s="265"/>
      <c r="I31" s="265"/>
      <c r="J31" s="265"/>
      <c r="K31" s="265"/>
      <c r="L31" s="265"/>
      <c r="M31" s="265"/>
      <c r="N31" s="265"/>
      <c r="O31" s="265"/>
      <c r="P31" s="22">
        <v>3</v>
      </c>
      <c r="Q31" s="253">
        <f>P31*16</f>
        <v>48</v>
      </c>
      <c r="R31" s="22"/>
      <c r="S31" s="22"/>
      <c r="T31" s="151">
        <f t="shared" si="6"/>
        <v>3</v>
      </c>
      <c r="U31" s="148">
        <f t="shared" si="6"/>
        <v>48</v>
      </c>
      <c r="W31" s="263" t="s">
        <v>741</v>
      </c>
    </row>
    <row r="32" spans="2:33">
      <c r="B32" s="611"/>
      <c r="C32" s="615"/>
      <c r="D32" s="175" t="s">
        <v>664</v>
      </c>
      <c r="E32" s="162" t="s">
        <v>660</v>
      </c>
      <c r="F32" s="264">
        <v>48</v>
      </c>
      <c r="G32" s="264">
        <v>2</v>
      </c>
      <c r="H32" s="265"/>
      <c r="I32" s="265"/>
      <c r="J32" s="265"/>
      <c r="K32" s="265"/>
      <c r="L32" s="265"/>
      <c r="M32" s="265"/>
      <c r="N32" s="265"/>
      <c r="O32" s="265"/>
      <c r="P32" s="22">
        <v>3</v>
      </c>
      <c r="Q32" s="253">
        <f>P32*16</f>
        <v>48</v>
      </c>
      <c r="R32" s="22"/>
      <c r="S32" s="22"/>
      <c r="T32" s="151">
        <f t="shared" si="6"/>
        <v>3</v>
      </c>
      <c r="U32" s="148">
        <f t="shared" si="6"/>
        <v>48</v>
      </c>
      <c r="W32" s="263" t="s">
        <v>742</v>
      </c>
    </row>
    <row r="33" spans="2:23">
      <c r="B33" s="611"/>
      <c r="C33" s="615"/>
      <c r="D33" s="162" t="s">
        <v>655</v>
      </c>
      <c r="E33" s="162" t="s">
        <v>661</v>
      </c>
      <c r="F33" s="264">
        <v>64</v>
      </c>
      <c r="G33" s="264">
        <v>4</v>
      </c>
      <c r="H33" s="265"/>
      <c r="I33" s="265"/>
      <c r="J33" s="265"/>
      <c r="K33" s="265"/>
      <c r="L33" s="265"/>
      <c r="M33" s="265"/>
      <c r="N33" s="265"/>
      <c r="O33" s="265"/>
      <c r="P33" s="22"/>
      <c r="Q33" s="22"/>
      <c r="R33" s="22">
        <v>4</v>
      </c>
      <c r="S33" s="253">
        <f>R33*16</f>
        <v>64</v>
      </c>
      <c r="T33" s="151">
        <f t="shared" si="6"/>
        <v>4</v>
      </c>
      <c r="U33" s="148">
        <f t="shared" si="6"/>
        <v>64</v>
      </c>
      <c r="W33" s="271" t="s">
        <v>743</v>
      </c>
    </row>
    <row r="34" spans="2:23">
      <c r="B34" s="611"/>
      <c r="C34" s="615"/>
      <c r="D34" s="162" t="s">
        <v>656</v>
      </c>
      <c r="E34" s="162" t="s">
        <v>662</v>
      </c>
      <c r="F34" s="264">
        <v>48</v>
      </c>
      <c r="G34" s="264">
        <v>2</v>
      </c>
      <c r="H34" s="265"/>
      <c r="I34" s="265"/>
      <c r="J34" s="265"/>
      <c r="K34" s="265"/>
      <c r="L34" s="265"/>
      <c r="M34" s="265"/>
      <c r="N34" s="265"/>
      <c r="O34" s="265"/>
      <c r="P34" s="22"/>
      <c r="Q34" s="22"/>
      <c r="R34" s="22">
        <v>3</v>
      </c>
      <c r="S34" s="253">
        <f>R34*16</f>
        <v>48</v>
      </c>
      <c r="T34" s="151">
        <f t="shared" si="6"/>
        <v>3</v>
      </c>
      <c r="U34" s="148">
        <f t="shared" si="6"/>
        <v>48</v>
      </c>
    </row>
    <row r="35" spans="2:23">
      <c r="B35" s="612"/>
      <c r="C35" s="616"/>
      <c r="D35" s="162" t="s">
        <v>657</v>
      </c>
      <c r="E35" s="162" t="s">
        <v>663</v>
      </c>
      <c r="F35" s="268">
        <v>48</v>
      </c>
      <c r="G35" s="264">
        <v>2</v>
      </c>
      <c r="H35" s="265"/>
      <c r="I35" s="265"/>
      <c r="J35" s="265"/>
      <c r="K35" s="265"/>
      <c r="L35" s="265"/>
      <c r="M35" s="265"/>
      <c r="N35" s="265"/>
      <c r="O35" s="265"/>
      <c r="P35" s="22"/>
      <c r="Q35" s="22"/>
      <c r="R35" s="22">
        <v>3</v>
      </c>
      <c r="S35" s="253">
        <f>R35*16</f>
        <v>48</v>
      </c>
      <c r="T35" s="151">
        <f t="shared" si="6"/>
        <v>3</v>
      </c>
      <c r="U35" s="148">
        <f t="shared" si="6"/>
        <v>48</v>
      </c>
    </row>
    <row r="36" spans="2:23" ht="18" thickBot="1">
      <c r="B36" s="613"/>
      <c r="C36" s="617"/>
      <c r="D36" s="609" t="s">
        <v>15</v>
      </c>
      <c r="E36" s="609"/>
      <c r="F36" s="257"/>
      <c r="G36" s="257"/>
      <c r="H36" s="258"/>
      <c r="I36" s="258"/>
      <c r="J36" s="258"/>
      <c r="K36" s="258"/>
      <c r="L36" s="258"/>
      <c r="M36" s="258"/>
      <c r="N36" s="258"/>
      <c r="O36" s="258"/>
      <c r="P36" s="258">
        <f t="shared" ref="P36:U36" si="7">SUM(P30:P35)</f>
        <v>10</v>
      </c>
      <c r="Q36" s="258">
        <f t="shared" si="7"/>
        <v>160</v>
      </c>
      <c r="R36" s="258">
        <f t="shared" si="7"/>
        <v>10</v>
      </c>
      <c r="S36" s="258">
        <f t="shared" si="7"/>
        <v>160</v>
      </c>
      <c r="T36" s="25">
        <f t="shared" si="7"/>
        <v>20</v>
      </c>
      <c r="U36" s="26">
        <f t="shared" si="7"/>
        <v>320</v>
      </c>
      <c r="W36" s="263" t="s">
        <v>748</v>
      </c>
    </row>
    <row r="37" spans="2:23">
      <c r="B37" s="743" t="s">
        <v>634</v>
      </c>
      <c r="C37" s="746">
        <v>14</v>
      </c>
      <c r="D37" s="876" t="s">
        <v>665</v>
      </c>
      <c r="E37" s="877" t="s">
        <v>669</v>
      </c>
      <c r="F37" s="878">
        <v>80</v>
      </c>
      <c r="G37" s="879">
        <v>2</v>
      </c>
      <c r="H37" s="880"/>
      <c r="I37" s="880"/>
      <c r="J37" s="880"/>
      <c r="K37" s="880"/>
      <c r="L37" s="880"/>
      <c r="M37" s="880"/>
      <c r="N37" s="880"/>
      <c r="O37" s="880"/>
      <c r="P37" s="881">
        <v>4</v>
      </c>
      <c r="Q37" s="291">
        <f>P37*16</f>
        <v>64</v>
      </c>
      <c r="R37" s="881"/>
      <c r="S37" s="881"/>
      <c r="T37" s="292">
        <f t="shared" ref="T37:U40" si="8">SUM(H37,J37,L37,N37,P37,R37)</f>
        <v>4</v>
      </c>
      <c r="U37" s="293">
        <f t="shared" si="8"/>
        <v>64</v>
      </c>
    </row>
    <row r="38" spans="2:23">
      <c r="B38" s="743"/>
      <c r="C38" s="746"/>
      <c r="D38" s="882" t="s">
        <v>666</v>
      </c>
      <c r="E38" s="882" t="s">
        <v>670</v>
      </c>
      <c r="F38" s="879">
        <v>80</v>
      </c>
      <c r="G38" s="879">
        <v>2</v>
      </c>
      <c r="H38" s="880"/>
      <c r="I38" s="880"/>
      <c r="J38" s="880"/>
      <c r="K38" s="880"/>
      <c r="L38" s="880"/>
      <c r="M38" s="880"/>
      <c r="N38" s="880"/>
      <c r="O38" s="880"/>
      <c r="P38" s="881">
        <v>3</v>
      </c>
      <c r="Q38" s="291">
        <f>P38*16</f>
        <v>48</v>
      </c>
      <c r="R38" s="881"/>
      <c r="S38" s="881"/>
      <c r="T38" s="292">
        <f t="shared" si="8"/>
        <v>3</v>
      </c>
      <c r="U38" s="293">
        <f t="shared" si="8"/>
        <v>48</v>
      </c>
    </row>
    <row r="39" spans="2:23">
      <c r="B39" s="737"/>
      <c r="C39" s="740"/>
      <c r="D39" s="882" t="s">
        <v>667</v>
      </c>
      <c r="E39" s="882" t="s">
        <v>671</v>
      </c>
      <c r="F39" s="879">
        <v>80</v>
      </c>
      <c r="G39" s="879">
        <v>2</v>
      </c>
      <c r="H39" s="880"/>
      <c r="I39" s="880"/>
      <c r="J39" s="880"/>
      <c r="K39" s="880"/>
      <c r="L39" s="880"/>
      <c r="M39" s="880"/>
      <c r="N39" s="880"/>
      <c r="O39" s="880"/>
      <c r="P39" s="881"/>
      <c r="Q39" s="881"/>
      <c r="R39" s="881">
        <v>4</v>
      </c>
      <c r="S39" s="291">
        <f>R39*16</f>
        <v>64</v>
      </c>
      <c r="T39" s="292">
        <f t="shared" si="8"/>
        <v>4</v>
      </c>
      <c r="U39" s="293">
        <f t="shared" si="8"/>
        <v>64</v>
      </c>
    </row>
    <row r="40" spans="2:23">
      <c r="B40" s="749"/>
      <c r="C40" s="867"/>
      <c r="D40" s="882" t="s">
        <v>668</v>
      </c>
      <c r="E40" s="882" t="s">
        <v>672</v>
      </c>
      <c r="F40" s="878">
        <v>80</v>
      </c>
      <c r="G40" s="879">
        <v>2</v>
      </c>
      <c r="H40" s="880"/>
      <c r="I40" s="880"/>
      <c r="J40" s="880"/>
      <c r="K40" s="880"/>
      <c r="L40" s="880"/>
      <c r="M40" s="880"/>
      <c r="N40" s="880"/>
      <c r="O40" s="880"/>
      <c r="P40" s="881"/>
      <c r="Q40" s="881"/>
      <c r="R40" s="881">
        <v>3</v>
      </c>
      <c r="S40" s="291">
        <f>R40*16</f>
        <v>48</v>
      </c>
      <c r="T40" s="292">
        <f t="shared" si="8"/>
        <v>3</v>
      </c>
      <c r="U40" s="293">
        <f t="shared" si="8"/>
        <v>48</v>
      </c>
    </row>
    <row r="41" spans="2:23" ht="18" thickBot="1">
      <c r="B41" s="744"/>
      <c r="C41" s="747"/>
      <c r="D41" s="609" t="s">
        <v>15</v>
      </c>
      <c r="E41" s="609"/>
      <c r="F41" s="257"/>
      <c r="G41" s="257"/>
      <c r="H41" s="258"/>
      <c r="I41" s="258"/>
      <c r="J41" s="258"/>
      <c r="K41" s="258"/>
      <c r="L41" s="258"/>
      <c r="M41" s="258"/>
      <c r="N41" s="258"/>
      <c r="O41" s="258"/>
      <c r="P41" s="258">
        <f t="shared" ref="P41:U41" si="9">SUM(P37:P40)</f>
        <v>7</v>
      </c>
      <c r="Q41" s="258">
        <f t="shared" si="9"/>
        <v>112</v>
      </c>
      <c r="R41" s="258">
        <f t="shared" si="9"/>
        <v>7</v>
      </c>
      <c r="S41" s="258">
        <f t="shared" si="9"/>
        <v>112</v>
      </c>
      <c r="T41" s="25">
        <f t="shared" si="9"/>
        <v>14</v>
      </c>
      <c r="U41" s="26">
        <f t="shared" si="9"/>
        <v>224</v>
      </c>
    </row>
  </sheetData>
  <mergeCells count="45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37:B41"/>
    <mergeCell ref="C37:C41"/>
    <mergeCell ref="D41:E41"/>
    <mergeCell ref="B9:B12"/>
    <mergeCell ref="C9:C12"/>
    <mergeCell ref="D12:E12"/>
    <mergeCell ref="B18:B22"/>
    <mergeCell ref="C18:C22"/>
    <mergeCell ref="D22:E22"/>
    <mergeCell ref="B13:B17"/>
    <mergeCell ref="C13:C17"/>
    <mergeCell ref="D17:E17"/>
    <mergeCell ref="B23:B29"/>
    <mergeCell ref="C23:C29"/>
    <mergeCell ref="D29:E29"/>
    <mergeCell ref="B30:B36"/>
    <mergeCell ref="C30:C36"/>
    <mergeCell ref="D36:E36"/>
  </mergeCells>
  <phoneticPr fontId="9" type="noConversion"/>
  <pageMargins left="0.70866141732283472" right="0.70866141732283472" top="0.74803149606299213" bottom="0.74803149606299213" header="0.31496062992125984" footer="0.31496062992125984"/>
  <pageSetup paperSize="12" scale="54" orientation="landscape" cellComments="asDisplayed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56C7-EEB2-4429-B079-8B15C8D972A5}">
  <sheetPr>
    <pageSetUpPr fitToPage="1"/>
  </sheetPr>
  <dimension ref="B1:AE87"/>
  <sheetViews>
    <sheetView view="pageBreakPreview" topLeftCell="D1" zoomScale="82" zoomScaleNormal="100" zoomScaleSheetLayoutView="82" workbookViewId="0">
      <pane ySplit="8" topLeftCell="A34" activePane="bottomLeft" state="frozen"/>
      <selection pane="bottomLeft" activeCell="AB45" sqref="AB45"/>
    </sheetView>
  </sheetViews>
  <sheetFormatPr defaultColWidth="8.69921875" defaultRowHeight="17.399999999999999"/>
  <cols>
    <col min="1" max="1" width="2" style="4" customWidth="1"/>
    <col min="2" max="2" width="6.59765625" style="4" customWidth="1"/>
    <col min="3" max="3" width="9.3984375" style="4" customWidth="1"/>
    <col min="4" max="4" width="8.69921875" style="4"/>
    <col min="5" max="5" width="8.5" style="4" customWidth="1"/>
    <col min="6" max="6" width="16.5" style="4" customWidth="1"/>
    <col min="7" max="7" width="6.19921875" style="4" customWidth="1"/>
    <col min="8" max="8" width="5.59765625" style="4" customWidth="1"/>
    <col min="9" max="9" width="7.8984375" style="4" bestFit="1" customWidth="1"/>
    <col min="10" max="10" width="5.59765625" style="4" customWidth="1"/>
    <col min="11" max="22" width="3.8984375" style="4" customWidth="1"/>
    <col min="23" max="24" width="3.3984375" style="4" customWidth="1"/>
    <col min="25" max="26" width="6.3984375" style="4" customWidth="1"/>
    <col min="27" max="27" width="8.69921875" style="4"/>
    <col min="28" max="28" width="16.3984375" style="4" customWidth="1"/>
    <col min="29" max="30" width="12.8984375" style="4" customWidth="1"/>
    <col min="31" max="31" width="13.8984375" style="4" customWidth="1"/>
    <col min="32" max="16384" width="8.69921875" style="4"/>
  </cols>
  <sheetData>
    <row r="1" spans="2:31" ht="18" thickBot="1"/>
    <row r="2" spans="2:31" ht="30.75" customHeight="1" thickBot="1">
      <c r="B2" s="567" t="s">
        <v>728</v>
      </c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7"/>
      <c r="T2" s="567"/>
      <c r="U2" s="568"/>
      <c r="V2" s="569" t="s">
        <v>129</v>
      </c>
      <c r="W2" s="570"/>
      <c r="X2" s="565">
        <v>2027</v>
      </c>
      <c r="Y2" s="566"/>
      <c r="Z2" s="205"/>
      <c r="AB2" s="571" t="s">
        <v>142</v>
      </c>
      <c r="AC2" s="14" t="s">
        <v>143</v>
      </c>
      <c r="AD2" s="28" t="s">
        <v>151</v>
      </c>
      <c r="AE2" s="15" t="s">
        <v>144</v>
      </c>
    </row>
    <row r="3" spans="2:31" ht="18" thickBot="1">
      <c r="B3" s="497" t="s">
        <v>361</v>
      </c>
      <c r="C3" s="499" t="s">
        <v>52</v>
      </c>
      <c r="D3" s="500"/>
      <c r="E3" s="500"/>
      <c r="F3" s="499" t="s">
        <v>63</v>
      </c>
      <c r="G3" s="503"/>
      <c r="H3" s="499" t="s">
        <v>53</v>
      </c>
      <c r="I3" s="500"/>
      <c r="J3" s="500"/>
      <c r="K3" s="499" t="s">
        <v>54</v>
      </c>
      <c r="L3" s="500"/>
      <c r="M3" s="500"/>
      <c r="N3" s="500"/>
      <c r="O3" s="503"/>
      <c r="P3" s="505" t="s">
        <v>55</v>
      </c>
      <c r="Q3" s="506"/>
      <c r="R3" s="506"/>
      <c r="S3" s="506"/>
      <c r="T3" s="506"/>
      <c r="U3" s="506"/>
      <c r="V3" s="506"/>
      <c r="W3" s="506"/>
      <c r="X3" s="506"/>
      <c r="Y3" s="507"/>
      <c r="Z3" s="205"/>
      <c r="AB3" s="572"/>
      <c r="AC3" s="16" t="s">
        <v>145</v>
      </c>
      <c r="AD3" s="39" t="s">
        <v>724</v>
      </c>
      <c r="AE3" s="17" t="s">
        <v>725</v>
      </c>
    </row>
    <row r="4" spans="2:31" ht="18" thickBot="1">
      <c r="B4" s="498"/>
      <c r="C4" s="501"/>
      <c r="D4" s="502"/>
      <c r="E4" s="502"/>
      <c r="F4" s="501"/>
      <c r="G4" s="504"/>
      <c r="H4" s="501"/>
      <c r="I4" s="502"/>
      <c r="J4" s="502"/>
      <c r="K4" s="501"/>
      <c r="L4" s="502"/>
      <c r="M4" s="502"/>
      <c r="N4" s="502"/>
      <c r="O4" s="504"/>
      <c r="P4" s="505" t="s">
        <v>126</v>
      </c>
      <c r="Q4" s="506"/>
      <c r="R4" s="506"/>
      <c r="S4" s="506"/>
      <c r="T4" s="505" t="s">
        <v>60</v>
      </c>
      <c r="U4" s="506"/>
      <c r="V4" s="507"/>
      <c r="W4" s="506" t="s">
        <v>127</v>
      </c>
      <c r="X4" s="506"/>
      <c r="Y4" s="507"/>
      <c r="Z4" s="205"/>
      <c r="AB4" s="572"/>
      <c r="AC4" s="18" t="s">
        <v>146</v>
      </c>
      <c r="AD4" s="231" t="s">
        <v>726</v>
      </c>
      <c r="AE4" s="17" t="s">
        <v>725</v>
      </c>
    </row>
    <row r="5" spans="2:31" ht="26.25" customHeight="1" thickBot="1">
      <c r="B5" s="69" t="s">
        <v>514</v>
      </c>
      <c r="C5" s="485" t="s">
        <v>516</v>
      </c>
      <c r="D5" s="486"/>
      <c r="E5" s="487"/>
      <c r="F5" s="485" t="s">
        <v>70</v>
      </c>
      <c r="G5" s="488"/>
      <c r="H5" s="508" t="s">
        <v>107</v>
      </c>
      <c r="I5" s="486"/>
      <c r="J5" s="487"/>
      <c r="K5" s="485"/>
      <c r="L5" s="486"/>
      <c r="M5" s="486"/>
      <c r="N5" s="486"/>
      <c r="O5" s="488"/>
      <c r="P5" s="508" t="s">
        <v>107</v>
      </c>
      <c r="Q5" s="486"/>
      <c r="R5" s="486"/>
      <c r="S5" s="487"/>
      <c r="T5" s="485" t="s">
        <v>679</v>
      </c>
      <c r="U5" s="486"/>
      <c r="V5" s="487"/>
      <c r="W5" s="536" t="s">
        <v>680</v>
      </c>
      <c r="X5" s="537"/>
      <c r="Y5" s="538"/>
      <c r="Z5" s="220"/>
      <c r="AB5" s="573"/>
      <c r="AC5" s="19" t="s">
        <v>147</v>
      </c>
      <c r="AD5" s="232" t="s">
        <v>727</v>
      </c>
      <c r="AE5" s="181" t="s">
        <v>727</v>
      </c>
    </row>
    <row r="6" spans="2:31" ht="15.75" customHeight="1" thickBot="1">
      <c r="U6" s="519"/>
      <c r="V6" s="519"/>
      <c r="W6" s="519"/>
      <c r="X6" s="519"/>
      <c r="Y6" s="519"/>
      <c r="Z6" s="224"/>
    </row>
    <row r="7" spans="2:31" s="10" customFormat="1" ht="22.5" customHeight="1">
      <c r="B7" s="520" t="s">
        <v>2</v>
      </c>
      <c r="C7" s="521"/>
      <c r="D7" s="524" t="s">
        <v>119</v>
      </c>
      <c r="E7" s="526" t="s">
        <v>56</v>
      </c>
      <c r="F7" s="527"/>
      <c r="G7" s="493"/>
      <c r="H7" s="489" t="s">
        <v>132</v>
      </c>
      <c r="I7" s="511" t="s">
        <v>133</v>
      </c>
      <c r="J7" s="490" t="s">
        <v>134</v>
      </c>
      <c r="K7" s="531" t="s">
        <v>57</v>
      </c>
      <c r="L7" s="511"/>
      <c r="M7" s="511"/>
      <c r="N7" s="532"/>
      <c r="O7" s="533" t="s">
        <v>58</v>
      </c>
      <c r="P7" s="511"/>
      <c r="Q7" s="511"/>
      <c r="R7" s="532"/>
      <c r="S7" s="531" t="s">
        <v>59</v>
      </c>
      <c r="T7" s="511"/>
      <c r="U7" s="511"/>
      <c r="V7" s="534"/>
      <c r="W7" s="489" t="s">
        <v>135</v>
      </c>
      <c r="X7" s="490"/>
      <c r="Y7" s="527" t="s">
        <v>136</v>
      </c>
      <c r="Z7" s="524" t="s">
        <v>723</v>
      </c>
      <c r="AA7" s="9"/>
    </row>
    <row r="8" spans="2:31" s="10" customFormat="1" ht="22.5" customHeight="1" thickBot="1">
      <c r="B8" s="522"/>
      <c r="C8" s="523"/>
      <c r="D8" s="525"/>
      <c r="E8" s="20" t="s">
        <v>17</v>
      </c>
      <c r="F8" s="495" t="s">
        <v>18</v>
      </c>
      <c r="G8" s="496"/>
      <c r="H8" s="491"/>
      <c r="I8" s="510"/>
      <c r="J8" s="492"/>
      <c r="K8" s="509" t="s">
        <v>0</v>
      </c>
      <c r="L8" s="510"/>
      <c r="M8" s="510" t="s">
        <v>61</v>
      </c>
      <c r="N8" s="512"/>
      <c r="O8" s="513" t="s">
        <v>0</v>
      </c>
      <c r="P8" s="510"/>
      <c r="Q8" s="510" t="s">
        <v>61</v>
      </c>
      <c r="R8" s="512"/>
      <c r="S8" s="509" t="s">
        <v>0</v>
      </c>
      <c r="T8" s="510"/>
      <c r="U8" s="510" t="s">
        <v>61</v>
      </c>
      <c r="V8" s="535"/>
      <c r="W8" s="491"/>
      <c r="X8" s="492"/>
      <c r="Y8" s="671"/>
      <c r="Z8" s="670"/>
      <c r="AB8" s="371" t="s">
        <v>500</v>
      </c>
      <c r="AC8" s="371"/>
      <c r="AD8" s="371"/>
      <c r="AE8" s="371"/>
    </row>
    <row r="9" spans="2:31" ht="16.5" customHeight="1" thickBot="1">
      <c r="B9" s="514" t="s">
        <v>337</v>
      </c>
      <c r="C9" s="515"/>
      <c r="D9" s="477" t="s">
        <v>20</v>
      </c>
      <c r="E9" s="40" t="s">
        <v>11</v>
      </c>
      <c r="F9" s="470" t="s">
        <v>201</v>
      </c>
      <c r="G9" s="320"/>
      <c r="H9" s="41">
        <v>4</v>
      </c>
      <c r="I9" s="42" t="s">
        <v>338</v>
      </c>
      <c r="J9" s="43">
        <v>3</v>
      </c>
      <c r="K9" s="470">
        <v>3</v>
      </c>
      <c r="L9" s="518"/>
      <c r="M9" s="547"/>
      <c r="N9" s="548"/>
      <c r="O9" s="546"/>
      <c r="P9" s="518"/>
      <c r="Q9" s="547"/>
      <c r="R9" s="548"/>
      <c r="S9" s="546"/>
      <c r="T9" s="518"/>
      <c r="U9" s="547"/>
      <c r="V9" s="471"/>
      <c r="W9" s="44">
        <f>SUM(K9:V9)</f>
        <v>3</v>
      </c>
      <c r="X9" s="596">
        <f>SUM(W9:W11)</f>
        <v>9</v>
      </c>
      <c r="Y9" s="480">
        <v>24</v>
      </c>
      <c r="Z9" s="221"/>
      <c r="AB9" s="130" t="s">
        <v>17</v>
      </c>
      <c r="AC9" s="131" t="s">
        <v>507</v>
      </c>
      <c r="AD9" s="131" t="s">
        <v>508</v>
      </c>
      <c r="AE9" s="132" t="s">
        <v>509</v>
      </c>
    </row>
    <row r="10" spans="2:31" ht="18" thickBot="1">
      <c r="B10" s="516"/>
      <c r="C10" s="517"/>
      <c r="D10" s="478"/>
      <c r="E10" s="45" t="s">
        <v>11</v>
      </c>
      <c r="F10" s="481" t="s">
        <v>202</v>
      </c>
      <c r="G10" s="460"/>
      <c r="H10" s="46">
        <v>4</v>
      </c>
      <c r="I10" s="47" t="s">
        <v>338</v>
      </c>
      <c r="J10" s="48">
        <v>3</v>
      </c>
      <c r="K10" s="481"/>
      <c r="L10" s="528"/>
      <c r="M10" s="529">
        <v>3</v>
      </c>
      <c r="N10" s="530"/>
      <c r="O10" s="560"/>
      <c r="P10" s="528"/>
      <c r="Q10" s="529"/>
      <c r="R10" s="530"/>
      <c r="S10" s="560"/>
      <c r="T10" s="528"/>
      <c r="U10" s="529"/>
      <c r="V10" s="482"/>
      <c r="W10" s="49">
        <f t="shared" ref="W10:W24" si="0">SUM(K10:V10)</f>
        <v>3</v>
      </c>
      <c r="X10" s="598"/>
      <c r="Y10" s="480"/>
      <c r="Z10" s="211"/>
      <c r="AB10" s="133" t="s">
        <v>502</v>
      </c>
      <c r="AC10" s="134">
        <v>4</v>
      </c>
      <c r="AD10" s="134">
        <v>-1</v>
      </c>
      <c r="AE10" s="17" t="s">
        <v>338</v>
      </c>
    </row>
    <row r="11" spans="2:31" ht="18" thickBot="1">
      <c r="B11" s="516"/>
      <c r="C11" s="517"/>
      <c r="D11" s="479"/>
      <c r="E11" s="50" t="s">
        <v>339</v>
      </c>
      <c r="F11" s="542" t="s">
        <v>205</v>
      </c>
      <c r="G11" s="331"/>
      <c r="H11" s="51">
        <v>4</v>
      </c>
      <c r="I11" s="52" t="s">
        <v>340</v>
      </c>
      <c r="J11" s="53">
        <v>3</v>
      </c>
      <c r="K11" s="542"/>
      <c r="L11" s="555"/>
      <c r="M11" s="552"/>
      <c r="N11" s="553"/>
      <c r="O11" s="556"/>
      <c r="P11" s="555"/>
      <c r="Q11" s="552">
        <v>3</v>
      </c>
      <c r="R11" s="553"/>
      <c r="S11" s="556"/>
      <c r="T11" s="555"/>
      <c r="U11" s="552"/>
      <c r="V11" s="543"/>
      <c r="W11" s="49">
        <f t="shared" si="0"/>
        <v>3</v>
      </c>
      <c r="X11" s="598"/>
      <c r="Y11" s="480"/>
      <c r="Z11" s="222"/>
      <c r="AB11" s="133" t="s">
        <v>503</v>
      </c>
      <c r="AC11" s="134">
        <v>3</v>
      </c>
      <c r="AD11" s="134"/>
      <c r="AE11" s="17">
        <v>3</v>
      </c>
    </row>
    <row r="12" spans="2:31" ht="18" thickBot="1">
      <c r="B12" s="516"/>
      <c r="C12" s="517"/>
      <c r="D12" s="477" t="s">
        <v>4</v>
      </c>
      <c r="E12" s="40" t="s">
        <v>11</v>
      </c>
      <c r="F12" s="470" t="s">
        <v>213</v>
      </c>
      <c r="G12" s="471"/>
      <c r="H12" s="41">
        <v>4</v>
      </c>
      <c r="I12" s="42" t="s">
        <v>338</v>
      </c>
      <c r="J12" s="43">
        <v>3</v>
      </c>
      <c r="K12" s="470">
        <v>3</v>
      </c>
      <c r="L12" s="518"/>
      <c r="M12" s="547"/>
      <c r="N12" s="548"/>
      <c r="O12" s="546"/>
      <c r="P12" s="518"/>
      <c r="Q12" s="547"/>
      <c r="R12" s="548"/>
      <c r="S12" s="549"/>
      <c r="T12" s="550"/>
      <c r="U12" s="603"/>
      <c r="V12" s="604"/>
      <c r="W12" s="44">
        <f t="shared" si="0"/>
        <v>3</v>
      </c>
      <c r="X12" s="596">
        <f t="shared" ref="X12" si="1">SUM(W12:W14)</f>
        <v>9</v>
      </c>
      <c r="Y12" s="480"/>
      <c r="Z12" s="212"/>
      <c r="AB12" s="133" t="s">
        <v>504</v>
      </c>
      <c r="AC12" s="134">
        <v>4</v>
      </c>
      <c r="AD12" s="134" t="s">
        <v>513</v>
      </c>
      <c r="AE12" s="17" t="s">
        <v>340</v>
      </c>
    </row>
    <row r="13" spans="2:31" ht="18" thickBot="1">
      <c r="B13" s="516"/>
      <c r="C13" s="517"/>
      <c r="D13" s="478"/>
      <c r="E13" s="45" t="s">
        <v>11</v>
      </c>
      <c r="F13" s="481" t="s">
        <v>215</v>
      </c>
      <c r="G13" s="482"/>
      <c r="H13" s="46">
        <v>4</v>
      </c>
      <c r="I13" s="47" t="s">
        <v>338</v>
      </c>
      <c r="J13" s="48">
        <v>3</v>
      </c>
      <c r="K13" s="481"/>
      <c r="L13" s="528"/>
      <c r="M13" s="529">
        <v>3</v>
      </c>
      <c r="N13" s="530"/>
      <c r="O13" s="560"/>
      <c r="P13" s="528"/>
      <c r="Q13" s="529"/>
      <c r="R13" s="530"/>
      <c r="S13" s="576"/>
      <c r="T13" s="577"/>
      <c r="U13" s="574"/>
      <c r="V13" s="582"/>
      <c r="W13" s="49">
        <f t="shared" si="0"/>
        <v>3</v>
      </c>
      <c r="X13" s="598"/>
      <c r="Y13" s="480"/>
      <c r="Z13" s="189"/>
      <c r="AB13" s="133" t="s">
        <v>505</v>
      </c>
      <c r="AC13" s="134">
        <v>3</v>
      </c>
      <c r="AD13" s="134" t="s">
        <v>513</v>
      </c>
      <c r="AE13" s="17" t="s">
        <v>351</v>
      </c>
    </row>
    <row r="14" spans="2:31" ht="18" thickBot="1">
      <c r="B14" s="516"/>
      <c r="C14" s="517"/>
      <c r="D14" s="479"/>
      <c r="E14" s="50" t="s">
        <v>339</v>
      </c>
      <c r="F14" s="542" t="s">
        <v>341</v>
      </c>
      <c r="G14" s="543"/>
      <c r="H14" s="51">
        <v>4</v>
      </c>
      <c r="I14" s="52" t="s">
        <v>340</v>
      </c>
      <c r="J14" s="53">
        <v>3</v>
      </c>
      <c r="K14" s="542"/>
      <c r="L14" s="555"/>
      <c r="M14" s="552"/>
      <c r="N14" s="553"/>
      <c r="O14" s="556">
        <v>3</v>
      </c>
      <c r="P14" s="555"/>
      <c r="Q14" s="552"/>
      <c r="R14" s="553"/>
      <c r="S14" s="599"/>
      <c r="T14" s="600"/>
      <c r="U14" s="601"/>
      <c r="V14" s="602"/>
      <c r="W14" s="49">
        <f t="shared" si="0"/>
        <v>3</v>
      </c>
      <c r="X14" s="598"/>
      <c r="Y14" s="480"/>
      <c r="Z14" s="189"/>
      <c r="AB14" s="135" t="s">
        <v>506</v>
      </c>
      <c r="AC14" s="369" t="s">
        <v>515</v>
      </c>
      <c r="AD14" s="369"/>
      <c r="AE14" s="370"/>
    </row>
    <row r="15" spans="2:31" ht="18" thickBot="1">
      <c r="B15" s="516"/>
      <c r="C15" s="517"/>
      <c r="D15" s="477" t="s">
        <v>5</v>
      </c>
      <c r="E15" s="40" t="s">
        <v>11</v>
      </c>
      <c r="F15" s="470" t="s">
        <v>220</v>
      </c>
      <c r="G15" s="471"/>
      <c r="H15" s="41">
        <v>4</v>
      </c>
      <c r="I15" s="42" t="s">
        <v>338</v>
      </c>
      <c r="J15" s="43">
        <v>3</v>
      </c>
      <c r="K15" s="470">
        <v>3</v>
      </c>
      <c r="L15" s="518"/>
      <c r="M15" s="547"/>
      <c r="N15" s="548"/>
      <c r="O15" s="546"/>
      <c r="P15" s="518"/>
      <c r="Q15" s="547"/>
      <c r="R15" s="548"/>
      <c r="S15" s="546"/>
      <c r="T15" s="518"/>
      <c r="U15" s="547"/>
      <c r="V15" s="471"/>
      <c r="W15" s="44">
        <f t="shared" si="0"/>
        <v>3</v>
      </c>
      <c r="X15" s="596">
        <f t="shared" ref="X15" si="2">SUM(W15:W17)</f>
        <v>9</v>
      </c>
      <c r="Y15" s="480"/>
      <c r="Z15" s="189"/>
    </row>
    <row r="16" spans="2:31" ht="18" thickBot="1">
      <c r="B16" s="516"/>
      <c r="C16" s="517"/>
      <c r="D16" s="478"/>
      <c r="E16" s="45" t="s">
        <v>11</v>
      </c>
      <c r="F16" s="481" t="s">
        <v>226</v>
      </c>
      <c r="G16" s="482"/>
      <c r="H16" s="46">
        <v>4</v>
      </c>
      <c r="I16" s="47" t="s">
        <v>338</v>
      </c>
      <c r="J16" s="48">
        <v>3</v>
      </c>
      <c r="K16" s="481"/>
      <c r="L16" s="528"/>
      <c r="M16" s="529">
        <v>3</v>
      </c>
      <c r="N16" s="530"/>
      <c r="O16" s="560"/>
      <c r="P16" s="528"/>
      <c r="Q16" s="529"/>
      <c r="R16" s="530"/>
      <c r="S16" s="560"/>
      <c r="T16" s="528"/>
      <c r="U16" s="529"/>
      <c r="V16" s="482"/>
      <c r="W16" s="49">
        <f t="shared" si="0"/>
        <v>3</v>
      </c>
      <c r="X16" s="598"/>
      <c r="Y16" s="480"/>
      <c r="Z16" s="189"/>
    </row>
    <row r="17" spans="2:30" ht="18" thickBot="1">
      <c r="B17" s="516"/>
      <c r="C17" s="517"/>
      <c r="D17" s="479"/>
      <c r="E17" s="54" t="s">
        <v>339</v>
      </c>
      <c r="F17" s="542" t="s">
        <v>343</v>
      </c>
      <c r="G17" s="543"/>
      <c r="H17" s="51">
        <v>4</v>
      </c>
      <c r="I17" s="52" t="s">
        <v>340</v>
      </c>
      <c r="J17" s="53">
        <v>3</v>
      </c>
      <c r="K17" s="542"/>
      <c r="L17" s="555"/>
      <c r="M17" s="552"/>
      <c r="N17" s="553"/>
      <c r="O17" s="556">
        <v>3</v>
      </c>
      <c r="P17" s="555"/>
      <c r="Q17" s="552"/>
      <c r="R17" s="553"/>
      <c r="S17" s="556"/>
      <c r="T17" s="555"/>
      <c r="U17" s="552"/>
      <c r="V17" s="543"/>
      <c r="W17" s="49">
        <f t="shared" si="0"/>
        <v>3</v>
      </c>
      <c r="X17" s="598"/>
      <c r="Y17" s="480"/>
      <c r="Z17" s="189"/>
    </row>
    <row r="18" spans="2:30" ht="18" thickBot="1">
      <c r="B18" s="516"/>
      <c r="C18" s="517"/>
      <c r="D18" s="477" t="s">
        <v>344</v>
      </c>
      <c r="E18" s="40" t="s">
        <v>11</v>
      </c>
      <c r="F18" s="470" t="s">
        <v>234</v>
      </c>
      <c r="G18" s="471"/>
      <c r="H18" s="41">
        <v>3</v>
      </c>
      <c r="I18" s="55">
        <v>3</v>
      </c>
      <c r="J18" s="43">
        <v>3</v>
      </c>
      <c r="K18" s="561">
        <v>3</v>
      </c>
      <c r="L18" s="562"/>
      <c r="M18" s="583"/>
      <c r="N18" s="584"/>
      <c r="O18" s="585"/>
      <c r="P18" s="562"/>
      <c r="Q18" s="583"/>
      <c r="R18" s="584"/>
      <c r="S18" s="585"/>
      <c r="T18" s="562"/>
      <c r="U18" s="583"/>
      <c r="V18" s="586"/>
      <c r="W18" s="44">
        <f t="shared" si="0"/>
        <v>3</v>
      </c>
      <c r="X18" s="596">
        <f>SUM(W18:W19)</f>
        <v>6</v>
      </c>
      <c r="Y18" s="480">
        <v>6</v>
      </c>
      <c r="Z18" s="189"/>
    </row>
    <row r="19" spans="2:30" ht="18" thickBot="1">
      <c r="B19" s="516"/>
      <c r="C19" s="517"/>
      <c r="D19" s="478"/>
      <c r="E19" s="56" t="s">
        <v>11</v>
      </c>
      <c r="F19" s="563" t="s">
        <v>235</v>
      </c>
      <c r="G19" s="564"/>
      <c r="H19" s="57">
        <v>3</v>
      </c>
      <c r="I19" s="58">
        <v>3</v>
      </c>
      <c r="J19" s="158">
        <v>3</v>
      </c>
      <c r="K19" s="542"/>
      <c r="L19" s="555"/>
      <c r="M19" s="552">
        <v>3</v>
      </c>
      <c r="N19" s="553"/>
      <c r="O19" s="556"/>
      <c r="P19" s="555"/>
      <c r="Q19" s="552"/>
      <c r="R19" s="553"/>
      <c r="S19" s="556"/>
      <c r="T19" s="555"/>
      <c r="U19" s="552"/>
      <c r="V19" s="543"/>
      <c r="W19" s="60">
        <f t="shared" si="0"/>
        <v>3</v>
      </c>
      <c r="X19" s="597"/>
      <c r="Y19" s="480"/>
      <c r="Z19" s="189"/>
      <c r="AB19" s="377"/>
      <c r="AC19" s="377"/>
      <c r="AD19" s="156"/>
    </row>
    <row r="20" spans="2:30" ht="18" thickBot="1">
      <c r="B20" s="516"/>
      <c r="C20" s="517"/>
      <c r="D20" s="478"/>
      <c r="E20" s="40" t="s">
        <v>11</v>
      </c>
      <c r="F20" s="470" t="s">
        <v>237</v>
      </c>
      <c r="G20" s="471"/>
      <c r="H20" s="41">
        <v>4</v>
      </c>
      <c r="I20" s="55" t="s">
        <v>338</v>
      </c>
      <c r="J20" s="43">
        <v>3</v>
      </c>
      <c r="K20" s="470"/>
      <c r="L20" s="518"/>
      <c r="M20" s="547"/>
      <c r="N20" s="548"/>
      <c r="O20" s="546">
        <v>3</v>
      </c>
      <c r="P20" s="518"/>
      <c r="Q20" s="547"/>
      <c r="R20" s="548"/>
      <c r="S20" s="546"/>
      <c r="T20" s="518"/>
      <c r="U20" s="547"/>
      <c r="V20" s="471"/>
      <c r="W20" s="44">
        <f t="shared" si="0"/>
        <v>3</v>
      </c>
      <c r="X20" s="596">
        <f>SUM(W20:W21)</f>
        <v>6</v>
      </c>
      <c r="Y20" s="480">
        <v>12</v>
      </c>
      <c r="Z20" s="189"/>
    </row>
    <row r="21" spans="2:30" ht="18" thickBot="1">
      <c r="B21" s="516"/>
      <c r="C21" s="517"/>
      <c r="D21" s="479"/>
      <c r="E21" s="54" t="s">
        <v>11</v>
      </c>
      <c r="F21" s="542" t="s">
        <v>238</v>
      </c>
      <c r="G21" s="543"/>
      <c r="H21" s="51">
        <v>4</v>
      </c>
      <c r="I21" s="52" t="s">
        <v>338</v>
      </c>
      <c r="J21" s="53">
        <v>3</v>
      </c>
      <c r="K21" s="542"/>
      <c r="L21" s="555"/>
      <c r="M21" s="552"/>
      <c r="N21" s="553"/>
      <c r="O21" s="556"/>
      <c r="P21" s="555"/>
      <c r="Q21" s="552">
        <v>3</v>
      </c>
      <c r="R21" s="553"/>
      <c r="S21" s="556"/>
      <c r="T21" s="555"/>
      <c r="U21" s="552"/>
      <c r="V21" s="543"/>
      <c r="W21" s="60">
        <f t="shared" si="0"/>
        <v>3</v>
      </c>
      <c r="X21" s="597"/>
      <c r="Y21" s="480"/>
      <c r="Z21" s="189"/>
    </row>
    <row r="22" spans="2:30" ht="18" thickBot="1">
      <c r="B22" s="516"/>
      <c r="C22" s="517"/>
      <c r="D22" s="477" t="s">
        <v>25</v>
      </c>
      <c r="E22" s="40" t="s">
        <v>11</v>
      </c>
      <c r="F22" s="363" t="s">
        <v>255</v>
      </c>
      <c r="G22" s="320"/>
      <c r="H22" s="41">
        <v>4</v>
      </c>
      <c r="I22" s="55" t="s">
        <v>338</v>
      </c>
      <c r="J22" s="43">
        <v>3</v>
      </c>
      <c r="K22" s="470">
        <v>3</v>
      </c>
      <c r="L22" s="518"/>
      <c r="M22" s="547"/>
      <c r="N22" s="548"/>
      <c r="O22" s="546"/>
      <c r="P22" s="518"/>
      <c r="Q22" s="547"/>
      <c r="R22" s="548"/>
      <c r="S22" s="549"/>
      <c r="T22" s="550"/>
      <c r="U22" s="603"/>
      <c r="V22" s="604"/>
      <c r="W22" s="44">
        <f t="shared" si="0"/>
        <v>3</v>
      </c>
      <c r="X22" s="515">
        <f>SUM(W22:W24)</f>
        <v>9</v>
      </c>
      <c r="Y22" s="480"/>
      <c r="Z22" s="189"/>
    </row>
    <row r="23" spans="2:30" ht="18" thickBot="1">
      <c r="B23" s="516"/>
      <c r="C23" s="517"/>
      <c r="D23" s="478"/>
      <c r="E23" s="45" t="s">
        <v>11</v>
      </c>
      <c r="F23" s="449" t="s">
        <v>256</v>
      </c>
      <c r="G23" s="460"/>
      <c r="H23" s="46">
        <v>4</v>
      </c>
      <c r="I23" s="47" t="s">
        <v>338</v>
      </c>
      <c r="J23" s="48">
        <v>3</v>
      </c>
      <c r="K23" s="481"/>
      <c r="L23" s="528"/>
      <c r="M23" s="529">
        <v>3</v>
      </c>
      <c r="N23" s="530"/>
      <c r="O23" s="560"/>
      <c r="P23" s="528"/>
      <c r="Q23" s="529"/>
      <c r="R23" s="530"/>
      <c r="S23" s="576"/>
      <c r="T23" s="577"/>
      <c r="U23" s="574"/>
      <c r="V23" s="582"/>
      <c r="W23" s="49">
        <f t="shared" si="0"/>
        <v>3</v>
      </c>
      <c r="X23" s="517"/>
      <c r="Y23" s="480"/>
      <c r="Z23" s="189"/>
    </row>
    <row r="24" spans="2:30" ht="18" thickBot="1">
      <c r="B24" s="516"/>
      <c r="C24" s="517"/>
      <c r="D24" s="479"/>
      <c r="E24" s="54" t="s">
        <v>348</v>
      </c>
      <c r="F24" s="542" t="s">
        <v>259</v>
      </c>
      <c r="G24" s="557"/>
      <c r="H24" s="51">
        <v>4</v>
      </c>
      <c r="I24" s="52" t="s">
        <v>340</v>
      </c>
      <c r="J24" s="53">
        <v>3</v>
      </c>
      <c r="K24" s="542"/>
      <c r="L24" s="555"/>
      <c r="M24" s="552"/>
      <c r="N24" s="553"/>
      <c r="O24" s="556"/>
      <c r="P24" s="555"/>
      <c r="Q24" s="552">
        <v>3</v>
      </c>
      <c r="R24" s="553"/>
      <c r="S24" s="599"/>
      <c r="T24" s="600"/>
      <c r="U24" s="601"/>
      <c r="V24" s="602"/>
      <c r="W24" s="60">
        <f t="shared" si="0"/>
        <v>3</v>
      </c>
      <c r="X24" s="551"/>
      <c r="Y24" s="480"/>
      <c r="Z24" s="189"/>
      <c r="AB24" s="263" t="s">
        <v>747</v>
      </c>
    </row>
    <row r="25" spans="2:30" ht="16.5" customHeight="1" thickBot="1">
      <c r="B25" s="516"/>
      <c r="C25" s="517"/>
      <c r="D25" s="477" t="s">
        <v>7</v>
      </c>
      <c r="E25" s="40" t="s">
        <v>349</v>
      </c>
      <c r="F25" s="470" t="s">
        <v>350</v>
      </c>
      <c r="G25" s="471"/>
      <c r="H25" s="41">
        <v>3</v>
      </c>
      <c r="I25" s="55" t="s">
        <v>351</v>
      </c>
      <c r="J25" s="43">
        <f t="shared" ref="J25:J26" si="3">SUM(K25:V25)</f>
        <v>2</v>
      </c>
      <c r="K25" s="425">
        <v>2</v>
      </c>
      <c r="L25" s="426"/>
      <c r="M25" s="423"/>
      <c r="N25" s="428"/>
      <c r="O25" s="427"/>
      <c r="P25" s="426"/>
      <c r="Q25" s="423"/>
      <c r="R25" s="428"/>
      <c r="S25" s="427"/>
      <c r="T25" s="426"/>
      <c r="U25" s="423"/>
      <c r="V25" s="424"/>
      <c r="W25" s="44">
        <f>SUM(K25:V25)</f>
        <v>2</v>
      </c>
      <c r="X25" s="539">
        <f>SUM(W25:W29)</f>
        <v>10</v>
      </c>
      <c r="Y25" s="480">
        <v>8</v>
      </c>
      <c r="Z25" s="189"/>
      <c r="AB25" s="263" t="s">
        <v>732</v>
      </c>
    </row>
    <row r="26" spans="2:30" ht="18" thickBot="1">
      <c r="B26" s="516"/>
      <c r="C26" s="517"/>
      <c r="D26" s="478"/>
      <c r="E26" s="45" t="s">
        <v>349</v>
      </c>
      <c r="F26" s="481" t="s">
        <v>352</v>
      </c>
      <c r="G26" s="482"/>
      <c r="H26" s="46">
        <v>3</v>
      </c>
      <c r="I26" s="47" t="s">
        <v>351</v>
      </c>
      <c r="J26" s="48">
        <f t="shared" si="3"/>
        <v>2</v>
      </c>
      <c r="K26" s="421"/>
      <c r="L26" s="388"/>
      <c r="M26" s="389">
        <v>2</v>
      </c>
      <c r="N26" s="422"/>
      <c r="O26" s="387"/>
      <c r="P26" s="388"/>
      <c r="Q26" s="389"/>
      <c r="R26" s="422"/>
      <c r="S26" s="387"/>
      <c r="T26" s="388"/>
      <c r="U26" s="389"/>
      <c r="V26" s="390"/>
      <c r="W26" s="49">
        <f t="shared" ref="W26:W29" si="4">SUM(K26:V26)</f>
        <v>2</v>
      </c>
      <c r="X26" s="540"/>
      <c r="Y26" s="480"/>
      <c r="Z26" s="189"/>
      <c r="AB26" s="263" t="s">
        <v>733</v>
      </c>
    </row>
    <row r="27" spans="2:30" ht="18" thickBot="1">
      <c r="B27" s="516"/>
      <c r="C27" s="517"/>
      <c r="D27" s="478"/>
      <c r="E27" s="45" t="s">
        <v>348</v>
      </c>
      <c r="F27" s="481" t="s">
        <v>730</v>
      </c>
      <c r="G27" s="482"/>
      <c r="H27" s="46">
        <v>3</v>
      </c>
      <c r="I27" s="47" t="s">
        <v>351</v>
      </c>
      <c r="J27" s="48">
        <v>2</v>
      </c>
      <c r="K27" s="421"/>
      <c r="L27" s="388"/>
      <c r="M27" s="389"/>
      <c r="N27" s="422"/>
      <c r="O27" s="387">
        <v>2</v>
      </c>
      <c r="P27" s="388"/>
      <c r="Q27" s="389"/>
      <c r="R27" s="422"/>
      <c r="S27" s="387"/>
      <c r="T27" s="388"/>
      <c r="U27" s="389"/>
      <c r="V27" s="390"/>
      <c r="W27" s="49">
        <f t="shared" si="4"/>
        <v>2</v>
      </c>
      <c r="X27" s="540"/>
      <c r="Y27" s="480"/>
      <c r="Z27" s="189"/>
      <c r="AB27" s="263" t="s">
        <v>734</v>
      </c>
    </row>
    <row r="28" spans="2:30" ht="18" thickBot="1">
      <c r="B28" s="516"/>
      <c r="C28" s="517"/>
      <c r="D28" s="478"/>
      <c r="E28" s="45" t="s">
        <v>348</v>
      </c>
      <c r="F28" s="481" t="s">
        <v>520</v>
      </c>
      <c r="G28" s="482"/>
      <c r="H28" s="46">
        <v>3</v>
      </c>
      <c r="I28" s="47" t="s">
        <v>351</v>
      </c>
      <c r="J28" s="48">
        <v>2</v>
      </c>
      <c r="K28" s="421"/>
      <c r="L28" s="388"/>
      <c r="M28" s="389"/>
      <c r="N28" s="422"/>
      <c r="O28" s="387"/>
      <c r="P28" s="388"/>
      <c r="Q28" s="389">
        <v>2</v>
      </c>
      <c r="R28" s="422"/>
      <c r="S28" s="387"/>
      <c r="T28" s="388"/>
      <c r="U28" s="389"/>
      <c r="V28" s="390"/>
      <c r="W28" s="49">
        <f t="shared" si="4"/>
        <v>2</v>
      </c>
      <c r="X28" s="540"/>
      <c r="Y28" s="480"/>
      <c r="Z28" s="189"/>
      <c r="AB28" s="263" t="s">
        <v>735</v>
      </c>
    </row>
    <row r="29" spans="2:30" ht="18" thickBot="1">
      <c r="B29" s="516"/>
      <c r="C29" s="517"/>
      <c r="D29" s="479"/>
      <c r="E29" s="54" t="s">
        <v>339</v>
      </c>
      <c r="F29" s="542" t="s">
        <v>353</v>
      </c>
      <c r="G29" s="543"/>
      <c r="H29" s="51">
        <v>3</v>
      </c>
      <c r="I29" s="52" t="s">
        <v>351</v>
      </c>
      <c r="J29" s="53">
        <v>2</v>
      </c>
      <c r="K29" s="544"/>
      <c r="L29" s="545"/>
      <c r="M29" s="483"/>
      <c r="N29" s="606"/>
      <c r="O29" s="607"/>
      <c r="P29" s="545"/>
      <c r="Q29" s="483"/>
      <c r="R29" s="606"/>
      <c r="S29" s="607">
        <v>2</v>
      </c>
      <c r="T29" s="545"/>
      <c r="U29" s="483"/>
      <c r="V29" s="484"/>
      <c r="W29" s="60">
        <f t="shared" si="4"/>
        <v>2</v>
      </c>
      <c r="X29" s="541"/>
      <c r="Y29" s="480"/>
      <c r="Z29" s="189"/>
      <c r="AB29" s="263" t="s">
        <v>736</v>
      </c>
    </row>
    <row r="30" spans="2:30" ht="18" thickBot="1">
      <c r="B30" s="516"/>
      <c r="C30" s="517"/>
      <c r="D30" s="477" t="s">
        <v>27</v>
      </c>
      <c r="E30" s="40" t="s">
        <v>349</v>
      </c>
      <c r="F30" s="470" t="s">
        <v>8</v>
      </c>
      <c r="G30" s="471"/>
      <c r="H30" s="41">
        <v>3</v>
      </c>
      <c r="I30" s="55" t="s">
        <v>351</v>
      </c>
      <c r="J30" s="43">
        <v>2</v>
      </c>
      <c r="K30" s="470">
        <v>2</v>
      </c>
      <c r="L30" s="518"/>
      <c r="M30" s="547"/>
      <c r="N30" s="548"/>
      <c r="O30" s="546"/>
      <c r="P30" s="518"/>
      <c r="Q30" s="547"/>
      <c r="R30" s="548"/>
      <c r="S30" s="546"/>
      <c r="T30" s="518"/>
      <c r="U30" s="850"/>
      <c r="V30" s="851"/>
      <c r="W30" s="44">
        <f t="shared" ref="W30:W38" si="5">SUM(K30:V30)</f>
        <v>2</v>
      </c>
      <c r="X30" s="322">
        <f>SUM(W30:W32)</f>
        <v>6</v>
      </c>
      <c r="Y30" s="480">
        <v>6</v>
      </c>
      <c r="Z30" s="189"/>
      <c r="AB30" s="263" t="s">
        <v>737</v>
      </c>
      <c r="AC30" s="167"/>
    </row>
    <row r="31" spans="2:30" ht="18" thickBot="1">
      <c r="B31" s="516"/>
      <c r="C31" s="517"/>
      <c r="D31" s="478"/>
      <c r="E31" s="50" t="s">
        <v>339</v>
      </c>
      <c r="F31" s="481" t="s">
        <v>281</v>
      </c>
      <c r="G31" s="482"/>
      <c r="H31" s="46">
        <v>3</v>
      </c>
      <c r="I31" s="138" t="s">
        <v>351</v>
      </c>
      <c r="J31" s="242">
        <v>2</v>
      </c>
      <c r="K31" s="481"/>
      <c r="L31" s="528"/>
      <c r="M31" s="529">
        <v>2</v>
      </c>
      <c r="N31" s="530"/>
      <c r="O31" s="560"/>
      <c r="P31" s="528"/>
      <c r="Q31" s="529"/>
      <c r="R31" s="530"/>
      <c r="S31" s="560"/>
      <c r="T31" s="528"/>
      <c r="U31" s="594"/>
      <c r="V31" s="595"/>
      <c r="W31" s="49">
        <f t="shared" si="5"/>
        <v>2</v>
      </c>
      <c r="X31" s="337"/>
      <c r="Y31" s="480"/>
      <c r="Z31" s="189"/>
      <c r="AB31" s="263" t="s">
        <v>738</v>
      </c>
      <c r="AC31" s="167"/>
    </row>
    <row r="32" spans="2:30" ht="18" thickBot="1">
      <c r="B32" s="516"/>
      <c r="C32" s="517"/>
      <c r="D32" s="478"/>
      <c r="E32" s="50" t="s">
        <v>339</v>
      </c>
      <c r="F32" s="481" t="s">
        <v>282</v>
      </c>
      <c r="G32" s="482"/>
      <c r="H32" s="51">
        <v>3</v>
      </c>
      <c r="I32" s="139" t="s">
        <v>351</v>
      </c>
      <c r="J32" s="137">
        <v>2</v>
      </c>
      <c r="K32" s="481"/>
      <c r="L32" s="528"/>
      <c r="M32" s="529"/>
      <c r="N32" s="530"/>
      <c r="O32" s="560">
        <v>2</v>
      </c>
      <c r="P32" s="528"/>
      <c r="Q32" s="529"/>
      <c r="R32" s="530"/>
      <c r="S32" s="560"/>
      <c r="T32" s="528"/>
      <c r="U32" s="594"/>
      <c r="V32" s="595"/>
      <c r="W32" s="60">
        <f t="shared" si="5"/>
        <v>2</v>
      </c>
      <c r="X32" s="324"/>
      <c r="Y32" s="480"/>
      <c r="Z32" s="189"/>
    </row>
    <row r="33" spans="2:30" ht="16.5" customHeight="1" thickBot="1">
      <c r="B33" s="516"/>
      <c r="C33" s="517"/>
      <c r="D33" s="468" t="s">
        <v>355</v>
      </c>
      <c r="E33" s="40" t="s">
        <v>348</v>
      </c>
      <c r="F33" s="470" t="s">
        <v>336</v>
      </c>
      <c r="G33" s="471"/>
      <c r="H33" s="41">
        <v>3</v>
      </c>
      <c r="I33" s="55" t="s">
        <v>351</v>
      </c>
      <c r="J33" s="43">
        <v>2</v>
      </c>
      <c r="K33" s="363"/>
      <c r="L33" s="318"/>
      <c r="M33" s="319"/>
      <c r="N33" s="366"/>
      <c r="O33" s="365"/>
      <c r="P33" s="318"/>
      <c r="Q33" s="852">
        <v>2</v>
      </c>
      <c r="R33" s="853"/>
      <c r="S33" s="549"/>
      <c r="T33" s="550"/>
      <c r="U33" s="578"/>
      <c r="V33" s="579"/>
      <c r="W33" s="44">
        <f t="shared" si="5"/>
        <v>2</v>
      </c>
      <c r="X33" s="539">
        <f>SUM(W33:W36)</f>
        <v>9</v>
      </c>
      <c r="Y33" s="472">
        <v>8</v>
      </c>
      <c r="Z33" s="189"/>
    </row>
    <row r="34" spans="2:30" ht="16.5" customHeight="1" thickBot="1">
      <c r="B34" s="516"/>
      <c r="C34" s="517"/>
      <c r="D34" s="469"/>
      <c r="E34" s="50" t="s">
        <v>339</v>
      </c>
      <c r="F34" s="481" t="s">
        <v>50</v>
      </c>
      <c r="G34" s="482"/>
      <c r="H34" s="239">
        <v>3</v>
      </c>
      <c r="I34" s="240" t="s">
        <v>351</v>
      </c>
      <c r="J34" s="242">
        <v>2</v>
      </c>
      <c r="K34" s="449"/>
      <c r="L34" s="450"/>
      <c r="M34" s="459">
        <v>2</v>
      </c>
      <c r="N34" s="475"/>
      <c r="O34" s="476"/>
      <c r="P34" s="450"/>
      <c r="Q34" s="574"/>
      <c r="R34" s="575"/>
      <c r="S34" s="576"/>
      <c r="T34" s="577"/>
      <c r="U34" s="580"/>
      <c r="V34" s="605"/>
      <c r="W34" s="241">
        <f t="shared" si="5"/>
        <v>2</v>
      </c>
      <c r="X34" s="540"/>
      <c r="Y34" s="472"/>
      <c r="Z34" s="189"/>
    </row>
    <row r="35" spans="2:30" ht="16.5" customHeight="1" thickBot="1">
      <c r="B35" s="516"/>
      <c r="C35" s="517"/>
      <c r="D35" s="469"/>
      <c r="E35" s="50" t="s">
        <v>349</v>
      </c>
      <c r="F35" s="473" t="s">
        <v>49</v>
      </c>
      <c r="G35" s="474"/>
      <c r="H35" s="140">
        <v>3</v>
      </c>
      <c r="I35" s="141" t="s">
        <v>351</v>
      </c>
      <c r="J35" s="142">
        <v>2</v>
      </c>
      <c r="K35" s="449">
        <v>2</v>
      </c>
      <c r="L35" s="450"/>
      <c r="M35" s="459"/>
      <c r="N35" s="475"/>
      <c r="O35" s="476"/>
      <c r="P35" s="450"/>
      <c r="Q35" s="574"/>
      <c r="R35" s="575"/>
      <c r="S35" s="576"/>
      <c r="T35" s="577"/>
      <c r="U35" s="580"/>
      <c r="V35" s="581"/>
      <c r="W35" s="49">
        <f t="shared" si="5"/>
        <v>2</v>
      </c>
      <c r="X35" s="540"/>
      <c r="Y35" s="472"/>
      <c r="Z35" s="223"/>
      <c r="AA35" s="143"/>
    </row>
    <row r="36" spans="2:30" ht="18" thickBot="1">
      <c r="B36" s="672"/>
      <c r="C36" s="551"/>
      <c r="D36" s="469"/>
      <c r="E36" s="50" t="s">
        <v>349</v>
      </c>
      <c r="F36" s="481" t="s">
        <v>729</v>
      </c>
      <c r="G36" s="482"/>
      <c r="H36" s="233">
        <v>4</v>
      </c>
      <c r="I36" s="234" t="s">
        <v>340</v>
      </c>
      <c r="J36" s="235">
        <v>3</v>
      </c>
      <c r="K36" s="558"/>
      <c r="L36" s="559"/>
      <c r="M36" s="529"/>
      <c r="N36" s="530"/>
      <c r="O36" s="560"/>
      <c r="P36" s="528"/>
      <c r="Q36" s="529">
        <v>3</v>
      </c>
      <c r="R36" s="530"/>
      <c r="S36" s="560"/>
      <c r="T36" s="528"/>
      <c r="U36" s="594"/>
      <c r="V36" s="595"/>
      <c r="W36" s="60">
        <f t="shared" si="5"/>
        <v>3</v>
      </c>
      <c r="X36" s="541"/>
      <c r="Y36" s="472"/>
      <c r="Z36" s="237" t="s">
        <v>731</v>
      </c>
    </row>
    <row r="37" spans="2:30" ht="24.75" customHeight="1" thickBot="1">
      <c r="B37" s="372" t="s">
        <v>362</v>
      </c>
      <c r="C37" s="373"/>
      <c r="D37" s="373"/>
      <c r="E37" s="373"/>
      <c r="F37" s="373"/>
      <c r="G37" s="374"/>
      <c r="H37" s="155">
        <f>SUM(H20:H36)</f>
        <v>57</v>
      </c>
      <c r="I37" s="13"/>
      <c r="J37" s="154">
        <f>SUM(J9:J36)</f>
        <v>73</v>
      </c>
      <c r="K37" s="461">
        <f>SUM(K9:L36)</f>
        <v>21</v>
      </c>
      <c r="L37" s="462"/>
      <c r="M37" s="462">
        <f>SUM(M9:N36)</f>
        <v>21</v>
      </c>
      <c r="N37" s="398"/>
      <c r="O37" s="554">
        <f>SUM(O9:P36)</f>
        <v>13</v>
      </c>
      <c r="P37" s="462"/>
      <c r="Q37" s="462">
        <f>SUM(Q9:R36)</f>
        <v>16</v>
      </c>
      <c r="R37" s="589"/>
      <c r="S37" s="397">
        <f>SUM(S9:T36)</f>
        <v>2</v>
      </c>
      <c r="T37" s="462"/>
      <c r="U37" s="462">
        <f>SUM(U9:V36)</f>
        <v>0</v>
      </c>
      <c r="V37" s="588"/>
      <c r="W37" s="372">
        <f t="shared" si="5"/>
        <v>73</v>
      </c>
      <c r="X37" s="374"/>
      <c r="Y37" s="182">
        <f>SUM(Y9:Y36)</f>
        <v>64</v>
      </c>
      <c r="Z37" s="210"/>
      <c r="AB37" s="391" t="b">
        <f>W37&gt;=Y37</f>
        <v>1</v>
      </c>
      <c r="AC37" s="392"/>
    </row>
    <row r="38" spans="2:30" ht="17.25" customHeight="1" thickBot="1">
      <c r="B38" s="439" t="s">
        <v>356</v>
      </c>
      <c r="C38" s="440"/>
      <c r="D38" s="453" t="s">
        <v>357</v>
      </c>
      <c r="E38" s="454"/>
      <c r="F38" s="443" t="s">
        <v>524</v>
      </c>
      <c r="G38" s="444"/>
      <c r="H38" s="32">
        <v>2</v>
      </c>
      <c r="I38" s="33" t="s">
        <v>717</v>
      </c>
      <c r="J38" s="144">
        <v>2</v>
      </c>
      <c r="K38" s="753"/>
      <c r="L38" s="754"/>
      <c r="M38" s="755"/>
      <c r="N38" s="756"/>
      <c r="O38" s="757">
        <v>2</v>
      </c>
      <c r="P38" s="758"/>
      <c r="Q38" s="755"/>
      <c r="R38" s="756"/>
      <c r="S38" s="759"/>
      <c r="T38" s="754"/>
      <c r="U38" s="755"/>
      <c r="V38" s="771"/>
      <c r="W38" s="457">
        <f t="shared" si="5"/>
        <v>2</v>
      </c>
      <c r="X38" s="458"/>
      <c r="Y38" s="399">
        <v>80</v>
      </c>
      <c r="Z38" s="212"/>
    </row>
    <row r="39" spans="2:30" ht="17.25" customHeight="1">
      <c r="B39" s="441"/>
      <c r="C39" s="442"/>
      <c r="D39" s="61" t="s">
        <v>70</v>
      </c>
      <c r="E39" s="62" t="s">
        <v>358</v>
      </c>
      <c r="F39" s="686" t="s">
        <v>627</v>
      </c>
      <c r="G39" s="687"/>
      <c r="H39" s="35">
        <v>2</v>
      </c>
      <c r="I39" s="34" t="s">
        <v>717</v>
      </c>
      <c r="J39" s="136">
        <v>8</v>
      </c>
      <c r="K39" s="481">
        <v>8</v>
      </c>
      <c r="L39" s="528"/>
      <c r="M39" s="529"/>
      <c r="N39" s="765"/>
      <c r="O39" s="476"/>
      <c r="P39" s="450"/>
      <c r="Q39" s="459"/>
      <c r="R39" s="475"/>
      <c r="S39" s="587"/>
      <c r="T39" s="450"/>
      <c r="U39" s="459"/>
      <c r="V39" s="460"/>
      <c r="W39" s="455">
        <f t="shared" ref="W39:W42" si="6">SUM(K39:V39)</f>
        <v>8</v>
      </c>
      <c r="X39" s="456"/>
      <c r="Y39" s="416"/>
      <c r="Z39" s="189"/>
    </row>
    <row r="40" spans="2:30" ht="17.25" customHeight="1">
      <c r="B40" s="441"/>
      <c r="C40" s="442"/>
      <c r="D40" s="61" t="s">
        <v>153</v>
      </c>
      <c r="E40" s="62" t="s">
        <v>358</v>
      </c>
      <c r="F40" s="686" t="s">
        <v>628</v>
      </c>
      <c r="G40" s="687"/>
      <c r="H40" s="35">
        <v>2</v>
      </c>
      <c r="I40" s="34" t="s">
        <v>717</v>
      </c>
      <c r="J40" s="136">
        <v>6</v>
      </c>
      <c r="K40" s="481"/>
      <c r="L40" s="528"/>
      <c r="M40" s="529">
        <v>8</v>
      </c>
      <c r="N40" s="530"/>
      <c r="O40" s="560"/>
      <c r="P40" s="528"/>
      <c r="Q40" s="529"/>
      <c r="R40" s="530"/>
      <c r="S40" s="560"/>
      <c r="T40" s="528"/>
      <c r="U40" s="529"/>
      <c r="V40" s="482"/>
      <c r="W40" s="455">
        <f t="shared" si="6"/>
        <v>8</v>
      </c>
      <c r="X40" s="456"/>
      <c r="Y40" s="416"/>
      <c r="Z40" s="189"/>
    </row>
    <row r="41" spans="2:30" ht="17.25" customHeight="1">
      <c r="B41" s="441"/>
      <c r="C41" s="442"/>
      <c r="D41" s="61" t="s">
        <v>153</v>
      </c>
      <c r="E41" s="62" t="s">
        <v>359</v>
      </c>
      <c r="F41" s="760" t="s">
        <v>629</v>
      </c>
      <c r="G41" s="761"/>
      <c r="H41" s="35">
        <v>2</v>
      </c>
      <c r="I41" s="34" t="s">
        <v>715</v>
      </c>
      <c r="J41" s="136">
        <v>7</v>
      </c>
      <c r="K41" s="481"/>
      <c r="L41" s="528"/>
      <c r="M41" s="529"/>
      <c r="N41" s="530"/>
      <c r="O41" s="560">
        <v>4</v>
      </c>
      <c r="P41" s="528"/>
      <c r="Q41" s="529">
        <v>3</v>
      </c>
      <c r="R41" s="530"/>
      <c r="S41" s="762"/>
      <c r="T41" s="763"/>
      <c r="U41" s="764"/>
      <c r="V41" s="474"/>
      <c r="W41" s="684">
        <f t="shared" ref="W41" si="7">SUM(K41:V41)</f>
        <v>7</v>
      </c>
      <c r="X41" s="685"/>
      <c r="Y41" s="416"/>
      <c r="Z41" s="189"/>
    </row>
    <row r="42" spans="2:30" ht="17.25" customHeight="1" thickBot="1">
      <c r="B42" s="441"/>
      <c r="C42" s="442"/>
      <c r="D42" s="61" t="s">
        <v>153</v>
      </c>
      <c r="E42" s="62" t="s">
        <v>359</v>
      </c>
      <c r="F42" s="766" t="s">
        <v>624</v>
      </c>
      <c r="G42" s="767"/>
      <c r="H42" s="35">
        <v>2</v>
      </c>
      <c r="I42" s="34" t="s">
        <v>717</v>
      </c>
      <c r="J42" s="136">
        <v>22</v>
      </c>
      <c r="K42" s="563"/>
      <c r="L42" s="778"/>
      <c r="M42" s="775"/>
      <c r="N42" s="776"/>
      <c r="O42" s="777"/>
      <c r="P42" s="778"/>
      <c r="Q42" s="775"/>
      <c r="R42" s="776"/>
      <c r="S42" s="556">
        <v>10</v>
      </c>
      <c r="T42" s="555"/>
      <c r="U42" s="552">
        <v>12</v>
      </c>
      <c r="V42" s="543"/>
      <c r="W42" s="734">
        <f t="shared" si="6"/>
        <v>22</v>
      </c>
      <c r="X42" s="735"/>
      <c r="Y42" s="416"/>
      <c r="Z42" s="189"/>
    </row>
    <row r="43" spans="2:30" ht="16.5" customHeight="1">
      <c r="B43" s="354" t="s">
        <v>630</v>
      </c>
      <c r="C43" s="727" t="s">
        <v>681</v>
      </c>
      <c r="D43" s="163" t="s">
        <v>153</v>
      </c>
      <c r="E43" s="157" t="s">
        <v>359</v>
      </c>
      <c r="F43" s="697" t="s">
        <v>682</v>
      </c>
      <c r="G43" s="698"/>
      <c r="H43" s="170">
        <v>2</v>
      </c>
      <c r="I43" s="206" t="s">
        <v>717</v>
      </c>
      <c r="J43" s="699">
        <v>74</v>
      </c>
      <c r="K43" s="363"/>
      <c r="L43" s="318"/>
      <c r="M43" s="319"/>
      <c r="N43" s="366"/>
      <c r="O43" s="772">
        <v>10</v>
      </c>
      <c r="P43" s="518"/>
      <c r="Q43" s="547">
        <v>10</v>
      </c>
      <c r="R43" s="548"/>
      <c r="S43" s="772"/>
      <c r="T43" s="518"/>
      <c r="U43" s="547"/>
      <c r="V43" s="471"/>
      <c r="W43" s="690">
        <f>SUM(K43:V45)</f>
        <v>54</v>
      </c>
      <c r="X43" s="322"/>
      <c r="Y43" s="416"/>
      <c r="Z43" s="189"/>
    </row>
    <row r="44" spans="2:30" ht="16.5" customHeight="1">
      <c r="B44" s="355"/>
      <c r="C44" s="730"/>
      <c r="D44" s="61" t="s">
        <v>153</v>
      </c>
      <c r="E44" s="168" t="s">
        <v>359</v>
      </c>
      <c r="F44" s="702" t="s">
        <v>633</v>
      </c>
      <c r="G44" s="703"/>
      <c r="H44" s="171">
        <v>2</v>
      </c>
      <c r="I44" s="207" t="s">
        <v>717</v>
      </c>
      <c r="J44" s="700"/>
      <c r="K44" s="783"/>
      <c r="L44" s="779"/>
      <c r="M44" s="779"/>
      <c r="N44" s="780"/>
      <c r="O44" s="528"/>
      <c r="P44" s="781"/>
      <c r="Q44" s="781"/>
      <c r="R44" s="782"/>
      <c r="S44" s="528">
        <v>7</v>
      </c>
      <c r="T44" s="781"/>
      <c r="U44" s="781">
        <v>7</v>
      </c>
      <c r="V44" s="784"/>
      <c r="W44" s="691"/>
      <c r="X44" s="337"/>
      <c r="Y44" s="416"/>
      <c r="Z44" s="189"/>
    </row>
    <row r="45" spans="2:30" ht="17.399999999999999" customHeight="1" thickBot="1">
      <c r="B45" s="355"/>
      <c r="C45" s="715"/>
      <c r="D45" s="65" t="s">
        <v>153</v>
      </c>
      <c r="E45" s="169" t="s">
        <v>359</v>
      </c>
      <c r="F45" s="766" t="s">
        <v>634</v>
      </c>
      <c r="G45" s="767"/>
      <c r="H45" s="172">
        <v>2</v>
      </c>
      <c r="I45" s="34" t="s">
        <v>717</v>
      </c>
      <c r="J45" s="700"/>
      <c r="K45" s="768"/>
      <c r="L45" s="769"/>
      <c r="M45" s="769"/>
      <c r="N45" s="770"/>
      <c r="O45" s="555"/>
      <c r="P45" s="773"/>
      <c r="Q45" s="773"/>
      <c r="R45" s="774"/>
      <c r="S45" s="555">
        <v>10</v>
      </c>
      <c r="T45" s="773"/>
      <c r="U45" s="773">
        <v>10</v>
      </c>
      <c r="V45" s="785"/>
      <c r="W45" s="691"/>
      <c r="X45" s="337"/>
      <c r="Y45" s="416"/>
      <c r="Z45" s="189"/>
    </row>
    <row r="46" spans="2:30" ht="24.75" customHeight="1">
      <c r="B46" s="393" t="s">
        <v>363</v>
      </c>
      <c r="C46" s="431"/>
      <c r="D46" s="431"/>
      <c r="E46" s="431"/>
      <c r="F46" s="431"/>
      <c r="G46" s="394"/>
      <c r="H46" s="433">
        <f>SUM(H38:H45)</f>
        <v>16</v>
      </c>
      <c r="I46" s="435">
        <f>SUM(I35:I45)</f>
        <v>0</v>
      </c>
      <c r="J46" s="437">
        <f>SUM(J38:J45)</f>
        <v>119</v>
      </c>
      <c r="K46" s="393">
        <f>SUM(K38:L45)</f>
        <v>8</v>
      </c>
      <c r="L46" s="429"/>
      <c r="M46" s="709">
        <f>SUM(M38:N44)</f>
        <v>8</v>
      </c>
      <c r="N46" s="710"/>
      <c r="O46" s="731">
        <f>SUM(O41,O43,O38)</f>
        <v>16</v>
      </c>
      <c r="P46" s="429"/>
      <c r="Q46" s="431">
        <f>SUM(Q41,Q43)</f>
        <v>13</v>
      </c>
      <c r="R46" s="429"/>
      <c r="S46" s="731">
        <f>SUM(S42:T45)</f>
        <v>27</v>
      </c>
      <c r="T46" s="429"/>
      <c r="U46" s="709">
        <f>SUM(U42:V45)</f>
        <v>29</v>
      </c>
      <c r="V46" s="394"/>
      <c r="W46" s="393">
        <f>SUM(K46:V47)</f>
        <v>101</v>
      </c>
      <c r="X46" s="394"/>
      <c r="Y46" s="399">
        <f>SUM(Y38:Y45)</f>
        <v>80</v>
      </c>
      <c r="Z46" s="189"/>
      <c r="AD46" s="156"/>
    </row>
    <row r="47" spans="2:30" ht="18" thickBot="1">
      <c r="B47" s="395"/>
      <c r="C47" s="432"/>
      <c r="D47" s="432"/>
      <c r="E47" s="432"/>
      <c r="F47" s="432"/>
      <c r="G47" s="396"/>
      <c r="H47" s="434"/>
      <c r="I47" s="436"/>
      <c r="J47" s="438"/>
      <c r="K47" s="395"/>
      <c r="L47" s="430"/>
      <c r="M47" s="711"/>
      <c r="N47" s="712"/>
      <c r="O47" s="732"/>
      <c r="P47" s="430"/>
      <c r="Q47" s="432"/>
      <c r="R47" s="430"/>
      <c r="S47" s="732"/>
      <c r="T47" s="430"/>
      <c r="U47" s="711"/>
      <c r="V47" s="396"/>
      <c r="W47" s="395"/>
      <c r="X47" s="396"/>
      <c r="Y47" s="400"/>
      <c r="Z47" s="189"/>
      <c r="AD47" s="68"/>
    </row>
    <row r="48" spans="2:30" ht="17.25" customHeight="1" thickBot="1">
      <c r="B48" s="372"/>
      <c r="C48" s="373"/>
      <c r="D48" s="373"/>
      <c r="E48" s="373"/>
      <c r="F48" s="373"/>
      <c r="G48" s="374"/>
      <c r="H48" s="159">
        <f>SUM(H37,H46)</f>
        <v>73</v>
      </c>
      <c r="I48" s="153">
        <f>SUM(I37,I46)</f>
        <v>0</v>
      </c>
      <c r="J48" s="154">
        <f>SUM(J37,J46)</f>
        <v>192</v>
      </c>
      <c r="K48" s="372">
        <f>SUM(K37,K46)</f>
        <v>29</v>
      </c>
      <c r="L48" s="397"/>
      <c r="M48" s="398">
        <f>SUM(M37,M46)</f>
        <v>29</v>
      </c>
      <c r="N48" s="375"/>
      <c r="O48" s="376">
        <f>SUM(O37,O46)</f>
        <v>29</v>
      </c>
      <c r="P48" s="397"/>
      <c r="Q48" s="398">
        <f>SUM(Q37,Q46)</f>
        <v>29</v>
      </c>
      <c r="R48" s="375"/>
      <c r="S48" s="376">
        <f>SUM(S37,S46)</f>
        <v>29</v>
      </c>
      <c r="T48" s="397"/>
      <c r="U48" s="398">
        <f>SUM(U37,U46)</f>
        <v>29</v>
      </c>
      <c r="V48" s="374"/>
      <c r="W48" s="372">
        <f>SUM(K48:V48)</f>
        <v>174</v>
      </c>
      <c r="X48" s="374"/>
      <c r="Y48" s="214">
        <f>Y46+Y37</f>
        <v>144</v>
      </c>
      <c r="Z48" s="189"/>
      <c r="AB48" s="377" t="s">
        <v>154</v>
      </c>
      <c r="AC48" s="377"/>
    </row>
    <row r="49" spans="2:29" ht="18.75" customHeight="1" thickBot="1">
      <c r="B49" s="402" t="s">
        <v>364</v>
      </c>
      <c r="C49" s="403"/>
      <c r="D49" s="403"/>
      <c r="E49" s="404"/>
      <c r="F49" s="411" t="s">
        <v>360</v>
      </c>
      <c r="G49" s="412"/>
      <c r="H49" s="412"/>
      <c r="I49" s="412"/>
      <c r="J49" s="413"/>
      <c r="K49" s="425">
        <v>16</v>
      </c>
      <c r="L49" s="426"/>
      <c r="M49" s="423">
        <v>16</v>
      </c>
      <c r="N49" s="428"/>
      <c r="O49" s="427">
        <v>16</v>
      </c>
      <c r="P49" s="426"/>
      <c r="Q49" s="423">
        <v>16</v>
      </c>
      <c r="R49" s="428"/>
      <c r="S49" s="427">
        <v>16</v>
      </c>
      <c r="T49" s="426"/>
      <c r="U49" s="423">
        <v>16</v>
      </c>
      <c r="V49" s="424"/>
      <c r="W49" s="402">
        <f>SUM(K49:V51)</f>
        <v>288</v>
      </c>
      <c r="X49" s="404"/>
      <c r="Y49" s="399">
        <f>Y52*16</f>
        <v>288</v>
      </c>
      <c r="Z49" s="189"/>
      <c r="AB49" s="401"/>
      <c r="AC49" s="401"/>
    </row>
    <row r="50" spans="2:29" ht="17.25" customHeight="1" thickBot="1">
      <c r="B50" s="405"/>
      <c r="C50" s="406"/>
      <c r="D50" s="406"/>
      <c r="E50" s="407"/>
      <c r="F50" s="418" t="s">
        <v>62</v>
      </c>
      <c r="G50" s="419"/>
      <c r="H50" s="419"/>
      <c r="I50" s="419"/>
      <c r="J50" s="420"/>
      <c r="K50" s="421">
        <v>16</v>
      </c>
      <c r="L50" s="388"/>
      <c r="M50" s="389">
        <v>16</v>
      </c>
      <c r="N50" s="422"/>
      <c r="O50" s="387">
        <v>16</v>
      </c>
      <c r="P50" s="388"/>
      <c r="Q50" s="389">
        <v>16</v>
      </c>
      <c r="R50" s="422"/>
      <c r="S50" s="387">
        <v>16</v>
      </c>
      <c r="T50" s="388"/>
      <c r="U50" s="389">
        <v>16</v>
      </c>
      <c r="V50" s="390"/>
      <c r="W50" s="405"/>
      <c r="X50" s="407"/>
      <c r="Y50" s="416"/>
      <c r="Z50" s="189"/>
      <c r="AB50" s="391" t="b">
        <f>W48&gt;=Y48</f>
        <v>1</v>
      </c>
      <c r="AC50" s="392"/>
    </row>
    <row r="51" spans="2:29" ht="17.25" customHeight="1">
      <c r="B51" s="405"/>
      <c r="C51" s="406"/>
      <c r="D51" s="406"/>
      <c r="E51" s="407"/>
      <c r="F51" s="418" t="s">
        <v>10</v>
      </c>
      <c r="G51" s="419"/>
      <c r="H51" s="419"/>
      <c r="I51" s="419"/>
      <c r="J51" s="420"/>
      <c r="K51" s="421">
        <v>16</v>
      </c>
      <c r="L51" s="388"/>
      <c r="M51" s="389">
        <v>16</v>
      </c>
      <c r="N51" s="422"/>
      <c r="O51" s="387">
        <v>16</v>
      </c>
      <c r="P51" s="388"/>
      <c r="Q51" s="389">
        <v>16</v>
      </c>
      <c r="R51" s="422"/>
      <c r="S51" s="387">
        <v>16</v>
      </c>
      <c r="T51" s="388"/>
      <c r="U51" s="389">
        <v>16</v>
      </c>
      <c r="V51" s="390"/>
      <c r="W51" s="414"/>
      <c r="X51" s="415"/>
      <c r="Y51" s="417"/>
      <c r="Z51" s="189"/>
    </row>
    <row r="52" spans="2:29" ht="17.25" customHeight="1" thickBot="1">
      <c r="B52" s="408"/>
      <c r="C52" s="409"/>
      <c r="D52" s="409"/>
      <c r="E52" s="410"/>
      <c r="F52" s="378" t="s">
        <v>148</v>
      </c>
      <c r="G52" s="379"/>
      <c r="H52" s="379"/>
      <c r="I52" s="379"/>
      <c r="J52" s="380"/>
      <c r="K52" s="381">
        <v>3</v>
      </c>
      <c r="L52" s="382"/>
      <c r="M52" s="383">
        <v>3</v>
      </c>
      <c r="N52" s="384"/>
      <c r="O52" s="385">
        <v>3</v>
      </c>
      <c r="P52" s="382"/>
      <c r="Q52" s="383">
        <v>3</v>
      </c>
      <c r="R52" s="384"/>
      <c r="S52" s="385">
        <v>3</v>
      </c>
      <c r="T52" s="382"/>
      <c r="U52" s="383">
        <v>3</v>
      </c>
      <c r="V52" s="386"/>
      <c r="W52" s="378">
        <f>SUM(K52:V52)</f>
        <v>18</v>
      </c>
      <c r="X52" s="380"/>
      <c r="Y52" s="215">
        <v>18</v>
      </c>
      <c r="Z52" s="189"/>
      <c r="AB52" s="377" t="s">
        <v>155</v>
      </c>
      <c r="AC52" s="377"/>
    </row>
    <row r="53" spans="2:29" ht="17.25" customHeight="1" thickBot="1">
      <c r="B53" s="372"/>
      <c r="C53" s="373"/>
      <c r="D53" s="373"/>
      <c r="E53" s="373"/>
      <c r="F53" s="373"/>
      <c r="G53" s="373"/>
      <c r="H53" s="373"/>
      <c r="I53" s="373"/>
      <c r="J53" s="374"/>
      <c r="K53" s="372">
        <v>32</v>
      </c>
      <c r="L53" s="397"/>
      <c r="M53" s="398">
        <v>32</v>
      </c>
      <c r="N53" s="375"/>
      <c r="O53" s="376">
        <v>32</v>
      </c>
      <c r="P53" s="397"/>
      <c r="Q53" s="398">
        <v>32</v>
      </c>
      <c r="R53" s="375"/>
      <c r="S53" s="376">
        <v>32</v>
      </c>
      <c r="T53" s="397"/>
      <c r="U53" s="398">
        <v>32</v>
      </c>
      <c r="V53" s="374"/>
      <c r="W53" s="372">
        <f>SUM(K53:V53)</f>
        <v>192</v>
      </c>
      <c r="X53" s="374"/>
      <c r="Y53" s="216">
        <f>W53</f>
        <v>192</v>
      </c>
      <c r="Z53" s="189"/>
      <c r="AB53" s="391" t="b">
        <f>W52&gt;=Y52</f>
        <v>1</v>
      </c>
      <c r="AC53" s="392"/>
    </row>
    <row r="54" spans="2:29" ht="17.25" customHeight="1" thickBot="1">
      <c r="B54" s="372"/>
      <c r="C54" s="373"/>
      <c r="D54" s="373"/>
      <c r="E54" s="373"/>
      <c r="F54" s="373"/>
      <c r="G54" s="373"/>
      <c r="H54" s="373"/>
      <c r="I54" s="373"/>
      <c r="J54" s="374"/>
      <c r="K54" s="372">
        <f>SUM(K53:N53)</f>
        <v>64</v>
      </c>
      <c r="L54" s="373"/>
      <c r="M54" s="373"/>
      <c r="N54" s="375"/>
      <c r="O54" s="376">
        <f>SUM(O53:R53)</f>
        <v>64</v>
      </c>
      <c r="P54" s="373"/>
      <c r="Q54" s="373"/>
      <c r="R54" s="375"/>
      <c r="S54" s="376">
        <f>SUM(S53:V53)</f>
        <v>64</v>
      </c>
      <c r="T54" s="373"/>
      <c r="U54" s="373"/>
      <c r="V54" s="374"/>
      <c r="W54" s="372">
        <f>SUM(K54:V54)</f>
        <v>192</v>
      </c>
      <c r="X54" s="374"/>
      <c r="Y54" s="214"/>
      <c r="Z54" s="213"/>
      <c r="AB54" s="377" t="s">
        <v>152</v>
      </c>
      <c r="AC54" s="377"/>
    </row>
    <row r="55" spans="2:29" ht="17.25" customHeight="1" thickBot="1">
      <c r="AB55" s="391" t="b">
        <f>W53&gt;=Y53</f>
        <v>1</v>
      </c>
      <c r="AC55" s="392"/>
    </row>
    <row r="56" spans="2:29" ht="17.25" customHeight="1"/>
    <row r="57" spans="2:29" ht="17.25" customHeight="1"/>
    <row r="58" spans="2:29" ht="17.25" customHeight="1"/>
    <row r="60" spans="2:29" ht="24.9" customHeight="1"/>
    <row r="61" spans="2:29" ht="24.9" customHeight="1"/>
    <row r="62" spans="2:29" ht="32.25" customHeight="1"/>
    <row r="63" spans="2:29" ht="24.9" customHeight="1"/>
    <row r="65" ht="16.5" customHeight="1"/>
    <row r="66" ht="17.2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244.5" customHeight="1"/>
  </sheetData>
  <mergeCells count="411">
    <mergeCell ref="B54:J54"/>
    <mergeCell ref="K54:N54"/>
    <mergeCell ref="O54:R54"/>
    <mergeCell ref="S54:V54"/>
    <mergeCell ref="F43:G43"/>
    <mergeCell ref="J43:J45"/>
    <mergeCell ref="K43:L43"/>
    <mergeCell ref="M43:N43"/>
    <mergeCell ref="F51:J51"/>
    <mergeCell ref="K51:L51"/>
    <mergeCell ref="B48:G48"/>
    <mergeCell ref="K48:L48"/>
    <mergeCell ref="M48:N48"/>
    <mergeCell ref="U44:V44"/>
    <mergeCell ref="K52:L52"/>
    <mergeCell ref="M52:N52"/>
    <mergeCell ref="O52:P52"/>
    <mergeCell ref="Q52:R52"/>
    <mergeCell ref="S52:T52"/>
    <mergeCell ref="O46:P47"/>
    <mergeCell ref="Q46:R47"/>
    <mergeCell ref="S46:T47"/>
    <mergeCell ref="U46:V47"/>
    <mergeCell ref="U45:V45"/>
    <mergeCell ref="B53:J53"/>
    <mergeCell ref="K53:L53"/>
    <mergeCell ref="M53:N53"/>
    <mergeCell ref="O53:P53"/>
    <mergeCell ref="Q53:R53"/>
    <mergeCell ref="B49:E52"/>
    <mergeCell ref="F49:J49"/>
    <mergeCell ref="K49:L49"/>
    <mergeCell ref="M49:N49"/>
    <mergeCell ref="O49:P49"/>
    <mergeCell ref="Q49:R49"/>
    <mergeCell ref="F52:J52"/>
    <mergeCell ref="F50:J50"/>
    <mergeCell ref="K50:L50"/>
    <mergeCell ref="M50:N50"/>
    <mergeCell ref="O50:P50"/>
    <mergeCell ref="Q50:R50"/>
    <mergeCell ref="M51:N51"/>
    <mergeCell ref="O51:P51"/>
    <mergeCell ref="Q51:R51"/>
    <mergeCell ref="W54:X54"/>
    <mergeCell ref="AB54:AC54"/>
    <mergeCell ref="U52:V52"/>
    <mergeCell ref="W52:X52"/>
    <mergeCell ref="AB52:AC52"/>
    <mergeCell ref="AB55:AC55"/>
    <mergeCell ref="S50:T50"/>
    <mergeCell ref="U50:V50"/>
    <mergeCell ref="S53:T53"/>
    <mergeCell ref="U53:V53"/>
    <mergeCell ref="W53:X53"/>
    <mergeCell ref="AB53:AC53"/>
    <mergeCell ref="AB50:AC50"/>
    <mergeCell ref="U48:V48"/>
    <mergeCell ref="W48:X48"/>
    <mergeCell ref="AB48:AC49"/>
    <mergeCell ref="U49:V49"/>
    <mergeCell ref="W49:X51"/>
    <mergeCell ref="Y49:Y51"/>
    <mergeCell ref="S49:T49"/>
    <mergeCell ref="O48:P48"/>
    <mergeCell ref="Q48:R48"/>
    <mergeCell ref="S48:T48"/>
    <mergeCell ref="S51:T51"/>
    <mergeCell ref="U51:V51"/>
    <mergeCell ref="W46:X47"/>
    <mergeCell ref="S42:T42"/>
    <mergeCell ref="M44:N44"/>
    <mergeCell ref="O44:P44"/>
    <mergeCell ref="Q44:R44"/>
    <mergeCell ref="S44:T44"/>
    <mergeCell ref="K42:L42"/>
    <mergeCell ref="K44:L44"/>
    <mergeCell ref="W41:X41"/>
    <mergeCell ref="S45:T45"/>
    <mergeCell ref="Y46:Y47"/>
    <mergeCell ref="B46:G47"/>
    <mergeCell ref="H46:H47"/>
    <mergeCell ref="I46:I47"/>
    <mergeCell ref="J46:J47"/>
    <mergeCell ref="K46:L47"/>
    <mergeCell ref="M46:N47"/>
    <mergeCell ref="O40:P40"/>
    <mergeCell ref="Q40:R40"/>
    <mergeCell ref="S40:T40"/>
    <mergeCell ref="O43:P43"/>
    <mergeCell ref="Q43:R43"/>
    <mergeCell ref="S43:T43"/>
    <mergeCell ref="U43:V43"/>
    <mergeCell ref="W43:X45"/>
    <mergeCell ref="F44:G44"/>
    <mergeCell ref="B43:B45"/>
    <mergeCell ref="C43:C45"/>
    <mergeCell ref="O45:P45"/>
    <mergeCell ref="Q45:R45"/>
    <mergeCell ref="M42:N42"/>
    <mergeCell ref="O42:P42"/>
    <mergeCell ref="Q42:R42"/>
    <mergeCell ref="F45:G45"/>
    <mergeCell ref="Y38:Y45"/>
    <mergeCell ref="F39:G39"/>
    <mergeCell ref="K39:L39"/>
    <mergeCell ref="M39:N39"/>
    <mergeCell ref="O39:P39"/>
    <mergeCell ref="Q39:R39"/>
    <mergeCell ref="S39:T39"/>
    <mergeCell ref="U39:V39"/>
    <mergeCell ref="W39:X39"/>
    <mergeCell ref="U40:V40"/>
    <mergeCell ref="W40:X40"/>
    <mergeCell ref="F42:G42"/>
    <mergeCell ref="K45:L45"/>
    <mergeCell ref="M45:N45"/>
    <mergeCell ref="U38:V38"/>
    <mergeCell ref="U42:V42"/>
    <mergeCell ref="W42:X42"/>
    <mergeCell ref="F40:G40"/>
    <mergeCell ref="K40:L40"/>
    <mergeCell ref="M40:N40"/>
    <mergeCell ref="B37:G37"/>
    <mergeCell ref="K37:L37"/>
    <mergeCell ref="M37:N37"/>
    <mergeCell ref="O37:P37"/>
    <mergeCell ref="Q37:R37"/>
    <mergeCell ref="S37:T37"/>
    <mergeCell ref="U37:V37"/>
    <mergeCell ref="W37:X37"/>
    <mergeCell ref="B38:C42"/>
    <mergeCell ref="D38:E38"/>
    <mergeCell ref="F38:G38"/>
    <mergeCell ref="K38:L38"/>
    <mergeCell ref="M38:N38"/>
    <mergeCell ref="O38:P38"/>
    <mergeCell ref="Q38:R38"/>
    <mergeCell ref="S38:T38"/>
    <mergeCell ref="F41:G41"/>
    <mergeCell ref="K41:L41"/>
    <mergeCell ref="M41:N41"/>
    <mergeCell ref="O41:P41"/>
    <mergeCell ref="Q41:R41"/>
    <mergeCell ref="S41:T41"/>
    <mergeCell ref="U41:V41"/>
    <mergeCell ref="W38:X38"/>
    <mergeCell ref="AB37:AC37"/>
    <mergeCell ref="X33:X36"/>
    <mergeCell ref="Y33:Y36"/>
    <mergeCell ref="F35:G35"/>
    <mergeCell ref="K35:L35"/>
    <mergeCell ref="M35:N35"/>
    <mergeCell ref="O35:P35"/>
    <mergeCell ref="Q35:R35"/>
    <mergeCell ref="D33:D36"/>
    <mergeCell ref="F33:G33"/>
    <mergeCell ref="K33:L33"/>
    <mergeCell ref="M33:N33"/>
    <mergeCell ref="O33:P33"/>
    <mergeCell ref="Q33:R33"/>
    <mergeCell ref="F36:G36"/>
    <mergeCell ref="K36:L36"/>
    <mergeCell ref="M36:N36"/>
    <mergeCell ref="O36:P36"/>
    <mergeCell ref="S35:T35"/>
    <mergeCell ref="U35:V35"/>
    <mergeCell ref="S33:T33"/>
    <mergeCell ref="U33:V33"/>
    <mergeCell ref="Q36:R36"/>
    <mergeCell ref="S36:T36"/>
    <mergeCell ref="U36:V36"/>
    <mergeCell ref="X30:X32"/>
    <mergeCell ref="Y30:Y32"/>
    <mergeCell ref="F31:G31"/>
    <mergeCell ref="K31:L31"/>
    <mergeCell ref="M31:N31"/>
    <mergeCell ref="O31:P31"/>
    <mergeCell ref="Q31:R31"/>
    <mergeCell ref="S31:T31"/>
    <mergeCell ref="F34:G34"/>
    <mergeCell ref="K34:L34"/>
    <mergeCell ref="M34:N34"/>
    <mergeCell ref="O34:P34"/>
    <mergeCell ref="Q34:R34"/>
    <mergeCell ref="S34:T34"/>
    <mergeCell ref="U34:V34"/>
    <mergeCell ref="D30:D32"/>
    <mergeCell ref="F30:G30"/>
    <mergeCell ref="K30:L30"/>
    <mergeCell ref="M30:N30"/>
    <mergeCell ref="O30:P30"/>
    <mergeCell ref="Q30:R30"/>
    <mergeCell ref="U31:V31"/>
    <mergeCell ref="F32:G32"/>
    <mergeCell ref="K32:L32"/>
    <mergeCell ref="M32:N32"/>
    <mergeCell ref="O32:P32"/>
    <mergeCell ref="Q32:R32"/>
    <mergeCell ref="S32:T32"/>
    <mergeCell ref="U32:V32"/>
    <mergeCell ref="S30:T30"/>
    <mergeCell ref="U30:V30"/>
    <mergeCell ref="X25:X29"/>
    <mergeCell ref="Y25:Y29"/>
    <mergeCell ref="F26:G26"/>
    <mergeCell ref="K26:L26"/>
    <mergeCell ref="M26:N26"/>
    <mergeCell ref="O26:P26"/>
    <mergeCell ref="Q26:R26"/>
    <mergeCell ref="S26:T26"/>
    <mergeCell ref="U26:V26"/>
    <mergeCell ref="F27:G27"/>
    <mergeCell ref="U28:V28"/>
    <mergeCell ref="F29:G29"/>
    <mergeCell ref="K29:L29"/>
    <mergeCell ref="M29:N29"/>
    <mergeCell ref="O29:P29"/>
    <mergeCell ref="Q29:R29"/>
    <mergeCell ref="S29:T29"/>
    <mergeCell ref="U29:V29"/>
    <mergeCell ref="F28:G28"/>
    <mergeCell ref="K28:L28"/>
    <mergeCell ref="M28:N28"/>
    <mergeCell ref="O28:P28"/>
    <mergeCell ref="Q28:R28"/>
    <mergeCell ref="S28:T28"/>
    <mergeCell ref="D25:D29"/>
    <mergeCell ref="F25:G25"/>
    <mergeCell ref="K25:L25"/>
    <mergeCell ref="M25:N25"/>
    <mergeCell ref="O25:P25"/>
    <mergeCell ref="Q25:R25"/>
    <mergeCell ref="S25:T25"/>
    <mergeCell ref="U25:V25"/>
    <mergeCell ref="D22:D24"/>
    <mergeCell ref="K27:L27"/>
    <mergeCell ref="M27:N27"/>
    <mergeCell ref="O27:P27"/>
    <mergeCell ref="Q27:R27"/>
    <mergeCell ref="S27:T27"/>
    <mergeCell ref="U27:V27"/>
    <mergeCell ref="Q23:R23"/>
    <mergeCell ref="S23:T23"/>
    <mergeCell ref="U23:V23"/>
    <mergeCell ref="F24:G24"/>
    <mergeCell ref="K24:L24"/>
    <mergeCell ref="F22:G22"/>
    <mergeCell ref="K22:L22"/>
    <mergeCell ref="M22:N22"/>
    <mergeCell ref="O22:P22"/>
    <mergeCell ref="AB19:AC19"/>
    <mergeCell ref="F20:G20"/>
    <mergeCell ref="K20:L20"/>
    <mergeCell ref="M20:N20"/>
    <mergeCell ref="O20:P20"/>
    <mergeCell ref="Q20:R20"/>
    <mergeCell ref="S20:T20"/>
    <mergeCell ref="U20:V20"/>
    <mergeCell ref="X20:X21"/>
    <mergeCell ref="Y20:Y24"/>
    <mergeCell ref="F21:G21"/>
    <mergeCell ref="K21:L21"/>
    <mergeCell ref="M21:N21"/>
    <mergeCell ref="O21:P21"/>
    <mergeCell ref="Q21:R21"/>
    <mergeCell ref="S21:T21"/>
    <mergeCell ref="U21:V21"/>
    <mergeCell ref="S22:T22"/>
    <mergeCell ref="U22:V22"/>
    <mergeCell ref="X22:X24"/>
    <mergeCell ref="F23:G23"/>
    <mergeCell ref="K23:L23"/>
    <mergeCell ref="M23:N23"/>
    <mergeCell ref="O23:P23"/>
    <mergeCell ref="X18:X19"/>
    <mergeCell ref="Y18:Y19"/>
    <mergeCell ref="F19:G19"/>
    <mergeCell ref="K19:L19"/>
    <mergeCell ref="M19:N19"/>
    <mergeCell ref="O19:P19"/>
    <mergeCell ref="Q19:R19"/>
    <mergeCell ref="S19:T19"/>
    <mergeCell ref="U19:V19"/>
    <mergeCell ref="Q22:R22"/>
    <mergeCell ref="M24:N24"/>
    <mergeCell ref="O24:P24"/>
    <mergeCell ref="Q24:R24"/>
    <mergeCell ref="S24:T24"/>
    <mergeCell ref="U24:V24"/>
    <mergeCell ref="Q16:R16"/>
    <mergeCell ref="S16:T16"/>
    <mergeCell ref="D18:D21"/>
    <mergeCell ref="F18:G18"/>
    <mergeCell ref="K18:L18"/>
    <mergeCell ref="M18:N18"/>
    <mergeCell ref="O18:P18"/>
    <mergeCell ref="Q18:R18"/>
    <mergeCell ref="U16:V16"/>
    <mergeCell ref="F17:G17"/>
    <mergeCell ref="K17:L17"/>
    <mergeCell ref="M17:N17"/>
    <mergeCell ref="O17:P17"/>
    <mergeCell ref="Q17:R17"/>
    <mergeCell ref="S17:T17"/>
    <mergeCell ref="U17:V17"/>
    <mergeCell ref="S18:T18"/>
    <mergeCell ref="U18:V18"/>
    <mergeCell ref="AC14:AE14"/>
    <mergeCell ref="D15:D17"/>
    <mergeCell ref="F15:G15"/>
    <mergeCell ref="K15:L15"/>
    <mergeCell ref="M15:N15"/>
    <mergeCell ref="O15:P15"/>
    <mergeCell ref="X12:X14"/>
    <mergeCell ref="F13:G13"/>
    <mergeCell ref="K13:L13"/>
    <mergeCell ref="M13:N13"/>
    <mergeCell ref="O13:P13"/>
    <mergeCell ref="Q13:R13"/>
    <mergeCell ref="S13:T13"/>
    <mergeCell ref="U13:V13"/>
    <mergeCell ref="F14:G14"/>
    <mergeCell ref="K14:L14"/>
    <mergeCell ref="Q15:R15"/>
    <mergeCell ref="S15:T15"/>
    <mergeCell ref="U15:V15"/>
    <mergeCell ref="X15:X17"/>
    <mergeCell ref="F16:G16"/>
    <mergeCell ref="K16:L16"/>
    <mergeCell ref="M16:N16"/>
    <mergeCell ref="O16:P16"/>
    <mergeCell ref="O12:P12"/>
    <mergeCell ref="Q12:R12"/>
    <mergeCell ref="S12:T12"/>
    <mergeCell ref="U12:V12"/>
    <mergeCell ref="M14:N14"/>
    <mergeCell ref="F11:G11"/>
    <mergeCell ref="K11:L11"/>
    <mergeCell ref="M11:N11"/>
    <mergeCell ref="O11:P11"/>
    <mergeCell ref="Q11:R11"/>
    <mergeCell ref="S11:T11"/>
    <mergeCell ref="O14:P14"/>
    <mergeCell ref="Q14:R14"/>
    <mergeCell ref="S14:T14"/>
    <mergeCell ref="U14:V14"/>
    <mergeCell ref="AB8:AE8"/>
    <mergeCell ref="B9:C36"/>
    <mergeCell ref="D9:D11"/>
    <mergeCell ref="F9:G9"/>
    <mergeCell ref="K9:L9"/>
    <mergeCell ref="M9:N9"/>
    <mergeCell ref="O9:P9"/>
    <mergeCell ref="Q9:R9"/>
    <mergeCell ref="S9:T9"/>
    <mergeCell ref="U9:V9"/>
    <mergeCell ref="X9:X11"/>
    <mergeCell ref="Y9:Y17"/>
    <mergeCell ref="F10:G10"/>
    <mergeCell ref="K10:L10"/>
    <mergeCell ref="M10:N10"/>
    <mergeCell ref="O10:P10"/>
    <mergeCell ref="Q10:R10"/>
    <mergeCell ref="S10:T10"/>
    <mergeCell ref="U10:V10"/>
    <mergeCell ref="U11:V11"/>
    <mergeCell ref="D12:D14"/>
    <mergeCell ref="F12:G12"/>
    <mergeCell ref="K12:L12"/>
    <mergeCell ref="M12:N12"/>
    <mergeCell ref="E7:G7"/>
    <mergeCell ref="H7:H8"/>
    <mergeCell ref="I7:I8"/>
    <mergeCell ref="J7:J8"/>
    <mergeCell ref="K7:N7"/>
    <mergeCell ref="O7:R7"/>
    <mergeCell ref="S7:V7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Z7:Z8"/>
    <mergeCell ref="B2:U2"/>
    <mergeCell ref="V2:W2"/>
    <mergeCell ref="X2:Y2"/>
    <mergeCell ref="AB2:AB5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</mergeCells>
  <phoneticPr fontId="9" type="noConversion"/>
  <conditionalFormatting sqref="AB37:AC37 AD47 AB50:AC50 AB53:AC53 AB55:AC55">
    <cfRule type="containsText" dxfId="0" priority="1" operator="containsText" text="FALSE">
      <formula>NOT(ISERROR(SEARCH("FALSE",AB37)))</formula>
    </cfRule>
  </conditionalFormatting>
  <printOptions horizontalCentered="1" verticalCentered="1"/>
  <pageMargins left="0.25" right="0.25" top="0.75" bottom="0.75" header="0.3" footer="0.3"/>
  <pageSetup paperSize="12" scale="52" orientation="portrait" cellComments="asDisplayed" r:id="rId1"/>
  <rowBreaks count="1" manualBreakCount="1">
    <brk id="46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2BB841C8-550C-4896-8EAE-680825A4B8EE}">
          <x14:formula1>
            <xm:f>삭제금지!$H$2:$H$18</xm:f>
          </x14:formula1>
          <xm:sqref>B5</xm:sqref>
        </x14:dataValidation>
        <x14:dataValidation type="list" allowBlank="1" showInputMessage="1" showErrorMessage="1" xr:uid="{5ABFFBCE-5BDB-46FC-A9D8-9C85C6336D94}">
          <x14:formula1>
            <xm:f>삭제금지!$L$2:$L$4</xm:f>
          </x14:formula1>
          <xm:sqref>T5:V5</xm:sqref>
        </x14:dataValidation>
        <x14:dataValidation type="list" allowBlank="1" showInputMessage="1" showErrorMessage="1" xr:uid="{3EDA6350-56A8-426A-9645-E948A0339C88}">
          <x14:formula1>
            <xm:f>삭제금지!$K$2:$K$59</xm:f>
          </x14:formula1>
          <xm:sqref>K5:O5</xm:sqref>
        </x14:dataValidation>
        <x14:dataValidation type="list" allowBlank="1" showInputMessage="1" showErrorMessage="1" xr:uid="{433A8AC3-B6E7-4F07-B3FA-55912C97154D}">
          <x14:formula1>
            <xm:f>삭제금지!$I$2:$I$18</xm:f>
          </x14:formula1>
          <xm:sqref>F5:G5</xm:sqref>
        </x14:dataValidation>
        <x14:dataValidation type="list" allowBlank="1" showInputMessage="1" showErrorMessage="1" xr:uid="{E9E54BFD-521F-4A0E-8393-34FCD77C1BD0}">
          <x14:formula1>
            <xm:f>삭제금지!$J$2:$J$59</xm:f>
          </x14:formula1>
          <xm:sqref>H5:J5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280B3-33FD-48CF-9376-5CA8D71C9B25}">
  <sheetPr>
    <pageSetUpPr fitToPage="1"/>
  </sheetPr>
  <dimension ref="B2:AG39"/>
  <sheetViews>
    <sheetView showGridLines="0" tabSelected="1" view="pageBreakPreview" topLeftCell="A22" zoomScale="90" zoomScaleNormal="85" zoomScaleSheetLayoutView="90" workbookViewId="0">
      <selection activeCell="P41" sqref="P41"/>
    </sheetView>
  </sheetViews>
  <sheetFormatPr defaultRowHeight="17.399999999999999"/>
  <cols>
    <col min="1" max="1" width="3" customWidth="1"/>
    <col min="2" max="2" width="11.69921875" customWidth="1"/>
    <col min="3" max="3" width="5.59765625" customWidth="1"/>
    <col min="4" max="4" width="18.8984375" bestFit="1" customWidth="1"/>
    <col min="5" max="5" width="19" style="1" bestFit="1" customWidth="1"/>
    <col min="6" max="6" width="9.09765625" style="1" customWidth="1"/>
    <col min="7" max="7" width="10.69921875" customWidth="1"/>
    <col min="8" max="19" width="7.69921875" bestFit="1" customWidth="1"/>
    <col min="20" max="20" width="6.59765625" bestFit="1" customWidth="1"/>
    <col min="21" max="21" width="7.09765625" customWidth="1"/>
  </cols>
  <sheetData>
    <row r="2" spans="2:33" ht="39.75" customHeight="1" thickBot="1">
      <c r="B2" s="643" t="s">
        <v>150</v>
      </c>
      <c r="C2" s="643"/>
      <c r="D2" s="643"/>
      <c r="E2" s="643"/>
      <c r="F2" s="643"/>
      <c r="G2" s="643"/>
      <c r="H2" s="643"/>
      <c r="I2" s="643"/>
      <c r="J2" s="643"/>
      <c r="K2" s="643"/>
      <c r="L2" s="643"/>
      <c r="M2" s="643"/>
      <c r="N2" s="643"/>
      <c r="O2" s="643"/>
      <c r="P2" s="643"/>
      <c r="Q2" s="643"/>
      <c r="R2" s="643"/>
      <c r="S2" s="643"/>
      <c r="T2" s="643"/>
      <c r="U2" s="643"/>
    </row>
    <row r="3" spans="2:33" ht="27" customHeight="1" thickBot="1"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644" t="s">
        <v>128</v>
      </c>
      <c r="O3" s="645"/>
      <c r="P3" s="646"/>
      <c r="Q3" s="644" t="s">
        <v>126</v>
      </c>
      <c r="R3" s="645"/>
      <c r="S3" s="646"/>
      <c r="T3" s="647" t="s">
        <v>129</v>
      </c>
      <c r="U3" s="648"/>
    </row>
    <row r="4" spans="2:33" ht="27" customHeight="1" thickBot="1"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649" t="s">
        <v>516</v>
      </c>
      <c r="O4" s="650"/>
      <c r="P4" s="651"/>
      <c r="Q4" s="652" t="s">
        <v>684</v>
      </c>
      <c r="R4" s="653"/>
      <c r="S4" s="654"/>
      <c r="T4" s="653">
        <v>2027</v>
      </c>
      <c r="U4" s="654"/>
    </row>
    <row r="5" spans="2:33" ht="24" customHeight="1" thickBot="1">
      <c r="B5" s="655"/>
      <c r="C5" s="655"/>
    </row>
    <row r="6" spans="2:33" ht="20.25" customHeight="1">
      <c r="B6" s="656" t="s">
        <v>12</v>
      </c>
      <c r="C6" s="659" t="s">
        <v>139</v>
      </c>
      <c r="D6" s="640" t="s">
        <v>13</v>
      </c>
      <c r="E6" s="640" t="s">
        <v>14</v>
      </c>
      <c r="F6" s="640" t="s">
        <v>140</v>
      </c>
      <c r="G6" s="640" t="s">
        <v>141</v>
      </c>
      <c r="H6" s="626" t="s">
        <v>57</v>
      </c>
      <c r="I6" s="626"/>
      <c r="J6" s="626"/>
      <c r="K6" s="626"/>
      <c r="L6" s="626" t="s">
        <v>58</v>
      </c>
      <c r="M6" s="626"/>
      <c r="N6" s="626"/>
      <c r="O6" s="626"/>
      <c r="P6" s="626" t="s">
        <v>59</v>
      </c>
      <c r="Q6" s="626"/>
      <c r="R6" s="626"/>
      <c r="S6" s="626"/>
      <c r="T6" s="627" t="s">
        <v>138</v>
      </c>
      <c r="U6" s="637" t="s">
        <v>125</v>
      </c>
      <c r="W6" s="630" t="s">
        <v>130</v>
      </c>
      <c r="X6" s="631"/>
      <c r="Y6" s="631"/>
      <c r="Z6" s="631"/>
      <c r="AA6" s="631"/>
      <c r="AB6" s="631"/>
      <c r="AC6" s="631"/>
      <c r="AD6" s="631"/>
      <c r="AE6" s="631"/>
      <c r="AF6" s="632"/>
      <c r="AG6" s="244"/>
    </row>
    <row r="7" spans="2:33" ht="16.5" customHeight="1">
      <c r="B7" s="657"/>
      <c r="C7" s="660"/>
      <c r="D7" s="641"/>
      <c r="E7" s="641"/>
      <c r="F7" s="641"/>
      <c r="G7" s="641"/>
      <c r="H7" s="633" t="s">
        <v>123</v>
      </c>
      <c r="I7" s="633"/>
      <c r="J7" s="633" t="s">
        <v>61</v>
      </c>
      <c r="K7" s="633"/>
      <c r="L7" s="633" t="s">
        <v>123</v>
      </c>
      <c r="M7" s="633"/>
      <c r="N7" s="633" t="s">
        <v>61</v>
      </c>
      <c r="O7" s="633"/>
      <c r="P7" s="633" t="s">
        <v>123</v>
      </c>
      <c r="Q7" s="633"/>
      <c r="R7" s="633" t="s">
        <v>61</v>
      </c>
      <c r="S7" s="633"/>
      <c r="T7" s="628"/>
      <c r="U7" s="638"/>
      <c r="W7" s="634" t="s">
        <v>131</v>
      </c>
      <c r="X7" s="635"/>
      <c r="Y7" s="635"/>
      <c r="Z7" s="635"/>
      <c r="AA7" s="635"/>
      <c r="AB7" s="635"/>
      <c r="AC7" s="635"/>
      <c r="AD7" s="635"/>
      <c r="AE7" s="635"/>
      <c r="AF7" s="636"/>
      <c r="AG7" s="244"/>
    </row>
    <row r="8" spans="2:33" ht="17.25" customHeight="1" thickBot="1">
      <c r="B8" s="658"/>
      <c r="C8" s="661"/>
      <c r="D8" s="642"/>
      <c r="E8" s="642"/>
      <c r="F8" s="642"/>
      <c r="G8" s="642"/>
      <c r="H8" s="245" t="s">
        <v>137</v>
      </c>
      <c r="I8" s="245" t="s">
        <v>124</v>
      </c>
      <c r="J8" s="245" t="s">
        <v>137</v>
      </c>
      <c r="K8" s="245" t="s">
        <v>124</v>
      </c>
      <c r="L8" s="245" t="s">
        <v>137</v>
      </c>
      <c r="M8" s="245" t="s">
        <v>124</v>
      </c>
      <c r="N8" s="245" t="s">
        <v>137</v>
      </c>
      <c r="O8" s="245" t="s">
        <v>124</v>
      </c>
      <c r="P8" s="245" t="s">
        <v>137</v>
      </c>
      <c r="Q8" s="245" t="s">
        <v>124</v>
      </c>
      <c r="R8" s="245" t="s">
        <v>137</v>
      </c>
      <c r="S8" s="245" t="s">
        <v>124</v>
      </c>
      <c r="T8" s="629"/>
      <c r="U8" s="639"/>
      <c r="W8" s="11"/>
      <c r="X8" s="246"/>
      <c r="Y8" s="246"/>
      <c r="Z8" s="246"/>
      <c r="AA8" s="246"/>
      <c r="AB8" s="246"/>
      <c r="AC8" s="246"/>
      <c r="AD8" s="246"/>
      <c r="AE8" s="246"/>
      <c r="AF8" s="12"/>
      <c r="AG8" s="244"/>
    </row>
    <row r="9" spans="2:33" ht="16.5" customHeight="1">
      <c r="B9" s="736" t="s">
        <v>629</v>
      </c>
      <c r="C9" s="739">
        <v>7</v>
      </c>
      <c r="D9" s="247" t="s">
        <v>635</v>
      </c>
      <c r="E9" s="176" t="s">
        <v>638</v>
      </c>
      <c r="F9" s="247">
        <v>32</v>
      </c>
      <c r="G9" s="247">
        <v>3</v>
      </c>
      <c r="H9" s="248"/>
      <c r="I9" s="248"/>
      <c r="J9" s="248"/>
      <c r="K9" s="248"/>
      <c r="L9" s="248">
        <v>2</v>
      </c>
      <c r="M9" s="248">
        <f>L9*16</f>
        <v>32</v>
      </c>
      <c r="N9" s="248"/>
      <c r="O9" s="248"/>
      <c r="P9" s="248"/>
      <c r="Q9" s="248"/>
      <c r="R9" s="248"/>
      <c r="S9" s="248"/>
      <c r="T9" s="151">
        <f t="shared" ref="T9:U11" si="0">SUM(H9,J9,L9,N9,P9,R9)</f>
        <v>2</v>
      </c>
      <c r="U9" s="148">
        <f t="shared" si="0"/>
        <v>32</v>
      </c>
      <c r="W9" s="249"/>
      <c r="X9" s="244"/>
      <c r="Y9" s="244"/>
      <c r="Z9" s="244"/>
      <c r="AA9" s="244"/>
      <c r="AB9" s="244"/>
      <c r="AC9" s="244"/>
      <c r="AD9" s="244"/>
      <c r="AE9" s="244"/>
      <c r="AF9" s="250"/>
      <c r="AG9" s="244"/>
    </row>
    <row r="10" spans="2:33" ht="16.5" customHeight="1">
      <c r="B10" s="737"/>
      <c r="C10" s="740"/>
      <c r="D10" s="173" t="s">
        <v>636</v>
      </c>
      <c r="E10" s="162" t="s">
        <v>639</v>
      </c>
      <c r="F10" s="251">
        <v>32</v>
      </c>
      <c r="G10" s="251">
        <v>5</v>
      </c>
      <c r="H10" s="253"/>
      <c r="I10" s="253"/>
      <c r="J10" s="253"/>
      <c r="K10" s="253"/>
      <c r="L10" s="253">
        <v>2</v>
      </c>
      <c r="M10" s="253">
        <f>L10*16</f>
        <v>32</v>
      </c>
      <c r="N10" s="253"/>
      <c r="O10" s="253"/>
      <c r="P10" s="253"/>
      <c r="Q10" s="253"/>
      <c r="R10" s="253"/>
      <c r="S10" s="253"/>
      <c r="T10" s="151">
        <f t="shared" si="0"/>
        <v>2</v>
      </c>
      <c r="U10" s="148">
        <f t="shared" si="0"/>
        <v>32</v>
      </c>
      <c r="W10" s="249"/>
      <c r="X10" s="244"/>
      <c r="Y10" s="244"/>
      <c r="Z10" s="244"/>
      <c r="AA10" s="244"/>
      <c r="AB10" s="244"/>
      <c r="AC10" s="244"/>
      <c r="AD10" s="244"/>
      <c r="AE10" s="244"/>
      <c r="AF10" s="250"/>
      <c r="AG10" s="244"/>
    </row>
    <row r="11" spans="2:33">
      <c r="B11" s="737"/>
      <c r="C11" s="740"/>
      <c r="D11" s="252" t="s">
        <v>637</v>
      </c>
      <c r="E11" s="162" t="s">
        <v>640</v>
      </c>
      <c r="F11" s="252">
        <v>48</v>
      </c>
      <c r="G11" s="252">
        <v>3</v>
      </c>
      <c r="H11" s="254"/>
      <c r="I11" s="254"/>
      <c r="J11" s="254"/>
      <c r="K11" s="254"/>
      <c r="L11" s="254"/>
      <c r="M11" s="254"/>
      <c r="N11" s="254">
        <v>3</v>
      </c>
      <c r="O11" s="253">
        <f>N11*16</f>
        <v>48</v>
      </c>
      <c r="P11" s="254"/>
      <c r="Q11" s="254"/>
      <c r="R11" s="254"/>
      <c r="S11" s="254"/>
      <c r="T11" s="151">
        <f t="shared" si="0"/>
        <v>3</v>
      </c>
      <c r="U11" s="148">
        <f t="shared" si="0"/>
        <v>48</v>
      </c>
    </row>
    <row r="12" spans="2:33" ht="18" thickBot="1">
      <c r="B12" s="738"/>
      <c r="C12" s="741"/>
      <c r="D12" s="609" t="s">
        <v>15</v>
      </c>
      <c r="E12" s="609"/>
      <c r="F12" s="257"/>
      <c r="G12" s="257"/>
      <c r="H12" s="258">
        <f>SUM(H9:H11)</f>
        <v>0</v>
      </c>
      <c r="I12" s="258">
        <f>SUM(I9:I11)</f>
        <v>0</v>
      </c>
      <c r="J12" s="258">
        <f>SUM(J11:J11)</f>
        <v>0</v>
      </c>
      <c r="K12" s="258">
        <f>SUM(K11:K11)</f>
        <v>0</v>
      </c>
      <c r="L12" s="258">
        <f t="shared" ref="L12:U12" si="1">SUM(L9:L11)</f>
        <v>4</v>
      </c>
      <c r="M12" s="258">
        <f t="shared" si="1"/>
        <v>64</v>
      </c>
      <c r="N12" s="258">
        <f t="shared" si="1"/>
        <v>3</v>
      </c>
      <c r="O12" s="258">
        <f t="shared" si="1"/>
        <v>48</v>
      </c>
      <c r="P12" s="258">
        <f t="shared" si="1"/>
        <v>0</v>
      </c>
      <c r="Q12" s="258">
        <f t="shared" si="1"/>
        <v>0</v>
      </c>
      <c r="R12" s="258">
        <f t="shared" si="1"/>
        <v>0</v>
      </c>
      <c r="S12" s="258">
        <f t="shared" si="1"/>
        <v>0</v>
      </c>
      <c r="T12" s="259">
        <f t="shared" si="1"/>
        <v>7</v>
      </c>
      <c r="U12" s="260">
        <f t="shared" si="1"/>
        <v>112</v>
      </c>
    </row>
    <row r="13" spans="2:33">
      <c r="B13" s="610" t="s">
        <v>682</v>
      </c>
      <c r="C13" s="786">
        <v>20</v>
      </c>
      <c r="D13" s="176" t="s">
        <v>685</v>
      </c>
      <c r="E13" s="176" t="s">
        <v>691</v>
      </c>
      <c r="F13" s="286">
        <v>48</v>
      </c>
      <c r="G13" s="264">
        <v>2</v>
      </c>
      <c r="H13" s="265"/>
      <c r="I13" s="265"/>
      <c r="J13" s="265"/>
      <c r="K13" s="265"/>
      <c r="L13" s="265">
        <v>3</v>
      </c>
      <c r="M13" s="253">
        <f>L13*16</f>
        <v>48</v>
      </c>
      <c r="N13" s="265"/>
      <c r="O13" s="265"/>
      <c r="P13" s="22"/>
      <c r="Q13" s="22"/>
      <c r="R13" s="22"/>
      <c r="S13" s="22"/>
      <c r="T13" s="151">
        <f t="shared" ref="T13:U18" si="2">SUM(H13,J13,L13,N13,P13,R13)</f>
        <v>3</v>
      </c>
      <c r="U13" s="148">
        <f t="shared" si="2"/>
        <v>48</v>
      </c>
    </row>
    <row r="14" spans="2:33">
      <c r="B14" s="610"/>
      <c r="C14" s="786"/>
      <c r="D14" s="162" t="s">
        <v>686</v>
      </c>
      <c r="E14" s="162" t="s">
        <v>692</v>
      </c>
      <c r="F14" s="272">
        <v>48</v>
      </c>
      <c r="G14" s="264">
        <v>2</v>
      </c>
      <c r="H14" s="265"/>
      <c r="I14" s="265"/>
      <c r="J14" s="265"/>
      <c r="K14" s="265"/>
      <c r="L14" s="265">
        <v>3</v>
      </c>
      <c r="M14" s="253">
        <f>L14*16</f>
        <v>48</v>
      </c>
      <c r="N14" s="265"/>
      <c r="O14" s="265"/>
      <c r="P14" s="22"/>
      <c r="Q14" s="22"/>
      <c r="R14" s="22"/>
      <c r="S14" s="22"/>
      <c r="T14" s="151">
        <f t="shared" si="2"/>
        <v>3</v>
      </c>
      <c r="U14" s="148">
        <f t="shared" si="2"/>
        <v>48</v>
      </c>
    </row>
    <row r="15" spans="2:33">
      <c r="B15" s="611"/>
      <c r="C15" s="787"/>
      <c r="D15" s="162" t="s">
        <v>687</v>
      </c>
      <c r="E15" s="162" t="s">
        <v>659</v>
      </c>
      <c r="F15" s="272">
        <v>64</v>
      </c>
      <c r="G15" s="264">
        <v>2</v>
      </c>
      <c r="H15" s="265"/>
      <c r="I15" s="265"/>
      <c r="J15" s="265"/>
      <c r="K15" s="265"/>
      <c r="L15" s="265">
        <v>4</v>
      </c>
      <c r="M15" s="253">
        <f>L15*16</f>
        <v>64</v>
      </c>
      <c r="N15" s="265"/>
      <c r="O15" s="265"/>
      <c r="P15" s="22"/>
      <c r="Q15" s="22"/>
      <c r="R15" s="22"/>
      <c r="S15" s="22"/>
      <c r="T15" s="151">
        <f t="shared" si="2"/>
        <v>4</v>
      </c>
      <c r="U15" s="148">
        <f t="shared" si="2"/>
        <v>64</v>
      </c>
    </row>
    <row r="16" spans="2:33">
      <c r="B16" s="611"/>
      <c r="C16" s="787"/>
      <c r="D16" s="162" t="s">
        <v>688</v>
      </c>
      <c r="E16" s="162" t="s">
        <v>693</v>
      </c>
      <c r="F16" s="272">
        <v>48</v>
      </c>
      <c r="G16" s="264">
        <v>2</v>
      </c>
      <c r="H16" s="265"/>
      <c r="I16" s="265"/>
      <c r="J16" s="265"/>
      <c r="K16" s="265"/>
      <c r="L16" s="265"/>
      <c r="M16" s="265"/>
      <c r="N16" s="265">
        <v>3</v>
      </c>
      <c r="O16" s="253">
        <f>N16*16</f>
        <v>48</v>
      </c>
      <c r="P16" s="22"/>
      <c r="Q16" s="22"/>
      <c r="R16" s="22"/>
      <c r="S16" s="22"/>
      <c r="T16" s="151">
        <f t="shared" si="2"/>
        <v>3</v>
      </c>
      <c r="U16" s="148">
        <f t="shared" si="2"/>
        <v>48</v>
      </c>
    </row>
    <row r="17" spans="2:33">
      <c r="B17" s="611"/>
      <c r="C17" s="787"/>
      <c r="D17" s="162" t="s">
        <v>689</v>
      </c>
      <c r="E17" s="162" t="s">
        <v>694</v>
      </c>
      <c r="F17" s="272">
        <v>48</v>
      </c>
      <c r="G17" s="264">
        <v>2</v>
      </c>
      <c r="H17" s="265"/>
      <c r="I17" s="265"/>
      <c r="J17" s="265"/>
      <c r="K17" s="265"/>
      <c r="L17" s="265"/>
      <c r="M17" s="265"/>
      <c r="N17" s="265">
        <v>3</v>
      </c>
      <c r="O17" s="253">
        <f>N17*16</f>
        <v>48</v>
      </c>
      <c r="P17" s="22"/>
      <c r="Q17" s="22"/>
      <c r="R17" s="22"/>
      <c r="S17" s="22"/>
      <c r="T17" s="151">
        <f t="shared" si="2"/>
        <v>3</v>
      </c>
      <c r="U17" s="148">
        <f t="shared" si="2"/>
        <v>48</v>
      </c>
    </row>
    <row r="18" spans="2:33">
      <c r="B18" s="612"/>
      <c r="C18" s="788"/>
      <c r="D18" s="162" t="s">
        <v>690</v>
      </c>
      <c r="E18" s="162" t="s">
        <v>695</v>
      </c>
      <c r="F18" s="286">
        <v>64</v>
      </c>
      <c r="G18" s="264">
        <v>2</v>
      </c>
      <c r="H18" s="265"/>
      <c r="I18" s="265"/>
      <c r="J18" s="265"/>
      <c r="K18" s="265"/>
      <c r="L18" s="265"/>
      <c r="M18" s="265"/>
      <c r="N18" s="265">
        <v>4</v>
      </c>
      <c r="O18" s="253">
        <f>N18*16</f>
        <v>64</v>
      </c>
      <c r="P18" s="22"/>
      <c r="Q18" s="22"/>
      <c r="R18" s="22"/>
      <c r="S18" s="22"/>
      <c r="T18" s="151">
        <f t="shared" si="2"/>
        <v>4</v>
      </c>
      <c r="U18" s="148">
        <f t="shared" si="2"/>
        <v>64</v>
      </c>
    </row>
    <row r="19" spans="2:33" ht="18" thickBot="1">
      <c r="B19" s="613"/>
      <c r="C19" s="617"/>
      <c r="D19" s="609" t="s">
        <v>15</v>
      </c>
      <c r="E19" s="609"/>
      <c r="F19" s="257"/>
      <c r="G19" s="257"/>
      <c r="H19" s="258"/>
      <c r="I19" s="258"/>
      <c r="J19" s="258"/>
      <c r="K19" s="258"/>
      <c r="L19" s="258">
        <f>SUM(L13:L18)</f>
        <v>10</v>
      </c>
      <c r="M19" s="258">
        <f>SUM(M13:M18)</f>
        <v>160</v>
      </c>
      <c r="N19" s="258">
        <f>SUM(N13:N18)</f>
        <v>10</v>
      </c>
      <c r="O19" s="258">
        <f>SUM(O13:O18)</f>
        <v>160</v>
      </c>
      <c r="P19" s="258"/>
      <c r="Q19" s="258"/>
      <c r="R19" s="258"/>
      <c r="S19" s="258"/>
      <c r="T19" s="25">
        <f>SUM(T13:T18)</f>
        <v>20</v>
      </c>
      <c r="U19" s="26">
        <f>SUM(U13:U18)</f>
        <v>320</v>
      </c>
      <c r="W19" s="263" t="s">
        <v>748</v>
      </c>
    </row>
    <row r="20" spans="2:33" ht="17.399999999999999" customHeight="1">
      <c r="B20" s="610" t="s">
        <v>633</v>
      </c>
      <c r="C20" s="614">
        <v>14</v>
      </c>
      <c r="D20" s="176" t="s">
        <v>696</v>
      </c>
      <c r="E20" s="152" t="s">
        <v>700</v>
      </c>
      <c r="F20" s="268">
        <v>64</v>
      </c>
      <c r="G20" s="264">
        <v>2</v>
      </c>
      <c r="H20" s="265"/>
      <c r="I20" s="265"/>
      <c r="J20" s="265"/>
      <c r="K20" s="265"/>
      <c r="L20" s="265"/>
      <c r="M20" s="265"/>
      <c r="N20" s="265"/>
      <c r="O20" s="265"/>
      <c r="P20" s="22">
        <v>4</v>
      </c>
      <c r="Q20" s="253">
        <f>P20*16</f>
        <v>64</v>
      </c>
      <c r="R20" s="22"/>
      <c r="S20" s="22"/>
      <c r="T20" s="151">
        <f t="shared" ref="T20:U23" si="3">SUM(H20,J20,L20,N20,P20,R20)</f>
        <v>4</v>
      </c>
      <c r="U20" s="148">
        <f t="shared" si="3"/>
        <v>64</v>
      </c>
    </row>
    <row r="21" spans="2:33">
      <c r="B21" s="610"/>
      <c r="C21" s="614"/>
      <c r="D21" s="162" t="s">
        <v>697</v>
      </c>
      <c r="E21" s="162" t="s">
        <v>701</v>
      </c>
      <c r="F21" s="264">
        <v>48</v>
      </c>
      <c r="G21" s="264">
        <v>2</v>
      </c>
      <c r="H21" s="265"/>
      <c r="I21" s="265"/>
      <c r="J21" s="265"/>
      <c r="K21" s="265"/>
      <c r="L21" s="265"/>
      <c r="M21" s="265"/>
      <c r="N21" s="265"/>
      <c r="O21" s="265"/>
      <c r="P21" s="22">
        <v>3</v>
      </c>
      <c r="Q21" s="253">
        <f>P21*16</f>
        <v>48</v>
      </c>
      <c r="R21" s="22"/>
      <c r="S21" s="22"/>
      <c r="T21" s="151">
        <f t="shared" si="3"/>
        <v>3</v>
      </c>
      <c r="U21" s="148">
        <f t="shared" si="3"/>
        <v>48</v>
      </c>
    </row>
    <row r="22" spans="2:33">
      <c r="B22" s="611"/>
      <c r="C22" s="615"/>
      <c r="D22" s="175" t="s">
        <v>698</v>
      </c>
      <c r="E22" s="162" t="s">
        <v>702</v>
      </c>
      <c r="F22" s="264">
        <v>64</v>
      </c>
      <c r="G22" s="264">
        <v>4</v>
      </c>
      <c r="H22" s="265"/>
      <c r="I22" s="265"/>
      <c r="J22" s="265"/>
      <c r="K22" s="265"/>
      <c r="L22" s="265"/>
      <c r="M22" s="265"/>
      <c r="N22" s="265"/>
      <c r="O22" s="265"/>
      <c r="P22" s="22"/>
      <c r="Q22" s="22"/>
      <c r="R22" s="22">
        <v>4</v>
      </c>
      <c r="S22" s="253">
        <f>R22*16</f>
        <v>64</v>
      </c>
      <c r="T22" s="151">
        <f t="shared" si="3"/>
        <v>4</v>
      </c>
      <c r="U22" s="148">
        <f t="shared" si="3"/>
        <v>64</v>
      </c>
    </row>
    <row r="23" spans="2:33" ht="34.799999999999997">
      <c r="B23" s="611"/>
      <c r="C23" s="615"/>
      <c r="D23" s="177" t="s">
        <v>699</v>
      </c>
      <c r="E23" s="162" t="s">
        <v>703</v>
      </c>
      <c r="F23" s="264">
        <v>48</v>
      </c>
      <c r="G23" s="264">
        <v>3</v>
      </c>
      <c r="H23" s="265"/>
      <c r="I23" s="265"/>
      <c r="J23" s="265"/>
      <c r="K23" s="265"/>
      <c r="L23" s="265"/>
      <c r="M23" s="265"/>
      <c r="N23" s="265"/>
      <c r="O23" s="265"/>
      <c r="P23" s="22"/>
      <c r="Q23" s="22"/>
      <c r="R23" s="22">
        <v>3</v>
      </c>
      <c r="S23" s="253">
        <f>R23*16</f>
        <v>48</v>
      </c>
      <c r="T23" s="151">
        <f t="shared" si="3"/>
        <v>3</v>
      </c>
      <c r="U23" s="148">
        <f t="shared" si="3"/>
        <v>48</v>
      </c>
    </row>
    <row r="24" spans="2:33" ht="18" thickBot="1">
      <c r="B24" s="613"/>
      <c r="C24" s="617"/>
      <c r="D24" s="609" t="s">
        <v>15</v>
      </c>
      <c r="E24" s="609"/>
      <c r="F24" s="257"/>
      <c r="G24" s="257"/>
      <c r="H24" s="258"/>
      <c r="I24" s="258"/>
      <c r="J24" s="258"/>
      <c r="K24" s="258"/>
      <c r="L24" s="258"/>
      <c r="M24" s="258"/>
      <c r="N24" s="258"/>
      <c r="O24" s="258"/>
      <c r="P24" s="258">
        <f t="shared" ref="P24:U24" si="4">SUM(P20:P23)</f>
        <v>7</v>
      </c>
      <c r="Q24" s="258">
        <f t="shared" si="4"/>
        <v>112</v>
      </c>
      <c r="R24" s="258">
        <f t="shared" si="4"/>
        <v>7</v>
      </c>
      <c r="S24" s="258">
        <f t="shared" si="4"/>
        <v>112</v>
      </c>
      <c r="T24" s="25">
        <f t="shared" si="4"/>
        <v>14</v>
      </c>
      <c r="U24" s="26">
        <f t="shared" si="4"/>
        <v>224</v>
      </c>
    </row>
    <row r="25" spans="2:33" ht="16.5" customHeight="1">
      <c r="B25" s="736" t="s">
        <v>624</v>
      </c>
      <c r="C25" s="739">
        <v>22</v>
      </c>
      <c r="D25" s="278" t="s">
        <v>673</v>
      </c>
      <c r="E25" s="279" t="s">
        <v>705</v>
      </c>
      <c r="F25" s="264">
        <v>64</v>
      </c>
      <c r="G25" s="276">
        <v>2</v>
      </c>
      <c r="H25" s="262"/>
      <c r="I25" s="262"/>
      <c r="J25" s="262"/>
      <c r="K25" s="262"/>
      <c r="L25" s="262"/>
      <c r="M25" s="266"/>
      <c r="N25" s="262"/>
      <c r="O25" s="262"/>
      <c r="P25" s="262">
        <v>4</v>
      </c>
      <c r="Q25" s="265">
        <f>P25*16</f>
        <v>64</v>
      </c>
      <c r="R25" s="262"/>
      <c r="S25" s="262"/>
      <c r="T25" s="292">
        <f t="shared" ref="T25:U30" si="5">SUM(H25,J25,L25,N25,P25,R25)</f>
        <v>4</v>
      </c>
      <c r="U25" s="293">
        <f t="shared" si="5"/>
        <v>64</v>
      </c>
      <c r="W25" s="244"/>
      <c r="X25" s="244"/>
      <c r="Y25" s="244"/>
      <c r="Z25" s="244"/>
      <c r="AA25" s="244"/>
      <c r="AB25" s="244"/>
      <c r="AC25" s="244"/>
      <c r="AD25" s="244"/>
      <c r="AE25" s="244"/>
      <c r="AF25" s="250"/>
      <c r="AG25" s="244"/>
    </row>
    <row r="26" spans="2:33" ht="16.5" customHeight="1">
      <c r="B26" s="737"/>
      <c r="C26" s="740"/>
      <c r="D26" s="277" t="s">
        <v>674</v>
      </c>
      <c r="E26" s="280" t="s">
        <v>677</v>
      </c>
      <c r="F26" s="264">
        <v>64</v>
      </c>
      <c r="G26" s="305">
        <v>2</v>
      </c>
      <c r="H26" s="265"/>
      <c r="I26" s="265"/>
      <c r="J26" s="265"/>
      <c r="K26" s="265"/>
      <c r="L26" s="265"/>
      <c r="M26" s="265"/>
      <c r="N26" s="265"/>
      <c r="O26" s="265"/>
      <c r="P26" s="265">
        <v>4</v>
      </c>
      <c r="Q26" s="265">
        <f>P26*16</f>
        <v>64</v>
      </c>
      <c r="R26" s="265"/>
      <c r="S26" s="265"/>
      <c r="T26" s="292">
        <f t="shared" si="5"/>
        <v>4</v>
      </c>
      <c r="U26" s="293">
        <f t="shared" si="5"/>
        <v>64</v>
      </c>
      <c r="W26" s="244"/>
      <c r="X26" s="244"/>
      <c r="Y26" s="244"/>
      <c r="Z26" s="244"/>
      <c r="AA26" s="244"/>
      <c r="AB26" s="244"/>
      <c r="AC26" s="244"/>
      <c r="AD26" s="244"/>
      <c r="AE26" s="244"/>
      <c r="AF26" s="250"/>
      <c r="AG26" s="244"/>
    </row>
    <row r="27" spans="2:33" ht="16.5" customHeight="1">
      <c r="B27" s="737"/>
      <c r="C27" s="740"/>
      <c r="D27" s="281" t="s">
        <v>751</v>
      </c>
      <c r="E27" s="282" t="s">
        <v>752</v>
      </c>
      <c r="F27" s="264">
        <v>32</v>
      </c>
      <c r="G27" s="305">
        <v>2</v>
      </c>
      <c r="H27" s="265"/>
      <c r="I27" s="265"/>
      <c r="J27" s="265"/>
      <c r="K27" s="265"/>
      <c r="L27" s="265"/>
      <c r="M27" s="265"/>
      <c r="N27" s="265"/>
      <c r="O27" s="265"/>
      <c r="P27" s="265">
        <v>2</v>
      </c>
      <c r="Q27" s="265">
        <f>P27*16</f>
        <v>32</v>
      </c>
      <c r="R27" s="265"/>
      <c r="S27" s="265"/>
      <c r="T27" s="292">
        <f t="shared" si="5"/>
        <v>2</v>
      </c>
      <c r="U27" s="293">
        <f t="shared" si="5"/>
        <v>32</v>
      </c>
      <c r="W27" s="244"/>
      <c r="X27" s="244"/>
      <c r="Y27" s="244"/>
      <c r="Z27" s="244"/>
      <c r="AA27" s="244"/>
      <c r="AB27" s="244"/>
      <c r="AC27" s="244"/>
      <c r="AD27" s="244"/>
      <c r="AE27" s="244"/>
      <c r="AF27" s="304"/>
      <c r="AG27" s="244"/>
    </row>
    <row r="28" spans="2:33">
      <c r="B28" s="737"/>
      <c r="C28" s="740"/>
      <c r="D28" s="306" t="s">
        <v>675</v>
      </c>
      <c r="E28" s="307" t="s">
        <v>678</v>
      </c>
      <c r="F28" s="284">
        <v>64</v>
      </c>
      <c r="G28" s="305">
        <v>2</v>
      </c>
      <c r="H28" s="308"/>
      <c r="I28" s="308"/>
      <c r="J28" s="308"/>
      <c r="K28" s="308"/>
      <c r="L28" s="308"/>
      <c r="M28" s="308"/>
      <c r="N28" s="308"/>
      <c r="O28" s="308"/>
      <c r="P28" s="308"/>
      <c r="Q28" s="308"/>
      <c r="R28" s="308">
        <v>4</v>
      </c>
      <c r="S28" s="308">
        <f>R28*16</f>
        <v>64</v>
      </c>
      <c r="T28" s="292">
        <f t="shared" si="5"/>
        <v>4</v>
      </c>
      <c r="U28" s="293">
        <f t="shared" si="5"/>
        <v>64</v>
      </c>
    </row>
    <row r="29" spans="2:33">
      <c r="B29" s="737"/>
      <c r="C29" s="740"/>
      <c r="D29" s="306" t="s">
        <v>676</v>
      </c>
      <c r="E29" s="307" t="s">
        <v>753</v>
      </c>
      <c r="F29" s="309">
        <v>64</v>
      </c>
      <c r="G29" s="305">
        <v>2</v>
      </c>
      <c r="H29" s="308"/>
      <c r="I29" s="308"/>
      <c r="J29" s="308"/>
      <c r="K29" s="308"/>
      <c r="L29" s="308"/>
      <c r="M29" s="308"/>
      <c r="N29" s="308"/>
      <c r="O29" s="310"/>
      <c r="P29" s="308"/>
      <c r="Q29" s="308"/>
      <c r="R29" s="308">
        <v>4</v>
      </c>
      <c r="S29" s="308">
        <f>R29*16</f>
        <v>64</v>
      </c>
      <c r="T29" s="292">
        <f t="shared" si="5"/>
        <v>4</v>
      </c>
      <c r="U29" s="293">
        <f t="shared" si="5"/>
        <v>64</v>
      </c>
    </row>
    <row r="30" spans="2:33">
      <c r="B30" s="737"/>
      <c r="C30" s="740"/>
      <c r="D30" s="306" t="s">
        <v>704</v>
      </c>
      <c r="E30" s="307" t="s">
        <v>706</v>
      </c>
      <c r="F30" s="309">
        <v>64</v>
      </c>
      <c r="G30" s="311">
        <v>2</v>
      </c>
      <c r="H30" s="312"/>
      <c r="I30" s="312"/>
      <c r="J30" s="312"/>
      <c r="K30" s="312"/>
      <c r="L30" s="312"/>
      <c r="M30" s="312"/>
      <c r="N30" s="312"/>
      <c r="O30" s="313"/>
      <c r="P30" s="312"/>
      <c r="Q30" s="312"/>
      <c r="R30" s="312">
        <v>4</v>
      </c>
      <c r="S30" s="308">
        <f>R30*16</f>
        <v>64</v>
      </c>
      <c r="T30" s="292">
        <f t="shared" si="5"/>
        <v>4</v>
      </c>
      <c r="U30" s="293">
        <f t="shared" si="5"/>
        <v>64</v>
      </c>
    </row>
    <row r="31" spans="2:33" ht="18" thickBot="1">
      <c r="B31" s="738"/>
      <c r="C31" s="741"/>
      <c r="D31" s="883" t="s">
        <v>15</v>
      </c>
      <c r="E31" s="884"/>
      <c r="F31" s="314"/>
      <c r="G31" s="314"/>
      <c r="H31" s="258">
        <f>SUM(H25:H29)</f>
        <v>0</v>
      </c>
      <c r="I31" s="258">
        <f>SUM(I25:I29)</f>
        <v>0</v>
      </c>
      <c r="J31" s="258">
        <f>SUM(J28:J29)</f>
        <v>0</v>
      </c>
      <c r="K31" s="258">
        <f>SUM(K28:K29)</f>
        <v>0</v>
      </c>
      <c r="L31" s="258">
        <f t="shared" ref="L31:U31" si="6">SUM(L25:L29)</f>
        <v>0</v>
      </c>
      <c r="M31" s="258">
        <f t="shared" si="6"/>
        <v>0</v>
      </c>
      <c r="N31" s="258">
        <f t="shared" si="6"/>
        <v>0</v>
      </c>
      <c r="O31" s="258">
        <f t="shared" si="6"/>
        <v>0</v>
      </c>
      <c r="P31" s="258">
        <f t="shared" si="6"/>
        <v>10</v>
      </c>
      <c r="Q31" s="258">
        <f t="shared" si="6"/>
        <v>160</v>
      </c>
      <c r="R31" s="258">
        <f>SUM(R25:R30)</f>
        <v>12</v>
      </c>
      <c r="S31" s="258">
        <f>SUM(S25:S30)</f>
        <v>192</v>
      </c>
      <c r="T31" s="259">
        <f t="shared" si="6"/>
        <v>18</v>
      </c>
      <c r="U31" s="260">
        <f t="shared" si="6"/>
        <v>288</v>
      </c>
    </row>
    <row r="32" spans="2:33" ht="16.5" customHeight="1">
      <c r="B32" s="736" t="s">
        <v>634</v>
      </c>
      <c r="C32" s="739">
        <v>20</v>
      </c>
      <c r="D32" s="152" t="s">
        <v>707</v>
      </c>
      <c r="E32" s="176" t="s">
        <v>711</v>
      </c>
      <c r="F32" s="247">
        <v>80</v>
      </c>
      <c r="G32" s="247">
        <v>3</v>
      </c>
      <c r="H32" s="248"/>
      <c r="I32" s="248"/>
      <c r="J32" s="248"/>
      <c r="K32" s="248"/>
      <c r="L32" s="248"/>
      <c r="M32" s="248"/>
      <c r="N32" s="248"/>
      <c r="O32" s="248"/>
      <c r="P32" s="248">
        <v>5</v>
      </c>
      <c r="Q32" s="253">
        <f>P32*16</f>
        <v>80</v>
      </c>
      <c r="R32" s="248"/>
      <c r="S32" s="248"/>
      <c r="T32" s="151">
        <f t="shared" ref="T32:T36" si="7">SUM(H32,J32,L32,N32,P32,R32)</f>
        <v>5</v>
      </c>
      <c r="U32" s="148">
        <f>SUM(I32,K32,M32,O32,Q32,S32)</f>
        <v>80</v>
      </c>
      <c r="W32" s="244"/>
      <c r="X32" s="244"/>
      <c r="Y32" s="244"/>
      <c r="Z32" s="244"/>
      <c r="AA32" s="244"/>
      <c r="AB32" s="244"/>
      <c r="AC32" s="244"/>
      <c r="AD32" s="244"/>
      <c r="AE32" s="244"/>
      <c r="AF32" s="250"/>
      <c r="AG32" s="244"/>
    </row>
    <row r="33" spans="2:33" ht="16.5" customHeight="1">
      <c r="B33" s="737"/>
      <c r="C33" s="740"/>
      <c r="D33" s="178" t="s">
        <v>708</v>
      </c>
      <c r="E33" s="162" t="s">
        <v>712</v>
      </c>
      <c r="F33" s="251">
        <v>80</v>
      </c>
      <c r="G33" s="251">
        <v>2</v>
      </c>
      <c r="H33" s="253"/>
      <c r="I33" s="253"/>
      <c r="J33" s="253"/>
      <c r="K33" s="253"/>
      <c r="L33" s="253"/>
      <c r="M33" s="253"/>
      <c r="N33" s="253"/>
      <c r="O33" s="253"/>
      <c r="P33" s="253">
        <v>5</v>
      </c>
      <c r="Q33" s="253">
        <f>P33*16</f>
        <v>80</v>
      </c>
      <c r="R33" s="253"/>
      <c r="S33" s="253"/>
      <c r="T33" s="151">
        <f t="shared" si="7"/>
        <v>5</v>
      </c>
      <c r="U33" s="148">
        <f>SUM(I33,K33,M33,O33,Q33,S33)</f>
        <v>80</v>
      </c>
      <c r="W33" s="244"/>
      <c r="X33" s="244"/>
      <c r="Y33" s="244"/>
      <c r="Z33" s="244"/>
      <c r="AA33" s="244"/>
      <c r="AB33" s="244"/>
      <c r="AC33" s="244"/>
      <c r="AD33" s="244"/>
      <c r="AE33" s="244"/>
      <c r="AF33" s="250"/>
      <c r="AG33" s="244"/>
    </row>
    <row r="34" spans="2:33">
      <c r="B34" s="737"/>
      <c r="C34" s="740"/>
      <c r="D34" s="179" t="s">
        <v>710</v>
      </c>
      <c r="E34" s="162" t="s">
        <v>713</v>
      </c>
      <c r="F34" s="252">
        <v>48</v>
      </c>
      <c r="G34" s="252">
        <v>5</v>
      </c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>
        <v>3</v>
      </c>
      <c r="S34" s="253">
        <f>R34*16</f>
        <v>48</v>
      </c>
      <c r="T34" s="151">
        <f t="shared" si="7"/>
        <v>3</v>
      </c>
      <c r="U34" s="148">
        <f>SUM(I34,K34,M34,O34,Q34,S34)</f>
        <v>48</v>
      </c>
    </row>
    <row r="35" spans="2:33">
      <c r="B35" s="737"/>
      <c r="C35" s="740"/>
      <c r="D35" s="179" t="s">
        <v>665</v>
      </c>
      <c r="E35" s="162" t="s">
        <v>669</v>
      </c>
      <c r="F35" s="252">
        <v>64</v>
      </c>
      <c r="G35" s="252">
        <v>2</v>
      </c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>
        <v>4</v>
      </c>
      <c r="S35" s="253">
        <f>R35*16</f>
        <v>64</v>
      </c>
      <c r="T35" s="151">
        <f t="shared" si="7"/>
        <v>4</v>
      </c>
      <c r="U35" s="148">
        <f>SUM(I35,K35,M35,O35,Q35,S35)</f>
        <v>64</v>
      </c>
    </row>
    <row r="36" spans="2:33" ht="34.799999999999997">
      <c r="B36" s="737"/>
      <c r="C36" s="740"/>
      <c r="D36" s="180" t="s">
        <v>709</v>
      </c>
      <c r="E36" s="162" t="s">
        <v>714</v>
      </c>
      <c r="F36" s="252">
        <v>48</v>
      </c>
      <c r="G36" s="252">
        <v>3</v>
      </c>
      <c r="H36" s="254"/>
      <c r="I36" s="254"/>
      <c r="J36" s="254"/>
      <c r="K36" s="254"/>
      <c r="L36" s="254"/>
      <c r="M36" s="254"/>
      <c r="N36" s="254"/>
      <c r="O36" s="254"/>
      <c r="P36" s="254"/>
      <c r="Q36" s="254"/>
      <c r="R36" s="254">
        <v>3</v>
      </c>
      <c r="S36" s="253">
        <f>R36*16</f>
        <v>48</v>
      </c>
      <c r="T36" s="151">
        <f t="shared" si="7"/>
        <v>3</v>
      </c>
      <c r="U36" s="148">
        <f>SUM(I36,K36,M36,O36,Q36,S36)</f>
        <v>48</v>
      </c>
    </row>
    <row r="37" spans="2:33" ht="18" thickBot="1">
      <c r="B37" s="738"/>
      <c r="C37" s="741"/>
      <c r="D37" s="609" t="s">
        <v>15</v>
      </c>
      <c r="E37" s="609"/>
      <c r="F37" s="257"/>
      <c r="G37" s="257"/>
      <c r="H37" s="258">
        <f>SUM(H32:H36)</f>
        <v>0</v>
      </c>
      <c r="I37" s="258">
        <f>SUM(I32:I36)</f>
        <v>0</v>
      </c>
      <c r="J37" s="258">
        <f>SUM(J34:J36)</f>
        <v>0</v>
      </c>
      <c r="K37" s="258">
        <f>SUM(K34:K36)</f>
        <v>0</v>
      </c>
      <c r="L37" s="258">
        <f t="shared" ref="L37:U37" si="8">SUM(L32:L36)</f>
        <v>0</v>
      </c>
      <c r="M37" s="258">
        <f t="shared" si="8"/>
        <v>0</v>
      </c>
      <c r="N37" s="258">
        <f t="shared" si="8"/>
        <v>0</v>
      </c>
      <c r="O37" s="258">
        <f t="shared" si="8"/>
        <v>0</v>
      </c>
      <c r="P37" s="258">
        <f t="shared" si="8"/>
        <v>10</v>
      </c>
      <c r="Q37" s="258">
        <f t="shared" si="8"/>
        <v>160</v>
      </c>
      <c r="R37" s="258">
        <f t="shared" si="8"/>
        <v>10</v>
      </c>
      <c r="S37" s="258">
        <f t="shared" si="8"/>
        <v>160</v>
      </c>
      <c r="T37" s="259">
        <f t="shared" si="8"/>
        <v>20</v>
      </c>
      <c r="U37" s="260">
        <f t="shared" si="8"/>
        <v>320</v>
      </c>
    </row>
    <row r="39" spans="2:33">
      <c r="W39">
        <v>3</v>
      </c>
    </row>
  </sheetData>
  <mergeCells count="42">
    <mergeCell ref="B25:B31"/>
    <mergeCell ref="C25:C31"/>
    <mergeCell ref="D31:E31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2"/>
    <mergeCell ref="C9:C12"/>
    <mergeCell ref="D12:E12"/>
    <mergeCell ref="B13:B19"/>
    <mergeCell ref="C13:C19"/>
    <mergeCell ref="D19:E19"/>
    <mergeCell ref="B32:B37"/>
    <mergeCell ref="C32:C37"/>
    <mergeCell ref="D37:E37"/>
    <mergeCell ref="B20:B24"/>
    <mergeCell ref="C20:C24"/>
    <mergeCell ref="D24:E24"/>
  </mergeCells>
  <phoneticPr fontId="9" type="noConversion"/>
  <pageMargins left="0.70866141732283472" right="0.70866141732283472" top="0.74803149606299213" bottom="0.74803149606299213" header="0.31496062992125984" footer="0.31496062992125984"/>
  <pageSetup paperSize="12" scale="54" orientation="landscape" cellComments="asDisplayed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L151"/>
  <sheetViews>
    <sheetView workbookViewId="0">
      <pane ySplit="1" topLeftCell="A104" activePane="bottomLeft" state="frozen"/>
      <selection pane="bottomLeft" activeCell="F170" sqref="F170"/>
    </sheetView>
  </sheetViews>
  <sheetFormatPr defaultRowHeight="17.399999999999999"/>
  <cols>
    <col min="1" max="1" width="16.5" style="1" bestFit="1" customWidth="1"/>
    <col min="2" max="5" width="9" style="1"/>
    <col min="6" max="6" width="11.3984375" style="1" bestFit="1" customWidth="1"/>
    <col min="9" max="9" width="17.59765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18</v>
      </c>
      <c r="B1" s="2" t="s">
        <v>1</v>
      </c>
      <c r="C1" s="21"/>
      <c r="D1" s="2" t="s">
        <v>17</v>
      </c>
      <c r="E1" s="2" t="s">
        <v>121</v>
      </c>
      <c r="F1" s="2" t="s">
        <v>19</v>
      </c>
      <c r="G1" s="5"/>
      <c r="H1" s="6" t="s">
        <v>72</v>
      </c>
      <c r="I1" s="6" t="s">
        <v>64</v>
      </c>
      <c r="J1" s="6" t="s">
        <v>90</v>
      </c>
      <c r="K1" s="6" t="s">
        <v>91</v>
      </c>
      <c r="L1" s="6" t="s">
        <v>116</v>
      </c>
    </row>
    <row r="2" spans="1:12" hidden="1">
      <c r="A2" s="3" t="s">
        <v>201</v>
      </c>
      <c r="B2" s="3" t="s">
        <v>16</v>
      </c>
      <c r="C2" s="3" t="s">
        <v>20</v>
      </c>
      <c r="D2" s="3" t="s">
        <v>32</v>
      </c>
      <c r="E2" s="3">
        <v>4</v>
      </c>
      <c r="F2" s="7" t="s">
        <v>338</v>
      </c>
      <c r="G2" s="5"/>
      <c r="H2" s="3" t="s">
        <v>73</v>
      </c>
      <c r="I2" s="3" t="s">
        <v>65</v>
      </c>
      <c r="J2" s="3" t="s">
        <v>166</v>
      </c>
      <c r="K2" s="3" t="s">
        <v>166</v>
      </c>
      <c r="L2" s="3" t="s">
        <v>122</v>
      </c>
    </row>
    <row r="3" spans="1:12" hidden="1">
      <c r="A3" s="3" t="s">
        <v>202</v>
      </c>
      <c r="B3" s="3" t="s">
        <v>16</v>
      </c>
      <c r="C3" s="3" t="s">
        <v>20</v>
      </c>
      <c r="D3" s="3" t="s">
        <v>11</v>
      </c>
      <c r="E3" s="3">
        <v>4</v>
      </c>
      <c r="F3" s="7" t="s">
        <v>338</v>
      </c>
      <c r="G3" s="5"/>
      <c r="H3" s="3" t="s">
        <v>74</v>
      </c>
      <c r="I3" s="3" t="s">
        <v>66</v>
      </c>
      <c r="J3" s="3" t="s">
        <v>167</v>
      </c>
      <c r="K3" s="3" t="s">
        <v>167</v>
      </c>
      <c r="L3" s="3" t="s">
        <v>117</v>
      </c>
    </row>
    <row r="4" spans="1:12" hidden="1">
      <c r="A4" s="3" t="s">
        <v>204</v>
      </c>
      <c r="B4" s="3" t="s">
        <v>16</v>
      </c>
      <c r="C4" s="3" t="s">
        <v>20</v>
      </c>
      <c r="D4" s="3" t="s">
        <v>33</v>
      </c>
      <c r="E4" s="3">
        <v>4</v>
      </c>
      <c r="F4" s="7" t="s">
        <v>340</v>
      </c>
      <c r="G4" s="5"/>
      <c r="H4" s="3" t="s">
        <v>75</v>
      </c>
      <c r="I4" s="3" t="s">
        <v>156</v>
      </c>
      <c r="J4" s="3" t="s">
        <v>92</v>
      </c>
      <c r="K4" s="3" t="s">
        <v>92</v>
      </c>
      <c r="L4" s="3" t="s">
        <v>118</v>
      </c>
    </row>
    <row r="5" spans="1:12" hidden="1">
      <c r="A5" s="3" t="s">
        <v>205</v>
      </c>
      <c r="B5" s="3" t="s">
        <v>16</v>
      </c>
      <c r="C5" s="3" t="s">
        <v>20</v>
      </c>
      <c r="D5" s="3" t="s">
        <v>33</v>
      </c>
      <c r="E5" s="3">
        <v>4</v>
      </c>
      <c r="F5" s="7" t="s">
        <v>340</v>
      </c>
      <c r="G5" s="5"/>
      <c r="H5" s="3" t="s">
        <v>76</v>
      </c>
      <c r="I5" s="3" t="s">
        <v>157</v>
      </c>
      <c r="J5" s="3" t="s">
        <v>168</v>
      </c>
      <c r="K5" s="3" t="s">
        <v>168</v>
      </c>
      <c r="L5" s="3"/>
    </row>
    <row r="6" spans="1:12" hidden="1">
      <c r="A6" s="3" t="s">
        <v>3</v>
      </c>
      <c r="B6" s="3" t="s">
        <v>16</v>
      </c>
      <c r="C6" s="3" t="s">
        <v>20</v>
      </c>
      <c r="D6" s="3" t="s">
        <v>33</v>
      </c>
      <c r="E6" s="3">
        <v>4</v>
      </c>
      <c r="F6" s="7" t="s">
        <v>340</v>
      </c>
      <c r="G6" s="5"/>
      <c r="H6" s="3" t="s">
        <v>77</v>
      </c>
      <c r="I6" s="3" t="s">
        <v>158</v>
      </c>
      <c r="J6" s="3" t="s">
        <v>169</v>
      </c>
      <c r="K6" s="3" t="s">
        <v>169</v>
      </c>
      <c r="L6" s="8"/>
    </row>
    <row r="7" spans="1:12" hidden="1">
      <c r="A7" s="3" t="s">
        <v>206</v>
      </c>
      <c r="B7" s="3" t="s">
        <v>16</v>
      </c>
      <c r="C7" s="3" t="s">
        <v>20</v>
      </c>
      <c r="D7" s="3" t="s">
        <v>34</v>
      </c>
      <c r="E7" s="3">
        <v>4</v>
      </c>
      <c r="F7" s="7" t="s">
        <v>340</v>
      </c>
      <c r="G7" s="5"/>
      <c r="H7" s="3" t="s">
        <v>78</v>
      </c>
      <c r="I7" s="3" t="s">
        <v>164</v>
      </c>
      <c r="J7" s="3" t="s">
        <v>93</v>
      </c>
      <c r="K7" s="3" t="s">
        <v>93</v>
      </c>
      <c r="L7" s="5"/>
    </row>
    <row r="8" spans="1:12" hidden="1">
      <c r="A8" s="3" t="s">
        <v>207</v>
      </c>
      <c r="B8" s="3" t="s">
        <v>16</v>
      </c>
      <c r="C8" s="3" t="s">
        <v>20</v>
      </c>
      <c r="D8" s="3" t="s">
        <v>34</v>
      </c>
      <c r="E8" s="3">
        <v>4</v>
      </c>
      <c r="F8" s="7" t="s">
        <v>340</v>
      </c>
      <c r="G8" s="5"/>
      <c r="H8" s="3" t="s">
        <v>79</v>
      </c>
      <c r="I8" s="3" t="s">
        <v>159</v>
      </c>
      <c r="J8" s="3" t="s">
        <v>170</v>
      </c>
      <c r="K8" s="3" t="s">
        <v>170</v>
      </c>
      <c r="L8" s="5"/>
    </row>
    <row r="9" spans="1:12" hidden="1">
      <c r="A9" s="3" t="s">
        <v>208</v>
      </c>
      <c r="B9" s="3" t="s">
        <v>16</v>
      </c>
      <c r="C9" s="3" t="s">
        <v>20</v>
      </c>
      <c r="D9" s="3" t="s">
        <v>34</v>
      </c>
      <c r="E9" s="3">
        <v>4</v>
      </c>
      <c r="F9" s="7" t="s">
        <v>340</v>
      </c>
      <c r="G9" s="5"/>
      <c r="H9" s="3" t="s">
        <v>80</v>
      </c>
      <c r="I9" s="3" t="s">
        <v>67</v>
      </c>
      <c r="J9" s="3" t="s">
        <v>171</v>
      </c>
      <c r="K9" s="3" t="s">
        <v>171</v>
      </c>
      <c r="L9" s="5"/>
    </row>
    <row r="10" spans="1:12" hidden="1">
      <c r="A10" s="3" t="s">
        <v>209</v>
      </c>
      <c r="B10" s="3" t="s">
        <v>16</v>
      </c>
      <c r="C10" s="3" t="s">
        <v>20</v>
      </c>
      <c r="D10" s="3" t="s">
        <v>212</v>
      </c>
      <c r="E10" s="3">
        <v>4</v>
      </c>
      <c r="F10" s="7" t="s">
        <v>340</v>
      </c>
      <c r="G10" s="5"/>
      <c r="H10" s="3" t="s">
        <v>81</v>
      </c>
      <c r="I10" s="3" t="s">
        <v>68</v>
      </c>
      <c r="J10" s="3" t="s">
        <v>111</v>
      </c>
      <c r="K10" s="3" t="s">
        <v>111</v>
      </c>
      <c r="L10" s="5"/>
    </row>
    <row r="11" spans="1:12" hidden="1">
      <c r="A11" s="3" t="s">
        <v>210</v>
      </c>
      <c r="B11" s="3" t="s">
        <v>16</v>
      </c>
      <c r="C11" s="3" t="s">
        <v>20</v>
      </c>
      <c r="D11" s="3" t="s">
        <v>212</v>
      </c>
      <c r="E11" s="3">
        <v>4</v>
      </c>
      <c r="F11" s="7" t="s">
        <v>340</v>
      </c>
      <c r="G11" s="5"/>
      <c r="H11" s="3" t="s">
        <v>82</v>
      </c>
      <c r="I11" s="3" t="s">
        <v>69</v>
      </c>
      <c r="J11" s="3" t="s">
        <v>94</v>
      </c>
      <c r="K11" s="3" t="s">
        <v>94</v>
      </c>
      <c r="L11" s="5"/>
    </row>
    <row r="12" spans="1:12" hidden="1">
      <c r="A12" s="3" t="s">
        <v>211</v>
      </c>
      <c r="B12" s="3" t="s">
        <v>16</v>
      </c>
      <c r="C12" s="3" t="s">
        <v>20</v>
      </c>
      <c r="D12" s="3" t="s">
        <v>212</v>
      </c>
      <c r="E12" s="3">
        <v>4</v>
      </c>
      <c r="F12" s="7" t="s">
        <v>340</v>
      </c>
      <c r="G12" s="5"/>
      <c r="H12" s="3" t="s">
        <v>83</v>
      </c>
      <c r="I12" s="3" t="s">
        <v>160</v>
      </c>
      <c r="J12" s="3" t="s">
        <v>95</v>
      </c>
      <c r="K12" s="3" t="s">
        <v>95</v>
      </c>
      <c r="L12" s="5"/>
    </row>
    <row r="13" spans="1:12" hidden="1">
      <c r="A13" s="3" t="s">
        <v>213</v>
      </c>
      <c r="B13" s="3" t="s">
        <v>16</v>
      </c>
      <c r="C13" s="3" t="s">
        <v>21</v>
      </c>
      <c r="D13" s="3" t="s">
        <v>32</v>
      </c>
      <c r="E13" s="3">
        <v>4</v>
      </c>
      <c r="F13" s="7" t="s">
        <v>338</v>
      </c>
      <c r="G13" s="5"/>
      <c r="H13" s="3" t="s">
        <v>84</v>
      </c>
      <c r="I13" s="3" t="s">
        <v>70</v>
      </c>
      <c r="J13" s="3" t="s">
        <v>172</v>
      </c>
      <c r="K13" s="3" t="s">
        <v>172</v>
      </c>
      <c r="L13" s="5"/>
    </row>
    <row r="14" spans="1:12" hidden="1">
      <c r="A14" s="3" t="s">
        <v>215</v>
      </c>
      <c r="B14" s="3" t="s">
        <v>16</v>
      </c>
      <c r="C14" s="3" t="s">
        <v>21</v>
      </c>
      <c r="D14" s="3" t="s">
        <v>11</v>
      </c>
      <c r="E14" s="3">
        <v>4</v>
      </c>
      <c r="F14" s="7" t="s">
        <v>338</v>
      </c>
      <c r="G14" s="5"/>
      <c r="H14" s="3" t="s">
        <v>85</v>
      </c>
      <c r="I14" s="3" t="s">
        <v>71</v>
      </c>
      <c r="J14" s="3" t="s">
        <v>96</v>
      </c>
      <c r="K14" s="3" t="s">
        <v>96</v>
      </c>
      <c r="L14" s="5"/>
    </row>
    <row r="15" spans="1:12" hidden="1">
      <c r="A15" s="3" t="s">
        <v>216</v>
      </c>
      <c r="B15" s="3" t="s">
        <v>16</v>
      </c>
      <c r="C15" s="3" t="s">
        <v>21</v>
      </c>
      <c r="D15" s="3" t="s">
        <v>33</v>
      </c>
      <c r="E15" s="3">
        <v>4</v>
      </c>
      <c r="F15" s="7" t="s">
        <v>340</v>
      </c>
      <c r="G15" s="5"/>
      <c r="H15" s="3" t="s">
        <v>86</v>
      </c>
      <c r="I15" s="3" t="s">
        <v>161</v>
      </c>
      <c r="J15" s="3" t="s">
        <v>173</v>
      </c>
      <c r="K15" s="3" t="s">
        <v>173</v>
      </c>
      <c r="L15" s="5"/>
    </row>
    <row r="16" spans="1:12" hidden="1">
      <c r="A16" s="3" t="s">
        <v>217</v>
      </c>
      <c r="B16" s="3" t="s">
        <v>16</v>
      </c>
      <c r="C16" s="3" t="s">
        <v>21</v>
      </c>
      <c r="D16" s="3" t="s">
        <v>33</v>
      </c>
      <c r="E16" s="3">
        <v>4</v>
      </c>
      <c r="F16" s="7" t="s">
        <v>340</v>
      </c>
      <c r="G16" s="5"/>
      <c r="H16" s="3" t="s">
        <v>87</v>
      </c>
      <c r="I16" s="3" t="s">
        <v>162</v>
      </c>
      <c r="J16" s="3" t="s">
        <v>174</v>
      </c>
      <c r="K16" s="3" t="s">
        <v>174</v>
      </c>
      <c r="L16" s="5"/>
    </row>
    <row r="17" spans="1:12" hidden="1">
      <c r="A17" s="3" t="s">
        <v>35</v>
      </c>
      <c r="B17" s="3" t="s">
        <v>16</v>
      </c>
      <c r="C17" s="3" t="s">
        <v>21</v>
      </c>
      <c r="D17" s="3" t="s">
        <v>33</v>
      </c>
      <c r="E17" s="3">
        <v>4</v>
      </c>
      <c r="F17" s="7" t="s">
        <v>340</v>
      </c>
      <c r="G17" s="5"/>
      <c r="H17" s="3" t="s">
        <v>88</v>
      </c>
      <c r="I17" s="3" t="s">
        <v>163</v>
      </c>
      <c r="J17" s="3" t="s">
        <v>175</v>
      </c>
      <c r="K17" s="3" t="s">
        <v>175</v>
      </c>
      <c r="L17" s="5"/>
    </row>
    <row r="18" spans="1:12" hidden="1">
      <c r="A18" s="3" t="s">
        <v>218</v>
      </c>
      <c r="B18" s="3" t="s">
        <v>16</v>
      </c>
      <c r="C18" s="3" t="s">
        <v>21</v>
      </c>
      <c r="D18" s="3" t="s">
        <v>34</v>
      </c>
      <c r="E18" s="3">
        <v>4</v>
      </c>
      <c r="F18" s="7" t="s">
        <v>340</v>
      </c>
      <c r="G18" s="5"/>
      <c r="H18" s="3" t="s">
        <v>89</v>
      </c>
      <c r="I18" s="3" t="s">
        <v>165</v>
      </c>
      <c r="J18" s="3" t="s">
        <v>176</v>
      </c>
      <c r="K18" s="3" t="s">
        <v>176</v>
      </c>
      <c r="L18" s="5"/>
    </row>
    <row r="19" spans="1:12" hidden="1">
      <c r="A19" s="3" t="s">
        <v>36</v>
      </c>
      <c r="B19" s="3" t="s">
        <v>16</v>
      </c>
      <c r="C19" s="3" t="s">
        <v>21</v>
      </c>
      <c r="D19" s="3" t="s">
        <v>34</v>
      </c>
      <c r="E19" s="3">
        <v>4</v>
      </c>
      <c r="F19" s="7" t="s">
        <v>340</v>
      </c>
      <c r="G19" s="5"/>
      <c r="J19" s="3" t="s">
        <v>110</v>
      </c>
      <c r="K19" s="3" t="s">
        <v>110</v>
      </c>
      <c r="L19" s="5"/>
    </row>
    <row r="20" spans="1:12" hidden="1">
      <c r="A20" s="3" t="s">
        <v>120</v>
      </c>
      <c r="B20" s="3" t="s">
        <v>16</v>
      </c>
      <c r="C20" s="3" t="s">
        <v>21</v>
      </c>
      <c r="D20" s="3" t="s">
        <v>34</v>
      </c>
      <c r="E20" s="3">
        <v>4</v>
      </c>
      <c r="F20" s="7" t="s">
        <v>340</v>
      </c>
      <c r="G20" s="5"/>
      <c r="J20" s="3" t="s">
        <v>177</v>
      </c>
      <c r="K20" s="3" t="s">
        <v>177</v>
      </c>
      <c r="L20" s="5"/>
    </row>
    <row r="21" spans="1:12" hidden="1">
      <c r="A21" s="3" t="s">
        <v>219</v>
      </c>
      <c r="B21" s="3" t="s">
        <v>16</v>
      </c>
      <c r="C21" s="3" t="s">
        <v>21</v>
      </c>
      <c r="D21" s="3" t="s">
        <v>34</v>
      </c>
      <c r="E21" s="3">
        <v>4</v>
      </c>
      <c r="F21" s="7" t="s">
        <v>340</v>
      </c>
      <c r="G21" s="5"/>
      <c r="J21" s="3" t="s">
        <v>97</v>
      </c>
      <c r="K21" s="3" t="s">
        <v>97</v>
      </c>
      <c r="L21" s="5"/>
    </row>
    <row r="22" spans="1:12" hidden="1">
      <c r="A22" s="3" t="s">
        <v>221</v>
      </c>
      <c r="B22" s="3" t="s">
        <v>16</v>
      </c>
      <c r="C22" s="3" t="s">
        <v>4</v>
      </c>
      <c r="D22" s="3" t="s">
        <v>222</v>
      </c>
      <c r="E22" s="3">
        <v>4</v>
      </c>
      <c r="F22" s="7" t="s">
        <v>340</v>
      </c>
      <c r="G22" s="5"/>
      <c r="H22" s="3"/>
      <c r="I22" s="3"/>
      <c r="J22" s="3" t="s">
        <v>178</v>
      </c>
      <c r="K22" s="3" t="s">
        <v>178</v>
      </c>
      <c r="L22" s="5"/>
    </row>
    <row r="23" spans="1:12" hidden="1">
      <c r="A23" s="3" t="s">
        <v>223</v>
      </c>
      <c r="B23" s="3" t="s">
        <v>16</v>
      </c>
      <c r="C23" s="3" t="s">
        <v>4</v>
      </c>
      <c r="D23" s="3" t="s">
        <v>212</v>
      </c>
      <c r="E23" s="3">
        <v>4</v>
      </c>
      <c r="F23" s="7" t="s">
        <v>340</v>
      </c>
      <c r="G23" s="5"/>
      <c r="H23" s="3"/>
      <c r="I23" s="3"/>
      <c r="J23" s="3" t="s">
        <v>179</v>
      </c>
      <c r="K23" s="3" t="s">
        <v>179</v>
      </c>
      <c r="L23" s="5"/>
    </row>
    <row r="24" spans="1:12" hidden="1">
      <c r="A24" s="3" t="s">
        <v>224</v>
      </c>
      <c r="B24" s="3" t="s">
        <v>16</v>
      </c>
      <c r="C24" s="3" t="s">
        <v>4</v>
      </c>
      <c r="D24" s="3" t="s">
        <v>212</v>
      </c>
      <c r="E24" s="3">
        <v>4</v>
      </c>
      <c r="F24" s="7" t="s">
        <v>340</v>
      </c>
      <c r="G24" s="5"/>
      <c r="H24" s="3"/>
      <c r="I24" s="3"/>
      <c r="J24" s="3" t="s">
        <v>180</v>
      </c>
      <c r="K24" s="3" t="s">
        <v>180</v>
      </c>
      <c r="L24" s="5"/>
    </row>
    <row r="25" spans="1:12" hidden="1">
      <c r="A25" s="3" t="s">
        <v>225</v>
      </c>
      <c r="B25" s="3" t="s">
        <v>16</v>
      </c>
      <c r="C25" s="3" t="s">
        <v>4</v>
      </c>
      <c r="D25" s="3" t="s">
        <v>212</v>
      </c>
      <c r="E25" s="3">
        <v>4</v>
      </c>
      <c r="F25" s="7" t="s">
        <v>340</v>
      </c>
      <c r="G25" s="5"/>
      <c r="H25" s="3"/>
      <c r="I25" s="3"/>
      <c r="J25" s="3" t="s">
        <v>181</v>
      </c>
      <c r="K25" s="3" t="s">
        <v>181</v>
      </c>
      <c r="L25" s="5"/>
    </row>
    <row r="26" spans="1:12" hidden="1">
      <c r="A26" s="3" t="s">
        <v>220</v>
      </c>
      <c r="B26" s="3" t="s">
        <v>16</v>
      </c>
      <c r="C26" s="3" t="s">
        <v>22</v>
      </c>
      <c r="D26" s="3" t="s">
        <v>32</v>
      </c>
      <c r="E26" s="3">
        <v>4</v>
      </c>
      <c r="F26" s="7" t="s">
        <v>338</v>
      </c>
      <c r="G26" s="5"/>
      <c r="H26" s="5"/>
      <c r="I26" s="3"/>
      <c r="J26" s="3" t="s">
        <v>98</v>
      </c>
      <c r="K26" s="3" t="s">
        <v>98</v>
      </c>
      <c r="L26" s="5"/>
    </row>
    <row r="27" spans="1:12" hidden="1">
      <c r="A27" s="3" t="s">
        <v>226</v>
      </c>
      <c r="B27" s="3" t="s">
        <v>16</v>
      </c>
      <c r="C27" s="3" t="s">
        <v>22</v>
      </c>
      <c r="D27" s="3" t="s">
        <v>33</v>
      </c>
      <c r="E27" s="3">
        <v>4</v>
      </c>
      <c r="F27" s="7" t="s">
        <v>340</v>
      </c>
      <c r="G27" s="5"/>
      <c r="H27" s="5"/>
      <c r="I27" s="5"/>
      <c r="J27" s="3" t="s">
        <v>182</v>
      </c>
      <c r="K27" s="3" t="s">
        <v>182</v>
      </c>
      <c r="L27" s="5"/>
    </row>
    <row r="28" spans="1:12" hidden="1">
      <c r="A28" s="3" t="s">
        <v>37</v>
      </c>
      <c r="B28" s="3" t="s">
        <v>16</v>
      </c>
      <c r="C28" s="3" t="s">
        <v>22</v>
      </c>
      <c r="D28" s="3" t="s">
        <v>33</v>
      </c>
      <c r="E28" s="3">
        <v>4</v>
      </c>
      <c r="F28" s="7" t="s">
        <v>340</v>
      </c>
      <c r="G28" s="5"/>
      <c r="H28" s="5"/>
      <c r="I28" s="5"/>
      <c r="J28" s="3" t="s">
        <v>99</v>
      </c>
      <c r="K28" s="3" t="s">
        <v>99</v>
      </c>
      <c r="L28" s="5"/>
    </row>
    <row r="29" spans="1:12" hidden="1">
      <c r="A29" s="3" t="s">
        <v>38</v>
      </c>
      <c r="B29" s="3" t="s">
        <v>16</v>
      </c>
      <c r="C29" s="3" t="s">
        <v>22</v>
      </c>
      <c r="D29" s="3" t="s">
        <v>33</v>
      </c>
      <c r="E29" s="3">
        <v>4</v>
      </c>
      <c r="F29" s="7" t="s">
        <v>340</v>
      </c>
      <c r="G29" s="5"/>
      <c r="H29" s="5"/>
      <c r="I29" s="5"/>
      <c r="J29" s="3" t="s">
        <v>100</v>
      </c>
      <c r="K29" s="3" t="s">
        <v>100</v>
      </c>
      <c r="L29" s="5"/>
    </row>
    <row r="30" spans="1:12" hidden="1">
      <c r="A30" s="3" t="s">
        <v>39</v>
      </c>
      <c r="B30" s="3" t="s">
        <v>16</v>
      </c>
      <c r="C30" s="3" t="s">
        <v>22</v>
      </c>
      <c r="D30" s="3" t="s">
        <v>33</v>
      </c>
      <c r="E30" s="3">
        <v>4</v>
      </c>
      <c r="F30" s="7" t="s">
        <v>340</v>
      </c>
      <c r="G30" s="5"/>
      <c r="H30" s="5"/>
      <c r="I30" s="5"/>
      <c r="J30" s="3" t="s">
        <v>101</v>
      </c>
      <c r="K30" s="3" t="s">
        <v>101</v>
      </c>
      <c r="L30" s="5"/>
    </row>
    <row r="31" spans="1:12" hidden="1">
      <c r="A31" s="3" t="s">
        <v>40</v>
      </c>
      <c r="B31" s="3" t="s">
        <v>16</v>
      </c>
      <c r="C31" s="3" t="s">
        <v>22</v>
      </c>
      <c r="D31" s="3" t="s">
        <v>34</v>
      </c>
      <c r="E31" s="3">
        <v>4</v>
      </c>
      <c r="F31" s="7" t="s">
        <v>340</v>
      </c>
      <c r="G31" s="5"/>
      <c r="H31" s="5"/>
      <c r="I31" s="5"/>
      <c r="J31" s="3" t="s">
        <v>102</v>
      </c>
      <c r="K31" s="3" t="s">
        <v>102</v>
      </c>
      <c r="L31" s="5"/>
    </row>
    <row r="32" spans="1:12" hidden="1">
      <c r="A32" s="3" t="s">
        <v>227</v>
      </c>
      <c r="B32" s="3" t="s">
        <v>16</v>
      </c>
      <c r="C32" s="3" t="s">
        <v>22</v>
      </c>
      <c r="D32" s="3" t="s">
        <v>34</v>
      </c>
      <c r="E32" s="3">
        <v>4</v>
      </c>
      <c r="F32" s="7" t="s">
        <v>340</v>
      </c>
      <c r="G32" s="5"/>
      <c r="H32" s="5"/>
      <c r="I32" s="5"/>
      <c r="J32" s="3" t="s">
        <v>103</v>
      </c>
      <c r="K32" s="3" t="s">
        <v>103</v>
      </c>
      <c r="L32" s="5"/>
    </row>
    <row r="33" spans="1:12" hidden="1">
      <c r="A33" s="3" t="s">
        <v>228</v>
      </c>
      <c r="B33" s="3" t="s">
        <v>16</v>
      </c>
      <c r="C33" s="3" t="s">
        <v>22</v>
      </c>
      <c r="D33" s="3" t="s">
        <v>34</v>
      </c>
      <c r="E33" s="3">
        <v>4</v>
      </c>
      <c r="F33" s="7" t="s">
        <v>340</v>
      </c>
      <c r="G33" s="5"/>
      <c r="H33" s="5"/>
      <c r="I33" s="5"/>
      <c r="J33" s="3" t="s">
        <v>104</v>
      </c>
      <c r="K33" s="3" t="s">
        <v>104</v>
      </c>
      <c r="L33" s="5"/>
    </row>
    <row r="34" spans="1:12" hidden="1">
      <c r="A34" s="3" t="s">
        <v>229</v>
      </c>
      <c r="B34" s="3" t="s">
        <v>16</v>
      </c>
      <c r="C34" s="3" t="s">
        <v>22</v>
      </c>
      <c r="D34" s="3" t="s">
        <v>34</v>
      </c>
      <c r="E34" s="3">
        <v>4</v>
      </c>
      <c r="F34" s="7" t="s">
        <v>340</v>
      </c>
      <c r="G34" s="5"/>
      <c r="H34" s="5"/>
      <c r="I34" s="5"/>
      <c r="J34" s="3" t="s">
        <v>183</v>
      </c>
      <c r="K34" s="3" t="s">
        <v>183</v>
      </c>
      <c r="L34" s="5"/>
    </row>
    <row r="35" spans="1:12" hidden="1">
      <c r="A35" s="3" t="s">
        <v>230</v>
      </c>
      <c r="B35" s="3" t="s">
        <v>16</v>
      </c>
      <c r="C35" s="3" t="s">
        <v>5</v>
      </c>
      <c r="D35" s="3" t="s">
        <v>222</v>
      </c>
      <c r="E35" s="3">
        <v>4</v>
      </c>
      <c r="F35" s="7" t="s">
        <v>340</v>
      </c>
      <c r="G35" s="5"/>
      <c r="H35" s="5"/>
      <c r="I35" s="5"/>
      <c r="J35" s="3" t="s">
        <v>184</v>
      </c>
      <c r="K35" s="3" t="s">
        <v>184</v>
      </c>
      <c r="L35" s="5"/>
    </row>
    <row r="36" spans="1:12" hidden="1">
      <c r="A36" s="3" t="s">
        <v>231</v>
      </c>
      <c r="B36" s="3" t="s">
        <v>16</v>
      </c>
      <c r="C36" s="3" t="s">
        <v>5</v>
      </c>
      <c r="D36" s="3" t="s">
        <v>212</v>
      </c>
      <c r="E36" s="3">
        <v>4</v>
      </c>
      <c r="F36" s="7" t="s">
        <v>340</v>
      </c>
      <c r="G36" s="5"/>
      <c r="H36" s="5"/>
      <c r="I36" s="5"/>
      <c r="J36" s="3" t="s">
        <v>105</v>
      </c>
      <c r="K36" s="3" t="s">
        <v>105</v>
      </c>
      <c r="L36" s="5"/>
    </row>
    <row r="37" spans="1:12" hidden="1">
      <c r="A37" s="3" t="s">
        <v>232</v>
      </c>
      <c r="B37" s="3" t="s">
        <v>16</v>
      </c>
      <c r="C37" s="3" t="s">
        <v>5</v>
      </c>
      <c r="D37" s="3" t="s">
        <v>212</v>
      </c>
      <c r="E37" s="3">
        <v>4</v>
      </c>
      <c r="F37" s="7" t="s">
        <v>340</v>
      </c>
      <c r="G37" s="5"/>
      <c r="H37" s="5"/>
      <c r="I37" s="5"/>
      <c r="J37" s="3" t="s">
        <v>106</v>
      </c>
      <c r="K37" s="3" t="s">
        <v>106</v>
      </c>
      <c r="L37" s="5"/>
    </row>
    <row r="38" spans="1:12" hidden="1">
      <c r="A38" s="3" t="s">
        <v>233</v>
      </c>
      <c r="B38" s="3" t="s">
        <v>16</v>
      </c>
      <c r="C38" s="3" t="s">
        <v>5</v>
      </c>
      <c r="D38" s="3" t="s">
        <v>212</v>
      </c>
      <c r="E38" s="3">
        <v>4</v>
      </c>
      <c r="F38" s="7" t="s">
        <v>340</v>
      </c>
      <c r="G38" s="5"/>
      <c r="H38" s="5"/>
      <c r="I38" s="5"/>
      <c r="J38" s="3" t="s">
        <v>107</v>
      </c>
      <c r="K38" s="3" t="s">
        <v>107</v>
      </c>
      <c r="L38" s="5"/>
    </row>
    <row r="39" spans="1:12" hidden="1">
      <c r="A39" s="3" t="s">
        <v>234</v>
      </c>
      <c r="B39" s="3" t="s">
        <v>16</v>
      </c>
      <c r="C39" s="3" t="s">
        <v>23</v>
      </c>
      <c r="D39" s="3" t="s">
        <v>32</v>
      </c>
      <c r="E39" s="3">
        <v>3</v>
      </c>
      <c r="F39" s="7" t="s">
        <v>366</v>
      </c>
      <c r="G39" s="5"/>
      <c r="H39" s="5"/>
      <c r="I39" s="5"/>
      <c r="J39" s="3" t="s">
        <v>108</v>
      </c>
      <c r="K39" s="3" t="s">
        <v>108</v>
      </c>
      <c r="L39" s="5"/>
    </row>
    <row r="40" spans="1:12" hidden="1">
      <c r="A40" s="3" t="s">
        <v>235</v>
      </c>
      <c r="B40" s="3" t="s">
        <v>16</v>
      </c>
      <c r="C40" s="3" t="s">
        <v>6</v>
      </c>
      <c r="D40" s="3" t="s">
        <v>236</v>
      </c>
      <c r="E40" s="3">
        <v>3</v>
      </c>
      <c r="F40" s="7" t="s">
        <v>366</v>
      </c>
      <c r="G40" s="5"/>
      <c r="H40" s="5"/>
      <c r="I40" s="5"/>
      <c r="J40" s="3" t="s">
        <v>185</v>
      </c>
      <c r="K40" s="3" t="s">
        <v>185</v>
      </c>
      <c r="L40" s="5"/>
    </row>
    <row r="41" spans="1:12" ht="17.25" hidden="1" customHeight="1">
      <c r="A41" s="3" t="s">
        <v>237</v>
      </c>
      <c r="B41" s="3" t="s">
        <v>16</v>
      </c>
      <c r="C41" s="3" t="s">
        <v>24</v>
      </c>
      <c r="D41" s="3" t="s">
        <v>32</v>
      </c>
      <c r="E41" s="3">
        <v>4</v>
      </c>
      <c r="F41" s="7" t="s">
        <v>338</v>
      </c>
      <c r="G41" s="5"/>
      <c r="H41" s="5"/>
      <c r="I41" s="5"/>
      <c r="J41" s="3" t="s">
        <v>109</v>
      </c>
      <c r="K41" s="3" t="s">
        <v>109</v>
      </c>
      <c r="L41" s="5"/>
    </row>
    <row r="42" spans="1:12" ht="17.25" hidden="1" customHeight="1">
      <c r="A42" s="3" t="s">
        <v>238</v>
      </c>
      <c r="B42" s="3" t="s">
        <v>16</v>
      </c>
      <c r="C42" s="3" t="s">
        <v>24</v>
      </c>
      <c r="D42" s="3" t="s">
        <v>11</v>
      </c>
      <c r="E42" s="3">
        <v>4</v>
      </c>
      <c r="F42" s="7" t="s">
        <v>338</v>
      </c>
      <c r="G42" s="5"/>
      <c r="H42" s="5"/>
      <c r="I42" s="5"/>
      <c r="J42" s="3" t="s">
        <v>186</v>
      </c>
      <c r="K42" s="3" t="s">
        <v>186</v>
      </c>
      <c r="L42" s="5"/>
    </row>
    <row r="43" spans="1:12" ht="17.25" hidden="1" customHeight="1">
      <c r="A43" s="3" t="s">
        <v>250</v>
      </c>
      <c r="B43" s="3" t="s">
        <v>16</v>
      </c>
      <c r="C43" s="3" t="s">
        <v>24</v>
      </c>
      <c r="D43" s="3" t="s">
        <v>254</v>
      </c>
      <c r="E43" s="3">
        <v>4</v>
      </c>
      <c r="F43" s="7" t="s">
        <v>340</v>
      </c>
      <c r="G43" s="5"/>
      <c r="H43" s="5"/>
      <c r="I43" s="5"/>
      <c r="J43" s="3" t="s">
        <v>187</v>
      </c>
      <c r="K43" s="3" t="s">
        <v>187</v>
      </c>
      <c r="L43" s="5"/>
    </row>
    <row r="44" spans="1:12" ht="17.25" hidden="1" customHeight="1">
      <c r="A44" s="3" t="s">
        <v>251</v>
      </c>
      <c r="B44" s="3" t="s">
        <v>16</v>
      </c>
      <c r="C44" s="3" t="s">
        <v>24</v>
      </c>
      <c r="D44" s="3" t="s">
        <v>254</v>
      </c>
      <c r="E44" s="3">
        <v>4</v>
      </c>
      <c r="F44" s="7" t="s">
        <v>340</v>
      </c>
      <c r="G44" s="5"/>
      <c r="H44" s="5"/>
      <c r="I44" s="5"/>
      <c r="J44" s="3" t="s">
        <v>112</v>
      </c>
      <c r="K44" s="3" t="s">
        <v>112</v>
      </c>
      <c r="L44" s="5"/>
    </row>
    <row r="45" spans="1:12" ht="17.25" hidden="1" customHeight="1">
      <c r="A45" s="3" t="s">
        <v>252</v>
      </c>
      <c r="B45" s="3" t="s">
        <v>16</v>
      </c>
      <c r="C45" s="3" t="s">
        <v>24</v>
      </c>
      <c r="D45" s="3" t="s">
        <v>254</v>
      </c>
      <c r="E45" s="3">
        <v>4</v>
      </c>
      <c r="F45" s="7" t="s">
        <v>340</v>
      </c>
      <c r="G45" s="5"/>
      <c r="H45" s="5"/>
      <c r="I45" s="5"/>
      <c r="J45" s="3" t="s">
        <v>188</v>
      </c>
      <c r="K45" s="3" t="s">
        <v>188</v>
      </c>
      <c r="L45" s="5"/>
    </row>
    <row r="46" spans="1:12" ht="17.25" hidden="1" customHeight="1">
      <c r="A46" s="3" t="s">
        <v>253</v>
      </c>
      <c r="B46" s="3" t="s">
        <v>16</v>
      </c>
      <c r="C46" s="3" t="s">
        <v>24</v>
      </c>
      <c r="D46" s="3" t="s">
        <v>33</v>
      </c>
      <c r="E46" s="3">
        <v>4</v>
      </c>
      <c r="F46" s="7" t="s">
        <v>340</v>
      </c>
      <c r="G46" s="5"/>
      <c r="H46" s="5"/>
      <c r="I46" s="5"/>
      <c r="J46" s="3" t="s">
        <v>113</v>
      </c>
      <c r="K46" s="3" t="s">
        <v>113</v>
      </c>
      <c r="L46" s="5"/>
    </row>
    <row r="47" spans="1:12" hidden="1">
      <c r="A47" s="3" t="s">
        <v>239</v>
      </c>
      <c r="B47" s="3" t="s">
        <v>16</v>
      </c>
      <c r="C47" s="3" t="s">
        <v>24</v>
      </c>
      <c r="D47" s="3" t="s">
        <v>34</v>
      </c>
      <c r="E47" s="3">
        <v>4</v>
      </c>
      <c r="F47" s="7" t="s">
        <v>340</v>
      </c>
      <c r="G47" s="5"/>
      <c r="H47" s="5"/>
      <c r="I47" s="5"/>
      <c r="J47" s="3" t="s">
        <v>114</v>
      </c>
      <c r="K47" s="3" t="s">
        <v>114</v>
      </c>
      <c r="L47" s="5"/>
    </row>
    <row r="48" spans="1:12" hidden="1">
      <c r="A48" s="3" t="s">
        <v>240</v>
      </c>
      <c r="B48" s="3" t="s">
        <v>16</v>
      </c>
      <c r="C48" s="3" t="s">
        <v>24</v>
      </c>
      <c r="D48" s="3" t="s">
        <v>34</v>
      </c>
      <c r="E48" s="3">
        <v>4</v>
      </c>
      <c r="F48" s="7" t="s">
        <v>340</v>
      </c>
      <c r="G48" s="5"/>
      <c r="H48" s="5"/>
      <c r="I48" s="5"/>
      <c r="J48" s="3" t="s">
        <v>115</v>
      </c>
      <c r="K48" s="3" t="s">
        <v>115</v>
      </c>
      <c r="L48" s="5"/>
    </row>
    <row r="49" spans="1:12" hidden="1">
      <c r="A49" s="3" t="s">
        <v>241</v>
      </c>
      <c r="B49" s="3" t="s">
        <v>16</v>
      </c>
      <c r="C49" s="3" t="s">
        <v>24</v>
      </c>
      <c r="D49" s="3" t="s">
        <v>34</v>
      </c>
      <c r="E49" s="3">
        <v>4</v>
      </c>
      <c r="F49" s="7" t="s">
        <v>340</v>
      </c>
      <c r="G49" s="5"/>
      <c r="H49" s="5"/>
      <c r="I49" s="5"/>
      <c r="J49" s="5" t="s">
        <v>189</v>
      </c>
      <c r="K49" s="5" t="s">
        <v>189</v>
      </c>
      <c r="L49" s="5"/>
    </row>
    <row r="50" spans="1:12" hidden="1">
      <c r="A50" s="3" t="s">
        <v>242</v>
      </c>
      <c r="B50" s="3" t="s">
        <v>16</v>
      </c>
      <c r="C50" s="3" t="s">
        <v>24</v>
      </c>
      <c r="D50" s="3" t="s">
        <v>34</v>
      </c>
      <c r="E50" s="3">
        <v>4</v>
      </c>
      <c r="F50" s="7" t="s">
        <v>340</v>
      </c>
      <c r="G50" s="5"/>
      <c r="H50" s="5"/>
      <c r="I50" s="5"/>
      <c r="J50" s="5" t="s">
        <v>190</v>
      </c>
      <c r="K50" s="5" t="s">
        <v>190</v>
      </c>
      <c r="L50" s="5"/>
    </row>
    <row r="51" spans="1:12" hidden="1">
      <c r="A51" s="3" t="s">
        <v>41</v>
      </c>
      <c r="B51" s="3" t="s">
        <v>16</v>
      </c>
      <c r="C51" s="3" t="s">
        <v>24</v>
      </c>
      <c r="D51" s="3" t="s">
        <v>34</v>
      </c>
      <c r="E51" s="3">
        <v>4</v>
      </c>
      <c r="F51" s="7" t="s">
        <v>340</v>
      </c>
      <c r="G51" s="5"/>
      <c r="H51" s="5"/>
      <c r="I51" s="5"/>
      <c r="J51" s="5" t="s">
        <v>191</v>
      </c>
      <c r="K51" s="5" t="s">
        <v>191</v>
      </c>
      <c r="L51" s="5"/>
    </row>
    <row r="52" spans="1:12" hidden="1">
      <c r="A52" s="3" t="s">
        <v>243</v>
      </c>
      <c r="B52" s="3" t="s">
        <v>16</v>
      </c>
      <c r="C52" s="3" t="s">
        <v>24</v>
      </c>
      <c r="D52" s="3" t="s">
        <v>34</v>
      </c>
      <c r="E52" s="3">
        <v>4</v>
      </c>
      <c r="F52" s="7" t="s">
        <v>340</v>
      </c>
      <c r="G52" s="5"/>
      <c r="H52" s="5"/>
      <c r="I52" s="5"/>
      <c r="J52" s="5" t="s">
        <v>192</v>
      </c>
      <c r="K52" s="5" t="s">
        <v>192</v>
      </c>
      <c r="L52" s="5"/>
    </row>
    <row r="53" spans="1:12" hidden="1">
      <c r="A53" s="3" t="s">
        <v>42</v>
      </c>
      <c r="B53" s="3" t="s">
        <v>16</v>
      </c>
      <c r="C53" s="3" t="s">
        <v>24</v>
      </c>
      <c r="D53" s="3" t="s">
        <v>34</v>
      </c>
      <c r="E53" s="3">
        <v>4</v>
      </c>
      <c r="F53" s="7" t="s">
        <v>340</v>
      </c>
      <c r="G53" s="5"/>
      <c r="H53" s="5"/>
      <c r="I53" s="5"/>
      <c r="J53" s="5" t="s">
        <v>193</v>
      </c>
      <c r="K53" s="5" t="s">
        <v>193</v>
      </c>
      <c r="L53" s="5"/>
    </row>
    <row r="54" spans="1:12" hidden="1">
      <c r="A54" s="3" t="s">
        <v>244</v>
      </c>
      <c r="B54" s="3" t="s">
        <v>16</v>
      </c>
      <c r="C54" s="3" t="s">
        <v>24</v>
      </c>
      <c r="D54" s="3" t="s">
        <v>34</v>
      </c>
      <c r="E54" s="3">
        <v>4</v>
      </c>
      <c r="F54" s="7" t="s">
        <v>340</v>
      </c>
      <c r="G54" s="5"/>
      <c r="H54" s="5"/>
      <c r="I54" s="5"/>
      <c r="J54" s="5" t="s">
        <v>194</v>
      </c>
      <c r="K54" s="5" t="s">
        <v>194</v>
      </c>
      <c r="L54" s="5"/>
    </row>
    <row r="55" spans="1:12" hidden="1">
      <c r="A55" s="3" t="s">
        <v>245</v>
      </c>
      <c r="B55" s="3" t="s">
        <v>16</v>
      </c>
      <c r="C55" s="3" t="s">
        <v>24</v>
      </c>
      <c r="D55" s="3" t="s">
        <v>34</v>
      </c>
      <c r="E55" s="3">
        <v>4</v>
      </c>
      <c r="F55" s="7" t="s">
        <v>340</v>
      </c>
      <c r="G55" s="5"/>
      <c r="H55" s="5"/>
      <c r="I55" s="5"/>
      <c r="J55" s="5" t="s">
        <v>196</v>
      </c>
      <c r="K55" s="5" t="s">
        <v>196</v>
      </c>
      <c r="L55" s="5"/>
    </row>
    <row r="56" spans="1:12" hidden="1">
      <c r="A56" s="3" t="s">
        <v>43</v>
      </c>
      <c r="B56" s="3" t="s">
        <v>16</v>
      </c>
      <c r="C56" s="3" t="s">
        <v>24</v>
      </c>
      <c r="D56" s="3" t="s">
        <v>212</v>
      </c>
      <c r="E56" s="3">
        <v>4</v>
      </c>
      <c r="F56" s="7" t="s">
        <v>340</v>
      </c>
      <c r="G56" s="5"/>
      <c r="H56" s="5"/>
      <c r="I56" s="5"/>
      <c r="J56" s="5" t="s">
        <v>195</v>
      </c>
      <c r="K56" s="5" t="s">
        <v>195</v>
      </c>
      <c r="L56" s="5"/>
    </row>
    <row r="57" spans="1:12" hidden="1">
      <c r="A57" s="3" t="s">
        <v>44</v>
      </c>
      <c r="B57" s="3" t="s">
        <v>16</v>
      </c>
      <c r="C57" s="3" t="s">
        <v>24</v>
      </c>
      <c r="D57" s="3" t="s">
        <v>212</v>
      </c>
      <c r="E57" s="3">
        <v>4</v>
      </c>
      <c r="F57" s="7" t="s">
        <v>340</v>
      </c>
      <c r="G57" s="5"/>
      <c r="H57" s="5"/>
      <c r="I57" s="5"/>
      <c r="J57" s="5" t="s">
        <v>197</v>
      </c>
      <c r="K57" s="5" t="s">
        <v>197</v>
      </c>
      <c r="L57" s="5"/>
    </row>
    <row r="58" spans="1:12" hidden="1">
      <c r="A58" s="3" t="s">
        <v>246</v>
      </c>
      <c r="B58" s="3" t="s">
        <v>16</v>
      </c>
      <c r="C58" s="3" t="s">
        <v>24</v>
      </c>
      <c r="D58" s="3" t="s">
        <v>212</v>
      </c>
      <c r="E58" s="3">
        <v>4</v>
      </c>
      <c r="F58" s="7" t="s">
        <v>340</v>
      </c>
      <c r="G58" s="5"/>
      <c r="H58" s="5"/>
      <c r="I58" s="5"/>
      <c r="J58" s="5" t="s">
        <v>198</v>
      </c>
      <c r="K58" s="5" t="s">
        <v>198</v>
      </c>
      <c r="L58" s="5"/>
    </row>
    <row r="59" spans="1:12" hidden="1">
      <c r="A59" s="3" t="s">
        <v>247</v>
      </c>
      <c r="B59" s="3" t="s">
        <v>16</v>
      </c>
      <c r="C59" s="3" t="s">
        <v>24</v>
      </c>
      <c r="D59" s="3" t="s">
        <v>212</v>
      </c>
      <c r="E59" s="3">
        <v>4</v>
      </c>
      <c r="F59" s="7" t="s">
        <v>340</v>
      </c>
      <c r="G59" s="5"/>
      <c r="H59" s="5"/>
      <c r="I59" s="5"/>
      <c r="J59" s="5" t="s">
        <v>199</v>
      </c>
      <c r="K59" s="5" t="s">
        <v>199</v>
      </c>
      <c r="L59" s="5"/>
    </row>
    <row r="60" spans="1:12" hidden="1">
      <c r="A60" s="3" t="s">
        <v>248</v>
      </c>
      <c r="B60" s="3" t="s">
        <v>16</v>
      </c>
      <c r="C60" s="3" t="s">
        <v>24</v>
      </c>
      <c r="D60" s="3" t="s">
        <v>212</v>
      </c>
      <c r="E60" s="3">
        <v>4</v>
      </c>
      <c r="F60" s="7" t="s">
        <v>340</v>
      </c>
      <c r="G60" s="5"/>
      <c r="H60" s="5"/>
      <c r="I60" s="5"/>
      <c r="J60" s="3"/>
      <c r="K60" s="3"/>
      <c r="L60" s="5"/>
    </row>
    <row r="61" spans="1:12" hidden="1">
      <c r="A61" s="3" t="s">
        <v>249</v>
      </c>
      <c r="B61" s="3" t="s">
        <v>16</v>
      </c>
      <c r="C61" s="3" t="s">
        <v>24</v>
      </c>
      <c r="D61" s="3" t="s">
        <v>212</v>
      </c>
      <c r="E61" s="3">
        <v>4</v>
      </c>
      <c r="F61" s="7" t="s">
        <v>340</v>
      </c>
      <c r="G61" s="5"/>
      <c r="H61" s="5"/>
      <c r="I61" s="5"/>
      <c r="J61" s="3"/>
      <c r="K61" s="3"/>
      <c r="L61" s="5"/>
    </row>
    <row r="62" spans="1:12" hidden="1">
      <c r="A62" s="3" t="s">
        <v>255</v>
      </c>
      <c r="B62" s="3" t="s">
        <v>16</v>
      </c>
      <c r="C62" s="3" t="s">
        <v>25</v>
      </c>
      <c r="D62" s="3" t="s">
        <v>32</v>
      </c>
      <c r="E62" s="3">
        <v>4</v>
      </c>
      <c r="F62" s="7" t="s">
        <v>338</v>
      </c>
      <c r="G62" s="5"/>
      <c r="H62" s="5"/>
      <c r="I62" s="5"/>
      <c r="L62" s="5"/>
    </row>
    <row r="63" spans="1:12" hidden="1">
      <c r="A63" s="3" t="s">
        <v>256</v>
      </c>
      <c r="B63" s="3" t="s">
        <v>16</v>
      </c>
      <c r="C63" s="3" t="s">
        <v>25</v>
      </c>
      <c r="D63" s="3" t="s">
        <v>236</v>
      </c>
      <c r="E63" s="3">
        <v>4</v>
      </c>
      <c r="F63" s="7" t="s">
        <v>338</v>
      </c>
      <c r="G63" s="5"/>
      <c r="H63" s="5"/>
      <c r="I63" s="5"/>
      <c r="J63" s="3"/>
      <c r="K63" s="3"/>
      <c r="L63" s="5"/>
    </row>
    <row r="64" spans="1:12" hidden="1">
      <c r="A64" s="3" t="s">
        <v>257</v>
      </c>
      <c r="B64" s="3" t="s">
        <v>16</v>
      </c>
      <c r="C64" s="3" t="s">
        <v>25</v>
      </c>
      <c r="D64" s="3" t="s">
        <v>32</v>
      </c>
      <c r="E64" s="3">
        <v>4</v>
      </c>
      <c r="F64" s="7" t="s">
        <v>338</v>
      </c>
      <c r="G64" s="5"/>
      <c r="H64" s="5"/>
      <c r="I64" s="5"/>
      <c r="L64" s="5"/>
    </row>
    <row r="65" spans="1:12" hidden="1">
      <c r="A65" s="3" t="s">
        <v>258</v>
      </c>
      <c r="B65" s="3" t="s">
        <v>16</v>
      </c>
      <c r="C65" s="3" t="s">
        <v>25</v>
      </c>
      <c r="D65" s="3" t="s">
        <v>11</v>
      </c>
      <c r="E65" s="3">
        <v>4</v>
      </c>
      <c r="F65" s="7" t="s">
        <v>338</v>
      </c>
      <c r="G65" s="5"/>
      <c r="H65" s="5"/>
      <c r="I65" s="5"/>
      <c r="J65" s="3"/>
      <c r="K65" s="3"/>
      <c r="L65" s="5"/>
    </row>
    <row r="66" spans="1:12" hidden="1">
      <c r="A66" s="3" t="s">
        <v>259</v>
      </c>
      <c r="B66" s="3" t="s">
        <v>16</v>
      </c>
      <c r="C66" s="3" t="s">
        <v>25</v>
      </c>
      <c r="D66" s="3" t="s">
        <v>33</v>
      </c>
      <c r="E66" s="3">
        <v>4</v>
      </c>
      <c r="F66" s="7" t="s">
        <v>340</v>
      </c>
      <c r="G66" s="5"/>
      <c r="H66" s="5"/>
      <c r="I66" s="5"/>
      <c r="J66" s="3"/>
      <c r="K66" s="3"/>
      <c r="L66" s="5"/>
    </row>
    <row r="67" spans="1:12" hidden="1">
      <c r="A67" s="3" t="s">
        <v>260</v>
      </c>
      <c r="B67" s="3" t="s">
        <v>16</v>
      </c>
      <c r="C67" s="3" t="s">
        <v>25</v>
      </c>
      <c r="D67" s="3" t="s">
        <v>33</v>
      </c>
      <c r="E67" s="3">
        <v>4</v>
      </c>
      <c r="F67" s="7" t="s">
        <v>340</v>
      </c>
      <c r="G67" s="5"/>
      <c r="H67" s="5"/>
      <c r="I67" s="5"/>
      <c r="J67" s="3"/>
      <c r="K67" s="3"/>
      <c r="L67" s="5"/>
    </row>
    <row r="68" spans="1:12" hidden="1">
      <c r="A68" s="3" t="s">
        <v>261</v>
      </c>
      <c r="B68" s="3" t="s">
        <v>16</v>
      </c>
      <c r="C68" s="3" t="s">
        <v>25</v>
      </c>
      <c r="D68" s="3" t="s">
        <v>33</v>
      </c>
      <c r="E68" s="3">
        <v>4</v>
      </c>
      <c r="F68" s="7" t="s">
        <v>340</v>
      </c>
      <c r="G68" s="5"/>
      <c r="H68" s="5"/>
      <c r="I68" s="5"/>
      <c r="J68" s="3"/>
      <c r="K68" s="3"/>
      <c r="L68" s="5"/>
    </row>
    <row r="69" spans="1:12" hidden="1">
      <c r="A69" s="3" t="s">
        <v>262</v>
      </c>
      <c r="B69" s="3" t="s">
        <v>16</v>
      </c>
      <c r="C69" s="3" t="s">
        <v>25</v>
      </c>
      <c r="D69" s="3" t="s">
        <v>33</v>
      </c>
      <c r="E69" s="3">
        <v>4</v>
      </c>
      <c r="F69" s="7" t="s">
        <v>340</v>
      </c>
      <c r="G69" s="5"/>
      <c r="H69" s="5"/>
      <c r="I69" s="5"/>
      <c r="L69" s="5"/>
    </row>
    <row r="70" spans="1:12" hidden="1">
      <c r="A70" s="3" t="s">
        <v>263</v>
      </c>
      <c r="B70" s="3" t="s">
        <v>16</v>
      </c>
      <c r="C70" s="3" t="s">
        <v>25</v>
      </c>
      <c r="D70" s="3" t="s">
        <v>34</v>
      </c>
      <c r="E70" s="3">
        <v>4</v>
      </c>
      <c r="F70" s="7" t="s">
        <v>340</v>
      </c>
      <c r="G70" s="5"/>
      <c r="H70" s="5"/>
      <c r="I70" s="5"/>
      <c r="L70" s="5"/>
    </row>
    <row r="71" spans="1:12" hidden="1">
      <c r="A71" s="3" t="s">
        <v>264</v>
      </c>
      <c r="B71" s="3" t="s">
        <v>16</v>
      </c>
      <c r="C71" s="3" t="s">
        <v>25</v>
      </c>
      <c r="D71" s="3" t="s">
        <v>34</v>
      </c>
      <c r="E71" s="3">
        <v>4</v>
      </c>
      <c r="F71" s="7" t="s">
        <v>340</v>
      </c>
      <c r="G71" s="5"/>
      <c r="H71" s="5"/>
      <c r="I71" s="5"/>
      <c r="L71" s="5"/>
    </row>
    <row r="72" spans="1:12" hidden="1">
      <c r="A72" s="3" t="s">
        <v>265</v>
      </c>
      <c r="B72" s="3" t="s">
        <v>16</v>
      </c>
      <c r="C72" s="3" t="s">
        <v>25</v>
      </c>
      <c r="D72" s="3" t="s">
        <v>34</v>
      </c>
      <c r="E72" s="3">
        <v>4</v>
      </c>
      <c r="F72" s="7" t="s">
        <v>340</v>
      </c>
      <c r="G72" s="5"/>
      <c r="H72" s="5"/>
      <c r="I72" s="5"/>
      <c r="L72" s="5"/>
    </row>
    <row r="73" spans="1:12" hidden="1">
      <c r="A73" s="3" t="s">
        <v>266</v>
      </c>
      <c r="B73" s="3" t="s">
        <v>16</v>
      </c>
      <c r="C73" s="3" t="s">
        <v>25</v>
      </c>
      <c r="D73" s="3" t="s">
        <v>34</v>
      </c>
      <c r="E73" s="3">
        <v>4</v>
      </c>
      <c r="F73" s="7" t="s">
        <v>340</v>
      </c>
      <c r="G73" s="5"/>
      <c r="H73" s="5"/>
      <c r="I73" s="5"/>
      <c r="L73" s="5"/>
    </row>
    <row r="74" spans="1:12" hidden="1">
      <c r="A74" s="3" t="s">
        <v>267</v>
      </c>
      <c r="B74" s="3" t="s">
        <v>16</v>
      </c>
      <c r="C74" s="3" t="s">
        <v>25</v>
      </c>
      <c r="D74" s="3" t="s">
        <v>34</v>
      </c>
      <c r="E74" s="3">
        <v>4</v>
      </c>
      <c r="F74" s="7" t="s">
        <v>340</v>
      </c>
      <c r="G74" s="5"/>
      <c r="H74" s="5"/>
      <c r="I74" s="5"/>
      <c r="L74" s="5"/>
    </row>
    <row r="75" spans="1:12" hidden="1">
      <c r="A75" s="3" t="s">
        <v>268</v>
      </c>
      <c r="B75" s="3" t="s">
        <v>16</v>
      </c>
      <c r="C75" s="3" t="s">
        <v>25</v>
      </c>
      <c r="D75" s="3" t="s">
        <v>34</v>
      </c>
      <c r="E75" s="3">
        <v>4</v>
      </c>
      <c r="F75" s="7" t="s">
        <v>340</v>
      </c>
      <c r="G75" s="5"/>
      <c r="H75" s="5"/>
      <c r="I75" s="5"/>
      <c r="L75" s="5"/>
    </row>
    <row r="76" spans="1:12" hidden="1">
      <c r="A76" s="3" t="s">
        <v>269</v>
      </c>
      <c r="B76" s="3" t="s">
        <v>16</v>
      </c>
      <c r="C76" s="3" t="s">
        <v>25</v>
      </c>
      <c r="D76" s="3" t="s">
        <v>34</v>
      </c>
      <c r="E76" s="3">
        <v>4</v>
      </c>
      <c r="F76" s="7" t="s">
        <v>340</v>
      </c>
      <c r="G76" s="5"/>
      <c r="H76" s="5"/>
      <c r="I76" s="5"/>
      <c r="L76" s="5"/>
    </row>
    <row r="77" spans="1:12" hidden="1">
      <c r="A77" s="3" t="s">
        <v>270</v>
      </c>
      <c r="B77" s="3" t="s">
        <v>16</v>
      </c>
      <c r="C77" s="3" t="s">
        <v>25</v>
      </c>
      <c r="D77" s="3" t="s">
        <v>34</v>
      </c>
      <c r="E77" s="3">
        <v>4</v>
      </c>
      <c r="F77" s="7" t="s">
        <v>340</v>
      </c>
      <c r="G77" s="5"/>
      <c r="H77" s="5"/>
      <c r="I77" s="5"/>
      <c r="L77" s="5"/>
    </row>
    <row r="78" spans="1:12" hidden="1">
      <c r="A78" s="3" t="s">
        <v>271</v>
      </c>
      <c r="B78" s="3" t="s">
        <v>16</v>
      </c>
      <c r="C78" s="3" t="s">
        <v>25</v>
      </c>
      <c r="D78" s="3" t="s">
        <v>274</v>
      </c>
      <c r="E78" s="3">
        <v>4</v>
      </c>
      <c r="F78" s="7" t="s">
        <v>340</v>
      </c>
      <c r="G78" s="5"/>
      <c r="H78" s="5"/>
      <c r="I78" s="5"/>
      <c r="L78" s="5"/>
    </row>
    <row r="79" spans="1:12" hidden="1">
      <c r="A79" s="3" t="s">
        <v>272</v>
      </c>
      <c r="B79" s="3" t="s">
        <v>16</v>
      </c>
      <c r="C79" s="3" t="s">
        <v>25</v>
      </c>
      <c r="D79" s="3" t="s">
        <v>212</v>
      </c>
      <c r="E79" s="3">
        <v>4</v>
      </c>
      <c r="F79" s="7" t="s">
        <v>340</v>
      </c>
      <c r="G79" s="5"/>
      <c r="H79" s="5"/>
      <c r="I79" s="5"/>
      <c r="L79" s="5"/>
    </row>
    <row r="80" spans="1:12" hidden="1">
      <c r="A80" s="3" t="s">
        <v>273</v>
      </c>
      <c r="B80" s="3" t="s">
        <v>16</v>
      </c>
      <c r="C80" s="3" t="s">
        <v>25</v>
      </c>
      <c r="D80" s="3" t="s">
        <v>212</v>
      </c>
      <c r="E80" s="3">
        <v>4</v>
      </c>
      <c r="F80" s="7" t="s">
        <v>340</v>
      </c>
      <c r="G80" s="5"/>
      <c r="H80" s="5"/>
      <c r="I80" s="5"/>
      <c r="L80" s="5"/>
    </row>
    <row r="81" spans="1:12" hidden="1">
      <c r="A81" s="3" t="s">
        <v>275</v>
      </c>
      <c r="B81" s="3" t="s">
        <v>16</v>
      </c>
      <c r="C81" s="3" t="s">
        <v>26</v>
      </c>
      <c r="D81" s="3" t="s">
        <v>33</v>
      </c>
      <c r="E81" s="3">
        <v>3</v>
      </c>
      <c r="F81" s="7" t="s">
        <v>351</v>
      </c>
      <c r="G81" s="5"/>
      <c r="H81" s="5"/>
      <c r="I81" s="5"/>
      <c r="L81" s="5"/>
    </row>
    <row r="82" spans="1:12" hidden="1">
      <c r="A82" s="3" t="s">
        <v>276</v>
      </c>
      <c r="B82" s="3" t="s">
        <v>16</v>
      </c>
      <c r="C82" s="3" t="s">
        <v>26</v>
      </c>
      <c r="D82" s="3" t="s">
        <v>33</v>
      </c>
      <c r="E82" s="3">
        <v>3</v>
      </c>
      <c r="F82" s="7" t="s">
        <v>351</v>
      </c>
      <c r="G82" s="5"/>
      <c r="H82" s="5"/>
      <c r="I82" s="5"/>
      <c r="L82" s="5"/>
    </row>
    <row r="83" spans="1:12" hidden="1">
      <c r="A83" s="3" t="s">
        <v>277</v>
      </c>
      <c r="B83" s="3" t="s">
        <v>16</v>
      </c>
      <c r="C83" s="3" t="s">
        <v>26</v>
      </c>
      <c r="D83" s="3" t="s">
        <v>34</v>
      </c>
      <c r="E83" s="3">
        <v>3</v>
      </c>
      <c r="F83" s="7" t="s">
        <v>351</v>
      </c>
      <c r="G83" s="5"/>
      <c r="H83" s="5"/>
      <c r="I83" s="5"/>
      <c r="L83" s="5"/>
    </row>
    <row r="84" spans="1:12" hidden="1">
      <c r="A84" s="3" t="s">
        <v>278</v>
      </c>
      <c r="B84" s="3" t="s">
        <v>16</v>
      </c>
      <c r="C84" s="3" t="s">
        <v>7</v>
      </c>
      <c r="D84" s="3" t="s">
        <v>34</v>
      </c>
      <c r="E84" s="3">
        <v>3</v>
      </c>
      <c r="F84" s="7" t="s">
        <v>351</v>
      </c>
      <c r="G84" s="5"/>
      <c r="H84" s="5"/>
      <c r="I84" s="5"/>
      <c r="L84" s="5"/>
    </row>
    <row r="85" spans="1:12" hidden="1">
      <c r="A85" s="3" t="s">
        <v>45</v>
      </c>
      <c r="B85" s="3" t="s">
        <v>16</v>
      </c>
      <c r="C85" s="3" t="s">
        <v>7</v>
      </c>
      <c r="D85" s="3" t="s">
        <v>34</v>
      </c>
      <c r="E85" s="3">
        <v>2</v>
      </c>
      <c r="F85" s="7" t="s">
        <v>354</v>
      </c>
      <c r="G85" s="5"/>
      <c r="H85" s="5"/>
      <c r="I85" s="5"/>
      <c r="J85" s="5"/>
      <c r="K85" s="5"/>
      <c r="L85" s="5"/>
    </row>
    <row r="86" spans="1:12" hidden="1">
      <c r="A86" s="3" t="s">
        <v>279</v>
      </c>
      <c r="B86" s="3" t="s">
        <v>16</v>
      </c>
      <c r="C86" s="3" t="s">
        <v>7</v>
      </c>
      <c r="D86" s="3" t="s">
        <v>212</v>
      </c>
      <c r="E86" s="3">
        <v>3</v>
      </c>
      <c r="F86" s="7" t="s">
        <v>351</v>
      </c>
      <c r="G86" s="5"/>
      <c r="H86" s="5"/>
      <c r="I86" s="5"/>
      <c r="J86" s="5"/>
      <c r="K86" s="5"/>
      <c r="L86" s="5"/>
    </row>
    <row r="87" spans="1:12" hidden="1">
      <c r="A87" s="3" t="s">
        <v>280</v>
      </c>
      <c r="B87" s="3" t="s">
        <v>16</v>
      </c>
      <c r="C87" s="3" t="s">
        <v>7</v>
      </c>
      <c r="D87" s="3" t="s">
        <v>212</v>
      </c>
      <c r="E87" s="3">
        <v>2</v>
      </c>
      <c r="F87" s="7" t="s">
        <v>354</v>
      </c>
      <c r="G87" s="5"/>
      <c r="H87" s="5"/>
      <c r="I87" s="5"/>
      <c r="J87" s="5"/>
      <c r="K87" s="5"/>
      <c r="L87" s="5"/>
    </row>
    <row r="88" spans="1:12" ht="17.25" hidden="1" customHeight="1">
      <c r="A88" s="3" t="s">
        <v>8</v>
      </c>
      <c r="B88" s="3" t="s">
        <v>16</v>
      </c>
      <c r="C88" s="3" t="s">
        <v>27</v>
      </c>
      <c r="D88" s="3" t="s">
        <v>33</v>
      </c>
      <c r="E88" s="3">
        <v>3</v>
      </c>
      <c r="F88" s="7" t="s">
        <v>351</v>
      </c>
      <c r="G88" s="5"/>
      <c r="H88" s="5"/>
      <c r="I88" s="5"/>
      <c r="J88" s="5"/>
      <c r="K88" s="5"/>
      <c r="L88" s="5"/>
    </row>
    <row r="89" spans="1:12" hidden="1">
      <c r="A89" s="3" t="s">
        <v>46</v>
      </c>
      <c r="B89" s="3" t="s">
        <v>16</v>
      </c>
      <c r="C89" s="3" t="s">
        <v>27</v>
      </c>
      <c r="D89" s="3" t="s">
        <v>33</v>
      </c>
      <c r="E89" s="3">
        <v>3</v>
      </c>
      <c r="F89" s="7" t="s">
        <v>351</v>
      </c>
      <c r="G89" s="5"/>
      <c r="H89" s="5"/>
      <c r="I89" s="5"/>
      <c r="J89" s="5"/>
      <c r="K89" s="5"/>
      <c r="L89" s="5"/>
    </row>
    <row r="90" spans="1:12" hidden="1">
      <c r="A90" s="3" t="s">
        <v>47</v>
      </c>
      <c r="B90" s="3" t="s">
        <v>16</v>
      </c>
      <c r="C90" s="3" t="s">
        <v>27</v>
      </c>
      <c r="D90" s="3" t="s">
        <v>33</v>
      </c>
      <c r="E90" s="3">
        <v>3</v>
      </c>
      <c r="F90" s="7" t="s">
        <v>351</v>
      </c>
      <c r="G90" s="5"/>
      <c r="H90" s="5"/>
      <c r="I90" s="5"/>
      <c r="J90" s="5"/>
      <c r="K90" s="5"/>
      <c r="L90" s="5"/>
    </row>
    <row r="91" spans="1:12" hidden="1">
      <c r="A91" s="3" t="s">
        <v>281</v>
      </c>
      <c r="B91" s="3" t="s">
        <v>16</v>
      </c>
      <c r="C91" s="3" t="s">
        <v>27</v>
      </c>
      <c r="D91" s="3" t="s">
        <v>222</v>
      </c>
      <c r="E91" s="3">
        <v>3</v>
      </c>
      <c r="F91" s="7" t="s">
        <v>351</v>
      </c>
      <c r="G91" s="5"/>
      <c r="H91" s="5"/>
      <c r="I91" s="5"/>
      <c r="J91" s="5"/>
      <c r="K91" s="5"/>
      <c r="L91" s="5"/>
    </row>
    <row r="92" spans="1:12" hidden="1">
      <c r="A92" s="3" t="s">
        <v>282</v>
      </c>
      <c r="B92" s="3" t="s">
        <v>16</v>
      </c>
      <c r="C92" s="3" t="s">
        <v>27</v>
      </c>
      <c r="D92" s="3" t="s">
        <v>222</v>
      </c>
      <c r="E92" s="3">
        <v>3</v>
      </c>
      <c r="F92" s="7" t="s">
        <v>351</v>
      </c>
      <c r="G92" s="5"/>
      <c r="H92" s="5"/>
      <c r="I92" s="5"/>
      <c r="J92" s="5"/>
      <c r="K92" s="5"/>
      <c r="L92" s="5"/>
    </row>
    <row r="93" spans="1:12" hidden="1">
      <c r="A93" s="3" t="s">
        <v>283</v>
      </c>
      <c r="B93" s="3" t="s">
        <v>16</v>
      </c>
      <c r="C93" s="3" t="s">
        <v>27</v>
      </c>
      <c r="D93" s="3" t="s">
        <v>222</v>
      </c>
      <c r="E93" s="3">
        <v>3</v>
      </c>
      <c r="F93" s="7" t="s">
        <v>351</v>
      </c>
      <c r="G93" s="5"/>
      <c r="H93" s="5"/>
      <c r="I93" s="5"/>
      <c r="J93" s="5"/>
      <c r="K93" s="5"/>
      <c r="L93" s="5"/>
    </row>
    <row r="94" spans="1:12" hidden="1">
      <c r="A94" s="3" t="s">
        <v>284</v>
      </c>
      <c r="B94" s="3" t="s">
        <v>16</v>
      </c>
      <c r="C94" s="3" t="s">
        <v>27</v>
      </c>
      <c r="D94" s="3" t="s">
        <v>222</v>
      </c>
      <c r="E94" s="3">
        <v>3</v>
      </c>
      <c r="F94" s="7" t="s">
        <v>351</v>
      </c>
      <c r="G94" s="5"/>
      <c r="H94" s="5"/>
      <c r="I94" s="5"/>
      <c r="J94" s="5"/>
      <c r="K94" s="5"/>
      <c r="L94" s="5"/>
    </row>
    <row r="95" spans="1:12" hidden="1">
      <c r="A95" s="3" t="s">
        <v>285</v>
      </c>
      <c r="B95" s="3" t="s">
        <v>16</v>
      </c>
      <c r="C95" s="3" t="s">
        <v>27</v>
      </c>
      <c r="D95" s="3" t="s">
        <v>212</v>
      </c>
      <c r="E95" s="3">
        <v>3</v>
      </c>
      <c r="F95" s="7" t="s">
        <v>351</v>
      </c>
      <c r="G95" s="5"/>
      <c r="H95" s="5"/>
      <c r="I95" s="5"/>
      <c r="J95" s="5"/>
      <c r="K95" s="5"/>
      <c r="L95" s="5"/>
    </row>
    <row r="96" spans="1:12" hidden="1">
      <c r="A96" s="3" t="s">
        <v>286</v>
      </c>
      <c r="B96" s="3" t="s">
        <v>16</v>
      </c>
      <c r="C96" s="3" t="s">
        <v>27</v>
      </c>
      <c r="D96" s="3" t="s">
        <v>212</v>
      </c>
      <c r="E96" s="3">
        <v>3</v>
      </c>
      <c r="F96" s="7" t="s">
        <v>351</v>
      </c>
      <c r="G96" s="5"/>
      <c r="H96" s="5"/>
      <c r="I96" s="5"/>
      <c r="J96" s="5"/>
      <c r="K96" s="5"/>
      <c r="L96" s="5"/>
    </row>
    <row r="97" spans="1:12" hidden="1">
      <c r="A97" s="3" t="s">
        <v>28</v>
      </c>
      <c r="B97" s="3" t="s">
        <v>16</v>
      </c>
      <c r="C97" s="3" t="s">
        <v>28</v>
      </c>
      <c r="D97" s="3" t="s">
        <v>33</v>
      </c>
      <c r="E97" s="3">
        <v>4</v>
      </c>
      <c r="F97" s="7" t="s">
        <v>340</v>
      </c>
      <c r="G97" s="5"/>
      <c r="H97" s="5"/>
      <c r="I97" s="5"/>
      <c r="J97" s="5"/>
      <c r="K97" s="5"/>
      <c r="L97" s="5"/>
    </row>
    <row r="98" spans="1:12" hidden="1">
      <c r="A98" s="3" t="s">
        <v>48</v>
      </c>
      <c r="B98" s="3" t="s">
        <v>16</v>
      </c>
      <c r="C98" s="3" t="s">
        <v>28</v>
      </c>
      <c r="D98" s="3" t="s">
        <v>33</v>
      </c>
      <c r="E98" s="3">
        <v>4</v>
      </c>
      <c r="F98" s="7" t="s">
        <v>340</v>
      </c>
      <c r="G98" s="5"/>
      <c r="H98" s="5"/>
      <c r="I98" s="5"/>
      <c r="J98" s="5"/>
      <c r="K98" s="5"/>
      <c r="L98" s="5"/>
    </row>
    <row r="99" spans="1:12" hidden="1">
      <c r="A99" s="3" t="s">
        <v>287</v>
      </c>
      <c r="B99" s="3" t="s">
        <v>16</v>
      </c>
      <c r="C99" s="3" t="s">
        <v>9</v>
      </c>
      <c r="D99" s="3" t="s">
        <v>222</v>
      </c>
      <c r="E99" s="3">
        <v>4</v>
      </c>
      <c r="F99" s="7" t="s">
        <v>340</v>
      </c>
      <c r="G99" s="5"/>
      <c r="H99" s="5"/>
      <c r="I99" s="5"/>
      <c r="J99" s="5"/>
      <c r="K99" s="5"/>
      <c r="L99" s="5"/>
    </row>
    <row r="100" spans="1:12" hidden="1">
      <c r="A100" s="3" t="s">
        <v>288</v>
      </c>
      <c r="B100" s="3" t="s">
        <v>16</v>
      </c>
      <c r="C100" s="3" t="s">
        <v>9</v>
      </c>
      <c r="D100" s="3" t="s">
        <v>34</v>
      </c>
      <c r="E100" s="3">
        <v>4</v>
      </c>
      <c r="F100" s="7" t="s">
        <v>340</v>
      </c>
      <c r="G100" s="5"/>
      <c r="H100" s="5"/>
      <c r="I100" s="5"/>
      <c r="J100" s="5"/>
      <c r="K100" s="5"/>
      <c r="L100" s="5"/>
    </row>
    <row r="101" spans="1:12" hidden="1">
      <c r="A101" s="3" t="s">
        <v>289</v>
      </c>
      <c r="B101" s="3" t="s">
        <v>16</v>
      </c>
      <c r="C101" s="3" t="s">
        <v>9</v>
      </c>
      <c r="D101" s="3" t="s">
        <v>34</v>
      </c>
      <c r="E101" s="3">
        <v>4</v>
      </c>
      <c r="F101" s="7" t="s">
        <v>340</v>
      </c>
      <c r="G101" s="5"/>
      <c r="H101" s="5"/>
      <c r="I101" s="5"/>
      <c r="J101" s="5"/>
      <c r="K101" s="5"/>
      <c r="L101" s="5"/>
    </row>
    <row r="102" spans="1:12" hidden="1">
      <c r="A102" s="3" t="s">
        <v>290</v>
      </c>
      <c r="B102" s="3" t="s">
        <v>16</v>
      </c>
      <c r="C102" s="3" t="s">
        <v>9</v>
      </c>
      <c r="D102" s="3" t="s">
        <v>34</v>
      </c>
      <c r="E102" s="3">
        <v>4</v>
      </c>
      <c r="F102" s="7" t="s">
        <v>340</v>
      </c>
      <c r="G102" s="5"/>
      <c r="H102" s="5"/>
      <c r="I102" s="5"/>
      <c r="J102" s="5"/>
      <c r="K102" s="5"/>
      <c r="L102" s="5"/>
    </row>
    <row r="103" spans="1:12" hidden="1">
      <c r="A103" s="3" t="s">
        <v>291</v>
      </c>
      <c r="B103" s="3" t="s">
        <v>16</v>
      </c>
      <c r="C103" s="3" t="s">
        <v>9</v>
      </c>
      <c r="D103" s="3" t="s">
        <v>212</v>
      </c>
      <c r="E103" s="3">
        <v>4</v>
      </c>
      <c r="F103" s="7" t="s">
        <v>340</v>
      </c>
      <c r="G103" s="5"/>
      <c r="H103" s="5"/>
      <c r="I103" s="5"/>
      <c r="J103" s="5"/>
      <c r="K103" s="5"/>
      <c r="L103" s="5"/>
    </row>
    <row r="104" spans="1:12">
      <c r="A104" s="3" t="s">
        <v>292</v>
      </c>
      <c r="B104" s="3" t="s">
        <v>16</v>
      </c>
      <c r="C104" s="3" t="s">
        <v>9</v>
      </c>
      <c r="D104" s="3" t="s">
        <v>212</v>
      </c>
      <c r="E104" s="3">
        <v>4</v>
      </c>
      <c r="F104" s="7" t="s">
        <v>340</v>
      </c>
      <c r="G104" s="5"/>
      <c r="H104" s="5"/>
      <c r="I104" s="5"/>
      <c r="J104" s="5"/>
      <c r="K104" s="5"/>
      <c r="L104" s="5"/>
    </row>
    <row r="105" spans="1:12" hidden="1">
      <c r="A105" s="3" t="s">
        <v>293</v>
      </c>
      <c r="B105" s="3" t="s">
        <v>16</v>
      </c>
      <c r="C105" s="3" t="s">
        <v>9</v>
      </c>
      <c r="D105" s="3" t="s">
        <v>212</v>
      </c>
      <c r="E105" s="3">
        <v>4</v>
      </c>
      <c r="F105" s="7" t="s">
        <v>340</v>
      </c>
      <c r="G105" s="5"/>
      <c r="H105" s="5"/>
      <c r="I105" s="5"/>
      <c r="J105" s="5"/>
      <c r="K105" s="5"/>
      <c r="L105" s="5"/>
    </row>
    <row r="106" spans="1:12" hidden="1">
      <c r="A106" s="3" t="s">
        <v>294</v>
      </c>
      <c r="B106" s="3" t="s">
        <v>16</v>
      </c>
      <c r="C106" s="3" t="s">
        <v>9</v>
      </c>
      <c r="D106" s="3" t="s">
        <v>212</v>
      </c>
      <c r="E106" s="3">
        <v>2</v>
      </c>
      <c r="F106" s="7" t="s">
        <v>354</v>
      </c>
      <c r="G106" s="5"/>
      <c r="H106" s="5"/>
      <c r="I106" s="5"/>
      <c r="J106" s="5"/>
      <c r="K106" s="5"/>
      <c r="L106" s="5"/>
    </row>
    <row r="107" spans="1:12" hidden="1">
      <c r="A107" s="3" t="s">
        <v>295</v>
      </c>
      <c r="B107" s="3" t="s">
        <v>16</v>
      </c>
      <c r="C107" s="3" t="s">
        <v>9</v>
      </c>
      <c r="D107" s="3" t="s">
        <v>212</v>
      </c>
      <c r="E107" s="3">
        <v>4</v>
      </c>
      <c r="F107" s="7" t="s">
        <v>340</v>
      </c>
      <c r="G107" s="5"/>
      <c r="H107" s="5"/>
      <c r="I107" s="5"/>
      <c r="J107" s="5"/>
      <c r="K107" s="5"/>
      <c r="L107" s="5"/>
    </row>
    <row r="108" spans="1:12" hidden="1">
      <c r="A108" s="3" t="s">
        <v>296</v>
      </c>
      <c r="B108" s="3" t="s">
        <v>16</v>
      </c>
      <c r="C108" s="3" t="s">
        <v>29</v>
      </c>
      <c r="D108" s="3" t="s">
        <v>33</v>
      </c>
      <c r="E108" s="3">
        <v>4</v>
      </c>
      <c r="F108" s="7" t="s">
        <v>340</v>
      </c>
      <c r="G108" s="5"/>
      <c r="H108" s="5"/>
      <c r="I108" s="5"/>
      <c r="J108" s="5"/>
      <c r="K108" s="5"/>
      <c r="L108" s="5"/>
    </row>
    <row r="109" spans="1:12" hidden="1">
      <c r="A109" s="3" t="s">
        <v>297</v>
      </c>
      <c r="B109" s="3" t="s">
        <v>16</v>
      </c>
      <c r="C109" s="3" t="s">
        <v>28</v>
      </c>
      <c r="D109" s="3" t="s">
        <v>33</v>
      </c>
      <c r="E109" s="3">
        <v>4</v>
      </c>
      <c r="F109" s="7" t="s">
        <v>340</v>
      </c>
      <c r="G109" s="5"/>
      <c r="H109" s="5"/>
      <c r="I109" s="5"/>
      <c r="J109" s="5"/>
      <c r="K109" s="5"/>
      <c r="L109" s="5"/>
    </row>
    <row r="110" spans="1:12" hidden="1">
      <c r="A110" s="3" t="s">
        <v>298</v>
      </c>
      <c r="B110" s="3" t="s">
        <v>16</v>
      </c>
      <c r="C110" s="3" t="s">
        <v>28</v>
      </c>
      <c r="D110" s="3" t="s">
        <v>33</v>
      </c>
      <c r="E110" s="3">
        <v>4</v>
      </c>
      <c r="F110" s="7" t="s">
        <v>340</v>
      </c>
      <c r="G110" s="5"/>
      <c r="H110" s="5"/>
      <c r="I110" s="5"/>
      <c r="J110" s="5"/>
      <c r="K110" s="5"/>
      <c r="L110" s="5"/>
    </row>
    <row r="111" spans="1:12" hidden="1">
      <c r="A111" s="3" t="s">
        <v>299</v>
      </c>
      <c r="B111" s="3" t="s">
        <v>16</v>
      </c>
      <c r="C111" s="3" t="s">
        <v>28</v>
      </c>
      <c r="D111" s="3" t="s">
        <v>33</v>
      </c>
      <c r="E111" s="3">
        <v>4</v>
      </c>
      <c r="F111" s="7" t="s">
        <v>340</v>
      </c>
      <c r="G111" s="5"/>
      <c r="H111" s="5"/>
      <c r="I111" s="5"/>
      <c r="J111" s="5"/>
      <c r="K111" s="5"/>
      <c r="L111" s="5"/>
    </row>
    <row r="112" spans="1:12" hidden="1">
      <c r="A112" s="3" t="s">
        <v>300</v>
      </c>
      <c r="B112" s="3" t="s">
        <v>16</v>
      </c>
      <c r="C112" s="3" t="s">
        <v>28</v>
      </c>
      <c r="D112" s="3" t="s">
        <v>33</v>
      </c>
      <c r="E112" s="3">
        <v>4</v>
      </c>
      <c r="F112" s="7" t="s">
        <v>340</v>
      </c>
      <c r="G112" s="5"/>
      <c r="H112" s="5"/>
      <c r="I112" s="5"/>
      <c r="J112" s="5"/>
      <c r="K112" s="5"/>
      <c r="L112" s="5"/>
    </row>
    <row r="113" spans="1:12" hidden="1">
      <c r="A113" s="3" t="s">
        <v>301</v>
      </c>
      <c r="B113" s="3" t="s">
        <v>16</v>
      </c>
      <c r="C113" s="3" t="s">
        <v>28</v>
      </c>
      <c r="D113" s="3" t="s">
        <v>33</v>
      </c>
      <c r="E113" s="3">
        <v>4</v>
      </c>
      <c r="F113" s="7" t="s">
        <v>340</v>
      </c>
      <c r="G113" s="5"/>
      <c r="H113" s="5"/>
      <c r="I113" s="5"/>
      <c r="J113" s="5"/>
      <c r="K113" s="5"/>
      <c r="L113" s="5"/>
    </row>
    <row r="114" spans="1:12" hidden="1">
      <c r="A114" s="3" t="s">
        <v>302</v>
      </c>
      <c r="B114" s="3" t="s">
        <v>16</v>
      </c>
      <c r="C114" s="3" t="s">
        <v>29</v>
      </c>
      <c r="D114" s="3" t="s">
        <v>33</v>
      </c>
      <c r="E114" s="3">
        <v>4</v>
      </c>
      <c r="F114" s="7" t="s">
        <v>340</v>
      </c>
      <c r="G114" s="5"/>
      <c r="H114" s="5"/>
      <c r="I114" s="5"/>
      <c r="J114" s="5"/>
      <c r="K114" s="5"/>
      <c r="L114" s="5"/>
    </row>
    <row r="115" spans="1:12" hidden="1">
      <c r="A115" s="3" t="s">
        <v>303</v>
      </c>
      <c r="B115" s="3" t="s">
        <v>16</v>
      </c>
      <c r="C115" s="3" t="s">
        <v>29</v>
      </c>
      <c r="D115" s="3" t="s">
        <v>33</v>
      </c>
      <c r="E115" s="3">
        <v>4</v>
      </c>
      <c r="F115" s="7" t="s">
        <v>340</v>
      </c>
      <c r="G115" s="5"/>
      <c r="H115" s="5"/>
      <c r="I115" s="5"/>
      <c r="J115" s="5"/>
      <c r="K115" s="5"/>
      <c r="L115" s="5"/>
    </row>
    <row r="116" spans="1:12" hidden="1">
      <c r="A116" s="3" t="s">
        <v>304</v>
      </c>
      <c r="B116" s="3" t="s">
        <v>16</v>
      </c>
      <c r="C116" s="3" t="s">
        <v>29</v>
      </c>
      <c r="D116" s="3" t="s">
        <v>33</v>
      </c>
      <c r="E116" s="3">
        <v>4</v>
      </c>
      <c r="F116" s="7" t="s">
        <v>340</v>
      </c>
      <c r="G116" s="5"/>
      <c r="H116" s="5"/>
      <c r="I116" s="5"/>
      <c r="J116" s="5"/>
      <c r="K116" s="5"/>
      <c r="L116" s="5"/>
    </row>
    <row r="117" spans="1:12" hidden="1">
      <c r="A117" s="3" t="s">
        <v>305</v>
      </c>
      <c r="B117" s="3" t="s">
        <v>16</v>
      </c>
      <c r="C117" s="3" t="s">
        <v>29</v>
      </c>
      <c r="D117" s="3" t="s">
        <v>33</v>
      </c>
      <c r="E117" s="3">
        <v>4</v>
      </c>
      <c r="F117" s="7" t="s">
        <v>340</v>
      </c>
      <c r="G117" s="5"/>
      <c r="H117" s="5"/>
      <c r="I117" s="5"/>
      <c r="J117" s="5"/>
      <c r="K117" s="5"/>
      <c r="L117" s="5"/>
    </row>
    <row r="118" spans="1:12" hidden="1">
      <c r="A118" s="3" t="s">
        <v>306</v>
      </c>
      <c r="B118" s="3" t="s">
        <v>16</v>
      </c>
      <c r="C118" s="3" t="s">
        <v>29</v>
      </c>
      <c r="D118" s="3" t="s">
        <v>33</v>
      </c>
      <c r="E118" s="3">
        <v>4</v>
      </c>
      <c r="F118" s="7" t="s">
        <v>340</v>
      </c>
      <c r="G118" s="5"/>
      <c r="H118" s="5"/>
      <c r="I118" s="5"/>
      <c r="J118" s="5"/>
      <c r="K118" s="5"/>
      <c r="L118" s="5"/>
    </row>
    <row r="119" spans="1:12" hidden="1">
      <c r="A119" s="3" t="s">
        <v>307</v>
      </c>
      <c r="B119" s="3" t="s">
        <v>16</v>
      </c>
      <c r="C119" s="3" t="s">
        <v>29</v>
      </c>
      <c r="D119" s="3" t="s">
        <v>33</v>
      </c>
      <c r="E119" s="3">
        <v>4</v>
      </c>
      <c r="F119" s="7" t="s">
        <v>340</v>
      </c>
      <c r="G119" s="5"/>
      <c r="H119" s="5"/>
      <c r="I119" s="5"/>
      <c r="J119" s="5"/>
      <c r="K119" s="5"/>
      <c r="L119" s="5"/>
    </row>
    <row r="120" spans="1:12" hidden="1">
      <c r="A120" s="3" t="s">
        <v>308</v>
      </c>
      <c r="B120" s="3" t="s">
        <v>16</v>
      </c>
      <c r="C120" s="3" t="s">
        <v>29</v>
      </c>
      <c r="D120" s="3" t="s">
        <v>33</v>
      </c>
      <c r="E120" s="3">
        <v>4</v>
      </c>
      <c r="F120" s="7" t="s">
        <v>340</v>
      </c>
      <c r="G120" s="5"/>
      <c r="H120" s="5"/>
      <c r="I120" s="5"/>
      <c r="J120" s="5"/>
      <c r="K120" s="5"/>
      <c r="L120" s="5"/>
    </row>
    <row r="121" spans="1:12" hidden="1">
      <c r="A121" s="3" t="s">
        <v>309</v>
      </c>
      <c r="B121" s="3" t="s">
        <v>16</v>
      </c>
      <c r="C121" s="3" t="s">
        <v>29</v>
      </c>
      <c r="D121" s="3" t="s">
        <v>33</v>
      </c>
      <c r="E121" s="3">
        <v>4</v>
      </c>
      <c r="F121" s="7" t="s">
        <v>340</v>
      </c>
      <c r="G121" s="5"/>
      <c r="H121" s="5"/>
      <c r="I121" s="5"/>
      <c r="J121" s="5"/>
      <c r="K121" s="5"/>
      <c r="L121" s="5"/>
    </row>
    <row r="122" spans="1:12" hidden="1">
      <c r="A122" s="3" t="s">
        <v>310</v>
      </c>
      <c r="B122" s="3" t="s">
        <v>16</v>
      </c>
      <c r="C122" s="3" t="s">
        <v>29</v>
      </c>
      <c r="D122" s="3" t="s">
        <v>33</v>
      </c>
      <c r="E122" s="3">
        <v>4</v>
      </c>
      <c r="F122" s="7" t="s">
        <v>340</v>
      </c>
      <c r="G122" s="5"/>
      <c r="H122" s="5"/>
      <c r="I122" s="5"/>
      <c r="J122" s="5"/>
      <c r="K122" s="5"/>
      <c r="L122" s="5"/>
    </row>
    <row r="123" spans="1:12" hidden="1">
      <c r="A123" s="3" t="s">
        <v>311</v>
      </c>
      <c r="B123" s="3" t="s">
        <v>16</v>
      </c>
      <c r="C123" s="3" t="s">
        <v>29</v>
      </c>
      <c r="D123" s="3" t="s">
        <v>33</v>
      </c>
      <c r="E123" s="3">
        <v>4</v>
      </c>
      <c r="F123" s="7" t="s">
        <v>340</v>
      </c>
      <c r="G123" s="5"/>
      <c r="H123" s="5"/>
      <c r="I123" s="5"/>
      <c r="J123" s="5"/>
      <c r="K123" s="5"/>
      <c r="L123" s="5"/>
    </row>
    <row r="124" spans="1:12" hidden="1">
      <c r="A124" s="3" t="s">
        <v>312</v>
      </c>
      <c r="B124" s="3" t="s">
        <v>16</v>
      </c>
      <c r="C124" s="3" t="s">
        <v>29</v>
      </c>
      <c r="D124" s="3" t="s">
        <v>34</v>
      </c>
      <c r="E124" s="3">
        <v>4</v>
      </c>
      <c r="F124" s="7" t="s">
        <v>340</v>
      </c>
      <c r="G124" s="5"/>
      <c r="H124" s="5"/>
      <c r="I124" s="5"/>
      <c r="J124" s="5"/>
      <c r="K124" s="5"/>
      <c r="L124" s="5"/>
    </row>
    <row r="125" spans="1:12" hidden="1">
      <c r="A125" s="3" t="s">
        <v>313</v>
      </c>
      <c r="B125" s="3" t="s">
        <v>16</v>
      </c>
      <c r="C125" s="3" t="s">
        <v>29</v>
      </c>
      <c r="D125" s="3" t="s">
        <v>34</v>
      </c>
      <c r="E125" s="3">
        <v>4</v>
      </c>
      <c r="F125" s="7" t="s">
        <v>340</v>
      </c>
      <c r="G125" s="5"/>
      <c r="H125" s="5"/>
      <c r="I125" s="5"/>
      <c r="J125" s="5"/>
      <c r="K125" s="5"/>
      <c r="L125" s="5"/>
    </row>
    <row r="126" spans="1:12" hidden="1">
      <c r="A126" s="3" t="s">
        <v>315</v>
      </c>
      <c r="B126" s="3" t="s">
        <v>16</v>
      </c>
      <c r="C126" s="3" t="s">
        <v>29</v>
      </c>
      <c r="D126" s="3" t="s">
        <v>34</v>
      </c>
      <c r="E126" s="3">
        <v>4</v>
      </c>
      <c r="F126" s="7" t="s">
        <v>340</v>
      </c>
      <c r="G126" s="5"/>
      <c r="H126" s="5"/>
      <c r="I126" s="5"/>
      <c r="J126" s="5"/>
      <c r="K126" s="5"/>
      <c r="L126" s="5"/>
    </row>
    <row r="127" spans="1:12" hidden="1">
      <c r="A127" s="3" t="s">
        <v>314</v>
      </c>
      <c r="B127" s="3" t="s">
        <v>16</v>
      </c>
      <c r="C127" s="3" t="s">
        <v>29</v>
      </c>
      <c r="D127" s="3" t="s">
        <v>34</v>
      </c>
      <c r="E127" s="3">
        <v>4</v>
      </c>
      <c r="F127" s="7" t="s">
        <v>340</v>
      </c>
      <c r="G127" s="5"/>
      <c r="H127" s="5"/>
      <c r="I127" s="5"/>
      <c r="J127" s="5"/>
      <c r="K127" s="5"/>
      <c r="L127" s="5"/>
    </row>
    <row r="128" spans="1:12" hidden="1">
      <c r="A128" s="3" t="s">
        <v>316</v>
      </c>
      <c r="B128" s="3" t="s">
        <v>16</v>
      </c>
      <c r="C128" s="3" t="s">
        <v>29</v>
      </c>
      <c r="D128" s="3" t="s">
        <v>34</v>
      </c>
      <c r="E128" s="3">
        <v>4</v>
      </c>
      <c r="F128" s="7" t="s">
        <v>340</v>
      </c>
      <c r="G128" s="5"/>
      <c r="H128" s="5"/>
      <c r="I128" s="5"/>
      <c r="J128" s="5"/>
      <c r="K128" s="5"/>
      <c r="L128" s="5"/>
    </row>
    <row r="129" spans="1:12" hidden="1">
      <c r="A129" s="3" t="s">
        <v>317</v>
      </c>
      <c r="B129" s="3" t="s">
        <v>16</v>
      </c>
      <c r="C129" s="3" t="s">
        <v>29</v>
      </c>
      <c r="D129" s="3" t="s">
        <v>34</v>
      </c>
      <c r="E129" s="3">
        <v>4</v>
      </c>
      <c r="F129" s="7" t="s">
        <v>340</v>
      </c>
      <c r="G129" s="5"/>
      <c r="H129" s="5"/>
      <c r="I129" s="5"/>
      <c r="J129" s="5"/>
      <c r="K129" s="5"/>
      <c r="L129" s="5"/>
    </row>
    <row r="130" spans="1:12" hidden="1">
      <c r="A130" s="3" t="s">
        <v>318</v>
      </c>
      <c r="B130" s="3" t="s">
        <v>16</v>
      </c>
      <c r="C130" s="3" t="s">
        <v>29</v>
      </c>
      <c r="D130" s="3" t="s">
        <v>34</v>
      </c>
      <c r="E130" s="3">
        <v>4</v>
      </c>
      <c r="F130" s="7" t="s">
        <v>340</v>
      </c>
      <c r="G130" s="5"/>
      <c r="H130" s="5"/>
      <c r="I130" s="5"/>
      <c r="J130" s="5"/>
      <c r="K130" s="5"/>
      <c r="L130" s="5"/>
    </row>
    <row r="131" spans="1:12" hidden="1">
      <c r="A131" s="3" t="s">
        <v>322</v>
      </c>
      <c r="B131" s="3" t="s">
        <v>16</v>
      </c>
      <c r="C131" s="3" t="s">
        <v>29</v>
      </c>
      <c r="D131" s="3" t="s">
        <v>212</v>
      </c>
      <c r="E131" s="3">
        <v>4</v>
      </c>
      <c r="F131" s="7" t="s">
        <v>340</v>
      </c>
      <c r="G131" s="5"/>
      <c r="H131" s="5"/>
      <c r="I131" s="5"/>
      <c r="J131" s="5"/>
      <c r="K131" s="5"/>
      <c r="L131" s="5"/>
    </row>
    <row r="132" spans="1:12" hidden="1">
      <c r="A132" s="3" t="s">
        <v>323</v>
      </c>
      <c r="B132" s="3" t="s">
        <v>16</v>
      </c>
      <c r="C132" s="3" t="s">
        <v>29</v>
      </c>
      <c r="D132" s="3" t="s">
        <v>212</v>
      </c>
      <c r="E132" s="3">
        <v>4</v>
      </c>
      <c r="F132" s="7" t="s">
        <v>340</v>
      </c>
      <c r="G132" s="5"/>
      <c r="H132" s="5"/>
      <c r="I132" s="5"/>
      <c r="J132" s="5"/>
      <c r="K132" s="5"/>
      <c r="L132" s="5"/>
    </row>
    <row r="133" spans="1:12" hidden="1">
      <c r="A133" s="3" t="s">
        <v>324</v>
      </c>
      <c r="B133" s="3" t="s">
        <v>16</v>
      </c>
      <c r="C133" s="3" t="s">
        <v>29</v>
      </c>
      <c r="D133" s="3" t="s">
        <v>212</v>
      </c>
      <c r="E133" s="3">
        <v>4</v>
      </c>
      <c r="F133" s="7" t="s">
        <v>340</v>
      </c>
      <c r="G133" s="5"/>
      <c r="H133" s="5"/>
      <c r="I133" s="5"/>
      <c r="J133" s="5"/>
      <c r="K133" s="5"/>
      <c r="L133" s="5"/>
    </row>
    <row r="134" spans="1:12" hidden="1">
      <c r="A134" s="3" t="s">
        <v>325</v>
      </c>
      <c r="B134" s="3" t="s">
        <v>16</v>
      </c>
      <c r="C134" s="3" t="s">
        <v>29</v>
      </c>
      <c r="D134" s="3" t="s">
        <v>212</v>
      </c>
      <c r="E134" s="3">
        <v>4</v>
      </c>
      <c r="F134" s="7" t="s">
        <v>340</v>
      </c>
      <c r="G134" s="5"/>
      <c r="H134" s="5"/>
      <c r="I134" s="5"/>
      <c r="J134" s="5"/>
      <c r="K134" s="5"/>
      <c r="L134" s="5"/>
    </row>
    <row r="135" spans="1:12" hidden="1">
      <c r="A135" s="3" t="s">
        <v>326</v>
      </c>
      <c r="B135" s="3" t="s">
        <v>16</v>
      </c>
      <c r="C135" s="3" t="s">
        <v>29</v>
      </c>
      <c r="D135" s="3" t="s">
        <v>212</v>
      </c>
      <c r="E135" s="3">
        <v>4</v>
      </c>
      <c r="F135" s="7" t="s">
        <v>340</v>
      </c>
      <c r="G135" s="5"/>
      <c r="H135" s="5"/>
      <c r="I135" s="5"/>
      <c r="J135" s="5"/>
      <c r="K135" s="5"/>
      <c r="L135" s="5"/>
    </row>
    <row r="136" spans="1:12" hidden="1">
      <c r="A136" s="3" t="s">
        <v>327</v>
      </c>
      <c r="B136" s="3" t="s">
        <v>16</v>
      </c>
      <c r="C136" s="3" t="s">
        <v>29</v>
      </c>
      <c r="D136" s="3" t="s">
        <v>212</v>
      </c>
      <c r="E136" s="3">
        <v>4</v>
      </c>
      <c r="F136" s="7" t="s">
        <v>340</v>
      </c>
      <c r="G136" s="5"/>
      <c r="H136" s="5"/>
      <c r="I136" s="5"/>
      <c r="J136" s="5"/>
      <c r="K136" s="5"/>
      <c r="L136" s="5"/>
    </row>
    <row r="137" spans="1:12" hidden="1">
      <c r="A137" s="3" t="s">
        <v>328</v>
      </c>
      <c r="B137" s="3" t="s">
        <v>16</v>
      </c>
      <c r="C137" s="3" t="s">
        <v>29</v>
      </c>
      <c r="D137" s="3" t="s">
        <v>212</v>
      </c>
      <c r="E137" s="3">
        <v>4</v>
      </c>
      <c r="F137" s="7" t="s">
        <v>340</v>
      </c>
      <c r="G137" s="5"/>
      <c r="H137" s="5"/>
      <c r="I137" s="5"/>
      <c r="J137" s="5"/>
      <c r="K137" s="5"/>
      <c r="L137" s="5"/>
    </row>
    <row r="138" spans="1:12" hidden="1">
      <c r="A138" s="3" t="s">
        <v>329</v>
      </c>
      <c r="B138" s="3" t="s">
        <v>16</v>
      </c>
      <c r="C138" s="3" t="s">
        <v>29</v>
      </c>
      <c r="D138" s="3" t="s">
        <v>212</v>
      </c>
      <c r="E138" s="3">
        <v>4</v>
      </c>
      <c r="F138" s="7" t="s">
        <v>340</v>
      </c>
      <c r="G138" s="5"/>
      <c r="H138" s="5"/>
      <c r="I138" s="5"/>
      <c r="J138" s="5"/>
      <c r="K138" s="5"/>
      <c r="L138" s="5"/>
    </row>
    <row r="139" spans="1:12" hidden="1">
      <c r="A139" s="3" t="s">
        <v>320</v>
      </c>
      <c r="B139" s="3" t="s">
        <v>16</v>
      </c>
      <c r="C139" s="3" t="s">
        <v>320</v>
      </c>
      <c r="D139" s="3" t="s">
        <v>254</v>
      </c>
      <c r="E139" s="3">
        <v>4</v>
      </c>
      <c r="F139" s="7" t="s">
        <v>340</v>
      </c>
      <c r="G139" s="5"/>
      <c r="H139" s="5"/>
      <c r="I139" s="5"/>
      <c r="J139" s="5"/>
      <c r="K139" s="5"/>
      <c r="L139" s="5"/>
    </row>
    <row r="140" spans="1:12" hidden="1">
      <c r="A140" s="3" t="s">
        <v>319</v>
      </c>
      <c r="B140" s="3" t="s">
        <v>16</v>
      </c>
      <c r="C140" s="3" t="s">
        <v>30</v>
      </c>
      <c r="D140" s="3" t="s">
        <v>34</v>
      </c>
      <c r="E140" s="3">
        <v>4</v>
      </c>
      <c r="F140" s="7" t="s">
        <v>340</v>
      </c>
      <c r="G140" s="5"/>
      <c r="H140" s="5"/>
      <c r="I140" s="5"/>
      <c r="J140" s="5"/>
      <c r="K140" s="5"/>
      <c r="L140" s="5"/>
    </row>
    <row r="141" spans="1:12" hidden="1">
      <c r="A141" s="3" t="s">
        <v>49</v>
      </c>
      <c r="B141" s="3" t="s">
        <v>16</v>
      </c>
      <c r="C141" s="3" t="s">
        <v>31</v>
      </c>
      <c r="D141" s="3" t="s">
        <v>33</v>
      </c>
      <c r="E141" s="3">
        <v>3</v>
      </c>
      <c r="F141" s="7" t="s">
        <v>351</v>
      </c>
      <c r="G141" s="5"/>
      <c r="H141" s="5"/>
      <c r="I141" s="5"/>
      <c r="J141" s="5"/>
      <c r="K141" s="5"/>
      <c r="L141" s="5"/>
    </row>
    <row r="142" spans="1:12" hidden="1">
      <c r="A142" s="3" t="s">
        <v>330</v>
      </c>
      <c r="B142" s="3" t="s">
        <v>16</v>
      </c>
      <c r="C142" s="3" t="s">
        <v>31</v>
      </c>
      <c r="D142" s="3" t="s">
        <v>33</v>
      </c>
      <c r="E142" s="3">
        <v>3</v>
      </c>
      <c r="F142" s="7" t="s">
        <v>351</v>
      </c>
      <c r="G142" s="5"/>
      <c r="H142" s="5"/>
      <c r="I142" s="5"/>
      <c r="J142" s="5"/>
      <c r="K142" s="5"/>
      <c r="L142" s="5"/>
    </row>
    <row r="143" spans="1:12" hidden="1">
      <c r="A143" s="3" t="s">
        <v>331</v>
      </c>
      <c r="B143" s="3" t="s">
        <v>16</v>
      </c>
      <c r="C143" s="3" t="s">
        <v>31</v>
      </c>
      <c r="D143" s="3" t="s">
        <v>34</v>
      </c>
      <c r="E143" s="3">
        <v>3</v>
      </c>
      <c r="F143" s="7" t="s">
        <v>351</v>
      </c>
      <c r="G143" s="5"/>
      <c r="H143" s="5"/>
      <c r="I143" s="5"/>
      <c r="J143" s="5"/>
      <c r="K143" s="5"/>
      <c r="L143" s="5"/>
    </row>
    <row r="144" spans="1:12" hidden="1">
      <c r="A144" s="3" t="s">
        <v>332</v>
      </c>
      <c r="B144" s="3" t="s">
        <v>16</v>
      </c>
      <c r="C144" s="3" t="s">
        <v>31</v>
      </c>
      <c r="D144" s="3" t="s">
        <v>34</v>
      </c>
      <c r="E144" s="3">
        <v>3</v>
      </c>
      <c r="F144" s="7" t="s">
        <v>351</v>
      </c>
      <c r="G144" s="5"/>
      <c r="H144" s="5"/>
      <c r="I144" s="5"/>
      <c r="J144" s="5"/>
      <c r="K144" s="5"/>
      <c r="L144" s="5"/>
    </row>
    <row r="145" spans="1:12" hidden="1">
      <c r="A145" s="3" t="s">
        <v>333</v>
      </c>
      <c r="B145" s="3" t="s">
        <v>16</v>
      </c>
      <c r="C145" s="3" t="s">
        <v>31</v>
      </c>
      <c r="D145" s="3" t="s">
        <v>34</v>
      </c>
      <c r="E145" s="3">
        <v>3</v>
      </c>
      <c r="F145" s="7" t="s">
        <v>351</v>
      </c>
      <c r="G145" s="5"/>
      <c r="H145" s="5"/>
      <c r="I145" s="5"/>
      <c r="J145" s="5"/>
      <c r="K145" s="5"/>
      <c r="L145" s="5"/>
    </row>
    <row r="146" spans="1:12" hidden="1">
      <c r="A146" s="3" t="s">
        <v>334</v>
      </c>
      <c r="B146" s="3" t="s">
        <v>16</v>
      </c>
      <c r="C146" s="3" t="s">
        <v>31</v>
      </c>
      <c r="D146" s="3" t="s">
        <v>34</v>
      </c>
      <c r="E146" s="3">
        <v>3</v>
      </c>
      <c r="F146" s="7" t="s">
        <v>351</v>
      </c>
      <c r="G146" s="5"/>
      <c r="H146" s="5"/>
      <c r="I146" s="5"/>
      <c r="J146" s="5"/>
      <c r="K146" s="5"/>
      <c r="L146" s="5"/>
    </row>
    <row r="147" spans="1:12" hidden="1">
      <c r="A147" s="3" t="s">
        <v>335</v>
      </c>
      <c r="B147" s="3" t="s">
        <v>16</v>
      </c>
      <c r="C147" s="3" t="s">
        <v>31</v>
      </c>
      <c r="D147" s="3" t="s">
        <v>34</v>
      </c>
      <c r="E147" s="3">
        <v>3</v>
      </c>
      <c r="F147" s="7" t="s">
        <v>351</v>
      </c>
      <c r="G147" s="5"/>
      <c r="H147" s="5"/>
      <c r="I147" s="5"/>
      <c r="J147" s="5"/>
      <c r="K147" s="5"/>
      <c r="L147" s="5"/>
    </row>
    <row r="148" spans="1:12" hidden="1">
      <c r="A148" s="3" t="s">
        <v>50</v>
      </c>
      <c r="B148" s="3" t="s">
        <v>16</v>
      </c>
      <c r="C148" s="3" t="s">
        <v>31</v>
      </c>
      <c r="D148" s="3" t="s">
        <v>34</v>
      </c>
      <c r="E148" s="3">
        <v>3</v>
      </c>
      <c r="F148" s="7" t="s">
        <v>351</v>
      </c>
      <c r="G148" s="5"/>
      <c r="H148" s="5"/>
      <c r="I148" s="5"/>
      <c r="J148" s="5"/>
      <c r="K148" s="5"/>
      <c r="L148" s="5"/>
    </row>
    <row r="149" spans="1:12" hidden="1">
      <c r="A149" s="3" t="s">
        <v>336</v>
      </c>
      <c r="B149" s="3" t="s">
        <v>16</v>
      </c>
      <c r="C149" s="3" t="s">
        <v>31</v>
      </c>
      <c r="D149" s="3" t="s">
        <v>274</v>
      </c>
      <c r="E149" s="3">
        <v>3</v>
      </c>
      <c r="F149" s="7" t="s">
        <v>351</v>
      </c>
      <c r="G149" s="5"/>
      <c r="H149" s="5"/>
      <c r="I149" s="5"/>
      <c r="J149" s="5"/>
      <c r="K149" s="5"/>
      <c r="L149" s="5"/>
    </row>
    <row r="150" spans="1:12" hidden="1">
      <c r="A150" s="3" t="s">
        <v>51</v>
      </c>
      <c r="B150" s="3" t="s">
        <v>16</v>
      </c>
      <c r="C150" s="3" t="s">
        <v>31</v>
      </c>
      <c r="D150" s="3" t="s">
        <v>212</v>
      </c>
      <c r="E150" s="3">
        <v>3</v>
      </c>
      <c r="F150" s="7" t="s">
        <v>351</v>
      </c>
      <c r="G150" s="5"/>
      <c r="H150" s="5"/>
      <c r="I150" s="5"/>
      <c r="J150" s="5"/>
      <c r="K150" s="5"/>
      <c r="L150" s="5"/>
    </row>
    <row r="151" spans="1:12" hidden="1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>
    <filterColumn colId="0">
      <filters>
        <filter val="지식 재산 일반"/>
      </filters>
    </filterColumn>
  </autoFilter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27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984375" style="71" customWidth="1"/>
    <col min="2" max="2" width="7.5" style="71" customWidth="1"/>
    <col min="3" max="3" width="0.8984375" style="71" customWidth="1"/>
    <col min="4" max="4" width="4" style="71" customWidth="1"/>
    <col min="5" max="5" width="5.8984375" style="71" customWidth="1"/>
    <col min="6" max="6" width="5.59765625" style="71" customWidth="1"/>
    <col min="7" max="7" width="11.19921875" style="71" customWidth="1"/>
    <col min="8" max="8" width="9.09765625" style="71" customWidth="1"/>
    <col min="9" max="9" width="12.69921875" style="71" customWidth="1"/>
    <col min="10" max="10" width="1.3984375" style="71" customWidth="1"/>
    <col min="11" max="11" width="1" style="71" customWidth="1"/>
    <col min="12" max="12" width="10.69921875" style="71" customWidth="1"/>
    <col min="13" max="13" width="10.09765625" style="71" customWidth="1"/>
    <col min="14" max="14" width="16.59765625" style="71" customWidth="1"/>
    <col min="15" max="15" width="8.3984375" style="71" customWidth="1"/>
    <col min="16" max="16" width="9.5" style="71" customWidth="1"/>
    <col min="17" max="17" width="1.19921875" style="71" customWidth="1"/>
    <col min="18" max="18" width="0.5" style="71" customWidth="1"/>
    <col min="19" max="26" width="0" style="71" hidden="1" customWidth="1"/>
    <col min="27" max="16384" width="11" style="71" hidden="1"/>
  </cols>
  <sheetData>
    <row r="1" spans="2:26" ht="15.6"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2:26" ht="36.6" thickBot="1">
      <c r="B2" s="842" t="s">
        <v>369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  <c r="O2" s="843"/>
      <c r="P2" s="843"/>
      <c r="Q2" s="843"/>
      <c r="R2" s="70"/>
      <c r="S2" s="70"/>
      <c r="T2" s="70"/>
      <c r="U2" s="70"/>
      <c r="V2" s="70"/>
      <c r="W2" s="70"/>
      <c r="X2" s="70"/>
      <c r="Y2" s="70"/>
      <c r="Z2" s="70"/>
    </row>
    <row r="3" spans="2:26" ht="24" customHeight="1" thickBot="1">
      <c r="B3" s="72" t="s">
        <v>370</v>
      </c>
      <c r="C3" s="844" t="s">
        <v>371</v>
      </c>
      <c r="D3" s="845"/>
      <c r="E3" s="845"/>
      <c r="F3" s="845"/>
      <c r="G3" s="845"/>
      <c r="H3" s="845"/>
      <c r="I3" s="845"/>
      <c r="J3" s="846"/>
      <c r="K3" s="847" t="s">
        <v>372</v>
      </c>
      <c r="L3" s="848"/>
      <c r="M3" s="848"/>
      <c r="N3" s="848"/>
      <c r="O3" s="848"/>
      <c r="P3" s="848"/>
      <c r="Q3" s="849"/>
      <c r="R3" s="70"/>
      <c r="S3" s="70"/>
      <c r="T3" s="70"/>
      <c r="U3" s="70"/>
      <c r="V3" s="70"/>
      <c r="W3" s="70"/>
      <c r="X3" s="70"/>
      <c r="Y3" s="70"/>
      <c r="Z3" s="70"/>
    </row>
    <row r="4" spans="2:26" ht="15.6">
      <c r="B4" s="807" t="s">
        <v>373</v>
      </c>
      <c r="C4" s="73" t="s">
        <v>374</v>
      </c>
      <c r="D4" s="74"/>
      <c r="E4" s="74"/>
      <c r="F4" s="74"/>
      <c r="G4" s="74"/>
      <c r="H4" s="74"/>
      <c r="I4" s="74"/>
      <c r="J4" s="75"/>
      <c r="K4" s="76" t="s">
        <v>374</v>
      </c>
      <c r="L4" s="74"/>
      <c r="M4" s="74"/>
      <c r="N4" s="74"/>
      <c r="O4" s="74"/>
      <c r="P4" s="74"/>
      <c r="Q4" s="75"/>
      <c r="R4" s="70"/>
      <c r="S4" s="70"/>
      <c r="T4" s="70"/>
      <c r="U4" s="70"/>
      <c r="V4" s="70"/>
      <c r="W4" s="70"/>
      <c r="X4" s="70"/>
      <c r="Y4" s="70"/>
      <c r="Z4" s="70"/>
    </row>
    <row r="5" spans="2:26" ht="18.75" customHeight="1">
      <c r="B5" s="794"/>
      <c r="C5" s="77"/>
      <c r="D5" s="813" t="s">
        <v>375</v>
      </c>
      <c r="E5" s="802"/>
      <c r="F5" s="802"/>
      <c r="G5" s="801"/>
      <c r="H5" s="817" t="s">
        <v>376</v>
      </c>
      <c r="I5" s="802"/>
      <c r="J5" s="78"/>
      <c r="K5" s="79"/>
      <c r="L5" s="813" t="s">
        <v>375</v>
      </c>
      <c r="M5" s="802"/>
      <c r="N5" s="801"/>
      <c r="O5" s="817" t="s">
        <v>377</v>
      </c>
      <c r="P5" s="802"/>
      <c r="Q5" s="78"/>
      <c r="R5" s="70"/>
      <c r="S5" s="70"/>
      <c r="T5" s="70"/>
      <c r="U5" s="70"/>
      <c r="V5" s="70"/>
      <c r="W5" s="70"/>
      <c r="X5" s="70"/>
      <c r="Y5" s="70"/>
      <c r="Z5" s="70"/>
    </row>
    <row r="6" spans="2:26" ht="18.75" customHeight="1">
      <c r="B6" s="794"/>
      <c r="C6" s="77"/>
      <c r="D6" s="813" t="s">
        <v>378</v>
      </c>
      <c r="E6" s="802"/>
      <c r="F6" s="802"/>
      <c r="G6" s="801"/>
      <c r="H6" s="817" t="s">
        <v>379</v>
      </c>
      <c r="I6" s="802"/>
      <c r="J6" s="78"/>
      <c r="K6" s="79"/>
      <c r="L6" s="813" t="s">
        <v>378</v>
      </c>
      <c r="M6" s="802"/>
      <c r="N6" s="801"/>
      <c r="O6" s="817" t="s">
        <v>380</v>
      </c>
      <c r="P6" s="802"/>
      <c r="Q6" s="78"/>
      <c r="R6" s="70"/>
      <c r="S6" s="70"/>
      <c r="T6" s="70"/>
      <c r="U6" s="70"/>
      <c r="V6" s="70"/>
      <c r="W6" s="70"/>
      <c r="X6" s="70"/>
      <c r="Y6" s="70"/>
      <c r="Z6" s="70"/>
    </row>
    <row r="7" spans="2:26" ht="18.75" customHeight="1">
      <c r="B7" s="794"/>
      <c r="C7" s="77"/>
      <c r="D7" s="813" t="s">
        <v>381</v>
      </c>
      <c r="E7" s="802"/>
      <c r="F7" s="802"/>
      <c r="G7" s="801"/>
      <c r="H7" s="817" t="s">
        <v>382</v>
      </c>
      <c r="I7" s="802"/>
      <c r="J7" s="78"/>
      <c r="K7" s="79"/>
      <c r="L7" s="813" t="s">
        <v>381</v>
      </c>
      <c r="M7" s="802"/>
      <c r="N7" s="801"/>
      <c r="O7" s="817" t="s">
        <v>383</v>
      </c>
      <c r="P7" s="802"/>
      <c r="Q7" s="78"/>
      <c r="R7" s="70"/>
      <c r="S7" s="70"/>
      <c r="T7" s="70"/>
      <c r="U7" s="70"/>
      <c r="V7" s="70"/>
      <c r="W7" s="70"/>
      <c r="X7" s="70"/>
      <c r="Y7" s="70"/>
      <c r="Z7" s="70"/>
    </row>
    <row r="8" spans="2:26" ht="18.75" customHeight="1">
      <c r="B8" s="794"/>
      <c r="C8" s="77"/>
      <c r="D8" s="813" t="s">
        <v>384</v>
      </c>
      <c r="E8" s="802"/>
      <c r="F8" s="802"/>
      <c r="G8" s="801"/>
      <c r="H8" s="817" t="s">
        <v>385</v>
      </c>
      <c r="I8" s="802"/>
      <c r="J8" s="78"/>
      <c r="K8" s="79"/>
      <c r="L8" s="813" t="s">
        <v>384</v>
      </c>
      <c r="M8" s="802"/>
      <c r="N8" s="801"/>
      <c r="O8" s="817" t="s">
        <v>385</v>
      </c>
      <c r="P8" s="802"/>
      <c r="Q8" s="78"/>
      <c r="R8" s="70"/>
      <c r="S8" s="70"/>
      <c r="T8" s="70"/>
      <c r="U8" s="70"/>
      <c r="V8" s="70"/>
      <c r="W8" s="70"/>
      <c r="X8" s="70"/>
      <c r="Y8" s="70"/>
      <c r="Z8" s="70"/>
    </row>
    <row r="9" spans="2:26" ht="8.25" customHeight="1" thickBot="1">
      <c r="B9" s="795"/>
      <c r="C9" s="80"/>
      <c r="D9" s="81"/>
      <c r="E9" s="81"/>
      <c r="F9" s="81"/>
      <c r="G9" s="81"/>
      <c r="H9" s="81"/>
      <c r="I9" s="81"/>
      <c r="J9" s="82"/>
      <c r="K9" s="83"/>
      <c r="L9" s="81"/>
      <c r="M9" s="81"/>
      <c r="N9" s="81"/>
      <c r="O9" s="81"/>
      <c r="P9" s="81"/>
      <c r="Q9" s="82"/>
      <c r="R9" s="70"/>
      <c r="S9" s="70"/>
      <c r="T9" s="70"/>
      <c r="U9" s="70"/>
      <c r="V9" s="70"/>
      <c r="W9" s="70"/>
      <c r="X9" s="70"/>
      <c r="Y9" s="70"/>
      <c r="Z9" s="70"/>
    </row>
    <row r="10" spans="2:26" ht="6.75" customHeight="1">
      <c r="B10" s="807" t="s">
        <v>386</v>
      </c>
      <c r="C10" s="73"/>
      <c r="D10" s="74"/>
      <c r="E10" s="74"/>
      <c r="F10" s="74"/>
      <c r="G10" s="74"/>
      <c r="H10" s="74"/>
      <c r="I10" s="74"/>
      <c r="J10" s="75"/>
      <c r="K10" s="76"/>
      <c r="L10" s="74"/>
      <c r="M10" s="74"/>
      <c r="N10" s="74"/>
      <c r="O10" s="74"/>
      <c r="P10" s="74"/>
      <c r="Q10" s="75"/>
      <c r="R10" s="70"/>
      <c r="S10" s="70"/>
      <c r="T10" s="70"/>
      <c r="U10" s="70"/>
      <c r="V10" s="70"/>
      <c r="W10" s="70"/>
      <c r="X10" s="70"/>
      <c r="Y10" s="70"/>
      <c r="Z10" s="70"/>
    </row>
    <row r="11" spans="2:26" ht="16.5" customHeight="1">
      <c r="B11" s="794"/>
      <c r="C11" s="77"/>
      <c r="D11" s="813" t="s">
        <v>321</v>
      </c>
      <c r="E11" s="802"/>
      <c r="F11" s="802"/>
      <c r="G11" s="817" t="s">
        <v>387</v>
      </c>
      <c r="H11" s="802"/>
      <c r="I11" s="802"/>
      <c r="J11" s="78"/>
      <c r="K11" s="79"/>
      <c r="L11" s="838" t="s">
        <v>321</v>
      </c>
      <c r="M11" s="839"/>
      <c r="N11" s="840" t="s">
        <v>388</v>
      </c>
      <c r="O11" s="841"/>
      <c r="P11" s="841"/>
      <c r="Q11" s="78"/>
      <c r="R11" s="70"/>
      <c r="S11" s="70"/>
      <c r="T11" s="70"/>
      <c r="U11" s="70"/>
      <c r="V11" s="70"/>
      <c r="W11" s="70"/>
      <c r="X11" s="70"/>
      <c r="Y11" s="70"/>
      <c r="Z11" s="70"/>
    </row>
    <row r="12" spans="2:26" ht="16.5" customHeight="1">
      <c r="B12" s="794"/>
      <c r="C12" s="77"/>
      <c r="D12" s="813" t="s">
        <v>389</v>
      </c>
      <c r="E12" s="802"/>
      <c r="F12" s="802"/>
      <c r="G12" s="817" t="s">
        <v>390</v>
      </c>
      <c r="H12" s="802"/>
      <c r="I12" s="802"/>
      <c r="J12" s="78"/>
      <c r="K12" s="79"/>
      <c r="L12" s="822"/>
      <c r="M12" s="799"/>
      <c r="N12" s="816"/>
      <c r="O12" s="822"/>
      <c r="P12" s="822"/>
      <c r="Q12" s="78"/>
      <c r="R12" s="70"/>
      <c r="S12" s="70"/>
      <c r="T12" s="70"/>
      <c r="U12" s="70"/>
      <c r="V12" s="70"/>
      <c r="W12" s="70"/>
      <c r="X12" s="70"/>
      <c r="Y12" s="70"/>
      <c r="Z12" s="70"/>
    </row>
    <row r="13" spans="2:26" ht="16.5" customHeight="1">
      <c r="B13" s="794"/>
      <c r="C13" s="77"/>
      <c r="D13" s="813" t="s">
        <v>391</v>
      </c>
      <c r="E13" s="802"/>
      <c r="F13" s="802"/>
      <c r="G13" s="817" t="s">
        <v>392</v>
      </c>
      <c r="H13" s="802"/>
      <c r="I13" s="802"/>
      <c r="J13" s="78"/>
      <c r="K13" s="79"/>
      <c r="L13" s="813" t="s">
        <v>393</v>
      </c>
      <c r="M13" s="801"/>
      <c r="N13" s="817" t="s">
        <v>392</v>
      </c>
      <c r="O13" s="802"/>
      <c r="P13" s="802"/>
      <c r="Q13" s="78"/>
      <c r="R13" s="70"/>
      <c r="S13" s="70"/>
      <c r="T13" s="70"/>
      <c r="U13" s="70"/>
      <c r="V13" s="70"/>
      <c r="W13" s="70"/>
      <c r="X13" s="70"/>
      <c r="Y13" s="70"/>
      <c r="Z13" s="70"/>
    </row>
    <row r="14" spans="2:26" ht="6.75" customHeight="1" thickBot="1">
      <c r="B14" s="795"/>
      <c r="C14" s="80"/>
      <c r="D14" s="81"/>
      <c r="E14" s="81"/>
      <c r="F14" s="81"/>
      <c r="G14" s="81"/>
      <c r="H14" s="81"/>
      <c r="I14" s="81"/>
      <c r="J14" s="82"/>
      <c r="K14" s="83"/>
      <c r="L14" s="81"/>
      <c r="M14" s="81"/>
      <c r="N14" s="81"/>
      <c r="O14" s="81"/>
      <c r="P14" s="81"/>
      <c r="Q14" s="82"/>
      <c r="R14" s="70"/>
      <c r="S14" s="70"/>
      <c r="T14" s="70"/>
      <c r="U14" s="70"/>
      <c r="V14" s="70"/>
      <c r="W14" s="70"/>
      <c r="X14" s="70"/>
      <c r="Y14" s="70"/>
      <c r="Z14" s="70"/>
    </row>
    <row r="15" spans="2:26" ht="6.75" customHeight="1">
      <c r="B15" s="807" t="s">
        <v>394</v>
      </c>
      <c r="C15" s="73"/>
      <c r="D15" s="74"/>
      <c r="E15" s="74"/>
      <c r="F15" s="74"/>
      <c r="G15" s="74"/>
      <c r="H15" s="74"/>
      <c r="I15" s="74"/>
      <c r="J15" s="75"/>
      <c r="K15" s="76"/>
      <c r="L15" s="74"/>
      <c r="M15" s="74"/>
      <c r="N15" s="74"/>
      <c r="O15" s="74"/>
      <c r="P15" s="74"/>
      <c r="Q15" s="75"/>
      <c r="R15" s="70"/>
      <c r="S15" s="70"/>
      <c r="T15" s="70"/>
      <c r="U15" s="70"/>
      <c r="V15" s="70"/>
      <c r="W15" s="70"/>
      <c r="X15" s="70"/>
      <c r="Y15" s="70"/>
      <c r="Z15" s="70"/>
    </row>
    <row r="16" spans="2:26" ht="20.25" customHeight="1">
      <c r="B16" s="794"/>
      <c r="C16" s="77"/>
      <c r="D16" s="813" t="s">
        <v>395</v>
      </c>
      <c r="E16" s="802"/>
      <c r="F16" s="802"/>
      <c r="G16" s="801"/>
      <c r="H16" s="817">
        <v>1</v>
      </c>
      <c r="I16" s="802"/>
      <c r="J16" s="78"/>
      <c r="K16" s="79"/>
      <c r="L16" s="813" t="s">
        <v>395</v>
      </c>
      <c r="M16" s="802"/>
      <c r="N16" s="801"/>
      <c r="O16" s="817" t="s">
        <v>396</v>
      </c>
      <c r="P16" s="802"/>
      <c r="Q16" s="78"/>
      <c r="R16" s="70"/>
      <c r="S16" s="70"/>
      <c r="T16" s="70"/>
      <c r="U16" s="70"/>
      <c r="V16" s="70"/>
      <c r="W16" s="70"/>
      <c r="X16" s="70"/>
      <c r="Y16" s="70"/>
      <c r="Z16" s="70"/>
    </row>
    <row r="17" spans="2:26" ht="20.25" customHeight="1">
      <c r="B17" s="794"/>
      <c r="C17" s="77"/>
      <c r="D17" s="813" t="s">
        <v>397</v>
      </c>
      <c r="E17" s="802"/>
      <c r="F17" s="802"/>
      <c r="G17" s="801"/>
      <c r="H17" s="817">
        <v>179</v>
      </c>
      <c r="I17" s="802"/>
      <c r="J17" s="78"/>
      <c r="K17" s="79"/>
      <c r="L17" s="813" t="s">
        <v>398</v>
      </c>
      <c r="M17" s="802"/>
      <c r="N17" s="801"/>
      <c r="O17" s="817" t="s">
        <v>399</v>
      </c>
      <c r="P17" s="802"/>
      <c r="Q17" s="78"/>
      <c r="R17" s="70"/>
      <c r="S17" s="70"/>
      <c r="T17" s="70"/>
      <c r="U17" s="70"/>
      <c r="V17" s="70"/>
      <c r="W17" s="70"/>
      <c r="X17" s="70"/>
      <c r="Y17" s="70"/>
      <c r="Z17" s="70"/>
    </row>
    <row r="18" spans="2:26" ht="20.25" customHeight="1">
      <c r="B18" s="794"/>
      <c r="C18" s="77"/>
      <c r="D18" s="813" t="s">
        <v>400</v>
      </c>
      <c r="E18" s="802"/>
      <c r="F18" s="802"/>
      <c r="G18" s="801"/>
      <c r="H18" s="817">
        <v>368</v>
      </c>
      <c r="I18" s="802"/>
      <c r="J18" s="78"/>
      <c r="K18" s="79"/>
      <c r="L18" s="813" t="s">
        <v>401</v>
      </c>
      <c r="M18" s="802"/>
      <c r="N18" s="801"/>
      <c r="O18" s="817" t="s">
        <v>402</v>
      </c>
      <c r="P18" s="802"/>
      <c r="Q18" s="78"/>
      <c r="R18" s="70"/>
      <c r="S18" s="70"/>
      <c r="T18" s="70"/>
      <c r="U18" s="70"/>
      <c r="V18" s="70"/>
      <c r="W18" s="70"/>
      <c r="X18" s="70"/>
      <c r="Y18" s="70"/>
      <c r="Z18" s="70"/>
    </row>
    <row r="19" spans="2:26" ht="20.25" customHeight="1">
      <c r="B19" s="794"/>
      <c r="C19" s="77"/>
      <c r="D19" s="813" t="s">
        <v>403</v>
      </c>
      <c r="E19" s="802"/>
      <c r="F19" s="802"/>
      <c r="G19" s="801"/>
      <c r="H19" s="817">
        <v>548</v>
      </c>
      <c r="I19" s="802"/>
      <c r="J19" s="78"/>
      <c r="K19" s="79"/>
      <c r="L19" s="813" t="s">
        <v>403</v>
      </c>
      <c r="M19" s="802"/>
      <c r="N19" s="801"/>
      <c r="O19" s="817" t="s">
        <v>404</v>
      </c>
      <c r="P19" s="802"/>
      <c r="Q19" s="78"/>
      <c r="R19" s="70"/>
      <c r="S19" s="70"/>
      <c r="T19" s="70"/>
      <c r="U19" s="70"/>
      <c r="V19" s="70"/>
      <c r="W19" s="70"/>
      <c r="X19" s="70"/>
      <c r="Y19" s="70"/>
      <c r="Z19" s="70"/>
    </row>
    <row r="20" spans="2:26" ht="5.25" customHeight="1" thickBot="1">
      <c r="B20" s="795"/>
      <c r="C20" s="80"/>
      <c r="D20" s="81"/>
      <c r="E20" s="81"/>
      <c r="F20" s="81"/>
      <c r="G20" s="81"/>
      <c r="H20" s="81"/>
      <c r="I20" s="81"/>
      <c r="J20" s="82"/>
      <c r="K20" s="83"/>
      <c r="L20" s="81"/>
      <c r="M20" s="81"/>
      <c r="N20" s="81"/>
      <c r="O20" s="81"/>
      <c r="P20" s="81"/>
      <c r="Q20" s="82"/>
      <c r="R20" s="70"/>
      <c r="S20" s="70"/>
      <c r="T20" s="70"/>
      <c r="U20" s="70"/>
      <c r="V20" s="70"/>
      <c r="W20" s="70"/>
      <c r="X20" s="70"/>
      <c r="Y20" s="70"/>
      <c r="Z20" s="70"/>
    </row>
    <row r="21" spans="2:26" ht="5.25" customHeight="1">
      <c r="B21" s="807" t="s">
        <v>405</v>
      </c>
      <c r="C21" s="73"/>
      <c r="D21" s="74"/>
      <c r="E21" s="74"/>
      <c r="F21" s="74"/>
      <c r="G21" s="74"/>
      <c r="H21" s="74"/>
      <c r="I21" s="74"/>
      <c r="J21" s="75"/>
      <c r="K21" s="76"/>
      <c r="L21" s="74"/>
      <c r="M21" s="74"/>
      <c r="N21" s="74"/>
      <c r="O21" s="74"/>
      <c r="P21" s="74"/>
      <c r="Q21" s="75"/>
      <c r="R21" s="70"/>
      <c r="S21" s="70"/>
      <c r="T21" s="70"/>
      <c r="U21" s="70"/>
      <c r="V21" s="70"/>
      <c r="W21" s="70"/>
      <c r="X21" s="70"/>
      <c r="Y21" s="70"/>
      <c r="Z21" s="70"/>
    </row>
    <row r="22" spans="2:26" ht="31.8" thickBot="1">
      <c r="B22" s="794"/>
      <c r="C22" s="77"/>
      <c r="D22" s="84"/>
      <c r="E22" s="85"/>
      <c r="F22" s="86" t="s">
        <v>406</v>
      </c>
      <c r="G22" s="86" t="s">
        <v>407</v>
      </c>
      <c r="H22" s="86" t="s">
        <v>408</v>
      </c>
      <c r="I22" s="87" t="s">
        <v>409</v>
      </c>
      <c r="J22" s="88"/>
      <c r="K22" s="89"/>
      <c r="L22" s="84"/>
      <c r="M22" s="86" t="s">
        <v>407</v>
      </c>
      <c r="N22" s="86" t="s">
        <v>410</v>
      </c>
      <c r="O22" s="830" t="s">
        <v>409</v>
      </c>
      <c r="P22" s="831"/>
      <c r="Q22" s="78"/>
      <c r="R22" s="70"/>
      <c r="S22" s="70"/>
      <c r="T22" s="70"/>
      <c r="U22" s="70"/>
      <c r="V22" s="70"/>
      <c r="W22" s="70"/>
      <c r="X22" s="70"/>
      <c r="Y22" s="70"/>
      <c r="Z22" s="70"/>
    </row>
    <row r="23" spans="2:26" ht="16.2" thickTop="1">
      <c r="B23" s="794"/>
      <c r="C23" s="77"/>
      <c r="D23" s="818" t="s">
        <v>407</v>
      </c>
      <c r="E23" s="832" t="s">
        <v>411</v>
      </c>
      <c r="F23" s="832" t="s">
        <v>412</v>
      </c>
      <c r="G23" s="90" t="s">
        <v>413</v>
      </c>
      <c r="H23" s="90" t="s">
        <v>414</v>
      </c>
      <c r="I23" s="820">
        <v>24</v>
      </c>
      <c r="J23" s="88"/>
      <c r="K23" s="89"/>
      <c r="L23" s="818" t="s">
        <v>415</v>
      </c>
      <c r="M23" s="91" t="s">
        <v>413</v>
      </c>
      <c r="N23" s="91" t="s">
        <v>416</v>
      </c>
      <c r="O23" s="820">
        <v>24</v>
      </c>
      <c r="P23" s="821"/>
      <c r="Q23" s="78"/>
      <c r="R23" s="70"/>
      <c r="S23" s="70"/>
      <c r="T23" s="70"/>
      <c r="U23" s="70"/>
      <c r="V23" s="70"/>
      <c r="W23" s="70"/>
      <c r="X23" s="70"/>
      <c r="Y23" s="70"/>
      <c r="Z23" s="70"/>
    </row>
    <row r="24" spans="2:26" ht="15.6">
      <c r="B24" s="794"/>
      <c r="C24" s="77"/>
      <c r="D24" s="819"/>
      <c r="E24" s="833"/>
      <c r="F24" s="833"/>
      <c r="G24" s="92" t="s">
        <v>417</v>
      </c>
      <c r="H24" s="92" t="s">
        <v>418</v>
      </c>
      <c r="I24" s="815"/>
      <c r="J24" s="88"/>
      <c r="K24" s="89"/>
      <c r="L24" s="819"/>
      <c r="M24" s="93" t="s">
        <v>417</v>
      </c>
      <c r="N24" s="93" t="s">
        <v>419</v>
      </c>
      <c r="O24" s="815"/>
      <c r="P24" s="792"/>
      <c r="Q24" s="78"/>
      <c r="R24" s="70"/>
      <c r="S24" s="70"/>
      <c r="T24" s="70"/>
      <c r="U24" s="70"/>
      <c r="V24" s="70"/>
      <c r="W24" s="70"/>
      <c r="X24" s="70"/>
      <c r="Y24" s="70"/>
      <c r="Z24" s="70"/>
    </row>
    <row r="25" spans="2:26" ht="15.6">
      <c r="B25" s="794"/>
      <c r="C25" s="77"/>
      <c r="D25" s="819"/>
      <c r="E25" s="833"/>
      <c r="F25" s="833"/>
      <c r="G25" s="92" t="s">
        <v>420</v>
      </c>
      <c r="H25" s="92" t="s">
        <v>421</v>
      </c>
      <c r="I25" s="834"/>
      <c r="J25" s="88"/>
      <c r="K25" s="89"/>
      <c r="L25" s="819"/>
      <c r="M25" s="93" t="s">
        <v>420</v>
      </c>
      <c r="N25" s="93" t="s">
        <v>422</v>
      </c>
      <c r="O25" s="816"/>
      <c r="P25" s="822"/>
      <c r="Q25" s="78"/>
      <c r="R25" s="70"/>
      <c r="S25" s="70"/>
      <c r="T25" s="70"/>
      <c r="U25" s="70"/>
      <c r="V25" s="70"/>
      <c r="W25" s="70"/>
      <c r="X25" s="70"/>
      <c r="Y25" s="70"/>
      <c r="Z25" s="70"/>
    </row>
    <row r="26" spans="2:26" ht="15.6">
      <c r="B26" s="794"/>
      <c r="C26" s="77"/>
      <c r="D26" s="819"/>
      <c r="E26" s="833"/>
      <c r="F26" s="790"/>
      <c r="G26" s="94" t="s">
        <v>423</v>
      </c>
      <c r="H26" s="94" t="s">
        <v>424</v>
      </c>
      <c r="I26" s="95">
        <v>6</v>
      </c>
      <c r="J26" s="88"/>
      <c r="K26" s="89"/>
      <c r="L26" s="819"/>
      <c r="M26" s="823" t="s">
        <v>425</v>
      </c>
      <c r="N26" s="96" t="s">
        <v>426</v>
      </c>
      <c r="O26" s="824">
        <v>6</v>
      </c>
      <c r="P26" s="825"/>
      <c r="Q26" s="78"/>
      <c r="R26" s="70"/>
      <c r="S26" s="70"/>
      <c r="T26" s="70"/>
      <c r="U26" s="70"/>
      <c r="V26" s="70"/>
      <c r="W26" s="70"/>
      <c r="X26" s="70"/>
      <c r="Y26" s="70"/>
      <c r="Z26" s="70"/>
    </row>
    <row r="27" spans="2:26" ht="46.8">
      <c r="B27" s="794"/>
      <c r="C27" s="77"/>
      <c r="D27" s="819"/>
      <c r="E27" s="833"/>
      <c r="F27" s="823" t="s">
        <v>427</v>
      </c>
      <c r="G27" s="96" t="s">
        <v>425</v>
      </c>
      <c r="H27" s="96" t="s">
        <v>428</v>
      </c>
      <c r="I27" s="826">
        <v>12</v>
      </c>
      <c r="J27" s="88"/>
      <c r="K27" s="89"/>
      <c r="L27" s="819"/>
      <c r="M27" s="790"/>
      <c r="N27" s="94" t="s">
        <v>429</v>
      </c>
      <c r="O27" s="827">
        <v>12</v>
      </c>
      <c r="P27" s="828"/>
      <c r="Q27" s="78"/>
      <c r="R27" s="70"/>
      <c r="S27" s="70"/>
      <c r="T27" s="70"/>
      <c r="U27" s="70"/>
      <c r="V27" s="70"/>
      <c r="W27" s="70"/>
      <c r="X27" s="70"/>
      <c r="Y27" s="70"/>
      <c r="Z27" s="70"/>
    </row>
    <row r="28" spans="2:26" ht="31.2">
      <c r="B28" s="794"/>
      <c r="C28" s="77"/>
      <c r="D28" s="819"/>
      <c r="E28" s="833"/>
      <c r="F28" s="790"/>
      <c r="G28" s="94" t="s">
        <v>430</v>
      </c>
      <c r="H28" s="94" t="s">
        <v>431</v>
      </c>
      <c r="I28" s="816"/>
      <c r="J28" s="88"/>
      <c r="K28" s="89"/>
      <c r="L28" s="819"/>
      <c r="M28" s="93" t="s">
        <v>430</v>
      </c>
      <c r="N28" s="93" t="s">
        <v>432</v>
      </c>
      <c r="O28" s="816"/>
      <c r="P28" s="822"/>
      <c r="Q28" s="78"/>
      <c r="R28" s="70"/>
      <c r="S28" s="70"/>
      <c r="T28" s="70"/>
      <c r="U28" s="70"/>
      <c r="V28" s="70"/>
      <c r="W28" s="70"/>
      <c r="X28" s="70"/>
      <c r="Y28" s="70"/>
      <c r="Z28" s="70"/>
    </row>
    <row r="29" spans="2:26" ht="15.6">
      <c r="B29" s="794"/>
      <c r="C29" s="77"/>
      <c r="D29" s="819"/>
      <c r="E29" s="833"/>
      <c r="F29" s="823" t="s">
        <v>433</v>
      </c>
      <c r="G29" s="96" t="s">
        <v>434</v>
      </c>
      <c r="H29" s="97"/>
      <c r="I29" s="98">
        <v>8</v>
      </c>
      <c r="J29" s="88"/>
      <c r="K29" s="89"/>
      <c r="L29" s="819"/>
      <c r="M29" s="93" t="s">
        <v>434</v>
      </c>
      <c r="N29" s="99"/>
      <c r="O29" s="829">
        <v>8</v>
      </c>
      <c r="P29" s="802"/>
      <c r="Q29" s="78"/>
      <c r="R29" s="70"/>
      <c r="S29" s="70"/>
      <c r="T29" s="70"/>
      <c r="U29" s="70"/>
      <c r="V29" s="70"/>
      <c r="W29" s="70"/>
      <c r="X29" s="70"/>
      <c r="Y29" s="70"/>
      <c r="Z29" s="70"/>
    </row>
    <row r="30" spans="2:26" ht="15.6">
      <c r="B30" s="794"/>
      <c r="C30" s="77"/>
      <c r="D30" s="819"/>
      <c r="E30" s="833"/>
      <c r="F30" s="790"/>
      <c r="G30" s="94" t="s">
        <v>435</v>
      </c>
      <c r="H30" s="100"/>
      <c r="I30" s="95">
        <v>6</v>
      </c>
      <c r="J30" s="88"/>
      <c r="K30" s="89"/>
      <c r="L30" s="819"/>
      <c r="M30" s="93" t="s">
        <v>435</v>
      </c>
      <c r="N30" s="99"/>
      <c r="O30" s="829">
        <v>6</v>
      </c>
      <c r="P30" s="802"/>
      <c r="Q30" s="78"/>
      <c r="R30" s="70"/>
      <c r="S30" s="70"/>
      <c r="T30" s="70"/>
      <c r="U30" s="70"/>
      <c r="V30" s="70"/>
      <c r="W30" s="70"/>
      <c r="X30" s="70"/>
      <c r="Y30" s="70"/>
      <c r="Z30" s="70"/>
    </row>
    <row r="31" spans="2:26" ht="62.4">
      <c r="B31" s="794"/>
      <c r="C31" s="77"/>
      <c r="D31" s="819"/>
      <c r="E31" s="833"/>
      <c r="F31" s="93" t="s">
        <v>436</v>
      </c>
      <c r="G31" s="93" t="s">
        <v>437</v>
      </c>
      <c r="H31" s="99"/>
      <c r="I31" s="101">
        <v>10</v>
      </c>
      <c r="J31" s="88"/>
      <c r="K31" s="89"/>
      <c r="L31" s="819"/>
      <c r="M31" s="93" t="s">
        <v>438</v>
      </c>
      <c r="N31" s="99"/>
      <c r="O31" s="829">
        <v>8</v>
      </c>
      <c r="P31" s="802"/>
      <c r="Q31" s="78"/>
      <c r="R31" s="70"/>
      <c r="S31" s="70"/>
      <c r="T31" s="70"/>
      <c r="U31" s="70"/>
      <c r="V31" s="70"/>
      <c r="W31" s="70"/>
      <c r="X31" s="70"/>
      <c r="Y31" s="70"/>
      <c r="Z31" s="70"/>
    </row>
    <row r="32" spans="2:26" ht="18.75" customHeight="1">
      <c r="B32" s="794"/>
      <c r="C32" s="77"/>
      <c r="D32" s="819"/>
      <c r="E32" s="790"/>
      <c r="F32" s="837" t="s">
        <v>403</v>
      </c>
      <c r="G32" s="802"/>
      <c r="H32" s="801"/>
      <c r="I32" s="102">
        <v>66</v>
      </c>
      <c r="J32" s="88"/>
      <c r="K32" s="89"/>
      <c r="L32" s="799"/>
      <c r="M32" s="837" t="s">
        <v>403</v>
      </c>
      <c r="N32" s="801"/>
      <c r="O32" s="810">
        <v>64</v>
      </c>
      <c r="P32" s="802"/>
      <c r="Q32" s="78"/>
      <c r="R32" s="70"/>
      <c r="S32" s="70"/>
      <c r="T32" s="70"/>
      <c r="U32" s="70"/>
      <c r="V32" s="70"/>
      <c r="W32" s="70"/>
      <c r="X32" s="70"/>
      <c r="Y32" s="70"/>
      <c r="Z32" s="70"/>
    </row>
    <row r="33" spans="2:26" ht="35.25" customHeight="1">
      <c r="B33" s="794"/>
      <c r="C33" s="77"/>
      <c r="D33" s="799"/>
      <c r="E33" s="103" t="s">
        <v>439</v>
      </c>
      <c r="F33" s="837" t="s">
        <v>440</v>
      </c>
      <c r="G33" s="802"/>
      <c r="H33" s="801"/>
      <c r="I33" s="102">
        <v>86</v>
      </c>
      <c r="J33" s="88"/>
      <c r="K33" s="89"/>
      <c r="L33" s="104" t="s">
        <v>441</v>
      </c>
      <c r="M33" s="837" t="s">
        <v>442</v>
      </c>
      <c r="N33" s="801"/>
      <c r="O33" s="810">
        <v>80</v>
      </c>
      <c r="P33" s="802"/>
      <c r="Q33" s="78"/>
      <c r="R33" s="70"/>
      <c r="S33" s="70"/>
      <c r="T33" s="70"/>
      <c r="U33" s="70"/>
      <c r="V33" s="70"/>
      <c r="W33" s="70"/>
      <c r="X33" s="70"/>
      <c r="Y33" s="70"/>
      <c r="Z33" s="70"/>
    </row>
    <row r="34" spans="2:26" ht="21.75" customHeight="1">
      <c r="B34" s="794"/>
      <c r="C34" s="77"/>
      <c r="D34" s="835" t="s">
        <v>381</v>
      </c>
      <c r="E34" s="802"/>
      <c r="F34" s="802"/>
      <c r="G34" s="802"/>
      <c r="H34" s="801"/>
      <c r="I34" s="105">
        <v>22</v>
      </c>
      <c r="J34" s="88"/>
      <c r="K34" s="89"/>
      <c r="L34" s="835" t="s">
        <v>381</v>
      </c>
      <c r="M34" s="802"/>
      <c r="N34" s="801"/>
      <c r="O34" s="836">
        <v>30</v>
      </c>
      <c r="P34" s="802"/>
      <c r="Q34" s="78"/>
      <c r="R34" s="70"/>
      <c r="S34" s="70"/>
      <c r="T34" s="70"/>
      <c r="U34" s="70"/>
      <c r="V34" s="70"/>
      <c r="W34" s="70"/>
      <c r="X34" s="70"/>
      <c r="Y34" s="70"/>
      <c r="Z34" s="70"/>
    </row>
    <row r="35" spans="2:26" ht="24" customHeight="1">
      <c r="B35" s="794"/>
      <c r="C35" s="77"/>
      <c r="D35" s="835" t="s">
        <v>384</v>
      </c>
      <c r="E35" s="802"/>
      <c r="F35" s="802"/>
      <c r="G35" s="802"/>
      <c r="H35" s="801"/>
      <c r="I35" s="105">
        <v>18</v>
      </c>
      <c r="J35" s="88"/>
      <c r="K35" s="89"/>
      <c r="L35" s="835" t="s">
        <v>384</v>
      </c>
      <c r="M35" s="802"/>
      <c r="N35" s="801"/>
      <c r="O35" s="836">
        <v>18</v>
      </c>
      <c r="P35" s="802"/>
      <c r="Q35" s="78"/>
      <c r="R35" s="70"/>
      <c r="S35" s="70"/>
      <c r="T35" s="70"/>
      <c r="U35" s="70"/>
      <c r="V35" s="70"/>
      <c r="W35" s="70"/>
      <c r="X35" s="70"/>
      <c r="Y35" s="70"/>
      <c r="Z35" s="70"/>
    </row>
    <row r="36" spans="2:26" ht="15.6">
      <c r="B36" s="794"/>
      <c r="C36" s="77"/>
      <c r="D36" s="809" t="s">
        <v>443</v>
      </c>
      <c r="E36" s="802"/>
      <c r="F36" s="802"/>
      <c r="G36" s="802"/>
      <c r="H36" s="801"/>
      <c r="I36" s="102">
        <v>192</v>
      </c>
      <c r="J36" s="88"/>
      <c r="K36" s="89"/>
      <c r="L36" s="809" t="s">
        <v>443</v>
      </c>
      <c r="M36" s="802"/>
      <c r="N36" s="801"/>
      <c r="O36" s="810">
        <v>192</v>
      </c>
      <c r="P36" s="802"/>
      <c r="Q36" s="78"/>
      <c r="R36" s="70"/>
      <c r="S36" s="70"/>
      <c r="T36" s="70"/>
      <c r="U36" s="70"/>
      <c r="V36" s="70"/>
      <c r="W36" s="70"/>
      <c r="X36" s="70"/>
      <c r="Y36" s="70"/>
      <c r="Z36" s="70"/>
    </row>
    <row r="37" spans="2:26" ht="5.25" customHeight="1" thickBot="1">
      <c r="B37" s="795"/>
      <c r="C37" s="80"/>
      <c r="D37" s="81"/>
      <c r="E37" s="81"/>
      <c r="F37" s="81"/>
      <c r="G37" s="81"/>
      <c r="H37" s="81"/>
      <c r="I37" s="81"/>
      <c r="J37" s="82"/>
      <c r="K37" s="83"/>
      <c r="L37" s="81"/>
      <c r="M37" s="81"/>
      <c r="N37" s="81"/>
      <c r="O37" s="81"/>
      <c r="P37" s="81"/>
      <c r="Q37" s="82"/>
      <c r="R37" s="70"/>
      <c r="S37" s="70"/>
      <c r="T37" s="70"/>
      <c r="U37" s="70"/>
      <c r="V37" s="70"/>
      <c r="W37" s="70"/>
      <c r="X37" s="70"/>
      <c r="Y37" s="70"/>
      <c r="Z37" s="70"/>
    </row>
    <row r="38" spans="2:26" ht="5.25" customHeight="1">
      <c r="B38" s="807" t="s">
        <v>444</v>
      </c>
      <c r="C38" s="73"/>
      <c r="D38" s="74"/>
      <c r="E38" s="74"/>
      <c r="F38" s="74"/>
      <c r="G38" s="74"/>
      <c r="H38" s="74"/>
      <c r="I38" s="74"/>
      <c r="J38" s="75"/>
      <c r="K38" s="76"/>
      <c r="L38" s="74"/>
      <c r="M38" s="74"/>
      <c r="N38" s="74"/>
      <c r="O38" s="74"/>
      <c r="P38" s="74"/>
      <c r="Q38" s="75"/>
      <c r="R38" s="70"/>
      <c r="S38" s="70"/>
      <c r="T38" s="70"/>
      <c r="U38" s="70"/>
      <c r="V38" s="70"/>
      <c r="W38" s="70"/>
      <c r="X38" s="70"/>
      <c r="Y38" s="70"/>
      <c r="Z38" s="70"/>
    </row>
    <row r="39" spans="2:26" ht="15.6">
      <c r="B39" s="794"/>
      <c r="C39" s="77" t="s">
        <v>445</v>
      </c>
      <c r="D39" s="106"/>
      <c r="E39" s="106"/>
      <c r="F39" s="106"/>
      <c r="G39" s="106"/>
      <c r="H39" s="106"/>
      <c r="I39" s="106"/>
      <c r="J39" s="78"/>
      <c r="K39" s="79"/>
      <c r="L39" s="106" t="s">
        <v>446</v>
      </c>
      <c r="M39" s="106"/>
      <c r="N39" s="106"/>
      <c r="O39" s="106"/>
      <c r="P39" s="106"/>
      <c r="Q39" s="78"/>
      <c r="R39" s="70"/>
      <c r="S39" s="70"/>
      <c r="T39" s="70"/>
      <c r="U39" s="70"/>
      <c r="V39" s="70"/>
      <c r="W39" s="70"/>
      <c r="X39" s="70"/>
      <c r="Y39" s="70"/>
      <c r="Z39" s="70"/>
    </row>
    <row r="40" spans="2:26" ht="15.6">
      <c r="B40" s="794"/>
      <c r="C40" s="77" t="s">
        <v>447</v>
      </c>
      <c r="D40" s="106"/>
      <c r="E40" s="106"/>
      <c r="F40" s="106"/>
      <c r="G40" s="106"/>
      <c r="H40" s="106"/>
      <c r="I40" s="106"/>
      <c r="J40" s="78"/>
      <c r="K40" s="79"/>
      <c r="L40" s="106" t="s">
        <v>448</v>
      </c>
      <c r="M40" s="106"/>
      <c r="N40" s="106"/>
      <c r="O40" s="106"/>
      <c r="P40" s="106"/>
      <c r="Q40" s="78"/>
      <c r="R40" s="70"/>
      <c r="S40" s="70"/>
      <c r="T40" s="70"/>
      <c r="U40" s="70"/>
      <c r="V40" s="70"/>
      <c r="W40" s="70"/>
      <c r="X40" s="70"/>
      <c r="Y40" s="70"/>
      <c r="Z40" s="70"/>
    </row>
    <row r="41" spans="2:26" ht="5.25" customHeight="1" thickBot="1">
      <c r="B41" s="795"/>
      <c r="C41" s="80"/>
      <c r="D41" s="81"/>
      <c r="E41" s="81"/>
      <c r="F41" s="81"/>
      <c r="G41" s="81"/>
      <c r="H41" s="81"/>
      <c r="I41" s="81"/>
      <c r="J41" s="82"/>
      <c r="K41" s="83"/>
      <c r="L41" s="81"/>
      <c r="M41" s="81"/>
      <c r="N41" s="81"/>
      <c r="O41" s="81"/>
      <c r="P41" s="81"/>
      <c r="Q41" s="82"/>
      <c r="R41" s="70"/>
      <c r="S41" s="70"/>
      <c r="T41" s="70"/>
      <c r="U41" s="70"/>
      <c r="V41" s="70"/>
      <c r="W41" s="70"/>
      <c r="X41" s="70"/>
      <c r="Y41" s="70"/>
      <c r="Z41" s="70"/>
    </row>
    <row r="42" spans="2:26" ht="5.25" customHeight="1">
      <c r="B42" s="807" t="s">
        <v>449</v>
      </c>
      <c r="C42" s="73"/>
      <c r="D42" s="74"/>
      <c r="E42" s="74"/>
      <c r="F42" s="74"/>
      <c r="G42" s="74"/>
      <c r="H42" s="74"/>
      <c r="I42" s="74"/>
      <c r="J42" s="75"/>
      <c r="K42" s="76"/>
      <c r="L42" s="74"/>
      <c r="M42" s="74"/>
      <c r="N42" s="74"/>
      <c r="O42" s="74"/>
      <c r="P42" s="74"/>
      <c r="Q42" s="75"/>
      <c r="R42" s="70"/>
      <c r="S42" s="70"/>
      <c r="T42" s="70"/>
      <c r="U42" s="70"/>
      <c r="V42" s="70"/>
      <c r="W42" s="70"/>
      <c r="X42" s="70"/>
      <c r="Y42" s="70"/>
      <c r="Z42" s="70"/>
    </row>
    <row r="43" spans="2:26" ht="15.6">
      <c r="B43" s="794"/>
      <c r="C43" s="77"/>
      <c r="D43" s="106" t="s">
        <v>450</v>
      </c>
      <c r="E43" s="106"/>
      <c r="F43" s="106"/>
      <c r="G43" s="106"/>
      <c r="H43" s="106"/>
      <c r="I43" s="106"/>
      <c r="J43" s="78"/>
      <c r="K43" s="79"/>
      <c r="L43" s="106" t="s">
        <v>451</v>
      </c>
      <c r="M43" s="106"/>
      <c r="N43" s="106"/>
      <c r="O43" s="106"/>
      <c r="P43" s="106"/>
      <c r="Q43" s="78"/>
      <c r="R43" s="70"/>
      <c r="S43" s="70"/>
      <c r="T43" s="70"/>
      <c r="U43" s="70"/>
      <c r="V43" s="70"/>
      <c r="W43" s="70"/>
      <c r="X43" s="70"/>
      <c r="Y43" s="70"/>
      <c r="Z43" s="70"/>
    </row>
    <row r="44" spans="2:26" ht="15.6">
      <c r="B44" s="794"/>
      <c r="C44" s="77"/>
      <c r="D44" s="106" t="s">
        <v>452</v>
      </c>
      <c r="E44" s="107"/>
      <c r="F44" s="107"/>
      <c r="G44" s="107"/>
      <c r="H44" s="107"/>
      <c r="I44" s="107"/>
      <c r="J44" s="78"/>
      <c r="K44" s="79"/>
      <c r="L44" s="106"/>
      <c r="M44" s="106"/>
      <c r="N44" s="106"/>
      <c r="O44" s="106"/>
      <c r="P44" s="106"/>
      <c r="Q44" s="78"/>
      <c r="R44" s="70"/>
      <c r="S44" s="70"/>
      <c r="T44" s="70"/>
      <c r="U44" s="70"/>
      <c r="V44" s="70"/>
      <c r="W44" s="70"/>
      <c r="X44" s="70"/>
      <c r="Y44" s="70"/>
      <c r="Z44" s="70"/>
    </row>
    <row r="45" spans="2:26" ht="15.6">
      <c r="B45" s="794"/>
      <c r="C45" s="77"/>
      <c r="D45" s="811" t="s">
        <v>370</v>
      </c>
      <c r="E45" s="802"/>
      <c r="F45" s="801"/>
      <c r="G45" s="812" t="s">
        <v>453</v>
      </c>
      <c r="H45" s="801"/>
      <c r="I45" s="108" t="s">
        <v>454</v>
      </c>
      <c r="J45" s="78"/>
      <c r="K45" s="79"/>
      <c r="L45" s="811" t="s">
        <v>370</v>
      </c>
      <c r="M45" s="801"/>
      <c r="N45" s="812" t="s">
        <v>453</v>
      </c>
      <c r="O45" s="801"/>
      <c r="P45" s="108" t="s">
        <v>455</v>
      </c>
      <c r="Q45" s="78"/>
      <c r="R45" s="70"/>
      <c r="S45" s="70"/>
      <c r="T45" s="70"/>
      <c r="U45" s="70"/>
      <c r="V45" s="70"/>
      <c r="W45" s="70"/>
      <c r="X45" s="70"/>
      <c r="Y45" s="70"/>
      <c r="Z45" s="70"/>
    </row>
    <row r="46" spans="2:26" ht="38.25" customHeight="1">
      <c r="B46" s="794"/>
      <c r="C46" s="77"/>
      <c r="D46" s="813" t="s">
        <v>456</v>
      </c>
      <c r="E46" s="801"/>
      <c r="F46" s="109">
        <v>1</v>
      </c>
      <c r="G46" s="806" t="s">
        <v>457</v>
      </c>
      <c r="H46" s="801"/>
      <c r="I46" s="814">
        <v>86</v>
      </c>
      <c r="J46" s="78"/>
      <c r="K46" s="79"/>
      <c r="L46" s="110" t="s">
        <v>456</v>
      </c>
      <c r="M46" s="109">
        <v>3</v>
      </c>
      <c r="N46" s="806" t="s">
        <v>458</v>
      </c>
      <c r="O46" s="801"/>
      <c r="P46" s="814">
        <v>80</v>
      </c>
      <c r="Q46" s="78"/>
      <c r="R46" s="70"/>
      <c r="S46" s="70"/>
      <c r="T46" s="70"/>
      <c r="U46" s="70"/>
      <c r="V46" s="70"/>
      <c r="W46" s="70"/>
      <c r="X46" s="70"/>
      <c r="Y46" s="70"/>
      <c r="Z46" s="70"/>
    </row>
    <row r="47" spans="2:26" ht="16.5" customHeight="1">
      <c r="B47" s="794"/>
      <c r="C47" s="77"/>
      <c r="D47" s="813" t="s">
        <v>459</v>
      </c>
      <c r="E47" s="801"/>
      <c r="F47" s="109">
        <v>179</v>
      </c>
      <c r="G47" s="817" t="s">
        <v>442</v>
      </c>
      <c r="H47" s="801"/>
      <c r="I47" s="815"/>
      <c r="J47" s="78"/>
      <c r="K47" s="79"/>
      <c r="L47" s="110" t="s">
        <v>460</v>
      </c>
      <c r="M47" s="109">
        <v>216</v>
      </c>
      <c r="N47" s="817" t="s">
        <v>442</v>
      </c>
      <c r="O47" s="801"/>
      <c r="P47" s="815"/>
      <c r="Q47" s="78"/>
      <c r="R47" s="70"/>
      <c r="S47" s="70"/>
      <c r="T47" s="70"/>
      <c r="U47" s="70"/>
      <c r="V47" s="70"/>
      <c r="W47" s="70"/>
      <c r="X47" s="70"/>
      <c r="Y47" s="70"/>
      <c r="Z47" s="70"/>
    </row>
    <row r="48" spans="2:26" ht="16.5" customHeight="1">
      <c r="B48" s="794"/>
      <c r="C48" s="77"/>
      <c r="D48" s="813" t="s">
        <v>461</v>
      </c>
      <c r="E48" s="801"/>
      <c r="F48" s="109">
        <v>368</v>
      </c>
      <c r="G48" s="817" t="s">
        <v>442</v>
      </c>
      <c r="H48" s="801"/>
      <c r="I48" s="816"/>
      <c r="J48" s="78"/>
      <c r="K48" s="79"/>
      <c r="L48" s="110" t="s">
        <v>462</v>
      </c>
      <c r="M48" s="109">
        <v>309</v>
      </c>
      <c r="N48" s="817" t="s">
        <v>442</v>
      </c>
      <c r="O48" s="801"/>
      <c r="P48" s="816"/>
      <c r="Q48" s="78"/>
      <c r="R48" s="70"/>
      <c r="S48" s="70"/>
      <c r="T48" s="70"/>
      <c r="U48" s="70"/>
      <c r="V48" s="70"/>
      <c r="W48" s="70"/>
      <c r="X48" s="70"/>
      <c r="Y48" s="70"/>
      <c r="Z48" s="70"/>
    </row>
    <row r="49" spans="2:26" ht="5.25" customHeight="1" thickBot="1">
      <c r="B49" s="795"/>
      <c r="C49" s="80"/>
      <c r="D49" s="81"/>
      <c r="E49" s="81"/>
      <c r="F49" s="81"/>
      <c r="G49" s="81"/>
      <c r="H49" s="81"/>
      <c r="I49" s="81"/>
      <c r="J49" s="82"/>
      <c r="K49" s="83"/>
      <c r="L49" s="81"/>
      <c r="M49" s="81"/>
      <c r="N49" s="81"/>
      <c r="O49" s="81"/>
      <c r="P49" s="81"/>
      <c r="Q49" s="82"/>
      <c r="R49" s="70"/>
      <c r="S49" s="70"/>
      <c r="T49" s="70"/>
      <c r="U49" s="70"/>
      <c r="V49" s="70"/>
      <c r="W49" s="70"/>
      <c r="X49" s="70"/>
      <c r="Y49" s="70"/>
      <c r="Z49" s="70"/>
    </row>
    <row r="50" spans="2:26" ht="5.25" customHeight="1">
      <c r="B50" s="807" t="s">
        <v>463</v>
      </c>
      <c r="C50" s="73"/>
      <c r="D50" s="74"/>
      <c r="E50" s="74"/>
      <c r="F50" s="74"/>
      <c r="G50" s="74"/>
      <c r="H50" s="74"/>
      <c r="I50" s="74"/>
      <c r="J50" s="75"/>
      <c r="K50" s="76"/>
      <c r="L50" s="74"/>
      <c r="M50" s="74"/>
      <c r="N50" s="74"/>
      <c r="O50" s="74"/>
      <c r="P50" s="74"/>
      <c r="Q50" s="75"/>
      <c r="R50" s="70"/>
      <c r="S50" s="70"/>
      <c r="T50" s="70"/>
      <c r="U50" s="70"/>
      <c r="V50" s="70"/>
      <c r="W50" s="70"/>
      <c r="X50" s="70"/>
      <c r="Y50" s="70"/>
      <c r="Z50" s="70"/>
    </row>
    <row r="51" spans="2:26" ht="26.4">
      <c r="B51" s="794"/>
      <c r="C51" s="77"/>
      <c r="D51" s="808" t="s">
        <v>370</v>
      </c>
      <c r="E51" s="802"/>
      <c r="F51" s="801"/>
      <c r="G51" s="111" t="s">
        <v>464</v>
      </c>
      <c r="H51" s="111" t="s">
        <v>465</v>
      </c>
      <c r="I51" s="112" t="s">
        <v>466</v>
      </c>
      <c r="J51" s="88"/>
      <c r="K51" s="89"/>
      <c r="L51" s="808" t="s">
        <v>370</v>
      </c>
      <c r="M51" s="801"/>
      <c r="N51" s="111" t="s">
        <v>464</v>
      </c>
      <c r="O51" s="111" t="s">
        <v>465</v>
      </c>
      <c r="P51" s="112" t="s">
        <v>467</v>
      </c>
      <c r="Q51" s="78"/>
      <c r="R51" s="70"/>
      <c r="S51" s="70"/>
      <c r="T51" s="70"/>
      <c r="U51" s="70"/>
      <c r="V51" s="70"/>
      <c r="W51" s="70"/>
      <c r="X51" s="70"/>
      <c r="Y51" s="70"/>
      <c r="Z51" s="70"/>
    </row>
    <row r="52" spans="2:26" ht="15.6">
      <c r="B52" s="794"/>
      <c r="C52" s="77"/>
      <c r="D52" s="805" t="s">
        <v>468</v>
      </c>
      <c r="E52" s="802"/>
      <c r="F52" s="801"/>
      <c r="G52" s="113">
        <v>8</v>
      </c>
      <c r="H52" s="113">
        <v>-2</v>
      </c>
      <c r="I52" s="114" t="s">
        <v>469</v>
      </c>
      <c r="J52" s="88"/>
      <c r="K52" s="89"/>
      <c r="L52" s="805" t="s">
        <v>468</v>
      </c>
      <c r="M52" s="801"/>
      <c r="N52" s="113">
        <v>4</v>
      </c>
      <c r="O52" s="113">
        <v>-1</v>
      </c>
      <c r="P52" s="114" t="s">
        <v>365</v>
      </c>
      <c r="Q52" s="78"/>
      <c r="R52" s="70"/>
      <c r="S52" s="70"/>
      <c r="T52" s="70"/>
      <c r="U52" s="70"/>
      <c r="V52" s="70"/>
      <c r="W52" s="70"/>
      <c r="X52" s="70"/>
      <c r="Y52" s="70"/>
      <c r="Z52" s="70"/>
    </row>
    <row r="53" spans="2:26" ht="27.75" customHeight="1">
      <c r="B53" s="794"/>
      <c r="C53" s="77"/>
      <c r="D53" s="805" t="s">
        <v>470</v>
      </c>
      <c r="E53" s="802"/>
      <c r="F53" s="801"/>
      <c r="G53" s="113">
        <v>6</v>
      </c>
      <c r="H53" s="115"/>
      <c r="I53" s="114" t="s">
        <v>471</v>
      </c>
      <c r="J53" s="88"/>
      <c r="K53" s="89"/>
      <c r="L53" s="805" t="s">
        <v>472</v>
      </c>
      <c r="M53" s="801"/>
      <c r="N53" s="113">
        <v>3</v>
      </c>
      <c r="O53" s="115"/>
      <c r="P53" s="114">
        <v>3</v>
      </c>
      <c r="Q53" s="78"/>
      <c r="R53" s="70"/>
      <c r="S53" s="70"/>
      <c r="T53" s="70"/>
      <c r="U53" s="70"/>
      <c r="V53" s="70"/>
      <c r="W53" s="70"/>
      <c r="X53" s="70"/>
      <c r="Y53" s="70"/>
      <c r="Z53" s="70"/>
    </row>
    <row r="54" spans="2:26" ht="15.6">
      <c r="B54" s="794"/>
      <c r="C54" s="77"/>
      <c r="D54" s="805" t="s">
        <v>473</v>
      </c>
      <c r="E54" s="802"/>
      <c r="F54" s="801"/>
      <c r="G54" s="113">
        <v>5</v>
      </c>
      <c r="H54" s="113" t="s">
        <v>474</v>
      </c>
      <c r="I54" s="114" t="s">
        <v>475</v>
      </c>
      <c r="J54" s="88"/>
      <c r="K54" s="89"/>
      <c r="L54" s="805" t="s">
        <v>476</v>
      </c>
      <c r="M54" s="801"/>
      <c r="N54" s="113">
        <v>4</v>
      </c>
      <c r="O54" s="113" t="s">
        <v>477</v>
      </c>
      <c r="P54" s="114" t="s">
        <v>367</v>
      </c>
      <c r="Q54" s="78"/>
      <c r="R54" s="70"/>
      <c r="S54" s="70"/>
      <c r="T54" s="70"/>
      <c r="U54" s="70"/>
      <c r="V54" s="70"/>
      <c r="W54" s="70"/>
      <c r="X54" s="70"/>
      <c r="Y54" s="70"/>
      <c r="Z54" s="70"/>
    </row>
    <row r="55" spans="2:26" ht="15.6">
      <c r="B55" s="794"/>
      <c r="C55" s="77"/>
      <c r="D55" s="805" t="s">
        <v>478</v>
      </c>
      <c r="E55" s="802"/>
      <c r="F55" s="801"/>
      <c r="G55" s="113">
        <v>5</v>
      </c>
      <c r="H55" s="113" t="s">
        <v>479</v>
      </c>
      <c r="I55" s="114" t="s">
        <v>480</v>
      </c>
      <c r="J55" s="88"/>
      <c r="K55" s="89"/>
      <c r="L55" s="805" t="s">
        <v>481</v>
      </c>
      <c r="M55" s="801"/>
      <c r="N55" s="113">
        <v>3</v>
      </c>
      <c r="O55" s="113" t="s">
        <v>477</v>
      </c>
      <c r="P55" s="114" t="s">
        <v>368</v>
      </c>
      <c r="Q55" s="78"/>
      <c r="R55" s="70"/>
      <c r="S55" s="70"/>
      <c r="T55" s="70"/>
      <c r="U55" s="70"/>
      <c r="V55" s="70"/>
      <c r="W55" s="70"/>
      <c r="X55" s="70"/>
      <c r="Y55" s="70"/>
      <c r="Z55" s="70"/>
    </row>
    <row r="56" spans="2:26" ht="15.6">
      <c r="B56" s="794"/>
      <c r="C56" s="77"/>
      <c r="D56" s="805" t="s">
        <v>482</v>
      </c>
      <c r="E56" s="802"/>
      <c r="F56" s="801"/>
      <c r="G56" s="113">
        <v>5</v>
      </c>
      <c r="H56" s="113" t="s">
        <v>479</v>
      </c>
      <c r="I56" s="114" t="s">
        <v>480</v>
      </c>
      <c r="J56" s="88"/>
      <c r="K56" s="89"/>
      <c r="L56" s="805" t="s">
        <v>393</v>
      </c>
      <c r="M56" s="801"/>
      <c r="N56" s="806" t="s">
        <v>483</v>
      </c>
      <c r="O56" s="802"/>
      <c r="P56" s="802"/>
      <c r="Q56" s="78"/>
      <c r="R56" s="70"/>
      <c r="S56" s="70"/>
      <c r="T56" s="70"/>
      <c r="U56" s="70"/>
      <c r="V56" s="70"/>
      <c r="W56" s="70"/>
      <c r="X56" s="70"/>
      <c r="Y56" s="70"/>
      <c r="Z56" s="70"/>
    </row>
    <row r="57" spans="2:26" ht="15.6">
      <c r="B57" s="794"/>
      <c r="C57" s="77"/>
      <c r="D57" s="805" t="s">
        <v>391</v>
      </c>
      <c r="E57" s="802"/>
      <c r="F57" s="801"/>
      <c r="G57" s="806" t="s">
        <v>483</v>
      </c>
      <c r="H57" s="802"/>
      <c r="I57" s="802"/>
      <c r="J57" s="88"/>
      <c r="K57" s="89"/>
      <c r="L57" s="116"/>
      <c r="M57" s="106"/>
      <c r="N57" s="106"/>
      <c r="O57" s="106"/>
      <c r="P57" s="106"/>
      <c r="Q57" s="78"/>
      <c r="R57" s="70"/>
      <c r="S57" s="70"/>
      <c r="T57" s="70"/>
      <c r="U57" s="70"/>
      <c r="V57" s="70"/>
      <c r="W57" s="70"/>
      <c r="X57" s="70"/>
      <c r="Y57" s="70"/>
      <c r="Z57" s="70"/>
    </row>
    <row r="58" spans="2:26" ht="15.6">
      <c r="B58" s="794"/>
      <c r="C58" s="77"/>
      <c r="D58" s="106"/>
      <c r="E58" s="106"/>
      <c r="F58" s="106"/>
      <c r="G58" s="106"/>
      <c r="H58" s="106"/>
      <c r="I58" s="106"/>
      <c r="J58" s="78"/>
      <c r="K58" s="79"/>
      <c r="L58" s="106"/>
      <c r="M58" s="106"/>
      <c r="N58" s="106"/>
      <c r="O58" s="106"/>
      <c r="P58" s="106"/>
      <c r="Q58" s="78"/>
      <c r="R58" s="70"/>
      <c r="S58" s="70"/>
      <c r="T58" s="70"/>
      <c r="U58" s="70"/>
      <c r="V58" s="70"/>
      <c r="W58" s="70"/>
      <c r="X58" s="70"/>
      <c r="Y58" s="70"/>
      <c r="Z58" s="70"/>
    </row>
    <row r="59" spans="2:26" ht="33.75" customHeight="1">
      <c r="B59" s="794"/>
      <c r="C59" s="77"/>
      <c r="D59" s="791" t="s">
        <v>484</v>
      </c>
      <c r="E59" s="792"/>
      <c r="F59" s="792"/>
      <c r="G59" s="792"/>
      <c r="H59" s="792"/>
      <c r="I59" s="792"/>
      <c r="J59" s="78"/>
      <c r="K59" s="79"/>
      <c r="L59" s="791" t="s">
        <v>485</v>
      </c>
      <c r="M59" s="791"/>
      <c r="N59" s="791"/>
      <c r="O59" s="791"/>
      <c r="P59" s="791"/>
      <c r="Q59" s="78"/>
      <c r="R59" s="70"/>
      <c r="S59" s="70"/>
      <c r="T59" s="70"/>
      <c r="U59" s="70"/>
      <c r="V59" s="70"/>
      <c r="W59" s="70"/>
      <c r="X59" s="70"/>
      <c r="Y59" s="70"/>
      <c r="Z59" s="70"/>
    </row>
    <row r="60" spans="2:26" ht="5.25" customHeight="1" thickBot="1">
      <c r="B60" s="795"/>
      <c r="C60" s="80"/>
      <c r="D60" s="81"/>
      <c r="E60" s="81"/>
      <c r="F60" s="81"/>
      <c r="G60" s="81"/>
      <c r="H60" s="81"/>
      <c r="I60" s="81"/>
      <c r="J60" s="82"/>
      <c r="K60" s="83"/>
      <c r="L60" s="81"/>
      <c r="M60" s="81"/>
      <c r="N60" s="81"/>
      <c r="O60" s="81"/>
      <c r="P60" s="81"/>
      <c r="Q60" s="82"/>
      <c r="R60" s="70"/>
      <c r="S60" s="70"/>
      <c r="T60" s="70"/>
      <c r="U60" s="70"/>
      <c r="V60" s="70"/>
      <c r="W60" s="70"/>
      <c r="X60" s="70"/>
      <c r="Y60" s="70"/>
      <c r="Z60" s="70"/>
    </row>
    <row r="61" spans="2:26" ht="5.25" customHeight="1">
      <c r="B61" s="796" t="s">
        <v>486</v>
      </c>
      <c r="C61" s="77"/>
      <c r="D61" s="106"/>
      <c r="E61" s="106"/>
      <c r="F61" s="106"/>
      <c r="G61" s="106"/>
      <c r="H61" s="106"/>
      <c r="I61" s="106"/>
      <c r="J61" s="106"/>
      <c r="K61" s="76"/>
      <c r="L61" s="74"/>
      <c r="M61" s="74"/>
      <c r="N61" s="74"/>
      <c r="O61" s="74"/>
      <c r="P61" s="74"/>
      <c r="Q61" s="75"/>
      <c r="R61" s="70"/>
      <c r="S61" s="70"/>
      <c r="T61" s="70"/>
      <c r="U61" s="70"/>
      <c r="V61" s="70"/>
      <c r="W61" s="70"/>
      <c r="X61" s="70"/>
      <c r="Y61" s="70"/>
      <c r="Z61" s="70"/>
    </row>
    <row r="62" spans="2:26" ht="15.6">
      <c r="B62" s="797"/>
      <c r="C62" s="77"/>
      <c r="D62" s="106"/>
      <c r="E62" s="106"/>
      <c r="F62" s="106"/>
      <c r="G62" s="106"/>
      <c r="H62" s="106"/>
      <c r="I62" s="106"/>
      <c r="J62" s="106"/>
      <c r="K62" s="79"/>
      <c r="L62" s="106" t="s">
        <v>487</v>
      </c>
      <c r="M62" s="106"/>
      <c r="N62" s="106"/>
      <c r="O62" s="106"/>
      <c r="P62" s="106"/>
      <c r="Q62" s="78"/>
      <c r="R62" s="70"/>
      <c r="S62" s="70"/>
      <c r="T62" s="70"/>
      <c r="U62" s="70"/>
      <c r="V62" s="70"/>
      <c r="W62" s="70"/>
      <c r="X62" s="70"/>
      <c r="Y62" s="70"/>
      <c r="Z62" s="70"/>
    </row>
    <row r="63" spans="2:26" ht="15.6">
      <c r="B63" s="797"/>
      <c r="C63" s="77"/>
      <c r="D63" s="106"/>
      <c r="E63" s="106"/>
      <c r="F63" s="106"/>
      <c r="G63" s="106"/>
      <c r="H63" s="106"/>
      <c r="I63" s="106"/>
      <c r="J63" s="106"/>
      <c r="K63" s="79"/>
      <c r="L63" s="106" t="s">
        <v>488</v>
      </c>
      <c r="M63" s="106"/>
      <c r="N63" s="106"/>
      <c r="O63" s="106"/>
      <c r="P63" s="106"/>
      <c r="Q63" s="78"/>
      <c r="R63" s="70"/>
      <c r="S63" s="70"/>
      <c r="T63" s="70"/>
      <c r="U63" s="70"/>
      <c r="V63" s="70"/>
      <c r="W63" s="70"/>
      <c r="X63" s="70"/>
      <c r="Y63" s="70"/>
      <c r="Z63" s="70"/>
    </row>
    <row r="64" spans="2:26" ht="15.6">
      <c r="B64" s="797"/>
      <c r="C64" s="77"/>
      <c r="D64" s="106"/>
      <c r="E64" s="106"/>
      <c r="F64" s="106"/>
      <c r="G64" s="106"/>
      <c r="H64" s="106"/>
      <c r="I64" s="106"/>
      <c r="J64" s="106"/>
      <c r="K64" s="79"/>
      <c r="L64" s="798" t="s">
        <v>370</v>
      </c>
      <c r="M64" s="800" t="s">
        <v>489</v>
      </c>
      <c r="N64" s="801"/>
      <c r="O64" s="800" t="s">
        <v>490</v>
      </c>
      <c r="P64" s="802"/>
      <c r="Q64" s="78"/>
      <c r="R64" s="70"/>
      <c r="S64" s="70"/>
      <c r="T64" s="70"/>
      <c r="U64" s="70"/>
      <c r="V64" s="70"/>
      <c r="W64" s="70"/>
      <c r="X64" s="70"/>
      <c r="Y64" s="70"/>
      <c r="Z64" s="70"/>
    </row>
    <row r="65" spans="2:26" ht="15.6">
      <c r="B65" s="797"/>
      <c r="C65" s="77"/>
      <c r="D65" s="106"/>
      <c r="E65" s="106"/>
      <c r="F65" s="106"/>
      <c r="G65" s="106"/>
      <c r="H65" s="106"/>
      <c r="I65" s="106"/>
      <c r="J65" s="106"/>
      <c r="K65" s="79"/>
      <c r="L65" s="799"/>
      <c r="M65" s="109" t="s">
        <v>0</v>
      </c>
      <c r="N65" s="109" t="s">
        <v>491</v>
      </c>
      <c r="O65" s="109" t="s">
        <v>0</v>
      </c>
      <c r="P65" s="117" t="s">
        <v>491</v>
      </c>
      <c r="Q65" s="78"/>
      <c r="R65" s="70"/>
      <c r="S65" s="70"/>
      <c r="T65" s="70"/>
      <c r="U65" s="70"/>
      <c r="V65" s="70"/>
      <c r="W65" s="70"/>
      <c r="X65" s="70"/>
      <c r="Y65" s="70"/>
      <c r="Z65" s="70"/>
    </row>
    <row r="66" spans="2:26" ht="15.6">
      <c r="B66" s="797"/>
      <c r="C66" s="77"/>
      <c r="D66" s="106"/>
      <c r="E66" s="106"/>
      <c r="F66" s="106"/>
      <c r="G66" s="106"/>
      <c r="H66" s="106"/>
      <c r="I66" s="106"/>
      <c r="J66" s="106"/>
      <c r="K66" s="79"/>
      <c r="L66" s="118" t="s">
        <v>200</v>
      </c>
      <c r="M66" s="119">
        <v>2</v>
      </c>
      <c r="N66" s="119">
        <v>2</v>
      </c>
      <c r="O66" s="119">
        <v>4</v>
      </c>
      <c r="P66" s="108">
        <v>0</v>
      </c>
      <c r="Q66" s="78"/>
      <c r="R66" s="70"/>
      <c r="S66" s="70"/>
      <c r="T66" s="70"/>
      <c r="U66" s="70"/>
      <c r="V66" s="70"/>
      <c r="W66" s="70"/>
      <c r="X66" s="70"/>
      <c r="Y66" s="70"/>
      <c r="Z66" s="70"/>
    </row>
    <row r="67" spans="2:26" ht="15.6">
      <c r="B67" s="797"/>
      <c r="C67" s="77"/>
      <c r="D67" s="106"/>
      <c r="E67" s="106"/>
      <c r="F67" s="106"/>
      <c r="G67" s="106"/>
      <c r="H67" s="106"/>
      <c r="I67" s="106"/>
      <c r="J67" s="106"/>
      <c r="K67" s="79"/>
      <c r="L67" s="118" t="s">
        <v>214</v>
      </c>
      <c r="M67" s="119">
        <v>2</v>
      </c>
      <c r="N67" s="119">
        <v>2</v>
      </c>
      <c r="O67" s="119">
        <v>0</v>
      </c>
      <c r="P67" s="108">
        <v>4</v>
      </c>
      <c r="Q67" s="78"/>
      <c r="R67" s="70"/>
      <c r="S67" s="70"/>
      <c r="T67" s="70"/>
      <c r="U67" s="70"/>
      <c r="V67" s="70"/>
      <c r="W67" s="70"/>
      <c r="X67" s="70"/>
      <c r="Y67" s="70"/>
      <c r="Z67" s="70"/>
    </row>
    <row r="68" spans="2:26" ht="15.6">
      <c r="B68" s="797"/>
      <c r="C68" s="77"/>
      <c r="D68" s="106"/>
      <c r="E68" s="106"/>
      <c r="F68" s="106"/>
      <c r="G68" s="106"/>
      <c r="H68" s="106"/>
      <c r="I68" s="106"/>
      <c r="J68" s="106"/>
      <c r="K68" s="79"/>
      <c r="L68" s="118" t="s">
        <v>203</v>
      </c>
      <c r="M68" s="119">
        <v>2</v>
      </c>
      <c r="N68" s="119">
        <v>2</v>
      </c>
      <c r="O68" s="119">
        <v>4</v>
      </c>
      <c r="P68" s="108">
        <v>0</v>
      </c>
      <c r="Q68" s="78"/>
      <c r="R68" s="70"/>
      <c r="S68" s="70"/>
      <c r="T68" s="70"/>
      <c r="U68" s="70"/>
      <c r="V68" s="70"/>
      <c r="W68" s="70"/>
      <c r="X68" s="70"/>
      <c r="Y68" s="70"/>
      <c r="Z68" s="70"/>
    </row>
    <row r="69" spans="2:26" ht="15.6">
      <c r="B69" s="797"/>
      <c r="C69" s="77"/>
      <c r="D69" s="106"/>
      <c r="E69" s="106"/>
      <c r="F69" s="106"/>
      <c r="G69" s="106"/>
      <c r="H69" s="106"/>
      <c r="I69" s="106"/>
      <c r="J69" s="106"/>
      <c r="K69" s="79"/>
      <c r="L69" s="106" t="s">
        <v>492</v>
      </c>
      <c r="M69" s="106"/>
      <c r="N69" s="106"/>
      <c r="O69" s="106"/>
      <c r="P69" s="106"/>
      <c r="Q69" s="78"/>
      <c r="R69" s="70"/>
      <c r="S69" s="70"/>
      <c r="T69" s="70"/>
      <c r="U69" s="70"/>
      <c r="V69" s="70"/>
      <c r="W69" s="70"/>
      <c r="X69" s="70"/>
      <c r="Y69" s="70"/>
      <c r="Z69" s="70"/>
    </row>
    <row r="70" spans="2:26" ht="15.6">
      <c r="B70" s="797"/>
      <c r="C70" s="77"/>
      <c r="D70" s="106"/>
      <c r="E70" s="106"/>
      <c r="F70" s="106"/>
      <c r="G70" s="106"/>
      <c r="H70" s="106"/>
      <c r="I70" s="106"/>
      <c r="J70" s="106"/>
      <c r="K70" s="79"/>
      <c r="L70" s="798" t="s">
        <v>370</v>
      </c>
      <c r="M70" s="800" t="s">
        <v>489</v>
      </c>
      <c r="N70" s="801"/>
      <c r="O70" s="800" t="s">
        <v>490</v>
      </c>
      <c r="P70" s="802"/>
      <c r="Q70" s="78"/>
      <c r="R70" s="70"/>
      <c r="S70" s="70"/>
      <c r="T70" s="70"/>
      <c r="U70" s="70"/>
      <c r="V70" s="70"/>
      <c r="W70" s="70"/>
      <c r="X70" s="70"/>
      <c r="Y70" s="70"/>
      <c r="Z70" s="70"/>
    </row>
    <row r="71" spans="2:26" ht="15.6">
      <c r="B71" s="797"/>
      <c r="C71" s="77"/>
      <c r="D71" s="106"/>
      <c r="E71" s="106"/>
      <c r="F71" s="106"/>
      <c r="G71" s="106"/>
      <c r="H71" s="106"/>
      <c r="I71" s="106"/>
      <c r="J71" s="106"/>
      <c r="K71" s="79"/>
      <c r="L71" s="799"/>
      <c r="M71" s="109" t="s">
        <v>0</v>
      </c>
      <c r="N71" s="109" t="s">
        <v>491</v>
      </c>
      <c r="O71" s="109" t="s">
        <v>0</v>
      </c>
      <c r="P71" s="117" t="s">
        <v>491</v>
      </c>
      <c r="Q71" s="78"/>
      <c r="R71" s="70"/>
      <c r="S71" s="70"/>
      <c r="T71" s="70"/>
      <c r="U71" s="70"/>
      <c r="V71" s="70"/>
      <c r="W71" s="70"/>
      <c r="X71" s="70"/>
      <c r="Y71" s="70"/>
      <c r="Z71" s="70"/>
    </row>
    <row r="72" spans="2:26" ht="15.6">
      <c r="B72" s="797"/>
      <c r="C72" s="77"/>
      <c r="D72" s="106"/>
      <c r="E72" s="106"/>
      <c r="F72" s="106"/>
      <c r="G72" s="106"/>
      <c r="H72" s="106"/>
      <c r="I72" s="106"/>
      <c r="J72" s="106"/>
      <c r="K72" s="79"/>
      <c r="L72" s="118" t="s">
        <v>456</v>
      </c>
      <c r="M72" s="119">
        <v>1</v>
      </c>
      <c r="N72" s="119">
        <v>1</v>
      </c>
      <c r="O72" s="119">
        <v>2</v>
      </c>
      <c r="P72" s="108">
        <v>0</v>
      </c>
      <c r="Q72" s="78"/>
      <c r="R72" s="70"/>
      <c r="S72" s="70"/>
      <c r="T72" s="70"/>
      <c r="U72" s="70"/>
      <c r="V72" s="70"/>
      <c r="W72" s="70"/>
      <c r="X72" s="70"/>
      <c r="Y72" s="70"/>
      <c r="Z72" s="70"/>
    </row>
    <row r="73" spans="2:26" ht="15.6">
      <c r="B73" s="797"/>
      <c r="C73" s="77"/>
      <c r="D73" s="106"/>
      <c r="E73" s="106"/>
      <c r="F73" s="106"/>
      <c r="G73" s="106"/>
      <c r="H73" s="106"/>
      <c r="I73" s="106"/>
      <c r="J73" s="106"/>
      <c r="K73" s="79"/>
      <c r="L73" s="118" t="s">
        <v>460</v>
      </c>
      <c r="M73" s="119">
        <v>2</v>
      </c>
      <c r="N73" s="119">
        <v>2</v>
      </c>
      <c r="O73" s="119">
        <v>0</v>
      </c>
      <c r="P73" s="108">
        <v>4</v>
      </c>
      <c r="Q73" s="78"/>
      <c r="R73" s="70"/>
      <c r="S73" s="70"/>
      <c r="T73" s="70"/>
      <c r="U73" s="70"/>
      <c r="V73" s="70"/>
      <c r="W73" s="70"/>
      <c r="X73" s="70"/>
      <c r="Y73" s="70"/>
      <c r="Z73" s="70"/>
    </row>
    <row r="74" spans="2:26" ht="15.6">
      <c r="B74" s="797"/>
      <c r="C74" s="77"/>
      <c r="D74" s="106"/>
      <c r="E74" s="106"/>
      <c r="F74" s="106"/>
      <c r="G74" s="106"/>
      <c r="H74" s="106"/>
      <c r="I74" s="106"/>
      <c r="J74" s="106"/>
      <c r="K74" s="79"/>
      <c r="L74" s="803" t="s">
        <v>493</v>
      </c>
      <c r="M74" s="789" t="s">
        <v>494</v>
      </c>
      <c r="N74" s="789" t="s">
        <v>494</v>
      </c>
      <c r="O74" s="120">
        <v>8</v>
      </c>
      <c r="P74" s="121">
        <v>0</v>
      </c>
      <c r="Q74" s="78"/>
      <c r="R74" s="70"/>
      <c r="S74" s="70"/>
      <c r="T74" s="70"/>
      <c r="U74" s="70"/>
      <c r="V74" s="70"/>
      <c r="W74" s="70"/>
      <c r="X74" s="70"/>
      <c r="Y74" s="70"/>
      <c r="Z74" s="70"/>
    </row>
    <row r="75" spans="2:26" ht="15.6">
      <c r="B75" s="797"/>
      <c r="C75" s="77"/>
      <c r="D75" s="106"/>
      <c r="E75" s="106"/>
      <c r="F75" s="106"/>
      <c r="G75" s="106"/>
      <c r="H75" s="106"/>
      <c r="I75" s="106"/>
      <c r="J75" s="106"/>
      <c r="K75" s="79"/>
      <c r="L75" s="804"/>
      <c r="M75" s="790"/>
      <c r="N75" s="790"/>
      <c r="O75" s="120">
        <v>4</v>
      </c>
      <c r="P75" s="121">
        <v>4</v>
      </c>
      <c r="Q75" s="78"/>
      <c r="R75" s="70"/>
      <c r="S75" s="70"/>
      <c r="T75" s="70"/>
      <c r="U75" s="70"/>
      <c r="V75" s="70"/>
      <c r="W75" s="70"/>
      <c r="X75" s="70"/>
      <c r="Y75" s="70"/>
      <c r="Z75" s="70"/>
    </row>
    <row r="76" spans="2:26" ht="33.75" customHeight="1">
      <c r="B76" s="797"/>
      <c r="C76" s="77"/>
      <c r="D76" s="106"/>
      <c r="E76" s="106"/>
      <c r="F76" s="106"/>
      <c r="G76" s="106"/>
      <c r="H76" s="106"/>
      <c r="I76" s="106"/>
      <c r="J76" s="106"/>
      <c r="K76" s="79"/>
      <c r="L76" s="791" t="s">
        <v>495</v>
      </c>
      <c r="M76" s="792"/>
      <c r="N76" s="792"/>
      <c r="O76" s="792"/>
      <c r="P76" s="792"/>
      <c r="Q76" s="78"/>
      <c r="R76" s="70"/>
      <c r="S76" s="70"/>
      <c r="T76" s="70"/>
      <c r="U76" s="70"/>
      <c r="V76" s="70"/>
      <c r="W76" s="70"/>
      <c r="X76" s="70"/>
      <c r="Y76" s="70"/>
      <c r="Z76" s="70"/>
    </row>
    <row r="77" spans="2:26" ht="5.25" customHeight="1">
      <c r="B77" s="797"/>
      <c r="C77" s="122"/>
      <c r="D77" s="123"/>
      <c r="E77" s="123"/>
      <c r="F77" s="123"/>
      <c r="G77" s="123"/>
      <c r="H77" s="123"/>
      <c r="I77" s="123"/>
      <c r="J77" s="123"/>
      <c r="K77" s="124"/>
      <c r="L77" s="123"/>
      <c r="M77" s="123"/>
      <c r="N77" s="123"/>
      <c r="O77" s="123"/>
      <c r="P77" s="123"/>
      <c r="Q77" s="125"/>
      <c r="R77" s="70"/>
      <c r="S77" s="70"/>
      <c r="T77" s="70"/>
      <c r="U77" s="70"/>
      <c r="V77" s="70"/>
      <c r="W77" s="70"/>
      <c r="X77" s="70"/>
      <c r="Y77" s="70"/>
      <c r="Z77" s="70"/>
    </row>
    <row r="78" spans="2:26" ht="5.25" customHeight="1">
      <c r="B78" s="793" t="s">
        <v>496</v>
      </c>
      <c r="C78" s="126"/>
      <c r="D78" s="127"/>
      <c r="E78" s="127"/>
      <c r="F78" s="127"/>
      <c r="G78" s="127"/>
      <c r="H78" s="127"/>
      <c r="I78" s="127"/>
      <c r="J78" s="127"/>
      <c r="K78" s="128"/>
      <c r="L78" s="127"/>
      <c r="M78" s="127"/>
      <c r="N78" s="127"/>
      <c r="O78" s="127"/>
      <c r="P78" s="127"/>
      <c r="Q78" s="129"/>
      <c r="R78" s="70"/>
      <c r="S78" s="70"/>
      <c r="T78" s="70"/>
      <c r="U78" s="70"/>
      <c r="V78" s="70"/>
      <c r="W78" s="70"/>
      <c r="X78" s="70"/>
      <c r="Y78" s="70"/>
      <c r="Z78" s="70"/>
    </row>
    <row r="79" spans="2:26" ht="15.6">
      <c r="B79" s="794"/>
      <c r="C79" s="77"/>
      <c r="D79" s="106" t="s">
        <v>497</v>
      </c>
      <c r="E79" s="106"/>
      <c r="F79" s="106"/>
      <c r="G79" s="106"/>
      <c r="H79" s="106"/>
      <c r="I79" s="106"/>
      <c r="J79" s="106"/>
      <c r="K79" s="79"/>
      <c r="L79" s="106" t="s">
        <v>498</v>
      </c>
      <c r="M79" s="106"/>
      <c r="N79" s="106"/>
      <c r="O79" s="106"/>
      <c r="P79" s="106"/>
      <c r="Q79" s="78"/>
      <c r="R79" s="70"/>
      <c r="S79" s="70"/>
      <c r="T79" s="70"/>
      <c r="U79" s="70"/>
      <c r="V79" s="70"/>
      <c r="W79" s="70"/>
      <c r="X79" s="70"/>
      <c r="Y79" s="70"/>
      <c r="Z79" s="70"/>
    </row>
    <row r="80" spans="2:26" ht="15.6">
      <c r="B80" s="794"/>
      <c r="C80" s="77"/>
      <c r="D80" s="106"/>
      <c r="E80" s="106"/>
      <c r="F80" s="106"/>
      <c r="G80" s="106"/>
      <c r="H80" s="106"/>
      <c r="I80" s="106"/>
      <c r="J80" s="106"/>
      <c r="K80" s="79"/>
      <c r="L80" s="106" t="s">
        <v>499</v>
      </c>
      <c r="M80" s="106"/>
      <c r="N80" s="106"/>
      <c r="O80" s="106"/>
      <c r="P80" s="106"/>
      <c r="Q80" s="78"/>
      <c r="R80" s="70"/>
      <c r="S80" s="70"/>
      <c r="T80" s="70"/>
      <c r="U80" s="70"/>
      <c r="V80" s="70"/>
      <c r="W80" s="70"/>
      <c r="X80" s="70"/>
      <c r="Y80" s="70"/>
      <c r="Z80" s="70"/>
    </row>
    <row r="81" spans="2:26" ht="5.25" customHeight="1" thickBot="1">
      <c r="B81" s="795"/>
      <c r="C81" s="80"/>
      <c r="D81" s="81"/>
      <c r="E81" s="81"/>
      <c r="F81" s="81"/>
      <c r="G81" s="81"/>
      <c r="H81" s="81"/>
      <c r="I81" s="81"/>
      <c r="J81" s="81"/>
      <c r="K81" s="83"/>
      <c r="L81" s="81"/>
      <c r="M81" s="81"/>
      <c r="N81" s="81"/>
      <c r="O81" s="81"/>
      <c r="P81" s="81"/>
      <c r="Q81" s="82"/>
      <c r="R81" s="70"/>
      <c r="S81" s="70"/>
      <c r="T81" s="70"/>
      <c r="U81" s="70"/>
      <c r="V81" s="70"/>
      <c r="W81" s="70"/>
      <c r="X81" s="70"/>
      <c r="Y81" s="70"/>
      <c r="Z81" s="70"/>
    </row>
    <row r="82" spans="2:26" ht="4.5" customHeight="1"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2:26" ht="15.6" hidden="1"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2:26" ht="15.6" hidden="1"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2:26" ht="15.6" hidden="1"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2:26" ht="15.6" hidden="1"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2:26" ht="15.6" hidden="1"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2:26" ht="15.6" hidden="1"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2:26" ht="15.6" hidden="1"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2:26" ht="15.6" hidden="1"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2:26" ht="15.6" hidden="1"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2:26" ht="15.6" hidden="1"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2:26" ht="15.6" hidden="1"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2:26" ht="15.6" hidden="1"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2:26" ht="15.6" hidden="1"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2:26" ht="15.6" hidden="1"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2:26" ht="15.6" hidden="1"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2:26" ht="15.6" hidden="1"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2:26" ht="15.6" hidden="1"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2:26" ht="15.6" hidden="1"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2:26" ht="15.6" hidden="1"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2:26" ht="15.6" hidden="1"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2:26" ht="15.6" hidden="1"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2:26" ht="15.6" hidden="1"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2:26" ht="15.6" hidden="1"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2:26" ht="15.6" hidden="1"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2:26" ht="15.6" hidden="1"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2:26" ht="15.6" hidden="1"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2:26" ht="15.6" hidden="1"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2:26" ht="15.6" hidden="1"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2:26" ht="15.6" hidden="1"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2:26" ht="15.6" hidden="1"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2:26" ht="15.6" hidden="1"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2:26" ht="15.6" hidden="1"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2:26" ht="15.6" hidden="1"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2:26" ht="15.6" hidden="1"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2:26" ht="15.6" hidden="1"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2:26" ht="15.6" hidden="1"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2:26" ht="15.6" hidden="1"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2:26" ht="15.6" hidden="1"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2:26" ht="15.6" hidden="1"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2:26" ht="15.6" hidden="1"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2:26" ht="15.6" hidden="1"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2:26" ht="15.6" hidden="1"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2:26" ht="15.6" hidden="1"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2:26" ht="15.6" hidden="1"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2:26" ht="15.6" hidden="1"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2:26" ht="15.6" hidden="1"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2:26" ht="15.6" hidden="1"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2:26" ht="15.6" hidden="1"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2:26" ht="15.6" hidden="1"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2:26" ht="15.6" hidden="1"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2:26" ht="15.6" hidden="1"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2:26" ht="15.6" hidden="1"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2:26" ht="15.6" hidden="1"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2:26" ht="15.6" hidden="1"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2:26" ht="15.6" hidden="1"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2:26" ht="15.6" hidden="1"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2:26" ht="15.6" hidden="1"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2:26" ht="15.6" hidden="1"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2:26" ht="15.6" hidden="1"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2:26" ht="15.6" hidden="1"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2:26" ht="15.6" hidden="1"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2:26" ht="15.6" hidden="1"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2:26" ht="15.6" hidden="1"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2:26" ht="15.6" hidden="1"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2:26" ht="15.6" hidden="1"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2:26" ht="15.6" hidden="1"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2:26" ht="15.6" hidden="1"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2:26" ht="15.6" hidden="1"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2:26" ht="15.6" hidden="1"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2:26" ht="15.6" hidden="1"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2:26" ht="15.6" hidden="1"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2:26" ht="15.6" hidden="1"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2:26" ht="15.6" hidden="1"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2:26" ht="15.6" hidden="1"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2:26" ht="15.6" hidden="1"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2:26" ht="15.6" hidden="1"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2:26" ht="15.6" hidden="1"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2:26" ht="15.6" hidden="1"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2:26" ht="15.6" hidden="1"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2:26" ht="15.6" hidden="1"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2:26" ht="15.6" hidden="1"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2:26" ht="15.6" hidden="1"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2:26" ht="15.6" hidden="1"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2:26" ht="15.6" hidden="1"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2:26" ht="15.6" hidden="1"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2:26" ht="15.6" hidden="1"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2:26" ht="15.6" hidden="1"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2:26" ht="15.6" hidden="1"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2:26" ht="15.6" hidden="1"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2:26" ht="15.6" hidden="1"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2:26" ht="15.6" hidden="1"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2:26" ht="15.6" hidden="1"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2:26" ht="15.6" hidden="1"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2:26" ht="15.6" hidden="1"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2:26" ht="15.6" hidden="1"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2:26" ht="15.6" hidden="1"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2:26" ht="15.6" hidden="1"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2:26" ht="15.6" hidden="1"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2:26" ht="15.6" hidden="1"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2:26" ht="15.6" hidden="1"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2:26" ht="15.6" hidden="1"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2:26" ht="15.6" hidden="1"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2:26" ht="15.6" hidden="1"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2:26" ht="15.6" hidden="1"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2:26" ht="15.6" hidden="1"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2:26" ht="15.6" hidden="1"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2:26" ht="15.6" hidden="1"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2:26" ht="15.6" hidden="1"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2:26" ht="15.6" hidden="1"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2:26" ht="15.6" hidden="1"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2:26" ht="15.6" hidden="1"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2:26" ht="15.6" hidden="1"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2:26" ht="15.6" hidden="1"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2:26" ht="15.6" hidden="1"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2:26" ht="15.6" hidden="1"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2:26" ht="15.6" hidden="1"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2:26" ht="15.6" hidden="1"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2:26" ht="15.6" hidden="1"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2:26" ht="15.6" hidden="1"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2:26" ht="15.6" hidden="1"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2:26" ht="15.6" hidden="1"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2:26" ht="15.6" hidden="1"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2:26" ht="15.6" hidden="1"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2:26" ht="15.6" hidden="1"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2:26" ht="15.6" hidden="1"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2:26" ht="15.6" hidden="1"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2:26" ht="15.6" hidden="1"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2:26" ht="15.6" hidden="1"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2:26" ht="15.6" hidden="1"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2:26" ht="15.6" hidden="1"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2:26" ht="15.6" hidden="1"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2:26" ht="15.6" hidden="1"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2:26" ht="15.6" hidden="1"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2:26" ht="15.6" hidden="1"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2:26" ht="15.6" hidden="1"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2:26" ht="15.6" hidden="1"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2:26" ht="15.6" hidden="1"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2:26" ht="15.6" hidden="1"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2:26" ht="15.6" hidden="1"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2:26" ht="15.6" hidden="1"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2:26" ht="15.6" hidden="1"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2:26" ht="15.6" hidden="1"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2:26" ht="15.6" hidden="1"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2:26" ht="15.6" hidden="1"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2:26" ht="15.6" hidden="1"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2:26" ht="15.6" hidden="1"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2:26" ht="15.6" hidden="1"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2:26" ht="15.6" hidden="1"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2:26" ht="15.6" hidden="1"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2:26" ht="15.6" hidden="1"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2:26" ht="15.6" hidden="1"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2:26" ht="15.6" hidden="1"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2:26" ht="15.6" hidden="1"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2:26" ht="15.6" hidden="1"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2:26" ht="15.6" hidden="1"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2:26" ht="15.6" hidden="1"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2:26" ht="15.6" hidden="1"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2:26" ht="15.6" hidden="1"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2:26" ht="15.6" hidden="1"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2:26" ht="15.6" hidden="1"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2:26" ht="15.6" hidden="1"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2:26" ht="15.6" hidden="1"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2:26" ht="15.6" hidden="1"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2:26" ht="15.6" hidden="1"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2:26" ht="15.6" hidden="1"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2:26" ht="15.6" hidden="1"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2:26" ht="15.6" hidden="1"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2:26" ht="15.6" hidden="1"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2:26" ht="15.6" hidden="1"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2:26" ht="15.6" hidden="1"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2:26" ht="15.6" hidden="1"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2:26" ht="15.6" hidden="1"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2:26" ht="15.6" hidden="1"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2:26" ht="15.6" hidden="1"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2:26" ht="15.6" hidden="1"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2:26" ht="15.6" hidden="1"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2:26" ht="15.6" hidden="1"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2:26" ht="15.6" hidden="1"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2:26" ht="15.6" hidden="1"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2:26" ht="15.6" hidden="1"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2:26" ht="15.6" hidden="1"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2:26" ht="15.6" hidden="1"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2:26" ht="15.6" hidden="1"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2:26" ht="15.6" hidden="1"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2:26" ht="15.6" hidden="1"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2:26" ht="15.6" hidden="1"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2:26" ht="15.6" hidden="1"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2:26" ht="15.6" hidden="1"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2:26" ht="15.6" hidden="1"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2:26" ht="15.6" hidden="1"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2:26" ht="15.6" hidden="1"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2:26" ht="15.6" hidden="1"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2:26" ht="15.6" hidden="1"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2:26" ht="15.6" hidden="1"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2:26" ht="15.6" hidden="1"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2:26" ht="15.6" hidden="1"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2:26" ht="15.6" hidden="1"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2:26" ht="15.6" hidden="1"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2:26" ht="15.6" hidden="1"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2:26" ht="15.6" hidden="1"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2:26" ht="15.6" hidden="1"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2:26" ht="15.6" hidden="1"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2:26" ht="15.6" hidden="1"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2:26" ht="15.6" hidden="1"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2:26" ht="15.6" hidden="1"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2:26" ht="15.6" hidden="1"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2:26" ht="15.6" hidden="1"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2:26" ht="15.6" hidden="1"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2:26" ht="15.6" hidden="1"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2:26" ht="15.6" hidden="1"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2:26" ht="15.6" hidden="1"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2:26" ht="15.6" hidden="1"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2:26" ht="15.6" hidden="1"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2:26" ht="15.6" hidden="1"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2:26" ht="15.6" hidden="1"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2:26" ht="15.6" hidden="1"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2:26" ht="15.6" hidden="1"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2:26" ht="15.6" hidden="1"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2:26" ht="15.6" hidden="1"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2:26" ht="15.6" hidden="1"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2:26" ht="15.6" hidden="1"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2:26" ht="15.6" hidden="1"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2:26" ht="15.6" hidden="1"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2:26" ht="15.6" hidden="1"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2:26" ht="15.6" hidden="1"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2:26" ht="15.6" hidden="1"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2:26" ht="15.6" hidden="1"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2:26" ht="15.6" hidden="1"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2:26" ht="15.6" hidden="1"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2:26" ht="15.6" hidden="1"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2:26" ht="15.6" hidden="1"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2:26" ht="15.6" hidden="1"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2:26" ht="15.6" hidden="1"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2:26" ht="15.6" hidden="1"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2:26" ht="15.6" hidden="1"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2:26" ht="15.6" hidden="1"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2:26" ht="15.6" hidden="1"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2:26" ht="15.6" hidden="1"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2:26" ht="15.6" hidden="1"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2:26" ht="15.6" hidden="1"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2:26" ht="15.6" hidden="1"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2:26" ht="15.6" hidden="1"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2:26" ht="15.6" hidden="1"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2:26" ht="15.6" hidden="1"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2:26" ht="15.6" hidden="1"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2:26" ht="15.6" hidden="1"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2:26" ht="15.6" hidden="1"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2:26" ht="15.6" hidden="1"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2:26" ht="15.6" hidden="1"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2:26" ht="15.6" hidden="1"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2:26" ht="15.6" hidden="1"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2:26" ht="15.6" hidden="1"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2:26" ht="15.6" hidden="1"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2:26" ht="15.6" hidden="1"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2:26" ht="15.6" hidden="1"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2:26" ht="15.6" hidden="1"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2:26" ht="15.6" hidden="1"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2:26" ht="15.6" hidden="1"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2:26" ht="15.6" hidden="1"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2:26" ht="15.6" hidden="1"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2:26" ht="15.6" hidden="1"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2:26" ht="15.6" hidden="1"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2:26" ht="15.6" hidden="1"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2:26" ht="15.6" hidden="1"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2:26" ht="15.6" hidden="1"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2:26" ht="15.6" hidden="1"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2:26" ht="15.6" hidden="1"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2:26" ht="15.6" hidden="1"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2:26" ht="15.6" hidden="1"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2:26" ht="15.6" hidden="1"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2:26" ht="15.6" hidden="1"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2:26" ht="15.6" hidden="1"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2:26" ht="15.6" hidden="1"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2:26" ht="15.6" hidden="1"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2:26" ht="15.6" hidden="1"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2:26" ht="15.6" hidden="1"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2:26" ht="15.6" hidden="1"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2:26" ht="15.6" hidden="1"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2:26" ht="15.6" hidden="1"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2:26" ht="15.6" hidden="1"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2:26" ht="15.6" hidden="1"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2:26" ht="15.6" hidden="1"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2:26" ht="15.6" hidden="1"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2:26" ht="15.6" hidden="1"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2:26" ht="15.6" hidden="1"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2:26" ht="15.6" hidden="1"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2:26" ht="15.6" hidden="1"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2:26" ht="15.6" hidden="1"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2:26" ht="15.6" hidden="1"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2:26" ht="15.6" hidden="1"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2:26" ht="15.6" hidden="1"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2:26" ht="15.6" hidden="1"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2:26" ht="15.6" hidden="1"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2:26" ht="15.6" hidden="1"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2:26" ht="15.6" hidden="1"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2:26" ht="15.6" hidden="1"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2:26" ht="15.6" hidden="1"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2:26" ht="15.6" hidden="1"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2:26" ht="15.6" hidden="1"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2:26" ht="15.6" hidden="1"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2:26" ht="15.6" hidden="1"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2:26" ht="15.6" hidden="1"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2:26" ht="15.6" hidden="1"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2:26" ht="15.6" hidden="1"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2:26" ht="15.6" hidden="1"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2:26" ht="15.6" hidden="1"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2:26" ht="15.6" hidden="1"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2:26" ht="15.6" hidden="1"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2:26" ht="15.6" hidden="1"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2:26" ht="15.6" hidden="1"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2:26" ht="15.6" hidden="1"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2:26" ht="15.6" hidden="1"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2:26" ht="15.6" hidden="1"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2:26" ht="15.6" hidden="1"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2:26" ht="15.6" hidden="1"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2:26" ht="15.6" hidden="1"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2:26" ht="15.6" hidden="1"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2:26" ht="15.6" hidden="1"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2:26" ht="15.6" hidden="1"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2:26" ht="15.6" hidden="1"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2:26" ht="15.6" hidden="1"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2:26" ht="15.6" hidden="1"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2:26" ht="15.6" hidden="1"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2:26" ht="15.6" hidden="1"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2:26" ht="15.6" hidden="1"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2:26" ht="15.6" hidden="1"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2:26" ht="15.6" hidden="1"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2:26" ht="15.6" hidden="1"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2:26" ht="15.6" hidden="1"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2:26" ht="15.6" hidden="1"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2:26" ht="15.6" hidden="1"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2:26" ht="15.6" hidden="1"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2:26" ht="15.6" hidden="1"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2:26" ht="15.6" hidden="1"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2:26" ht="15.6" hidden="1"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2:26" ht="15.6" hidden="1"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2:26" ht="15.6" hidden="1"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2:26" ht="15.6" hidden="1"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2:26" ht="15.6" hidden="1"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2:26" ht="15.6" hidden="1"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2:26" ht="15.6" hidden="1"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2:26" ht="15.6" hidden="1"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2:26" ht="15.6" hidden="1"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2:26" ht="15.6" hidden="1"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2:26" ht="15.6" hidden="1"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2:26" ht="15.6" hidden="1"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2:26" ht="15.6" hidden="1"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2:26" ht="15.6" hidden="1"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2:26" ht="15.6" hidden="1"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2:26" ht="15.6" hidden="1"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2:26" ht="15.6" hidden="1"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2:26" ht="15.6" hidden="1"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2:26" ht="15.6" hidden="1"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2:26" ht="15.6" hidden="1"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2:26" ht="15.6" hidden="1"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2:26" ht="15.6" hidden="1"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2:26" ht="15.6" hidden="1"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2:26" ht="15.6" hidden="1"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2:26" ht="15.6" hidden="1"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2:26" ht="15.6" hidden="1"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2:26" ht="15.6" hidden="1"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2:26" ht="15.6" hidden="1"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2:26" ht="15.6" hidden="1"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2:26" ht="15.6" hidden="1"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2:26" ht="15.6" hidden="1"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2:26" ht="15.6" hidden="1"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2:26" ht="15.6" hidden="1"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2:26" ht="15.6" hidden="1"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2:26" ht="15.6" hidden="1"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2:26" ht="15.6" hidden="1"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2:26" ht="15.6" hidden="1"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2:26" ht="15.6" hidden="1"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2:26" ht="15.6" hidden="1"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2:26" ht="15.6" hidden="1"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2:26" ht="15.6" hidden="1"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2:26" ht="15.6" hidden="1"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2:26" ht="15.6" hidden="1"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2:26" ht="15.6" hidden="1"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2:26" ht="15.6" hidden="1"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2:26" ht="15.6" hidden="1"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2:26" ht="15.6" hidden="1"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2:26" ht="15.6" hidden="1"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2:26" ht="15.6" hidden="1"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2:26" ht="15.6" hidden="1"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2:26" ht="15.6" hidden="1"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2:26" ht="15.6" hidden="1"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2:26" ht="15.6" hidden="1"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2:26" ht="15.6" hidden="1"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2:26" ht="15.6" hidden="1"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2:26" ht="15.6" hidden="1"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2:26" ht="15.6" hidden="1"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2:26" ht="15.6" hidden="1"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2:26" ht="15.6" hidden="1"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2:26" ht="15.6" hidden="1"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2:26" ht="15.6" hidden="1"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2:26" ht="15.6" hidden="1"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2:26" ht="15.6" hidden="1"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2:26" ht="15.6" hidden="1"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2:26" ht="15.6" hidden="1"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2:26" ht="15.6" hidden="1"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2:26" ht="15.6" hidden="1"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2:26" ht="15.6" hidden="1"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2:26" ht="15.6" hidden="1"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2:26" ht="15.6" hidden="1"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2:26" ht="15.6" hidden="1"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2:26" ht="15.6" hidden="1"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2:26" ht="15.6" hidden="1"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2:26" ht="15.6" hidden="1"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2:26" ht="15.6" hidden="1"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2:26" ht="15.6" hidden="1"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2:26" ht="15.6" hidden="1"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2:26" ht="15.6" hidden="1"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2:26" ht="15.6" hidden="1"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2:26" ht="15.6" hidden="1"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2:26" ht="15.6" hidden="1"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2:26" ht="15.6" hidden="1"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2:26" ht="15.6" hidden="1"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2:26" ht="15.6" hidden="1"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2:26" ht="15.6" hidden="1"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2:26" ht="15.6" hidden="1"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2:26" ht="15.6" hidden="1"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2:26" ht="15.6" hidden="1"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2:26" ht="15.6" hidden="1"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2:26" ht="15.6" hidden="1"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2:26" ht="15.6" hidden="1"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2:26" ht="15.6" hidden="1"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2:26" ht="15.6" hidden="1"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2:26" ht="15.6" hidden="1"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2:26" ht="15.6" hidden="1"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2:26" ht="15.6" hidden="1"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2:26" ht="15.6" hidden="1"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2:26" ht="15.6" hidden="1"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2:26" ht="15.6" hidden="1"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2:26" ht="15.6" hidden="1"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2:26" ht="15.6" hidden="1"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2:26" ht="15.6" hidden="1"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2:26" ht="15.6" hidden="1"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2:26" ht="15.6" hidden="1"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2:26" ht="15.6" hidden="1"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2:26" ht="15.6" hidden="1"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2:26" ht="15.6" hidden="1"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2:26" ht="15.6" hidden="1"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2:26" ht="15.6" hidden="1"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2:26" ht="15.6" hidden="1"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2:26" ht="15.6" hidden="1"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2:26" ht="15.6" hidden="1"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2:26" ht="15.6" hidden="1"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2:26" ht="15.6" hidden="1"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2:26" ht="15.6" hidden="1"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2:26" ht="15.6" hidden="1"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2:26" ht="15.6" hidden="1"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2:26" ht="15.6" hidden="1"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2:26" ht="15.6" hidden="1"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2:26" ht="15.6" hidden="1"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2:26" ht="15.6" hidden="1"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2:26" ht="15.6" hidden="1"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2:26" ht="15.6" hidden="1"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2:26" ht="15.6" hidden="1"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2:26" ht="15.6" hidden="1"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2:26" ht="15.6" hidden="1"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2:26" ht="15.6" hidden="1"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2:26" ht="15.6" hidden="1"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2:26" ht="15.6" hidden="1"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2:26" ht="15.6" hidden="1"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2:26" ht="15.6" hidden="1"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2:26" ht="15.6" hidden="1"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2:26" ht="15.6" hidden="1"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2:26" ht="15.6" hidden="1"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2:26" ht="15.6" hidden="1"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2:26" ht="15.6" hidden="1"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2:26" ht="15.6" hidden="1"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2:26" ht="15.6" hidden="1"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2:26" ht="15.6" hidden="1"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2:26" ht="15.6" hidden="1"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2:26" ht="15.6" hidden="1"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2:26" ht="15.6" hidden="1"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2:26" ht="15.6" hidden="1"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2:26" ht="15.6" hidden="1"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2:26" ht="15.6" hidden="1"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2:26" ht="15.6" hidden="1"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2:26" ht="15.6" hidden="1"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2:26" ht="15.6" hidden="1"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2:26" ht="15.6" hidden="1"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2:26" ht="15.6" hidden="1"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2:26" ht="15.6" hidden="1"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2:26" ht="15.6" hidden="1"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2:26" ht="15.6" hidden="1"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2:26" ht="15.6" hidden="1"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2:26" ht="15.6" hidden="1"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2:26" ht="15.6" hidden="1"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2:26" ht="15.6" hidden="1"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2:26" ht="15.6" hidden="1"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2:26" ht="15.6" hidden="1"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2:26" ht="15.6" hidden="1"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2:26" ht="15.6" hidden="1"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2:26" ht="15.6" hidden="1"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2:26" ht="15.6" hidden="1"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2:26" ht="15.6" hidden="1"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2:26" ht="15.6" hidden="1"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2:26" ht="15.6" hidden="1"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2:26" ht="15.6" hidden="1"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2:26" ht="15.6" hidden="1"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2:26" ht="15.6" hidden="1"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2:26" ht="15.6" hidden="1"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2:26" ht="15.6" hidden="1"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2:26" ht="15.6" hidden="1"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2:26" ht="15.6" hidden="1"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2:26" ht="15.6" hidden="1"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2:26" ht="15.6" hidden="1"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2:26" ht="15.6" hidden="1"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2:26" ht="15.6" hidden="1"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2:26" ht="15.6" hidden="1"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2:26" ht="15.6" hidden="1"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2:26" ht="15.6" hidden="1"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2:26" ht="15.6" hidden="1"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2:26" ht="15.6" hidden="1"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2:26" ht="15.6" hidden="1"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2:26" ht="15.6" hidden="1"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2:26" ht="15.6" hidden="1"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2:26" ht="15.6" hidden="1"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2:26" ht="15.6" hidden="1"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2:26" ht="15.6" hidden="1"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2:26" ht="15.6" hidden="1"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2:26" ht="15.6" hidden="1"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2:26" ht="15.6" hidden="1"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2:26" ht="15.6" hidden="1"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2:26" ht="15.6" hidden="1"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2:26" ht="15.6" hidden="1"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2:26" ht="15.6" hidden="1"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2:26" ht="15.6" hidden="1"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2:26" ht="15.6" hidden="1"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2:26" ht="15.6" hidden="1"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2:26" ht="15.6" hidden="1"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2:26" ht="15.6" hidden="1"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2:26" ht="15.6" hidden="1"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2:26" ht="15.6" hidden="1"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2:26" ht="15.6" hidden="1"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2:26" ht="15.6" hidden="1"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2:26" ht="15.6" hidden="1"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2:26" ht="15.6" hidden="1"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2:26" ht="15.6" hidden="1"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2:26" ht="15.6" hidden="1"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2:26" ht="15.6" hidden="1"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2:26" ht="15.6" hidden="1"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2:26" ht="15.6" hidden="1"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2:26" ht="15.6" hidden="1"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2:26" ht="15.6" hidden="1"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2:26" ht="15.6" hidden="1"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2:26" ht="15.6" hidden="1"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2:26" ht="15.6" hidden="1"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2:26" ht="15.6" hidden="1"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2:26" ht="15.6" hidden="1"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2:26" ht="15.6" hidden="1"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2:26" ht="15.6" hidden="1"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2:26" ht="15.6" hidden="1"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2:26" ht="15.6" hidden="1"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2:26" ht="15.6" hidden="1"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2:26" ht="15.6" hidden="1"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2:26" ht="15.6" hidden="1"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2:26" ht="15.6" hidden="1"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2:26" ht="15.6" hidden="1"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2:26" ht="15.6" hidden="1"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2:26" ht="15.6" hidden="1"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2:26" ht="15.6" hidden="1"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2:26" ht="15.6" hidden="1"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2:26" ht="15.6" hidden="1"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2:26" ht="15.6" hidden="1"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2:26" ht="15.6" hidden="1"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2:26" ht="15.6" hidden="1"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2:26" ht="15.6" hidden="1"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2:26" ht="15.6" hidden="1"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2:26" ht="15.6" hidden="1"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2:26" ht="15.6" hidden="1"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2:26" ht="15.6" hidden="1"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2:26" ht="15.6" hidden="1"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2:26" ht="15.6" hidden="1"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2:26" ht="15.6" hidden="1"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2:26" ht="15.6" hidden="1"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2:26" ht="15.6" hidden="1"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2:26" ht="15.6" hidden="1"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2:26" ht="15.6" hidden="1"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2:26" ht="15.6" hidden="1"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2:26" ht="15.6" hidden="1"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2:26" ht="15.6" hidden="1"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2:26" ht="15.6" hidden="1"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2:26" ht="15.6" hidden="1"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2:26" ht="15.6" hidden="1"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2:26" ht="15.6" hidden="1"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2:26" ht="15.6" hidden="1"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2:26" ht="15.6" hidden="1"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2:26" ht="15.6" hidden="1"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2:26" ht="15.6" hidden="1"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2:26" ht="15.6" hidden="1"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2:26" ht="15.6" hidden="1"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2:26" ht="15.6" hidden="1"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2:26" ht="15.6" hidden="1"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2:26" ht="15.6" hidden="1"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2:26" ht="15.6" hidden="1"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2:26" ht="15.6" hidden="1"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2:26" ht="15.6" hidden="1"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2:26" ht="15.6" hidden="1"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2:26" ht="15.6" hidden="1"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2:26" ht="15.6" hidden="1"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2:26" ht="15.6" hidden="1"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2:26" ht="15.6" hidden="1"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2:26" ht="15.6" hidden="1"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2:26" ht="15.6" hidden="1"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2:26" ht="15.6" hidden="1"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2:26" ht="15.6" hidden="1"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2:26" ht="15.6" hidden="1"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2:26" ht="15.6" hidden="1"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2:26" ht="15.6" hidden="1"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2:26" ht="15.6" hidden="1"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2:26" ht="15.6" hidden="1"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2:26" ht="15.6" hidden="1"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2:26" ht="15.6" hidden="1"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2:26" ht="15.6" hidden="1"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2:26" ht="15.6" hidden="1"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2:26" ht="15.6" hidden="1"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2:26" ht="15.6" hidden="1"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2:26" ht="15.6" hidden="1"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2:26" ht="15.6" hidden="1"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2:26" ht="15.6" hidden="1"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2:26" ht="15.6" hidden="1"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2:26" ht="15.6" hidden="1"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2:26" ht="15.6" hidden="1"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2:26" ht="15.6" hidden="1"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2:26" ht="15.6" hidden="1"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2:26" ht="15.6" hidden="1"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2:26" ht="15.6" hidden="1"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2:26" ht="15.6" hidden="1"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2:26" ht="15.6" hidden="1"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2:26" ht="15.6" hidden="1"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2:26" ht="15.6" hidden="1"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2:26" ht="15.6" hidden="1"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2:26" ht="15.6" hidden="1"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2:26" ht="15.6" hidden="1"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2:26" ht="15.6" hidden="1"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2:26" ht="15.6" hidden="1"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2:26" ht="15.6" hidden="1"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2:26" ht="15.6" hidden="1"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2:26" ht="15.6" hidden="1"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2:26" ht="15.6" hidden="1"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2:26" ht="15.6" hidden="1"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2:26" ht="15.6" hidden="1"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2:26" ht="15.6" hidden="1"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2:26" ht="15.6" hidden="1"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2:26" ht="15.6" hidden="1"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2:26" ht="15.6" hidden="1"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2:26" ht="15.6" hidden="1"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2:26" ht="15.6" hidden="1"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2:26" ht="15.6" hidden="1"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2:26" ht="15.6" hidden="1"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2:26" ht="15.6" hidden="1"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2:26" ht="15.6" hidden="1"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2:26" ht="15.6" hidden="1"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2:26" ht="15.6" hidden="1"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2:26" ht="15.6" hidden="1"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2:26" ht="15.6" hidden="1"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2:26" ht="15.6" hidden="1"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2:26" ht="15.6" hidden="1"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2:26" ht="15.6" hidden="1"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2:26" ht="15.6" hidden="1"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2:26" ht="15.6" hidden="1"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2:26" ht="15.6" hidden="1"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2:26" ht="15.6" hidden="1"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2:26" ht="15.6" hidden="1"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2:26" ht="15.6" hidden="1"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2:26" ht="15.6" hidden="1"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2:26" ht="15.6" hidden="1"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2:26" ht="15.6" hidden="1"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2:26" ht="15.6" hidden="1"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2:26" ht="15.6" hidden="1"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2:26" ht="15.6" hidden="1"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2:26" ht="15.6" hidden="1"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2:26" ht="15.6" hidden="1"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2:26" ht="15.6" hidden="1"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2:26" ht="15.6" hidden="1"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2:26" ht="15.6" hidden="1"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2:26" ht="15.6" hidden="1"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2:26" ht="15.6" hidden="1"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2:26" ht="15.6" hidden="1"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2:26" ht="15.6" hidden="1"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2:26" ht="15.6" hidden="1"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2:26" ht="15.6" hidden="1"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2:26" ht="15.6" hidden="1"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2:26" ht="15.6" hidden="1"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2:26" ht="15.6" hidden="1"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2:26" ht="15.6" hidden="1"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2:26" ht="15.6" hidden="1"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2:26" ht="15.6" hidden="1"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2:26" ht="15.6" hidden="1"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2:26" ht="15.6" hidden="1"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2:26" ht="15.6" hidden="1"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2:26" ht="15.6" hidden="1"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2:26" ht="15.6" hidden="1"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2:26" ht="15.6" hidden="1"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2:26" ht="15.6" hidden="1"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2:26" ht="15.6" hidden="1"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2:26" ht="15.6" hidden="1"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2:26" ht="15.6" hidden="1"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2:26" ht="15.6" hidden="1"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2:26" ht="15.6" hidden="1"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2:26" ht="15.6" hidden="1"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2:26" ht="15.6" hidden="1"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2:26" ht="15.6" hidden="1"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2:26" ht="15.6" hidden="1"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2:26" ht="15.6" hidden="1"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2:26" ht="15.6" hidden="1"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2:26" ht="15.6" hidden="1"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2:26" ht="15.6" hidden="1"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2:26" ht="15.6" hidden="1"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2:26" ht="15.6" hidden="1"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2:26" ht="15.6" hidden="1"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2:26" ht="15.6" hidden="1"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2:26" ht="15.6" hidden="1"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2:26" ht="15.6" hidden="1"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2:26" ht="15.6" hidden="1"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2:26" ht="15.6" hidden="1"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2:26" ht="15.6" hidden="1"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2:26" ht="15.6" hidden="1"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2:26" ht="15.6" hidden="1"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2:26" ht="15.6" hidden="1"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2:26" ht="15.6" hidden="1"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2:26" ht="15.6" hidden="1"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2:26" ht="15.6" hidden="1"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2:26" ht="15.6" hidden="1"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2:26" ht="15.6" hidden="1"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2:26" ht="15.6" hidden="1"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2:26" ht="15.6" hidden="1"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2:26" ht="15.6" hidden="1"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2:26" ht="15.6" hidden="1"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2:26" ht="15.6" hidden="1"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2:26" ht="15.6" hidden="1"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2:26" ht="15.6" hidden="1"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2:26" ht="15.6" hidden="1"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2:26" ht="15.6" hidden="1"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2:26" ht="15.6" hidden="1"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2:26" ht="15.6" hidden="1"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2:26" ht="15.6" hidden="1"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2:26" ht="15.6" hidden="1"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2:26" ht="15.6" hidden="1"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2:26" ht="15.6" hidden="1"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2:26" ht="15.6" hidden="1"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2:26" ht="15.6" hidden="1"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2:26" ht="15.6" hidden="1"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2:26" ht="15.6" hidden="1"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2:26" ht="15.6" hidden="1"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2:26" ht="15.6" hidden="1"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2:26" ht="15.6" hidden="1"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2:26" ht="15.6" hidden="1"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2:26" ht="15.6" hidden="1"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2:26" ht="15.6" hidden="1"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2:26" ht="15.6" hidden="1"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2:26" ht="15.6" hidden="1"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2:26" ht="15.6" hidden="1"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2:26" ht="15.6" hidden="1"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2:26" ht="15.6" hidden="1"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2:26" ht="15.6" hidden="1"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2:26" ht="15.6" hidden="1"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2:26" ht="15.6" hidden="1"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2:26" ht="15.6" hidden="1"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2:26" ht="15.6" hidden="1"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2:26" ht="15.6" hidden="1"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2:26" ht="15.6" hidden="1"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2:26" ht="15.6" hidden="1"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2:26" ht="15.6" hidden="1"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2:26" ht="15.6" hidden="1"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2:26" ht="15.6" hidden="1"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2:26" ht="15.6" hidden="1"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2:26" ht="15.6" hidden="1"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2:26" ht="15.6" hidden="1"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2:26" ht="15.6" hidden="1"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2:26" ht="15.6" hidden="1"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2:26" ht="15.6" hidden="1"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2:26" ht="15.6" hidden="1"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2:26" ht="15.6" hidden="1"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2:26" ht="15.6" hidden="1"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2:26" ht="15.6" hidden="1"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2:26" ht="15.6" hidden="1"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2:26" ht="15.6" hidden="1"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2:26" ht="15.6" hidden="1"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2:26" ht="15.6" hidden="1"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2:26" ht="15.6" hidden="1"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2:26" ht="15.6" hidden="1"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2:26" ht="15.6" hidden="1"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2:26" ht="15.6" hidden="1"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2:26" ht="15.6" hidden="1"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2:26" ht="15.6" hidden="1"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2:26" ht="15.6" hidden="1"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2:26" ht="15.6" hidden="1"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2:26" ht="15.6" hidden="1"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2:26" ht="15.6" hidden="1"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2:26" ht="15.6" hidden="1"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2:26" ht="15.6" hidden="1"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2:26" ht="15.6" hidden="1"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2:26" ht="15.6" hidden="1"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2:26" ht="15.6" hidden="1"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2:26" ht="15.6" hidden="1"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2:26" ht="15.6" hidden="1"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2:26" ht="15.6" hidden="1"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2:26" ht="15.6" hidden="1"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2:26" ht="15.6" hidden="1"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2:26" ht="15.6" hidden="1"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2:26" ht="15.6" hidden="1"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2:26" ht="15.6" hidden="1"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2:26" ht="15.6" hidden="1"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2:26" ht="15.6" hidden="1"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2:26" ht="15.6" hidden="1"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2:26" ht="15.6" hidden="1"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2:26" ht="15.6" hidden="1"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2:26" ht="15.6" hidden="1"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2:26" ht="15.6" hidden="1"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2:26" ht="15.6" hidden="1"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2:26" ht="15.6" hidden="1"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2:26" ht="15.6" hidden="1"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2:26" ht="15.6" hidden="1"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2:26" ht="15.6" hidden="1"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2:26" ht="15.6" hidden="1"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2:26" ht="15.6" hidden="1"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2:26" ht="15.6" hidden="1"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2:26" ht="15.6" hidden="1"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2:26" ht="15.6" hidden="1"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2:26" ht="15.6" hidden="1"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2:26" ht="15.6" hidden="1"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2:26" ht="15.6" hidden="1"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2:26" ht="15.6" hidden="1"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2:26" ht="15.6" hidden="1"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2:26" ht="15.6" hidden="1"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2:26" ht="15.6" hidden="1"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2:26" ht="15.6" hidden="1"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2:26" ht="15.6" hidden="1"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2:26" ht="15.6" hidden="1"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2:26" ht="15.6" hidden="1"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2:26" ht="15.6" hidden="1"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2:26" ht="15.6" hidden="1"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2:26" ht="15.6" hidden="1"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2:26" ht="15.6" hidden="1"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2:26" ht="15.6" hidden="1"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2:26" ht="15.6" hidden="1"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2:26" ht="15.6" hidden="1"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2:26" ht="15.6" hidden="1"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2:26" ht="15.6" hidden="1"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2:26" ht="15.6" hidden="1"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2:26" ht="15.6" hidden="1"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2:26" ht="15.6" hidden="1"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2:26" ht="15.6" hidden="1"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2:26" ht="15.6" hidden="1"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2:26" ht="15.6" hidden="1"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2:26" ht="15.6" hidden="1"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2:26" ht="15.6" hidden="1"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2:26" ht="15.6" hidden="1"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2:26" ht="15.6" hidden="1"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2:26" ht="15.6" hidden="1"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2:26" ht="15.6" hidden="1"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2:26" ht="15.6" hidden="1"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2:26" ht="15.6" hidden="1"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2:26" ht="15.6" hidden="1"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2:26" ht="15.6" hidden="1"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2:26" ht="15.6" hidden="1"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2:26" ht="15.6" hidden="1"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2:26" ht="15.6" hidden="1"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2:26" ht="15.6" hidden="1"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2:26" ht="15.6" hidden="1"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2:26" ht="15.6" hidden="1"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2:26" ht="15.6" hidden="1"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2:26" ht="15.6" hidden="1"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2:26" ht="15.6" hidden="1"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2:26" ht="15.6" hidden="1"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2:26" ht="15.6" hidden="1"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2:26" ht="15.6" hidden="1"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2:26" ht="15.6" hidden="1"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2:26" ht="15.6" hidden="1"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2:26" ht="15.6" hidden="1"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2:26" ht="15.6" hidden="1"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2:26" ht="15.6" hidden="1"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2:26" ht="15.6" hidden="1"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2:26" ht="15.6" hidden="1"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2:26" ht="15.6" hidden="1"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2:26" ht="15.6" hidden="1"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2:26" ht="15.6" hidden="1"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2:26" ht="15.6" hidden="1"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2:26" ht="15.6" hidden="1"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2:26" ht="15.6" hidden="1"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2:26" ht="15.6" hidden="1"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2:26" ht="15.6" hidden="1"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2:26" ht="15.6" hidden="1"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2:26" ht="15.6" hidden="1"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2:26" ht="15.6" hidden="1"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2:26" ht="15.6" hidden="1"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2:26" ht="15.6" hidden="1"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2:26" ht="15.6" hidden="1"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2:26" ht="15.6" hidden="1"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2:26" ht="15.6" hidden="1"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2:26" ht="15.6" hidden="1"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2:26" ht="15.6" hidden="1"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2:26" ht="15.6" hidden="1"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2:26" ht="15.6" hidden="1"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2:26" ht="15.6" hidden="1"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2:26" ht="15.6" hidden="1"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2:26" ht="15.6" hidden="1"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2:26" ht="15.6" hidden="1"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2:26" ht="15.6" hidden="1"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2:26" ht="15.6" hidden="1"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2:26" ht="15.6" hidden="1"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2:26" ht="15.6" hidden="1"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2:26" ht="15.6" hidden="1"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2:26" ht="15.6" hidden="1"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2:26" ht="15.6" hidden="1"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2:26" ht="15.6" hidden="1"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2:26" ht="15.6" hidden="1"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2:26" ht="15.6" hidden="1"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2:26" ht="15.6" hidden="1"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2:26" ht="15.6" hidden="1"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2:26" ht="15.6" hidden="1"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2:26" ht="15.6" hidden="1"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2:26" ht="15.6" hidden="1"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(27_기계)편제표</vt:lpstr>
      <vt:lpstr>(27_기계)NCS</vt:lpstr>
      <vt:lpstr>(27_전기일반)편제표</vt:lpstr>
      <vt:lpstr>(27_전기일반)NCS</vt:lpstr>
      <vt:lpstr>(27_전기도제)편제표</vt:lpstr>
      <vt:lpstr>(27_전기도제)NCS</vt:lpstr>
      <vt:lpstr>삭제금지</vt:lpstr>
      <vt:lpstr>(참고1) 편성 기준🔐</vt:lpstr>
      <vt:lpstr>'(27_기계)편제표'!Print_Area</vt:lpstr>
      <vt:lpstr>'(27_전기도제)편제표'!Print_Area</vt:lpstr>
      <vt:lpstr>'(27_전기일반)편제표'!Print_Area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minseon kim</cp:lastModifiedBy>
  <cp:lastPrinted>2026-10-21T06:28:37Z</cp:lastPrinted>
  <dcterms:created xsi:type="dcterms:W3CDTF">2020-03-04T02:26:59Z</dcterms:created>
  <dcterms:modified xsi:type="dcterms:W3CDTF">2026-10-22T15:23:45Z</dcterms:modified>
</cp:coreProperties>
</file>