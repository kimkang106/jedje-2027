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52A6AC-237F-4D24-BDEC-51C03E2271FA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교육과정편제표(반려동물과)" sheetId="35" r:id="rId1"/>
    <sheet name="교육과정편제표(스마트팜과)" sheetId="29" r:id="rId2"/>
    <sheet name="교육과정편제표(바이오식품과)" sheetId="33" r:id="rId3"/>
    <sheet name="실무과목 능력단위(반려동물과)" sheetId="37" r:id="rId4"/>
    <sheet name="실무과목 능력단위(스마트팜과)" sheetId="38" r:id="rId5"/>
    <sheet name="실무과목 능력단위(바이오식품과)" sheetId="39" r:id="rId6"/>
    <sheet name="삭제금지" sheetId="31" r:id="rId7"/>
    <sheet name="(참고1) 편성 기준🔐" sheetId="32" r:id="rId8"/>
  </sheets>
  <definedNames>
    <definedName name="_xlnm._FilterDatabase" localSheetId="2" hidden="1">'교육과정편제표(바이오식품과)'!$M$3:$P$4</definedName>
    <definedName name="_xlnm._FilterDatabase" localSheetId="0" hidden="1">'교육과정편제표(반려동물과)'!$M$3:$P$4</definedName>
    <definedName name="_xlnm._FilterDatabase" localSheetId="1" hidden="1">'교육과정편제표(스마트팜과)'!$M$3:$P$4</definedName>
    <definedName name="_xlnm._FilterDatabase" localSheetId="6" hidden="1">삭제금지!$A$1:$F$151</definedName>
    <definedName name="_xlnm._FilterDatabase" localSheetId="5" hidden="1">'실무과목 능력단위(바이오식품과)'!#REF!</definedName>
    <definedName name="_xlnm._FilterDatabase" localSheetId="3" hidden="1">'실무과목 능력단위(반려동물과)'!#REF!</definedName>
    <definedName name="_xlnm._FilterDatabase" localSheetId="4" hidden="1">'실무과목 능력단위(스마트팜과)'!#REF!</definedName>
    <definedName name="_xlnm.Print_Area" localSheetId="2">'교육과정편제표(바이오식품과)'!$A$1:$AE$72</definedName>
    <definedName name="_xlnm.Print_Area" localSheetId="0">'교육과정편제표(반려동물과)'!$A$1:$AE$63</definedName>
    <definedName name="_xlnm.Print_Area" localSheetId="1">'교육과정편제표(스마트팜과)'!$A$1:$AE$75</definedName>
    <definedName name="_xlnm.Print_Area" localSheetId="5">'실무과목 능력단위(바이오식품과)'!$A$1:$AF$82</definedName>
    <definedName name="_xlnm.Print_Area" localSheetId="3">'실무과목 능력단위(반려동물과)'!$A$1:$AF$71</definedName>
    <definedName name="_xlnm.Print_Area" localSheetId="4">'실무과목 능력단위(스마트팜과)'!$A$1:$AF$83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8" i="39" l="1"/>
  <c r="T78" i="39"/>
  <c r="S78" i="39"/>
  <c r="R78" i="39"/>
  <c r="Q78" i="39"/>
  <c r="P78" i="39"/>
  <c r="O78" i="39"/>
  <c r="N78" i="39"/>
  <c r="M78" i="39"/>
  <c r="L78" i="39"/>
  <c r="K78" i="39"/>
  <c r="J78" i="39"/>
  <c r="I78" i="39"/>
  <c r="H78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O72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U60" i="39"/>
  <c r="T60" i="39"/>
  <c r="S60" i="39"/>
  <c r="R60" i="39"/>
  <c r="Q60" i="39"/>
  <c r="P60" i="39"/>
  <c r="O60" i="39"/>
  <c r="N60" i="39"/>
  <c r="M60" i="39"/>
  <c r="L60" i="39"/>
  <c r="K60" i="39"/>
  <c r="J60" i="39"/>
  <c r="I60" i="39"/>
  <c r="H60" i="39"/>
  <c r="T56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U48" i="39"/>
  <c r="T48" i="39"/>
  <c r="S48" i="39"/>
  <c r="R48" i="39"/>
  <c r="Q48" i="39"/>
  <c r="P48" i="39"/>
  <c r="O48" i="39"/>
  <c r="N48" i="39"/>
  <c r="M48" i="39"/>
  <c r="L48" i="39"/>
  <c r="K48" i="39"/>
  <c r="J48" i="39"/>
  <c r="I48" i="39"/>
  <c r="H48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U36" i="39"/>
  <c r="T36" i="39"/>
  <c r="S36" i="39"/>
  <c r="R36" i="39"/>
  <c r="Q36" i="39"/>
  <c r="P36" i="39"/>
  <c r="Q30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T21" i="39"/>
  <c r="S21" i="39"/>
  <c r="R21" i="39"/>
  <c r="Q21" i="39"/>
  <c r="P21" i="39"/>
  <c r="K21" i="39"/>
  <c r="J21" i="39"/>
  <c r="I21" i="39"/>
  <c r="H21" i="39"/>
  <c r="Q20" i="39"/>
  <c r="I20" i="39"/>
  <c r="U19" i="39"/>
  <c r="U21" i="39" s="1"/>
  <c r="T19" i="39"/>
  <c r="S19" i="39"/>
  <c r="K19" i="39"/>
  <c r="I19" i="39"/>
  <c r="U18" i="39"/>
  <c r="T18" i="39"/>
  <c r="S18" i="39"/>
  <c r="R18" i="39"/>
  <c r="Q18" i="39"/>
  <c r="P18" i="39"/>
  <c r="O18" i="39"/>
  <c r="N18" i="39"/>
  <c r="M18" i="39"/>
  <c r="L18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W37" i="33"/>
  <c r="W38" i="33"/>
  <c r="W39" i="33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U78" i="38"/>
  <c r="T78" i="38"/>
  <c r="S78" i="38"/>
  <c r="R78" i="38"/>
  <c r="Q78" i="38"/>
  <c r="P78" i="38"/>
  <c r="N78" i="38"/>
  <c r="M78" i="38"/>
  <c r="L78" i="38"/>
  <c r="K78" i="38"/>
  <c r="J78" i="38"/>
  <c r="I78" i="38"/>
  <c r="H78" i="38"/>
  <c r="O77" i="38"/>
  <c r="O78" i="38" s="1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U71" i="38"/>
  <c r="S71" i="38"/>
  <c r="R71" i="38"/>
  <c r="Q71" i="38"/>
  <c r="P71" i="38"/>
  <c r="O71" i="38"/>
  <c r="N71" i="38"/>
  <c r="M71" i="38"/>
  <c r="L71" i="38"/>
  <c r="K71" i="38"/>
  <c r="J71" i="38"/>
  <c r="I71" i="38"/>
  <c r="H71" i="38"/>
  <c r="T67" i="38"/>
  <c r="T71" i="38" s="1"/>
  <c r="U66" i="38"/>
  <c r="T66" i="38"/>
  <c r="S66" i="38"/>
  <c r="R66" i="38"/>
  <c r="Q66" i="38"/>
  <c r="P66" i="38"/>
  <c r="O66" i="38"/>
  <c r="N66" i="38"/>
  <c r="L66" i="38"/>
  <c r="K66" i="38"/>
  <c r="J66" i="38"/>
  <c r="I66" i="38"/>
  <c r="H66" i="38"/>
  <c r="M63" i="38"/>
  <c r="M62" i="38"/>
  <c r="M66" i="38" s="1"/>
  <c r="U61" i="38"/>
  <c r="T61" i="38"/>
  <c r="S61" i="38"/>
  <c r="R61" i="38"/>
  <c r="Q61" i="38"/>
  <c r="P61" i="38"/>
  <c r="K61" i="38"/>
  <c r="J61" i="38"/>
  <c r="I61" i="38"/>
  <c r="H61" i="38"/>
  <c r="U57" i="38"/>
  <c r="T57" i="38"/>
  <c r="S57" i="38"/>
  <c r="R57" i="38"/>
  <c r="P57" i="38"/>
  <c r="Q53" i="38"/>
  <c r="Q57" i="38" s="1"/>
  <c r="U52" i="38"/>
  <c r="T52" i="38"/>
  <c r="S52" i="38"/>
  <c r="R52" i="38"/>
  <c r="P52" i="38"/>
  <c r="Q48" i="38"/>
  <c r="Q52" i="38" s="1"/>
  <c r="U47" i="38"/>
  <c r="T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Q43" i="38"/>
  <c r="U42" i="38"/>
  <c r="T42" i="38"/>
  <c r="O42" i="38"/>
  <c r="M42" i="38"/>
  <c r="L42" i="38"/>
  <c r="U39" i="38"/>
  <c r="T39" i="38"/>
  <c r="S39" i="38"/>
  <c r="R39" i="38"/>
  <c r="Q39" i="38"/>
  <c r="P39" i="38"/>
  <c r="N42" i="38" s="1"/>
  <c r="U34" i="38"/>
  <c r="T34" i="38"/>
  <c r="P34" i="38"/>
  <c r="U31" i="38"/>
  <c r="T31" i="38"/>
  <c r="S31" i="38"/>
  <c r="S34" i="38" s="1"/>
  <c r="R31" i="38"/>
  <c r="R34" i="38" s="1"/>
  <c r="P31" i="38"/>
  <c r="O31" i="38"/>
  <c r="N31" i="38"/>
  <c r="M31" i="38"/>
  <c r="L31" i="38"/>
  <c r="K31" i="38"/>
  <c r="J31" i="38"/>
  <c r="I31" i="38"/>
  <c r="H31" i="38"/>
  <c r="Q27" i="38"/>
  <c r="Q31" i="38" s="1"/>
  <c r="Q34" i="38" s="1"/>
  <c r="U26" i="38"/>
  <c r="T26" i="38"/>
  <c r="S26" i="38"/>
  <c r="R26" i="38"/>
  <c r="Q26" i="38"/>
  <c r="P26" i="38"/>
  <c r="N26" i="38"/>
  <c r="M26" i="38"/>
  <c r="L26" i="38"/>
  <c r="K26" i="38"/>
  <c r="J26" i="38"/>
  <c r="I26" i="38"/>
  <c r="H26" i="38"/>
  <c r="O25" i="38"/>
  <c r="O24" i="38"/>
  <c r="O26" i="38" s="1"/>
  <c r="U23" i="38"/>
  <c r="T23" i="38"/>
  <c r="R23" i="38"/>
  <c r="P23" i="38"/>
  <c r="O23" i="38"/>
  <c r="N23" i="38"/>
  <c r="M23" i="38"/>
  <c r="L23" i="38"/>
  <c r="K23" i="38"/>
  <c r="J23" i="38"/>
  <c r="I23" i="38"/>
  <c r="H23" i="38"/>
  <c r="S22" i="38"/>
  <c r="S21" i="38"/>
  <c r="S23" i="38" s="1"/>
  <c r="Q20" i="38"/>
  <c r="Q19" i="38"/>
  <c r="Q23" i="38" s="1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U13" i="38"/>
  <c r="T13" i="38"/>
  <c r="S13" i="38"/>
  <c r="R13" i="38"/>
  <c r="Q13" i="38"/>
  <c r="P13" i="38"/>
  <c r="Y32" i="29"/>
  <c r="W32" i="29"/>
  <c r="U66" i="37" l="1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O60" i="37"/>
  <c r="U57" i="37"/>
  <c r="T57" i="37"/>
  <c r="S57" i="37"/>
  <c r="R57" i="37"/>
  <c r="Q57" i="37"/>
  <c r="P57" i="37"/>
  <c r="O57" i="37"/>
  <c r="N57" i="37"/>
  <c r="M57" i="37"/>
  <c r="L57" i="37"/>
  <c r="K57" i="37"/>
  <c r="J57" i="37"/>
  <c r="I57" i="37"/>
  <c r="H57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U50" i="37"/>
  <c r="T50" i="37"/>
  <c r="S50" i="37"/>
  <c r="R50" i="37"/>
  <c r="Q50" i="37"/>
  <c r="P50" i="37"/>
  <c r="O50" i="37"/>
  <c r="N50" i="37"/>
  <c r="M50" i="37"/>
  <c r="L50" i="37"/>
  <c r="K50" i="37"/>
  <c r="J50" i="37"/>
  <c r="I50" i="37"/>
  <c r="H50" i="37"/>
  <c r="T46" i="37"/>
  <c r="T45" i="37"/>
  <c r="S45" i="37"/>
  <c r="R45" i="37"/>
  <c r="Q45" i="37"/>
  <c r="P45" i="37"/>
  <c r="O45" i="37"/>
  <c r="N45" i="37"/>
  <c r="M45" i="37"/>
  <c r="L45" i="37"/>
  <c r="K45" i="37"/>
  <c r="J45" i="37"/>
  <c r="I45" i="37"/>
  <c r="H45" i="37"/>
  <c r="Q44" i="37"/>
  <c r="I44" i="37"/>
  <c r="U43" i="37"/>
  <c r="U45" i="37" s="1"/>
  <c r="T43" i="37"/>
  <c r="S43" i="37"/>
  <c r="K43" i="37"/>
  <c r="I43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S41" i="37"/>
  <c r="Q41" i="37"/>
  <c r="I41" i="37"/>
  <c r="U40" i="37"/>
  <c r="T40" i="37"/>
  <c r="S40" i="37"/>
  <c r="K40" i="37"/>
  <c r="I40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U38" i="37"/>
  <c r="U39" i="37" s="1"/>
  <c r="S38" i="37"/>
  <c r="U35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U30" i="37"/>
  <c r="U34" i="37" s="1"/>
  <c r="M30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U28" i="37"/>
  <c r="S28" i="37"/>
  <c r="I28" i="37"/>
  <c r="U27" i="37"/>
  <c r="S27" i="37"/>
  <c r="Q27" i="37"/>
  <c r="K27" i="37"/>
  <c r="I27" i="37"/>
  <c r="U25" i="37"/>
  <c r="U29" i="37" s="1"/>
  <c r="S25" i="37"/>
  <c r="Q25" i="37"/>
  <c r="K25" i="37"/>
  <c r="I25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U23" i="37"/>
  <c r="T23" i="37"/>
  <c r="U22" i="37"/>
  <c r="T22" i="37"/>
  <c r="U21" i="37"/>
  <c r="T21" i="37"/>
  <c r="U20" i="37"/>
  <c r="T20" i="37"/>
  <c r="T19" i="37"/>
  <c r="S19" i="37"/>
  <c r="R19" i="37"/>
  <c r="Q19" i="37"/>
  <c r="P19" i="37"/>
  <c r="O19" i="37"/>
  <c r="N19" i="37"/>
  <c r="M19" i="37"/>
  <c r="L19" i="37"/>
  <c r="U16" i="37"/>
  <c r="U19" i="37" s="1"/>
  <c r="Q16" i="37"/>
  <c r="U15" i="37"/>
  <c r="U14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U12" i="37"/>
  <c r="U13" i="37" s="1"/>
  <c r="Q12" i="37"/>
  <c r="O12" i="37"/>
  <c r="M12" i="37"/>
  <c r="K12" i="37"/>
  <c r="I12" i="37"/>
  <c r="U9" i="37"/>
  <c r="T9" i="37"/>
  <c r="S9" i="37"/>
  <c r="Q9" i="37"/>
  <c r="O9" i="37"/>
  <c r="M9" i="37"/>
  <c r="K9" i="37"/>
  <c r="I9" i="37"/>
  <c r="W61" i="35"/>
  <c r="S61" i="35"/>
  <c r="O61" i="35"/>
  <c r="K61" i="35"/>
  <c r="AA60" i="35"/>
  <c r="Y60" i="35"/>
  <c r="AA62" i="35" s="1"/>
  <c r="W60" i="35"/>
  <c r="W59" i="35"/>
  <c r="Y56" i="35"/>
  <c r="W56" i="35"/>
  <c r="Y55" i="35"/>
  <c r="S55" i="35"/>
  <c r="O55" i="35"/>
  <c r="M55" i="35"/>
  <c r="K55" i="35"/>
  <c r="J55" i="35"/>
  <c r="I55" i="35"/>
  <c r="H55" i="35"/>
  <c r="Y53" i="35"/>
  <c r="U53" i="35"/>
  <c r="U55" i="35" s="1"/>
  <c r="S53" i="35"/>
  <c r="Q53" i="35"/>
  <c r="Q55" i="35" s="1"/>
  <c r="O53" i="35"/>
  <c r="M53" i="35"/>
  <c r="K53" i="35"/>
  <c r="J53" i="35"/>
  <c r="I53" i="35"/>
  <c r="H53" i="35"/>
  <c r="W43" i="35"/>
  <c r="W42" i="35"/>
  <c r="W41" i="35"/>
  <c r="W40" i="35"/>
  <c r="W39" i="35"/>
  <c r="W38" i="35"/>
  <c r="W37" i="35"/>
  <c r="W36" i="35"/>
  <c r="W35" i="35"/>
  <c r="W34" i="35"/>
  <c r="W33" i="35"/>
  <c r="Y32" i="35"/>
  <c r="W32" i="35"/>
  <c r="AA32" i="35" s="1"/>
  <c r="U32" i="35"/>
  <c r="S32" i="35"/>
  <c r="Q32" i="35"/>
  <c r="O32" i="35"/>
  <c r="M32" i="35"/>
  <c r="K32" i="35"/>
  <c r="J32" i="35"/>
  <c r="H32" i="35"/>
  <c r="W30" i="35"/>
  <c r="W28" i="35"/>
  <c r="W27" i="35"/>
  <c r="W26" i="35"/>
  <c r="W25" i="35"/>
  <c r="J25" i="35"/>
  <c r="X24" i="35"/>
  <c r="W24" i="35"/>
  <c r="J24" i="35"/>
  <c r="W23" i="35"/>
  <c r="X22" i="35"/>
  <c r="W22" i="35"/>
  <c r="W21" i="35"/>
  <c r="X20" i="35"/>
  <c r="W20" i="35"/>
  <c r="W19" i="35"/>
  <c r="X18" i="35"/>
  <c r="W18" i="35"/>
  <c r="W17" i="35"/>
  <c r="W16" i="35"/>
  <c r="X15" i="35"/>
  <c r="W15" i="35"/>
  <c r="W14" i="35"/>
  <c r="W13" i="35"/>
  <c r="X12" i="35"/>
  <c r="W12" i="35"/>
  <c r="W11" i="35"/>
  <c r="W10" i="35"/>
  <c r="X9" i="35"/>
  <c r="W9" i="35"/>
  <c r="W9" i="33"/>
  <c r="W10" i="33"/>
  <c r="X9" i="33" s="1"/>
  <c r="W11" i="33"/>
  <c r="W12" i="33"/>
  <c r="W13" i="33"/>
  <c r="W14" i="33"/>
  <c r="W15" i="33"/>
  <c r="W16" i="33"/>
  <c r="W17" i="33"/>
  <c r="W18" i="33"/>
  <c r="X18" i="33"/>
  <c r="W19" i="33"/>
  <c r="W20" i="33"/>
  <c r="W21" i="33"/>
  <c r="X20" i="33" s="1"/>
  <c r="W22" i="33"/>
  <c r="W23" i="33"/>
  <c r="X22" i="33" s="1"/>
  <c r="J24" i="33"/>
  <c r="W24" i="33"/>
  <c r="X24" i="33" s="1"/>
  <c r="J25" i="33"/>
  <c r="W25" i="33"/>
  <c r="W26" i="33"/>
  <c r="W27" i="33"/>
  <c r="W28" i="33"/>
  <c r="W30" i="33"/>
  <c r="H32" i="33"/>
  <c r="K32" i="33"/>
  <c r="M32" i="33"/>
  <c r="O32" i="33"/>
  <c r="Q32" i="33"/>
  <c r="S32" i="33"/>
  <c r="U32" i="33"/>
  <c r="Y32" i="33"/>
  <c r="W33" i="33"/>
  <c r="W34" i="33"/>
  <c r="W35" i="33"/>
  <c r="W36" i="33"/>
  <c r="W41" i="33"/>
  <c r="W42" i="33"/>
  <c r="W43" i="33"/>
  <c r="W44" i="33"/>
  <c r="W45" i="33"/>
  <c r="W48" i="33"/>
  <c r="W49" i="33"/>
  <c r="H62" i="33"/>
  <c r="I62" i="33"/>
  <c r="I64" i="33" s="1"/>
  <c r="J62" i="33"/>
  <c r="K62" i="33"/>
  <c r="M62" i="33"/>
  <c r="M64" i="33" s="1"/>
  <c r="O62" i="33"/>
  <c r="O64" i="33" s="1"/>
  <c r="Q62" i="33"/>
  <c r="S62" i="33"/>
  <c r="S64" i="33" s="1"/>
  <c r="U62" i="33"/>
  <c r="Y62" i="33"/>
  <c r="Y64" i="33" s="1"/>
  <c r="W65" i="33"/>
  <c r="Y65" i="33"/>
  <c r="W68" i="33"/>
  <c r="W69" i="33"/>
  <c r="Y69" i="33"/>
  <c r="AA69" i="33"/>
  <c r="K70" i="33"/>
  <c r="W70" i="33" s="1"/>
  <c r="O70" i="33"/>
  <c r="S70" i="33"/>
  <c r="W53" i="35" l="1"/>
  <c r="W55" i="35"/>
  <c r="AA57" i="35" s="1"/>
  <c r="W32" i="33"/>
  <c r="AA32" i="33" s="1"/>
  <c r="AA71" i="33"/>
  <c r="H64" i="33"/>
  <c r="X15" i="33"/>
  <c r="J32" i="33"/>
  <c r="J64" i="33" s="1"/>
  <c r="X12" i="33"/>
  <c r="U64" i="33"/>
  <c r="Q64" i="33"/>
  <c r="W62" i="33"/>
  <c r="K64" i="33"/>
  <c r="W64" i="33" l="1"/>
  <c r="AA66" i="33" s="1"/>
  <c r="W9" i="29" l="1"/>
  <c r="W10" i="29"/>
  <c r="W11" i="29"/>
  <c r="W12" i="29"/>
  <c r="W13" i="29"/>
  <c r="W14" i="29"/>
  <c r="W15" i="29"/>
  <c r="W16" i="29"/>
  <c r="W17" i="29"/>
  <c r="W18" i="29"/>
  <c r="X18" i="29" s="1"/>
  <c r="W19" i="29"/>
  <c r="W20" i="29"/>
  <c r="W21" i="29"/>
  <c r="X20" i="29" s="1"/>
  <c r="W22" i="29"/>
  <c r="W23" i="29"/>
  <c r="J24" i="29"/>
  <c r="W24" i="29"/>
  <c r="J25" i="29"/>
  <c r="W25" i="29"/>
  <c r="W26" i="29"/>
  <c r="W27" i="29"/>
  <c r="W28" i="29"/>
  <c r="W30" i="29"/>
  <c r="H32" i="29"/>
  <c r="K32" i="29"/>
  <c r="M32" i="29"/>
  <c r="O32" i="29"/>
  <c r="Q32" i="29"/>
  <c r="S32" i="29"/>
  <c r="U32" i="29"/>
  <c r="W33" i="29"/>
  <c r="W34" i="29"/>
  <c r="W35" i="29"/>
  <c r="W36" i="29"/>
  <c r="W37" i="29"/>
  <c r="W38" i="29"/>
  <c r="W39" i="29"/>
  <c r="W40" i="29"/>
  <c r="W41" i="29"/>
  <c r="W42" i="29"/>
  <c r="W43" i="29"/>
  <c r="W44" i="29"/>
  <c r="W45" i="29"/>
  <c r="W46" i="29"/>
  <c r="W50" i="29"/>
  <c r="W53" i="29"/>
  <c r="H65" i="29"/>
  <c r="I65" i="29"/>
  <c r="I67" i="29" s="1"/>
  <c r="J65" i="29"/>
  <c r="K65" i="29"/>
  <c r="M65" i="29"/>
  <c r="O65" i="29"/>
  <c r="Q65" i="29"/>
  <c r="S65" i="29"/>
  <c r="U65" i="29"/>
  <c r="Y65" i="29"/>
  <c r="W68" i="29"/>
  <c r="Y68" i="29"/>
  <c r="W71" i="29"/>
  <c r="AA72" i="29" s="1"/>
  <c r="W72" i="29"/>
  <c r="Y72" i="29" s="1"/>
  <c r="K73" i="29"/>
  <c r="O73" i="29"/>
  <c r="S73" i="29"/>
  <c r="X22" i="29" l="1"/>
  <c r="X9" i="29"/>
  <c r="U67" i="29"/>
  <c r="X15" i="29"/>
  <c r="Q67" i="29"/>
  <c r="X12" i="29"/>
  <c r="W73" i="29"/>
  <c r="O67" i="29"/>
  <c r="X24" i="29"/>
  <c r="J32" i="29"/>
  <c r="J67" i="29" s="1"/>
  <c r="S67" i="29"/>
  <c r="H67" i="29"/>
  <c r="Y67" i="29"/>
  <c r="AA32" i="29"/>
  <c r="W65" i="29"/>
  <c r="M67" i="29"/>
  <c r="K67" i="29"/>
  <c r="AA74" i="29"/>
  <c r="W67" i="29" l="1"/>
  <c r="AA69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3" authorId="0" shapeId="0" xr:uid="{FDEA35BE-C20D-4C4E-AFE7-689DCBC02110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9F99453A-CDE7-4BF3-A2D2-ADC8AEDCBA4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3" authorId="0" shapeId="0" xr:uid="{503A50E8-9E23-4B3F-9B9C-EA72EFBA6E7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3" authorId="0" shapeId="0" xr:uid="{AC182F72-AB49-4BA2-BC26-68D59580CBCD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362A8A87-8FC3-49A2-8E89-CA52552F2A3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5" authorId="0" shapeId="0" xr:uid="{C6E90ABF-79A4-46DC-A660-7A946D3F859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3" authorId="0" shapeId="0" xr:uid="{859AB84E-AB33-4E96-A34E-9764105D1B12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85B4FA55-3BA9-48E4-8867-57FD74E3FFB6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2" authorId="0" shapeId="0" xr:uid="{EC968CF3-3E7F-418E-817A-29F6B4BBC6E2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<sst xmlns="http://schemas.openxmlformats.org/spreadsheetml/2006/main" count="2342" uniqueCount="858">
  <si>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</si>
  <si>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</si>
  <si>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</si>
  <si>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</si>
  <si>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</si>
  <si>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</si>
  <si>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</si>
  <si>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</si>
  <si>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</si>
  <si>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</si>
  <si>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</si>
  <si>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</si>
  <si>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</si>
  <si>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</si>
  <si>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</si>
  <si>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</si>
  <si>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</si>
  <si>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</si>
  <si>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</si>
  <si>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</si>
  <si>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</si>
  <si>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</si>
  <si>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사회</t>
    <phoneticPr fontId="9" type="noConversion"/>
  </si>
  <si>
    <t>과학</t>
    <phoneticPr fontId="9" type="noConversion"/>
  </si>
  <si>
    <t>예술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</si>
  <si>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</si>
  <si>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</si>
  <si>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</si>
  <si>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</si>
  <si>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</si>
  <si>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</si>
  <si>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</si>
  <si>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</si>
  <si>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</si>
  <si>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</si>
  <si>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</si>
  <si>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</si>
  <si>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</si>
  <si>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</si>
  <si>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</si>
  <si>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</si>
  <si>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</si>
  <si>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</si>
  <si>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</si>
  <si>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</si>
  <si>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</si>
  <si>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</si>
  <si>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</si>
  <si>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</si>
  <si>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</si>
  <si>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</si>
  <si>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</si>
  <si>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</si>
  <si>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</si>
  <si>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</si>
  <si>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</si>
  <si>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</si>
  <si>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</si>
  <si>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</si>
  <si>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</si>
  <si>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</si>
  <si>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</si>
  <si>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</si>
  <si>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</si>
  <si>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</si>
  <si>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</si>
  <si>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</si>
  <si>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</si>
  <si>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</si>
  <si>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</si>
  <si>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</si>
  <si>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</si>
  <si>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</si>
  <si>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</si>
  <si>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</si>
  <si>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</si>
  <si>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</si>
  <si>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</si>
  <si>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</si>
  <si>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</si>
  <si>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</si>
  <si>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</si>
  <si>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</si>
  <si>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</si>
  <si>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</si>
  <si>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</si>
  <si>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</si>
  <si>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</si>
  <si>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</si>
  <si>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</si>
  <si>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</si>
  <si>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</si>
  <si>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</si>
  <si>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</si>
  <si>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</si>
  <si>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</si>
  <si>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</si>
  <si>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</si>
  <si>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</si>
  <si>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</si>
  <si>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</si>
  <si>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</si>
  <si>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</si>
  <si>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</si>
  <si>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</si>
  <si>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</si>
  <si>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</si>
  <si>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</si>
  <si>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</si>
  <si>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</si>
  <si>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</si>
  <si>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</si>
  <si>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</si>
  <si>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</si>
  <si>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</si>
  <si>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</si>
  <si>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</si>
  <si>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</si>
  <si>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</si>
  <si>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</si>
  <si>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</si>
  <si>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</si>
  <si>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</si>
  <si>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</si>
  <si>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</si>
  <si>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</si>
  <si>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</si>
  <si>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</si>
  <si>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</si>
  <si>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</si>
  <si>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</si>
  <si>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</si>
  <si>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</si>
  <si>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</si>
  <si>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</si>
  <si>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</si>
  <si>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</si>
  <si>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</si>
  <si>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</si>
  <si>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</si>
  <si>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</si>
  <si>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</si>
  <si>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</si>
  <si>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</si>
  <si>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학과
융합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</si>
  <si>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</si>
  <si>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</si>
  <si>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</si>
  <si>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</si>
  <si>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</si>
  <si>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</si>
  <si>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</si>
  <si>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</si>
  <si>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</si>
  <si>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</si>
  <si>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</si>
  <si>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</si>
  <si>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</si>
  <si>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</si>
  <si>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</si>
  <si>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</si>
  <si>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</si>
  <si>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</si>
  <si>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</si>
  <si>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</si>
  <si>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</si>
  <si>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</si>
  <si>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</si>
  <si>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</si>
  <si>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</si>
  <si>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</si>
  <si>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</si>
  <si>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</si>
  <si>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</si>
  <si>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</si>
  <si>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</si>
  <si>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</si>
  <si>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</si>
  <si>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</si>
  <si>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</si>
  <si>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</si>
  <si>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</si>
  <si>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</si>
  <si>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</si>
  <si>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</si>
  <si>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</si>
  <si>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</si>
  <si>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</si>
  <si>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</si>
  <si>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</si>
  <si>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</si>
  <si>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  <phoneticPr fontId="9" type="noConversion"/>
  </si>
  <si>
    <t>공통국어2</t>
    <phoneticPr fontId="9" type="noConversion"/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</si>
  <si>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</si>
  <si>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</si>
  <si>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</si>
  <si>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</si>
  <si>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</si>
  <si>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</si>
  <si>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</si>
  <si>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</si>
  <si>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</si>
  <si>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</si>
  <si>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</si>
  <si>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</si>
  <si>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</si>
  <si>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</si>
  <si>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</si>
  <si>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</si>
  <si>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</si>
  <si>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</si>
  <si>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</si>
  <si>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</si>
  <si>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</si>
  <si>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</si>
  <si>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</si>
  <si>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</si>
  <si>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</si>
  <si>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</si>
  <si>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</si>
  <si>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</si>
  <si>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</si>
  <si>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</si>
  <si>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</si>
  <si>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</si>
  <si>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</si>
  <si>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</si>
  <si>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</si>
  <si>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</si>
  <si>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</si>
  <si>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</si>
  <si>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</si>
  <si>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</si>
  <si>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</si>
  <si>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</si>
  <si>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</si>
  <si>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</si>
  <si>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</si>
  <si>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</si>
  <si>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</si>
  <si>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</si>
  <si>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</si>
  <si>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</si>
  <si>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</si>
  <si>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</si>
  <si>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</si>
  <si>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</si>
  <si>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</si>
  <si>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</si>
  <si>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</si>
  <si>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</si>
  <si>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</si>
  <si>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</si>
  <si>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</si>
  <si>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</si>
  <si>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</si>
  <si>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</si>
  <si>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</si>
  <si>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</si>
  <si>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</si>
  <si>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</si>
  <si>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</si>
  <si>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</si>
  <si>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</si>
  <si>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</si>
  <si>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</si>
  <si>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</si>
  <si>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</si>
  <si>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</si>
  <si>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</si>
  <si>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</si>
  <si>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</si>
  <si>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</si>
  <si>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</si>
  <si>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</si>
  <si>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</si>
  <si>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</si>
  <si>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</si>
  <si>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</si>
  <si>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</si>
  <si>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</si>
  <si>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</si>
  <si>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</si>
  <si>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</si>
  <si>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</si>
  <si>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</si>
  <si>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</si>
  <si>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</si>
  <si>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</si>
  <si>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</si>
  <si>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</si>
  <si>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</si>
  <si>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</si>
  <si>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</si>
  <si>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</si>
  <si>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</si>
  <si>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</si>
  <si>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</si>
  <si>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</si>
  <si>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</si>
  <si>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</si>
  <si>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</si>
  <si>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</si>
  <si>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</si>
  <si>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</si>
  <si>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</si>
  <si>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</si>
  <si>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</si>
  <si>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</si>
  <si>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</si>
  <si>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</si>
  <si>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</si>
  <si>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</si>
  <si>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</si>
  <si>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</si>
  <si>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</si>
  <si>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</si>
  <si>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</si>
  <si>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</si>
  <si>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</si>
  <si>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</si>
  <si>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</si>
  <si>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</si>
  <si>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</si>
  <si>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</si>
  <si>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</si>
  <si>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</si>
  <si>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</si>
  <si>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</si>
  <si>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</si>
  <si>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</si>
  <si>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</si>
  <si>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</si>
  <si>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</si>
  <si>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</si>
  <si>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</si>
  <si>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</si>
  <si>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식품·조리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</si>
  <si>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</si>
  <si>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</si>
  <si>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</si>
  <si>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</si>
  <si>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</si>
  <si>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3↑</t>
    <phoneticPr fontId="9" type="noConversion"/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</si>
  <si>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</si>
  <si>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</si>
  <si>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</si>
  <si>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</si>
  <si>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</si>
  <si>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</si>
  <si>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</si>
  <si>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</si>
  <si>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</si>
  <si>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</si>
  <si>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</si>
  <si>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학교장</t>
    <phoneticPr fontId="9" type="noConversion"/>
  </si>
  <si>
    <t>천안제일고등학교</t>
    <phoneticPr fontId="9" type="noConversion"/>
  </si>
  <si>
    <t>농림수산</t>
  </si>
  <si>
    <t>일반</t>
  </si>
  <si>
    <t>운동과 건강</t>
    <phoneticPr fontId="9" type="noConversion"/>
  </si>
  <si>
    <t>농업기초기술</t>
    <phoneticPr fontId="9" type="noConversion"/>
  </si>
  <si>
    <t>농림·축산</t>
  </si>
  <si>
    <t>농림·축산</t>
    <phoneticPr fontId="9" type="noConversion"/>
  </si>
  <si>
    <t>동물 자원</t>
    <phoneticPr fontId="9" type="noConversion"/>
  </si>
  <si>
    <t>반려동물 관리</t>
    <phoneticPr fontId="9" type="noConversion"/>
  </si>
  <si>
    <t>조경설계</t>
    <phoneticPr fontId="9" type="noConversion"/>
  </si>
  <si>
    <t>화훼 장식</t>
    <phoneticPr fontId="9" type="noConversion"/>
  </si>
  <si>
    <t>농업 기계 운전 작업</t>
    <phoneticPr fontId="9" type="noConversion"/>
  </si>
  <si>
    <t>지게차운전</t>
    <phoneticPr fontId="9" type="noConversion"/>
  </si>
  <si>
    <t>사무 행정</t>
    <phoneticPr fontId="9" type="noConversion"/>
  </si>
  <si>
    <t>남택정</t>
    <phoneticPr fontId="9" type="noConversion"/>
  </si>
  <si>
    <t>김찬희</t>
    <phoneticPr fontId="9" type="noConversion"/>
  </si>
  <si>
    <t>기가대체</t>
    <phoneticPr fontId="9" type="noConversion"/>
  </si>
  <si>
    <t>코스1</t>
    <phoneticPr fontId="9" type="noConversion"/>
  </si>
  <si>
    <t>코스2</t>
    <phoneticPr fontId="9" type="noConversion"/>
  </si>
  <si>
    <t>코스3</t>
    <phoneticPr fontId="9" type="noConversion"/>
  </si>
  <si>
    <t>화훼장식</t>
    <phoneticPr fontId="9" type="noConversion"/>
  </si>
  <si>
    <t>사무행정</t>
    <phoneticPr fontId="9" type="noConversion"/>
  </si>
  <si>
    <t>조경기초설계</t>
    <phoneticPr fontId="9" type="noConversion"/>
  </si>
  <si>
    <t>식재설계</t>
    <phoneticPr fontId="9" type="noConversion"/>
  </si>
  <si>
    <t>조경시설설계</t>
    <phoneticPr fontId="9" type="noConversion"/>
  </si>
  <si>
    <t>1405010114_23v2</t>
    <phoneticPr fontId="9" type="noConversion"/>
  </si>
  <si>
    <t>1405010107_23v4</t>
    <phoneticPr fontId="9" type="noConversion"/>
  </si>
  <si>
    <t>1405010108_23v4</t>
    <phoneticPr fontId="9" type="noConversion"/>
  </si>
  <si>
    <t>화훼장식 식물관리</t>
  </si>
  <si>
    <t>화훼장식 절화 기본상품 제작</t>
    <phoneticPr fontId="9" type="noConversion"/>
  </si>
  <si>
    <t>2401040118_19v3</t>
    <phoneticPr fontId="9" type="noConversion"/>
  </si>
  <si>
    <t>2401040114_19v3</t>
  </si>
  <si>
    <t>화물 적재 및 하역작업</t>
    <phoneticPr fontId="9" type="noConversion"/>
  </si>
  <si>
    <t>문서작성</t>
    <phoneticPr fontId="9" type="noConversion"/>
  </si>
  <si>
    <t>문서관리</t>
    <phoneticPr fontId="9" type="noConversion"/>
  </si>
  <si>
    <t>사무자동화 프로그램활용</t>
    <phoneticPr fontId="9" type="noConversion"/>
  </si>
  <si>
    <t>0202030201_22v3</t>
    <phoneticPr fontId="9" type="noConversion"/>
  </si>
  <si>
    <t>0202030202_22v3</t>
  </si>
  <si>
    <t>0202030209_22v2</t>
    <phoneticPr fontId="9" type="noConversion"/>
  </si>
  <si>
    <t>떡제조</t>
    <phoneticPr fontId="9" type="noConversion"/>
  </si>
  <si>
    <t>떡제조 위생관리</t>
    <phoneticPr fontId="9" type="noConversion"/>
  </si>
  <si>
    <t>떡 기초 제조실무</t>
    <phoneticPr fontId="9" type="noConversion"/>
  </si>
  <si>
    <t>떡제조 안전관리</t>
    <phoneticPr fontId="9" type="noConversion"/>
  </si>
  <si>
    <t>켜떡류 만들기</t>
    <phoneticPr fontId="9" type="noConversion"/>
  </si>
  <si>
    <t>2102010302_18v3</t>
    <phoneticPr fontId="9" type="noConversion"/>
  </si>
  <si>
    <t>2102010322_18v2</t>
    <phoneticPr fontId="9" type="noConversion"/>
  </si>
  <si>
    <t>2102010327_18v1</t>
    <phoneticPr fontId="9" type="noConversion"/>
  </si>
  <si>
    <t>2102010321_18v2</t>
    <phoneticPr fontId="9" type="noConversion"/>
  </si>
  <si>
    <t>1407040112_16v2</t>
    <phoneticPr fontId="9" type="noConversion"/>
  </si>
  <si>
    <t>스마트팜시설구축프로젝트</t>
    <phoneticPr fontId="9" type="noConversion"/>
  </si>
  <si>
    <t>시설원예프로젝트</t>
    <phoneticPr fontId="9" type="noConversion"/>
  </si>
  <si>
    <t>내선 공사</t>
    <phoneticPr fontId="9" type="noConversion"/>
  </si>
  <si>
    <t>유기재배</t>
    <phoneticPr fontId="9" type="noConversion"/>
  </si>
  <si>
    <t>전기 설비 운영</t>
    <phoneticPr fontId="9" type="noConversion"/>
  </si>
  <si>
    <t>전기 회로</t>
    <phoneticPr fontId="9" type="noConversion"/>
  </si>
  <si>
    <t>전공이론</t>
    <phoneticPr fontId="9" type="noConversion"/>
  </si>
  <si>
    <t>피복 아크 용접</t>
    <phoneticPr fontId="9" type="noConversion"/>
  </si>
  <si>
    <t>채소 재배</t>
    <phoneticPr fontId="9" type="noConversion"/>
  </si>
  <si>
    <t>시설원예</t>
    <phoneticPr fontId="9" type="noConversion"/>
  </si>
  <si>
    <t>자동화 설비</t>
    <phoneticPr fontId="9" type="noConversion"/>
  </si>
  <si>
    <t>산업 설비</t>
    <phoneticPr fontId="9" type="noConversion"/>
  </si>
  <si>
    <t>재배</t>
    <phoneticPr fontId="5" type="noConversion"/>
  </si>
  <si>
    <t>원예</t>
    <phoneticPr fontId="5" type="noConversion"/>
  </si>
  <si>
    <t>스마트팜작물재배관리사, 스마트팜시설구축전문가, 스마트팜설비유지기술자</t>
    <phoneticPr fontId="9" type="noConversion"/>
  </si>
  <si>
    <t>스마트팜과</t>
    <phoneticPr fontId="9" type="noConversion"/>
  </si>
  <si>
    <t>농업과</t>
  </si>
  <si>
    <t>0101010205_17v2</t>
    <phoneticPr fontId="9" type="noConversion"/>
  </si>
  <si>
    <t>프로젝트 인적자원관리</t>
    <phoneticPr fontId="9" type="noConversion"/>
  </si>
  <si>
    <t>0101010201_17v2</t>
    <phoneticPr fontId="9" type="noConversion"/>
  </si>
  <si>
    <t>프로젝트 전략기획</t>
    <phoneticPr fontId="9" type="noConversion"/>
  </si>
  <si>
    <t>1601050107_21v3</t>
    <phoneticPr fontId="9" type="noConversion"/>
  </si>
  <si>
    <t>피복아크용접부 검사</t>
    <phoneticPr fontId="9" type="noConversion"/>
  </si>
  <si>
    <t>설비제어프로젝트</t>
    <phoneticPr fontId="9" type="noConversion"/>
  </si>
  <si>
    <t>1601050111_21v3</t>
    <phoneticPr fontId="9" type="noConversion"/>
  </si>
  <si>
    <t>피복아크용접 맞대기용접</t>
    <phoneticPr fontId="9" type="noConversion"/>
  </si>
  <si>
    <t>1601050110_21v3</t>
    <phoneticPr fontId="9" type="noConversion"/>
  </si>
  <si>
    <t>피복아크용접 비드쌓기</t>
    <phoneticPr fontId="9" type="noConversion"/>
  </si>
  <si>
    <t>피복아크용접</t>
    <phoneticPr fontId="9" type="noConversion"/>
  </si>
  <si>
    <t>유기재배 농자재 제조</t>
    <phoneticPr fontId="9" type="noConversion"/>
  </si>
  <si>
    <t>2401010905_17v1</t>
    <phoneticPr fontId="9" type="noConversion"/>
  </si>
  <si>
    <t>유기재배 잡초관리</t>
    <phoneticPr fontId="9" type="noConversion"/>
  </si>
  <si>
    <t>유기재배 생육관리</t>
    <phoneticPr fontId="9" type="noConversion"/>
  </si>
  <si>
    <t>유기재배 토양관리</t>
  </si>
  <si>
    <t>1601050214_21v4</t>
    <phoneticPr fontId="9" type="noConversion"/>
  </si>
  <si>
    <t>플럭스코어드와이어 비드쌓기</t>
    <phoneticPr fontId="9" type="noConversion"/>
  </si>
  <si>
    <t>1601050211_21v4</t>
    <phoneticPr fontId="9" type="noConversion"/>
  </si>
  <si>
    <t>솔리드와이어용접 비드쌓기</t>
    <phoneticPr fontId="9" type="noConversion"/>
  </si>
  <si>
    <t>1901070121_22v4</t>
  </si>
  <si>
    <t>동력제어반공사</t>
    <phoneticPr fontId="9" type="noConversion"/>
  </si>
  <si>
    <t>1901070118_22v4</t>
    <phoneticPr fontId="9" type="noConversion"/>
  </si>
  <si>
    <t>배관배선검사</t>
    <phoneticPr fontId="9" type="noConversion"/>
  </si>
  <si>
    <t>1901070116_22v4</t>
    <phoneticPr fontId="9" type="noConversion"/>
  </si>
  <si>
    <t>배관공사</t>
    <phoneticPr fontId="9" type="noConversion"/>
  </si>
  <si>
    <t>1901070117_22v4</t>
    <phoneticPr fontId="9" type="noConversion"/>
  </si>
  <si>
    <t>배선공사</t>
    <phoneticPr fontId="9" type="noConversion"/>
  </si>
  <si>
    <t>내선공사</t>
    <phoneticPr fontId="9" type="noConversion"/>
  </si>
  <si>
    <t>1901060314_16v1</t>
    <phoneticPr fontId="9" type="noConversion"/>
  </si>
  <si>
    <t>조명·전열설비 운영</t>
    <phoneticPr fontId="9" type="noConversion"/>
  </si>
  <si>
    <t>2401010803_17v1</t>
    <phoneticPr fontId="9" type="noConversion"/>
  </si>
  <si>
    <t>시설원예 시설설치</t>
    <phoneticPr fontId="9" type="noConversion"/>
  </si>
  <si>
    <t>전기설비운영</t>
    <phoneticPr fontId="9" type="noConversion"/>
  </si>
  <si>
    <t>2401010809_17v1</t>
    <phoneticPr fontId="9" type="noConversion"/>
  </si>
  <si>
    <t>2401010808_17v1</t>
    <phoneticPr fontId="9" type="noConversion"/>
  </si>
  <si>
    <t>시설원예 생리장해관리</t>
    <phoneticPr fontId="9" type="noConversion"/>
  </si>
  <si>
    <t>1903020306_17v2</t>
    <phoneticPr fontId="9" type="noConversion"/>
  </si>
  <si>
    <t>응용소프트웨어 개발</t>
    <phoneticPr fontId="9" type="noConversion"/>
  </si>
  <si>
    <t>1903020304_17v2</t>
    <phoneticPr fontId="9" type="noConversion"/>
  </si>
  <si>
    <t>펌웨어 개발</t>
    <phoneticPr fontId="9" type="noConversion"/>
  </si>
  <si>
    <t>1903020303_17v2</t>
    <phoneticPr fontId="9" type="noConversion"/>
  </si>
  <si>
    <t>산업용 전자기기 소프트웨어 개발</t>
    <phoneticPr fontId="9" type="noConversion"/>
  </si>
  <si>
    <t>1903150102_18v1</t>
    <phoneticPr fontId="9" type="noConversion"/>
  </si>
  <si>
    <t>센싱기술개발</t>
    <phoneticPr fontId="9" type="noConversion"/>
  </si>
  <si>
    <t>1903150201_19v1</t>
    <phoneticPr fontId="9" type="noConversion"/>
  </si>
  <si>
    <t>센서·계측기기 설치운용</t>
    <phoneticPr fontId="9" type="noConversion"/>
  </si>
  <si>
    <t>1903150203_19v1</t>
    <phoneticPr fontId="9" type="noConversion"/>
  </si>
  <si>
    <t>양·수분데이터 계측</t>
    <phoneticPr fontId="9" type="noConversion"/>
  </si>
  <si>
    <t>1903150202_19v1</t>
    <phoneticPr fontId="9" type="noConversion"/>
  </si>
  <si>
    <t>지상환경데이터 계측</t>
    <phoneticPr fontId="9" type="noConversion"/>
  </si>
  <si>
    <t>스마트팜운영</t>
    <phoneticPr fontId="9" type="noConversion"/>
  </si>
  <si>
    <t>2401010802_23v2</t>
  </si>
  <si>
    <t>시설원예 시설계획수립</t>
  </si>
  <si>
    <t>2401010801_23v2</t>
  </si>
  <si>
    <t>시설원예 영농계획수립</t>
  </si>
  <si>
    <t>1601050208_21v3</t>
  </si>
  <si>
    <t>CO₂용접 용접부 검사</t>
    <phoneticPr fontId="9" type="noConversion"/>
  </si>
  <si>
    <t>1901070115_22v4</t>
    <phoneticPr fontId="9" type="noConversion"/>
  </si>
  <si>
    <t>내선공사검사</t>
    <phoneticPr fontId="9" type="noConversion"/>
  </si>
  <si>
    <t>1901070113_22v4</t>
    <phoneticPr fontId="9" type="noConversion"/>
  </si>
  <si>
    <t>내선공사계획</t>
    <phoneticPr fontId="9" type="noConversion"/>
  </si>
  <si>
    <t>2401020804_23v2</t>
  </si>
  <si>
    <t>시설원예 시설관리</t>
  </si>
  <si>
    <t>2401010807_23v2</t>
  </si>
  <si>
    <t>시설원예 병해충관리</t>
  </si>
  <si>
    <t>시설원예 공정육묘관리</t>
  </si>
  <si>
    <t>채소재배</t>
    <phoneticPr fontId="9" type="noConversion"/>
  </si>
  <si>
    <t>채소 수경재배 준비</t>
    <phoneticPr fontId="9" type="noConversion"/>
  </si>
  <si>
    <t>2401010312_16v3</t>
  </si>
  <si>
    <t>2401010314_22v4</t>
  </si>
  <si>
    <t>채소육묘</t>
    <phoneticPr fontId="9" type="noConversion"/>
  </si>
  <si>
    <t>채소재배관리</t>
    <phoneticPr fontId="9" type="noConversion"/>
  </si>
  <si>
    <t>2401010318_16v3</t>
    <phoneticPr fontId="9" type="noConversion"/>
  </si>
  <si>
    <t>041)902-6901</t>
    <phoneticPr fontId="9" type="noConversion"/>
  </si>
  <si>
    <t>041)902-6905</t>
    <phoneticPr fontId="9" type="noConversion"/>
  </si>
  <si>
    <t>성공적인 직업 생활</t>
    <phoneticPr fontId="9" type="noConversion"/>
  </si>
  <si>
    <t>디지털과 직업 생활</t>
    <phoneticPr fontId="9" type="noConversion"/>
  </si>
  <si>
    <t>조경 설계</t>
    <phoneticPr fontId="9" type="noConversion"/>
  </si>
  <si>
    <t>농업 기계</t>
    <phoneticPr fontId="9" type="noConversion"/>
  </si>
  <si>
    <t>떡 제조</t>
    <phoneticPr fontId="9" type="noConversion"/>
  </si>
  <si>
    <t>농업용 전기 · 전자</t>
    <phoneticPr fontId="9" type="noConversion"/>
  </si>
  <si>
    <t>*시설원예복합환경관리Ⅰ</t>
    <phoneticPr fontId="9" type="noConversion"/>
  </si>
  <si>
    <t>*시설원예복합환경관리Ⅱ</t>
    <phoneticPr fontId="9" type="noConversion"/>
  </si>
  <si>
    <t>스마트 팜 운영</t>
    <phoneticPr fontId="9" type="noConversion"/>
  </si>
  <si>
    <t>*지게차운전</t>
    <phoneticPr fontId="9" type="noConversion"/>
  </si>
  <si>
    <t>산업용 전자 기기 소프트웨어 개발</t>
    <phoneticPr fontId="9" type="noConversion"/>
  </si>
  <si>
    <t>*시설원예</t>
    <phoneticPr fontId="9" type="noConversion"/>
  </si>
  <si>
    <t>*유기 재배</t>
    <phoneticPr fontId="9" type="noConversion"/>
  </si>
  <si>
    <t>*시설원예프로젝트</t>
    <phoneticPr fontId="9" type="noConversion"/>
  </si>
  <si>
    <t>*스마트팜시설구축프로젝트</t>
    <phoneticPr fontId="9" type="noConversion"/>
  </si>
  <si>
    <t>*설비제어관리프로젝트</t>
    <phoneticPr fontId="9" type="noConversion"/>
  </si>
  <si>
    <t>이산화탄소·가스 메탈 아크 용접</t>
    <phoneticPr fontId="9" type="noConversion"/>
  </si>
  <si>
    <t>* 고시외 과목임</t>
    <phoneticPr fontId="9" type="noConversion"/>
  </si>
  <si>
    <t>작업장치 및 주행장치조작</t>
    <phoneticPr fontId="9" type="noConversion"/>
  </si>
  <si>
    <t>1407040113_16v2</t>
    <phoneticPr fontId="9" type="noConversion"/>
  </si>
  <si>
    <t>화훼 장식 기초</t>
    <phoneticPr fontId="9" type="noConversion"/>
  </si>
  <si>
    <t>조경기본설계</t>
    <phoneticPr fontId="9" type="noConversion"/>
  </si>
  <si>
    <t>1405010105_23v4</t>
    <phoneticPr fontId="9" type="noConversion"/>
  </si>
  <si>
    <t>2027학년도 교육과정 편제 및 학점배당표(마이스터고/특성화고)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</si>
  <si>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</si>
  <si>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</si>
  <si>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</si>
  <si>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</si>
  <si>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</si>
  <si>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</si>
  <si>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</si>
  <si>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</si>
  <si>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</si>
  <si>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</si>
  <si>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</si>
  <si>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</si>
  <si>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</si>
  <si>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</si>
  <si>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</si>
  <si>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</si>
  <si>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</si>
  <si>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</si>
  <si>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보통교과</t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</si>
  <si>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</si>
  <si>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</si>
  <si>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</si>
  <si>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</si>
  <si>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</si>
  <si>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</si>
  <si>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</si>
  <si>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</si>
  <si>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</si>
  <si>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</si>
  <si>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</si>
  <si>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</si>
  <si>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</si>
  <si>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</si>
  <si>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</si>
  <si>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</si>
  <si>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</si>
  <si>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</si>
  <si>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</si>
  <si>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</si>
  <si>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</si>
  <si>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</si>
  <si>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</si>
  <si>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</si>
  <si>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</si>
  <si>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</si>
  <si>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</si>
  <si>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</si>
  <si>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</si>
  <si>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</si>
  <si>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</si>
  <si>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</si>
  <si>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</si>
  <si>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</si>
  <si>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</si>
  <si>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</si>
  <si>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</si>
  <si>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</si>
  <si>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</si>
  <si>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</si>
  <si>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</si>
  <si>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</si>
  <si>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</si>
  <si>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</si>
  <si>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</si>
  <si>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</si>
  <si>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</si>
  <si>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</si>
  <si>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</si>
  <si>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</si>
  <si>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</si>
  <si>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</si>
  <si>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</si>
  <si>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</si>
  <si>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</si>
  <si>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</si>
  <si>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</si>
  <si>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</si>
  <si>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</si>
  <si>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</si>
  <si>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</si>
  <si>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</si>
  <si>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</si>
  <si>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</si>
  <si>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</si>
  <si>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</si>
  <si>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</si>
  <si>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</si>
  <si>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</si>
  <si>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</si>
  <si>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</si>
  <si>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</si>
  <si>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</si>
  <si>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</si>
  <si>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</si>
  <si>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</si>
  <si>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</si>
  <si>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</si>
  <si>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</si>
  <si>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</si>
  <si>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</si>
  <si>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</si>
  <si>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</si>
  <si>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3~4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</si>
  <si>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</si>
  <si>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</si>
  <si>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</si>
  <si>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</si>
  <si>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</si>
  <si>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</si>
  <si>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</si>
  <si>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</si>
  <si>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3~5</t>
  </si>
  <si>
    <t>진로선택과목</t>
  </si>
  <si>
    <t>±3</t>
  </si>
  <si>
    <t>2~8</t>
  </si>
  <si>
    <t>체육, 예술, 교양 교과(군)</t>
  </si>
  <si>
    <t>2~4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</si>
  <si>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</si>
  <si>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</si>
  <si>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</si>
  <si>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</si>
  <si>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</si>
  <si>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</si>
  <si>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</si>
  <si>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</si>
  <si>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</si>
  <si>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</si>
  <si>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공통국어1</t>
  </si>
  <si>
    <t>공통수학2</t>
  </si>
  <si>
    <t>화법과 언어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</si>
  <si>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</si>
  <si>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</si>
  <si>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</si>
  <si>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</si>
  <si>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</si>
  <si>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</si>
  <si>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</si>
  <si>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</si>
  <si>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식품 품질 관리</t>
    <phoneticPr fontId="9" type="noConversion"/>
  </si>
  <si>
    <t>바이오 의약품 제조</t>
    <phoneticPr fontId="9" type="noConversion"/>
  </si>
  <si>
    <t>화학·공업</t>
    <phoneticPr fontId="9" type="noConversion"/>
  </si>
  <si>
    <t>화학 분석</t>
    <phoneticPr fontId="9" type="noConversion"/>
  </si>
  <si>
    <t>*농산물품질관리</t>
    <phoneticPr fontId="9" type="noConversion"/>
  </si>
  <si>
    <t>공정 관리</t>
    <phoneticPr fontId="9" type="noConversion"/>
  </si>
  <si>
    <t>경영·회계·사무</t>
    <phoneticPr fontId="9" type="noConversion"/>
  </si>
  <si>
    <t>제과</t>
    <phoneticPr fontId="9" type="noConversion"/>
  </si>
  <si>
    <t>식품·조리</t>
  </si>
  <si>
    <t>건강 기능 식품 가공</t>
    <phoneticPr fontId="9" type="noConversion"/>
  </si>
  <si>
    <t>*GMP 실무 1</t>
    <phoneticPr fontId="9" type="noConversion"/>
  </si>
  <si>
    <t>*식품안전관리</t>
    <phoneticPr fontId="9" type="noConversion"/>
  </si>
  <si>
    <t>제빵</t>
    <phoneticPr fontId="9" type="noConversion"/>
  </si>
  <si>
    <t>식품 분석</t>
    <phoneticPr fontId="9" type="noConversion"/>
  </si>
  <si>
    <t>*바이오분석기술 1</t>
    <phoneticPr fontId="9" type="noConversion"/>
  </si>
  <si>
    <t>*미생물배양기술 1</t>
    <phoneticPr fontId="9" type="noConversion"/>
  </si>
  <si>
    <t>바이오 기초 화학</t>
    <phoneticPr fontId="9" type="noConversion"/>
  </si>
  <si>
    <t>식품 가공 기술</t>
    <phoneticPr fontId="9" type="noConversion"/>
  </si>
  <si>
    <t>식품 위생</t>
    <phoneticPr fontId="5" type="noConversion"/>
  </si>
  <si>
    <t>식품 과학</t>
    <phoneticPr fontId="5" type="noConversion"/>
  </si>
  <si>
    <t>바이오의약품 이화학 분석 및 품질관리원, 바이오 의약품 제조관리 및 생산 제조원, 건강기능식품 품질관리 및 생산제조원</t>
    <phoneticPr fontId="9" type="noConversion"/>
  </si>
  <si>
    <t>바이오식품과</t>
    <phoneticPr fontId="9" type="noConversion"/>
  </si>
  <si>
    <t>식품가공과</t>
  </si>
  <si>
    <t>빵류제품 생산작업준비</t>
    <phoneticPr fontId="9" type="noConversion"/>
  </si>
  <si>
    <t>2102010213_18v2</t>
    <phoneticPr fontId="9" type="noConversion"/>
  </si>
  <si>
    <t>빵류제품 반죽발효</t>
    <phoneticPr fontId="9" type="noConversion"/>
  </si>
  <si>
    <t>2102010203_18v4</t>
    <phoneticPr fontId="9" type="noConversion"/>
  </si>
  <si>
    <t>빵류제품 반죽정형</t>
    <phoneticPr fontId="9" type="noConversion"/>
  </si>
  <si>
    <t>2102010204_18v4</t>
  </si>
  <si>
    <t>빵류제품 반죽익힘</t>
    <phoneticPr fontId="9" type="noConversion"/>
  </si>
  <si>
    <t>2102010205_18v3</t>
    <phoneticPr fontId="9" type="noConversion"/>
  </si>
  <si>
    <t>과자류제품 생산작업준비</t>
    <phoneticPr fontId="9" type="noConversion"/>
  </si>
  <si>
    <t>2102010112_18v2</t>
    <phoneticPr fontId="9" type="noConversion"/>
  </si>
  <si>
    <t>과자류제품 재료혼합</t>
    <phoneticPr fontId="9" type="noConversion"/>
  </si>
  <si>
    <t>2102010102_18v4</t>
    <phoneticPr fontId="9" type="noConversion"/>
  </si>
  <si>
    <t>과자류제품 반죽정형</t>
    <phoneticPr fontId="9" type="noConversion"/>
  </si>
  <si>
    <t>2102010103_18v4</t>
  </si>
  <si>
    <t>과자류제품 반죽익힘</t>
    <phoneticPr fontId="9" type="noConversion"/>
  </si>
  <si>
    <t>2102010104_18v4</t>
    <phoneticPr fontId="9" type="noConversion"/>
  </si>
  <si>
    <t>공정품질관리</t>
    <phoneticPr fontId="9" type="noConversion"/>
  </si>
  <si>
    <t>0204010306_23v3</t>
    <phoneticPr fontId="9" type="noConversion"/>
  </si>
  <si>
    <t>설비일상관리</t>
    <phoneticPr fontId="9" type="noConversion"/>
  </si>
  <si>
    <t>0204010307_23v3</t>
    <phoneticPr fontId="9" type="noConversion"/>
  </si>
  <si>
    <t>농산물 
품질관리</t>
    <phoneticPr fontId="9" type="noConversion"/>
  </si>
  <si>
    <t>농산물 수확 후 처리</t>
    <phoneticPr fontId="9" type="noConversion"/>
  </si>
  <si>
    <t>2401030403_22v2</t>
    <phoneticPr fontId="9" type="noConversion"/>
  </si>
  <si>
    <t>농산물 저장</t>
    <phoneticPr fontId="9" type="noConversion"/>
  </si>
  <si>
    <t>2401030404_16v1</t>
    <phoneticPr fontId="9" type="noConversion"/>
  </si>
  <si>
    <t>신선편이 농산물 가공</t>
    <phoneticPr fontId="9" type="noConversion"/>
  </si>
  <si>
    <t>2401030406_16v1</t>
    <phoneticPr fontId="9" type="noConversion"/>
  </si>
  <si>
    <t>농산물 포장</t>
    <phoneticPr fontId="9" type="noConversion"/>
  </si>
  <si>
    <t>2401030407_16v1</t>
    <phoneticPr fontId="9" type="noConversion"/>
  </si>
  <si>
    <t>농산물 표시</t>
    <phoneticPr fontId="9" type="noConversion"/>
  </si>
  <si>
    <t>2401030408_22v2</t>
    <phoneticPr fontId="9" type="noConversion"/>
  </si>
  <si>
    <t>농산물 안전성 관리</t>
    <phoneticPr fontId="9" type="noConversion"/>
  </si>
  <si>
    <t>2401030409_22v2</t>
    <phoneticPr fontId="9" type="noConversion"/>
  </si>
  <si>
    <t>식품품질관리</t>
    <phoneticPr fontId="9" type="noConversion"/>
  </si>
  <si>
    <t>입고검사</t>
    <phoneticPr fontId="9" type="noConversion"/>
  </si>
  <si>
    <t>2101011101_20v3</t>
    <phoneticPr fontId="9" type="noConversion"/>
  </si>
  <si>
    <t>샘플 시험검사 준비</t>
    <phoneticPr fontId="9" type="noConversion"/>
  </si>
  <si>
    <t>2101011104_20v3</t>
  </si>
  <si>
    <t>샘플 시험검사</t>
    <phoneticPr fontId="9" type="noConversion"/>
  </si>
  <si>
    <t>2101011115_20v2</t>
    <phoneticPr fontId="9" type="noConversion"/>
  </si>
  <si>
    <t>영업장 위생관리</t>
    <phoneticPr fontId="9" type="noConversion"/>
  </si>
  <si>
    <t>2101011112_20v2</t>
  </si>
  <si>
    <t>2101011108_20v3</t>
  </si>
  <si>
    <t>공정관리</t>
    <phoneticPr fontId="9" type="noConversion"/>
  </si>
  <si>
    <t>2101011102_20v3</t>
    <phoneticPr fontId="9" type="noConversion"/>
  </si>
  <si>
    <t>식품관련 법규관리</t>
    <phoneticPr fontId="9" type="noConversion"/>
  </si>
  <si>
    <t>2101011105_20v2</t>
  </si>
  <si>
    <t>화학분석</t>
    <phoneticPr fontId="9" type="noConversion"/>
  </si>
  <si>
    <t>시료전처리</t>
    <phoneticPr fontId="9" type="noConversion"/>
  </si>
  <si>
    <t>이화학분석</t>
    <phoneticPr fontId="9" type="noConversion"/>
  </si>
  <si>
    <t>크로마토그래피분석</t>
    <phoneticPr fontId="9" type="noConversion"/>
  </si>
  <si>
    <t>바이오의약품제조</t>
    <phoneticPr fontId="9" type="noConversion"/>
  </si>
  <si>
    <t>균주·세포주 관리</t>
    <phoneticPr fontId="9" type="noConversion"/>
  </si>
  <si>
    <t>세척·멸균</t>
    <phoneticPr fontId="9" type="noConversion"/>
  </si>
  <si>
    <t>배양</t>
    <phoneticPr fontId="9" type="noConversion"/>
  </si>
  <si>
    <t>1705010113_16v2</t>
    <phoneticPr fontId="9" type="noConversion"/>
  </si>
  <si>
    <t>분리·정제</t>
    <phoneticPr fontId="9" type="noConversion"/>
  </si>
  <si>
    <t>최종원액 제조</t>
    <phoneticPr fontId="9" type="noConversion"/>
  </si>
  <si>
    <t>1705020115_16v2</t>
    <phoneticPr fontId="9" type="noConversion"/>
  </si>
  <si>
    <t>제형화</t>
    <phoneticPr fontId="9" type="noConversion"/>
  </si>
  <si>
    <t>1705020116_16v2</t>
    <phoneticPr fontId="9" type="noConversion"/>
  </si>
  <si>
    <t>건강기능식품가공</t>
    <phoneticPr fontId="9" type="noConversion"/>
  </si>
  <si>
    <t>수용성추출 농축액 제조</t>
    <phoneticPr fontId="9" type="noConversion"/>
  </si>
  <si>
    <t>2101010509_17v2</t>
    <phoneticPr fontId="9" type="noConversion"/>
  </si>
  <si>
    <t>바 제조</t>
    <phoneticPr fontId="9" type="noConversion"/>
  </si>
  <si>
    <t>2101010522_17v2</t>
    <phoneticPr fontId="9" type="noConversion"/>
  </si>
  <si>
    <t>겔·젤리 제조</t>
    <phoneticPr fontId="9" type="noConversion"/>
  </si>
  <si>
    <t>2101010517_17v2</t>
    <phoneticPr fontId="9" type="noConversion"/>
  </si>
  <si>
    <t>2101010518_17v2</t>
    <phoneticPr fontId="9" type="noConversion"/>
  </si>
  <si>
    <t>정제 제조</t>
    <phoneticPr fontId="9" type="noConversion"/>
  </si>
  <si>
    <t>2101010519_17v2</t>
    <phoneticPr fontId="9" type="noConversion"/>
  </si>
  <si>
    <t>환 제조</t>
    <phoneticPr fontId="9" type="noConversion"/>
  </si>
  <si>
    <t>2101010520_17v2</t>
    <phoneticPr fontId="9" type="noConversion"/>
  </si>
  <si>
    <t>장비구조</t>
    <phoneticPr fontId="9" type="noConversion"/>
  </si>
  <si>
    <t>1407040101_16v2</t>
    <phoneticPr fontId="9" type="noConversion"/>
  </si>
  <si>
    <t>1407040113_16v2</t>
  </si>
  <si>
    <t>동물자원과</t>
  </si>
  <si>
    <t>반려동물과</t>
    <phoneticPr fontId="9" type="noConversion"/>
  </si>
  <si>
    <t>반려동물 관리전문가, 반려동물 돌봄전문가</t>
    <phoneticPr fontId="9" type="noConversion"/>
  </si>
  <si>
    <t>동물 자원</t>
    <phoneticPr fontId="5" type="noConversion"/>
  </si>
  <si>
    <t>반려동물 관리</t>
    <phoneticPr fontId="5" type="noConversion"/>
  </si>
  <si>
    <t>공정 관리</t>
    <phoneticPr fontId="5" type="noConversion"/>
  </si>
  <si>
    <t>한우 사육</t>
    <phoneticPr fontId="9" type="noConversion"/>
  </si>
  <si>
    <t>가금 사육</t>
    <phoneticPr fontId="9" type="noConversion"/>
  </si>
  <si>
    <t>애완동물 미용</t>
    <phoneticPr fontId="9" type="noConversion"/>
  </si>
  <si>
    <t>축산 식품 가공</t>
    <phoneticPr fontId="9" type="noConversion"/>
  </si>
  <si>
    <t>심화코스1</t>
    <phoneticPr fontId="9" type="noConversion"/>
  </si>
  <si>
    <t>수의 보조</t>
    <phoneticPr fontId="9" type="noConversion"/>
  </si>
  <si>
    <t>심화코스2</t>
    <phoneticPr fontId="9" type="noConversion"/>
  </si>
  <si>
    <t>*수의 서비스</t>
    <phoneticPr fontId="9" type="noConversion"/>
  </si>
  <si>
    <t>2402020412_17v2</t>
    <phoneticPr fontId="9" type="noConversion"/>
  </si>
  <si>
    <t>한우 육성관리</t>
    <phoneticPr fontId="9" type="noConversion"/>
  </si>
  <si>
    <t>2402020404_20v3</t>
    <phoneticPr fontId="9" type="noConversion"/>
  </si>
  <si>
    <t>한우 사료관리</t>
    <phoneticPr fontId="9" type="noConversion"/>
  </si>
  <si>
    <t>한우사육</t>
    <phoneticPr fontId="9" type="noConversion"/>
  </si>
  <si>
    <t>2402020317_20v3</t>
    <phoneticPr fontId="9" type="noConversion"/>
  </si>
  <si>
    <t>가금사육 생산관리</t>
    <phoneticPr fontId="9" type="noConversion"/>
  </si>
  <si>
    <t>2402020315_20v3</t>
    <phoneticPr fontId="9" type="noConversion"/>
  </si>
  <si>
    <t>가금 방역관리</t>
    <phoneticPr fontId="9" type="noConversion"/>
  </si>
  <si>
    <t>2402020312_16v2</t>
    <phoneticPr fontId="9" type="noConversion"/>
  </si>
  <si>
    <t>산란가금 사양관리</t>
    <phoneticPr fontId="9" type="noConversion"/>
  </si>
  <si>
    <t>2402020304_20v3</t>
    <phoneticPr fontId="9" type="noConversion"/>
  </si>
  <si>
    <t>가금 축사내부 환경관리</t>
    <phoneticPr fontId="9" type="noConversion"/>
  </si>
  <si>
    <t>가금사육</t>
    <phoneticPr fontId="9" type="noConversion"/>
  </si>
  <si>
    <t>2402010809_18v1</t>
    <phoneticPr fontId="9" type="noConversion"/>
  </si>
  <si>
    <t xml:space="preserve">반려견 생활관리 </t>
    <phoneticPr fontId="9" type="noConversion"/>
  </si>
  <si>
    <t>2402010806_18v1</t>
    <phoneticPr fontId="9" type="noConversion"/>
  </si>
  <si>
    <t>반려견 예절교육</t>
    <phoneticPr fontId="9" type="noConversion"/>
  </si>
  <si>
    <t>2402010808_18v1</t>
    <phoneticPr fontId="9" type="noConversion"/>
  </si>
  <si>
    <t>반려견 스포츠</t>
    <phoneticPr fontId="9" type="noConversion"/>
  </si>
  <si>
    <t>2402010804_18v1</t>
    <phoneticPr fontId="9" type="noConversion"/>
  </si>
  <si>
    <t>문제행동교정</t>
    <phoneticPr fontId="9" type="noConversion"/>
  </si>
  <si>
    <t>2101010308_17v2</t>
    <phoneticPr fontId="9" type="noConversion"/>
  </si>
  <si>
    <t>분쇄 성형육 제조</t>
    <phoneticPr fontId="9" type="noConversion"/>
  </si>
  <si>
    <t>2101010307_17v2</t>
    <phoneticPr fontId="9" type="noConversion"/>
  </si>
  <si>
    <t>양념 육류 제조</t>
    <phoneticPr fontId="9" type="noConversion"/>
  </si>
  <si>
    <t>2101010302_17v2</t>
    <phoneticPr fontId="9" type="noConversion"/>
  </si>
  <si>
    <t>소시지류 제조</t>
    <phoneticPr fontId="9" type="noConversion"/>
  </si>
  <si>
    <t>2101010301_17v2</t>
    <phoneticPr fontId="9" type="noConversion"/>
  </si>
  <si>
    <t>햄류 제조</t>
    <phoneticPr fontId="9" type="noConversion"/>
  </si>
  <si>
    <t>축산식품가공</t>
    <phoneticPr fontId="9" type="noConversion"/>
  </si>
  <si>
    <t>2402010410_19v2</t>
    <phoneticPr fontId="9" type="noConversion"/>
  </si>
  <si>
    <t>야생동물관리</t>
    <phoneticPr fontId="9" type="noConversion"/>
  </si>
  <si>
    <t>2402010409_19v2</t>
    <phoneticPr fontId="9" type="noConversion"/>
  </si>
  <si>
    <t>수의연구</t>
    <phoneticPr fontId="9" type="noConversion"/>
  </si>
  <si>
    <t>2402010408_19v2</t>
    <phoneticPr fontId="9" type="noConversion"/>
  </si>
  <si>
    <t>축산식품안전관리</t>
    <phoneticPr fontId="9" type="noConversion"/>
  </si>
  <si>
    <t>2402010407_19v2</t>
    <phoneticPr fontId="9" type="noConversion"/>
  </si>
  <si>
    <t>검역검사</t>
    <phoneticPr fontId="9" type="noConversion"/>
  </si>
  <si>
    <t>2402010609_15v1</t>
    <phoneticPr fontId="9" type="noConversion"/>
  </si>
  <si>
    <t>애완동물 장모관리</t>
    <phoneticPr fontId="9" type="noConversion"/>
  </si>
  <si>
    <t>2402010607_15v1</t>
    <phoneticPr fontId="9" type="noConversion"/>
  </si>
  <si>
    <t>애완동물 응용미용</t>
    <phoneticPr fontId="9" type="noConversion"/>
  </si>
  <si>
    <t xml:space="preserve">2402010606_15v1	</t>
    <phoneticPr fontId="9" type="noConversion"/>
  </si>
  <si>
    <t>애완동물 일반미용</t>
    <phoneticPr fontId="9" type="noConversion"/>
  </si>
  <si>
    <t>2402010605_15v1</t>
    <phoneticPr fontId="9" type="noConversion"/>
  </si>
  <si>
    <t>애완동물 기본미용</t>
    <phoneticPr fontId="9" type="noConversion"/>
  </si>
  <si>
    <t>2402010603_15v1</t>
    <phoneticPr fontId="9" type="noConversion"/>
  </si>
  <si>
    <t>애완동물미용 고객상담</t>
  </si>
  <si>
    <t>애완동물미용</t>
    <phoneticPr fontId="9" type="noConversion"/>
  </si>
  <si>
    <t>2402010508_15v1</t>
    <phoneticPr fontId="9" type="noConversion"/>
  </si>
  <si>
    <t>동물병원 보호자 교육</t>
    <phoneticPr fontId="9" type="noConversion"/>
  </si>
  <si>
    <t>2402010506_23v2</t>
    <phoneticPr fontId="9" type="noConversion"/>
  </si>
  <si>
    <t>동물영상검사 지원</t>
    <phoneticPr fontId="9" type="noConversion"/>
  </si>
  <si>
    <t>2402010505_15v1</t>
  </si>
  <si>
    <t>수술동물 수의간호</t>
  </si>
  <si>
    <t>2402010504_15v1</t>
    <phoneticPr fontId="9" type="noConversion"/>
  </si>
  <si>
    <t>입원동물 수의간호</t>
    <phoneticPr fontId="9" type="noConversion"/>
  </si>
  <si>
    <t>수의보조</t>
    <phoneticPr fontId="9" type="noConversion"/>
  </si>
  <si>
    <t>*반려동물 행동교정</t>
    <phoneticPr fontId="9" type="noConversion"/>
  </si>
  <si>
    <t>1701010114_16v2</t>
    <phoneticPr fontId="9" type="noConversion"/>
  </si>
  <si>
    <t>화훼장식 분화상품 제작</t>
    <phoneticPr fontId="9" type="noConversion"/>
  </si>
  <si>
    <t>2401040119_19v3</t>
    <phoneticPr fontId="9" type="noConversion"/>
  </si>
  <si>
    <t>화훼장식 서양형 디자인</t>
    <phoneticPr fontId="9" type="noConversion"/>
  </si>
  <si>
    <t>2401040132_19v3</t>
    <phoneticPr fontId="9" type="noConversion"/>
  </si>
  <si>
    <t>*수의서비스</t>
    <phoneticPr fontId="9" type="noConversion"/>
  </si>
  <si>
    <t>화훼장식 식물 관리</t>
    <phoneticPr fontId="9" type="noConversion"/>
  </si>
  <si>
    <t>시스템소프트웨어 설계</t>
    <phoneticPr fontId="9" type="noConversion"/>
  </si>
  <si>
    <t>소프트웨어 사후관리</t>
    <phoneticPr fontId="9" type="noConversion"/>
  </si>
  <si>
    <t>2401010302_22v4</t>
    <phoneticPr fontId="9" type="noConversion"/>
  </si>
  <si>
    <t>채소 재배포장 준비</t>
    <phoneticPr fontId="9" type="noConversion"/>
  </si>
  <si>
    <t>2401010902_22v2</t>
    <phoneticPr fontId="9" type="noConversion"/>
  </si>
  <si>
    <t>2401010904_22v2</t>
    <phoneticPr fontId="9" type="noConversion"/>
  </si>
  <si>
    <t>2401010909_22v2</t>
    <phoneticPr fontId="9" type="noConversion"/>
  </si>
  <si>
    <t>제품검사관리</t>
    <phoneticPr fontId="9" type="noConversion"/>
  </si>
  <si>
    <t>1701010103_23v4</t>
    <phoneticPr fontId="9" type="noConversion"/>
  </si>
  <si>
    <t>분광 분석</t>
    <phoneticPr fontId="9" type="noConversion"/>
  </si>
  <si>
    <t>1701010113_23v3</t>
    <phoneticPr fontId="9" type="noConversion"/>
  </si>
  <si>
    <t>1701010115_23v3</t>
    <phoneticPr fontId="9" type="noConversion"/>
  </si>
  <si>
    <t>1705010111_21v3</t>
    <phoneticPr fontId="9" type="noConversion"/>
  </si>
  <si>
    <t>1705010112_23v3</t>
    <phoneticPr fontId="9" type="noConversion"/>
  </si>
  <si>
    <t>1705010114_23v3</t>
    <phoneticPr fontId="9" type="noConversion"/>
  </si>
  <si>
    <t>경질 캡슐 제조</t>
    <phoneticPr fontId="9" type="noConversion"/>
  </si>
  <si>
    <t>1903020310_23v2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</si>
</sst>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i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theme="1"/>
      <name val="&quot;맑은 고딕&quot;"/>
      <family val="3"/>
      <charset val="129"/>
    </font>
    <font>
      <b/>
      <i/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i/>
      <sz val="11"/>
      <name val="맑은 고딕"/>
      <family val="3"/>
      <charset val="129"/>
    </font>
    <font>
      <sz val="8"/>
      <color rgb="FF333333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3" fillId="0" borderId="0"/>
    <xf numFmtId="0" fontId="20" fillId="0" borderId="0">
      <alignment vertical="center"/>
    </xf>
  </cellStyleXfs>
  <cellXfs count="7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13" fillId="10" borderId="94" xfId="6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2" fillId="12" borderId="96" xfId="0" applyFont="1" applyFill="1" applyBorder="1" applyAlignment="1" applyProtection="1">
      <alignment horizontal="center" vertical="center"/>
      <protection locked="0"/>
    </xf>
    <xf numFmtId="0" fontId="24" fillId="3" borderId="54" xfId="3" applyFont="1" applyBorder="1" applyAlignment="1" applyProtection="1">
      <alignment horizontal="center" vertical="center"/>
      <protection locked="0"/>
    </xf>
    <xf numFmtId="176" fontId="7" fillId="0" borderId="10" xfId="0" applyNumberFormat="1" applyFont="1" applyBorder="1" applyAlignment="1">
      <alignment horizontal="right" vertical="center"/>
    </xf>
    <xf numFmtId="176" fontId="7" fillId="0" borderId="14" xfId="0" applyNumberFormat="1" applyFont="1" applyBorder="1" applyAlignment="1">
      <alignment horizontal="right" vertical="center"/>
    </xf>
    <xf numFmtId="176" fontId="7" fillId="0" borderId="105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176" fontId="7" fillId="0" borderId="95" xfId="0" applyNumberFormat="1" applyFont="1" applyBorder="1" applyAlignment="1">
      <alignment horizontal="right" vertical="center"/>
    </xf>
    <xf numFmtId="0" fontId="12" fillId="12" borderId="110" xfId="0" applyFont="1" applyFill="1" applyBorder="1" applyAlignment="1" applyProtection="1">
      <alignment horizontal="center" vertical="center"/>
      <protection locked="0"/>
    </xf>
    <xf numFmtId="0" fontId="28" fillId="15" borderId="39" xfId="4" applyFont="1" applyFill="1" applyBorder="1" applyAlignment="1" applyProtection="1">
      <alignment horizontal="center" vertical="center" wrapText="1"/>
    </xf>
    <xf numFmtId="0" fontId="28" fillId="0" borderId="100" xfId="4" applyFont="1" applyFill="1" applyBorder="1" applyAlignment="1" applyProtection="1">
      <alignment horizontal="center" vertical="center" wrapText="1"/>
    </xf>
    <xf numFmtId="0" fontId="28" fillId="15" borderId="67" xfId="4" applyFont="1" applyFill="1" applyBorder="1" applyAlignment="1" applyProtection="1">
      <alignment horizontal="center" vertical="center" wrapText="1"/>
    </xf>
    <xf numFmtId="0" fontId="28" fillId="15" borderId="44" xfId="4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0" fontId="12" fillId="0" borderId="107" xfId="0" applyFont="1" applyBorder="1" applyAlignment="1" applyProtection="1">
      <alignment horizontal="center" vertical="center" shrinkToFit="1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3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1" xfId="4" applyFont="1" applyFill="1" applyBorder="1" applyAlignment="1" applyProtection="1">
      <alignment horizontal="center" vertical="center" wrapText="1"/>
    </xf>
    <xf numFmtId="0" fontId="21" fillId="0" borderId="120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28" fillId="0" borderId="40" xfId="4" applyFont="1" applyFill="1" applyBorder="1" applyAlignment="1" applyProtection="1">
      <alignment horizontal="center" vertical="center" wrapText="1"/>
    </xf>
    <xf numFmtId="0" fontId="28" fillId="0" borderId="32" xfId="4" applyFont="1" applyFill="1" applyBorder="1" applyAlignment="1" applyProtection="1">
      <alignment horizontal="center" vertical="center" wrapText="1"/>
    </xf>
    <xf numFmtId="0" fontId="28" fillId="0" borderId="45" xfId="4" applyFont="1" applyFill="1" applyBorder="1" applyAlignment="1" applyProtection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0" fillId="18" borderId="0" xfId="0" applyFill="1" applyProtection="1">
      <alignment vertical="center"/>
      <protection locked="0"/>
    </xf>
    <xf numFmtId="0" fontId="21" fillId="15" borderId="101" xfId="4" applyFont="1" applyFill="1" applyBorder="1" applyAlignment="1" applyProtection="1">
      <alignment horizontal="center" vertical="center" wrapText="1"/>
    </xf>
    <xf numFmtId="0" fontId="28" fillId="15" borderId="49" xfId="4" applyFont="1" applyFill="1" applyBorder="1" applyAlignment="1" applyProtection="1">
      <alignment horizontal="center" vertical="center" wrapText="1"/>
    </xf>
    <xf numFmtId="0" fontId="28" fillId="15" borderId="34" xfId="4" applyFont="1" applyFill="1" applyBorder="1" applyAlignment="1" applyProtection="1">
      <alignment horizontal="center" vertical="center" wrapText="1"/>
    </xf>
    <xf numFmtId="0" fontId="28" fillId="15" borderId="50" xfId="4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36" fillId="9" borderId="95" xfId="7" applyFont="1" applyFill="1" applyBorder="1" applyAlignment="1">
      <alignment horizontal="center" vertical="center" shrinkToFit="1"/>
    </xf>
    <xf numFmtId="0" fontId="36" fillId="9" borderId="11" xfId="7" applyFont="1" applyFill="1" applyBorder="1" applyAlignment="1">
      <alignment horizontal="center" vertical="center" shrinkToFit="1"/>
    </xf>
    <xf numFmtId="0" fontId="36" fillId="9" borderId="14" xfId="7" applyFont="1" applyFill="1" applyBorder="1" applyAlignment="1">
      <alignment horizontal="center" vertical="center" shrinkToFit="1"/>
    </xf>
    <xf numFmtId="176" fontId="36" fillId="9" borderId="95" xfId="7" applyNumberFormat="1" applyFont="1" applyFill="1" applyBorder="1" applyAlignment="1">
      <alignment horizontal="center" vertical="center" shrinkToFit="1"/>
    </xf>
    <xf numFmtId="176" fontId="36" fillId="9" borderId="11" xfId="7" applyNumberFormat="1" applyFont="1" applyFill="1" applyBorder="1" applyAlignment="1">
      <alignment horizontal="center" vertical="center" shrinkToFit="1"/>
    </xf>
    <xf numFmtId="176" fontId="36" fillId="9" borderId="14" xfId="7" applyNumberFormat="1" applyFont="1" applyFill="1" applyBorder="1" applyAlignment="1">
      <alignment horizontal="center" vertical="center" shrinkToFit="1"/>
    </xf>
    <xf numFmtId="0" fontId="13" fillId="10" borderId="63" xfId="6" applyFont="1" applyFill="1" applyBorder="1" applyAlignment="1" applyProtection="1">
      <alignment horizontal="center" vertical="center" wrapText="1"/>
    </xf>
    <xf numFmtId="0" fontId="0" fillId="0" borderId="30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176" fontId="0" fillId="0" borderId="95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105" xfId="0" applyNumberFormat="1" applyBorder="1">
      <alignment vertical="center"/>
    </xf>
    <xf numFmtId="176" fontId="35" fillId="16" borderId="96" xfId="7" applyNumberFormat="1" applyFont="1" applyFill="1" applyBorder="1" applyAlignment="1">
      <alignment horizontal="center" vertical="center" shrinkToFit="1"/>
    </xf>
    <xf numFmtId="176" fontId="38" fillId="9" borderId="95" xfId="7" applyNumberFormat="1" applyFont="1" applyFill="1" applyBorder="1" applyAlignment="1">
      <alignment horizontal="center" vertical="center" shrinkToFit="1"/>
    </xf>
    <xf numFmtId="176" fontId="38" fillId="9" borderId="11" xfId="7" applyNumberFormat="1" applyFont="1" applyFill="1" applyBorder="1" applyAlignment="1">
      <alignment horizontal="center" vertical="center" shrinkToFit="1"/>
    </xf>
    <xf numFmtId="0" fontId="37" fillId="16" borderId="96" xfId="7" applyFont="1" applyFill="1" applyBorder="1" applyAlignment="1">
      <alignment horizontal="center" vertical="center" shrinkToFit="1"/>
    </xf>
    <xf numFmtId="176" fontId="37" fillId="16" borderId="96" xfId="7" applyNumberFormat="1" applyFont="1" applyFill="1" applyBorder="1" applyAlignment="1">
      <alignment horizontal="center" vertical="center" shrinkToFit="1"/>
    </xf>
    <xf numFmtId="0" fontId="19" fillId="9" borderId="108" xfId="7" applyFont="1" applyFill="1" applyBorder="1" applyAlignment="1">
      <alignment horizontal="center" vertical="center" shrinkToFit="1"/>
    </xf>
    <xf numFmtId="0" fontId="19" fillId="9" borderId="14" xfId="7" applyFont="1" applyFill="1" applyBorder="1" applyAlignment="1">
      <alignment horizontal="center" vertical="center" shrinkToFit="1"/>
    </xf>
    <xf numFmtId="0" fontId="28" fillId="15" borderId="42" xfId="4" applyFont="1" applyFill="1" applyBorder="1" applyAlignment="1" applyProtection="1">
      <alignment horizontal="center" vertical="center" wrapText="1"/>
    </xf>
    <xf numFmtId="0" fontId="13" fillId="15" borderId="103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176" fontId="0" fillId="0" borderId="10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19" fillId="9" borderId="0" xfId="7" applyFont="1" applyFill="1" applyAlignment="1">
      <alignment horizontal="center" vertical="center" shrinkToFit="1"/>
    </xf>
    <xf numFmtId="0" fontId="31" fillId="0" borderId="0" xfId="0" applyFont="1">
      <alignment vertical="center"/>
    </xf>
    <xf numFmtId="0" fontId="31" fillId="0" borderId="20" xfId="0" applyFont="1" applyBorder="1">
      <alignment vertical="center"/>
    </xf>
    <xf numFmtId="0" fontId="31" fillId="0" borderId="6" xfId="0" applyFont="1" applyBorder="1">
      <alignment vertical="center"/>
    </xf>
    <xf numFmtId="0" fontId="31" fillId="0" borderId="0" xfId="0" applyFont="1" applyAlignment="1">
      <alignment horizontal="left" vertical="center"/>
    </xf>
    <xf numFmtId="0" fontId="27" fillId="11" borderId="96" xfId="7" applyFont="1" applyFill="1" applyBorder="1" applyAlignment="1">
      <alignment horizontal="center" vertical="center" wrapText="1"/>
    </xf>
    <xf numFmtId="176" fontId="44" fillId="9" borderId="95" xfId="7" applyNumberFormat="1" applyFont="1" applyFill="1" applyBorder="1" applyAlignment="1">
      <alignment horizontal="center" vertical="center" shrinkToFit="1"/>
    </xf>
    <xf numFmtId="176" fontId="7" fillId="0" borderId="95" xfId="0" applyNumberFormat="1" applyFont="1" applyBorder="1">
      <alignment vertical="center"/>
    </xf>
    <xf numFmtId="176" fontId="7" fillId="0" borderId="29" xfId="0" applyNumberFormat="1" applyFont="1" applyBorder="1">
      <alignment vertical="center"/>
    </xf>
    <xf numFmtId="176" fontId="44" fillId="9" borderId="11" xfId="7" applyNumberFormat="1" applyFont="1" applyFill="1" applyBorder="1" applyAlignment="1">
      <alignment horizontal="center" vertical="center" shrinkToFit="1"/>
    </xf>
    <xf numFmtId="176" fontId="7" fillId="0" borderId="11" xfId="0" applyNumberFormat="1" applyFont="1" applyBorder="1">
      <alignment vertical="center"/>
    </xf>
    <xf numFmtId="176" fontId="7" fillId="0" borderId="105" xfId="0" applyNumberFormat="1" applyFont="1" applyBorder="1">
      <alignment vertical="center"/>
    </xf>
    <xf numFmtId="176" fontId="7" fillId="0" borderId="14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0" fontId="47" fillId="16" borderId="96" xfId="7" applyFont="1" applyFill="1" applyBorder="1" applyAlignment="1">
      <alignment horizontal="center" vertical="center" shrinkToFit="1"/>
    </xf>
    <xf numFmtId="176" fontId="47" fillId="16" borderId="96" xfId="7" applyNumberFormat="1" applyFont="1" applyFill="1" applyBorder="1" applyAlignment="1">
      <alignment horizontal="center" vertical="center" shrinkToFit="1"/>
    </xf>
    <xf numFmtId="176" fontId="19" fillId="9" borderId="14" xfId="7" applyNumberFormat="1" applyFont="1" applyFill="1" applyBorder="1" applyAlignment="1">
      <alignment horizontal="center" vertical="center" shrinkToFit="1"/>
    </xf>
    <xf numFmtId="176" fontId="19" fillId="9" borderId="108" xfId="7" applyNumberFormat="1" applyFont="1" applyFill="1" applyBorder="1" applyAlignment="1">
      <alignment horizontal="center" vertical="center" shrinkToFit="1"/>
    </xf>
    <xf numFmtId="0" fontId="36" fillId="9" borderId="108" xfId="7" applyFont="1" applyFill="1" applyBorder="1" applyAlignment="1">
      <alignment horizontal="center" vertical="center" shrinkToFit="1"/>
    </xf>
    <xf numFmtId="176" fontId="35" fillId="16" borderId="30" xfId="7" applyNumberFormat="1" applyFont="1" applyFill="1" applyBorder="1" applyAlignment="1">
      <alignment horizontal="center" vertical="center" shrinkToFit="1"/>
    </xf>
    <xf numFmtId="0" fontId="48" fillId="16" borderId="96" xfId="7" applyFont="1" applyFill="1" applyBorder="1" applyAlignment="1">
      <alignment horizontal="center" vertical="center" shrinkToFit="1"/>
    </xf>
    <xf numFmtId="0" fontId="0" fillId="0" borderId="0" xfId="0" applyFont="1" applyProtection="1">
      <alignment vertical="center"/>
      <protection locked="0"/>
    </xf>
    <xf numFmtId="176" fontId="19" fillId="9" borderId="108" xfId="7" applyNumberFormat="1" applyFont="1" applyFill="1" applyBorder="1" applyAlignment="1">
      <alignment horizontal="right" vertical="center" shrinkToFit="1"/>
    </xf>
    <xf numFmtId="176" fontId="19" fillId="9" borderId="14" xfId="7" applyNumberFormat="1" applyFont="1" applyFill="1" applyBorder="1" applyAlignment="1">
      <alignment horizontal="right" vertical="center" shrinkToFit="1"/>
    </xf>
    <xf numFmtId="176" fontId="45" fillId="16" borderId="96" xfId="7" applyNumberFormat="1" applyFont="1" applyFill="1" applyBorder="1" applyAlignment="1">
      <alignment horizontal="center" vertical="center" shrinkToFi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15" borderId="7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0" fillId="0" borderId="30" xfId="0" applyBorder="1" applyAlignment="1" applyProtection="1">
      <alignment horizontal="center" vertical="center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50" fillId="0" borderId="0" xfId="16" applyFont="1" applyAlignment="1">
      <alignment vertical="center"/>
    </xf>
    <xf numFmtId="0" fontId="16" fillId="0" borderId="0" xfId="16" applyFont="1"/>
    <xf numFmtId="0" fontId="50" fillId="20" borderId="130" xfId="16" applyFont="1" applyFill="1" applyBorder="1" applyAlignment="1">
      <alignment horizontal="center" vertical="center"/>
    </xf>
    <xf numFmtId="0" fontId="50" fillId="0" borderId="131" xfId="16" applyFont="1" applyBorder="1" applyAlignment="1">
      <alignment vertical="center"/>
    </xf>
    <xf numFmtId="0" fontId="50" fillId="0" borderId="27" xfId="16" applyFont="1" applyBorder="1" applyAlignment="1">
      <alignment vertical="center"/>
    </xf>
    <xf numFmtId="0" fontId="50" fillId="0" borderId="24" xfId="16" applyFont="1" applyBorder="1" applyAlignment="1">
      <alignment vertical="center"/>
    </xf>
    <xf numFmtId="0" fontId="50" fillId="0" borderId="4" xfId="16" applyFont="1" applyBorder="1" applyAlignment="1">
      <alignment vertical="center"/>
    </xf>
    <xf numFmtId="0" fontId="50" fillId="0" borderId="133" xfId="16" applyFont="1" applyBorder="1" applyAlignment="1">
      <alignment vertical="center"/>
    </xf>
    <xf numFmtId="0" fontId="50" fillId="0" borderId="20" xfId="16" applyFont="1" applyBorder="1" applyAlignment="1">
      <alignment vertical="center"/>
    </xf>
    <xf numFmtId="0" fontId="50" fillId="0" borderId="6" xfId="16" applyFont="1" applyBorder="1" applyAlignment="1">
      <alignment vertical="center"/>
    </xf>
    <xf numFmtId="0" fontId="50" fillId="0" borderId="138" xfId="16" applyFont="1" applyBorder="1" applyAlignment="1">
      <alignment vertical="center"/>
    </xf>
    <xf numFmtId="0" fontId="50" fillId="0" borderId="3" xfId="16" applyFont="1" applyBorder="1" applyAlignment="1">
      <alignment vertical="center"/>
    </xf>
    <xf numFmtId="0" fontId="50" fillId="0" borderId="21" xfId="16" applyFont="1" applyBorder="1" applyAlignment="1">
      <alignment vertical="center"/>
    </xf>
    <xf numFmtId="0" fontId="50" fillId="0" borderId="18" xfId="16" applyFont="1" applyBorder="1" applyAlignment="1">
      <alignment vertical="center"/>
    </xf>
    <xf numFmtId="0" fontId="50" fillId="22" borderId="145" xfId="16" applyFont="1" applyFill="1" applyBorder="1" applyAlignment="1">
      <alignment horizontal="center" vertical="center" wrapText="1"/>
    </xf>
    <xf numFmtId="0" fontId="50" fillId="22" borderId="146" xfId="16" applyFont="1" applyFill="1" applyBorder="1" applyAlignment="1">
      <alignment horizontal="center" vertical="center" wrapText="1"/>
    </xf>
    <xf numFmtId="0" fontId="56" fillId="22" borderId="146" xfId="16" applyFont="1" applyFill="1" applyBorder="1" applyAlignment="1">
      <alignment horizontal="center" vertical="center" wrapText="1"/>
    </xf>
    <xf numFmtId="0" fontId="56" fillId="22" borderId="147" xfId="16" applyFont="1" applyFill="1" applyBorder="1" applyAlignment="1">
      <alignment horizontal="center" vertical="center" wrapText="1"/>
    </xf>
    <xf numFmtId="0" fontId="50" fillId="0" borderId="20" xfId="16" applyFont="1" applyBorder="1" applyAlignment="1">
      <alignment vertical="center" wrapText="1"/>
    </xf>
    <xf numFmtId="0" fontId="50" fillId="0" borderId="6" xfId="16" applyFont="1" applyBorder="1" applyAlignment="1">
      <alignment vertical="center" wrapText="1"/>
    </xf>
    <xf numFmtId="0" fontId="57" fillId="0" borderId="151" xfId="16" applyFont="1" applyBorder="1" applyAlignment="1">
      <alignment horizontal="center" vertical="center" wrapText="1"/>
    </xf>
    <xf numFmtId="0" fontId="57" fillId="0" borderId="153" xfId="16" applyFont="1" applyBorder="1" applyAlignment="1">
      <alignment horizontal="center" vertical="center" wrapText="1"/>
    </xf>
    <xf numFmtId="0" fontId="57" fillId="0" borderId="157" xfId="16" applyFont="1" applyBorder="1" applyAlignment="1">
      <alignment horizontal="center" vertical="center" wrapText="1"/>
    </xf>
    <xf numFmtId="0" fontId="57" fillId="0" borderId="158" xfId="16" applyFont="1" applyBorder="1" applyAlignment="1">
      <alignment horizontal="center" vertical="center" wrapText="1"/>
    </xf>
    <xf numFmtId="0" fontId="57" fillId="0" borderId="161" xfId="16" applyFont="1" applyBorder="1" applyAlignment="1">
      <alignment horizontal="center" vertical="center" wrapText="1"/>
    </xf>
    <xf numFmtId="0" fontId="57" fillId="0" borderId="162" xfId="16" applyFont="1" applyBorder="1" applyAlignment="1">
      <alignment horizontal="center" vertical="center" wrapText="1"/>
    </xf>
    <xf numFmtId="0" fontId="57" fillId="0" borderId="164" xfId="16" applyFont="1" applyBorder="1" applyAlignment="1">
      <alignment horizontal="center" vertical="center" wrapText="1"/>
    </xf>
    <xf numFmtId="0" fontId="50" fillId="0" borderId="164" xfId="16" applyFont="1" applyBorder="1" applyAlignment="1">
      <alignment horizontal="center" vertical="center" wrapText="1"/>
    </xf>
    <xf numFmtId="0" fontId="57" fillId="0" borderId="165" xfId="16" applyFont="1" applyBorder="1" applyAlignment="1">
      <alignment horizontal="center" vertical="center" wrapText="1"/>
    </xf>
    <xf numFmtId="0" fontId="50" fillId="0" borderId="158" xfId="16" applyFont="1" applyBorder="1" applyAlignment="1">
      <alignment horizontal="center" vertical="center" wrapText="1"/>
    </xf>
    <xf numFmtId="0" fontId="50" fillId="0" borderId="161" xfId="16" applyFont="1" applyBorder="1" applyAlignment="1">
      <alignment horizontal="center" vertical="center" wrapText="1"/>
    </xf>
    <xf numFmtId="0" fontId="57" fillId="0" borderId="136" xfId="16" applyFont="1" applyBorder="1" applyAlignment="1">
      <alignment horizontal="center" vertical="center" wrapText="1"/>
    </xf>
    <xf numFmtId="0" fontId="59" fillId="22" borderId="136" xfId="16" applyFont="1" applyFill="1" applyBorder="1" applyAlignment="1">
      <alignment horizontal="center" vertical="center" wrapText="1"/>
    </xf>
    <xf numFmtId="0" fontId="60" fillId="0" borderId="158" xfId="16" applyFont="1" applyBorder="1" applyAlignment="1">
      <alignment horizontal="center" vertical="center" wrapText="1"/>
    </xf>
    <xf numFmtId="0" fontId="60" fillId="0" borderId="135" xfId="16" applyFont="1" applyBorder="1" applyAlignment="1">
      <alignment horizontal="center" vertical="center" wrapText="1"/>
    </xf>
    <xf numFmtId="0" fontId="59" fillId="0" borderId="136" xfId="16" applyFont="1" applyBorder="1" applyAlignment="1">
      <alignment horizontal="center" vertical="center" wrapText="1"/>
    </xf>
    <xf numFmtId="0" fontId="61" fillId="0" borderId="0" xfId="16" applyFont="1" applyAlignment="1">
      <alignment horizontal="center" vertical="center"/>
    </xf>
    <xf numFmtId="0" fontId="55" fillId="0" borderId="136" xfId="16" applyFont="1" applyBorder="1" applyAlignment="1">
      <alignment horizontal="center" vertical="center"/>
    </xf>
    <xf numFmtId="0" fontId="55" fillId="21" borderId="158" xfId="16" applyFont="1" applyFill="1" applyBorder="1" applyAlignment="1">
      <alignment horizontal="center" vertical="center"/>
    </xf>
    <xf numFmtId="0" fontId="55" fillId="21" borderId="135" xfId="16" applyFont="1" applyFill="1" applyBorder="1" applyAlignment="1">
      <alignment horizontal="center" vertical="center" wrapText="1"/>
    </xf>
    <xf numFmtId="0" fontId="61" fillId="0" borderId="158" xfId="16" applyFont="1" applyBorder="1" applyAlignment="1">
      <alignment horizontal="center" vertical="center" wrapText="1"/>
    </xf>
    <xf numFmtId="0" fontId="61" fillId="0" borderId="136" xfId="16" applyFont="1" applyBorder="1" applyAlignment="1">
      <alignment horizontal="center" vertical="center" wrapText="1"/>
    </xf>
    <xf numFmtId="0" fontId="55" fillId="0" borderId="158" xfId="16" applyFont="1" applyBorder="1" applyAlignment="1">
      <alignment horizontal="center" vertical="center" wrapText="1"/>
    </xf>
    <xf numFmtId="0" fontId="55" fillId="0" borderId="136" xfId="16" applyFont="1" applyBorder="1" applyAlignment="1">
      <alignment horizontal="center" vertical="center" wrapText="1"/>
    </xf>
    <xf numFmtId="0" fontId="50" fillId="0" borderId="158" xfId="16" applyFont="1" applyBorder="1" applyAlignment="1">
      <alignment vertical="center" wrapText="1"/>
    </xf>
    <xf numFmtId="0" fontId="50" fillId="0" borderId="0" xfId="16" applyFont="1" applyAlignment="1">
      <alignment vertical="center" wrapText="1"/>
    </xf>
    <xf numFmtId="0" fontId="55" fillId="21" borderId="136" xfId="16" applyFont="1" applyFill="1" applyBorder="1" applyAlignment="1">
      <alignment horizontal="center" vertical="center"/>
    </xf>
    <xf numFmtId="0" fontId="55" fillId="0" borderId="135" xfId="16" applyFont="1" applyBorder="1" applyAlignment="1">
      <alignment horizontal="center" vertical="center"/>
    </xf>
    <xf numFmtId="0" fontId="55" fillId="0" borderId="158" xfId="16" applyFont="1" applyBorder="1" applyAlignment="1">
      <alignment horizontal="center" vertical="center"/>
    </xf>
    <xf numFmtId="0" fontId="62" fillId="0" borderId="158" xfId="16" applyFont="1" applyBorder="1" applyAlignment="1">
      <alignment horizontal="center" vertical="center"/>
    </xf>
    <xf numFmtId="0" fontId="62" fillId="0" borderId="136" xfId="16" applyFont="1" applyBorder="1" applyAlignment="1">
      <alignment horizontal="center" vertical="center"/>
    </xf>
    <xf numFmtId="0" fontId="50" fillId="0" borderId="144" xfId="16" applyFont="1" applyBorder="1" applyAlignment="1">
      <alignment vertical="center"/>
    </xf>
    <xf numFmtId="0" fontId="50" fillId="0" borderId="142" xfId="16" applyFont="1" applyBorder="1" applyAlignment="1">
      <alignment vertical="center"/>
    </xf>
    <xf numFmtId="0" fontId="50" fillId="0" borderId="169" xfId="16" applyFont="1" applyBorder="1" applyAlignment="1">
      <alignment vertical="center"/>
    </xf>
    <xf numFmtId="0" fontId="50" fillId="0" borderId="170" xfId="16" applyFont="1" applyBorder="1" applyAlignment="1">
      <alignment vertical="center"/>
    </xf>
    <xf numFmtId="0" fontId="50" fillId="0" borderId="141" xfId="16" applyFont="1" applyBorder="1" applyAlignment="1">
      <alignment vertical="center"/>
    </xf>
    <xf numFmtId="0" fontId="50" fillId="0" borderId="139" xfId="16" applyFont="1" applyBorder="1" applyAlignment="1">
      <alignment vertical="center"/>
    </xf>
    <xf numFmtId="0" fontId="50" fillId="0" borderId="172" xfId="16" applyFont="1" applyBorder="1" applyAlignment="1">
      <alignment vertical="center"/>
    </xf>
    <xf numFmtId="0" fontId="50" fillId="0" borderId="173" xfId="16" applyFont="1" applyBorder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8" fillId="9" borderId="39" xfId="4" applyFont="1" applyFill="1" applyBorder="1" applyAlignment="1" applyProtection="1">
      <alignment horizontal="center" vertical="center" wrapText="1"/>
    </xf>
    <xf numFmtId="0" fontId="28" fillId="9" borderId="67" xfId="4" applyFont="1" applyFill="1" applyBorder="1" applyAlignment="1" applyProtection="1">
      <alignment horizontal="center" vertical="center" wrapText="1"/>
    </xf>
    <xf numFmtId="0" fontId="21" fillId="9" borderId="114" xfId="4" applyFont="1" applyFill="1" applyBorder="1" applyAlignment="1" applyProtection="1">
      <alignment horizontal="center" vertical="center" wrapText="1"/>
      <protection locked="0"/>
    </xf>
    <xf numFmtId="0" fontId="21" fillId="9" borderId="34" xfId="4" applyFont="1" applyFill="1" applyBorder="1" applyAlignment="1" applyProtection="1">
      <alignment horizontal="center" vertical="center" wrapText="1"/>
      <protection locked="0"/>
    </xf>
    <xf numFmtId="176" fontId="7" fillId="9" borderId="95" xfId="0" applyNumberFormat="1" applyFont="1" applyFill="1" applyBorder="1" applyAlignment="1">
      <alignment horizontal="right" vertical="center"/>
    </xf>
    <xf numFmtId="176" fontId="7" fillId="9" borderId="29" xfId="0" applyNumberFormat="1" applyFont="1" applyFill="1" applyBorder="1" applyAlignment="1">
      <alignment horizontal="right" vertical="center"/>
    </xf>
    <xf numFmtId="176" fontId="7" fillId="9" borderId="11" xfId="0" applyNumberFormat="1" applyFont="1" applyFill="1" applyBorder="1" applyAlignment="1">
      <alignment horizontal="right" vertical="center"/>
    </xf>
    <xf numFmtId="176" fontId="7" fillId="9" borderId="105" xfId="0" applyNumberFormat="1" applyFont="1" applyFill="1" applyBorder="1" applyAlignment="1">
      <alignment horizontal="right" vertical="center"/>
    </xf>
    <xf numFmtId="0" fontId="28" fillId="0" borderId="93" xfId="4" applyFont="1" applyFill="1" applyBorder="1" applyAlignment="1" applyProtection="1">
      <alignment vertical="center" wrapText="1"/>
    </xf>
    <xf numFmtId="0" fontId="28" fillId="15" borderId="174" xfId="4" applyFont="1" applyFill="1" applyBorder="1" applyAlignment="1" applyProtection="1">
      <alignment vertical="center" wrapText="1"/>
    </xf>
    <xf numFmtId="0" fontId="28" fillId="0" borderId="64" xfId="4" applyFont="1" applyFill="1" applyBorder="1" applyAlignment="1" applyProtection="1">
      <alignment vertical="center" wrapText="1"/>
    </xf>
    <xf numFmtId="0" fontId="28" fillId="0" borderId="53" xfId="4" applyFont="1" applyFill="1" applyBorder="1" applyAlignment="1" applyProtection="1">
      <alignment vertical="center" wrapText="1"/>
    </xf>
    <xf numFmtId="0" fontId="21" fillId="9" borderId="52" xfId="4" applyFont="1" applyFill="1" applyBorder="1" applyAlignment="1" applyProtection="1">
      <alignment vertical="center" wrapText="1"/>
      <protection locked="0"/>
    </xf>
    <xf numFmtId="0" fontId="21" fillId="9" borderId="33" xfId="4" applyFont="1" applyFill="1" applyBorder="1" applyAlignment="1" applyProtection="1">
      <alignment vertical="center" wrapText="1"/>
      <protection locked="0"/>
    </xf>
    <xf numFmtId="0" fontId="21" fillId="9" borderId="34" xfId="4" applyFont="1" applyFill="1" applyBorder="1" applyAlignment="1" applyProtection="1">
      <alignment vertical="center" wrapText="1"/>
      <protection locked="0"/>
    </xf>
    <xf numFmtId="0" fontId="21" fillId="9" borderId="68" xfId="4" applyFont="1" applyFill="1" applyBorder="1" applyAlignment="1" applyProtection="1">
      <alignment vertical="center" wrapText="1"/>
      <protection locked="0"/>
    </xf>
    <xf numFmtId="0" fontId="21" fillId="9" borderId="113" xfId="4" applyFont="1" applyFill="1" applyBorder="1" applyAlignment="1" applyProtection="1">
      <alignment vertical="center" wrapText="1"/>
      <protection locked="0"/>
    </xf>
    <xf numFmtId="0" fontId="21" fillId="9" borderId="48" xfId="4" applyFont="1" applyFill="1" applyBorder="1" applyAlignment="1" applyProtection="1">
      <alignment vertical="center" wrapText="1"/>
      <protection locked="0"/>
    </xf>
    <xf numFmtId="0" fontId="28" fillId="9" borderId="100" xfId="4" applyFont="1" applyFill="1" applyBorder="1" applyAlignment="1" applyProtection="1">
      <alignment horizontal="center" vertical="center" wrapText="1"/>
    </xf>
    <xf numFmtId="0" fontId="21" fillId="9" borderId="114" xfId="4" applyFont="1" applyFill="1" applyBorder="1" applyAlignment="1" applyProtection="1">
      <alignment vertical="center" wrapText="1"/>
      <protection locked="0"/>
    </xf>
    <xf numFmtId="176" fontId="36" fillId="9" borderId="11" xfId="7" applyNumberFormat="1" applyFont="1" applyFill="1" applyBorder="1" applyAlignment="1">
      <alignment horizontal="right" vertical="center" shrinkToFit="1"/>
    </xf>
    <xf numFmtId="176" fontId="36" fillId="9" borderId="105" xfId="7" applyNumberFormat="1" applyFont="1" applyFill="1" applyBorder="1" applyAlignment="1">
      <alignment horizontal="right" vertical="center" shrinkToFit="1"/>
    </xf>
    <xf numFmtId="0" fontId="19" fillId="9" borderId="95" xfId="7" applyFont="1" applyFill="1" applyBorder="1" applyAlignment="1">
      <alignment horizontal="center" vertical="center" shrinkToFit="1"/>
    </xf>
    <xf numFmtId="0" fontId="19" fillId="9" borderId="11" xfId="7" applyFont="1" applyFill="1" applyBorder="1" applyAlignment="1">
      <alignment horizontal="center" vertical="center" shrinkToFit="1"/>
    </xf>
    <xf numFmtId="176" fontId="38" fillId="9" borderId="14" xfId="7" applyNumberFormat="1" applyFont="1" applyFill="1" applyBorder="1" applyAlignment="1">
      <alignment horizontal="center" vertical="center" shrinkToFit="1"/>
    </xf>
    <xf numFmtId="176" fontId="36" fillId="9" borderId="95" xfId="7" applyNumberFormat="1" applyFont="1" applyFill="1" applyBorder="1" applyAlignment="1">
      <alignment horizontal="right" vertical="center" shrinkToFit="1"/>
    </xf>
    <xf numFmtId="176" fontId="36" fillId="9" borderId="29" xfId="7" applyNumberFormat="1" applyFont="1" applyFill="1" applyBorder="1" applyAlignment="1">
      <alignment horizontal="right" vertical="center" shrinkToFit="1"/>
    </xf>
    <xf numFmtId="176" fontId="36" fillId="9" borderId="14" xfId="7" applyNumberFormat="1" applyFont="1" applyFill="1" applyBorder="1" applyAlignment="1">
      <alignment horizontal="right" vertical="center" shrinkToFit="1"/>
    </xf>
    <xf numFmtId="176" fontId="36" fillId="9" borderId="10" xfId="7" applyNumberFormat="1" applyFont="1" applyFill="1" applyBorder="1" applyAlignment="1">
      <alignment horizontal="right" vertical="center" shrinkToFit="1"/>
    </xf>
    <xf numFmtId="176" fontId="66" fillId="0" borderId="19" xfId="7" applyNumberFormat="1" applyFont="1" applyBorder="1" applyAlignment="1">
      <alignment horizontal="right" vertical="center" shrinkToFit="1"/>
    </xf>
    <xf numFmtId="176" fontId="35" fillId="0" borderId="19" xfId="7" applyNumberFormat="1" applyFont="1" applyBorder="1" applyAlignment="1">
      <alignment horizontal="center" vertical="center" shrinkToFit="1"/>
    </xf>
    <xf numFmtId="176" fontId="0" fillId="0" borderId="29" xfId="0" applyNumberFormat="1" applyBorder="1" applyAlignment="1">
      <alignment horizontal="right" vertical="center"/>
    </xf>
    <xf numFmtId="176" fontId="0" fillId="0" borderId="105" xfId="0" applyNumberFormat="1" applyBorder="1" applyAlignment="1">
      <alignment horizontal="right" vertical="center"/>
    </xf>
    <xf numFmtId="0" fontId="67" fillId="15" borderId="175" xfId="0" applyFont="1" applyFill="1" applyBorder="1">
      <alignment vertical="center"/>
    </xf>
    <xf numFmtId="0" fontId="13" fillId="15" borderId="52" xfId="4" applyFont="1" applyFill="1" applyBorder="1" applyAlignment="1" applyProtection="1">
      <alignment horizontal="center" vertical="center" wrapText="1"/>
    </xf>
    <xf numFmtId="0" fontId="28" fillId="9" borderId="32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wrapText="1"/>
    </xf>
    <xf numFmtId="0" fontId="36" fillId="0" borderId="11" xfId="7" applyFont="1" applyBorder="1" applyAlignment="1">
      <alignment horizontal="center" vertical="center" shrinkToFit="1"/>
    </xf>
    <xf numFmtId="0" fontId="36" fillId="0" borderId="14" xfId="7" applyFont="1" applyBorder="1" applyAlignment="1">
      <alignment horizontal="center" vertical="center" shrinkToFit="1"/>
    </xf>
    <xf numFmtId="0" fontId="36" fillId="0" borderId="95" xfId="7" applyFont="1" applyBorder="1" applyAlignment="1">
      <alignment horizontal="center" vertical="center" shrinkToFit="1"/>
    </xf>
    <xf numFmtId="176" fontId="36" fillId="9" borderId="176" xfId="7" applyNumberFormat="1" applyFont="1" applyFill="1" applyBorder="1" applyAlignment="1">
      <alignment horizontal="center" vertical="center" shrinkToFit="1"/>
    </xf>
    <xf numFmtId="176" fontId="7" fillId="0" borderId="177" xfId="0" applyNumberFormat="1" applyFont="1" applyBorder="1" applyAlignment="1">
      <alignment horizontal="right" vertical="center"/>
    </xf>
    <xf numFmtId="176" fontId="7" fillId="0" borderId="176" xfId="0" applyNumberFormat="1" applyFont="1" applyBorder="1" applyAlignment="1">
      <alignment horizontal="right" vertical="center"/>
    </xf>
    <xf numFmtId="0" fontId="35" fillId="16" borderId="7" xfId="7" applyFont="1" applyFill="1" applyBorder="1" applyAlignment="1">
      <alignment horizontal="center" vertical="center" shrinkToFit="1"/>
    </xf>
    <xf numFmtId="0" fontId="35" fillId="16" borderId="17" xfId="7" applyFont="1" applyFill="1" applyBorder="1" applyAlignment="1">
      <alignment horizontal="center" vertical="center" shrinkToFit="1"/>
    </xf>
    <xf numFmtId="0" fontId="35" fillId="16" borderId="96" xfId="7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5" fillId="16" borderId="96" xfId="7" applyFont="1" applyFill="1" applyBorder="1" applyAlignment="1">
      <alignment horizontal="center" vertical="center" shrinkToFit="1"/>
    </xf>
    <xf numFmtId="176" fontId="36" fillId="0" borderId="11" xfId="7" applyNumberFormat="1" applyFont="1" applyBorder="1" applyAlignment="1">
      <alignment horizontal="center" vertical="center" shrinkToFit="1"/>
    </xf>
    <xf numFmtId="176" fontId="36" fillId="0" borderId="14" xfId="7" applyNumberFormat="1" applyFont="1" applyBorder="1" applyAlignment="1">
      <alignment horizontal="center" vertical="center" shrinkToFit="1"/>
    </xf>
    <xf numFmtId="0" fontId="36" fillId="9" borderId="11" xfId="7" applyFont="1" applyFill="1" applyBorder="1" applyAlignment="1">
      <alignment horizontal="center" vertical="center" wrapText="1" shrinkToFit="1"/>
    </xf>
    <xf numFmtId="176" fontId="7" fillId="9" borderId="11" xfId="0" applyNumberFormat="1" applyFont="1" applyFill="1" applyBorder="1">
      <alignment vertical="center"/>
    </xf>
    <xf numFmtId="176" fontId="7" fillId="9" borderId="105" xfId="0" applyNumberFormat="1" applyFont="1" applyFill="1" applyBorder="1">
      <alignment vertical="center"/>
    </xf>
    <xf numFmtId="176" fontId="7" fillId="9" borderId="14" xfId="0" applyNumberFormat="1" applyFont="1" applyFill="1" applyBorder="1" applyAlignment="1">
      <alignment horizontal="right" vertical="center"/>
    </xf>
    <xf numFmtId="176" fontId="7" fillId="9" borderId="10" xfId="0" applyNumberFormat="1" applyFont="1" applyFill="1" applyBorder="1" applyAlignment="1">
      <alignment horizontal="right" vertical="center"/>
    </xf>
    <xf numFmtId="0" fontId="36" fillId="9" borderId="95" xfId="7" applyFont="1" applyFill="1" applyBorder="1" applyAlignment="1">
      <alignment horizontal="center" vertical="center" wrapText="1" shrinkToFit="1"/>
    </xf>
    <xf numFmtId="0" fontId="22" fillId="13" borderId="23" xfId="0" applyFont="1" applyFill="1" applyBorder="1" applyAlignment="1" applyProtection="1">
      <alignment horizontal="center" vertical="center"/>
      <protection locked="0"/>
    </xf>
    <xf numFmtId="0" fontId="22" fillId="13" borderId="28" xfId="0" applyFont="1" applyFill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11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16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8" xfId="4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1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3" fillId="10" borderId="119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118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21" fillId="0" borderId="33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48" xfId="0" applyFont="1" applyBorder="1" applyAlignment="1" applyProtection="1">
      <alignment horizontal="center" vertical="center" shrinkToFit="1"/>
      <protection locked="0"/>
    </xf>
    <xf numFmtId="0" fontId="21" fillId="0" borderId="52" xfId="0" applyFont="1" applyBorder="1" applyAlignment="1" applyProtection="1">
      <alignment horizontal="center" vertical="center" shrinkToFit="1"/>
      <protection locked="0"/>
    </xf>
    <xf numFmtId="0" fontId="21" fillId="0" borderId="48" xfId="4" applyFont="1" applyFill="1" applyBorder="1" applyAlignment="1" applyProtection="1">
      <alignment horizontal="center" vertical="center" wrapText="1"/>
      <protection locked="0"/>
    </xf>
    <xf numFmtId="0" fontId="21" fillId="0" borderId="34" xfId="4" applyFont="1" applyFill="1" applyBorder="1" applyAlignment="1" applyProtection="1">
      <alignment horizontal="center" vertical="center" wrapText="1"/>
      <protection locked="0"/>
    </xf>
    <xf numFmtId="0" fontId="21" fillId="0" borderId="113" xfId="4" applyFont="1" applyFill="1" applyBorder="1" applyAlignment="1" applyProtection="1">
      <alignment horizontal="center" vertical="center" wrapText="1"/>
      <protection locked="0"/>
    </xf>
    <xf numFmtId="0" fontId="21" fillId="0" borderId="114" xfId="4" applyFont="1" applyFill="1" applyBorder="1" applyAlignment="1" applyProtection="1">
      <alignment horizontal="center" vertical="center" wrapText="1"/>
      <protection locked="0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21" fillId="9" borderId="48" xfId="0" applyFont="1" applyFill="1" applyBorder="1" applyAlignment="1" applyProtection="1">
      <alignment horizontal="center" vertical="center" shrinkToFit="1"/>
      <protection locked="0"/>
    </xf>
    <xf numFmtId="0" fontId="21" fillId="9" borderId="52" xfId="0" applyFont="1" applyFill="1" applyBorder="1" applyAlignment="1" applyProtection="1">
      <alignment horizontal="center" vertical="center" shrinkToFit="1"/>
      <protection locked="0"/>
    </xf>
    <xf numFmtId="0" fontId="21" fillId="9" borderId="114" xfId="4" applyFont="1" applyFill="1" applyBorder="1" applyAlignment="1" applyProtection="1">
      <alignment horizontal="center" vertical="center" wrapText="1"/>
      <protection locked="0"/>
    </xf>
    <xf numFmtId="0" fontId="21" fillId="9" borderId="34" xfId="4" applyFont="1" applyFill="1" applyBorder="1" applyAlignment="1" applyProtection="1">
      <alignment horizontal="center" vertical="center" wrapText="1"/>
      <protection locked="0"/>
    </xf>
    <xf numFmtId="0" fontId="21" fillId="9" borderId="33" xfId="4" applyFont="1" applyFill="1" applyBorder="1" applyAlignment="1" applyProtection="1">
      <alignment horizontal="center" vertical="center" wrapText="1"/>
      <protection locked="0"/>
    </xf>
    <xf numFmtId="0" fontId="21" fillId="9" borderId="113" xfId="4" applyFont="1" applyFill="1" applyBorder="1" applyAlignment="1" applyProtection="1">
      <alignment horizontal="center" vertical="center" wrapText="1"/>
      <protection locked="0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0" xfId="4" applyFont="1" applyFill="1" applyBorder="1" applyAlignment="1" applyProtection="1">
      <alignment horizontal="center" vertical="center" wrapText="1"/>
    </xf>
    <xf numFmtId="0" fontId="28" fillId="0" borderId="93" xfId="4" applyFont="1" applyFill="1" applyBorder="1" applyAlignment="1" applyProtection="1">
      <alignment horizontal="center" vertical="center" wrapText="1"/>
    </xf>
    <xf numFmtId="0" fontId="21" fillId="15" borderId="76" xfId="4" applyFont="1" applyFill="1" applyBorder="1" applyAlignment="1" applyProtection="1">
      <alignment horizontal="center" vertical="center" wrapText="1"/>
    </xf>
    <xf numFmtId="0" fontId="21" fillId="9" borderId="119" xfId="4" applyFont="1" applyFill="1" applyBorder="1" applyAlignment="1" applyProtection="1">
      <alignment horizontal="center" vertical="center" wrapText="1"/>
      <protection locked="0"/>
    </xf>
    <xf numFmtId="0" fontId="21" fillId="9" borderId="66" xfId="4" applyFont="1" applyFill="1" applyBorder="1" applyAlignment="1" applyProtection="1">
      <alignment horizontal="center" vertical="center" wrapText="1"/>
      <protection locked="0"/>
    </xf>
    <xf numFmtId="0" fontId="21" fillId="9" borderId="79" xfId="4" applyFont="1" applyFill="1" applyBorder="1" applyAlignment="1" applyProtection="1">
      <alignment horizontal="center" vertical="center" wrapText="1"/>
      <protection locked="0"/>
    </xf>
    <xf numFmtId="0" fontId="21" fillId="9" borderId="59" xfId="4" applyFont="1" applyFill="1" applyBorder="1" applyAlignment="1" applyProtection="1">
      <alignment horizontal="center" vertical="center" wrapText="1"/>
      <protection locked="0"/>
    </xf>
    <xf numFmtId="0" fontId="21" fillId="9" borderId="65" xfId="4" applyFont="1" applyFill="1" applyBorder="1" applyAlignment="1" applyProtection="1">
      <alignment horizontal="center" vertical="center" wrapText="1"/>
      <protection locked="0"/>
    </xf>
    <xf numFmtId="0" fontId="21" fillId="9" borderId="24" xfId="4" applyFont="1" applyFill="1" applyBorder="1" applyAlignment="1" applyProtection="1">
      <alignment horizontal="center" vertical="center" wrapText="1"/>
      <protection locked="0"/>
    </xf>
    <xf numFmtId="0" fontId="21" fillId="9" borderId="61" xfId="4" applyFont="1" applyFill="1" applyBorder="1" applyAlignment="1" applyProtection="1">
      <alignment horizontal="center" vertical="center" wrapText="1"/>
      <protection locked="0"/>
    </xf>
    <xf numFmtId="0" fontId="21" fillId="9" borderId="21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21" fillId="0" borderId="54" xfId="0" applyFont="1" applyBorder="1" applyAlignment="1" applyProtection="1">
      <alignment horizontal="center" vertical="center" shrinkToFit="1"/>
      <protection locked="0"/>
    </xf>
    <xf numFmtId="0" fontId="21" fillId="0" borderId="51" xfId="0" applyFont="1" applyBorder="1" applyAlignment="1" applyProtection="1">
      <alignment horizontal="center" vertical="center" shrinkToFit="1"/>
      <protection locked="0"/>
    </xf>
    <xf numFmtId="0" fontId="21" fillId="9" borderId="54" xfId="4" applyFont="1" applyFill="1" applyBorder="1" applyAlignment="1" applyProtection="1">
      <alignment horizontal="center" vertical="center" wrapText="1"/>
      <protection locked="0"/>
    </xf>
    <xf numFmtId="0" fontId="21" fillId="9" borderId="50" xfId="4" applyFont="1" applyFill="1" applyBorder="1" applyAlignment="1" applyProtection="1">
      <alignment horizontal="center" vertical="center" wrapText="1"/>
      <protection locked="0"/>
    </xf>
    <xf numFmtId="0" fontId="21" fillId="9" borderId="115" xfId="4" applyFont="1" applyFill="1" applyBorder="1" applyAlignment="1" applyProtection="1">
      <alignment horizontal="center" vertical="center" wrapText="1"/>
      <protection locked="0"/>
    </xf>
    <xf numFmtId="0" fontId="21" fillId="9" borderId="70" xfId="4" applyFont="1" applyFill="1" applyBorder="1" applyAlignment="1" applyProtection="1">
      <alignment horizontal="center" vertical="center" wrapText="1"/>
      <protection locked="0"/>
    </xf>
    <xf numFmtId="0" fontId="21" fillId="9" borderId="117" xfId="4" applyFont="1" applyFill="1" applyBorder="1" applyAlignment="1" applyProtection="1">
      <alignment horizontal="center" vertical="center" wrapText="1"/>
      <protection locked="0"/>
    </xf>
    <xf numFmtId="0" fontId="21" fillId="9" borderId="116" xfId="4" applyFont="1" applyFill="1" applyBorder="1" applyAlignment="1" applyProtection="1">
      <alignment horizontal="center" vertical="center" wrapText="1"/>
      <protection locked="0"/>
    </xf>
    <xf numFmtId="0" fontId="21" fillId="9" borderId="52" xfId="4" applyFont="1" applyFill="1" applyBorder="1" applyAlignment="1" applyProtection="1">
      <alignment horizontal="center" vertical="center" wrapText="1"/>
      <protection locked="0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21" fillId="9" borderId="68" xfId="4" applyFont="1" applyFill="1" applyBorder="1" applyAlignment="1" applyProtection="1">
      <alignment horizontal="center" vertical="center" wrapText="1"/>
      <protection locked="0"/>
    </xf>
    <xf numFmtId="0" fontId="39" fillId="15" borderId="13" xfId="4" applyFont="1" applyFill="1" applyBorder="1" applyAlignment="1" applyProtection="1">
      <alignment horizontal="center" vertical="center" wrapText="1"/>
    </xf>
    <xf numFmtId="0" fontId="39" fillId="15" borderId="78" xfId="4" applyFont="1" applyFill="1" applyBorder="1" applyAlignment="1" applyProtection="1">
      <alignment horizontal="center" vertical="center" wrapText="1"/>
    </xf>
    <xf numFmtId="0" fontId="21" fillId="0" borderId="47" xfId="0" applyFont="1" applyBorder="1" applyAlignment="1" applyProtection="1">
      <alignment horizontal="center" vertical="center" shrinkToFit="1"/>
      <protection locked="0"/>
    </xf>
    <xf numFmtId="0" fontId="21" fillId="0" borderId="58" xfId="0" applyFont="1" applyBorder="1" applyAlignment="1" applyProtection="1">
      <alignment horizontal="center" vertical="center" shrinkToFit="1"/>
      <protection locked="0"/>
    </xf>
    <xf numFmtId="0" fontId="28" fillId="9" borderId="64" xfId="4" applyFont="1" applyFill="1" applyBorder="1" applyAlignment="1" applyProtection="1">
      <alignment horizontal="center" vertical="center" wrapText="1"/>
    </xf>
    <xf numFmtId="0" fontId="28" fillId="9" borderId="53" xfId="4" applyFont="1" applyFill="1" applyBorder="1" applyAlignment="1" applyProtection="1">
      <alignment horizontal="center" vertical="center" wrapText="1"/>
    </xf>
    <xf numFmtId="0" fontId="21" fillId="15" borderId="73" xfId="4" applyFont="1" applyFill="1" applyBorder="1" applyAlignment="1" applyProtection="1">
      <alignment horizontal="center" vertical="center" wrapText="1"/>
    </xf>
    <xf numFmtId="0" fontId="21" fillId="15" borderId="60" xfId="4" applyFont="1" applyFill="1" applyBorder="1" applyAlignment="1" applyProtection="1">
      <alignment horizontal="center" vertical="center" wrapText="1"/>
    </xf>
    <xf numFmtId="0" fontId="21" fillId="9" borderId="47" xfId="4" applyFont="1" applyFill="1" applyBorder="1" applyAlignment="1" applyProtection="1">
      <alignment horizontal="center" vertical="center" wrapText="1"/>
      <protection locked="0"/>
    </xf>
    <xf numFmtId="0" fontId="21" fillId="9" borderId="49" xfId="4" applyFont="1" applyFill="1" applyBorder="1" applyAlignment="1" applyProtection="1">
      <alignment horizontal="center" vertical="center" wrapText="1"/>
      <protection locked="0"/>
    </xf>
    <xf numFmtId="0" fontId="21" fillId="9" borderId="69" xfId="4" applyFont="1" applyFill="1" applyBorder="1" applyAlignment="1" applyProtection="1">
      <alignment horizontal="center" vertical="center" wrapText="1"/>
      <protection locked="0"/>
    </xf>
    <xf numFmtId="0" fontId="21" fillId="9" borderId="77" xfId="4" applyFont="1" applyFill="1" applyBorder="1" applyAlignment="1" applyProtection="1">
      <alignment horizontal="center" vertical="center" wrapText="1"/>
      <protection locked="0"/>
    </xf>
    <xf numFmtId="0" fontId="21" fillId="9" borderId="112" xfId="4" applyFont="1" applyFill="1" applyBorder="1" applyAlignment="1" applyProtection="1">
      <alignment horizontal="center" vertical="center" wrapText="1"/>
      <protection locked="0"/>
    </xf>
    <xf numFmtId="0" fontId="21" fillId="9" borderId="111" xfId="4" applyFont="1" applyFill="1" applyBorder="1" applyAlignment="1" applyProtection="1">
      <alignment horizontal="center" vertical="center" wrapText="1"/>
      <protection locked="0"/>
    </xf>
    <xf numFmtId="0" fontId="21" fillId="9" borderId="48" xfId="4" applyFont="1" applyFill="1" applyBorder="1" applyAlignment="1" applyProtection="1">
      <alignment horizontal="center" vertical="center" wrapText="1"/>
      <protection locked="0"/>
    </xf>
    <xf numFmtId="0" fontId="21" fillId="9" borderId="48" xfId="2" applyFont="1" applyFill="1" applyBorder="1" applyAlignment="1" applyProtection="1">
      <alignment horizontal="center" vertical="center" wrapText="1"/>
      <protection locked="0"/>
    </xf>
    <xf numFmtId="0" fontId="21" fillId="9" borderId="52" xfId="2" applyFont="1" applyFill="1" applyBorder="1" applyAlignment="1" applyProtection="1">
      <alignment horizontal="center" vertical="center" wrapText="1"/>
      <protection locked="0"/>
    </xf>
    <xf numFmtId="0" fontId="21" fillId="9" borderId="124" xfId="4" applyFont="1" applyFill="1" applyBorder="1" applyAlignment="1" applyProtection="1">
      <alignment horizontal="center" vertical="center" wrapText="1"/>
      <protection locked="0"/>
    </xf>
    <xf numFmtId="0" fontId="21" fillId="9" borderId="121" xfId="4" applyFont="1" applyFill="1" applyBorder="1" applyAlignment="1" applyProtection="1">
      <alignment horizontal="center" vertical="center" wrapText="1"/>
      <protection locked="0"/>
    </xf>
    <xf numFmtId="0" fontId="21" fillId="9" borderId="122" xfId="4" applyFont="1" applyFill="1" applyBorder="1" applyAlignment="1" applyProtection="1">
      <alignment horizontal="center" vertical="center" wrapText="1"/>
      <protection locked="0"/>
    </xf>
    <xf numFmtId="0" fontId="21" fillId="9" borderId="125" xfId="4" applyFont="1" applyFill="1" applyBorder="1" applyAlignment="1" applyProtection="1">
      <alignment horizontal="center" vertical="center" wrapText="1"/>
      <protection locked="0"/>
    </xf>
    <xf numFmtId="0" fontId="21" fillId="9" borderId="123" xfId="4" applyFont="1" applyFill="1" applyBorder="1" applyAlignment="1" applyProtection="1">
      <alignment horizontal="center" vertical="center" wrapText="1"/>
      <protection locked="0"/>
    </xf>
    <xf numFmtId="0" fontId="21" fillId="9" borderId="103" xfId="4" applyFont="1" applyFill="1" applyBorder="1" applyAlignment="1" applyProtection="1">
      <alignment horizontal="center" vertical="center" wrapText="1"/>
      <protection locked="0"/>
    </xf>
    <xf numFmtId="0" fontId="13" fillId="15" borderId="102" xfId="5" applyFont="1" applyFill="1" applyBorder="1" applyAlignment="1" applyProtection="1">
      <alignment horizontal="center" vertical="center" wrapText="1"/>
    </xf>
    <xf numFmtId="0" fontId="13" fillId="15" borderId="103" xfId="5" applyFont="1" applyFill="1" applyBorder="1" applyAlignment="1" applyProtection="1">
      <alignment horizontal="center" vertical="center" wrapText="1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4" xfId="4" applyFont="1" applyFill="1" applyBorder="1" applyAlignment="1" applyProtection="1">
      <alignment horizontal="center" vertical="center" wrapText="1"/>
    </xf>
    <xf numFmtId="0" fontId="21" fillId="15" borderId="0" xfId="4" applyFont="1" applyFill="1" applyBorder="1" applyAlignment="1" applyProtection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4" xfId="0" applyNumberFormat="1" applyFont="1" applyFill="1" applyBorder="1" applyAlignment="1">
      <alignment horizontal="center" vertical="center" wrapText="1"/>
    </xf>
    <xf numFmtId="176" fontId="13" fillId="15" borderId="18" xfId="0" applyNumberFormat="1" applyFont="1" applyFill="1" applyBorder="1" applyAlignment="1">
      <alignment horizontal="center" vertical="center" wrapText="1"/>
    </xf>
    <xf numFmtId="176" fontId="13" fillId="15" borderId="21" xfId="0" applyNumberFormat="1" applyFont="1" applyFill="1" applyBorder="1" applyAlignment="1">
      <alignment horizontal="center" vertical="center" wrapText="1"/>
    </xf>
    <xf numFmtId="0" fontId="21" fillId="0" borderId="47" xfId="0" applyFont="1" applyBorder="1" applyAlignment="1" applyProtection="1">
      <alignment horizontal="center" vertical="center" wrapText="1"/>
      <protection locked="0"/>
    </xf>
    <xf numFmtId="0" fontId="21" fillId="0" borderId="58" xfId="0" applyFont="1" applyBorder="1" applyAlignment="1" applyProtection="1">
      <alignment horizontal="center" vertical="center" wrapText="1"/>
      <protection locked="0"/>
    </xf>
    <xf numFmtId="0" fontId="21" fillId="0" borderId="47" xfId="4" applyFont="1" applyFill="1" applyBorder="1" applyAlignment="1" applyProtection="1">
      <alignment horizontal="center" vertical="center" wrapTex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69" xfId="4" applyFont="1" applyFill="1" applyBorder="1" applyAlignment="1" applyProtection="1">
      <alignment horizontal="center" vertical="center" wrapText="1"/>
      <protection locked="0"/>
    </xf>
    <xf numFmtId="0" fontId="21" fillId="0" borderId="111" xfId="4" applyFont="1" applyFill="1" applyBorder="1" applyAlignment="1" applyProtection="1">
      <alignment horizontal="center" vertical="center" wrapText="1"/>
      <protection locked="0"/>
    </xf>
    <xf numFmtId="0" fontId="21" fillId="0" borderId="112" xfId="4" applyFont="1" applyFill="1" applyBorder="1" applyAlignment="1" applyProtection="1">
      <alignment horizontal="center" vertical="center" wrapText="1"/>
      <protection locked="0"/>
    </xf>
    <xf numFmtId="0" fontId="21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47" xfId="5" applyFont="1" applyFill="1" applyBorder="1" applyAlignment="1" applyProtection="1">
      <alignment horizontal="center" vertical="center" wrapText="1"/>
    </xf>
    <xf numFmtId="0" fontId="13" fillId="15" borderId="58" xfId="5" applyFont="1" applyFill="1" applyBorder="1" applyAlignment="1" applyProtection="1">
      <alignment horizontal="center" vertical="center" wrapText="1"/>
    </xf>
    <xf numFmtId="0" fontId="21" fillId="0" borderId="54" xfId="0" applyFont="1" applyBorder="1" applyAlignment="1" applyProtection="1">
      <alignment horizontal="center" vertical="center" wrapText="1"/>
      <protection locked="0"/>
    </xf>
    <xf numFmtId="0" fontId="21" fillId="0" borderId="51" xfId="0" applyFont="1" applyBorder="1" applyAlignment="1" applyProtection="1">
      <alignment horizontal="center" vertical="center" wrapText="1"/>
      <protection locked="0"/>
    </xf>
    <xf numFmtId="0" fontId="21" fillId="0" borderId="54" xfId="4" applyFont="1" applyFill="1" applyBorder="1" applyAlignment="1" applyProtection="1">
      <alignment horizontal="center" vertical="center" wrapText="1"/>
      <protection locked="0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115" xfId="4" applyFont="1" applyFill="1" applyBorder="1" applyAlignment="1" applyProtection="1">
      <alignment horizontal="center" vertical="center" wrapText="1"/>
      <protection locked="0"/>
    </xf>
    <xf numFmtId="0" fontId="21" fillId="0" borderId="116" xfId="4" applyFont="1" applyFill="1" applyBorder="1" applyAlignment="1" applyProtection="1">
      <alignment horizontal="center" vertical="center" wrapText="1"/>
      <protection locked="0"/>
    </xf>
    <xf numFmtId="0" fontId="21" fillId="0" borderId="117" xfId="4" applyFont="1" applyFill="1" applyBorder="1" applyAlignment="1" applyProtection="1">
      <alignment horizontal="center" vertical="center" wrapTex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9" borderId="102" xfId="2" applyFont="1" applyFill="1" applyBorder="1" applyAlignment="1" applyProtection="1">
      <alignment horizontal="center" vertical="center" wrapText="1"/>
      <protection locked="0"/>
    </xf>
    <xf numFmtId="0" fontId="21" fillId="9" borderId="103" xfId="2" applyFont="1" applyFill="1" applyBorder="1" applyAlignment="1" applyProtection="1">
      <alignment horizontal="center" vertical="center" wrapText="1"/>
      <protection locked="0"/>
    </xf>
    <xf numFmtId="0" fontId="21" fillId="9" borderId="102" xfId="4" applyFont="1" applyFill="1" applyBorder="1" applyAlignment="1" applyProtection="1">
      <alignment horizontal="center" vertical="center" wrapText="1"/>
      <protection locked="0"/>
    </xf>
    <xf numFmtId="0" fontId="40" fillId="15" borderId="13" xfId="0" applyFont="1" applyFill="1" applyBorder="1" applyAlignment="1">
      <alignment horizontal="center" vertical="center" wrapText="1"/>
    </xf>
    <xf numFmtId="0" fontId="40" fillId="15" borderId="16" xfId="0" applyFont="1" applyFill="1" applyBorder="1" applyAlignment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31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0" fontId="21" fillId="0" borderId="4" xfId="4" applyFont="1" applyFill="1" applyBorder="1" applyAlignment="1" applyProtection="1">
      <alignment horizontal="center" vertical="center" wrapText="1"/>
      <protection locked="0"/>
    </xf>
    <xf numFmtId="0" fontId="21" fillId="0" borderId="66" xfId="4" applyFont="1" applyFill="1" applyBorder="1" applyAlignment="1" applyProtection="1">
      <alignment horizontal="center" vertical="center" wrapText="1"/>
      <protection locked="0"/>
    </xf>
    <xf numFmtId="0" fontId="21" fillId="0" borderId="65" xfId="4" applyFont="1" applyFill="1" applyBorder="1" applyAlignment="1" applyProtection="1">
      <alignment horizontal="center" vertical="center" wrapText="1"/>
      <protection locked="0"/>
    </xf>
    <xf numFmtId="0" fontId="21" fillId="0" borderId="118" xfId="4" applyFont="1" applyFill="1" applyBorder="1" applyAlignment="1" applyProtection="1">
      <alignment horizontal="center" vertical="center" wrapText="1"/>
      <protection locked="0"/>
    </xf>
    <xf numFmtId="0" fontId="21" fillId="0" borderId="119" xfId="4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21" fillId="0" borderId="18" xfId="4" applyFont="1" applyFill="1" applyBorder="1" applyAlignment="1" applyProtection="1">
      <alignment horizontal="center" vertical="center" wrapText="1"/>
      <protection locked="0"/>
    </xf>
    <xf numFmtId="0" fontId="21" fillId="0" borderId="21" xfId="4" applyFont="1" applyFill="1" applyBorder="1" applyAlignment="1" applyProtection="1">
      <alignment horizontal="center" vertical="center" wrapText="1"/>
      <protection locked="0"/>
    </xf>
    <xf numFmtId="0" fontId="21" fillId="0" borderId="24" xfId="4" applyFont="1" applyFill="1" applyBorder="1" applyAlignment="1" applyProtection="1">
      <alignment horizontal="center" vertical="center" wrapText="1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3" fillId="15" borderId="76" xfId="4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4" fillId="3" borderId="35" xfId="3" applyFont="1" applyBorder="1" applyAlignment="1" applyProtection="1">
      <alignment horizontal="center" vertical="center"/>
      <protection locked="0"/>
    </xf>
    <xf numFmtId="0" fontId="24" fillId="3" borderId="71" xfId="3" applyFont="1" applyBorder="1" applyAlignment="1" applyProtection="1">
      <alignment horizontal="center" vertical="center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49" fillId="0" borderId="22" xfId="0" applyFont="1" applyBorder="1" applyAlignment="1" applyProtection="1">
      <alignment horizontal="right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12" fillId="8" borderId="97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06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0" fontId="21" fillId="0" borderId="28" xfId="0" applyFont="1" applyBorder="1" applyAlignment="1" applyProtection="1">
      <alignment horizontal="center" vertical="center" wrapText="1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1" fillId="0" borderId="122" xfId="4" applyFont="1" applyFill="1" applyBorder="1" applyAlignment="1" applyProtection="1">
      <alignment horizontal="center" vertical="center" wrapText="1"/>
      <protection locked="0"/>
    </xf>
    <xf numFmtId="0" fontId="21" fillId="0" borderId="103" xfId="4" applyFont="1" applyFill="1" applyBorder="1" applyAlignment="1" applyProtection="1">
      <alignment horizontal="center" vertical="center" wrapText="1"/>
      <protection locked="0"/>
    </xf>
    <xf numFmtId="0" fontId="21" fillId="0" borderId="102" xfId="2" applyFont="1" applyBorder="1" applyAlignment="1" applyProtection="1">
      <alignment horizontal="center" vertical="center" wrapText="1"/>
      <protection locked="0"/>
    </xf>
    <xf numFmtId="0" fontId="21" fillId="0" borderId="103" xfId="2" applyFont="1" applyBorder="1" applyAlignment="1" applyProtection="1">
      <alignment horizontal="center" vertical="center" wrapText="1"/>
      <protection locked="0"/>
    </xf>
    <xf numFmtId="0" fontId="21" fillId="0" borderId="102" xfId="4" applyFont="1" applyFill="1" applyBorder="1" applyAlignment="1" applyProtection="1">
      <alignment horizontal="center" vertical="center" wrapText="1"/>
      <protection locked="0"/>
    </xf>
    <xf numFmtId="0" fontId="21" fillId="0" borderId="121" xfId="4" applyFont="1" applyFill="1" applyBorder="1" applyAlignment="1" applyProtection="1">
      <alignment horizontal="center" vertical="center" wrapText="1"/>
      <protection locked="0"/>
    </xf>
    <xf numFmtId="0" fontId="21" fillId="0" borderId="123" xfId="4" applyFont="1" applyFill="1" applyBorder="1" applyAlignment="1" applyProtection="1">
      <alignment horizontal="center" vertical="center" wrapText="1"/>
      <protection locked="0"/>
    </xf>
    <xf numFmtId="0" fontId="21" fillId="0" borderId="125" xfId="4" applyFont="1" applyFill="1" applyBorder="1" applyAlignment="1" applyProtection="1">
      <alignment horizontal="center" vertical="center" wrapText="1"/>
      <protection locked="0"/>
    </xf>
    <xf numFmtId="0" fontId="21" fillId="0" borderId="48" xfId="2" applyFont="1" applyBorder="1" applyAlignment="1" applyProtection="1">
      <alignment horizontal="center" vertical="center" wrapText="1"/>
      <protection locked="0"/>
    </xf>
    <xf numFmtId="0" fontId="21" fillId="0" borderId="52" xfId="2" applyFont="1" applyBorder="1" applyAlignment="1" applyProtection="1">
      <alignment horizontal="center" vertical="center" wrapText="1"/>
      <protection locked="0"/>
    </xf>
    <xf numFmtId="0" fontId="21" fillId="0" borderId="124" xfId="4" applyFont="1" applyFill="1" applyBorder="1" applyAlignment="1" applyProtection="1">
      <alignment horizontal="center" vertical="center" wrapText="1"/>
      <protection locked="0"/>
    </xf>
    <xf numFmtId="0" fontId="21" fillId="0" borderId="68" xfId="4" applyFont="1" applyFill="1" applyBorder="1" applyAlignment="1" applyProtection="1">
      <alignment horizontal="center" vertical="center" wrapText="1"/>
      <protection locked="0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89" xfId="4" applyFont="1" applyFill="1" applyBorder="1" applyAlignment="1" applyProtection="1">
      <alignment horizontal="center" vertical="center" wrapText="1"/>
      <protection locked="0"/>
    </xf>
    <xf numFmtId="0" fontId="21" fillId="0" borderId="79" xfId="4" applyFont="1" applyFill="1" applyBorder="1" applyAlignment="1" applyProtection="1">
      <alignment horizontal="center" vertical="center" wrapText="1"/>
      <protection locked="0"/>
    </xf>
    <xf numFmtId="0" fontId="21" fillId="0" borderId="59" xfId="4" applyFont="1" applyFill="1" applyBorder="1" applyAlignment="1" applyProtection="1">
      <alignment horizontal="center" vertical="center" wrapText="1"/>
      <protection locked="0"/>
    </xf>
    <xf numFmtId="0" fontId="21" fillId="0" borderId="75" xfId="4" applyFont="1" applyFill="1" applyBorder="1" applyAlignment="1" applyProtection="1">
      <alignment horizontal="center" vertical="center" wrapText="1"/>
      <protection locked="0"/>
    </xf>
    <xf numFmtId="0" fontId="21" fillId="0" borderId="126" xfId="4" applyFont="1" applyFill="1" applyBorder="1" applyAlignment="1" applyProtection="1">
      <alignment horizontal="center" vertical="center" wrapText="1"/>
      <protection locked="0"/>
    </xf>
    <xf numFmtId="0" fontId="21" fillId="0" borderId="61" xfId="4" applyFont="1" applyFill="1" applyBorder="1" applyAlignment="1" applyProtection="1">
      <alignment horizontal="center" vertical="center" wrapText="1"/>
      <protection locked="0"/>
    </xf>
    <xf numFmtId="0" fontId="21" fillId="0" borderId="88" xfId="4" applyFont="1" applyFill="1" applyBorder="1" applyAlignment="1" applyProtection="1">
      <alignment horizontal="center" vertical="center" wrapText="1"/>
      <protection locked="0"/>
    </xf>
    <xf numFmtId="0" fontId="21" fillId="0" borderId="20" xfId="4" applyFont="1" applyFill="1" applyBorder="1" applyAlignment="1" applyProtection="1">
      <alignment horizontal="center" vertical="center" wrapText="1"/>
      <protection locked="0"/>
    </xf>
    <xf numFmtId="0" fontId="21" fillId="9" borderId="47" xfId="0" applyFont="1" applyFill="1" applyBorder="1" applyAlignment="1" applyProtection="1">
      <alignment horizontal="center" vertical="center" shrinkToFit="1"/>
      <protection locked="0"/>
    </xf>
    <xf numFmtId="0" fontId="21" fillId="9" borderId="58" xfId="0" applyFont="1" applyFill="1" applyBorder="1" applyAlignment="1" applyProtection="1">
      <alignment horizontal="center" vertical="center" shrinkToFit="1"/>
      <protection locked="0"/>
    </xf>
    <xf numFmtId="0" fontId="28" fillId="9" borderId="93" xfId="4" applyFont="1" applyFill="1" applyBorder="1" applyAlignment="1" applyProtection="1">
      <alignment horizontal="center" vertical="center" wrapText="1"/>
    </xf>
    <xf numFmtId="0" fontId="21" fillId="9" borderId="73" xfId="4" applyFont="1" applyFill="1" applyBorder="1" applyAlignment="1" applyProtection="1">
      <alignment horizontal="center" vertical="center" wrapText="1"/>
    </xf>
    <xf numFmtId="0" fontId="21" fillId="9" borderId="76" xfId="4" applyFont="1" applyFill="1" applyBorder="1" applyAlignment="1" applyProtection="1">
      <alignment horizontal="center" vertical="center" wrapText="1"/>
    </xf>
    <xf numFmtId="0" fontId="21" fillId="0" borderId="77" xfId="4" applyFont="1" applyFill="1" applyBorder="1" applyAlignment="1" applyProtection="1">
      <alignment horizontal="center" vertical="center" wrapText="1"/>
      <protection locked="0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39" fillId="15" borderId="16" xfId="4" applyFont="1" applyFill="1" applyBorder="1" applyAlignment="1" applyProtection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8" fillId="0" borderId="64" xfId="4" applyFont="1" applyFill="1" applyBorder="1" applyAlignment="1" applyProtection="1">
      <alignment horizontal="center" vertical="center" wrapText="1"/>
    </xf>
    <xf numFmtId="0" fontId="28" fillId="0" borderId="53" xfId="4" applyFont="1" applyFill="1" applyBorder="1" applyAlignment="1" applyProtection="1">
      <alignment horizontal="center" vertical="center" wrapText="1"/>
    </xf>
    <xf numFmtId="0" fontId="21" fillId="0" borderId="39" xfId="0" applyFont="1" applyBorder="1" applyAlignment="1" applyProtection="1">
      <alignment horizontal="center" vertical="center" shrinkToFit="1"/>
      <protection locked="0"/>
    </xf>
    <xf numFmtId="0" fontId="21" fillId="0" borderId="41" xfId="0" applyFont="1" applyBorder="1" applyAlignment="1" applyProtection="1">
      <alignment horizontal="center" vertical="center" shrinkToFit="1"/>
      <protection locked="0"/>
    </xf>
    <xf numFmtId="0" fontId="21" fillId="0" borderId="44" xfId="0" applyFont="1" applyBorder="1" applyAlignment="1" applyProtection="1">
      <alignment horizontal="center" vertical="center" shrinkToFit="1"/>
      <protection locked="0"/>
    </xf>
    <xf numFmtId="0" fontId="21" fillId="0" borderId="46" xfId="0" applyFont="1" applyBorder="1" applyAlignment="1" applyProtection="1">
      <alignment horizontal="center" vertical="center" shrinkToFit="1"/>
      <protection locked="0"/>
    </xf>
    <xf numFmtId="0" fontId="21" fillId="0" borderId="42" xfId="0" applyFont="1" applyBorder="1" applyAlignment="1" applyProtection="1">
      <alignment horizontal="center" vertical="center" shrinkToFit="1"/>
      <protection locked="0"/>
    </xf>
    <xf numFmtId="0" fontId="21" fillId="0" borderId="43" xfId="0" applyFont="1" applyBorder="1" applyAlignment="1" applyProtection="1">
      <alignment horizontal="center" vertical="center" shrinkToFit="1"/>
      <protection locked="0"/>
    </xf>
    <xf numFmtId="0" fontId="21" fillId="15" borderId="18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1" fillId="0" borderId="47" xfId="2" applyFont="1" applyBorder="1" applyAlignment="1" applyProtection="1">
      <alignment horizontal="center" vertical="center" wrapText="1"/>
      <protection locked="0"/>
    </xf>
    <xf numFmtId="0" fontId="21" fillId="0" borderId="58" xfId="2" applyFont="1" applyBorder="1" applyAlignment="1" applyProtection="1">
      <alignment horizontal="center" vertical="center" wrapText="1"/>
      <protection locked="0"/>
    </xf>
    <xf numFmtId="0" fontId="21" fillId="0" borderId="54" xfId="0" applyFont="1" applyBorder="1" applyAlignment="1" applyProtection="1">
      <alignment horizontal="center" vertical="center" wrapText="1" shrinkToFit="1"/>
      <protection locked="0"/>
    </xf>
    <xf numFmtId="0" fontId="21" fillId="0" borderId="51" xfId="0" applyFont="1" applyBorder="1" applyAlignment="1" applyProtection="1">
      <alignment horizontal="center" vertical="center" wrapText="1" shrinkToFit="1"/>
      <protection locked="0"/>
    </xf>
    <xf numFmtId="0" fontId="13" fillId="15" borderId="54" xfId="5" applyFont="1" applyFill="1" applyBorder="1" applyAlignment="1" applyProtection="1">
      <alignment horizontal="center" vertical="center" wrapText="1"/>
    </xf>
    <xf numFmtId="0" fontId="13" fillId="15" borderId="51" xfId="5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 shrinkToFit="1"/>
    </xf>
    <xf numFmtId="0" fontId="17" fillId="11" borderId="96" xfId="7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5" fillId="8" borderId="82" xfId="0" applyFont="1" applyFill="1" applyBorder="1" applyAlignment="1">
      <alignment horizontal="center" vertical="center"/>
    </xf>
    <xf numFmtId="0" fontId="25" fillId="8" borderId="90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55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2" xfId="7" applyFont="1" applyFill="1" applyBorder="1" applyAlignment="1">
      <alignment horizontal="center" vertical="center" wrapText="1"/>
    </xf>
    <xf numFmtId="0" fontId="17" fillId="11" borderId="8" xfId="7" applyFont="1" applyFill="1" applyBorder="1" applyAlignment="1">
      <alignment horizontal="center" vertical="center" wrapText="1"/>
    </xf>
    <xf numFmtId="0" fontId="17" fillId="11" borderId="95" xfId="7" applyFont="1" applyFill="1" applyBorder="1" applyAlignment="1">
      <alignment horizontal="center" vertical="center" wrapText="1"/>
    </xf>
    <xf numFmtId="0" fontId="17" fillId="11" borderId="14" xfId="7" applyFont="1" applyFill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 wrapText="1"/>
    </xf>
    <xf numFmtId="0" fontId="17" fillId="11" borderId="95" xfId="7" applyFont="1" applyFill="1" applyBorder="1" applyAlignment="1">
      <alignment horizontal="center" vertical="center"/>
    </xf>
    <xf numFmtId="0" fontId="26" fillId="11" borderId="95" xfId="7" applyFont="1" applyFill="1" applyBorder="1" applyAlignment="1">
      <alignment horizontal="center" vertical="center" wrapText="1"/>
    </xf>
    <xf numFmtId="0" fontId="26" fillId="11" borderId="14" xfId="7" applyFont="1" applyFill="1" applyBorder="1" applyAlignment="1">
      <alignment horizontal="center" vertical="center"/>
    </xf>
    <xf numFmtId="0" fontId="26" fillId="11" borderId="96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6" fillId="11" borderId="29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/>
    </xf>
    <xf numFmtId="0" fontId="35" fillId="9" borderId="25" xfId="7" applyFont="1" applyFill="1" applyBorder="1" applyAlignment="1">
      <alignment horizontal="center" vertical="center" wrapText="1"/>
    </xf>
    <xf numFmtId="0" fontId="35" fillId="9" borderId="26" xfId="7" applyFont="1" applyFill="1" applyBorder="1" applyAlignment="1">
      <alignment horizontal="center" vertical="center" wrapText="1"/>
    </xf>
    <xf numFmtId="176" fontId="35" fillId="0" borderId="9" xfId="7" applyNumberFormat="1" applyFont="1" applyBorder="1" applyAlignment="1">
      <alignment horizontal="center" vertical="center" wrapText="1"/>
    </xf>
    <xf numFmtId="176" fontId="35" fillId="0" borderId="109" xfId="7" applyNumberFormat="1" applyFont="1" applyBorder="1" applyAlignment="1">
      <alignment horizontal="center" vertical="center" wrapText="1"/>
    </xf>
    <xf numFmtId="0" fontId="35" fillId="16" borderId="96" xfId="7" applyFont="1" applyFill="1" applyBorder="1" applyAlignment="1">
      <alignment horizontal="center" vertical="center" shrinkToFi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04" xfId="7" applyFont="1" applyFill="1" applyBorder="1" applyAlignment="1">
      <alignment horizontal="center" vertical="center" wrapText="1"/>
    </xf>
    <xf numFmtId="0" fontId="17" fillId="9" borderId="12" xfId="7" applyFont="1" applyFill="1" applyBorder="1" applyAlignment="1">
      <alignment horizontal="center" vertical="center" wrapText="1"/>
    </xf>
    <xf numFmtId="0" fontId="17" fillId="9" borderId="178" xfId="7" applyFont="1" applyFill="1" applyBorder="1" applyAlignment="1">
      <alignment horizontal="center" vertical="center" wrapText="1"/>
    </xf>
    <xf numFmtId="176" fontId="17" fillId="0" borderId="95" xfId="7" applyNumberFormat="1" applyFont="1" applyBorder="1" applyAlignment="1">
      <alignment horizontal="center" vertical="center" wrapText="1"/>
    </xf>
    <xf numFmtId="176" fontId="17" fillId="0" borderId="11" xfId="7" applyNumberFormat="1" applyFont="1" applyBorder="1" applyAlignment="1">
      <alignment horizontal="center" vertical="center" wrapText="1"/>
    </xf>
    <xf numFmtId="0" fontId="17" fillId="0" borderId="14" xfId="7" applyFont="1" applyBorder="1" applyAlignment="1">
      <alignment horizontal="center" vertical="center" wrapText="1"/>
    </xf>
    <xf numFmtId="0" fontId="17" fillId="0" borderId="176" xfId="7" applyFont="1" applyBorder="1" applyAlignment="1">
      <alignment horizontal="center" vertical="center" wrapText="1"/>
    </xf>
    <xf numFmtId="0" fontId="35" fillId="9" borderId="97" xfId="7" applyFont="1" applyFill="1" applyBorder="1" applyAlignment="1">
      <alignment horizontal="center" vertical="center" wrapText="1"/>
    </xf>
    <xf numFmtId="176" fontId="35" fillId="0" borderId="108" xfId="7" applyNumberFormat="1" applyFont="1" applyBorder="1" applyAlignment="1">
      <alignment horizontal="center" vertical="center" wrapText="1"/>
    </xf>
    <xf numFmtId="0" fontId="35" fillId="16" borderId="7" xfId="7" applyFont="1" applyFill="1" applyBorder="1" applyAlignment="1">
      <alignment horizontal="center" vertical="center" shrinkToFit="1"/>
    </xf>
    <xf numFmtId="0" fontId="35" fillId="16" borderId="17" xfId="7" applyFont="1" applyFill="1" applyBorder="1" applyAlignment="1">
      <alignment horizontal="center" vertical="center" shrinkToFit="1"/>
    </xf>
    <xf numFmtId="0" fontId="35" fillId="9" borderId="5" xfId="7" applyFont="1" applyFill="1" applyBorder="1" applyAlignment="1">
      <alignment horizontal="center" vertical="center" wrapText="1"/>
    </xf>
    <xf numFmtId="0" fontId="35" fillId="9" borderId="104" xfId="7" applyFont="1" applyFill="1" applyBorder="1" applyAlignment="1">
      <alignment horizontal="center" vertical="center" wrapText="1"/>
    </xf>
    <xf numFmtId="0" fontId="35" fillId="9" borderId="8" xfId="7" applyFont="1" applyFill="1" applyBorder="1" applyAlignment="1">
      <alignment horizontal="center" vertical="center" wrapText="1"/>
    </xf>
    <xf numFmtId="176" fontId="35" fillId="9" borderId="108" xfId="7" applyNumberFormat="1" applyFont="1" applyFill="1" applyBorder="1" applyAlignment="1">
      <alignment horizontal="center" vertical="center" wrapText="1"/>
    </xf>
    <xf numFmtId="176" fontId="35" fillId="9" borderId="9" xfId="7" applyNumberFormat="1" applyFont="1" applyFill="1" applyBorder="1" applyAlignment="1">
      <alignment horizontal="center" vertical="center" wrapText="1"/>
    </xf>
    <xf numFmtId="176" fontId="35" fillId="9" borderId="109" xfId="7" applyNumberFormat="1" applyFont="1" applyFill="1" applyBorder="1" applyAlignment="1">
      <alignment horizontal="center" vertical="center" wrapText="1"/>
    </xf>
    <xf numFmtId="176" fontId="35" fillId="9" borderId="95" xfId="7" applyNumberFormat="1" applyFont="1" applyFill="1" applyBorder="1" applyAlignment="1">
      <alignment horizontal="center" vertical="center" wrapText="1"/>
    </xf>
    <xf numFmtId="176" fontId="35" fillId="9" borderId="11" xfId="7" applyNumberFormat="1" applyFont="1" applyFill="1" applyBorder="1" applyAlignment="1">
      <alignment horizontal="center" vertical="center" wrapText="1"/>
    </xf>
    <xf numFmtId="0" fontId="35" fillId="9" borderId="96" xfId="7" applyFont="1" applyFill="1" applyBorder="1" applyAlignment="1">
      <alignment horizontal="center" vertical="center" wrapText="1"/>
    </xf>
    <xf numFmtId="0" fontId="46" fillId="19" borderId="127" xfId="2" applyFont="1" applyFill="1" applyBorder="1" applyAlignment="1">
      <alignment horizontal="center" vertical="center" wrapText="1"/>
    </xf>
    <xf numFmtId="0" fontId="46" fillId="19" borderId="128" xfId="2" applyFont="1" applyFill="1" applyBorder="1" applyAlignment="1">
      <alignment horizontal="center" vertical="center" wrapText="1"/>
    </xf>
    <xf numFmtId="0" fontId="46" fillId="19" borderId="129" xfId="2" applyFont="1" applyFill="1" applyBorder="1" applyAlignment="1">
      <alignment horizontal="center" vertical="center" wrapText="1"/>
    </xf>
    <xf numFmtId="0" fontId="35" fillId="9" borderId="12" xfId="7" applyFont="1" applyFill="1" applyBorder="1" applyAlignment="1">
      <alignment horizontal="center" vertical="center" wrapText="1"/>
    </xf>
    <xf numFmtId="0" fontId="17" fillId="9" borderId="8" xfId="7" applyFont="1" applyFill="1" applyBorder="1" applyAlignment="1">
      <alignment horizontal="center" vertical="center" wrapText="1"/>
    </xf>
    <xf numFmtId="176" fontId="17" fillId="9" borderId="95" xfId="7" applyNumberFormat="1" applyFont="1" applyFill="1" applyBorder="1" applyAlignment="1">
      <alignment horizontal="center" vertical="center" wrapText="1"/>
    </xf>
    <xf numFmtId="176" fontId="17" fillId="9" borderId="11" xfId="7" applyNumberFormat="1" applyFont="1" applyFill="1" applyBorder="1" applyAlignment="1">
      <alignment horizontal="center" vertical="center" wrapText="1"/>
    </xf>
    <xf numFmtId="0" fontId="17" fillId="9" borderId="14" xfId="7" applyFont="1" applyFill="1" applyBorder="1" applyAlignment="1">
      <alignment horizontal="center" vertical="center" wrapText="1"/>
    </xf>
    <xf numFmtId="0" fontId="17" fillId="9" borderId="96" xfId="7" applyFont="1" applyFill="1" applyBorder="1" applyAlignment="1">
      <alignment horizontal="center" vertical="center" wrapText="1"/>
    </xf>
    <xf numFmtId="0" fontId="63" fillId="0" borderId="163" xfId="16" applyFont="1" applyBorder="1" applyAlignment="1">
      <alignment horizontal="center" vertical="center"/>
    </xf>
    <xf numFmtId="0" fontId="41" fillId="0" borderId="160" xfId="16" applyFont="1" applyBorder="1"/>
    <xf numFmtId="0" fontId="50" fillId="0" borderId="0" xfId="16" applyFont="1" applyAlignment="1">
      <alignment vertical="center" wrapText="1"/>
    </xf>
    <xf numFmtId="0" fontId="16" fillId="0" borderId="0" xfId="16" applyFont="1"/>
    <xf numFmtId="0" fontId="50" fillId="20" borderId="171" xfId="16" applyFont="1" applyFill="1" applyBorder="1" applyAlignment="1">
      <alignment horizontal="center" vertical="center" wrapText="1"/>
    </xf>
    <xf numFmtId="0" fontId="41" fillId="0" borderId="132" xfId="16" applyFont="1" applyBorder="1"/>
    <xf numFmtId="0" fontId="41" fillId="0" borderId="137" xfId="16" applyFont="1" applyBorder="1"/>
    <xf numFmtId="0" fontId="50" fillId="20" borderId="6" xfId="16" applyFont="1" applyFill="1" applyBorder="1" applyAlignment="1">
      <alignment horizontal="center" vertical="center" wrapText="1"/>
    </xf>
    <xf numFmtId="0" fontId="16" fillId="0" borderId="6" xfId="16" applyFont="1" applyBorder="1"/>
    <xf numFmtId="0" fontId="61" fillId="21" borderId="140" xfId="16" applyFont="1" applyFill="1" applyBorder="1" applyAlignment="1">
      <alignment horizontal="center" vertical="center"/>
    </xf>
    <xf numFmtId="0" fontId="41" fillId="0" borderId="143" xfId="16" applyFont="1" applyBorder="1"/>
    <xf numFmtId="0" fontId="61" fillId="21" borderId="136" xfId="16" applyFont="1" applyFill="1" applyBorder="1" applyAlignment="1">
      <alignment horizontal="center" vertical="center"/>
    </xf>
    <xf numFmtId="0" fontId="41" fillId="0" borderId="135" xfId="16" applyFont="1" applyBorder="1"/>
    <xf numFmtId="0" fontId="41" fillId="0" borderId="134" xfId="16" applyFont="1" applyBorder="1"/>
    <xf numFmtId="0" fontId="62" fillId="0" borderId="140" xfId="16" applyFont="1" applyBorder="1" applyAlignment="1">
      <alignment horizontal="center" vertical="center"/>
    </xf>
    <xf numFmtId="0" fontId="64" fillId="0" borderId="143" xfId="16" applyFont="1" applyBorder="1"/>
    <xf numFmtId="0" fontId="55" fillId="21" borderId="134" xfId="16" applyFont="1" applyFill="1" applyBorder="1" applyAlignment="1">
      <alignment horizontal="center" vertical="center" wrapText="1"/>
    </xf>
    <xf numFmtId="0" fontId="55" fillId="0" borderId="136" xfId="16" applyFont="1" applyBorder="1" applyAlignment="1">
      <alignment horizontal="center" vertical="center" wrapText="1"/>
    </xf>
    <xf numFmtId="0" fontId="50" fillId="20" borderId="130" xfId="16" applyFont="1" applyFill="1" applyBorder="1" applyAlignment="1">
      <alignment horizontal="center" vertical="center" wrapText="1"/>
    </xf>
    <xf numFmtId="0" fontId="61" fillId="21" borderId="134" xfId="16" applyFont="1" applyFill="1" applyBorder="1" applyAlignment="1">
      <alignment horizontal="center" vertical="center" wrapText="1"/>
    </xf>
    <xf numFmtId="0" fontId="57" fillId="22" borderId="134" xfId="16" applyFont="1" applyFill="1" applyBorder="1" applyAlignment="1">
      <alignment horizontal="center" vertical="center" wrapText="1"/>
    </xf>
    <xf numFmtId="0" fontId="59" fillId="22" borderId="136" xfId="16" applyFont="1" applyFill="1" applyBorder="1" applyAlignment="1">
      <alignment horizontal="center" vertical="center" wrapText="1"/>
    </xf>
    <xf numFmtId="0" fontId="61" fillId="21" borderId="134" xfId="16" applyFont="1" applyFill="1" applyBorder="1" applyAlignment="1">
      <alignment horizontal="center" vertical="center"/>
    </xf>
    <xf numFmtId="0" fontId="61" fillId="0" borderId="136" xfId="16" applyFont="1" applyBorder="1" applyAlignment="1">
      <alignment horizontal="center" vertical="center"/>
    </xf>
    <xf numFmtId="0" fontId="55" fillId="21" borderId="134" xfId="16" applyFont="1" applyFill="1" applyBorder="1" applyAlignment="1">
      <alignment horizontal="center" vertical="center"/>
    </xf>
    <xf numFmtId="0" fontId="55" fillId="0" borderId="141" xfId="16" applyFont="1" applyBorder="1" applyAlignment="1">
      <alignment horizontal="center" vertical="center"/>
    </xf>
    <xf numFmtId="0" fontId="41" fillId="0" borderId="133" xfId="16" applyFont="1" applyBorder="1"/>
    <xf numFmtId="0" fontId="41" fillId="0" borderId="144" xfId="16" applyFont="1" applyBorder="1"/>
    <xf numFmtId="0" fontId="55" fillId="0" borderId="136" xfId="16" applyFont="1" applyBorder="1" applyAlignment="1">
      <alignment horizontal="center" vertical="center"/>
    </xf>
    <xf numFmtId="0" fontId="57" fillId="0" borderId="149" xfId="16" applyFont="1" applyBorder="1" applyAlignment="1">
      <alignment horizontal="center" vertical="center" wrapText="1"/>
    </xf>
    <xf numFmtId="0" fontId="41" fillId="0" borderId="155" xfId="16" applyFont="1" applyBorder="1"/>
    <xf numFmtId="0" fontId="57" fillId="0" borderId="152" xfId="16" applyFont="1" applyBorder="1" applyAlignment="1">
      <alignment horizontal="center" vertical="center" wrapText="1"/>
    </xf>
    <xf numFmtId="0" fontId="41" fillId="0" borderId="154" xfId="16" applyFont="1" applyBorder="1"/>
    <xf numFmtId="0" fontId="41" fillId="0" borderId="142" xfId="16" applyFont="1" applyBorder="1"/>
    <xf numFmtId="0" fontId="57" fillId="0" borderId="163" xfId="16" applyFont="1" applyBorder="1" applyAlignment="1">
      <alignment horizontal="center" vertical="center" wrapText="1"/>
    </xf>
    <xf numFmtId="0" fontId="57" fillId="0" borderId="165" xfId="16" applyFont="1" applyBorder="1" applyAlignment="1">
      <alignment horizontal="center" vertical="center" wrapText="1"/>
    </xf>
    <xf numFmtId="0" fontId="41" fillId="0" borderId="166" xfId="16" applyFont="1" applyBorder="1"/>
    <xf numFmtId="0" fontId="57" fillId="0" borderId="141" xfId="16" applyFont="1" applyBorder="1" applyAlignment="1">
      <alignment horizontal="center" vertical="center" wrapText="1"/>
    </xf>
    <xf numFmtId="0" fontId="57" fillId="0" borderId="167" xfId="16" applyFont="1" applyBorder="1" applyAlignment="1">
      <alignment horizontal="center" vertical="center" wrapText="1"/>
    </xf>
    <xf numFmtId="0" fontId="41" fillId="0" borderId="168" xfId="16" applyFont="1" applyBorder="1"/>
    <xf numFmtId="0" fontId="57" fillId="0" borderId="136" xfId="16" applyFont="1" applyBorder="1" applyAlignment="1">
      <alignment horizontal="center" vertical="center" wrapText="1"/>
    </xf>
    <xf numFmtId="0" fontId="56" fillId="22" borderId="147" xfId="16" applyFont="1" applyFill="1" applyBorder="1" applyAlignment="1">
      <alignment horizontal="center" vertical="center" wrapText="1"/>
    </xf>
    <xf numFmtId="0" fontId="41" fillId="0" borderId="148" xfId="16" applyFont="1" applyBorder="1"/>
    <xf numFmtId="0" fontId="57" fillId="0" borderId="150" xfId="16" applyFont="1" applyBorder="1" applyAlignment="1">
      <alignment horizontal="center" vertical="center" wrapText="1"/>
    </xf>
    <xf numFmtId="0" fontId="41" fillId="0" borderId="156" xfId="16" applyFont="1" applyBorder="1"/>
    <xf numFmtId="0" fontId="41" fillId="0" borderId="159" xfId="16" applyFont="1" applyBorder="1"/>
    <xf numFmtId="0" fontId="57" fillId="0" borderId="134" xfId="16" applyFont="1" applyBorder="1" applyAlignment="1">
      <alignment horizontal="center" vertical="center" wrapText="1"/>
    </xf>
    <xf numFmtId="0" fontId="59" fillId="0" borderId="136" xfId="16" applyFont="1" applyBorder="1" applyAlignment="1">
      <alignment horizontal="center" vertical="center" wrapText="1"/>
    </xf>
    <xf numFmtId="0" fontId="57" fillId="22" borderId="136" xfId="16" applyFont="1" applyFill="1" applyBorder="1" applyAlignment="1">
      <alignment horizontal="center" vertical="center" wrapText="1"/>
    </xf>
    <xf numFmtId="0" fontId="55" fillId="21" borderId="139" xfId="16" applyFont="1" applyFill="1" applyBorder="1" applyAlignment="1">
      <alignment horizontal="center" vertical="center"/>
    </xf>
    <xf numFmtId="0" fontId="41" fillId="0" borderId="140" xfId="16" applyFont="1" applyBorder="1"/>
    <xf numFmtId="0" fontId="55" fillId="0" borderId="141" xfId="16" applyFont="1" applyBorder="1" applyAlignment="1">
      <alignment horizontal="center" vertical="center" wrapText="1"/>
    </xf>
    <xf numFmtId="0" fontId="41" fillId="0" borderId="139" xfId="16" applyFont="1" applyBorder="1"/>
    <xf numFmtId="0" fontId="51" fillId="0" borderId="0" xfId="16" applyFont="1" applyAlignment="1">
      <alignment horizontal="center" vertical="center"/>
    </xf>
    <xf numFmtId="0" fontId="53" fillId="0" borderId="0" xfId="16" applyFont="1"/>
    <xf numFmtId="0" fontId="54" fillId="0" borderId="131" xfId="16" applyFont="1" applyBorder="1" applyAlignment="1">
      <alignment horizontal="center" vertical="center"/>
    </xf>
    <xf numFmtId="0" fontId="41" fillId="0" borderId="27" xfId="16" applyFont="1" applyBorder="1"/>
    <xf numFmtId="0" fontId="41" fillId="0" borderId="24" xfId="16" applyFont="1" applyBorder="1"/>
    <xf numFmtId="0" fontId="54" fillId="8" borderId="4" xfId="16" applyFont="1" applyFill="1" applyBorder="1" applyAlignment="1">
      <alignment horizontal="center" vertical="center"/>
    </xf>
    <xf numFmtId="0" fontId="41" fillId="8" borderId="27" xfId="16" applyFont="1" applyFill="1" applyBorder="1"/>
    <xf numFmtId="0" fontId="41" fillId="8" borderId="24" xfId="16" applyFont="1" applyFill="1" applyBorder="1"/>
    <xf numFmtId="0" fontId="36" fillId="9" borderId="14" xfId="7" applyFont="1" applyFill="1" applyBorder="1" applyAlignment="1">
      <alignment horizontal="center" vertical="center" wrapText="1" shrinkToFit="1"/>
    </xf>
  </cellXfs>
  <cellStyles count="18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45" xfId="17" xr:uid="{5671632B-2035-414F-B222-4951EBC87C52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11C31E93-16A0-412F-8D93-51DC85A4B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56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F1B77F6A-5AAB-409C-9226-29AF4F1D8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7424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17B73A7D-D8F7-4A8E-8307-8A116ADB8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56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EF3C-2C07-497B-A07C-DB5801466B9C}">
  <sheetPr>
    <pageSetUpPr fitToPage="1"/>
  </sheetPr>
  <dimension ref="B1:AD94"/>
  <sheetViews>
    <sheetView tabSelected="1" view="pageBreakPreview" zoomScaleNormal="100" zoomScaleSheetLayoutView="100" workbookViewId="0">
      <pane ySplit="8" topLeftCell="A38" activePane="bottomLeft" state="frozen"/>
      <selection pane="bottomLeft" activeCell="F41" sqref="F41:G41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514" t="s">
        <v>522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5"/>
      <c r="V2" s="516" t="s">
        <v>121</v>
      </c>
      <c r="W2" s="517"/>
      <c r="X2" s="518">
        <v>2027</v>
      </c>
      <c r="Y2" s="519"/>
      <c r="AA2" s="520" t="s">
        <v>134</v>
      </c>
      <c r="AB2" s="14" t="s">
        <v>135</v>
      </c>
      <c r="AC2" s="27" t="s">
        <v>141</v>
      </c>
      <c r="AD2" s="15" t="s">
        <v>136</v>
      </c>
    </row>
    <row r="3" spans="2:30" ht="18" thickBot="1">
      <c r="B3" s="523" t="s">
        <v>339</v>
      </c>
      <c r="C3" s="525" t="s">
        <v>47</v>
      </c>
      <c r="D3" s="526"/>
      <c r="E3" s="526"/>
      <c r="F3" s="525" t="s">
        <v>58</v>
      </c>
      <c r="G3" s="529"/>
      <c r="H3" s="525" t="s">
        <v>48</v>
      </c>
      <c r="I3" s="526"/>
      <c r="J3" s="526"/>
      <c r="K3" s="525" t="s">
        <v>49</v>
      </c>
      <c r="L3" s="526"/>
      <c r="M3" s="526"/>
      <c r="N3" s="526"/>
      <c r="O3" s="529"/>
      <c r="P3" s="531" t="s">
        <v>50</v>
      </c>
      <c r="Q3" s="532"/>
      <c r="R3" s="532"/>
      <c r="S3" s="532"/>
      <c r="T3" s="532"/>
      <c r="U3" s="532"/>
      <c r="V3" s="532"/>
      <c r="W3" s="532"/>
      <c r="X3" s="532"/>
      <c r="Y3" s="533"/>
      <c r="AA3" s="521"/>
      <c r="AB3" s="16" t="s">
        <v>137</v>
      </c>
      <c r="AC3" s="33" t="s">
        <v>370</v>
      </c>
      <c r="AD3" s="17" t="s">
        <v>497</v>
      </c>
    </row>
    <row r="4" spans="2:30" ht="18" thickBot="1">
      <c r="B4" s="524"/>
      <c r="C4" s="527"/>
      <c r="D4" s="528"/>
      <c r="E4" s="528"/>
      <c r="F4" s="527"/>
      <c r="G4" s="530"/>
      <c r="H4" s="527"/>
      <c r="I4" s="528"/>
      <c r="J4" s="528"/>
      <c r="K4" s="527"/>
      <c r="L4" s="528"/>
      <c r="M4" s="528"/>
      <c r="N4" s="528"/>
      <c r="O4" s="530"/>
      <c r="P4" s="531" t="s">
        <v>118</v>
      </c>
      <c r="Q4" s="532"/>
      <c r="R4" s="532"/>
      <c r="S4" s="532"/>
      <c r="T4" s="531" t="s">
        <v>55</v>
      </c>
      <c r="U4" s="532"/>
      <c r="V4" s="533"/>
      <c r="W4" s="532" t="s">
        <v>119</v>
      </c>
      <c r="X4" s="532"/>
      <c r="Y4" s="533"/>
      <c r="AA4" s="521"/>
      <c r="AB4" s="18" t="s">
        <v>138</v>
      </c>
      <c r="AC4" s="34" t="s">
        <v>371</v>
      </c>
      <c r="AD4" s="17" t="s">
        <v>498</v>
      </c>
    </row>
    <row r="5" spans="2:30" ht="26.25" customHeight="1" thickBot="1">
      <c r="B5" s="65" t="s">
        <v>354</v>
      </c>
      <c r="C5" s="534" t="s">
        <v>356</v>
      </c>
      <c r="D5" s="535"/>
      <c r="E5" s="536"/>
      <c r="F5" s="534" t="s">
        <v>357</v>
      </c>
      <c r="G5" s="537"/>
      <c r="H5" s="538" t="s">
        <v>760</v>
      </c>
      <c r="I5" s="535"/>
      <c r="J5" s="536"/>
      <c r="K5" s="534"/>
      <c r="L5" s="535"/>
      <c r="M5" s="535"/>
      <c r="N5" s="535"/>
      <c r="O5" s="537"/>
      <c r="P5" s="538" t="s">
        <v>761</v>
      </c>
      <c r="Q5" s="535"/>
      <c r="R5" s="535"/>
      <c r="S5" s="536"/>
      <c r="T5" s="534" t="s">
        <v>358</v>
      </c>
      <c r="U5" s="535"/>
      <c r="V5" s="536"/>
      <c r="W5" s="539" t="s">
        <v>762</v>
      </c>
      <c r="X5" s="540"/>
      <c r="Y5" s="541"/>
      <c r="AA5" s="522"/>
      <c r="AB5" s="19"/>
      <c r="AC5" s="35"/>
      <c r="AD5" s="217"/>
    </row>
    <row r="6" spans="2:30" ht="15.75" customHeight="1" thickBot="1">
      <c r="O6" s="500" t="s">
        <v>516</v>
      </c>
      <c r="P6" s="500"/>
      <c r="Q6" s="500"/>
      <c r="R6" s="500"/>
      <c r="S6" s="500"/>
      <c r="T6" s="500"/>
      <c r="U6" s="500"/>
      <c r="V6" s="500"/>
      <c r="W6" s="500"/>
      <c r="X6" s="500"/>
      <c r="Y6" s="500"/>
    </row>
    <row r="7" spans="2:30" s="9" customFormat="1" ht="22.5" customHeight="1">
      <c r="B7" s="501" t="s">
        <v>2</v>
      </c>
      <c r="C7" s="502"/>
      <c r="D7" s="505" t="s">
        <v>112</v>
      </c>
      <c r="E7" s="507" t="s">
        <v>51</v>
      </c>
      <c r="F7" s="508"/>
      <c r="G7" s="491"/>
      <c r="H7" s="487" t="s">
        <v>124</v>
      </c>
      <c r="I7" s="509" t="s">
        <v>125</v>
      </c>
      <c r="J7" s="488" t="s">
        <v>126</v>
      </c>
      <c r="K7" s="510" t="s">
        <v>52</v>
      </c>
      <c r="L7" s="509"/>
      <c r="M7" s="509"/>
      <c r="N7" s="511"/>
      <c r="O7" s="512" t="s">
        <v>53</v>
      </c>
      <c r="P7" s="509"/>
      <c r="Q7" s="509"/>
      <c r="R7" s="511"/>
      <c r="S7" s="510" t="s">
        <v>54</v>
      </c>
      <c r="T7" s="509"/>
      <c r="U7" s="509"/>
      <c r="V7" s="513"/>
      <c r="W7" s="487" t="s">
        <v>127</v>
      </c>
      <c r="X7" s="488"/>
      <c r="Y7" s="491" t="s">
        <v>128</v>
      </c>
      <c r="Z7" s="8"/>
    </row>
    <row r="8" spans="2:30" s="9" customFormat="1" ht="22.5" customHeight="1" thickBot="1">
      <c r="B8" s="503"/>
      <c r="C8" s="504"/>
      <c r="D8" s="506"/>
      <c r="E8" s="20" t="s">
        <v>18</v>
      </c>
      <c r="F8" s="493" t="s">
        <v>19</v>
      </c>
      <c r="G8" s="494"/>
      <c r="H8" s="489"/>
      <c r="I8" s="496"/>
      <c r="J8" s="490"/>
      <c r="K8" s="495" t="s">
        <v>0</v>
      </c>
      <c r="L8" s="496"/>
      <c r="M8" s="496" t="s">
        <v>56</v>
      </c>
      <c r="N8" s="497"/>
      <c r="O8" s="498" t="s">
        <v>0</v>
      </c>
      <c r="P8" s="496"/>
      <c r="Q8" s="496" t="s">
        <v>56</v>
      </c>
      <c r="R8" s="497"/>
      <c r="S8" s="495" t="s">
        <v>0</v>
      </c>
      <c r="T8" s="496"/>
      <c r="U8" s="496" t="s">
        <v>56</v>
      </c>
      <c r="V8" s="499"/>
      <c r="W8" s="489"/>
      <c r="X8" s="490"/>
      <c r="Y8" s="492"/>
      <c r="AA8" s="484" t="s">
        <v>344</v>
      </c>
      <c r="AB8" s="484"/>
      <c r="AC8" s="484"/>
      <c r="AD8" s="484"/>
    </row>
    <row r="9" spans="2:30" ht="16.5" customHeight="1" thickBot="1">
      <c r="B9" s="485" t="s">
        <v>319</v>
      </c>
      <c r="C9" s="466"/>
      <c r="D9" s="464" t="s">
        <v>21</v>
      </c>
      <c r="E9" s="36" t="s">
        <v>12</v>
      </c>
      <c r="F9" s="437" t="s">
        <v>191</v>
      </c>
      <c r="G9" s="442"/>
      <c r="H9" s="37">
        <v>4</v>
      </c>
      <c r="I9" s="38" t="s">
        <v>320</v>
      </c>
      <c r="J9" s="39">
        <v>3</v>
      </c>
      <c r="K9" s="437">
        <v>3</v>
      </c>
      <c r="L9" s="438"/>
      <c r="M9" s="439"/>
      <c r="N9" s="440"/>
      <c r="O9" s="441"/>
      <c r="P9" s="438"/>
      <c r="Q9" s="439"/>
      <c r="R9" s="440"/>
      <c r="S9" s="441"/>
      <c r="T9" s="438"/>
      <c r="U9" s="439"/>
      <c r="V9" s="442"/>
      <c r="W9" s="40">
        <f t="shared" ref="W9:W27" si="0">SUM(K9:V9)</f>
        <v>3</v>
      </c>
      <c r="X9" s="476">
        <f>SUM(W9:W11)</f>
        <v>9</v>
      </c>
      <c r="Y9" s="463">
        <v>24</v>
      </c>
      <c r="AA9" s="66" t="s">
        <v>18</v>
      </c>
      <c r="AB9" s="67" t="s">
        <v>350</v>
      </c>
      <c r="AC9" s="67" t="s">
        <v>351</v>
      </c>
      <c r="AD9" s="68" t="s">
        <v>352</v>
      </c>
    </row>
    <row r="10" spans="2:30" ht="18" thickBot="1">
      <c r="B10" s="486"/>
      <c r="C10" s="467"/>
      <c r="D10" s="465"/>
      <c r="E10" s="41" t="s">
        <v>12</v>
      </c>
      <c r="F10" s="363" t="s">
        <v>192</v>
      </c>
      <c r="G10" s="360"/>
      <c r="H10" s="42">
        <v>4</v>
      </c>
      <c r="I10" s="43" t="s">
        <v>320</v>
      </c>
      <c r="J10" s="44">
        <v>3</v>
      </c>
      <c r="K10" s="363"/>
      <c r="L10" s="364"/>
      <c r="M10" s="359">
        <v>3</v>
      </c>
      <c r="N10" s="365"/>
      <c r="O10" s="366"/>
      <c r="P10" s="364"/>
      <c r="Q10" s="359"/>
      <c r="R10" s="365"/>
      <c r="S10" s="366"/>
      <c r="T10" s="364"/>
      <c r="U10" s="359"/>
      <c r="V10" s="360"/>
      <c r="W10" s="45">
        <f t="shared" si="0"/>
        <v>3</v>
      </c>
      <c r="X10" s="483"/>
      <c r="Y10" s="463"/>
      <c r="AA10" s="69" t="s">
        <v>345</v>
      </c>
      <c r="AB10" s="70">
        <v>4</v>
      </c>
      <c r="AC10" s="70">
        <v>-1</v>
      </c>
      <c r="AD10" s="17" t="s">
        <v>320</v>
      </c>
    </row>
    <row r="11" spans="2:30" ht="18" thickBot="1">
      <c r="B11" s="486"/>
      <c r="C11" s="467"/>
      <c r="D11" s="470"/>
      <c r="E11" s="46" t="s">
        <v>326</v>
      </c>
      <c r="F11" s="447" t="s">
        <v>4</v>
      </c>
      <c r="G11" s="452"/>
      <c r="H11" s="47">
        <v>4</v>
      </c>
      <c r="I11" s="48" t="s">
        <v>322</v>
      </c>
      <c r="J11" s="49">
        <v>3</v>
      </c>
      <c r="K11" s="447"/>
      <c r="L11" s="448"/>
      <c r="M11" s="449"/>
      <c r="N11" s="450"/>
      <c r="O11" s="451">
        <v>3</v>
      </c>
      <c r="P11" s="448"/>
      <c r="Q11" s="449"/>
      <c r="R11" s="450"/>
      <c r="S11" s="451"/>
      <c r="T11" s="448"/>
      <c r="U11" s="449"/>
      <c r="V11" s="452"/>
      <c r="W11" s="45">
        <f t="shared" si="0"/>
        <v>3</v>
      </c>
      <c r="X11" s="483"/>
      <c r="Y11" s="463"/>
      <c r="AA11" s="69" t="s">
        <v>346</v>
      </c>
      <c r="AB11" s="70">
        <v>3</v>
      </c>
      <c r="AC11" s="70"/>
      <c r="AD11" s="17">
        <v>3</v>
      </c>
    </row>
    <row r="12" spans="2:30" ht="18" thickBot="1">
      <c r="B12" s="486"/>
      <c r="C12" s="467"/>
      <c r="D12" s="464" t="s">
        <v>5</v>
      </c>
      <c r="E12" s="36" t="s">
        <v>12</v>
      </c>
      <c r="F12" s="437" t="s">
        <v>202</v>
      </c>
      <c r="G12" s="442"/>
      <c r="H12" s="37">
        <v>4</v>
      </c>
      <c r="I12" s="38" t="s">
        <v>320</v>
      </c>
      <c r="J12" s="39">
        <v>3</v>
      </c>
      <c r="K12" s="437">
        <v>3</v>
      </c>
      <c r="L12" s="438"/>
      <c r="M12" s="439"/>
      <c r="N12" s="440"/>
      <c r="O12" s="441"/>
      <c r="P12" s="438"/>
      <c r="Q12" s="439"/>
      <c r="R12" s="440"/>
      <c r="S12" s="441"/>
      <c r="T12" s="438"/>
      <c r="U12" s="439"/>
      <c r="V12" s="442"/>
      <c r="W12" s="40">
        <f t="shared" si="0"/>
        <v>3</v>
      </c>
      <c r="X12" s="476">
        <f>SUM(W12:W14)</f>
        <v>9</v>
      </c>
      <c r="Y12" s="463"/>
      <c r="AA12" s="69" t="s">
        <v>347</v>
      </c>
      <c r="AB12" s="70">
        <v>4</v>
      </c>
      <c r="AC12" s="70" t="s">
        <v>353</v>
      </c>
      <c r="AD12" s="17" t="s">
        <v>322</v>
      </c>
    </row>
    <row r="13" spans="2:30" ht="18" thickBot="1">
      <c r="B13" s="486"/>
      <c r="C13" s="467"/>
      <c r="D13" s="465"/>
      <c r="E13" s="41" t="s">
        <v>12</v>
      </c>
      <c r="F13" s="363" t="s">
        <v>203</v>
      </c>
      <c r="G13" s="360"/>
      <c r="H13" s="42">
        <v>4</v>
      </c>
      <c r="I13" s="43" t="s">
        <v>320</v>
      </c>
      <c r="J13" s="44">
        <v>3</v>
      </c>
      <c r="K13" s="363"/>
      <c r="L13" s="364"/>
      <c r="M13" s="359">
        <v>3</v>
      </c>
      <c r="N13" s="365"/>
      <c r="O13" s="366"/>
      <c r="P13" s="364"/>
      <c r="Q13" s="359"/>
      <c r="R13" s="365"/>
      <c r="S13" s="366"/>
      <c r="T13" s="364"/>
      <c r="U13" s="359"/>
      <c r="V13" s="360"/>
      <c r="W13" s="45">
        <f t="shared" si="0"/>
        <v>3</v>
      </c>
      <c r="X13" s="483"/>
      <c r="Y13" s="463"/>
      <c r="AA13" s="69" t="s">
        <v>348</v>
      </c>
      <c r="AB13" s="70">
        <v>3</v>
      </c>
      <c r="AC13" s="70" t="s">
        <v>353</v>
      </c>
      <c r="AD13" s="17" t="s">
        <v>328</v>
      </c>
    </row>
    <row r="14" spans="2:30" ht="18" thickBot="1">
      <c r="B14" s="486"/>
      <c r="C14" s="467"/>
      <c r="D14" s="470"/>
      <c r="E14" s="46" t="s">
        <v>326</v>
      </c>
      <c r="F14" s="447" t="s">
        <v>30</v>
      </c>
      <c r="G14" s="452"/>
      <c r="H14" s="47">
        <v>4</v>
      </c>
      <c r="I14" s="48" t="s">
        <v>322</v>
      </c>
      <c r="J14" s="49">
        <v>3</v>
      </c>
      <c r="K14" s="447"/>
      <c r="L14" s="448"/>
      <c r="M14" s="449"/>
      <c r="N14" s="450"/>
      <c r="O14" s="451"/>
      <c r="P14" s="448"/>
      <c r="Q14" s="449">
        <v>3</v>
      </c>
      <c r="R14" s="450"/>
      <c r="S14" s="451"/>
      <c r="T14" s="448"/>
      <c r="U14" s="449"/>
      <c r="V14" s="452"/>
      <c r="W14" s="45">
        <f t="shared" si="0"/>
        <v>3</v>
      </c>
      <c r="X14" s="483"/>
      <c r="Y14" s="463"/>
      <c r="AA14" s="71" t="s">
        <v>349</v>
      </c>
      <c r="AB14" s="481" t="s">
        <v>355</v>
      </c>
      <c r="AC14" s="481"/>
      <c r="AD14" s="482"/>
    </row>
    <row r="15" spans="2:30" ht="18" thickBot="1">
      <c r="B15" s="486"/>
      <c r="C15" s="467"/>
      <c r="D15" s="464" t="s">
        <v>6</v>
      </c>
      <c r="E15" s="36" t="s">
        <v>12</v>
      </c>
      <c r="F15" s="437" t="s">
        <v>208</v>
      </c>
      <c r="G15" s="442"/>
      <c r="H15" s="37">
        <v>4</v>
      </c>
      <c r="I15" s="38" t="s">
        <v>320</v>
      </c>
      <c r="J15" s="39">
        <v>3</v>
      </c>
      <c r="K15" s="437">
        <v>3</v>
      </c>
      <c r="L15" s="438"/>
      <c r="M15" s="439"/>
      <c r="N15" s="440"/>
      <c r="O15" s="441"/>
      <c r="P15" s="438"/>
      <c r="Q15" s="439"/>
      <c r="R15" s="440"/>
      <c r="S15" s="441"/>
      <c r="T15" s="438"/>
      <c r="U15" s="439"/>
      <c r="V15" s="442"/>
      <c r="W15" s="40">
        <f t="shared" si="0"/>
        <v>3</v>
      </c>
      <c r="X15" s="476">
        <f>SUM(W15:W17)</f>
        <v>9</v>
      </c>
      <c r="Y15" s="463"/>
    </row>
    <row r="16" spans="2:30" ht="18" thickBot="1">
      <c r="B16" s="486"/>
      <c r="C16" s="467"/>
      <c r="D16" s="465"/>
      <c r="E16" s="41" t="s">
        <v>12</v>
      </c>
      <c r="F16" s="363" t="s">
        <v>213</v>
      </c>
      <c r="G16" s="360"/>
      <c r="H16" s="42">
        <v>4</v>
      </c>
      <c r="I16" s="43" t="s">
        <v>320</v>
      </c>
      <c r="J16" s="44">
        <v>3</v>
      </c>
      <c r="K16" s="363"/>
      <c r="L16" s="364"/>
      <c r="M16" s="359">
        <v>3</v>
      </c>
      <c r="N16" s="365"/>
      <c r="O16" s="366"/>
      <c r="P16" s="364"/>
      <c r="Q16" s="359"/>
      <c r="R16" s="365"/>
      <c r="S16" s="366"/>
      <c r="T16" s="364"/>
      <c r="U16" s="359"/>
      <c r="V16" s="360"/>
      <c r="W16" s="45">
        <f t="shared" si="0"/>
        <v>3</v>
      </c>
      <c r="X16" s="483"/>
      <c r="Y16" s="463"/>
    </row>
    <row r="17" spans="2:29" ht="18" thickBot="1">
      <c r="B17" s="486"/>
      <c r="C17" s="467"/>
      <c r="D17" s="470"/>
      <c r="E17" s="50" t="s">
        <v>326</v>
      </c>
      <c r="F17" s="447" t="s">
        <v>32</v>
      </c>
      <c r="G17" s="452"/>
      <c r="H17" s="47">
        <v>4</v>
      </c>
      <c r="I17" s="48" t="s">
        <v>322</v>
      </c>
      <c r="J17" s="49">
        <v>3</v>
      </c>
      <c r="K17" s="447"/>
      <c r="L17" s="448"/>
      <c r="M17" s="449"/>
      <c r="N17" s="450"/>
      <c r="O17" s="451">
        <v>3</v>
      </c>
      <c r="P17" s="448"/>
      <c r="Q17" s="449"/>
      <c r="R17" s="450"/>
      <c r="S17" s="451"/>
      <c r="T17" s="448"/>
      <c r="U17" s="449"/>
      <c r="V17" s="452"/>
      <c r="W17" s="45">
        <f t="shared" si="0"/>
        <v>3</v>
      </c>
      <c r="X17" s="483"/>
      <c r="Y17" s="463"/>
    </row>
    <row r="18" spans="2:29" ht="18" thickBot="1">
      <c r="B18" s="486"/>
      <c r="C18" s="467"/>
      <c r="D18" s="464" t="s">
        <v>323</v>
      </c>
      <c r="E18" s="36" t="s">
        <v>12</v>
      </c>
      <c r="F18" s="437" t="s">
        <v>221</v>
      </c>
      <c r="G18" s="442"/>
      <c r="H18" s="37">
        <v>3</v>
      </c>
      <c r="I18" s="51" t="s">
        <v>324</v>
      </c>
      <c r="J18" s="39">
        <v>3</v>
      </c>
      <c r="K18" s="471">
        <v>3</v>
      </c>
      <c r="L18" s="472"/>
      <c r="M18" s="473"/>
      <c r="N18" s="474"/>
      <c r="O18" s="475"/>
      <c r="P18" s="472"/>
      <c r="Q18" s="473"/>
      <c r="R18" s="474"/>
      <c r="S18" s="475"/>
      <c r="T18" s="472"/>
      <c r="U18" s="473"/>
      <c r="V18" s="480"/>
      <c r="W18" s="40">
        <f t="shared" si="0"/>
        <v>3</v>
      </c>
      <c r="X18" s="476">
        <f>SUM(W18:W19)</f>
        <v>6</v>
      </c>
      <c r="Y18" s="463">
        <v>6</v>
      </c>
    </row>
    <row r="19" spans="2:29" ht="18" thickBot="1">
      <c r="B19" s="486"/>
      <c r="C19" s="467"/>
      <c r="D19" s="465"/>
      <c r="E19" s="52" t="s">
        <v>12</v>
      </c>
      <c r="F19" s="478" t="s">
        <v>222</v>
      </c>
      <c r="G19" s="479"/>
      <c r="H19" s="53">
        <v>3</v>
      </c>
      <c r="I19" s="54" t="s">
        <v>324</v>
      </c>
      <c r="J19" s="218">
        <v>3</v>
      </c>
      <c r="K19" s="447"/>
      <c r="L19" s="448"/>
      <c r="M19" s="449">
        <v>3</v>
      </c>
      <c r="N19" s="450"/>
      <c r="O19" s="451"/>
      <c r="P19" s="448"/>
      <c r="Q19" s="449"/>
      <c r="R19" s="450"/>
      <c r="S19" s="451"/>
      <c r="T19" s="448"/>
      <c r="U19" s="449"/>
      <c r="V19" s="452"/>
      <c r="W19" s="55">
        <f t="shared" si="0"/>
        <v>3</v>
      </c>
      <c r="X19" s="477"/>
      <c r="Y19" s="463"/>
      <c r="AA19" s="293"/>
      <c r="AB19" s="293"/>
      <c r="AC19" s="216"/>
    </row>
    <row r="20" spans="2:29" ht="18" thickBot="1">
      <c r="B20" s="486"/>
      <c r="C20" s="467"/>
      <c r="D20" s="465"/>
      <c r="E20" s="36" t="s">
        <v>12</v>
      </c>
      <c r="F20" s="437" t="s">
        <v>223</v>
      </c>
      <c r="G20" s="442"/>
      <c r="H20" s="37">
        <v>4</v>
      </c>
      <c r="I20" s="51" t="s">
        <v>320</v>
      </c>
      <c r="J20" s="39">
        <v>3</v>
      </c>
      <c r="K20" s="437"/>
      <c r="L20" s="438"/>
      <c r="M20" s="439"/>
      <c r="N20" s="440"/>
      <c r="O20" s="441">
        <v>3</v>
      </c>
      <c r="P20" s="438"/>
      <c r="Q20" s="439"/>
      <c r="R20" s="440"/>
      <c r="S20" s="441"/>
      <c r="T20" s="438"/>
      <c r="U20" s="439"/>
      <c r="V20" s="442"/>
      <c r="W20" s="40">
        <f t="shared" si="0"/>
        <v>3</v>
      </c>
      <c r="X20" s="476">
        <f>SUM(W20:W21)</f>
        <v>6</v>
      </c>
      <c r="Y20" s="463">
        <v>12</v>
      </c>
    </row>
    <row r="21" spans="2:29" ht="18" thickBot="1">
      <c r="B21" s="486"/>
      <c r="C21" s="467"/>
      <c r="D21" s="470"/>
      <c r="E21" s="50" t="s">
        <v>12</v>
      </c>
      <c r="F21" s="447" t="s">
        <v>224</v>
      </c>
      <c r="G21" s="452"/>
      <c r="H21" s="47">
        <v>4</v>
      </c>
      <c r="I21" s="48" t="s">
        <v>320</v>
      </c>
      <c r="J21" s="49">
        <v>3</v>
      </c>
      <c r="K21" s="447"/>
      <c r="L21" s="448"/>
      <c r="M21" s="449"/>
      <c r="N21" s="450"/>
      <c r="O21" s="451"/>
      <c r="P21" s="448"/>
      <c r="Q21" s="449">
        <v>3</v>
      </c>
      <c r="R21" s="450"/>
      <c r="S21" s="451"/>
      <c r="T21" s="448"/>
      <c r="U21" s="449"/>
      <c r="V21" s="452"/>
      <c r="W21" s="55">
        <f t="shared" si="0"/>
        <v>3</v>
      </c>
      <c r="X21" s="477"/>
      <c r="Y21" s="463"/>
    </row>
    <row r="22" spans="2:29" ht="18" thickBot="1">
      <c r="B22" s="486"/>
      <c r="C22" s="467"/>
      <c r="D22" s="464" t="s">
        <v>23</v>
      </c>
      <c r="E22" s="36" t="s">
        <v>12</v>
      </c>
      <c r="F22" s="437" t="s">
        <v>240</v>
      </c>
      <c r="G22" s="442"/>
      <c r="H22" s="37">
        <v>4</v>
      </c>
      <c r="I22" s="51" t="s">
        <v>320</v>
      </c>
      <c r="J22" s="39">
        <v>3</v>
      </c>
      <c r="K22" s="437"/>
      <c r="L22" s="438"/>
      <c r="M22" s="439"/>
      <c r="N22" s="440"/>
      <c r="O22" s="441">
        <v>3</v>
      </c>
      <c r="P22" s="438"/>
      <c r="Q22" s="439"/>
      <c r="R22" s="440"/>
      <c r="S22" s="441"/>
      <c r="T22" s="438"/>
      <c r="U22" s="439"/>
      <c r="V22" s="442"/>
      <c r="W22" s="40">
        <f t="shared" si="0"/>
        <v>3</v>
      </c>
      <c r="X22" s="466">
        <f>SUM(W22:W23)</f>
        <v>6</v>
      </c>
      <c r="Y22" s="463"/>
    </row>
    <row r="23" spans="2:29" ht="18" thickBot="1">
      <c r="B23" s="486"/>
      <c r="C23" s="467"/>
      <c r="D23" s="465"/>
      <c r="E23" s="41" t="s">
        <v>12</v>
      </c>
      <c r="F23" s="363" t="s">
        <v>241</v>
      </c>
      <c r="G23" s="360"/>
      <c r="H23" s="42">
        <v>4</v>
      </c>
      <c r="I23" s="43" t="s">
        <v>320</v>
      </c>
      <c r="J23" s="44">
        <v>3</v>
      </c>
      <c r="K23" s="363"/>
      <c r="L23" s="364"/>
      <c r="M23" s="359"/>
      <c r="N23" s="365"/>
      <c r="O23" s="366"/>
      <c r="P23" s="364"/>
      <c r="Q23" s="359">
        <v>3</v>
      </c>
      <c r="R23" s="365"/>
      <c r="S23" s="366"/>
      <c r="T23" s="364"/>
      <c r="U23" s="359"/>
      <c r="V23" s="360"/>
      <c r="W23" s="45">
        <f t="shared" si="0"/>
        <v>3</v>
      </c>
      <c r="X23" s="467"/>
      <c r="Y23" s="463"/>
    </row>
    <row r="24" spans="2:29" ht="16.5" customHeight="1" thickBot="1">
      <c r="B24" s="486"/>
      <c r="C24" s="467"/>
      <c r="D24" s="464" t="s">
        <v>8</v>
      </c>
      <c r="E24" s="36" t="s">
        <v>326</v>
      </c>
      <c r="F24" s="437" t="s">
        <v>327</v>
      </c>
      <c r="G24" s="442"/>
      <c r="H24" s="37">
        <v>3</v>
      </c>
      <c r="I24" s="51" t="s">
        <v>328</v>
      </c>
      <c r="J24" s="39">
        <f>SUM(K24:V24)</f>
        <v>2</v>
      </c>
      <c r="K24" s="437">
        <v>2</v>
      </c>
      <c r="L24" s="438"/>
      <c r="M24" s="439"/>
      <c r="N24" s="440"/>
      <c r="O24" s="441"/>
      <c r="P24" s="438"/>
      <c r="Q24" s="439"/>
      <c r="R24" s="440"/>
      <c r="S24" s="441"/>
      <c r="T24" s="438"/>
      <c r="U24" s="439"/>
      <c r="V24" s="442"/>
      <c r="W24" s="40">
        <f t="shared" si="0"/>
        <v>2</v>
      </c>
      <c r="X24" s="468">
        <f>SUM(W24:W27)</f>
        <v>8</v>
      </c>
      <c r="Y24" s="463">
        <v>8</v>
      </c>
    </row>
    <row r="25" spans="2:29" ht="18" thickBot="1">
      <c r="B25" s="486"/>
      <c r="C25" s="467"/>
      <c r="D25" s="465"/>
      <c r="E25" s="41" t="s">
        <v>326</v>
      </c>
      <c r="F25" s="363" t="s">
        <v>329</v>
      </c>
      <c r="G25" s="360"/>
      <c r="H25" s="42">
        <v>3</v>
      </c>
      <c r="I25" s="43" t="s">
        <v>328</v>
      </c>
      <c r="J25" s="44">
        <f>SUM(K25:V25)</f>
        <v>2</v>
      </c>
      <c r="K25" s="363"/>
      <c r="L25" s="364"/>
      <c r="M25" s="359">
        <v>2</v>
      </c>
      <c r="N25" s="365"/>
      <c r="O25" s="366"/>
      <c r="P25" s="364"/>
      <c r="Q25" s="359"/>
      <c r="R25" s="365"/>
      <c r="S25" s="366"/>
      <c r="T25" s="364"/>
      <c r="U25" s="359"/>
      <c r="V25" s="360"/>
      <c r="W25" s="45">
        <f t="shared" si="0"/>
        <v>2</v>
      </c>
      <c r="X25" s="469"/>
      <c r="Y25" s="463"/>
    </row>
    <row r="26" spans="2:29" ht="18" thickBot="1">
      <c r="B26" s="486"/>
      <c r="C26" s="467"/>
      <c r="D26" s="465"/>
      <c r="E26" s="41" t="s">
        <v>321</v>
      </c>
      <c r="F26" s="363" t="s">
        <v>359</v>
      </c>
      <c r="G26" s="360"/>
      <c r="H26" s="42">
        <v>3</v>
      </c>
      <c r="I26" s="43" t="s">
        <v>328</v>
      </c>
      <c r="J26" s="44">
        <v>2</v>
      </c>
      <c r="K26" s="363"/>
      <c r="L26" s="364"/>
      <c r="M26" s="359"/>
      <c r="N26" s="365"/>
      <c r="O26" s="366">
        <v>2</v>
      </c>
      <c r="P26" s="364"/>
      <c r="Q26" s="359"/>
      <c r="R26" s="365"/>
      <c r="S26" s="366"/>
      <c r="T26" s="364"/>
      <c r="U26" s="359"/>
      <c r="V26" s="360"/>
      <c r="W26" s="45">
        <f t="shared" si="0"/>
        <v>2</v>
      </c>
      <c r="X26" s="469"/>
      <c r="Y26" s="463"/>
    </row>
    <row r="27" spans="2:29" ht="18" thickBot="1">
      <c r="B27" s="486"/>
      <c r="C27" s="467"/>
      <c r="D27" s="465"/>
      <c r="E27" s="41" t="s">
        <v>325</v>
      </c>
      <c r="F27" s="363" t="s">
        <v>330</v>
      </c>
      <c r="G27" s="360"/>
      <c r="H27" s="42">
        <v>3</v>
      </c>
      <c r="I27" s="48" t="s">
        <v>328</v>
      </c>
      <c r="J27" s="44">
        <v>2</v>
      </c>
      <c r="K27" s="363"/>
      <c r="L27" s="364"/>
      <c r="M27" s="359"/>
      <c r="N27" s="365"/>
      <c r="O27" s="366"/>
      <c r="P27" s="364"/>
      <c r="Q27" s="359">
        <v>2</v>
      </c>
      <c r="R27" s="365"/>
      <c r="S27" s="366"/>
      <c r="T27" s="364"/>
      <c r="U27" s="359"/>
      <c r="V27" s="360"/>
      <c r="W27" s="45">
        <f t="shared" si="0"/>
        <v>2</v>
      </c>
      <c r="X27" s="469"/>
      <c r="Y27" s="463"/>
    </row>
    <row r="28" spans="2:29" ht="18" thickBot="1">
      <c r="B28" s="486"/>
      <c r="C28" s="467"/>
      <c r="D28" s="464" t="s">
        <v>24</v>
      </c>
      <c r="E28" s="36" t="s">
        <v>326</v>
      </c>
      <c r="F28" s="437" t="s">
        <v>9</v>
      </c>
      <c r="G28" s="442"/>
      <c r="H28" s="37">
        <v>3</v>
      </c>
      <c r="I28" s="56" t="s">
        <v>328</v>
      </c>
      <c r="J28" s="39">
        <v>3</v>
      </c>
      <c r="K28" s="437">
        <v>3</v>
      </c>
      <c r="L28" s="438"/>
      <c r="M28" s="439"/>
      <c r="N28" s="440"/>
      <c r="O28" s="441"/>
      <c r="P28" s="438"/>
      <c r="Q28" s="439"/>
      <c r="R28" s="440"/>
      <c r="S28" s="441"/>
      <c r="T28" s="438"/>
      <c r="U28" s="439"/>
      <c r="V28" s="442"/>
      <c r="W28" s="387">
        <f>SUM(K28:V29)</f>
        <v>6</v>
      </c>
      <c r="X28" s="388"/>
      <c r="Y28" s="463">
        <v>6</v>
      </c>
    </row>
    <row r="29" spans="2:29" ht="18" thickBot="1">
      <c r="B29" s="486"/>
      <c r="C29" s="467"/>
      <c r="D29" s="465"/>
      <c r="E29" s="46" t="s">
        <v>326</v>
      </c>
      <c r="F29" s="363" t="s">
        <v>41</v>
      </c>
      <c r="G29" s="360"/>
      <c r="H29" s="42">
        <v>3</v>
      </c>
      <c r="I29" s="43" t="s">
        <v>328</v>
      </c>
      <c r="J29" s="44">
        <v>3</v>
      </c>
      <c r="K29" s="363"/>
      <c r="L29" s="364"/>
      <c r="M29" s="359">
        <v>3</v>
      </c>
      <c r="N29" s="365"/>
      <c r="O29" s="366"/>
      <c r="P29" s="364"/>
      <c r="Q29" s="359"/>
      <c r="R29" s="365"/>
      <c r="S29" s="366"/>
      <c r="T29" s="364"/>
      <c r="U29" s="359"/>
      <c r="V29" s="360"/>
      <c r="W29" s="367"/>
      <c r="X29" s="368"/>
      <c r="Y29" s="463"/>
    </row>
    <row r="30" spans="2:29" ht="16.5" customHeight="1" thickBot="1">
      <c r="B30" s="486"/>
      <c r="C30" s="467"/>
      <c r="D30" s="456" t="s">
        <v>332</v>
      </c>
      <c r="E30" s="36" t="s">
        <v>326</v>
      </c>
      <c r="F30" s="437" t="s">
        <v>26</v>
      </c>
      <c r="G30" s="442"/>
      <c r="H30" s="37">
        <v>3</v>
      </c>
      <c r="I30" s="51" t="s">
        <v>328</v>
      </c>
      <c r="J30" s="39">
        <v>4</v>
      </c>
      <c r="K30" s="437">
        <v>4</v>
      </c>
      <c r="L30" s="438"/>
      <c r="M30" s="439"/>
      <c r="N30" s="440"/>
      <c r="O30" s="441"/>
      <c r="P30" s="438"/>
      <c r="Q30" s="439"/>
      <c r="R30" s="440"/>
      <c r="S30" s="441"/>
      <c r="T30" s="438"/>
      <c r="U30" s="439"/>
      <c r="V30" s="442"/>
      <c r="W30" s="387">
        <f>SUM(K30:V31)</f>
        <v>8</v>
      </c>
      <c r="X30" s="388"/>
      <c r="Y30" s="463">
        <v>8</v>
      </c>
    </row>
    <row r="31" spans="2:29" ht="18" thickBot="1">
      <c r="B31" s="486"/>
      <c r="C31" s="467"/>
      <c r="D31" s="457"/>
      <c r="E31" s="46" t="s">
        <v>326</v>
      </c>
      <c r="F31" s="363" t="s">
        <v>360</v>
      </c>
      <c r="G31" s="360"/>
      <c r="H31" s="42">
        <v>3</v>
      </c>
      <c r="I31" s="43" t="s">
        <v>328</v>
      </c>
      <c r="J31" s="44">
        <v>4</v>
      </c>
      <c r="K31" s="363">
        <v>4</v>
      </c>
      <c r="L31" s="364"/>
      <c r="M31" s="359"/>
      <c r="N31" s="365"/>
      <c r="O31" s="366"/>
      <c r="P31" s="364"/>
      <c r="Q31" s="359"/>
      <c r="R31" s="365"/>
      <c r="S31" s="366"/>
      <c r="T31" s="364"/>
      <c r="U31" s="359"/>
      <c r="V31" s="360"/>
      <c r="W31" s="367"/>
      <c r="X31" s="368"/>
      <c r="Y31" s="463"/>
      <c r="Z31" s="77" t="s">
        <v>372</v>
      </c>
    </row>
    <row r="32" spans="2:29" ht="24.75" customHeight="1" thickBot="1">
      <c r="B32" s="288" t="s">
        <v>340</v>
      </c>
      <c r="C32" s="290"/>
      <c r="D32" s="290"/>
      <c r="E32" s="290"/>
      <c r="F32" s="290"/>
      <c r="G32" s="289"/>
      <c r="H32" s="221">
        <f>SUM(H20:H31)</f>
        <v>40</v>
      </c>
      <c r="I32" s="13"/>
      <c r="J32" s="222">
        <f>SUM(J20:J31)</f>
        <v>34</v>
      </c>
      <c r="K32" s="458">
        <f>SUM(K9:L31)</f>
        <v>25</v>
      </c>
      <c r="L32" s="459"/>
      <c r="M32" s="459">
        <f>SUM(M9:N31)</f>
        <v>17</v>
      </c>
      <c r="N32" s="299"/>
      <c r="O32" s="460">
        <f>SUM(O9:P31)</f>
        <v>14</v>
      </c>
      <c r="P32" s="459"/>
      <c r="Q32" s="459">
        <f>SUM(Q9:R31)</f>
        <v>11</v>
      </c>
      <c r="R32" s="461"/>
      <c r="S32" s="298">
        <f>SUM(S9:T31)</f>
        <v>0</v>
      </c>
      <c r="T32" s="459"/>
      <c r="U32" s="459">
        <f>SUM(U9:V31)</f>
        <v>0</v>
      </c>
      <c r="V32" s="462"/>
      <c r="W32" s="288">
        <f t="shared" ref="W32:W42" si="1">SUM(K32:V32)</f>
        <v>67</v>
      </c>
      <c r="X32" s="298"/>
      <c r="Y32" s="222">
        <f>SUM(Y9:Y31)</f>
        <v>64</v>
      </c>
      <c r="AA32" s="286" t="b">
        <f>W32&gt;=Y32</f>
        <v>1</v>
      </c>
      <c r="AB32" s="287"/>
    </row>
    <row r="33" spans="2:25" ht="17.25" customHeight="1">
      <c r="B33" s="428" t="s">
        <v>333</v>
      </c>
      <c r="C33" s="429"/>
      <c r="D33" s="431" t="s">
        <v>334</v>
      </c>
      <c r="E33" s="432"/>
      <c r="F33" s="435" t="s">
        <v>499</v>
      </c>
      <c r="G33" s="436"/>
      <c r="H33" s="28"/>
      <c r="I33" s="72"/>
      <c r="J33" s="225">
        <v>2</v>
      </c>
      <c r="K33" s="437"/>
      <c r="L33" s="438"/>
      <c r="M33" s="439"/>
      <c r="N33" s="440"/>
      <c r="O33" s="441"/>
      <c r="P33" s="438"/>
      <c r="Q33" s="439"/>
      <c r="R33" s="440"/>
      <c r="S33" s="441">
        <v>2</v>
      </c>
      <c r="T33" s="438"/>
      <c r="U33" s="439"/>
      <c r="V33" s="442"/>
      <c r="W33" s="443">
        <f t="shared" si="1"/>
        <v>2</v>
      </c>
      <c r="X33" s="444"/>
      <c r="Y33" s="313">
        <v>107</v>
      </c>
    </row>
    <row r="34" spans="2:25" ht="17.25" customHeight="1" thickBot="1">
      <c r="B34" s="375"/>
      <c r="C34" s="376"/>
      <c r="D34" s="433"/>
      <c r="E34" s="434"/>
      <c r="F34" s="445" t="s">
        <v>500</v>
      </c>
      <c r="G34" s="446"/>
      <c r="H34" s="31"/>
      <c r="I34" s="74"/>
      <c r="J34" s="227">
        <v>2</v>
      </c>
      <c r="K34" s="447"/>
      <c r="L34" s="448"/>
      <c r="M34" s="449"/>
      <c r="N34" s="450"/>
      <c r="O34" s="451"/>
      <c r="P34" s="448"/>
      <c r="Q34" s="449">
        <v>2</v>
      </c>
      <c r="R34" s="450"/>
      <c r="S34" s="451"/>
      <c r="T34" s="448"/>
      <c r="U34" s="449"/>
      <c r="V34" s="452"/>
      <c r="W34" s="389">
        <f t="shared" si="1"/>
        <v>2</v>
      </c>
      <c r="X34" s="390"/>
      <c r="Y34" s="314"/>
    </row>
    <row r="35" spans="2:25" ht="17.25" customHeight="1">
      <c r="B35" s="375"/>
      <c r="C35" s="376"/>
      <c r="D35" s="58" t="s">
        <v>362</v>
      </c>
      <c r="E35" s="150" t="s">
        <v>335</v>
      </c>
      <c r="F35" s="453" t="s">
        <v>763</v>
      </c>
      <c r="G35" s="454"/>
      <c r="H35" s="30"/>
      <c r="I35" s="246"/>
      <c r="J35" s="78">
        <v>4</v>
      </c>
      <c r="K35" s="455">
        <v>4</v>
      </c>
      <c r="L35" s="421"/>
      <c r="M35" s="422"/>
      <c r="N35" s="424"/>
      <c r="O35" s="420"/>
      <c r="P35" s="421"/>
      <c r="Q35" s="422"/>
      <c r="R35" s="423"/>
      <c r="S35" s="424"/>
      <c r="T35" s="421"/>
      <c r="U35" s="422"/>
      <c r="V35" s="425"/>
      <c r="W35" s="426">
        <f t="shared" si="1"/>
        <v>4</v>
      </c>
      <c r="X35" s="427"/>
      <c r="Y35" s="314"/>
    </row>
    <row r="36" spans="2:25" ht="17.25" customHeight="1">
      <c r="B36" s="375"/>
      <c r="C36" s="376"/>
      <c r="D36" s="145" t="s">
        <v>362</v>
      </c>
      <c r="E36" s="223" t="s">
        <v>335</v>
      </c>
      <c r="F36" s="418" t="s">
        <v>764</v>
      </c>
      <c r="G36" s="419"/>
      <c r="H36" s="30"/>
      <c r="I36" s="246"/>
      <c r="J36" s="78">
        <v>12</v>
      </c>
      <c r="K36" s="417"/>
      <c r="L36" s="372"/>
      <c r="M36" s="373">
        <v>12</v>
      </c>
      <c r="N36" s="374"/>
      <c r="O36" s="371"/>
      <c r="P36" s="372"/>
      <c r="Q36" s="373"/>
      <c r="R36" s="374"/>
      <c r="S36" s="371"/>
      <c r="T36" s="372"/>
      <c r="U36" s="373"/>
      <c r="V36" s="399"/>
      <c r="W36" s="400">
        <f t="shared" si="1"/>
        <v>12</v>
      </c>
      <c r="X36" s="401"/>
      <c r="Y36" s="314"/>
    </row>
    <row r="37" spans="2:25" ht="17.25" customHeight="1">
      <c r="B37" s="375"/>
      <c r="C37" s="430"/>
      <c r="D37" s="261" t="s">
        <v>667</v>
      </c>
      <c r="E37" s="262" t="s">
        <v>336</v>
      </c>
      <c r="F37" s="418" t="s">
        <v>765</v>
      </c>
      <c r="G37" s="419"/>
      <c r="H37" s="30"/>
      <c r="I37" s="246"/>
      <c r="J37" s="78">
        <v>4</v>
      </c>
      <c r="K37" s="417"/>
      <c r="L37" s="372"/>
      <c r="M37" s="373"/>
      <c r="N37" s="374"/>
      <c r="O37" s="371"/>
      <c r="P37" s="372"/>
      <c r="Q37" s="373"/>
      <c r="R37" s="374"/>
      <c r="S37" s="371">
        <v>2</v>
      </c>
      <c r="T37" s="372"/>
      <c r="U37" s="373">
        <v>2</v>
      </c>
      <c r="V37" s="399"/>
      <c r="W37" s="400">
        <f t="shared" si="1"/>
        <v>4</v>
      </c>
      <c r="X37" s="401"/>
      <c r="Y37" s="314"/>
    </row>
    <row r="38" spans="2:25" ht="17.25" customHeight="1">
      <c r="B38" s="375"/>
      <c r="C38" s="376"/>
      <c r="D38" s="58" t="s">
        <v>362</v>
      </c>
      <c r="E38" s="223" t="s">
        <v>336</v>
      </c>
      <c r="F38" s="418" t="s">
        <v>766</v>
      </c>
      <c r="G38" s="419"/>
      <c r="H38" s="30"/>
      <c r="I38" s="246"/>
      <c r="J38" s="78">
        <v>8</v>
      </c>
      <c r="K38" s="417"/>
      <c r="L38" s="372"/>
      <c r="M38" s="373"/>
      <c r="N38" s="374"/>
      <c r="O38" s="371"/>
      <c r="P38" s="372"/>
      <c r="Q38" s="373"/>
      <c r="R38" s="374"/>
      <c r="S38" s="371">
        <v>4</v>
      </c>
      <c r="T38" s="372"/>
      <c r="U38" s="373">
        <v>4</v>
      </c>
      <c r="V38" s="399"/>
      <c r="W38" s="400">
        <f t="shared" si="1"/>
        <v>8</v>
      </c>
      <c r="X38" s="401"/>
      <c r="Y38" s="314"/>
    </row>
    <row r="39" spans="2:25" ht="17.25" customHeight="1">
      <c r="B39" s="375"/>
      <c r="C39" s="376"/>
      <c r="D39" s="145" t="s">
        <v>362</v>
      </c>
      <c r="E39" s="223" t="s">
        <v>336</v>
      </c>
      <c r="F39" s="369" t="s">
        <v>767</v>
      </c>
      <c r="G39" s="370"/>
      <c r="H39" s="30"/>
      <c r="I39" s="246"/>
      <c r="J39" s="78">
        <v>10</v>
      </c>
      <c r="K39" s="417"/>
      <c r="L39" s="372"/>
      <c r="M39" s="373"/>
      <c r="N39" s="374"/>
      <c r="O39" s="371"/>
      <c r="P39" s="372"/>
      <c r="Q39" s="373"/>
      <c r="R39" s="374"/>
      <c r="S39" s="371">
        <v>5</v>
      </c>
      <c r="T39" s="372"/>
      <c r="U39" s="373">
        <v>5</v>
      </c>
      <c r="V39" s="399"/>
      <c r="W39" s="400">
        <f t="shared" si="1"/>
        <v>10</v>
      </c>
      <c r="X39" s="401"/>
      <c r="Y39" s="314"/>
    </row>
    <row r="40" spans="2:25" ht="17.25" customHeight="1">
      <c r="B40" s="375"/>
      <c r="C40" s="376"/>
      <c r="D40" s="145" t="s">
        <v>362</v>
      </c>
      <c r="E40" s="223" t="s">
        <v>336</v>
      </c>
      <c r="F40" s="369" t="s">
        <v>768</v>
      </c>
      <c r="G40" s="370"/>
      <c r="H40" s="30"/>
      <c r="I40" s="246"/>
      <c r="J40" s="78">
        <v>17</v>
      </c>
      <c r="K40" s="417"/>
      <c r="L40" s="372"/>
      <c r="M40" s="373"/>
      <c r="N40" s="402"/>
      <c r="O40" s="371">
        <v>7</v>
      </c>
      <c r="P40" s="372"/>
      <c r="Q40" s="373">
        <v>8</v>
      </c>
      <c r="R40" s="374"/>
      <c r="S40" s="402"/>
      <c r="T40" s="372"/>
      <c r="U40" s="373"/>
      <c r="V40" s="399"/>
      <c r="W40" s="400">
        <f t="shared" si="1"/>
        <v>15</v>
      </c>
      <c r="X40" s="401"/>
      <c r="Y40" s="314"/>
    </row>
    <row r="41" spans="2:25" ht="17.25" customHeight="1">
      <c r="B41" s="375"/>
      <c r="C41" s="376"/>
      <c r="D41" s="57" t="s">
        <v>362</v>
      </c>
      <c r="E41" s="223" t="s">
        <v>336</v>
      </c>
      <c r="F41" s="361" t="s">
        <v>833</v>
      </c>
      <c r="G41" s="362"/>
      <c r="H41" s="30"/>
      <c r="I41" s="263"/>
      <c r="J41" s="226">
        <v>20</v>
      </c>
      <c r="K41" s="417"/>
      <c r="L41" s="372"/>
      <c r="M41" s="373"/>
      <c r="N41" s="402"/>
      <c r="O41" s="371"/>
      <c r="P41" s="372"/>
      <c r="Q41" s="373"/>
      <c r="R41" s="374"/>
      <c r="S41" s="402">
        <v>10</v>
      </c>
      <c r="T41" s="372"/>
      <c r="U41" s="373">
        <v>12</v>
      </c>
      <c r="V41" s="399"/>
      <c r="W41" s="400">
        <f t="shared" si="1"/>
        <v>22</v>
      </c>
      <c r="X41" s="401"/>
      <c r="Y41" s="314"/>
    </row>
    <row r="42" spans="2:25" ht="16.5" customHeight="1" thickBot="1">
      <c r="B42" s="375"/>
      <c r="C42" s="376"/>
      <c r="D42" s="58" t="s">
        <v>337</v>
      </c>
      <c r="E42" s="223" t="s">
        <v>336</v>
      </c>
      <c r="F42" s="369" t="s">
        <v>769</v>
      </c>
      <c r="G42" s="370"/>
      <c r="H42" s="111"/>
      <c r="I42" s="263"/>
      <c r="J42" s="226">
        <v>8</v>
      </c>
      <c r="K42" s="417"/>
      <c r="L42" s="372"/>
      <c r="M42" s="373"/>
      <c r="N42" s="402"/>
      <c r="O42" s="371">
        <v>4</v>
      </c>
      <c r="P42" s="372"/>
      <c r="Q42" s="373">
        <v>4</v>
      </c>
      <c r="R42" s="374"/>
      <c r="S42" s="402"/>
      <c r="T42" s="372"/>
      <c r="U42" s="373"/>
      <c r="V42" s="399"/>
      <c r="W42" s="400">
        <f t="shared" si="1"/>
        <v>8</v>
      </c>
      <c r="X42" s="401"/>
      <c r="Y42" s="314"/>
    </row>
    <row r="43" spans="2:25" ht="20.25" customHeight="1">
      <c r="B43" s="403" t="s">
        <v>143</v>
      </c>
      <c r="C43" s="264" t="s">
        <v>770</v>
      </c>
      <c r="D43" s="59" t="s">
        <v>362</v>
      </c>
      <c r="E43" s="60" t="s">
        <v>336</v>
      </c>
      <c r="F43" s="405" t="s">
        <v>771</v>
      </c>
      <c r="G43" s="406"/>
      <c r="H43" s="28"/>
      <c r="I43" s="407"/>
      <c r="J43" s="409">
        <v>12</v>
      </c>
      <c r="K43" s="411"/>
      <c r="L43" s="412"/>
      <c r="M43" s="413"/>
      <c r="N43" s="414"/>
      <c r="O43" s="415"/>
      <c r="P43" s="412"/>
      <c r="Q43" s="413"/>
      <c r="R43" s="416"/>
      <c r="S43" s="379">
        <v>6</v>
      </c>
      <c r="T43" s="380"/>
      <c r="U43" s="383">
        <v>6</v>
      </c>
      <c r="V43" s="384"/>
      <c r="W43" s="387">
        <f>SUM(O43:V44)</f>
        <v>12</v>
      </c>
      <c r="X43" s="388"/>
      <c r="Y43" s="314"/>
    </row>
    <row r="44" spans="2:25" ht="20.25" customHeight="1" thickBot="1">
      <c r="B44" s="404"/>
      <c r="C44" s="224" t="s">
        <v>772</v>
      </c>
      <c r="D44" s="62" t="s">
        <v>362</v>
      </c>
      <c r="E44" s="224" t="s">
        <v>336</v>
      </c>
      <c r="F44" s="391" t="s">
        <v>773</v>
      </c>
      <c r="G44" s="392"/>
      <c r="H44" s="31"/>
      <c r="I44" s="408"/>
      <c r="J44" s="410"/>
      <c r="K44" s="393"/>
      <c r="L44" s="394"/>
      <c r="M44" s="395"/>
      <c r="N44" s="396"/>
      <c r="O44" s="397"/>
      <c r="P44" s="394"/>
      <c r="Q44" s="395"/>
      <c r="R44" s="398"/>
      <c r="S44" s="381"/>
      <c r="T44" s="382"/>
      <c r="U44" s="385"/>
      <c r="V44" s="386"/>
      <c r="W44" s="389"/>
      <c r="X44" s="390"/>
      <c r="Y44" s="314"/>
    </row>
    <row r="45" spans="2:25" ht="16.5" customHeight="1">
      <c r="B45" s="375" t="s">
        <v>144</v>
      </c>
      <c r="C45" s="376"/>
      <c r="D45" s="57" t="s">
        <v>361</v>
      </c>
      <c r="E45" s="150" t="s">
        <v>336</v>
      </c>
      <c r="F45" s="361" t="s">
        <v>501</v>
      </c>
      <c r="G45" s="362"/>
      <c r="H45" s="30"/>
      <c r="I45" s="377"/>
      <c r="J45" s="378">
        <v>8</v>
      </c>
      <c r="K45" s="363"/>
      <c r="L45" s="364"/>
      <c r="M45" s="359"/>
      <c r="N45" s="365"/>
      <c r="O45" s="366">
        <v>4</v>
      </c>
      <c r="P45" s="364"/>
      <c r="Q45" s="359">
        <v>4</v>
      </c>
      <c r="R45" s="365"/>
      <c r="S45" s="366"/>
      <c r="T45" s="364"/>
      <c r="U45" s="359"/>
      <c r="V45" s="360"/>
      <c r="W45" s="367">
        <v>8</v>
      </c>
      <c r="X45" s="368"/>
      <c r="Y45" s="314"/>
    </row>
    <row r="46" spans="2:25" ht="16.5" customHeight="1">
      <c r="B46" s="375"/>
      <c r="C46" s="376"/>
      <c r="D46" s="57" t="s">
        <v>361</v>
      </c>
      <c r="E46" s="223" t="s">
        <v>335</v>
      </c>
      <c r="F46" s="369" t="s">
        <v>519</v>
      </c>
      <c r="G46" s="370"/>
      <c r="H46" s="30"/>
      <c r="I46" s="377"/>
      <c r="J46" s="378"/>
      <c r="K46" s="363"/>
      <c r="L46" s="364"/>
      <c r="M46" s="359"/>
      <c r="N46" s="365"/>
      <c r="O46" s="371">
        <v>4</v>
      </c>
      <c r="P46" s="372"/>
      <c r="Q46" s="373"/>
      <c r="R46" s="374"/>
      <c r="S46" s="366"/>
      <c r="T46" s="364"/>
      <c r="U46" s="359"/>
      <c r="V46" s="360"/>
      <c r="W46" s="367"/>
      <c r="X46" s="368"/>
      <c r="Y46" s="314"/>
    </row>
    <row r="47" spans="2:25" ht="16.5" customHeight="1">
      <c r="B47" s="375"/>
      <c r="C47" s="376"/>
      <c r="D47" s="57" t="s">
        <v>361</v>
      </c>
      <c r="E47" s="223" t="s">
        <v>336</v>
      </c>
      <c r="F47" s="369" t="s">
        <v>366</v>
      </c>
      <c r="G47" s="370"/>
      <c r="H47" s="30"/>
      <c r="I47" s="377"/>
      <c r="J47" s="378"/>
      <c r="K47" s="363"/>
      <c r="L47" s="364"/>
      <c r="M47" s="359"/>
      <c r="N47" s="365"/>
      <c r="O47" s="230"/>
      <c r="P47" s="231"/>
      <c r="Q47" s="373">
        <v>4</v>
      </c>
      <c r="R47" s="374"/>
      <c r="S47" s="366"/>
      <c r="T47" s="364"/>
      <c r="U47" s="359"/>
      <c r="V47" s="360"/>
      <c r="W47" s="367"/>
      <c r="X47" s="368"/>
      <c r="Y47" s="314"/>
    </row>
    <row r="48" spans="2:25" ht="16.5" customHeight="1">
      <c r="B48" s="375"/>
      <c r="C48" s="376"/>
      <c r="D48" s="57" t="s">
        <v>361</v>
      </c>
      <c r="E48" s="223" t="s">
        <v>335</v>
      </c>
      <c r="F48" s="361" t="s">
        <v>502</v>
      </c>
      <c r="G48" s="362"/>
      <c r="H48" s="30"/>
      <c r="I48" s="377"/>
      <c r="J48" s="378"/>
      <c r="K48" s="363"/>
      <c r="L48" s="364"/>
      <c r="M48" s="359"/>
      <c r="N48" s="365"/>
      <c r="O48" s="366">
        <v>4</v>
      </c>
      <c r="P48" s="364"/>
      <c r="Q48" s="359"/>
      <c r="R48" s="365"/>
      <c r="S48" s="366"/>
      <c r="T48" s="364"/>
      <c r="U48" s="359"/>
      <c r="V48" s="360"/>
      <c r="W48" s="367"/>
      <c r="X48" s="368"/>
      <c r="Y48" s="314"/>
    </row>
    <row r="49" spans="2:29" ht="16.5" customHeight="1">
      <c r="B49" s="375"/>
      <c r="C49" s="376"/>
      <c r="D49" s="57" t="s">
        <v>361</v>
      </c>
      <c r="E49" s="223" t="s">
        <v>335</v>
      </c>
      <c r="F49" s="361" t="s">
        <v>367</v>
      </c>
      <c r="G49" s="362"/>
      <c r="H49" s="30"/>
      <c r="I49" s="377"/>
      <c r="J49" s="378"/>
      <c r="K49" s="363"/>
      <c r="L49" s="364"/>
      <c r="M49" s="359"/>
      <c r="N49" s="365"/>
      <c r="O49" s="366"/>
      <c r="P49" s="364"/>
      <c r="Q49" s="359">
        <v>4</v>
      </c>
      <c r="R49" s="365"/>
      <c r="S49" s="366"/>
      <c r="T49" s="364"/>
      <c r="U49" s="359"/>
      <c r="V49" s="360"/>
      <c r="W49" s="367"/>
      <c r="X49" s="368"/>
      <c r="Y49" s="314"/>
    </row>
    <row r="50" spans="2:29" ht="16.5" customHeight="1">
      <c r="B50" s="375"/>
      <c r="C50" s="376"/>
      <c r="D50" s="57" t="s">
        <v>62</v>
      </c>
      <c r="E50" s="150" t="s">
        <v>336</v>
      </c>
      <c r="F50" s="361" t="s">
        <v>508</v>
      </c>
      <c r="G50" s="362"/>
      <c r="H50" s="30"/>
      <c r="I50" s="377"/>
      <c r="J50" s="378"/>
      <c r="K50" s="363"/>
      <c r="L50" s="364"/>
      <c r="M50" s="359"/>
      <c r="N50" s="365"/>
      <c r="O50" s="366">
        <v>4</v>
      </c>
      <c r="P50" s="364"/>
      <c r="Q50" s="359">
        <v>4</v>
      </c>
      <c r="R50" s="365"/>
      <c r="S50" s="366"/>
      <c r="T50" s="364"/>
      <c r="U50" s="359"/>
      <c r="V50" s="360"/>
      <c r="W50" s="367"/>
      <c r="X50" s="368"/>
      <c r="Y50" s="314"/>
    </row>
    <row r="51" spans="2:29" ht="16.5" customHeight="1">
      <c r="B51" s="375"/>
      <c r="C51" s="376"/>
      <c r="D51" s="57" t="s">
        <v>60</v>
      </c>
      <c r="E51" s="150" t="s">
        <v>336</v>
      </c>
      <c r="F51" s="361" t="s">
        <v>369</v>
      </c>
      <c r="G51" s="362"/>
      <c r="H51" s="30"/>
      <c r="I51" s="377"/>
      <c r="J51" s="378"/>
      <c r="K51" s="363"/>
      <c r="L51" s="364"/>
      <c r="M51" s="359"/>
      <c r="N51" s="365"/>
      <c r="O51" s="366">
        <v>4</v>
      </c>
      <c r="P51" s="364"/>
      <c r="Q51" s="359">
        <v>4</v>
      </c>
      <c r="R51" s="365"/>
      <c r="S51" s="366"/>
      <c r="T51" s="364"/>
      <c r="U51" s="359"/>
      <c r="V51" s="360"/>
      <c r="W51" s="367"/>
      <c r="X51" s="368"/>
      <c r="Y51" s="314"/>
    </row>
    <row r="52" spans="2:29" ht="16.5" customHeight="1" thickBot="1">
      <c r="B52" s="375"/>
      <c r="C52" s="376"/>
      <c r="D52" s="57" t="s">
        <v>337</v>
      </c>
      <c r="E52" s="265" t="s">
        <v>336</v>
      </c>
      <c r="F52" s="361" t="s">
        <v>503</v>
      </c>
      <c r="G52" s="362"/>
      <c r="H52" s="30"/>
      <c r="I52" s="377"/>
      <c r="J52" s="378"/>
      <c r="K52" s="363"/>
      <c r="L52" s="364"/>
      <c r="M52" s="359"/>
      <c r="N52" s="365"/>
      <c r="O52" s="366">
        <v>4</v>
      </c>
      <c r="P52" s="364"/>
      <c r="Q52" s="359">
        <v>4</v>
      </c>
      <c r="R52" s="365"/>
      <c r="S52" s="366"/>
      <c r="T52" s="364"/>
      <c r="U52" s="359"/>
      <c r="V52" s="360"/>
      <c r="W52" s="367"/>
      <c r="X52" s="368"/>
      <c r="Y52" s="314"/>
    </row>
    <row r="53" spans="2:29" ht="24.75" customHeight="1">
      <c r="B53" s="350" t="s">
        <v>341</v>
      </c>
      <c r="C53" s="346"/>
      <c r="D53" s="346"/>
      <c r="E53" s="346"/>
      <c r="F53" s="346"/>
      <c r="G53" s="348"/>
      <c r="H53" s="353">
        <f>SUM(H33:H42)</f>
        <v>0</v>
      </c>
      <c r="I53" s="355">
        <f>SUM(I33:I42)</f>
        <v>0</v>
      </c>
      <c r="J53" s="357">
        <f>SUM(J33:J52)</f>
        <v>107</v>
      </c>
      <c r="K53" s="350">
        <f>SUM(K33:L52)</f>
        <v>4</v>
      </c>
      <c r="L53" s="339"/>
      <c r="M53" s="342">
        <f>SUM(M33:N52)</f>
        <v>12</v>
      </c>
      <c r="N53" s="346"/>
      <c r="O53" s="338">
        <f>SUM(O33:P45)</f>
        <v>15</v>
      </c>
      <c r="P53" s="339"/>
      <c r="Q53" s="342">
        <f>SUM(Q33:R45)</f>
        <v>18</v>
      </c>
      <c r="R53" s="343"/>
      <c r="S53" s="346">
        <f>SUM(S33:T52)</f>
        <v>29</v>
      </c>
      <c r="T53" s="339"/>
      <c r="U53" s="342">
        <f>SUM(U33:V52)</f>
        <v>29</v>
      </c>
      <c r="V53" s="348"/>
      <c r="W53" s="350">
        <f>SUM(K53:V54)</f>
        <v>107</v>
      </c>
      <c r="X53" s="348"/>
      <c r="Y53" s="313">
        <f>SUM(Y33:Y52)</f>
        <v>107</v>
      </c>
      <c r="AC53" s="216"/>
    </row>
    <row r="54" spans="2:29" ht="18" thickBot="1">
      <c r="B54" s="351"/>
      <c r="C54" s="347"/>
      <c r="D54" s="347"/>
      <c r="E54" s="347"/>
      <c r="F54" s="347"/>
      <c r="G54" s="349"/>
      <c r="H54" s="354"/>
      <c r="I54" s="356"/>
      <c r="J54" s="358"/>
      <c r="K54" s="351"/>
      <c r="L54" s="341"/>
      <c r="M54" s="344"/>
      <c r="N54" s="347"/>
      <c r="O54" s="340"/>
      <c r="P54" s="341"/>
      <c r="Q54" s="344"/>
      <c r="R54" s="345"/>
      <c r="S54" s="347"/>
      <c r="T54" s="341"/>
      <c r="U54" s="344"/>
      <c r="V54" s="349"/>
      <c r="W54" s="351"/>
      <c r="X54" s="349"/>
      <c r="Y54" s="352"/>
      <c r="AC54" s="63"/>
    </row>
    <row r="55" spans="2:29" ht="17.25" customHeight="1" thickBot="1">
      <c r="B55" s="288"/>
      <c r="C55" s="290"/>
      <c r="D55" s="290"/>
      <c r="E55" s="290"/>
      <c r="F55" s="290"/>
      <c r="G55" s="289"/>
      <c r="H55" s="219">
        <f>SUM(H32,H53)</f>
        <v>40</v>
      </c>
      <c r="I55" s="220">
        <f>SUM(I32,I53)</f>
        <v>0</v>
      </c>
      <c r="J55" s="222">
        <f>SUM(J32,J53)</f>
        <v>141</v>
      </c>
      <c r="K55" s="288">
        <f>SUM(K32,K53)</f>
        <v>29</v>
      </c>
      <c r="L55" s="298"/>
      <c r="M55" s="299">
        <f>SUM(M32,M53)</f>
        <v>29</v>
      </c>
      <c r="N55" s="291"/>
      <c r="O55" s="292">
        <f>SUM(O32,O53)</f>
        <v>29</v>
      </c>
      <c r="P55" s="298"/>
      <c r="Q55" s="299">
        <f>SUM(Q32,Q53)</f>
        <v>29</v>
      </c>
      <c r="R55" s="291"/>
      <c r="S55" s="292">
        <f>SUM(S32,S53)</f>
        <v>29</v>
      </c>
      <c r="T55" s="298"/>
      <c r="U55" s="299">
        <f>SUM(U32,U53)</f>
        <v>29</v>
      </c>
      <c r="V55" s="289"/>
      <c r="W55" s="288">
        <f>SUM(K55:V55)</f>
        <v>174</v>
      </c>
      <c r="X55" s="289"/>
      <c r="Y55" s="10">
        <f>Y32+Y53</f>
        <v>171</v>
      </c>
      <c r="AA55" s="293" t="s">
        <v>145</v>
      </c>
      <c r="AB55" s="293"/>
    </row>
    <row r="56" spans="2:29" ht="18.75" customHeight="1" thickBot="1">
      <c r="B56" s="307" t="s">
        <v>342</v>
      </c>
      <c r="C56" s="326"/>
      <c r="D56" s="326"/>
      <c r="E56" s="308"/>
      <c r="F56" s="331" t="s">
        <v>338</v>
      </c>
      <c r="G56" s="332"/>
      <c r="H56" s="332"/>
      <c r="I56" s="332"/>
      <c r="J56" s="333"/>
      <c r="K56" s="334">
        <v>16</v>
      </c>
      <c r="L56" s="335"/>
      <c r="M56" s="305">
        <v>16</v>
      </c>
      <c r="N56" s="336"/>
      <c r="O56" s="337">
        <v>16</v>
      </c>
      <c r="P56" s="335"/>
      <c r="Q56" s="305">
        <v>16</v>
      </c>
      <c r="R56" s="336"/>
      <c r="S56" s="337">
        <v>16</v>
      </c>
      <c r="T56" s="335"/>
      <c r="U56" s="305">
        <v>16</v>
      </c>
      <c r="V56" s="306"/>
      <c r="W56" s="307">
        <f>SUM(K56:V58)</f>
        <v>288</v>
      </c>
      <c r="X56" s="308"/>
      <c r="Y56" s="313">
        <f>Y59*16</f>
        <v>288</v>
      </c>
      <c r="AA56" s="325"/>
      <c r="AB56" s="325"/>
    </row>
    <row r="57" spans="2:29" ht="17.25" customHeight="1" thickBot="1">
      <c r="B57" s="309"/>
      <c r="C57" s="327"/>
      <c r="D57" s="327"/>
      <c r="E57" s="310"/>
      <c r="F57" s="316" t="s">
        <v>57</v>
      </c>
      <c r="G57" s="317"/>
      <c r="H57" s="317"/>
      <c r="I57" s="317"/>
      <c r="J57" s="318"/>
      <c r="K57" s="319">
        <v>16</v>
      </c>
      <c r="L57" s="320"/>
      <c r="M57" s="321">
        <v>16</v>
      </c>
      <c r="N57" s="322"/>
      <c r="O57" s="323">
        <v>16</v>
      </c>
      <c r="P57" s="320"/>
      <c r="Q57" s="321">
        <v>16</v>
      </c>
      <c r="R57" s="322"/>
      <c r="S57" s="323">
        <v>16</v>
      </c>
      <c r="T57" s="320"/>
      <c r="U57" s="321">
        <v>16</v>
      </c>
      <c r="V57" s="324"/>
      <c r="W57" s="309"/>
      <c r="X57" s="310"/>
      <c r="Y57" s="314"/>
      <c r="AA57" s="286" t="b">
        <f>W55&gt;=Y55</f>
        <v>1</v>
      </c>
      <c r="AB57" s="287"/>
    </row>
    <row r="58" spans="2:29" ht="17.25" customHeight="1">
      <c r="B58" s="309"/>
      <c r="C58" s="327"/>
      <c r="D58" s="327"/>
      <c r="E58" s="310"/>
      <c r="F58" s="316" t="s">
        <v>11</v>
      </c>
      <c r="G58" s="317"/>
      <c r="H58" s="317"/>
      <c r="I58" s="317"/>
      <c r="J58" s="318"/>
      <c r="K58" s="319">
        <v>16</v>
      </c>
      <c r="L58" s="320"/>
      <c r="M58" s="321">
        <v>16</v>
      </c>
      <c r="N58" s="322"/>
      <c r="O58" s="323">
        <v>16</v>
      </c>
      <c r="P58" s="320"/>
      <c r="Q58" s="321">
        <v>16</v>
      </c>
      <c r="R58" s="322"/>
      <c r="S58" s="323">
        <v>16</v>
      </c>
      <c r="T58" s="320"/>
      <c r="U58" s="321">
        <v>16</v>
      </c>
      <c r="V58" s="324"/>
      <c r="W58" s="311"/>
      <c r="X58" s="312"/>
      <c r="Y58" s="315"/>
    </row>
    <row r="59" spans="2:29" ht="17.25" customHeight="1" thickBot="1">
      <c r="B59" s="328"/>
      <c r="C59" s="329"/>
      <c r="D59" s="329"/>
      <c r="E59" s="330"/>
      <c r="F59" s="296" t="s">
        <v>139</v>
      </c>
      <c r="G59" s="300"/>
      <c r="H59" s="300"/>
      <c r="I59" s="300"/>
      <c r="J59" s="297"/>
      <c r="K59" s="301">
        <v>3</v>
      </c>
      <c r="L59" s="302"/>
      <c r="M59" s="294">
        <v>3</v>
      </c>
      <c r="N59" s="303"/>
      <c r="O59" s="304">
        <v>3</v>
      </c>
      <c r="P59" s="302"/>
      <c r="Q59" s="294">
        <v>3</v>
      </c>
      <c r="R59" s="303"/>
      <c r="S59" s="304">
        <v>3</v>
      </c>
      <c r="T59" s="302"/>
      <c r="U59" s="294">
        <v>3</v>
      </c>
      <c r="V59" s="295"/>
      <c r="W59" s="296">
        <f>SUM(K59:V59)</f>
        <v>18</v>
      </c>
      <c r="X59" s="297"/>
      <c r="Y59" s="64">
        <v>18</v>
      </c>
      <c r="AA59" s="293" t="s">
        <v>146</v>
      </c>
      <c r="AB59" s="293"/>
    </row>
    <row r="60" spans="2:29" ht="17.25" customHeight="1" thickBot="1">
      <c r="B60" s="288"/>
      <c r="C60" s="290"/>
      <c r="D60" s="290"/>
      <c r="E60" s="290"/>
      <c r="F60" s="290"/>
      <c r="G60" s="290"/>
      <c r="H60" s="290"/>
      <c r="I60" s="290"/>
      <c r="J60" s="289"/>
      <c r="K60" s="288">
        <v>32</v>
      </c>
      <c r="L60" s="298"/>
      <c r="M60" s="299">
        <v>32</v>
      </c>
      <c r="N60" s="291"/>
      <c r="O60" s="292">
        <v>32</v>
      </c>
      <c r="P60" s="298"/>
      <c r="Q60" s="299">
        <v>32</v>
      </c>
      <c r="R60" s="291"/>
      <c r="S60" s="292">
        <v>32</v>
      </c>
      <c r="T60" s="298"/>
      <c r="U60" s="299">
        <v>32</v>
      </c>
      <c r="V60" s="289"/>
      <c r="W60" s="288">
        <f>SUM(K60:V60)</f>
        <v>192</v>
      </c>
      <c r="X60" s="289"/>
      <c r="Y60" s="32">
        <f>W60</f>
        <v>192</v>
      </c>
      <c r="AA60" s="286" t="b">
        <f>W59&gt;=Y59</f>
        <v>1</v>
      </c>
      <c r="AB60" s="287"/>
    </row>
    <row r="61" spans="2:29" ht="17.25" customHeight="1" thickBot="1">
      <c r="B61" s="288"/>
      <c r="C61" s="290"/>
      <c r="D61" s="290"/>
      <c r="E61" s="290"/>
      <c r="F61" s="290"/>
      <c r="G61" s="290"/>
      <c r="H61" s="290"/>
      <c r="I61" s="290"/>
      <c r="J61" s="289"/>
      <c r="K61" s="288">
        <f>SUM(K60:N60)</f>
        <v>64</v>
      </c>
      <c r="L61" s="290"/>
      <c r="M61" s="290"/>
      <c r="N61" s="291"/>
      <c r="O61" s="292">
        <f>SUM(O60:R60)</f>
        <v>64</v>
      </c>
      <c r="P61" s="290"/>
      <c r="Q61" s="290"/>
      <c r="R61" s="291"/>
      <c r="S61" s="292">
        <f>SUM(S60:V60)</f>
        <v>64</v>
      </c>
      <c r="T61" s="290"/>
      <c r="U61" s="290"/>
      <c r="V61" s="289"/>
      <c r="W61" s="288">
        <f>SUM(K61:V61)</f>
        <v>192</v>
      </c>
      <c r="X61" s="289"/>
      <c r="Y61" s="10"/>
      <c r="AA61" s="293" t="s">
        <v>142</v>
      </c>
      <c r="AB61" s="293"/>
    </row>
    <row r="62" spans="2:29" ht="17.25" customHeight="1" thickBot="1">
      <c r="AA62" s="286" t="b">
        <f>W60&gt;=Y60</f>
        <v>1</v>
      </c>
      <c r="AB62" s="287"/>
    </row>
    <row r="63" spans="2:29" ht="17.25" customHeight="1"/>
    <row r="64" spans="2:29" ht="17.25" customHeight="1"/>
    <row r="65" ht="17.25" customHeight="1"/>
    <row r="67" ht="24.9" customHeight="1"/>
    <row r="68" ht="24.9" customHeight="1"/>
    <row r="69" ht="32.25" customHeight="1"/>
    <row r="70" ht="24.9" customHeight="1"/>
    <row r="72" ht="16.5" customHeight="1"/>
    <row r="73" ht="17.2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244.5" customHeight="1"/>
  </sheetData>
  <mergeCells count="465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O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1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X22:X23"/>
    <mergeCell ref="F23:G23"/>
    <mergeCell ref="K23:L23"/>
    <mergeCell ref="M23:N23"/>
    <mergeCell ref="O23:P23"/>
    <mergeCell ref="Q23:R23"/>
    <mergeCell ref="S23:T23"/>
    <mergeCell ref="U23:V23"/>
    <mergeCell ref="X24:X27"/>
    <mergeCell ref="U26:V26"/>
    <mergeCell ref="S24:T24"/>
    <mergeCell ref="U24:V24"/>
    <mergeCell ref="Q27:R27"/>
    <mergeCell ref="S27:T27"/>
    <mergeCell ref="U27:V27"/>
    <mergeCell ref="Y24:Y27"/>
    <mergeCell ref="F25:G25"/>
    <mergeCell ref="K25:L25"/>
    <mergeCell ref="M25:N25"/>
    <mergeCell ref="O25:P25"/>
    <mergeCell ref="Q25:R25"/>
    <mergeCell ref="S25:T25"/>
    <mergeCell ref="D24:D27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S26:T26"/>
    <mergeCell ref="D28:D29"/>
    <mergeCell ref="F28:G28"/>
    <mergeCell ref="K28:L28"/>
    <mergeCell ref="M28:N28"/>
    <mergeCell ref="O28:P28"/>
    <mergeCell ref="Q28:R28"/>
    <mergeCell ref="S28:T28"/>
    <mergeCell ref="U28:V28"/>
    <mergeCell ref="W28:X29"/>
    <mergeCell ref="Y28:Y29"/>
    <mergeCell ref="F29:G29"/>
    <mergeCell ref="K29:L29"/>
    <mergeCell ref="M29:N29"/>
    <mergeCell ref="O29:P29"/>
    <mergeCell ref="Q29:R29"/>
    <mergeCell ref="S29:T29"/>
    <mergeCell ref="U29:V29"/>
    <mergeCell ref="W30:X31"/>
    <mergeCell ref="Y30:Y31"/>
    <mergeCell ref="F31:G31"/>
    <mergeCell ref="K31:L31"/>
    <mergeCell ref="M31:N31"/>
    <mergeCell ref="O31:P31"/>
    <mergeCell ref="Q31:R31"/>
    <mergeCell ref="S31:T31"/>
    <mergeCell ref="D30:D31"/>
    <mergeCell ref="F30:G30"/>
    <mergeCell ref="K30:L30"/>
    <mergeCell ref="M30:N30"/>
    <mergeCell ref="O30:P30"/>
    <mergeCell ref="Q30:R30"/>
    <mergeCell ref="U31:V31"/>
    <mergeCell ref="B32:G32"/>
    <mergeCell ref="K32:L32"/>
    <mergeCell ref="M32:N32"/>
    <mergeCell ref="O32:P32"/>
    <mergeCell ref="Q32:R32"/>
    <mergeCell ref="S32:T32"/>
    <mergeCell ref="U32:V32"/>
    <mergeCell ref="S30:T30"/>
    <mergeCell ref="U30:V30"/>
    <mergeCell ref="W32:X32"/>
    <mergeCell ref="AA32:AB32"/>
    <mergeCell ref="B33:C42"/>
    <mergeCell ref="D33:E34"/>
    <mergeCell ref="F33:G33"/>
    <mergeCell ref="K33:L33"/>
    <mergeCell ref="M33:N33"/>
    <mergeCell ref="O33:P33"/>
    <mergeCell ref="Q33:R33"/>
    <mergeCell ref="S33:T33"/>
    <mergeCell ref="U33:V33"/>
    <mergeCell ref="W33:X33"/>
    <mergeCell ref="Y33:Y52"/>
    <mergeCell ref="F34:G34"/>
    <mergeCell ref="K34:L34"/>
    <mergeCell ref="M34:N34"/>
    <mergeCell ref="O34:P34"/>
    <mergeCell ref="Q34:R34"/>
    <mergeCell ref="S34:T34"/>
    <mergeCell ref="U34:V34"/>
    <mergeCell ref="W34:X34"/>
    <mergeCell ref="F35:G35"/>
    <mergeCell ref="K35:L35"/>
    <mergeCell ref="M35:N35"/>
    <mergeCell ref="O35:P35"/>
    <mergeCell ref="Q35:R35"/>
    <mergeCell ref="S35:T35"/>
    <mergeCell ref="U35:V35"/>
    <mergeCell ref="W35:X35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6:G36"/>
    <mergeCell ref="K36:L36"/>
    <mergeCell ref="M36:N36"/>
    <mergeCell ref="O36:P36"/>
    <mergeCell ref="Q36:R36"/>
    <mergeCell ref="S36:T36"/>
    <mergeCell ref="U38:V38"/>
    <mergeCell ref="W38:X38"/>
    <mergeCell ref="F39:G39"/>
    <mergeCell ref="K39:L39"/>
    <mergeCell ref="M39:N39"/>
    <mergeCell ref="O39:P39"/>
    <mergeCell ref="Q39:R39"/>
    <mergeCell ref="S39:T39"/>
    <mergeCell ref="U39:V39"/>
    <mergeCell ref="W39:X39"/>
    <mergeCell ref="F38:G38"/>
    <mergeCell ref="K38:L38"/>
    <mergeCell ref="M38:N38"/>
    <mergeCell ref="O38:P38"/>
    <mergeCell ref="Q38:R38"/>
    <mergeCell ref="S38:T38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B43:B44"/>
    <mergeCell ref="F43:G43"/>
    <mergeCell ref="I43:I44"/>
    <mergeCell ref="J43:J44"/>
    <mergeCell ref="K43:L43"/>
    <mergeCell ref="M43:N43"/>
    <mergeCell ref="O43:P43"/>
    <mergeCell ref="Q43:R43"/>
    <mergeCell ref="F42:G42"/>
    <mergeCell ref="K42:L42"/>
    <mergeCell ref="M42:N42"/>
    <mergeCell ref="O42:P42"/>
    <mergeCell ref="Q42:R42"/>
    <mergeCell ref="S43:T44"/>
    <mergeCell ref="U43:V44"/>
    <mergeCell ref="W43:X44"/>
    <mergeCell ref="F44:G44"/>
    <mergeCell ref="K44:L44"/>
    <mergeCell ref="M44:N44"/>
    <mergeCell ref="O44:P44"/>
    <mergeCell ref="Q44:R44"/>
    <mergeCell ref="U42:V42"/>
    <mergeCell ref="W42:X42"/>
    <mergeCell ref="S42:T42"/>
    <mergeCell ref="W45:X52"/>
    <mergeCell ref="F46:G46"/>
    <mergeCell ref="K46:L46"/>
    <mergeCell ref="M46:N46"/>
    <mergeCell ref="O46:P46"/>
    <mergeCell ref="Q46:R46"/>
    <mergeCell ref="B45:C52"/>
    <mergeCell ref="F45:G45"/>
    <mergeCell ref="I45:I52"/>
    <mergeCell ref="J45:J52"/>
    <mergeCell ref="K45:L45"/>
    <mergeCell ref="M45:N45"/>
    <mergeCell ref="F48:G48"/>
    <mergeCell ref="K48:L48"/>
    <mergeCell ref="M48:N48"/>
    <mergeCell ref="S46:T46"/>
    <mergeCell ref="U46:V46"/>
    <mergeCell ref="F47:G47"/>
    <mergeCell ref="K47:L47"/>
    <mergeCell ref="M47:N47"/>
    <mergeCell ref="Q47:R47"/>
    <mergeCell ref="S47:T47"/>
    <mergeCell ref="U47:V47"/>
    <mergeCell ref="O45:P45"/>
    <mergeCell ref="Q45:R45"/>
    <mergeCell ref="S45:T45"/>
    <mergeCell ref="U45:V45"/>
    <mergeCell ref="U49:V49"/>
    <mergeCell ref="F50:G50"/>
    <mergeCell ref="K50:L50"/>
    <mergeCell ref="M50:N50"/>
    <mergeCell ref="O50:P50"/>
    <mergeCell ref="Q50:R50"/>
    <mergeCell ref="S50:T50"/>
    <mergeCell ref="U50:V50"/>
    <mergeCell ref="O48:P48"/>
    <mergeCell ref="Q48:R48"/>
    <mergeCell ref="S48:T48"/>
    <mergeCell ref="U48:V48"/>
    <mergeCell ref="F49:G49"/>
    <mergeCell ref="K49:L49"/>
    <mergeCell ref="M49:N49"/>
    <mergeCell ref="O49:P49"/>
    <mergeCell ref="Q49:R49"/>
    <mergeCell ref="S49:T49"/>
    <mergeCell ref="U51:V51"/>
    <mergeCell ref="F52:G52"/>
    <mergeCell ref="K52:L52"/>
    <mergeCell ref="M52:N52"/>
    <mergeCell ref="O52:P52"/>
    <mergeCell ref="Q52:R52"/>
    <mergeCell ref="S52:T52"/>
    <mergeCell ref="U52:V52"/>
    <mergeCell ref="F51:G51"/>
    <mergeCell ref="K51:L51"/>
    <mergeCell ref="M51:N51"/>
    <mergeCell ref="O51:P51"/>
    <mergeCell ref="Q51:R51"/>
    <mergeCell ref="S51:T51"/>
    <mergeCell ref="O53:P54"/>
    <mergeCell ref="Q53:R54"/>
    <mergeCell ref="S53:T54"/>
    <mergeCell ref="U53:V54"/>
    <mergeCell ref="W53:X54"/>
    <mergeCell ref="Y53:Y54"/>
    <mergeCell ref="B53:G54"/>
    <mergeCell ref="H53:H54"/>
    <mergeCell ref="I53:I54"/>
    <mergeCell ref="J53:J54"/>
    <mergeCell ref="K53:L54"/>
    <mergeCell ref="M53:N54"/>
    <mergeCell ref="U55:V55"/>
    <mergeCell ref="W55:X55"/>
    <mergeCell ref="AA55:AB56"/>
    <mergeCell ref="B56:E59"/>
    <mergeCell ref="F56:J56"/>
    <mergeCell ref="K56:L56"/>
    <mergeCell ref="M56:N56"/>
    <mergeCell ref="O56:P56"/>
    <mergeCell ref="Q56:R56"/>
    <mergeCell ref="S56:T56"/>
    <mergeCell ref="B55:G55"/>
    <mergeCell ref="K55:L55"/>
    <mergeCell ref="M55:N55"/>
    <mergeCell ref="O55:P55"/>
    <mergeCell ref="Q55:R55"/>
    <mergeCell ref="S55:T55"/>
    <mergeCell ref="AA57:AB57"/>
    <mergeCell ref="F58:J58"/>
    <mergeCell ref="K58:L58"/>
    <mergeCell ref="M58:N58"/>
    <mergeCell ref="O58:P58"/>
    <mergeCell ref="Q58:R58"/>
    <mergeCell ref="S58:T58"/>
    <mergeCell ref="U58:V58"/>
    <mergeCell ref="U56:V56"/>
    <mergeCell ref="W56:X58"/>
    <mergeCell ref="Y56:Y58"/>
    <mergeCell ref="F57:J57"/>
    <mergeCell ref="K57:L57"/>
    <mergeCell ref="M57:N57"/>
    <mergeCell ref="O57:P57"/>
    <mergeCell ref="Q57:R57"/>
    <mergeCell ref="S57:T57"/>
    <mergeCell ref="U57:V57"/>
    <mergeCell ref="U59:V59"/>
    <mergeCell ref="W59:X59"/>
    <mergeCell ref="AA59:AB59"/>
    <mergeCell ref="B60:J60"/>
    <mergeCell ref="K60:L60"/>
    <mergeCell ref="M60:N60"/>
    <mergeCell ref="O60:P60"/>
    <mergeCell ref="Q60:R60"/>
    <mergeCell ref="S60:T60"/>
    <mergeCell ref="U60:V60"/>
    <mergeCell ref="F59:J59"/>
    <mergeCell ref="K59:L59"/>
    <mergeCell ref="M59:N59"/>
    <mergeCell ref="O59:P59"/>
    <mergeCell ref="Q59:R59"/>
    <mergeCell ref="S59:T59"/>
    <mergeCell ref="AA62:AB62"/>
    <mergeCell ref="W60:X60"/>
    <mergeCell ref="AA60:AB60"/>
    <mergeCell ref="B61:J61"/>
    <mergeCell ref="K61:N61"/>
    <mergeCell ref="O61:R61"/>
    <mergeCell ref="S61:V61"/>
    <mergeCell ref="W61:X61"/>
    <mergeCell ref="AA61:AB61"/>
  </mergeCells>
  <phoneticPr fontId="9" type="noConversion"/>
  <conditionalFormatting sqref="AA32:AB32 AC54 AA57:AB57 AA60:AB60 AA62:AB62">
    <cfRule type="containsText" dxfId="2" priority="1" operator="containsText" text="FALSE">
      <formula>NOT(ISERROR(SEARCH("FALSE",AA32)))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5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63D8-96AE-42E4-8B92-66575902CF7D}">
  <sheetPr>
    <pageSetUpPr fitToPage="1"/>
  </sheetPr>
  <dimension ref="B1:AD106"/>
  <sheetViews>
    <sheetView view="pageBreakPreview" zoomScaleNormal="100" zoomScaleSheetLayoutView="100" workbookViewId="0">
      <pane ySplit="8" topLeftCell="A64" activePane="bottomLeft" state="frozen"/>
      <selection pane="bottomLeft" activeCell="B2" sqref="B2:Z73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137" customWidth="1"/>
    <col min="7" max="7" width="6.19921875" style="137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514" t="s">
        <v>522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5"/>
      <c r="V2" s="516" t="s">
        <v>121</v>
      </c>
      <c r="W2" s="517"/>
      <c r="X2" s="518">
        <v>2027</v>
      </c>
      <c r="Y2" s="519"/>
      <c r="AA2" s="520" t="s">
        <v>134</v>
      </c>
      <c r="AB2" s="14" t="s">
        <v>135</v>
      </c>
      <c r="AC2" s="27" t="s">
        <v>141</v>
      </c>
      <c r="AD2" s="15" t="s">
        <v>136</v>
      </c>
    </row>
    <row r="3" spans="2:30" ht="18" thickBot="1">
      <c r="B3" s="523" t="s">
        <v>339</v>
      </c>
      <c r="C3" s="525" t="s">
        <v>47</v>
      </c>
      <c r="D3" s="526"/>
      <c r="E3" s="526"/>
      <c r="F3" s="525" t="s">
        <v>58</v>
      </c>
      <c r="G3" s="529"/>
      <c r="H3" s="525" t="s">
        <v>48</v>
      </c>
      <c r="I3" s="526"/>
      <c r="J3" s="526"/>
      <c r="K3" s="525" t="s">
        <v>49</v>
      </c>
      <c r="L3" s="526"/>
      <c r="M3" s="526"/>
      <c r="N3" s="526"/>
      <c r="O3" s="529"/>
      <c r="P3" s="531" t="s">
        <v>50</v>
      </c>
      <c r="Q3" s="532"/>
      <c r="R3" s="532"/>
      <c r="S3" s="532"/>
      <c r="T3" s="532"/>
      <c r="U3" s="532"/>
      <c r="V3" s="532"/>
      <c r="W3" s="532"/>
      <c r="X3" s="532"/>
      <c r="Y3" s="533"/>
      <c r="AA3" s="521"/>
      <c r="AB3" s="16" t="s">
        <v>137</v>
      </c>
      <c r="AC3" s="33" t="s">
        <v>370</v>
      </c>
      <c r="AD3" s="17" t="s">
        <v>497</v>
      </c>
    </row>
    <row r="4" spans="2:30" ht="18" thickBot="1">
      <c r="B4" s="524"/>
      <c r="C4" s="527"/>
      <c r="D4" s="528"/>
      <c r="E4" s="528"/>
      <c r="F4" s="527"/>
      <c r="G4" s="530"/>
      <c r="H4" s="527"/>
      <c r="I4" s="528"/>
      <c r="J4" s="528"/>
      <c r="K4" s="527"/>
      <c r="L4" s="528"/>
      <c r="M4" s="528"/>
      <c r="N4" s="528"/>
      <c r="O4" s="530"/>
      <c r="P4" s="531" t="s">
        <v>118</v>
      </c>
      <c r="Q4" s="532"/>
      <c r="R4" s="532"/>
      <c r="S4" s="532"/>
      <c r="T4" s="531" t="s">
        <v>55</v>
      </c>
      <c r="U4" s="532"/>
      <c r="V4" s="533"/>
      <c r="W4" s="532" t="s">
        <v>119</v>
      </c>
      <c r="X4" s="532"/>
      <c r="Y4" s="533"/>
      <c r="AA4" s="521"/>
      <c r="AB4" s="18" t="s">
        <v>138</v>
      </c>
      <c r="AC4" s="34" t="s">
        <v>371</v>
      </c>
      <c r="AD4" s="17" t="s">
        <v>498</v>
      </c>
    </row>
    <row r="5" spans="2:30" ht="26.25" customHeight="1" thickBot="1">
      <c r="B5" s="65" t="s">
        <v>354</v>
      </c>
      <c r="C5" s="534" t="s">
        <v>356</v>
      </c>
      <c r="D5" s="535"/>
      <c r="E5" s="536"/>
      <c r="F5" s="534" t="s">
        <v>357</v>
      </c>
      <c r="G5" s="537"/>
      <c r="H5" s="538" t="s">
        <v>421</v>
      </c>
      <c r="I5" s="535"/>
      <c r="J5" s="536"/>
      <c r="K5" s="534"/>
      <c r="L5" s="535"/>
      <c r="M5" s="535"/>
      <c r="N5" s="535"/>
      <c r="O5" s="537"/>
      <c r="P5" s="538" t="s">
        <v>420</v>
      </c>
      <c r="Q5" s="535"/>
      <c r="R5" s="535"/>
      <c r="S5" s="536"/>
      <c r="T5" s="534" t="s">
        <v>358</v>
      </c>
      <c r="U5" s="535"/>
      <c r="V5" s="536"/>
      <c r="W5" s="539" t="s">
        <v>419</v>
      </c>
      <c r="X5" s="540"/>
      <c r="Y5" s="541"/>
      <c r="AA5" s="522"/>
      <c r="AB5" s="19"/>
      <c r="AC5" s="35"/>
      <c r="AD5" s="93"/>
    </row>
    <row r="6" spans="2:30" ht="15.75" customHeight="1" thickBot="1">
      <c r="U6" s="542" t="s">
        <v>516</v>
      </c>
      <c r="V6" s="543"/>
      <c r="W6" s="543"/>
      <c r="X6" s="543"/>
      <c r="Y6" s="543"/>
    </row>
    <row r="7" spans="2:30" s="9" customFormat="1" ht="22.5" customHeight="1">
      <c r="B7" s="501" t="s">
        <v>2</v>
      </c>
      <c r="C7" s="502"/>
      <c r="D7" s="505" t="s">
        <v>112</v>
      </c>
      <c r="E7" s="507" t="s">
        <v>51</v>
      </c>
      <c r="F7" s="508"/>
      <c r="G7" s="491"/>
      <c r="H7" s="487" t="s">
        <v>124</v>
      </c>
      <c r="I7" s="509" t="s">
        <v>125</v>
      </c>
      <c r="J7" s="488" t="s">
        <v>126</v>
      </c>
      <c r="K7" s="510" t="s">
        <v>52</v>
      </c>
      <c r="L7" s="509"/>
      <c r="M7" s="509"/>
      <c r="N7" s="511"/>
      <c r="O7" s="512" t="s">
        <v>53</v>
      </c>
      <c r="P7" s="509"/>
      <c r="Q7" s="509"/>
      <c r="R7" s="511"/>
      <c r="S7" s="510" t="s">
        <v>54</v>
      </c>
      <c r="T7" s="509"/>
      <c r="U7" s="509"/>
      <c r="V7" s="513"/>
      <c r="W7" s="487" t="s">
        <v>127</v>
      </c>
      <c r="X7" s="488"/>
      <c r="Y7" s="491" t="s">
        <v>128</v>
      </c>
      <c r="Z7" s="8"/>
    </row>
    <row r="8" spans="2:30" s="9" customFormat="1" ht="22.5" customHeight="1" thickBot="1">
      <c r="B8" s="503"/>
      <c r="C8" s="504"/>
      <c r="D8" s="506"/>
      <c r="E8" s="20" t="s">
        <v>18</v>
      </c>
      <c r="F8" s="493" t="s">
        <v>19</v>
      </c>
      <c r="G8" s="494"/>
      <c r="H8" s="489"/>
      <c r="I8" s="496"/>
      <c r="J8" s="490"/>
      <c r="K8" s="495" t="s">
        <v>0</v>
      </c>
      <c r="L8" s="496"/>
      <c r="M8" s="496" t="s">
        <v>56</v>
      </c>
      <c r="N8" s="497"/>
      <c r="O8" s="498" t="s">
        <v>0</v>
      </c>
      <c r="P8" s="496"/>
      <c r="Q8" s="496" t="s">
        <v>56</v>
      </c>
      <c r="R8" s="497"/>
      <c r="S8" s="495" t="s">
        <v>0</v>
      </c>
      <c r="T8" s="496"/>
      <c r="U8" s="496" t="s">
        <v>56</v>
      </c>
      <c r="V8" s="499"/>
      <c r="W8" s="489"/>
      <c r="X8" s="490"/>
      <c r="Y8" s="492"/>
      <c r="AA8" s="484" t="s">
        <v>344</v>
      </c>
      <c r="AB8" s="484"/>
      <c r="AC8" s="484"/>
      <c r="AD8" s="484"/>
    </row>
    <row r="9" spans="2:30" ht="16.5" customHeight="1" thickBot="1">
      <c r="B9" s="485" t="s">
        <v>319</v>
      </c>
      <c r="C9" s="466"/>
      <c r="D9" s="464" t="s">
        <v>21</v>
      </c>
      <c r="E9" s="36" t="s">
        <v>12</v>
      </c>
      <c r="F9" s="437" t="s">
        <v>191</v>
      </c>
      <c r="G9" s="442"/>
      <c r="H9" s="37">
        <v>4</v>
      </c>
      <c r="I9" s="38" t="s">
        <v>320</v>
      </c>
      <c r="J9" s="39">
        <v>3</v>
      </c>
      <c r="K9" s="437">
        <v>3</v>
      </c>
      <c r="L9" s="438"/>
      <c r="M9" s="439"/>
      <c r="N9" s="440"/>
      <c r="O9" s="441"/>
      <c r="P9" s="438"/>
      <c r="Q9" s="439"/>
      <c r="R9" s="440"/>
      <c r="S9" s="441"/>
      <c r="T9" s="438"/>
      <c r="U9" s="439"/>
      <c r="V9" s="442"/>
      <c r="W9" s="40">
        <f t="shared" ref="W9:W27" si="0">SUM(K9:V9)</f>
        <v>3</v>
      </c>
      <c r="X9" s="476">
        <f>SUM(W9:W11)</f>
        <v>9</v>
      </c>
      <c r="Y9" s="463">
        <v>24</v>
      </c>
      <c r="AA9" s="66" t="s">
        <v>18</v>
      </c>
      <c r="AB9" s="67" t="s">
        <v>350</v>
      </c>
      <c r="AC9" s="67" t="s">
        <v>351</v>
      </c>
      <c r="AD9" s="68" t="s">
        <v>352</v>
      </c>
    </row>
    <row r="10" spans="2:30" ht="18" thickBot="1">
      <c r="B10" s="486"/>
      <c r="C10" s="467"/>
      <c r="D10" s="465"/>
      <c r="E10" s="41" t="s">
        <v>12</v>
      </c>
      <c r="F10" s="363" t="s">
        <v>192</v>
      </c>
      <c r="G10" s="360"/>
      <c r="H10" s="42">
        <v>4</v>
      </c>
      <c r="I10" s="43" t="s">
        <v>320</v>
      </c>
      <c r="J10" s="44">
        <v>3</v>
      </c>
      <c r="K10" s="363"/>
      <c r="L10" s="364"/>
      <c r="M10" s="359">
        <v>3</v>
      </c>
      <c r="N10" s="365"/>
      <c r="O10" s="366"/>
      <c r="P10" s="364"/>
      <c r="Q10" s="359"/>
      <c r="R10" s="365"/>
      <c r="S10" s="366"/>
      <c r="T10" s="364"/>
      <c r="U10" s="359"/>
      <c r="V10" s="360"/>
      <c r="W10" s="45">
        <f t="shared" si="0"/>
        <v>3</v>
      </c>
      <c r="X10" s="483"/>
      <c r="Y10" s="463"/>
      <c r="AA10" s="69" t="s">
        <v>345</v>
      </c>
      <c r="AB10" s="70">
        <v>4</v>
      </c>
      <c r="AC10" s="70">
        <v>-1</v>
      </c>
      <c r="AD10" s="17" t="s">
        <v>320</v>
      </c>
    </row>
    <row r="11" spans="2:30" ht="18" thickBot="1">
      <c r="B11" s="486"/>
      <c r="C11" s="467"/>
      <c r="D11" s="470"/>
      <c r="E11" s="46" t="s">
        <v>326</v>
      </c>
      <c r="F11" s="447" t="s">
        <v>4</v>
      </c>
      <c r="G11" s="452"/>
      <c r="H11" s="47">
        <v>4</v>
      </c>
      <c r="I11" s="48" t="s">
        <v>322</v>
      </c>
      <c r="J11" s="49">
        <v>3</v>
      </c>
      <c r="K11" s="447"/>
      <c r="L11" s="448"/>
      <c r="M11" s="449"/>
      <c r="N11" s="450"/>
      <c r="O11" s="451">
        <v>3</v>
      </c>
      <c r="P11" s="448"/>
      <c r="Q11" s="449"/>
      <c r="R11" s="450"/>
      <c r="S11" s="451"/>
      <c r="T11" s="448"/>
      <c r="U11" s="449"/>
      <c r="V11" s="452"/>
      <c r="W11" s="45">
        <f t="shared" si="0"/>
        <v>3</v>
      </c>
      <c r="X11" s="483"/>
      <c r="Y11" s="463"/>
      <c r="AA11" s="69" t="s">
        <v>346</v>
      </c>
      <c r="AB11" s="70">
        <v>3</v>
      </c>
      <c r="AC11" s="70"/>
      <c r="AD11" s="17">
        <v>3</v>
      </c>
    </row>
    <row r="12" spans="2:30" ht="18" thickBot="1">
      <c r="B12" s="486"/>
      <c r="C12" s="467"/>
      <c r="D12" s="464" t="s">
        <v>5</v>
      </c>
      <c r="E12" s="36" t="s">
        <v>12</v>
      </c>
      <c r="F12" s="437" t="s">
        <v>202</v>
      </c>
      <c r="G12" s="442"/>
      <c r="H12" s="37">
        <v>4</v>
      </c>
      <c r="I12" s="38" t="s">
        <v>320</v>
      </c>
      <c r="J12" s="39">
        <v>3</v>
      </c>
      <c r="K12" s="437">
        <v>3</v>
      </c>
      <c r="L12" s="438"/>
      <c r="M12" s="439"/>
      <c r="N12" s="440"/>
      <c r="O12" s="441"/>
      <c r="P12" s="438"/>
      <c r="Q12" s="439"/>
      <c r="R12" s="440"/>
      <c r="S12" s="441"/>
      <c r="T12" s="438"/>
      <c r="U12" s="439"/>
      <c r="V12" s="442"/>
      <c r="W12" s="40">
        <f t="shared" si="0"/>
        <v>3</v>
      </c>
      <c r="X12" s="476">
        <f>SUM(W12:W14)</f>
        <v>9</v>
      </c>
      <c r="Y12" s="463"/>
      <c r="AA12" s="69" t="s">
        <v>347</v>
      </c>
      <c r="AB12" s="70">
        <v>4</v>
      </c>
      <c r="AC12" s="70" t="s">
        <v>353</v>
      </c>
      <c r="AD12" s="17" t="s">
        <v>322</v>
      </c>
    </row>
    <row r="13" spans="2:30" ht="18" thickBot="1">
      <c r="B13" s="486"/>
      <c r="C13" s="467"/>
      <c r="D13" s="465"/>
      <c r="E13" s="41" t="s">
        <v>12</v>
      </c>
      <c r="F13" s="363" t="s">
        <v>203</v>
      </c>
      <c r="G13" s="360"/>
      <c r="H13" s="42">
        <v>4</v>
      </c>
      <c r="I13" s="43" t="s">
        <v>320</v>
      </c>
      <c r="J13" s="44">
        <v>3</v>
      </c>
      <c r="K13" s="363"/>
      <c r="L13" s="364"/>
      <c r="M13" s="359">
        <v>3</v>
      </c>
      <c r="N13" s="365"/>
      <c r="O13" s="366"/>
      <c r="P13" s="364"/>
      <c r="Q13" s="359"/>
      <c r="R13" s="365"/>
      <c r="S13" s="366"/>
      <c r="T13" s="364"/>
      <c r="U13" s="359"/>
      <c r="V13" s="360"/>
      <c r="W13" s="45">
        <f t="shared" si="0"/>
        <v>3</v>
      </c>
      <c r="X13" s="483"/>
      <c r="Y13" s="463"/>
      <c r="AA13" s="69" t="s">
        <v>348</v>
      </c>
      <c r="AB13" s="70">
        <v>3</v>
      </c>
      <c r="AC13" s="70" t="s">
        <v>353</v>
      </c>
      <c r="AD13" s="17" t="s">
        <v>328</v>
      </c>
    </row>
    <row r="14" spans="2:30" ht="18" thickBot="1">
      <c r="B14" s="486"/>
      <c r="C14" s="467"/>
      <c r="D14" s="470"/>
      <c r="E14" s="46" t="s">
        <v>326</v>
      </c>
      <c r="F14" s="447" t="s">
        <v>30</v>
      </c>
      <c r="G14" s="452"/>
      <c r="H14" s="47">
        <v>4</v>
      </c>
      <c r="I14" s="48" t="s">
        <v>322</v>
      </c>
      <c r="J14" s="49">
        <v>3</v>
      </c>
      <c r="K14" s="447"/>
      <c r="L14" s="448"/>
      <c r="M14" s="449"/>
      <c r="N14" s="450"/>
      <c r="O14" s="451"/>
      <c r="P14" s="448"/>
      <c r="Q14" s="449">
        <v>3</v>
      </c>
      <c r="R14" s="450"/>
      <c r="S14" s="451"/>
      <c r="T14" s="448"/>
      <c r="U14" s="449"/>
      <c r="V14" s="452"/>
      <c r="W14" s="45">
        <f t="shared" si="0"/>
        <v>3</v>
      </c>
      <c r="X14" s="483"/>
      <c r="Y14" s="463"/>
      <c r="AA14" s="71" t="s">
        <v>349</v>
      </c>
      <c r="AB14" s="481" t="s">
        <v>355</v>
      </c>
      <c r="AC14" s="481"/>
      <c r="AD14" s="482"/>
    </row>
    <row r="15" spans="2:30" ht="18" thickBot="1">
      <c r="B15" s="486"/>
      <c r="C15" s="467"/>
      <c r="D15" s="464" t="s">
        <v>6</v>
      </c>
      <c r="E15" s="36" t="s">
        <v>12</v>
      </c>
      <c r="F15" s="437" t="s">
        <v>208</v>
      </c>
      <c r="G15" s="442"/>
      <c r="H15" s="37">
        <v>4</v>
      </c>
      <c r="I15" s="38" t="s">
        <v>320</v>
      </c>
      <c r="J15" s="39">
        <v>3</v>
      </c>
      <c r="K15" s="437">
        <v>3</v>
      </c>
      <c r="L15" s="438"/>
      <c r="M15" s="439"/>
      <c r="N15" s="440"/>
      <c r="O15" s="441"/>
      <c r="P15" s="438"/>
      <c r="Q15" s="439"/>
      <c r="R15" s="440"/>
      <c r="S15" s="441"/>
      <c r="T15" s="438"/>
      <c r="U15" s="439"/>
      <c r="V15" s="442"/>
      <c r="W15" s="40">
        <f t="shared" si="0"/>
        <v>3</v>
      </c>
      <c r="X15" s="476">
        <f>SUM(W15:W17)</f>
        <v>9</v>
      </c>
      <c r="Y15" s="463"/>
    </row>
    <row r="16" spans="2:30" ht="18" thickBot="1">
      <c r="B16" s="486"/>
      <c r="C16" s="467"/>
      <c r="D16" s="465"/>
      <c r="E16" s="41" t="s">
        <v>12</v>
      </c>
      <c r="F16" s="363" t="s">
        <v>213</v>
      </c>
      <c r="G16" s="360"/>
      <c r="H16" s="42">
        <v>4</v>
      </c>
      <c r="I16" s="43" t="s">
        <v>320</v>
      </c>
      <c r="J16" s="44">
        <v>3</v>
      </c>
      <c r="K16" s="363"/>
      <c r="L16" s="364"/>
      <c r="M16" s="359">
        <v>3</v>
      </c>
      <c r="N16" s="365"/>
      <c r="O16" s="366"/>
      <c r="P16" s="364"/>
      <c r="Q16" s="359"/>
      <c r="R16" s="365"/>
      <c r="S16" s="366"/>
      <c r="T16" s="364"/>
      <c r="U16" s="359"/>
      <c r="V16" s="360"/>
      <c r="W16" s="45">
        <f t="shared" si="0"/>
        <v>3</v>
      </c>
      <c r="X16" s="483"/>
      <c r="Y16" s="463"/>
    </row>
    <row r="17" spans="2:29" ht="18" thickBot="1">
      <c r="B17" s="486"/>
      <c r="C17" s="467"/>
      <c r="D17" s="470"/>
      <c r="E17" s="50" t="s">
        <v>326</v>
      </c>
      <c r="F17" s="447" t="s">
        <v>32</v>
      </c>
      <c r="G17" s="452"/>
      <c r="H17" s="47">
        <v>4</v>
      </c>
      <c r="I17" s="48" t="s">
        <v>322</v>
      </c>
      <c r="J17" s="49">
        <v>3</v>
      </c>
      <c r="K17" s="447"/>
      <c r="L17" s="448"/>
      <c r="M17" s="449"/>
      <c r="N17" s="450"/>
      <c r="O17" s="451">
        <v>3</v>
      </c>
      <c r="P17" s="448"/>
      <c r="Q17" s="449"/>
      <c r="R17" s="450"/>
      <c r="S17" s="451"/>
      <c r="T17" s="448"/>
      <c r="U17" s="449"/>
      <c r="V17" s="452"/>
      <c r="W17" s="45">
        <f t="shared" si="0"/>
        <v>3</v>
      </c>
      <c r="X17" s="483"/>
      <c r="Y17" s="463"/>
    </row>
    <row r="18" spans="2:29" ht="18" thickBot="1">
      <c r="B18" s="486"/>
      <c r="C18" s="467"/>
      <c r="D18" s="464" t="s">
        <v>323</v>
      </c>
      <c r="E18" s="36" t="s">
        <v>12</v>
      </c>
      <c r="F18" s="437" t="s">
        <v>221</v>
      </c>
      <c r="G18" s="442"/>
      <c r="H18" s="37">
        <v>3</v>
      </c>
      <c r="I18" s="51" t="s">
        <v>324</v>
      </c>
      <c r="J18" s="39">
        <v>3</v>
      </c>
      <c r="K18" s="471">
        <v>3</v>
      </c>
      <c r="L18" s="472"/>
      <c r="M18" s="473"/>
      <c r="N18" s="474"/>
      <c r="O18" s="475"/>
      <c r="P18" s="472"/>
      <c r="Q18" s="473"/>
      <c r="R18" s="474"/>
      <c r="S18" s="475"/>
      <c r="T18" s="472"/>
      <c r="U18" s="473"/>
      <c r="V18" s="480"/>
      <c r="W18" s="40">
        <f t="shared" si="0"/>
        <v>3</v>
      </c>
      <c r="X18" s="476">
        <f>SUM(W18:W19)</f>
        <v>6</v>
      </c>
      <c r="Y18" s="463">
        <v>6</v>
      </c>
    </row>
    <row r="19" spans="2:29" ht="18" thickBot="1">
      <c r="B19" s="486"/>
      <c r="C19" s="467"/>
      <c r="D19" s="465"/>
      <c r="E19" s="52" t="s">
        <v>12</v>
      </c>
      <c r="F19" s="478" t="s">
        <v>222</v>
      </c>
      <c r="G19" s="479"/>
      <c r="H19" s="53">
        <v>3</v>
      </c>
      <c r="I19" s="54" t="s">
        <v>324</v>
      </c>
      <c r="J19" s="95">
        <v>3</v>
      </c>
      <c r="K19" s="447"/>
      <c r="L19" s="448"/>
      <c r="M19" s="449">
        <v>3</v>
      </c>
      <c r="N19" s="450"/>
      <c r="O19" s="451"/>
      <c r="P19" s="448"/>
      <c r="Q19" s="449"/>
      <c r="R19" s="450"/>
      <c r="S19" s="451"/>
      <c r="T19" s="448"/>
      <c r="U19" s="449"/>
      <c r="V19" s="452"/>
      <c r="W19" s="55">
        <f t="shared" si="0"/>
        <v>3</v>
      </c>
      <c r="X19" s="477"/>
      <c r="Y19" s="463"/>
      <c r="AA19" s="293"/>
      <c r="AB19" s="293"/>
      <c r="AC19" s="94"/>
    </row>
    <row r="20" spans="2:29" ht="18" thickBot="1">
      <c r="B20" s="486"/>
      <c r="C20" s="467"/>
      <c r="D20" s="465"/>
      <c r="E20" s="36" t="s">
        <v>12</v>
      </c>
      <c r="F20" s="437" t="s">
        <v>223</v>
      </c>
      <c r="G20" s="442"/>
      <c r="H20" s="37">
        <v>4</v>
      </c>
      <c r="I20" s="51" t="s">
        <v>320</v>
      </c>
      <c r="J20" s="39">
        <v>3</v>
      </c>
      <c r="K20" s="437"/>
      <c r="L20" s="438"/>
      <c r="M20" s="439"/>
      <c r="N20" s="440"/>
      <c r="O20" s="441">
        <v>3</v>
      </c>
      <c r="P20" s="438"/>
      <c r="Q20" s="439"/>
      <c r="R20" s="440"/>
      <c r="S20" s="441"/>
      <c r="T20" s="438"/>
      <c r="U20" s="439"/>
      <c r="V20" s="442"/>
      <c r="W20" s="40">
        <f t="shared" si="0"/>
        <v>3</v>
      </c>
      <c r="X20" s="476">
        <f>SUM(W20:W21)</f>
        <v>6</v>
      </c>
      <c r="Y20" s="463">
        <v>12</v>
      </c>
    </row>
    <row r="21" spans="2:29" ht="18" thickBot="1">
      <c r="B21" s="486"/>
      <c r="C21" s="467"/>
      <c r="D21" s="470"/>
      <c r="E21" s="50" t="s">
        <v>12</v>
      </c>
      <c r="F21" s="447" t="s">
        <v>224</v>
      </c>
      <c r="G21" s="452"/>
      <c r="H21" s="47">
        <v>4</v>
      </c>
      <c r="I21" s="48" t="s">
        <v>320</v>
      </c>
      <c r="J21" s="49">
        <v>3</v>
      </c>
      <c r="K21" s="447"/>
      <c r="L21" s="448"/>
      <c r="M21" s="449"/>
      <c r="N21" s="450"/>
      <c r="O21" s="451"/>
      <c r="P21" s="448"/>
      <c r="Q21" s="449">
        <v>3</v>
      </c>
      <c r="R21" s="450"/>
      <c r="S21" s="451"/>
      <c r="T21" s="448"/>
      <c r="U21" s="449"/>
      <c r="V21" s="452"/>
      <c r="W21" s="55">
        <f t="shared" si="0"/>
        <v>3</v>
      </c>
      <c r="X21" s="477"/>
      <c r="Y21" s="463"/>
    </row>
    <row r="22" spans="2:29" ht="18" thickBot="1">
      <c r="B22" s="486"/>
      <c r="C22" s="467"/>
      <c r="D22" s="464" t="s">
        <v>23</v>
      </c>
      <c r="E22" s="36" t="s">
        <v>12</v>
      </c>
      <c r="F22" s="437" t="s">
        <v>240</v>
      </c>
      <c r="G22" s="442"/>
      <c r="H22" s="37">
        <v>4</v>
      </c>
      <c r="I22" s="51" t="s">
        <v>320</v>
      </c>
      <c r="J22" s="39">
        <v>3</v>
      </c>
      <c r="K22" s="437"/>
      <c r="L22" s="438"/>
      <c r="M22" s="439"/>
      <c r="N22" s="440"/>
      <c r="O22" s="441">
        <v>3</v>
      </c>
      <c r="P22" s="438"/>
      <c r="Q22" s="439"/>
      <c r="R22" s="440"/>
      <c r="S22" s="441"/>
      <c r="T22" s="438"/>
      <c r="U22" s="439"/>
      <c r="V22" s="442"/>
      <c r="W22" s="40">
        <f t="shared" si="0"/>
        <v>3</v>
      </c>
      <c r="X22" s="466">
        <f>SUM(W22:W23)</f>
        <v>6</v>
      </c>
      <c r="Y22" s="463"/>
    </row>
    <row r="23" spans="2:29" ht="18" thickBot="1">
      <c r="B23" s="486"/>
      <c r="C23" s="467"/>
      <c r="D23" s="465"/>
      <c r="E23" s="41" t="s">
        <v>12</v>
      </c>
      <c r="F23" s="363" t="s">
        <v>241</v>
      </c>
      <c r="G23" s="360"/>
      <c r="H23" s="42">
        <v>4</v>
      </c>
      <c r="I23" s="43" t="s">
        <v>320</v>
      </c>
      <c r="J23" s="44">
        <v>3</v>
      </c>
      <c r="K23" s="363"/>
      <c r="L23" s="364"/>
      <c r="M23" s="359"/>
      <c r="N23" s="365"/>
      <c r="O23" s="366"/>
      <c r="P23" s="364"/>
      <c r="Q23" s="359">
        <v>3</v>
      </c>
      <c r="R23" s="365"/>
      <c r="S23" s="366"/>
      <c r="T23" s="364"/>
      <c r="U23" s="359"/>
      <c r="V23" s="360"/>
      <c r="W23" s="45">
        <f t="shared" si="0"/>
        <v>3</v>
      </c>
      <c r="X23" s="467"/>
      <c r="Y23" s="463"/>
    </row>
    <row r="24" spans="2:29" ht="16.5" customHeight="1" thickBot="1">
      <c r="B24" s="486"/>
      <c r="C24" s="467"/>
      <c r="D24" s="464" t="s">
        <v>8</v>
      </c>
      <c r="E24" s="36" t="s">
        <v>326</v>
      </c>
      <c r="F24" s="437" t="s">
        <v>327</v>
      </c>
      <c r="G24" s="442"/>
      <c r="H24" s="37">
        <v>3</v>
      </c>
      <c r="I24" s="51" t="s">
        <v>328</v>
      </c>
      <c r="J24" s="39">
        <f>SUM(K24:V24)</f>
        <v>2</v>
      </c>
      <c r="K24" s="437">
        <v>2</v>
      </c>
      <c r="L24" s="438"/>
      <c r="M24" s="439"/>
      <c r="N24" s="440"/>
      <c r="O24" s="441"/>
      <c r="P24" s="438"/>
      <c r="Q24" s="439"/>
      <c r="R24" s="440"/>
      <c r="S24" s="441"/>
      <c r="T24" s="438"/>
      <c r="U24" s="439"/>
      <c r="V24" s="442"/>
      <c r="W24" s="40">
        <f t="shared" si="0"/>
        <v>2</v>
      </c>
      <c r="X24" s="468">
        <f>SUM(W24:W27)</f>
        <v>8</v>
      </c>
      <c r="Y24" s="463">
        <v>8</v>
      </c>
    </row>
    <row r="25" spans="2:29" ht="18" thickBot="1">
      <c r="B25" s="486"/>
      <c r="C25" s="467"/>
      <c r="D25" s="465"/>
      <c r="E25" s="41" t="s">
        <v>326</v>
      </c>
      <c r="F25" s="363" t="s">
        <v>329</v>
      </c>
      <c r="G25" s="360"/>
      <c r="H25" s="42">
        <v>3</v>
      </c>
      <c r="I25" s="43" t="s">
        <v>328</v>
      </c>
      <c r="J25" s="44">
        <f>SUM(K25:V25)</f>
        <v>2</v>
      </c>
      <c r="K25" s="363"/>
      <c r="L25" s="364"/>
      <c r="M25" s="359">
        <v>2</v>
      </c>
      <c r="N25" s="365"/>
      <c r="O25" s="366"/>
      <c r="P25" s="364"/>
      <c r="Q25" s="359"/>
      <c r="R25" s="365"/>
      <c r="S25" s="366"/>
      <c r="T25" s="364"/>
      <c r="U25" s="359"/>
      <c r="V25" s="360"/>
      <c r="W25" s="45">
        <f t="shared" si="0"/>
        <v>2</v>
      </c>
      <c r="X25" s="469"/>
      <c r="Y25" s="463"/>
    </row>
    <row r="26" spans="2:29" ht="18" thickBot="1">
      <c r="B26" s="486"/>
      <c r="C26" s="467"/>
      <c r="D26" s="465"/>
      <c r="E26" s="41" t="s">
        <v>321</v>
      </c>
      <c r="F26" s="363" t="s">
        <v>359</v>
      </c>
      <c r="G26" s="360"/>
      <c r="H26" s="42">
        <v>3</v>
      </c>
      <c r="I26" s="43" t="s">
        <v>328</v>
      </c>
      <c r="J26" s="44">
        <v>2</v>
      </c>
      <c r="K26" s="363"/>
      <c r="L26" s="364"/>
      <c r="M26" s="359"/>
      <c r="N26" s="365"/>
      <c r="O26" s="366">
        <v>2</v>
      </c>
      <c r="P26" s="364"/>
      <c r="Q26" s="359"/>
      <c r="R26" s="365"/>
      <c r="S26" s="366"/>
      <c r="T26" s="364"/>
      <c r="U26" s="359"/>
      <c r="V26" s="360"/>
      <c r="W26" s="45">
        <f t="shared" si="0"/>
        <v>2</v>
      </c>
      <c r="X26" s="469"/>
      <c r="Y26" s="463"/>
    </row>
    <row r="27" spans="2:29" ht="18" thickBot="1">
      <c r="B27" s="486"/>
      <c r="C27" s="467"/>
      <c r="D27" s="465"/>
      <c r="E27" s="41" t="s">
        <v>325</v>
      </c>
      <c r="F27" s="363" t="s">
        <v>330</v>
      </c>
      <c r="G27" s="360"/>
      <c r="H27" s="42">
        <v>3</v>
      </c>
      <c r="I27" s="48" t="s">
        <v>328</v>
      </c>
      <c r="J27" s="44">
        <v>2</v>
      </c>
      <c r="K27" s="363"/>
      <c r="L27" s="364"/>
      <c r="M27" s="359"/>
      <c r="N27" s="365"/>
      <c r="O27" s="366"/>
      <c r="P27" s="364"/>
      <c r="Q27" s="359">
        <v>2</v>
      </c>
      <c r="R27" s="365"/>
      <c r="S27" s="366"/>
      <c r="T27" s="364"/>
      <c r="U27" s="359"/>
      <c r="V27" s="360"/>
      <c r="W27" s="45">
        <f t="shared" si="0"/>
        <v>2</v>
      </c>
      <c r="X27" s="469"/>
      <c r="Y27" s="463"/>
    </row>
    <row r="28" spans="2:29" ht="18" thickBot="1">
      <c r="B28" s="486"/>
      <c r="C28" s="467"/>
      <c r="D28" s="464" t="s">
        <v>24</v>
      </c>
      <c r="E28" s="36" t="s">
        <v>326</v>
      </c>
      <c r="F28" s="437" t="s">
        <v>9</v>
      </c>
      <c r="G28" s="442"/>
      <c r="H28" s="37">
        <v>3</v>
      </c>
      <c r="I28" s="56" t="s">
        <v>328</v>
      </c>
      <c r="J28" s="39">
        <v>3</v>
      </c>
      <c r="K28" s="437">
        <v>3</v>
      </c>
      <c r="L28" s="438"/>
      <c r="M28" s="439"/>
      <c r="N28" s="440"/>
      <c r="O28" s="441"/>
      <c r="P28" s="438"/>
      <c r="Q28" s="439"/>
      <c r="R28" s="440"/>
      <c r="S28" s="441"/>
      <c r="T28" s="438"/>
      <c r="U28" s="439"/>
      <c r="V28" s="442"/>
      <c r="W28" s="387">
        <f>SUM(K28:V29)</f>
        <v>6</v>
      </c>
      <c r="X28" s="388"/>
      <c r="Y28" s="463">
        <v>6</v>
      </c>
    </row>
    <row r="29" spans="2:29" ht="18" thickBot="1">
      <c r="B29" s="486"/>
      <c r="C29" s="467"/>
      <c r="D29" s="465"/>
      <c r="E29" s="46" t="s">
        <v>326</v>
      </c>
      <c r="F29" s="363" t="s">
        <v>41</v>
      </c>
      <c r="G29" s="360"/>
      <c r="H29" s="42">
        <v>3</v>
      </c>
      <c r="I29" s="43" t="s">
        <v>328</v>
      </c>
      <c r="J29" s="44">
        <v>3</v>
      </c>
      <c r="K29" s="363"/>
      <c r="L29" s="364"/>
      <c r="M29" s="359">
        <v>3</v>
      </c>
      <c r="N29" s="365"/>
      <c r="O29" s="366"/>
      <c r="P29" s="364"/>
      <c r="Q29" s="359"/>
      <c r="R29" s="365"/>
      <c r="S29" s="366"/>
      <c r="T29" s="364"/>
      <c r="U29" s="359"/>
      <c r="V29" s="360"/>
      <c r="W29" s="367"/>
      <c r="X29" s="368"/>
      <c r="Y29" s="463"/>
    </row>
    <row r="30" spans="2:29" ht="16.5" customHeight="1" thickBot="1">
      <c r="B30" s="486"/>
      <c r="C30" s="467"/>
      <c r="D30" s="456" t="s">
        <v>332</v>
      </c>
      <c r="E30" s="36" t="s">
        <v>326</v>
      </c>
      <c r="F30" s="437" t="s">
        <v>26</v>
      </c>
      <c r="G30" s="442"/>
      <c r="H30" s="37">
        <v>3</v>
      </c>
      <c r="I30" s="51" t="s">
        <v>328</v>
      </c>
      <c r="J30" s="39">
        <v>4</v>
      </c>
      <c r="K30" s="437">
        <v>4</v>
      </c>
      <c r="L30" s="438"/>
      <c r="M30" s="439"/>
      <c r="N30" s="440"/>
      <c r="O30" s="441"/>
      <c r="P30" s="438"/>
      <c r="Q30" s="439"/>
      <c r="R30" s="440"/>
      <c r="S30" s="441"/>
      <c r="T30" s="438"/>
      <c r="U30" s="439"/>
      <c r="V30" s="442"/>
      <c r="W30" s="387">
        <f>SUM(K30:V31)</f>
        <v>8</v>
      </c>
      <c r="X30" s="388"/>
      <c r="Y30" s="463">
        <v>8</v>
      </c>
    </row>
    <row r="31" spans="2:29" ht="18" thickBot="1">
      <c r="B31" s="486"/>
      <c r="C31" s="467"/>
      <c r="D31" s="457"/>
      <c r="E31" s="46" t="s">
        <v>326</v>
      </c>
      <c r="F31" s="363" t="s">
        <v>360</v>
      </c>
      <c r="G31" s="360"/>
      <c r="H31" s="42">
        <v>3</v>
      </c>
      <c r="I31" s="43" t="s">
        <v>328</v>
      </c>
      <c r="J31" s="44">
        <v>4</v>
      </c>
      <c r="K31" s="363">
        <v>4</v>
      </c>
      <c r="L31" s="364"/>
      <c r="M31" s="359"/>
      <c r="N31" s="365"/>
      <c r="O31" s="366"/>
      <c r="P31" s="364"/>
      <c r="Q31" s="359"/>
      <c r="R31" s="365"/>
      <c r="S31" s="366"/>
      <c r="T31" s="364"/>
      <c r="U31" s="359"/>
      <c r="V31" s="360"/>
      <c r="W31" s="367"/>
      <c r="X31" s="368"/>
      <c r="Y31" s="463"/>
      <c r="Z31" s="77" t="s">
        <v>372</v>
      </c>
    </row>
    <row r="32" spans="2:29" ht="24.75" customHeight="1" thickBot="1">
      <c r="B32" s="288" t="s">
        <v>340</v>
      </c>
      <c r="C32" s="290"/>
      <c r="D32" s="290"/>
      <c r="E32" s="290"/>
      <c r="F32" s="290"/>
      <c r="G32" s="289"/>
      <c r="H32" s="92">
        <f>SUM(H20:H31)</f>
        <v>40</v>
      </c>
      <c r="I32" s="13"/>
      <c r="J32" s="98">
        <f>SUM(J20:J31)</f>
        <v>34</v>
      </c>
      <c r="K32" s="458">
        <f>SUM(K9:L31)</f>
        <v>25</v>
      </c>
      <c r="L32" s="459"/>
      <c r="M32" s="459">
        <f>SUM(M9:N31)</f>
        <v>17</v>
      </c>
      <c r="N32" s="299"/>
      <c r="O32" s="460">
        <f>SUM(O9:P31)</f>
        <v>14</v>
      </c>
      <c r="P32" s="459"/>
      <c r="Q32" s="459">
        <f>SUM(Q9:R31)</f>
        <v>11</v>
      </c>
      <c r="R32" s="461"/>
      <c r="S32" s="298">
        <f>SUM(S9:T31)</f>
        <v>0</v>
      </c>
      <c r="T32" s="459"/>
      <c r="U32" s="459">
        <f>SUM(U9:V31)</f>
        <v>0</v>
      </c>
      <c r="V32" s="462"/>
      <c r="W32" s="288">
        <f>SUM(K32:V32)</f>
        <v>67</v>
      </c>
      <c r="X32" s="298"/>
      <c r="Y32" s="98">
        <f>SUM(Y9:Y31)</f>
        <v>64</v>
      </c>
      <c r="AA32" s="286" t="b">
        <f>W32&gt;=Y32</f>
        <v>1</v>
      </c>
      <c r="AB32" s="287"/>
    </row>
    <row r="33" spans="2:25" ht="17.25" customHeight="1">
      <c r="B33" s="428" t="s">
        <v>333</v>
      </c>
      <c r="C33" s="429"/>
      <c r="D33" s="431" t="s">
        <v>334</v>
      </c>
      <c r="E33" s="432"/>
      <c r="F33" s="435" t="s">
        <v>499</v>
      </c>
      <c r="G33" s="436"/>
      <c r="H33" s="28"/>
      <c r="I33" s="72"/>
      <c r="J33" s="75">
        <v>2</v>
      </c>
      <c r="K33" s="437"/>
      <c r="L33" s="438"/>
      <c r="M33" s="439"/>
      <c r="N33" s="440"/>
      <c r="O33" s="441"/>
      <c r="P33" s="438"/>
      <c r="Q33" s="439"/>
      <c r="R33" s="440"/>
      <c r="S33" s="441">
        <v>2</v>
      </c>
      <c r="T33" s="438"/>
      <c r="U33" s="439"/>
      <c r="V33" s="442"/>
      <c r="W33" s="443">
        <f t="shared" ref="W33:W45" si="1">SUM(K33:V33)</f>
        <v>2</v>
      </c>
      <c r="X33" s="444"/>
      <c r="Y33" s="313">
        <v>107</v>
      </c>
    </row>
    <row r="34" spans="2:25" ht="17.25" customHeight="1" thickBot="1">
      <c r="B34" s="375"/>
      <c r="C34" s="376"/>
      <c r="D34" s="433"/>
      <c r="E34" s="434"/>
      <c r="F34" s="445" t="s">
        <v>500</v>
      </c>
      <c r="G34" s="446"/>
      <c r="H34" s="31"/>
      <c r="I34" s="74"/>
      <c r="J34" s="76">
        <v>2</v>
      </c>
      <c r="K34" s="447"/>
      <c r="L34" s="448"/>
      <c r="M34" s="449"/>
      <c r="N34" s="450"/>
      <c r="O34" s="451"/>
      <c r="P34" s="448"/>
      <c r="Q34" s="449">
        <v>2</v>
      </c>
      <c r="R34" s="450"/>
      <c r="S34" s="451"/>
      <c r="T34" s="448"/>
      <c r="U34" s="449"/>
      <c r="V34" s="452"/>
      <c r="W34" s="389">
        <f t="shared" si="1"/>
        <v>2</v>
      </c>
      <c r="X34" s="390"/>
      <c r="Y34" s="314"/>
    </row>
    <row r="35" spans="2:25" ht="17.25" customHeight="1">
      <c r="B35" s="375"/>
      <c r="C35" s="376"/>
      <c r="D35" s="58" t="s">
        <v>362</v>
      </c>
      <c r="E35" s="85" t="s">
        <v>335</v>
      </c>
      <c r="F35" s="546" t="s">
        <v>418</v>
      </c>
      <c r="G35" s="547"/>
      <c r="H35" s="30"/>
      <c r="I35" s="29"/>
      <c r="J35" s="78">
        <v>2</v>
      </c>
      <c r="K35" s="548">
        <v>2</v>
      </c>
      <c r="L35" s="549"/>
      <c r="M35" s="544"/>
      <c r="N35" s="550"/>
      <c r="O35" s="554"/>
      <c r="P35" s="549"/>
      <c r="Q35" s="544"/>
      <c r="R35" s="551"/>
      <c r="S35" s="550"/>
      <c r="T35" s="549"/>
      <c r="U35" s="544"/>
      <c r="V35" s="545"/>
      <c r="W35" s="426">
        <f t="shared" si="1"/>
        <v>2</v>
      </c>
      <c r="X35" s="427"/>
      <c r="Y35" s="314"/>
    </row>
    <row r="36" spans="2:25" ht="17.25" customHeight="1">
      <c r="B36" s="375"/>
      <c r="C36" s="376"/>
      <c r="D36" s="82" t="s">
        <v>362</v>
      </c>
      <c r="E36" s="83" t="s">
        <v>335</v>
      </c>
      <c r="F36" s="552" t="s">
        <v>417</v>
      </c>
      <c r="G36" s="553"/>
      <c r="H36" s="30"/>
      <c r="I36" s="29"/>
      <c r="J36" s="78">
        <v>6</v>
      </c>
      <c r="K36" s="363"/>
      <c r="L36" s="364"/>
      <c r="M36" s="359">
        <v>6</v>
      </c>
      <c r="N36" s="365"/>
      <c r="O36" s="366"/>
      <c r="P36" s="364"/>
      <c r="Q36" s="359"/>
      <c r="R36" s="365"/>
      <c r="S36" s="366"/>
      <c r="T36" s="364"/>
      <c r="U36" s="359"/>
      <c r="V36" s="360"/>
      <c r="W36" s="400">
        <f t="shared" si="1"/>
        <v>6</v>
      </c>
      <c r="X36" s="401"/>
      <c r="Y36" s="314"/>
    </row>
    <row r="37" spans="2:25" ht="17.25" customHeight="1">
      <c r="B37" s="375"/>
      <c r="C37" s="376"/>
      <c r="D37" s="82" t="s">
        <v>62</v>
      </c>
      <c r="E37" s="83" t="s">
        <v>335</v>
      </c>
      <c r="F37" s="552" t="s">
        <v>416</v>
      </c>
      <c r="G37" s="553"/>
      <c r="H37" s="30"/>
      <c r="I37" s="29"/>
      <c r="J37" s="78">
        <v>4</v>
      </c>
      <c r="K37" s="363"/>
      <c r="L37" s="364"/>
      <c r="M37" s="359">
        <v>4</v>
      </c>
      <c r="N37" s="365"/>
      <c r="O37" s="366"/>
      <c r="P37" s="364"/>
      <c r="Q37" s="359"/>
      <c r="R37" s="365"/>
      <c r="S37" s="366"/>
      <c r="T37" s="364"/>
      <c r="U37" s="359"/>
      <c r="V37" s="360"/>
      <c r="W37" s="400">
        <f t="shared" si="1"/>
        <v>4</v>
      </c>
      <c r="X37" s="401"/>
      <c r="Y37" s="314"/>
    </row>
    <row r="38" spans="2:25" ht="17.25" customHeight="1">
      <c r="B38" s="375"/>
      <c r="C38" s="376"/>
      <c r="D38" s="82" t="s">
        <v>362</v>
      </c>
      <c r="E38" s="83" t="s">
        <v>335</v>
      </c>
      <c r="F38" s="361" t="s">
        <v>504</v>
      </c>
      <c r="G38" s="362"/>
      <c r="H38" s="30"/>
      <c r="I38" s="29"/>
      <c r="J38" s="78">
        <v>2</v>
      </c>
      <c r="K38" s="363">
        <v>2</v>
      </c>
      <c r="L38" s="364"/>
      <c r="M38" s="359"/>
      <c r="N38" s="365"/>
      <c r="O38" s="366"/>
      <c r="P38" s="364"/>
      <c r="Q38" s="359"/>
      <c r="R38" s="365"/>
      <c r="S38" s="366"/>
      <c r="T38" s="364"/>
      <c r="U38" s="359"/>
      <c r="V38" s="360"/>
      <c r="W38" s="400">
        <f t="shared" si="1"/>
        <v>2</v>
      </c>
      <c r="X38" s="401"/>
      <c r="Y38" s="314"/>
    </row>
    <row r="39" spans="2:25" ht="17.25" customHeight="1">
      <c r="B39" s="375"/>
      <c r="C39" s="376"/>
      <c r="D39" s="82" t="s">
        <v>65</v>
      </c>
      <c r="E39" s="83" t="s">
        <v>335</v>
      </c>
      <c r="F39" s="361" t="s">
        <v>415</v>
      </c>
      <c r="G39" s="362"/>
      <c r="H39" s="30"/>
      <c r="I39" s="29"/>
      <c r="J39" s="78">
        <v>2</v>
      </c>
      <c r="K39" s="363"/>
      <c r="L39" s="364"/>
      <c r="M39" s="359">
        <v>2</v>
      </c>
      <c r="N39" s="555"/>
      <c r="O39" s="366"/>
      <c r="P39" s="364"/>
      <c r="Q39" s="359"/>
      <c r="R39" s="365"/>
      <c r="S39" s="555"/>
      <c r="T39" s="364"/>
      <c r="U39" s="359"/>
      <c r="V39" s="360"/>
      <c r="W39" s="400">
        <f t="shared" si="1"/>
        <v>2</v>
      </c>
      <c r="X39" s="401"/>
      <c r="Y39" s="314"/>
    </row>
    <row r="40" spans="2:25" ht="17.25" customHeight="1">
      <c r="B40" s="375"/>
      <c r="C40" s="376"/>
      <c r="D40" s="57" t="s">
        <v>362</v>
      </c>
      <c r="E40" s="83" t="s">
        <v>335</v>
      </c>
      <c r="F40" s="361" t="s">
        <v>505</v>
      </c>
      <c r="G40" s="362"/>
      <c r="H40" s="30"/>
      <c r="I40" s="73"/>
      <c r="J40" s="84">
        <v>6</v>
      </c>
      <c r="K40" s="363"/>
      <c r="L40" s="364"/>
      <c r="M40" s="359"/>
      <c r="N40" s="555"/>
      <c r="O40" s="366">
        <v>6</v>
      </c>
      <c r="P40" s="364"/>
      <c r="Q40" s="359"/>
      <c r="R40" s="365"/>
      <c r="S40" s="555"/>
      <c r="T40" s="364"/>
      <c r="U40" s="359"/>
      <c r="V40" s="360"/>
      <c r="W40" s="400">
        <f t="shared" si="1"/>
        <v>6</v>
      </c>
      <c r="X40" s="401"/>
      <c r="Y40" s="314"/>
    </row>
    <row r="41" spans="2:25" ht="17.25" customHeight="1">
      <c r="B41" s="375"/>
      <c r="C41" s="376"/>
      <c r="D41" s="57" t="s">
        <v>362</v>
      </c>
      <c r="E41" s="83" t="s">
        <v>335</v>
      </c>
      <c r="F41" s="361" t="s">
        <v>506</v>
      </c>
      <c r="G41" s="362"/>
      <c r="H41" s="30"/>
      <c r="I41" s="73"/>
      <c r="J41" s="84">
        <v>9</v>
      </c>
      <c r="K41" s="363"/>
      <c r="L41" s="364"/>
      <c r="M41" s="359"/>
      <c r="N41" s="365"/>
      <c r="O41" s="366"/>
      <c r="P41" s="364"/>
      <c r="Q41" s="359">
        <v>7</v>
      </c>
      <c r="R41" s="365"/>
      <c r="S41" s="366"/>
      <c r="T41" s="364"/>
      <c r="U41" s="359"/>
      <c r="V41" s="360"/>
      <c r="W41" s="400">
        <f t="shared" si="1"/>
        <v>7</v>
      </c>
      <c r="X41" s="401"/>
      <c r="Y41" s="314"/>
    </row>
    <row r="42" spans="2:25" ht="17.25" customHeight="1">
      <c r="B42" s="375"/>
      <c r="C42" s="376"/>
      <c r="D42" s="57" t="s">
        <v>362</v>
      </c>
      <c r="E42" s="83" t="s">
        <v>336</v>
      </c>
      <c r="F42" s="361" t="s">
        <v>507</v>
      </c>
      <c r="G42" s="362"/>
      <c r="H42" s="30"/>
      <c r="I42" s="73"/>
      <c r="J42" s="84">
        <v>6</v>
      </c>
      <c r="K42" s="363"/>
      <c r="L42" s="364"/>
      <c r="M42" s="359"/>
      <c r="N42" s="365"/>
      <c r="O42" s="366"/>
      <c r="P42" s="364"/>
      <c r="Q42" s="359"/>
      <c r="R42" s="365"/>
      <c r="S42" s="366">
        <v>3</v>
      </c>
      <c r="T42" s="364"/>
      <c r="U42" s="359">
        <v>4</v>
      </c>
      <c r="V42" s="360"/>
      <c r="W42" s="400">
        <f t="shared" si="1"/>
        <v>7</v>
      </c>
      <c r="X42" s="401"/>
      <c r="Y42" s="314"/>
    </row>
    <row r="43" spans="2:25" ht="17.25" customHeight="1">
      <c r="B43" s="375"/>
      <c r="C43" s="376"/>
      <c r="D43" s="57" t="s">
        <v>62</v>
      </c>
      <c r="E43" s="83" t="s">
        <v>336</v>
      </c>
      <c r="F43" s="361" t="s">
        <v>508</v>
      </c>
      <c r="G43" s="362"/>
      <c r="H43" s="30"/>
      <c r="I43" s="73"/>
      <c r="J43" s="84">
        <v>4</v>
      </c>
      <c r="K43" s="363"/>
      <c r="L43" s="364"/>
      <c r="M43" s="359"/>
      <c r="N43" s="365"/>
      <c r="O43" s="366"/>
      <c r="P43" s="364"/>
      <c r="Q43" s="359"/>
      <c r="R43" s="365"/>
      <c r="S43" s="366">
        <v>2</v>
      </c>
      <c r="T43" s="364"/>
      <c r="U43" s="359">
        <v>3</v>
      </c>
      <c r="V43" s="360"/>
      <c r="W43" s="400">
        <f t="shared" si="1"/>
        <v>5</v>
      </c>
      <c r="X43" s="401"/>
      <c r="Y43" s="314"/>
    </row>
    <row r="44" spans="2:25" ht="17.25" customHeight="1">
      <c r="B44" s="375"/>
      <c r="C44" s="376"/>
      <c r="D44" s="57" t="s">
        <v>65</v>
      </c>
      <c r="E44" s="83" t="s">
        <v>336</v>
      </c>
      <c r="F44" s="361" t="s">
        <v>509</v>
      </c>
      <c r="G44" s="362"/>
      <c r="H44" s="30"/>
      <c r="I44" s="73"/>
      <c r="J44" s="84">
        <v>6</v>
      </c>
      <c r="K44" s="363"/>
      <c r="L44" s="364"/>
      <c r="M44" s="359"/>
      <c r="N44" s="365"/>
      <c r="O44" s="366"/>
      <c r="P44" s="364"/>
      <c r="Q44" s="359"/>
      <c r="R44" s="365"/>
      <c r="S44" s="366">
        <v>3</v>
      </c>
      <c r="T44" s="364"/>
      <c r="U44" s="359">
        <v>3</v>
      </c>
      <c r="V44" s="360"/>
      <c r="W44" s="400">
        <f t="shared" si="1"/>
        <v>6</v>
      </c>
      <c r="X44" s="401"/>
      <c r="Y44" s="314"/>
    </row>
    <row r="45" spans="2:25" ht="16.5" customHeight="1" thickBot="1">
      <c r="B45" s="375"/>
      <c r="C45" s="376"/>
      <c r="D45" s="58" t="s">
        <v>362</v>
      </c>
      <c r="E45" s="83" t="s">
        <v>336</v>
      </c>
      <c r="F45" s="391" t="s">
        <v>510</v>
      </c>
      <c r="G45" s="392"/>
      <c r="H45" s="111"/>
      <c r="I45" s="73"/>
      <c r="J45" s="84">
        <v>16</v>
      </c>
      <c r="K45" s="363"/>
      <c r="L45" s="364"/>
      <c r="M45" s="359"/>
      <c r="N45" s="555"/>
      <c r="O45" s="366"/>
      <c r="P45" s="364"/>
      <c r="Q45" s="359"/>
      <c r="R45" s="365"/>
      <c r="S45" s="555">
        <v>8</v>
      </c>
      <c r="T45" s="364"/>
      <c r="U45" s="359">
        <v>8</v>
      </c>
      <c r="V45" s="360"/>
      <c r="W45" s="400">
        <f t="shared" si="1"/>
        <v>16</v>
      </c>
      <c r="X45" s="401"/>
      <c r="Y45" s="314"/>
    </row>
    <row r="46" spans="2:25" ht="20.25" customHeight="1">
      <c r="B46" s="403" t="s">
        <v>143</v>
      </c>
      <c r="C46" s="60" t="s">
        <v>373</v>
      </c>
      <c r="D46" s="59" t="s">
        <v>362</v>
      </c>
      <c r="E46" s="113" t="s">
        <v>336</v>
      </c>
      <c r="F46" s="405" t="s">
        <v>413</v>
      </c>
      <c r="G46" s="406"/>
      <c r="H46" s="28"/>
      <c r="I46" s="578"/>
      <c r="J46" s="409">
        <v>10</v>
      </c>
      <c r="K46" s="437"/>
      <c r="L46" s="438"/>
      <c r="M46" s="439"/>
      <c r="N46" s="570"/>
      <c r="O46" s="475">
        <v>5</v>
      </c>
      <c r="P46" s="472"/>
      <c r="Q46" s="473">
        <v>5</v>
      </c>
      <c r="R46" s="474"/>
      <c r="S46" s="441"/>
      <c r="T46" s="438"/>
      <c r="U46" s="439"/>
      <c r="V46" s="442"/>
      <c r="W46" s="387">
        <f>SUM(K46:V49)</f>
        <v>10</v>
      </c>
      <c r="X46" s="388"/>
      <c r="Y46" s="314"/>
    </row>
    <row r="47" spans="2:25" ht="20.25" customHeight="1">
      <c r="B47" s="574"/>
      <c r="C47" s="83" t="s">
        <v>374</v>
      </c>
      <c r="D47" s="57" t="s">
        <v>62</v>
      </c>
      <c r="E47" s="112" t="s">
        <v>336</v>
      </c>
      <c r="F47" s="361" t="s">
        <v>412</v>
      </c>
      <c r="G47" s="362"/>
      <c r="H47" s="111"/>
      <c r="I47" s="377"/>
      <c r="J47" s="378"/>
      <c r="K47" s="363"/>
      <c r="L47" s="364"/>
      <c r="M47" s="359"/>
      <c r="N47" s="365"/>
      <c r="O47" s="556"/>
      <c r="P47" s="557"/>
      <c r="Q47" s="560"/>
      <c r="R47" s="561"/>
      <c r="S47" s="366"/>
      <c r="T47" s="364"/>
      <c r="U47" s="359"/>
      <c r="V47" s="360"/>
      <c r="W47" s="367"/>
      <c r="X47" s="368"/>
      <c r="Y47" s="314"/>
    </row>
    <row r="48" spans="2:25" ht="20.25" customHeight="1">
      <c r="B48" s="574"/>
      <c r="C48" s="572" t="s">
        <v>375</v>
      </c>
      <c r="D48" s="57" t="s">
        <v>65</v>
      </c>
      <c r="E48" s="112" t="s">
        <v>411</v>
      </c>
      <c r="F48" s="361" t="s">
        <v>410</v>
      </c>
      <c r="G48" s="362"/>
      <c r="H48" s="111"/>
      <c r="I48" s="377"/>
      <c r="J48" s="378"/>
      <c r="K48" s="363"/>
      <c r="L48" s="364"/>
      <c r="M48" s="359"/>
      <c r="N48" s="365"/>
      <c r="O48" s="556"/>
      <c r="P48" s="557"/>
      <c r="Q48" s="560"/>
      <c r="R48" s="561"/>
      <c r="S48" s="366"/>
      <c r="T48" s="364"/>
      <c r="U48" s="359"/>
      <c r="V48" s="360"/>
      <c r="W48" s="367"/>
      <c r="X48" s="368"/>
      <c r="Y48" s="314"/>
    </row>
    <row r="49" spans="2:25" ht="20.25" customHeight="1" thickBot="1">
      <c r="B49" s="404"/>
      <c r="C49" s="573"/>
      <c r="D49" s="146" t="s">
        <v>65</v>
      </c>
      <c r="E49" s="99" t="s">
        <v>336</v>
      </c>
      <c r="F49" s="391" t="s">
        <v>409</v>
      </c>
      <c r="G49" s="392"/>
      <c r="H49" s="31"/>
      <c r="I49" s="579"/>
      <c r="J49" s="410"/>
      <c r="K49" s="447"/>
      <c r="L49" s="448"/>
      <c r="M49" s="449"/>
      <c r="N49" s="571"/>
      <c r="O49" s="558"/>
      <c r="P49" s="559"/>
      <c r="Q49" s="562"/>
      <c r="R49" s="563"/>
      <c r="S49" s="451"/>
      <c r="T49" s="448"/>
      <c r="U49" s="449"/>
      <c r="V49" s="452"/>
      <c r="W49" s="389"/>
      <c r="X49" s="390"/>
      <c r="Y49" s="314"/>
    </row>
    <row r="50" spans="2:25" ht="20.25" customHeight="1">
      <c r="B50" s="403" t="s">
        <v>143</v>
      </c>
      <c r="C50" s="60" t="s">
        <v>373</v>
      </c>
      <c r="D50" s="59" t="s">
        <v>362</v>
      </c>
      <c r="E50" s="60" t="s">
        <v>336</v>
      </c>
      <c r="F50" s="580" t="s">
        <v>511</v>
      </c>
      <c r="G50" s="581"/>
      <c r="H50" s="79"/>
      <c r="I50" s="578"/>
      <c r="J50" s="575">
        <v>10</v>
      </c>
      <c r="K50" s="437"/>
      <c r="L50" s="438"/>
      <c r="M50" s="439"/>
      <c r="N50" s="440"/>
      <c r="O50" s="441"/>
      <c r="P50" s="438"/>
      <c r="Q50" s="439"/>
      <c r="R50" s="440"/>
      <c r="S50" s="475">
        <v>5</v>
      </c>
      <c r="T50" s="472"/>
      <c r="U50" s="473">
        <v>5</v>
      </c>
      <c r="V50" s="480"/>
      <c r="W50" s="387">
        <f>SUM(K50:V52)</f>
        <v>10</v>
      </c>
      <c r="X50" s="388"/>
      <c r="Y50" s="314"/>
    </row>
    <row r="51" spans="2:25" ht="20.25" customHeight="1">
      <c r="B51" s="574"/>
      <c r="C51" s="83" t="s">
        <v>374</v>
      </c>
      <c r="D51" s="57" t="s">
        <v>62</v>
      </c>
      <c r="E51" s="83" t="s">
        <v>336</v>
      </c>
      <c r="F51" s="584" t="s">
        <v>515</v>
      </c>
      <c r="G51" s="585"/>
      <c r="H51" s="80"/>
      <c r="I51" s="377"/>
      <c r="J51" s="576"/>
      <c r="K51" s="363"/>
      <c r="L51" s="364"/>
      <c r="M51" s="359"/>
      <c r="N51" s="365"/>
      <c r="O51" s="366"/>
      <c r="P51" s="364"/>
      <c r="Q51" s="359"/>
      <c r="R51" s="365"/>
      <c r="S51" s="556"/>
      <c r="T51" s="557"/>
      <c r="U51" s="560"/>
      <c r="V51" s="564"/>
      <c r="W51" s="367"/>
      <c r="X51" s="368"/>
      <c r="Y51" s="314"/>
    </row>
    <row r="52" spans="2:25" ht="20.25" customHeight="1" thickBot="1">
      <c r="B52" s="404"/>
      <c r="C52" s="61" t="s">
        <v>375</v>
      </c>
      <c r="D52" s="62" t="s">
        <v>65</v>
      </c>
      <c r="E52" s="61" t="s">
        <v>336</v>
      </c>
      <c r="F52" s="582" t="s">
        <v>407</v>
      </c>
      <c r="G52" s="583"/>
      <c r="H52" s="81"/>
      <c r="I52" s="579"/>
      <c r="J52" s="577"/>
      <c r="K52" s="447"/>
      <c r="L52" s="448"/>
      <c r="M52" s="449"/>
      <c r="N52" s="450"/>
      <c r="O52" s="451"/>
      <c r="P52" s="448"/>
      <c r="Q52" s="449"/>
      <c r="R52" s="450"/>
      <c r="S52" s="558"/>
      <c r="T52" s="559"/>
      <c r="U52" s="562"/>
      <c r="V52" s="479"/>
      <c r="W52" s="389"/>
      <c r="X52" s="390"/>
      <c r="Y52" s="314"/>
    </row>
    <row r="53" spans="2:25" ht="20.25" customHeight="1">
      <c r="B53" s="574" t="s">
        <v>143</v>
      </c>
      <c r="C53" s="60" t="s">
        <v>373</v>
      </c>
      <c r="D53" s="59" t="s">
        <v>362</v>
      </c>
      <c r="E53" s="60" t="s">
        <v>336</v>
      </c>
      <c r="F53" s="405" t="s">
        <v>512</v>
      </c>
      <c r="G53" s="406"/>
      <c r="H53" s="28"/>
      <c r="I53" s="578"/>
      <c r="J53" s="378">
        <v>12</v>
      </c>
      <c r="K53" s="437"/>
      <c r="L53" s="438"/>
      <c r="M53" s="439"/>
      <c r="N53" s="440"/>
      <c r="O53" s="441"/>
      <c r="P53" s="438"/>
      <c r="Q53" s="439"/>
      <c r="R53" s="440"/>
      <c r="S53" s="475">
        <v>6</v>
      </c>
      <c r="T53" s="472"/>
      <c r="U53" s="473">
        <v>6</v>
      </c>
      <c r="V53" s="480"/>
      <c r="W53" s="387">
        <f>SUM(K53:V55)</f>
        <v>12</v>
      </c>
      <c r="X53" s="388"/>
      <c r="Y53" s="314"/>
    </row>
    <row r="54" spans="2:25" ht="20.25" customHeight="1">
      <c r="B54" s="574"/>
      <c r="C54" s="83" t="s">
        <v>374</v>
      </c>
      <c r="D54" s="57" t="s">
        <v>362</v>
      </c>
      <c r="E54" s="83" t="s">
        <v>336</v>
      </c>
      <c r="F54" s="361" t="s">
        <v>513</v>
      </c>
      <c r="G54" s="362"/>
      <c r="H54" s="111"/>
      <c r="I54" s="377"/>
      <c r="J54" s="378"/>
      <c r="K54" s="363"/>
      <c r="L54" s="364"/>
      <c r="M54" s="359"/>
      <c r="N54" s="365"/>
      <c r="O54" s="366"/>
      <c r="P54" s="364"/>
      <c r="Q54" s="359"/>
      <c r="R54" s="365"/>
      <c r="S54" s="556"/>
      <c r="T54" s="557"/>
      <c r="U54" s="560"/>
      <c r="V54" s="564"/>
      <c r="W54" s="367"/>
      <c r="X54" s="368"/>
      <c r="Y54" s="314"/>
    </row>
    <row r="55" spans="2:25" ht="20.25" customHeight="1" thickBot="1">
      <c r="B55" s="404"/>
      <c r="C55" s="61" t="s">
        <v>375</v>
      </c>
      <c r="D55" s="62" t="s">
        <v>362</v>
      </c>
      <c r="E55" s="61" t="s">
        <v>336</v>
      </c>
      <c r="F55" s="391" t="s">
        <v>514</v>
      </c>
      <c r="G55" s="392"/>
      <c r="H55" s="31"/>
      <c r="I55" s="579"/>
      <c r="J55" s="410"/>
      <c r="K55" s="447"/>
      <c r="L55" s="448"/>
      <c r="M55" s="449"/>
      <c r="N55" s="450"/>
      <c r="O55" s="451"/>
      <c r="P55" s="448"/>
      <c r="Q55" s="449"/>
      <c r="R55" s="450"/>
      <c r="S55" s="558"/>
      <c r="T55" s="559"/>
      <c r="U55" s="562"/>
      <c r="V55" s="479"/>
      <c r="W55" s="389"/>
      <c r="X55" s="390"/>
      <c r="Y55" s="314"/>
    </row>
    <row r="56" spans="2:25" ht="16.5" customHeight="1">
      <c r="B56" s="428" t="s">
        <v>144</v>
      </c>
      <c r="C56" s="429"/>
      <c r="D56" s="58" t="s">
        <v>362</v>
      </c>
      <c r="E56" s="60" t="s">
        <v>335</v>
      </c>
      <c r="F56" s="565" t="s">
        <v>363</v>
      </c>
      <c r="G56" s="566"/>
      <c r="H56" s="228"/>
      <c r="I56" s="407"/>
      <c r="J56" s="568">
        <v>8</v>
      </c>
      <c r="K56" s="411"/>
      <c r="L56" s="412"/>
      <c r="M56" s="413"/>
      <c r="N56" s="414"/>
      <c r="O56" s="415">
        <v>4</v>
      </c>
      <c r="P56" s="412"/>
      <c r="Q56" s="413"/>
      <c r="R56" s="416"/>
      <c r="S56" s="570"/>
      <c r="T56" s="438"/>
      <c r="U56" s="439"/>
      <c r="V56" s="442"/>
      <c r="W56" s="387">
        <v>8</v>
      </c>
      <c r="X56" s="388"/>
      <c r="Y56" s="314"/>
    </row>
    <row r="57" spans="2:25" ht="16.5" customHeight="1">
      <c r="B57" s="375"/>
      <c r="C57" s="376"/>
      <c r="D57" s="57" t="s">
        <v>361</v>
      </c>
      <c r="E57" s="147" t="s">
        <v>335</v>
      </c>
      <c r="F57" s="369" t="s">
        <v>364</v>
      </c>
      <c r="G57" s="370"/>
      <c r="H57" s="229"/>
      <c r="I57" s="567"/>
      <c r="J57" s="569"/>
      <c r="K57" s="417"/>
      <c r="L57" s="372"/>
      <c r="M57" s="373"/>
      <c r="N57" s="374"/>
      <c r="O57" s="371"/>
      <c r="P57" s="372"/>
      <c r="Q57" s="373">
        <v>4</v>
      </c>
      <c r="R57" s="374"/>
      <c r="S57" s="366"/>
      <c r="T57" s="364"/>
      <c r="U57" s="359"/>
      <c r="V57" s="360"/>
      <c r="W57" s="367"/>
      <c r="X57" s="368"/>
      <c r="Y57" s="314"/>
    </row>
    <row r="58" spans="2:25" ht="16.5" customHeight="1">
      <c r="B58" s="375"/>
      <c r="C58" s="376"/>
      <c r="D58" s="57" t="s">
        <v>361</v>
      </c>
      <c r="E58" s="147" t="s">
        <v>336</v>
      </c>
      <c r="F58" s="369" t="s">
        <v>501</v>
      </c>
      <c r="G58" s="370"/>
      <c r="H58" s="229"/>
      <c r="I58" s="567"/>
      <c r="J58" s="569"/>
      <c r="K58" s="417"/>
      <c r="L58" s="372"/>
      <c r="M58" s="373"/>
      <c r="N58" s="374"/>
      <c r="O58" s="371">
        <v>4</v>
      </c>
      <c r="P58" s="372"/>
      <c r="Q58" s="373">
        <v>4</v>
      </c>
      <c r="R58" s="374"/>
      <c r="S58" s="366"/>
      <c r="T58" s="364"/>
      <c r="U58" s="359"/>
      <c r="V58" s="360"/>
      <c r="W58" s="367"/>
      <c r="X58" s="368"/>
      <c r="Y58" s="314"/>
    </row>
    <row r="59" spans="2:25" ht="16.5" customHeight="1">
      <c r="B59" s="375"/>
      <c r="C59" s="376"/>
      <c r="D59" s="57" t="s">
        <v>361</v>
      </c>
      <c r="E59" s="147" t="s">
        <v>335</v>
      </c>
      <c r="F59" s="369" t="s">
        <v>519</v>
      </c>
      <c r="G59" s="370"/>
      <c r="H59" s="229"/>
      <c r="I59" s="567"/>
      <c r="J59" s="569"/>
      <c r="K59" s="417"/>
      <c r="L59" s="372"/>
      <c r="M59" s="373"/>
      <c r="N59" s="374"/>
      <c r="O59" s="371">
        <v>4</v>
      </c>
      <c r="P59" s="372"/>
      <c r="Q59" s="373"/>
      <c r="R59" s="374"/>
      <c r="S59" s="366"/>
      <c r="T59" s="364"/>
      <c r="U59" s="359"/>
      <c r="V59" s="360"/>
      <c r="W59" s="367"/>
      <c r="X59" s="368"/>
      <c r="Y59" s="314"/>
    </row>
    <row r="60" spans="2:25" ht="16.5" customHeight="1">
      <c r="B60" s="375"/>
      <c r="C60" s="376"/>
      <c r="D60" s="57" t="s">
        <v>361</v>
      </c>
      <c r="E60" s="147" t="s">
        <v>336</v>
      </c>
      <c r="F60" s="369" t="s">
        <v>366</v>
      </c>
      <c r="G60" s="370"/>
      <c r="H60" s="229"/>
      <c r="I60" s="567"/>
      <c r="J60" s="569"/>
      <c r="K60" s="417"/>
      <c r="L60" s="372"/>
      <c r="M60" s="373"/>
      <c r="N60" s="374"/>
      <c r="O60" s="230"/>
      <c r="P60" s="231"/>
      <c r="Q60" s="373">
        <v>4</v>
      </c>
      <c r="R60" s="374"/>
      <c r="S60" s="366"/>
      <c r="T60" s="364"/>
      <c r="U60" s="359"/>
      <c r="V60" s="360"/>
      <c r="W60" s="367"/>
      <c r="X60" s="368"/>
      <c r="Y60" s="314"/>
    </row>
    <row r="61" spans="2:25" ht="16.5" customHeight="1">
      <c r="B61" s="375"/>
      <c r="C61" s="376"/>
      <c r="D61" s="57" t="s">
        <v>361</v>
      </c>
      <c r="E61" s="147" t="s">
        <v>335</v>
      </c>
      <c r="F61" s="369" t="s">
        <v>502</v>
      </c>
      <c r="G61" s="370"/>
      <c r="H61" s="229"/>
      <c r="I61" s="567"/>
      <c r="J61" s="569"/>
      <c r="K61" s="417"/>
      <c r="L61" s="372"/>
      <c r="M61" s="373"/>
      <c r="N61" s="374"/>
      <c r="O61" s="371">
        <v>4</v>
      </c>
      <c r="P61" s="372"/>
      <c r="Q61" s="373"/>
      <c r="R61" s="374"/>
      <c r="S61" s="366"/>
      <c r="T61" s="364"/>
      <c r="U61" s="359"/>
      <c r="V61" s="360"/>
      <c r="W61" s="367"/>
      <c r="X61" s="368"/>
      <c r="Y61" s="314"/>
    </row>
    <row r="62" spans="2:25" ht="16.5" customHeight="1">
      <c r="B62" s="375"/>
      <c r="C62" s="376"/>
      <c r="D62" s="57" t="s">
        <v>361</v>
      </c>
      <c r="E62" s="147" t="s">
        <v>335</v>
      </c>
      <c r="F62" s="369" t="s">
        <v>367</v>
      </c>
      <c r="G62" s="370"/>
      <c r="H62" s="229"/>
      <c r="I62" s="567"/>
      <c r="J62" s="569"/>
      <c r="K62" s="417"/>
      <c r="L62" s="372"/>
      <c r="M62" s="373"/>
      <c r="N62" s="374"/>
      <c r="O62" s="371"/>
      <c r="P62" s="372"/>
      <c r="Q62" s="373">
        <v>4</v>
      </c>
      <c r="R62" s="374"/>
      <c r="S62" s="366"/>
      <c r="T62" s="364"/>
      <c r="U62" s="359"/>
      <c r="V62" s="360"/>
      <c r="W62" s="367"/>
      <c r="X62" s="368"/>
      <c r="Y62" s="314"/>
    </row>
    <row r="63" spans="2:25" ht="16.5" customHeight="1">
      <c r="B63" s="375"/>
      <c r="C63" s="376"/>
      <c r="D63" s="57" t="s">
        <v>60</v>
      </c>
      <c r="E63" s="147" t="s">
        <v>336</v>
      </c>
      <c r="F63" s="369" t="s">
        <v>369</v>
      </c>
      <c r="G63" s="370"/>
      <c r="H63" s="229"/>
      <c r="I63" s="567"/>
      <c r="J63" s="569"/>
      <c r="K63" s="417"/>
      <c r="L63" s="372"/>
      <c r="M63" s="373"/>
      <c r="N63" s="374"/>
      <c r="O63" s="371">
        <v>4</v>
      </c>
      <c r="P63" s="372"/>
      <c r="Q63" s="373">
        <v>4</v>
      </c>
      <c r="R63" s="374"/>
      <c r="S63" s="366"/>
      <c r="T63" s="364"/>
      <c r="U63" s="359"/>
      <c r="V63" s="360"/>
      <c r="W63" s="367"/>
      <c r="X63" s="368"/>
      <c r="Y63" s="314"/>
    </row>
    <row r="64" spans="2:25" ht="16.5" customHeight="1" thickBot="1">
      <c r="B64" s="375"/>
      <c r="C64" s="376"/>
      <c r="D64" s="57" t="s">
        <v>337</v>
      </c>
      <c r="E64" s="148" t="s">
        <v>336</v>
      </c>
      <c r="F64" s="369" t="s">
        <v>503</v>
      </c>
      <c r="G64" s="370"/>
      <c r="H64" s="229"/>
      <c r="I64" s="567"/>
      <c r="J64" s="569"/>
      <c r="K64" s="417"/>
      <c r="L64" s="372"/>
      <c r="M64" s="373"/>
      <c r="N64" s="374"/>
      <c r="O64" s="371">
        <v>4</v>
      </c>
      <c r="P64" s="372"/>
      <c r="Q64" s="373">
        <v>4</v>
      </c>
      <c r="R64" s="374"/>
      <c r="S64" s="366"/>
      <c r="T64" s="364"/>
      <c r="U64" s="359"/>
      <c r="V64" s="360"/>
      <c r="W64" s="367"/>
      <c r="X64" s="368"/>
      <c r="Y64" s="314"/>
    </row>
    <row r="65" spans="2:29" ht="24.75" customHeight="1">
      <c r="B65" s="350" t="s">
        <v>341</v>
      </c>
      <c r="C65" s="346"/>
      <c r="D65" s="346"/>
      <c r="E65" s="346"/>
      <c r="F65" s="346"/>
      <c r="G65" s="348"/>
      <c r="H65" s="353">
        <f>SUM(H33:H45)</f>
        <v>0</v>
      </c>
      <c r="I65" s="355">
        <f>SUM(I33:I45)</f>
        <v>0</v>
      </c>
      <c r="J65" s="357">
        <f>SUM(J33:J64)</f>
        <v>107</v>
      </c>
      <c r="K65" s="350">
        <f>SUM(K33:L64)</f>
        <v>4</v>
      </c>
      <c r="L65" s="339"/>
      <c r="M65" s="342">
        <f>SUM(M33:N64)</f>
        <v>12</v>
      </c>
      <c r="N65" s="346"/>
      <c r="O65" s="338">
        <f>SUM(O33:P56)</f>
        <v>15</v>
      </c>
      <c r="P65" s="339"/>
      <c r="Q65" s="342">
        <f>SUM(Q33:R57)</f>
        <v>18</v>
      </c>
      <c r="R65" s="343"/>
      <c r="S65" s="346">
        <f>SUM(S33:T64)</f>
        <v>29</v>
      </c>
      <c r="T65" s="339"/>
      <c r="U65" s="342">
        <f>SUM(U33:V64)</f>
        <v>29</v>
      </c>
      <c r="V65" s="348"/>
      <c r="W65" s="350">
        <f>SUM(K65:V66)</f>
        <v>107</v>
      </c>
      <c r="X65" s="348"/>
      <c r="Y65" s="313">
        <f>SUM(Y33:Y64)</f>
        <v>107</v>
      </c>
      <c r="AC65" s="94"/>
    </row>
    <row r="66" spans="2:29" ht="18" thickBot="1">
      <c r="B66" s="351"/>
      <c r="C66" s="347"/>
      <c r="D66" s="347"/>
      <c r="E66" s="347"/>
      <c r="F66" s="347"/>
      <c r="G66" s="349"/>
      <c r="H66" s="354"/>
      <c r="I66" s="356"/>
      <c r="J66" s="358"/>
      <c r="K66" s="351"/>
      <c r="L66" s="341"/>
      <c r="M66" s="344"/>
      <c r="N66" s="347"/>
      <c r="O66" s="340"/>
      <c r="P66" s="341"/>
      <c r="Q66" s="344"/>
      <c r="R66" s="345"/>
      <c r="S66" s="347"/>
      <c r="T66" s="341"/>
      <c r="U66" s="344"/>
      <c r="V66" s="349"/>
      <c r="W66" s="351"/>
      <c r="X66" s="349"/>
      <c r="Y66" s="352"/>
      <c r="AC66" s="63"/>
    </row>
    <row r="67" spans="2:29" ht="17.25" customHeight="1" thickBot="1">
      <c r="B67" s="288"/>
      <c r="C67" s="290"/>
      <c r="D67" s="290"/>
      <c r="E67" s="290"/>
      <c r="F67" s="290"/>
      <c r="G67" s="289"/>
      <c r="H67" s="96">
        <f>SUM(H32,H65)</f>
        <v>40</v>
      </c>
      <c r="I67" s="97">
        <f>SUM(I32,I65)</f>
        <v>0</v>
      </c>
      <c r="J67" s="98">
        <f>SUM(J32,J65)</f>
        <v>141</v>
      </c>
      <c r="K67" s="288">
        <f>SUM(K32,K65)</f>
        <v>29</v>
      </c>
      <c r="L67" s="298"/>
      <c r="M67" s="299">
        <f>SUM(M32,M65)</f>
        <v>29</v>
      </c>
      <c r="N67" s="291"/>
      <c r="O67" s="292">
        <f>SUM(O32,O65)</f>
        <v>29</v>
      </c>
      <c r="P67" s="298"/>
      <c r="Q67" s="299">
        <f>SUM(Q32,Q65)</f>
        <v>29</v>
      </c>
      <c r="R67" s="291"/>
      <c r="S67" s="292">
        <f>SUM(S32,S65)</f>
        <v>29</v>
      </c>
      <c r="T67" s="298"/>
      <c r="U67" s="299">
        <f>SUM(U32,U65)</f>
        <v>29</v>
      </c>
      <c r="V67" s="289"/>
      <c r="W67" s="288">
        <f>SUM(K67:V67)</f>
        <v>174</v>
      </c>
      <c r="X67" s="289"/>
      <c r="Y67" s="10">
        <f>Y32+Y65</f>
        <v>171</v>
      </c>
      <c r="AA67" s="293" t="s">
        <v>145</v>
      </c>
      <c r="AB67" s="293"/>
    </row>
    <row r="68" spans="2:29" ht="18.75" customHeight="1" thickBot="1">
      <c r="B68" s="307" t="s">
        <v>342</v>
      </c>
      <c r="C68" s="326"/>
      <c r="D68" s="326"/>
      <c r="E68" s="308"/>
      <c r="F68" s="331" t="s">
        <v>338</v>
      </c>
      <c r="G68" s="332"/>
      <c r="H68" s="332"/>
      <c r="I68" s="332"/>
      <c r="J68" s="333"/>
      <c r="K68" s="334">
        <v>16</v>
      </c>
      <c r="L68" s="335"/>
      <c r="M68" s="305">
        <v>16</v>
      </c>
      <c r="N68" s="336"/>
      <c r="O68" s="337">
        <v>16</v>
      </c>
      <c r="P68" s="335"/>
      <c r="Q68" s="305">
        <v>16</v>
      </c>
      <c r="R68" s="336"/>
      <c r="S68" s="337">
        <v>16</v>
      </c>
      <c r="T68" s="335"/>
      <c r="U68" s="305">
        <v>16</v>
      </c>
      <c r="V68" s="306"/>
      <c r="W68" s="307">
        <f>SUM(K68:V70)</f>
        <v>288</v>
      </c>
      <c r="X68" s="308"/>
      <c r="Y68" s="313">
        <f>Y71*16</f>
        <v>288</v>
      </c>
      <c r="AA68" s="325"/>
      <c r="AB68" s="325"/>
    </row>
    <row r="69" spans="2:29" ht="17.25" customHeight="1" thickBot="1">
      <c r="B69" s="309"/>
      <c r="C69" s="327"/>
      <c r="D69" s="327"/>
      <c r="E69" s="310"/>
      <c r="F69" s="316" t="s">
        <v>57</v>
      </c>
      <c r="G69" s="317"/>
      <c r="H69" s="317"/>
      <c r="I69" s="317"/>
      <c r="J69" s="318"/>
      <c r="K69" s="319">
        <v>16</v>
      </c>
      <c r="L69" s="320"/>
      <c r="M69" s="321">
        <v>16</v>
      </c>
      <c r="N69" s="322"/>
      <c r="O69" s="323">
        <v>16</v>
      </c>
      <c r="P69" s="320"/>
      <c r="Q69" s="321">
        <v>16</v>
      </c>
      <c r="R69" s="322"/>
      <c r="S69" s="323">
        <v>16</v>
      </c>
      <c r="T69" s="320"/>
      <c r="U69" s="321">
        <v>16</v>
      </c>
      <c r="V69" s="324"/>
      <c r="W69" s="309"/>
      <c r="X69" s="310"/>
      <c r="Y69" s="314"/>
      <c r="AA69" s="286" t="b">
        <f>W67&gt;=Y67</f>
        <v>1</v>
      </c>
      <c r="AB69" s="287"/>
    </row>
    <row r="70" spans="2:29" ht="17.25" customHeight="1">
      <c r="B70" s="309"/>
      <c r="C70" s="327"/>
      <c r="D70" s="327"/>
      <c r="E70" s="310"/>
      <c r="F70" s="316" t="s">
        <v>11</v>
      </c>
      <c r="G70" s="317"/>
      <c r="H70" s="317"/>
      <c r="I70" s="317"/>
      <c r="J70" s="318"/>
      <c r="K70" s="319">
        <v>16</v>
      </c>
      <c r="L70" s="320"/>
      <c r="M70" s="321">
        <v>16</v>
      </c>
      <c r="N70" s="322"/>
      <c r="O70" s="323">
        <v>16</v>
      </c>
      <c r="P70" s="320"/>
      <c r="Q70" s="321">
        <v>16</v>
      </c>
      <c r="R70" s="322"/>
      <c r="S70" s="323">
        <v>16</v>
      </c>
      <c r="T70" s="320"/>
      <c r="U70" s="321">
        <v>16</v>
      </c>
      <c r="V70" s="324"/>
      <c r="W70" s="311"/>
      <c r="X70" s="312"/>
      <c r="Y70" s="315"/>
    </row>
    <row r="71" spans="2:29" ht="17.25" customHeight="1" thickBot="1">
      <c r="B71" s="328"/>
      <c r="C71" s="329"/>
      <c r="D71" s="329"/>
      <c r="E71" s="330"/>
      <c r="F71" s="296" t="s">
        <v>139</v>
      </c>
      <c r="G71" s="300"/>
      <c r="H71" s="300"/>
      <c r="I71" s="300"/>
      <c r="J71" s="297"/>
      <c r="K71" s="301">
        <v>3</v>
      </c>
      <c r="L71" s="302"/>
      <c r="M71" s="294">
        <v>3</v>
      </c>
      <c r="N71" s="303"/>
      <c r="O71" s="304">
        <v>3</v>
      </c>
      <c r="P71" s="302"/>
      <c r="Q71" s="294">
        <v>3</v>
      </c>
      <c r="R71" s="303"/>
      <c r="S71" s="304">
        <v>3</v>
      </c>
      <c r="T71" s="302"/>
      <c r="U71" s="294">
        <v>3</v>
      </c>
      <c r="V71" s="295"/>
      <c r="W71" s="296">
        <f>SUM(K71:V71)</f>
        <v>18</v>
      </c>
      <c r="X71" s="297"/>
      <c r="Y71" s="64">
        <v>18</v>
      </c>
      <c r="AA71" s="293" t="s">
        <v>146</v>
      </c>
      <c r="AB71" s="293"/>
    </row>
    <row r="72" spans="2:29" ht="17.25" customHeight="1" thickBot="1">
      <c r="B72" s="288"/>
      <c r="C72" s="290"/>
      <c r="D72" s="290"/>
      <c r="E72" s="290"/>
      <c r="F72" s="290"/>
      <c r="G72" s="290"/>
      <c r="H72" s="290"/>
      <c r="I72" s="290"/>
      <c r="J72" s="289"/>
      <c r="K72" s="288">
        <v>32</v>
      </c>
      <c r="L72" s="298"/>
      <c r="M72" s="299">
        <v>32</v>
      </c>
      <c r="N72" s="291"/>
      <c r="O72" s="292">
        <v>32</v>
      </c>
      <c r="P72" s="298"/>
      <c r="Q72" s="299">
        <v>32</v>
      </c>
      <c r="R72" s="291"/>
      <c r="S72" s="292">
        <v>32</v>
      </c>
      <c r="T72" s="298"/>
      <c r="U72" s="299">
        <v>32</v>
      </c>
      <c r="V72" s="289"/>
      <c r="W72" s="288">
        <f>SUM(K72:V72)</f>
        <v>192</v>
      </c>
      <c r="X72" s="289"/>
      <c r="Y72" s="32">
        <f>W72</f>
        <v>192</v>
      </c>
      <c r="AA72" s="286" t="b">
        <f>W71&gt;=Y71</f>
        <v>1</v>
      </c>
      <c r="AB72" s="287"/>
    </row>
    <row r="73" spans="2:29" ht="17.25" customHeight="1" thickBot="1">
      <c r="B73" s="288"/>
      <c r="C73" s="290"/>
      <c r="D73" s="290"/>
      <c r="E73" s="290"/>
      <c r="F73" s="290"/>
      <c r="G73" s="290"/>
      <c r="H73" s="290"/>
      <c r="I73" s="290"/>
      <c r="J73" s="289"/>
      <c r="K73" s="288">
        <f>SUM(K72:N72)</f>
        <v>64</v>
      </c>
      <c r="L73" s="290"/>
      <c r="M73" s="290"/>
      <c r="N73" s="291"/>
      <c r="O73" s="292">
        <f>SUM(O72:R72)</f>
        <v>64</v>
      </c>
      <c r="P73" s="290"/>
      <c r="Q73" s="290"/>
      <c r="R73" s="291"/>
      <c r="S73" s="292">
        <f>SUM(S72:V72)</f>
        <v>64</v>
      </c>
      <c r="T73" s="290"/>
      <c r="U73" s="290"/>
      <c r="V73" s="289"/>
      <c r="W73" s="288">
        <f>SUM(K73:V73)</f>
        <v>192</v>
      </c>
      <c r="X73" s="289"/>
      <c r="Y73" s="10"/>
      <c r="AA73" s="293" t="s">
        <v>142</v>
      </c>
      <c r="AB73" s="293"/>
    </row>
    <row r="74" spans="2:29" ht="17.25" customHeight="1" thickBot="1">
      <c r="AA74" s="286" t="b">
        <f>W72&gt;=Y72</f>
        <v>1</v>
      </c>
      <c r="AB74" s="287"/>
    </row>
    <row r="75" spans="2:29" ht="17.25" customHeight="1"/>
    <row r="76" spans="2:29" ht="17.25" customHeight="1"/>
    <row r="77" spans="2:29" ht="17.25" customHeight="1"/>
    <row r="79" spans="2:29" ht="24.9" customHeight="1"/>
    <row r="80" spans="2:29" ht="24.9" customHeight="1"/>
    <row r="81" ht="32.25" customHeight="1"/>
    <row r="82" ht="24.9" customHeight="1"/>
    <row r="84" ht="16.5" customHeight="1"/>
    <row r="85" ht="17.2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244.5" customHeight="1"/>
  </sheetData>
  <mergeCells count="549">
    <mergeCell ref="K48:L48"/>
    <mergeCell ref="M48:N48"/>
    <mergeCell ref="F53:G53"/>
    <mergeCell ref="K50:L50"/>
    <mergeCell ref="K51:L51"/>
    <mergeCell ref="K52:L52"/>
    <mergeCell ref="M51:N51"/>
    <mergeCell ref="O53:P53"/>
    <mergeCell ref="M53:N53"/>
    <mergeCell ref="O50:P50"/>
    <mergeCell ref="O51:P51"/>
    <mergeCell ref="O52:P52"/>
    <mergeCell ref="F50:G50"/>
    <mergeCell ref="F52:G52"/>
    <mergeCell ref="F51:G51"/>
    <mergeCell ref="K53:L53"/>
    <mergeCell ref="I50:I52"/>
    <mergeCell ref="I53:I55"/>
    <mergeCell ref="M55:N55"/>
    <mergeCell ref="AA74:AB74"/>
    <mergeCell ref="F41:G41"/>
    <mergeCell ref="K41:L41"/>
    <mergeCell ref="M41:N41"/>
    <mergeCell ref="O41:P41"/>
    <mergeCell ref="Q41:R41"/>
    <mergeCell ref="B50:B52"/>
    <mergeCell ref="B53:B55"/>
    <mergeCell ref="J50:J52"/>
    <mergeCell ref="J53:J55"/>
    <mergeCell ref="M50:N50"/>
    <mergeCell ref="B46:B49"/>
    <mergeCell ref="K47:L47"/>
    <mergeCell ref="M47:N47"/>
    <mergeCell ref="F55:G55"/>
    <mergeCell ref="K55:L55"/>
    <mergeCell ref="M52:N52"/>
    <mergeCell ref="F46:G46"/>
    <mergeCell ref="I46:I49"/>
    <mergeCell ref="J46:J49"/>
    <mergeCell ref="K46:L46"/>
    <mergeCell ref="M46:N46"/>
    <mergeCell ref="F47:G47"/>
    <mergeCell ref="F48:G48"/>
    <mergeCell ref="B73:J73"/>
    <mergeCell ref="K73:N73"/>
    <mergeCell ref="O73:R73"/>
    <mergeCell ref="S73:V73"/>
    <mergeCell ref="W73:X73"/>
    <mergeCell ref="AA73:AB73"/>
    <mergeCell ref="U71:V71"/>
    <mergeCell ref="F54:G54"/>
    <mergeCell ref="F49:G49"/>
    <mergeCell ref="K49:L49"/>
    <mergeCell ref="M49:N49"/>
    <mergeCell ref="W46:X49"/>
    <mergeCell ref="W50:X52"/>
    <mergeCell ref="C48:C49"/>
    <mergeCell ref="Q50:R50"/>
    <mergeCell ref="Q51:R51"/>
    <mergeCell ref="Q52:R52"/>
    <mergeCell ref="O54:P54"/>
    <mergeCell ref="M54:N54"/>
    <mergeCell ref="K54:L54"/>
    <mergeCell ref="S53:T55"/>
    <mergeCell ref="U53:V55"/>
    <mergeCell ref="O55:P55"/>
    <mergeCell ref="F71:J71"/>
    <mergeCell ref="K71:L71"/>
    <mergeCell ref="M71:N71"/>
    <mergeCell ref="O71:P71"/>
    <mergeCell ref="Q71:R71"/>
    <mergeCell ref="S71:T71"/>
    <mergeCell ref="W71:X71"/>
    <mergeCell ref="AA71:AB71"/>
    <mergeCell ref="B72:J72"/>
    <mergeCell ref="K72:L72"/>
    <mergeCell ref="M72:N72"/>
    <mergeCell ref="O72:P72"/>
    <mergeCell ref="Q72:R72"/>
    <mergeCell ref="S72:T72"/>
    <mergeCell ref="U72:V72"/>
    <mergeCell ref="W72:X72"/>
    <mergeCell ref="AA72:AB72"/>
    <mergeCell ref="O68:P68"/>
    <mergeCell ref="Q68:R68"/>
    <mergeCell ref="S68:T68"/>
    <mergeCell ref="U68:V68"/>
    <mergeCell ref="W68:X70"/>
    <mergeCell ref="Y68:Y70"/>
    <mergeCell ref="F69:J69"/>
    <mergeCell ref="K69:L69"/>
    <mergeCell ref="M69:N69"/>
    <mergeCell ref="O69:P69"/>
    <mergeCell ref="Q69:R69"/>
    <mergeCell ref="S69:T69"/>
    <mergeCell ref="U69:V69"/>
    <mergeCell ref="U65:V66"/>
    <mergeCell ref="W65:X66"/>
    <mergeCell ref="Y65:Y66"/>
    <mergeCell ref="AA69:AB69"/>
    <mergeCell ref="F70:J70"/>
    <mergeCell ref="K70:L70"/>
    <mergeCell ref="M70:N70"/>
    <mergeCell ref="O70:P70"/>
    <mergeCell ref="Q70:R70"/>
    <mergeCell ref="S70:T70"/>
    <mergeCell ref="U70:V70"/>
    <mergeCell ref="B67:G67"/>
    <mergeCell ref="K67:L67"/>
    <mergeCell ref="M67:N67"/>
    <mergeCell ref="O67:P67"/>
    <mergeCell ref="Q67:R67"/>
    <mergeCell ref="S67:T67"/>
    <mergeCell ref="U67:V67"/>
    <mergeCell ref="W67:X67"/>
    <mergeCell ref="AA67:AB68"/>
    <mergeCell ref="B68:E71"/>
    <mergeCell ref="F68:J68"/>
    <mergeCell ref="K68:L68"/>
    <mergeCell ref="M68:N68"/>
    <mergeCell ref="B65:G66"/>
    <mergeCell ref="H65:H66"/>
    <mergeCell ref="I65:I66"/>
    <mergeCell ref="J65:J66"/>
    <mergeCell ref="K65:L66"/>
    <mergeCell ref="M65:N66"/>
    <mergeCell ref="O65:P66"/>
    <mergeCell ref="Q65:R66"/>
    <mergeCell ref="S65:T66"/>
    <mergeCell ref="F64:G64"/>
    <mergeCell ref="K64:L64"/>
    <mergeCell ref="M64:N64"/>
    <mergeCell ref="O64:P64"/>
    <mergeCell ref="Q64:R64"/>
    <mergeCell ref="F63:G63"/>
    <mergeCell ref="K63:L63"/>
    <mergeCell ref="M63:N63"/>
    <mergeCell ref="O63:P63"/>
    <mergeCell ref="F60:G60"/>
    <mergeCell ref="Q60:R60"/>
    <mergeCell ref="M61:N61"/>
    <mergeCell ref="O61:P61"/>
    <mergeCell ref="Q61:R61"/>
    <mergeCell ref="S61:T61"/>
    <mergeCell ref="U61:V61"/>
    <mergeCell ref="Q63:R63"/>
    <mergeCell ref="S63:T63"/>
    <mergeCell ref="U63:V63"/>
    <mergeCell ref="K60:L60"/>
    <mergeCell ref="M60:N60"/>
    <mergeCell ref="S60:T60"/>
    <mergeCell ref="U60:V60"/>
    <mergeCell ref="F61:G61"/>
    <mergeCell ref="K61:L61"/>
    <mergeCell ref="B56:C64"/>
    <mergeCell ref="F56:G56"/>
    <mergeCell ref="I56:I64"/>
    <mergeCell ref="J56:J64"/>
    <mergeCell ref="U62:V62"/>
    <mergeCell ref="O56:P56"/>
    <mergeCell ref="Q56:R56"/>
    <mergeCell ref="S56:T56"/>
    <mergeCell ref="U56:V56"/>
    <mergeCell ref="M59:N59"/>
    <mergeCell ref="O59:P59"/>
    <mergeCell ref="Q59:R59"/>
    <mergeCell ref="S59:T59"/>
    <mergeCell ref="U59:V59"/>
    <mergeCell ref="F62:G62"/>
    <mergeCell ref="K62:L62"/>
    <mergeCell ref="M62:N62"/>
    <mergeCell ref="O62:P62"/>
    <mergeCell ref="Q62:R62"/>
    <mergeCell ref="S62:T62"/>
    <mergeCell ref="S64:T64"/>
    <mergeCell ref="U64:V64"/>
    <mergeCell ref="K56:L56"/>
    <mergeCell ref="F57:G57"/>
    <mergeCell ref="K57:L57"/>
    <mergeCell ref="F59:G59"/>
    <mergeCell ref="K59:L59"/>
    <mergeCell ref="U57:V57"/>
    <mergeCell ref="F58:G58"/>
    <mergeCell ref="K58:L58"/>
    <mergeCell ref="M58:N58"/>
    <mergeCell ref="O58:P58"/>
    <mergeCell ref="M57:N57"/>
    <mergeCell ref="O57:P57"/>
    <mergeCell ref="Q57:R57"/>
    <mergeCell ref="S57:T57"/>
    <mergeCell ref="Q58:R58"/>
    <mergeCell ref="S58:T58"/>
    <mergeCell ref="U58:V58"/>
    <mergeCell ref="M56:N56"/>
    <mergeCell ref="O46:P49"/>
    <mergeCell ref="Q46:R49"/>
    <mergeCell ref="S50:T52"/>
    <mergeCell ref="U50:V52"/>
    <mergeCell ref="S46:T46"/>
    <mergeCell ref="W56:X64"/>
    <mergeCell ref="W41:X41"/>
    <mergeCell ref="W42:X42"/>
    <mergeCell ref="W44:X44"/>
    <mergeCell ref="Q55:R55"/>
    <mergeCell ref="Q53:R53"/>
    <mergeCell ref="W45:X45"/>
    <mergeCell ref="U42:V42"/>
    <mergeCell ref="U44:V44"/>
    <mergeCell ref="U47:V47"/>
    <mergeCell ref="U46:V46"/>
    <mergeCell ref="S48:T48"/>
    <mergeCell ref="U48:V48"/>
    <mergeCell ref="Q54:R54"/>
    <mergeCell ref="W53:X55"/>
    <mergeCell ref="S49:T49"/>
    <mergeCell ref="U49:V49"/>
    <mergeCell ref="O42:P42"/>
    <mergeCell ref="O40:P40"/>
    <mergeCell ref="Q40:R40"/>
    <mergeCell ref="S40:T40"/>
    <mergeCell ref="F45:G45"/>
    <mergeCell ref="K45:L45"/>
    <mergeCell ref="M45:N45"/>
    <mergeCell ref="O45:P45"/>
    <mergeCell ref="Q45:R45"/>
    <mergeCell ref="S45:T45"/>
    <mergeCell ref="F44:G44"/>
    <mergeCell ref="F42:G42"/>
    <mergeCell ref="F43:G43"/>
    <mergeCell ref="Q42:R42"/>
    <mergeCell ref="Q44:R44"/>
    <mergeCell ref="S42:T42"/>
    <mergeCell ref="S44:T44"/>
    <mergeCell ref="S41:T41"/>
    <mergeCell ref="K42:L42"/>
    <mergeCell ref="K44:L44"/>
    <mergeCell ref="M42:N42"/>
    <mergeCell ref="M44:N44"/>
    <mergeCell ref="O44:P44"/>
    <mergeCell ref="S43:T43"/>
    <mergeCell ref="U43:V43"/>
    <mergeCell ref="W43:X43"/>
    <mergeCell ref="K43:L43"/>
    <mergeCell ref="M43:N43"/>
    <mergeCell ref="O43:P43"/>
    <mergeCell ref="Q43:R43"/>
    <mergeCell ref="AA32:AB32"/>
    <mergeCell ref="W37:X37"/>
    <mergeCell ref="M38:N38"/>
    <mergeCell ref="O38:P38"/>
    <mergeCell ref="Q38:R38"/>
    <mergeCell ref="S38:T38"/>
    <mergeCell ref="U38:V38"/>
    <mergeCell ref="W38:X38"/>
    <mergeCell ref="M39:N39"/>
    <mergeCell ref="O39:P39"/>
    <mergeCell ref="Q39:R39"/>
    <mergeCell ref="S39:T39"/>
    <mergeCell ref="U39:V39"/>
    <mergeCell ref="W39:X39"/>
    <mergeCell ref="M34:N34"/>
    <mergeCell ref="O34:P34"/>
    <mergeCell ref="O36:P36"/>
    <mergeCell ref="Q36:R36"/>
    <mergeCell ref="S36:T36"/>
    <mergeCell ref="F37:G37"/>
    <mergeCell ref="K37:L37"/>
    <mergeCell ref="M37:N37"/>
    <mergeCell ref="O37:P37"/>
    <mergeCell ref="Q37:R37"/>
    <mergeCell ref="S37:T37"/>
    <mergeCell ref="O32:P32"/>
    <mergeCell ref="Q32:R32"/>
    <mergeCell ref="Q34:R34"/>
    <mergeCell ref="S34:T34"/>
    <mergeCell ref="Q35:R35"/>
    <mergeCell ref="S35:T35"/>
    <mergeCell ref="F25:G25"/>
    <mergeCell ref="K25:L25"/>
    <mergeCell ref="M25:N25"/>
    <mergeCell ref="O25:P25"/>
    <mergeCell ref="Q25:R25"/>
    <mergeCell ref="F33:G33"/>
    <mergeCell ref="K33:L33"/>
    <mergeCell ref="M33:N33"/>
    <mergeCell ref="O33:P33"/>
    <mergeCell ref="Q33:R33"/>
    <mergeCell ref="S33:T33"/>
    <mergeCell ref="O35:P35"/>
    <mergeCell ref="F35:G35"/>
    <mergeCell ref="K35:L35"/>
    <mergeCell ref="M35:N35"/>
    <mergeCell ref="F34:G34"/>
    <mergeCell ref="K34:L34"/>
    <mergeCell ref="F39:G39"/>
    <mergeCell ref="D30:D31"/>
    <mergeCell ref="F30:G30"/>
    <mergeCell ref="K30:L30"/>
    <mergeCell ref="M30:N30"/>
    <mergeCell ref="B32:G32"/>
    <mergeCell ref="K32:L32"/>
    <mergeCell ref="M32:N32"/>
    <mergeCell ref="B33:C45"/>
    <mergeCell ref="D33:E34"/>
    <mergeCell ref="F36:G36"/>
    <mergeCell ref="K36:L36"/>
    <mergeCell ref="M36:N36"/>
    <mergeCell ref="F38:G38"/>
    <mergeCell ref="K38:L38"/>
    <mergeCell ref="F40:G40"/>
    <mergeCell ref="K40:L40"/>
    <mergeCell ref="M40:N40"/>
    <mergeCell ref="M29:N29"/>
    <mergeCell ref="O29:P29"/>
    <mergeCell ref="Q29:R29"/>
    <mergeCell ref="S29:T29"/>
    <mergeCell ref="U29:V29"/>
    <mergeCell ref="U31:V31"/>
    <mergeCell ref="W30:X31"/>
    <mergeCell ref="F31:G31"/>
    <mergeCell ref="K31:L31"/>
    <mergeCell ref="M31:N31"/>
    <mergeCell ref="O31:P31"/>
    <mergeCell ref="Q31:R31"/>
    <mergeCell ref="O30:P30"/>
    <mergeCell ref="Q30:R30"/>
    <mergeCell ref="K39:L39"/>
    <mergeCell ref="S32:T32"/>
    <mergeCell ref="U32:V32"/>
    <mergeCell ref="W34:X34"/>
    <mergeCell ref="U33:V33"/>
    <mergeCell ref="W33:X33"/>
    <mergeCell ref="F10:G10"/>
    <mergeCell ref="M11:N11"/>
    <mergeCell ref="O11:P11"/>
    <mergeCell ref="Q11:R11"/>
    <mergeCell ref="S11:T11"/>
    <mergeCell ref="M20:N20"/>
    <mergeCell ref="O20:P20"/>
    <mergeCell ref="Q20:R20"/>
    <mergeCell ref="F21:G21"/>
    <mergeCell ref="M22:N22"/>
    <mergeCell ref="O22:P22"/>
    <mergeCell ref="Q22:R22"/>
    <mergeCell ref="F11:G11"/>
    <mergeCell ref="S12:T12"/>
    <mergeCell ref="F13:G13"/>
    <mergeCell ref="K13:L13"/>
    <mergeCell ref="M13:N13"/>
    <mergeCell ref="S26:T26"/>
    <mergeCell ref="Y28:Y29"/>
    <mergeCell ref="Y30:Y31"/>
    <mergeCell ref="S27:T27"/>
    <mergeCell ref="Y33:Y64"/>
    <mergeCell ref="U34:V34"/>
    <mergeCell ref="W32:X32"/>
    <mergeCell ref="U35:V35"/>
    <mergeCell ref="W35:X35"/>
    <mergeCell ref="U36:V36"/>
    <mergeCell ref="W36:X36"/>
    <mergeCell ref="U41:V41"/>
    <mergeCell ref="U27:V27"/>
    <mergeCell ref="S31:T31"/>
    <mergeCell ref="S30:T30"/>
    <mergeCell ref="U30:V30"/>
    <mergeCell ref="S47:T47"/>
    <mergeCell ref="U40:V40"/>
    <mergeCell ref="W40:X40"/>
    <mergeCell ref="U45:V45"/>
    <mergeCell ref="U37:V37"/>
    <mergeCell ref="D28:D29"/>
    <mergeCell ref="F28:G28"/>
    <mergeCell ref="K28:L28"/>
    <mergeCell ref="M28:N28"/>
    <mergeCell ref="O28:P28"/>
    <mergeCell ref="Q28:R28"/>
    <mergeCell ref="D24:D27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Q27:R27"/>
    <mergeCell ref="F26:G26"/>
    <mergeCell ref="K26:L26"/>
    <mergeCell ref="M26:N26"/>
    <mergeCell ref="O26:P26"/>
    <mergeCell ref="Q26:R26"/>
    <mergeCell ref="F29:G29"/>
    <mergeCell ref="K29:L29"/>
    <mergeCell ref="D12:D14"/>
    <mergeCell ref="S15:T15"/>
    <mergeCell ref="U15:V15"/>
    <mergeCell ref="F14:G14"/>
    <mergeCell ref="K14:L14"/>
    <mergeCell ref="M14:N14"/>
    <mergeCell ref="Q14:R14"/>
    <mergeCell ref="F12:G12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S17:T17"/>
    <mergeCell ref="F17:G17"/>
    <mergeCell ref="M23:N23"/>
    <mergeCell ref="O23:P23"/>
    <mergeCell ref="Q23:R23"/>
    <mergeCell ref="S23:T23"/>
    <mergeCell ref="U23:V23"/>
    <mergeCell ref="D22:D23"/>
    <mergeCell ref="F22:G22"/>
    <mergeCell ref="K22:L22"/>
    <mergeCell ref="D15:D17"/>
    <mergeCell ref="F15:G15"/>
    <mergeCell ref="K15:L15"/>
    <mergeCell ref="M15:N15"/>
    <mergeCell ref="O15:P15"/>
    <mergeCell ref="Q15:R15"/>
    <mergeCell ref="S19:T19"/>
    <mergeCell ref="F19:G19"/>
    <mergeCell ref="K19:L19"/>
    <mergeCell ref="M19:N19"/>
    <mergeCell ref="O19:P19"/>
    <mergeCell ref="Q19:R19"/>
    <mergeCell ref="F20:G20"/>
    <mergeCell ref="K20:L20"/>
    <mergeCell ref="AA8:AD8"/>
    <mergeCell ref="U12:V12"/>
    <mergeCell ref="X12:X14"/>
    <mergeCell ref="U11:V11"/>
    <mergeCell ref="X9:X11"/>
    <mergeCell ref="Y9:Y17"/>
    <mergeCell ref="U10:V10"/>
    <mergeCell ref="K12:L12"/>
    <mergeCell ref="M12:N12"/>
    <mergeCell ref="S14:T14"/>
    <mergeCell ref="U14:V14"/>
    <mergeCell ref="U13:V13"/>
    <mergeCell ref="K17:L17"/>
    <mergeCell ref="M17:N17"/>
    <mergeCell ref="O17:P17"/>
    <mergeCell ref="O13:P13"/>
    <mergeCell ref="Q13:R13"/>
    <mergeCell ref="S13:T13"/>
    <mergeCell ref="K10:L10"/>
    <mergeCell ref="M10:N10"/>
    <mergeCell ref="M9:N9"/>
    <mergeCell ref="O9:P9"/>
    <mergeCell ref="Q9:R9"/>
    <mergeCell ref="S9:T9"/>
    <mergeCell ref="K5:O5"/>
    <mergeCell ref="P5:S5"/>
    <mergeCell ref="T5:V5"/>
    <mergeCell ref="W5:Y5"/>
    <mergeCell ref="F8:G8"/>
    <mergeCell ref="B9:C31"/>
    <mergeCell ref="D9:D11"/>
    <mergeCell ref="F9:G9"/>
    <mergeCell ref="K9:L9"/>
    <mergeCell ref="U19:V19"/>
    <mergeCell ref="S18:T18"/>
    <mergeCell ref="U18:V18"/>
    <mergeCell ref="U20:V20"/>
    <mergeCell ref="X20:X21"/>
    <mergeCell ref="Y20:Y23"/>
    <mergeCell ref="X18:X19"/>
    <mergeCell ref="Y18:Y19"/>
    <mergeCell ref="D18:D21"/>
    <mergeCell ref="F18:G18"/>
    <mergeCell ref="K18:L18"/>
    <mergeCell ref="M18:N18"/>
    <mergeCell ref="O18:P18"/>
    <mergeCell ref="X22:X23"/>
    <mergeCell ref="F23:G23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AA2:AA5"/>
    <mergeCell ref="S7:V7"/>
    <mergeCell ref="U9:V9"/>
    <mergeCell ref="W7:X8"/>
    <mergeCell ref="Y7:Y8"/>
    <mergeCell ref="Q17:R17"/>
    <mergeCell ref="O12:P12"/>
    <mergeCell ref="Q12:R12"/>
    <mergeCell ref="S22:T22"/>
    <mergeCell ref="U22:V22"/>
    <mergeCell ref="S21:T21"/>
    <mergeCell ref="U21:V21"/>
    <mergeCell ref="AA19:AB19"/>
    <mergeCell ref="B2:U2"/>
    <mergeCell ref="V2:W2"/>
    <mergeCell ref="X2:Y2"/>
    <mergeCell ref="C5:E5"/>
    <mergeCell ref="F5:G5"/>
    <mergeCell ref="H5:J5"/>
    <mergeCell ref="B7:C8"/>
    <mergeCell ref="D7:D8"/>
    <mergeCell ref="H7:H8"/>
    <mergeCell ref="AB14:AD14"/>
    <mergeCell ref="O10:P10"/>
    <mergeCell ref="E7:G7"/>
    <mergeCell ref="I7:I8"/>
    <mergeCell ref="S28:T28"/>
    <mergeCell ref="U28:V28"/>
    <mergeCell ref="W28:X29"/>
    <mergeCell ref="Y24:Y27"/>
    <mergeCell ref="S25:T25"/>
    <mergeCell ref="U24:V24"/>
    <mergeCell ref="J7:J8"/>
    <mergeCell ref="X24:X27"/>
    <mergeCell ref="U26:V26"/>
    <mergeCell ref="S24:T24"/>
    <mergeCell ref="S20:T20"/>
    <mergeCell ref="K21:L21"/>
    <mergeCell ref="M21:N21"/>
    <mergeCell ref="O21:P21"/>
    <mergeCell ref="Q21:R21"/>
    <mergeCell ref="Q18:R18"/>
    <mergeCell ref="O14:P14"/>
    <mergeCell ref="U25:V25"/>
    <mergeCell ref="Q10:R10"/>
    <mergeCell ref="S10:T10"/>
    <mergeCell ref="K11:L11"/>
    <mergeCell ref="K23:L23"/>
    <mergeCell ref="U6:Y6"/>
    <mergeCell ref="K7:N7"/>
    <mergeCell ref="O7:R7"/>
    <mergeCell ref="K8:L8"/>
    <mergeCell ref="M8:N8"/>
    <mergeCell ref="O8:P8"/>
    <mergeCell ref="Q8:R8"/>
    <mergeCell ref="S8:T8"/>
    <mergeCell ref="U8:V8"/>
  </mergeCells>
  <phoneticPr fontId="9" type="noConversion"/>
  <conditionalFormatting sqref="AA32:AB32 AC66 AA69:AB69 AA72:AB72 AA74:AB74">
    <cfRule type="containsText" dxfId="1" priority="1" operator="containsText" text="FALSE">
      <formula>NOT(ISERROR(SEARCH("FALSE",AA32)))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65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3D1E-5140-499C-A705-0B1F4D23E595}">
  <sheetPr>
    <pageSetUpPr fitToPage="1"/>
  </sheetPr>
  <dimension ref="B1:AD103"/>
  <sheetViews>
    <sheetView view="pageBreakPreview" zoomScaleNormal="100" zoomScaleSheetLayoutView="100" workbookViewId="0">
      <pane ySplit="8" topLeftCell="A9" activePane="bottomLeft" state="frozen"/>
      <selection pane="bottomLeft" activeCell="U12" sqref="U12:V1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156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514" t="s">
        <v>522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5"/>
      <c r="V2" s="516" t="s">
        <v>121</v>
      </c>
      <c r="W2" s="517"/>
      <c r="X2" s="518">
        <v>2027</v>
      </c>
      <c r="Y2" s="519"/>
      <c r="AA2" s="520" t="s">
        <v>134</v>
      </c>
      <c r="AB2" s="14" t="s">
        <v>135</v>
      </c>
      <c r="AC2" s="27" t="s">
        <v>141</v>
      </c>
      <c r="AD2" s="15" t="s">
        <v>136</v>
      </c>
    </row>
    <row r="3" spans="2:30" ht="18" thickBot="1">
      <c r="B3" s="523" t="s">
        <v>339</v>
      </c>
      <c r="C3" s="525" t="s">
        <v>47</v>
      </c>
      <c r="D3" s="526"/>
      <c r="E3" s="526"/>
      <c r="F3" s="525" t="s">
        <v>58</v>
      </c>
      <c r="G3" s="529"/>
      <c r="H3" s="525" t="s">
        <v>48</v>
      </c>
      <c r="I3" s="526"/>
      <c r="J3" s="526"/>
      <c r="K3" s="525" t="s">
        <v>49</v>
      </c>
      <c r="L3" s="526"/>
      <c r="M3" s="526"/>
      <c r="N3" s="526"/>
      <c r="O3" s="529"/>
      <c r="P3" s="531" t="s">
        <v>50</v>
      </c>
      <c r="Q3" s="532"/>
      <c r="R3" s="532"/>
      <c r="S3" s="532"/>
      <c r="T3" s="532"/>
      <c r="U3" s="532"/>
      <c r="V3" s="532"/>
      <c r="W3" s="532"/>
      <c r="X3" s="532"/>
      <c r="Y3" s="533"/>
      <c r="AA3" s="521"/>
      <c r="AB3" s="16" t="s">
        <v>137</v>
      </c>
      <c r="AC3" s="33" t="s">
        <v>370</v>
      </c>
      <c r="AD3" s="17" t="s">
        <v>497</v>
      </c>
    </row>
    <row r="4" spans="2:30" ht="18" thickBot="1">
      <c r="B4" s="524"/>
      <c r="C4" s="527"/>
      <c r="D4" s="528"/>
      <c r="E4" s="528"/>
      <c r="F4" s="527"/>
      <c r="G4" s="530"/>
      <c r="H4" s="527"/>
      <c r="I4" s="528"/>
      <c r="J4" s="528"/>
      <c r="K4" s="527"/>
      <c r="L4" s="528"/>
      <c r="M4" s="528"/>
      <c r="N4" s="528"/>
      <c r="O4" s="530"/>
      <c r="P4" s="531" t="s">
        <v>118</v>
      </c>
      <c r="Q4" s="532"/>
      <c r="R4" s="532"/>
      <c r="S4" s="532"/>
      <c r="T4" s="531" t="s">
        <v>55</v>
      </c>
      <c r="U4" s="532"/>
      <c r="V4" s="533"/>
      <c r="W4" s="532" t="s">
        <v>119</v>
      </c>
      <c r="X4" s="532"/>
      <c r="Y4" s="533"/>
      <c r="AA4" s="521"/>
      <c r="AB4" s="18" t="s">
        <v>138</v>
      </c>
      <c r="AC4" s="34" t="s">
        <v>371</v>
      </c>
      <c r="AD4" s="17" t="s">
        <v>498</v>
      </c>
    </row>
    <row r="5" spans="2:30" ht="26.25" customHeight="1" thickBot="1">
      <c r="B5" s="65" t="s">
        <v>354</v>
      </c>
      <c r="C5" s="534" t="s">
        <v>356</v>
      </c>
      <c r="D5" s="535"/>
      <c r="E5" s="536"/>
      <c r="F5" s="534" t="s">
        <v>357</v>
      </c>
      <c r="G5" s="537"/>
      <c r="H5" s="538" t="s">
        <v>683</v>
      </c>
      <c r="I5" s="535"/>
      <c r="J5" s="536"/>
      <c r="K5" s="534"/>
      <c r="L5" s="535"/>
      <c r="M5" s="535"/>
      <c r="N5" s="535"/>
      <c r="O5" s="537"/>
      <c r="P5" s="538" t="s">
        <v>682</v>
      </c>
      <c r="Q5" s="535"/>
      <c r="R5" s="535"/>
      <c r="S5" s="536"/>
      <c r="T5" s="534" t="s">
        <v>358</v>
      </c>
      <c r="U5" s="535"/>
      <c r="V5" s="536"/>
      <c r="W5" s="539" t="s">
        <v>681</v>
      </c>
      <c r="X5" s="540"/>
      <c r="Y5" s="541"/>
      <c r="AA5" s="522"/>
      <c r="AB5" s="19"/>
      <c r="AC5" s="35"/>
      <c r="AD5" s="154"/>
    </row>
    <row r="6" spans="2:30" ht="15.75" customHeight="1" thickBot="1">
      <c r="U6" s="542" t="s">
        <v>516</v>
      </c>
      <c r="V6" s="543"/>
      <c r="W6" s="543"/>
      <c r="X6" s="543"/>
      <c r="Y6" s="543"/>
    </row>
    <row r="7" spans="2:30" s="9" customFormat="1" ht="22.5" customHeight="1">
      <c r="B7" s="501" t="s">
        <v>2</v>
      </c>
      <c r="C7" s="502"/>
      <c r="D7" s="505" t="s">
        <v>112</v>
      </c>
      <c r="E7" s="507" t="s">
        <v>51</v>
      </c>
      <c r="F7" s="508"/>
      <c r="G7" s="491"/>
      <c r="H7" s="487" t="s">
        <v>124</v>
      </c>
      <c r="I7" s="509" t="s">
        <v>125</v>
      </c>
      <c r="J7" s="488" t="s">
        <v>126</v>
      </c>
      <c r="K7" s="510" t="s">
        <v>52</v>
      </c>
      <c r="L7" s="509"/>
      <c r="M7" s="509"/>
      <c r="N7" s="511"/>
      <c r="O7" s="512" t="s">
        <v>53</v>
      </c>
      <c r="P7" s="509"/>
      <c r="Q7" s="509"/>
      <c r="R7" s="511"/>
      <c r="S7" s="510" t="s">
        <v>54</v>
      </c>
      <c r="T7" s="509"/>
      <c r="U7" s="509"/>
      <c r="V7" s="513"/>
      <c r="W7" s="487" t="s">
        <v>127</v>
      </c>
      <c r="X7" s="488"/>
      <c r="Y7" s="491" t="s">
        <v>128</v>
      </c>
      <c r="Z7" s="8"/>
    </row>
    <row r="8" spans="2:30" s="9" customFormat="1" ht="22.5" customHeight="1" thickBot="1">
      <c r="B8" s="503"/>
      <c r="C8" s="504"/>
      <c r="D8" s="506"/>
      <c r="E8" s="20" t="s">
        <v>18</v>
      </c>
      <c r="F8" s="493" t="s">
        <v>19</v>
      </c>
      <c r="G8" s="494"/>
      <c r="H8" s="489"/>
      <c r="I8" s="496"/>
      <c r="J8" s="490"/>
      <c r="K8" s="495" t="s">
        <v>0</v>
      </c>
      <c r="L8" s="496"/>
      <c r="M8" s="496" t="s">
        <v>56</v>
      </c>
      <c r="N8" s="497"/>
      <c r="O8" s="498" t="s">
        <v>0</v>
      </c>
      <c r="P8" s="496"/>
      <c r="Q8" s="496" t="s">
        <v>56</v>
      </c>
      <c r="R8" s="497"/>
      <c r="S8" s="495" t="s">
        <v>0</v>
      </c>
      <c r="T8" s="496"/>
      <c r="U8" s="496" t="s">
        <v>56</v>
      </c>
      <c r="V8" s="499"/>
      <c r="W8" s="489"/>
      <c r="X8" s="490"/>
      <c r="Y8" s="492"/>
      <c r="AA8" s="484" t="s">
        <v>344</v>
      </c>
      <c r="AB8" s="484"/>
      <c r="AC8" s="484"/>
      <c r="AD8" s="484"/>
    </row>
    <row r="9" spans="2:30" ht="16.5" customHeight="1" thickBot="1">
      <c r="B9" s="485" t="s">
        <v>319</v>
      </c>
      <c r="C9" s="466"/>
      <c r="D9" s="464" t="s">
        <v>21</v>
      </c>
      <c r="E9" s="36" t="s">
        <v>12</v>
      </c>
      <c r="F9" s="437" t="s">
        <v>191</v>
      </c>
      <c r="G9" s="442"/>
      <c r="H9" s="37">
        <v>4</v>
      </c>
      <c r="I9" s="38" t="s">
        <v>320</v>
      </c>
      <c r="J9" s="39">
        <v>3</v>
      </c>
      <c r="K9" s="437">
        <v>3</v>
      </c>
      <c r="L9" s="438"/>
      <c r="M9" s="439"/>
      <c r="N9" s="440"/>
      <c r="O9" s="441"/>
      <c r="P9" s="438"/>
      <c r="Q9" s="439"/>
      <c r="R9" s="440"/>
      <c r="S9" s="441"/>
      <c r="T9" s="438"/>
      <c r="U9" s="439"/>
      <c r="V9" s="442"/>
      <c r="W9" s="40">
        <f t="shared" ref="W9:W27" si="0">SUM(K9:V9)</f>
        <v>3</v>
      </c>
      <c r="X9" s="476">
        <f>SUM(W9:W11)</f>
        <v>9</v>
      </c>
      <c r="Y9" s="463">
        <v>24</v>
      </c>
      <c r="AA9" s="66" t="s">
        <v>18</v>
      </c>
      <c r="AB9" s="67" t="s">
        <v>350</v>
      </c>
      <c r="AC9" s="67" t="s">
        <v>351</v>
      </c>
      <c r="AD9" s="68" t="s">
        <v>352</v>
      </c>
    </row>
    <row r="10" spans="2:30" ht="18" thickBot="1">
      <c r="B10" s="486"/>
      <c r="C10" s="467"/>
      <c r="D10" s="465"/>
      <c r="E10" s="41" t="s">
        <v>12</v>
      </c>
      <c r="F10" s="363" t="s">
        <v>192</v>
      </c>
      <c r="G10" s="360"/>
      <c r="H10" s="42">
        <v>4</v>
      </c>
      <c r="I10" s="43" t="s">
        <v>320</v>
      </c>
      <c r="J10" s="44">
        <v>3</v>
      </c>
      <c r="K10" s="363"/>
      <c r="L10" s="364"/>
      <c r="M10" s="359">
        <v>3</v>
      </c>
      <c r="N10" s="365"/>
      <c r="O10" s="366"/>
      <c r="P10" s="364"/>
      <c r="Q10" s="359"/>
      <c r="R10" s="365"/>
      <c r="S10" s="366"/>
      <c r="T10" s="364"/>
      <c r="U10" s="359"/>
      <c r="V10" s="360"/>
      <c r="W10" s="45">
        <f t="shared" si="0"/>
        <v>3</v>
      </c>
      <c r="X10" s="483"/>
      <c r="Y10" s="463"/>
      <c r="AA10" s="69" t="s">
        <v>345</v>
      </c>
      <c r="AB10" s="70">
        <v>4</v>
      </c>
      <c r="AC10" s="70">
        <v>-1</v>
      </c>
      <c r="AD10" s="17" t="s">
        <v>320</v>
      </c>
    </row>
    <row r="11" spans="2:30" ht="18" thickBot="1">
      <c r="B11" s="486"/>
      <c r="C11" s="467"/>
      <c r="D11" s="470"/>
      <c r="E11" s="46" t="s">
        <v>326</v>
      </c>
      <c r="F11" s="447" t="s">
        <v>4</v>
      </c>
      <c r="G11" s="452"/>
      <c r="H11" s="47">
        <v>4</v>
      </c>
      <c r="I11" s="48" t="s">
        <v>322</v>
      </c>
      <c r="J11" s="49">
        <v>3</v>
      </c>
      <c r="K11" s="447"/>
      <c r="L11" s="448"/>
      <c r="M11" s="449"/>
      <c r="N11" s="450"/>
      <c r="O11" s="451">
        <v>3</v>
      </c>
      <c r="P11" s="448"/>
      <c r="Q11" s="449"/>
      <c r="R11" s="450"/>
      <c r="S11" s="451"/>
      <c r="T11" s="448"/>
      <c r="U11" s="449"/>
      <c r="V11" s="452"/>
      <c r="W11" s="45">
        <f t="shared" si="0"/>
        <v>3</v>
      </c>
      <c r="X11" s="483"/>
      <c r="Y11" s="463"/>
      <c r="AA11" s="69" t="s">
        <v>346</v>
      </c>
      <c r="AB11" s="70">
        <v>3</v>
      </c>
      <c r="AC11" s="70"/>
      <c r="AD11" s="17">
        <v>3</v>
      </c>
    </row>
    <row r="12" spans="2:30" ht="18" thickBot="1">
      <c r="B12" s="486"/>
      <c r="C12" s="467"/>
      <c r="D12" s="464" t="s">
        <v>5</v>
      </c>
      <c r="E12" s="36" t="s">
        <v>12</v>
      </c>
      <c r="F12" s="437" t="s">
        <v>202</v>
      </c>
      <c r="G12" s="442"/>
      <c r="H12" s="37">
        <v>4</v>
      </c>
      <c r="I12" s="38" t="s">
        <v>320</v>
      </c>
      <c r="J12" s="39">
        <v>3</v>
      </c>
      <c r="K12" s="437">
        <v>3</v>
      </c>
      <c r="L12" s="438"/>
      <c r="M12" s="439"/>
      <c r="N12" s="440"/>
      <c r="O12" s="441"/>
      <c r="P12" s="438"/>
      <c r="Q12" s="439"/>
      <c r="R12" s="440"/>
      <c r="S12" s="441"/>
      <c r="T12" s="438"/>
      <c r="U12" s="439"/>
      <c r="V12" s="442"/>
      <c r="W12" s="40">
        <f t="shared" si="0"/>
        <v>3</v>
      </c>
      <c r="X12" s="476">
        <f>SUM(W12:W14)</f>
        <v>9</v>
      </c>
      <c r="Y12" s="463"/>
      <c r="AA12" s="69" t="s">
        <v>347</v>
      </c>
      <c r="AB12" s="70">
        <v>4</v>
      </c>
      <c r="AC12" s="70" t="s">
        <v>353</v>
      </c>
      <c r="AD12" s="17" t="s">
        <v>322</v>
      </c>
    </row>
    <row r="13" spans="2:30" ht="18" thickBot="1">
      <c r="B13" s="486"/>
      <c r="C13" s="467"/>
      <c r="D13" s="465"/>
      <c r="E13" s="41" t="s">
        <v>12</v>
      </c>
      <c r="F13" s="363" t="s">
        <v>203</v>
      </c>
      <c r="G13" s="360"/>
      <c r="H13" s="42">
        <v>4</v>
      </c>
      <c r="I13" s="43" t="s">
        <v>320</v>
      </c>
      <c r="J13" s="44">
        <v>3</v>
      </c>
      <c r="K13" s="363"/>
      <c r="L13" s="364"/>
      <c r="M13" s="359">
        <v>3</v>
      </c>
      <c r="N13" s="365"/>
      <c r="O13" s="366"/>
      <c r="P13" s="364"/>
      <c r="Q13" s="359"/>
      <c r="R13" s="365"/>
      <c r="S13" s="366"/>
      <c r="T13" s="364"/>
      <c r="U13" s="359"/>
      <c r="V13" s="360"/>
      <c r="W13" s="45">
        <f t="shared" si="0"/>
        <v>3</v>
      </c>
      <c r="X13" s="483"/>
      <c r="Y13" s="463"/>
      <c r="AA13" s="69" t="s">
        <v>348</v>
      </c>
      <c r="AB13" s="70">
        <v>3</v>
      </c>
      <c r="AC13" s="70" t="s">
        <v>353</v>
      </c>
      <c r="AD13" s="17" t="s">
        <v>328</v>
      </c>
    </row>
    <row r="14" spans="2:30" ht="18" thickBot="1">
      <c r="B14" s="486"/>
      <c r="C14" s="467"/>
      <c r="D14" s="470"/>
      <c r="E14" s="46" t="s">
        <v>326</v>
      </c>
      <c r="F14" s="447" t="s">
        <v>30</v>
      </c>
      <c r="G14" s="452"/>
      <c r="H14" s="47">
        <v>4</v>
      </c>
      <c r="I14" s="48" t="s">
        <v>322</v>
      </c>
      <c r="J14" s="49">
        <v>3</v>
      </c>
      <c r="K14" s="447"/>
      <c r="L14" s="448"/>
      <c r="M14" s="449"/>
      <c r="N14" s="450"/>
      <c r="O14" s="451"/>
      <c r="P14" s="448"/>
      <c r="Q14" s="449">
        <v>3</v>
      </c>
      <c r="R14" s="450"/>
      <c r="S14" s="451"/>
      <c r="T14" s="448"/>
      <c r="U14" s="449"/>
      <c r="V14" s="452"/>
      <c r="W14" s="45">
        <f t="shared" si="0"/>
        <v>3</v>
      </c>
      <c r="X14" s="483"/>
      <c r="Y14" s="463"/>
      <c r="AA14" s="71" t="s">
        <v>349</v>
      </c>
      <c r="AB14" s="481" t="s">
        <v>355</v>
      </c>
      <c r="AC14" s="481"/>
      <c r="AD14" s="482"/>
    </row>
    <row r="15" spans="2:30" ht="18" thickBot="1">
      <c r="B15" s="486"/>
      <c r="C15" s="467"/>
      <c r="D15" s="464" t="s">
        <v>6</v>
      </c>
      <c r="E15" s="36" t="s">
        <v>12</v>
      </c>
      <c r="F15" s="437" t="s">
        <v>208</v>
      </c>
      <c r="G15" s="442"/>
      <c r="H15" s="37">
        <v>4</v>
      </c>
      <c r="I15" s="38" t="s">
        <v>320</v>
      </c>
      <c r="J15" s="39">
        <v>3</v>
      </c>
      <c r="K15" s="437">
        <v>3</v>
      </c>
      <c r="L15" s="438"/>
      <c r="M15" s="439"/>
      <c r="N15" s="440"/>
      <c r="O15" s="441"/>
      <c r="P15" s="438"/>
      <c r="Q15" s="439"/>
      <c r="R15" s="440"/>
      <c r="S15" s="441"/>
      <c r="T15" s="438"/>
      <c r="U15" s="439"/>
      <c r="V15" s="442"/>
      <c r="W15" s="40">
        <f t="shared" si="0"/>
        <v>3</v>
      </c>
      <c r="X15" s="476">
        <f>SUM(W15:W17)</f>
        <v>9</v>
      </c>
      <c r="Y15" s="463"/>
    </row>
    <row r="16" spans="2:30" ht="18" thickBot="1">
      <c r="B16" s="486"/>
      <c r="C16" s="467"/>
      <c r="D16" s="465"/>
      <c r="E16" s="41" t="s">
        <v>12</v>
      </c>
      <c r="F16" s="363" t="s">
        <v>213</v>
      </c>
      <c r="G16" s="360"/>
      <c r="H16" s="42">
        <v>4</v>
      </c>
      <c r="I16" s="43" t="s">
        <v>320</v>
      </c>
      <c r="J16" s="44">
        <v>3</v>
      </c>
      <c r="K16" s="363"/>
      <c r="L16" s="364"/>
      <c r="M16" s="359">
        <v>3</v>
      </c>
      <c r="N16" s="365"/>
      <c r="O16" s="366"/>
      <c r="P16" s="364"/>
      <c r="Q16" s="359"/>
      <c r="R16" s="365"/>
      <c r="S16" s="366"/>
      <c r="T16" s="364"/>
      <c r="U16" s="359"/>
      <c r="V16" s="360"/>
      <c r="W16" s="45">
        <f t="shared" si="0"/>
        <v>3</v>
      </c>
      <c r="X16" s="483"/>
      <c r="Y16" s="463"/>
    </row>
    <row r="17" spans="2:29" ht="18" thickBot="1">
      <c r="B17" s="486"/>
      <c r="C17" s="467"/>
      <c r="D17" s="470"/>
      <c r="E17" s="50" t="s">
        <v>326</v>
      </c>
      <c r="F17" s="447" t="s">
        <v>32</v>
      </c>
      <c r="G17" s="452"/>
      <c r="H17" s="47">
        <v>4</v>
      </c>
      <c r="I17" s="48" t="s">
        <v>322</v>
      </c>
      <c r="J17" s="49">
        <v>3</v>
      </c>
      <c r="K17" s="447"/>
      <c r="L17" s="448"/>
      <c r="M17" s="449"/>
      <c r="N17" s="450"/>
      <c r="O17" s="451">
        <v>3</v>
      </c>
      <c r="P17" s="448"/>
      <c r="Q17" s="449"/>
      <c r="R17" s="450"/>
      <c r="S17" s="451"/>
      <c r="T17" s="448"/>
      <c r="U17" s="449"/>
      <c r="V17" s="452"/>
      <c r="W17" s="45">
        <f t="shared" si="0"/>
        <v>3</v>
      </c>
      <c r="X17" s="483"/>
      <c r="Y17" s="463"/>
    </row>
    <row r="18" spans="2:29" ht="18" thickBot="1">
      <c r="B18" s="486"/>
      <c r="C18" s="467"/>
      <c r="D18" s="464" t="s">
        <v>323</v>
      </c>
      <c r="E18" s="36" t="s">
        <v>12</v>
      </c>
      <c r="F18" s="437" t="s">
        <v>221</v>
      </c>
      <c r="G18" s="442"/>
      <c r="H18" s="37">
        <v>3</v>
      </c>
      <c r="I18" s="51" t="s">
        <v>324</v>
      </c>
      <c r="J18" s="39">
        <v>3</v>
      </c>
      <c r="K18" s="471">
        <v>3</v>
      </c>
      <c r="L18" s="472"/>
      <c r="M18" s="473"/>
      <c r="N18" s="474"/>
      <c r="O18" s="475"/>
      <c r="P18" s="472"/>
      <c r="Q18" s="473"/>
      <c r="R18" s="474"/>
      <c r="S18" s="475"/>
      <c r="T18" s="472"/>
      <c r="U18" s="473"/>
      <c r="V18" s="480"/>
      <c r="W18" s="40">
        <f t="shared" si="0"/>
        <v>3</v>
      </c>
      <c r="X18" s="476">
        <f>SUM(W18:W19)</f>
        <v>6</v>
      </c>
      <c r="Y18" s="463">
        <v>6</v>
      </c>
    </row>
    <row r="19" spans="2:29" ht="18" thickBot="1">
      <c r="B19" s="486"/>
      <c r="C19" s="467"/>
      <c r="D19" s="465"/>
      <c r="E19" s="52" t="s">
        <v>12</v>
      </c>
      <c r="F19" s="478" t="s">
        <v>222</v>
      </c>
      <c r="G19" s="479"/>
      <c r="H19" s="53">
        <v>3</v>
      </c>
      <c r="I19" s="54" t="s">
        <v>324</v>
      </c>
      <c r="J19" s="155">
        <v>3</v>
      </c>
      <c r="K19" s="447"/>
      <c r="L19" s="448"/>
      <c r="M19" s="449">
        <v>3</v>
      </c>
      <c r="N19" s="450"/>
      <c r="O19" s="451"/>
      <c r="P19" s="448"/>
      <c r="Q19" s="449"/>
      <c r="R19" s="450"/>
      <c r="S19" s="451"/>
      <c r="T19" s="448"/>
      <c r="U19" s="449"/>
      <c r="V19" s="452"/>
      <c r="W19" s="55">
        <f t="shared" si="0"/>
        <v>3</v>
      </c>
      <c r="X19" s="477"/>
      <c r="Y19" s="463"/>
      <c r="AA19" s="293"/>
      <c r="AB19" s="293"/>
      <c r="AC19" s="144"/>
    </row>
    <row r="20" spans="2:29" ht="18" thickBot="1">
      <c r="B20" s="486"/>
      <c r="C20" s="467"/>
      <c r="D20" s="465"/>
      <c r="E20" s="36" t="s">
        <v>12</v>
      </c>
      <c r="F20" s="437" t="s">
        <v>223</v>
      </c>
      <c r="G20" s="442"/>
      <c r="H20" s="37">
        <v>4</v>
      </c>
      <c r="I20" s="51" t="s">
        <v>320</v>
      </c>
      <c r="J20" s="39">
        <v>3</v>
      </c>
      <c r="K20" s="437"/>
      <c r="L20" s="438"/>
      <c r="M20" s="439"/>
      <c r="N20" s="440"/>
      <c r="O20" s="441">
        <v>3</v>
      </c>
      <c r="P20" s="438"/>
      <c r="Q20" s="439"/>
      <c r="R20" s="440"/>
      <c r="S20" s="441"/>
      <c r="T20" s="438"/>
      <c r="U20" s="439"/>
      <c r="V20" s="442"/>
      <c r="W20" s="40">
        <f t="shared" si="0"/>
        <v>3</v>
      </c>
      <c r="X20" s="476">
        <f>SUM(W20:W21)</f>
        <v>6</v>
      </c>
      <c r="Y20" s="463">
        <v>12</v>
      </c>
    </row>
    <row r="21" spans="2:29" ht="18" thickBot="1">
      <c r="B21" s="486"/>
      <c r="C21" s="467"/>
      <c r="D21" s="470"/>
      <c r="E21" s="50" t="s">
        <v>12</v>
      </c>
      <c r="F21" s="447" t="s">
        <v>224</v>
      </c>
      <c r="G21" s="452"/>
      <c r="H21" s="47">
        <v>4</v>
      </c>
      <c r="I21" s="48" t="s">
        <v>320</v>
      </c>
      <c r="J21" s="49">
        <v>3</v>
      </c>
      <c r="K21" s="447"/>
      <c r="L21" s="448"/>
      <c r="M21" s="449"/>
      <c r="N21" s="450"/>
      <c r="O21" s="451"/>
      <c r="P21" s="448"/>
      <c r="Q21" s="449">
        <v>3</v>
      </c>
      <c r="R21" s="450"/>
      <c r="S21" s="451"/>
      <c r="T21" s="448"/>
      <c r="U21" s="449"/>
      <c r="V21" s="452"/>
      <c r="W21" s="55">
        <f t="shared" si="0"/>
        <v>3</v>
      </c>
      <c r="X21" s="477"/>
      <c r="Y21" s="463"/>
    </row>
    <row r="22" spans="2:29" ht="18" thickBot="1">
      <c r="B22" s="486"/>
      <c r="C22" s="467"/>
      <c r="D22" s="464" t="s">
        <v>23</v>
      </c>
      <c r="E22" s="36" t="s">
        <v>12</v>
      </c>
      <c r="F22" s="437" t="s">
        <v>240</v>
      </c>
      <c r="G22" s="442"/>
      <c r="H22" s="37">
        <v>4</v>
      </c>
      <c r="I22" s="51" t="s">
        <v>320</v>
      </c>
      <c r="J22" s="39">
        <v>3</v>
      </c>
      <c r="K22" s="437"/>
      <c r="L22" s="438"/>
      <c r="M22" s="439"/>
      <c r="N22" s="440"/>
      <c r="O22" s="441">
        <v>3</v>
      </c>
      <c r="P22" s="438"/>
      <c r="Q22" s="439"/>
      <c r="R22" s="440"/>
      <c r="S22" s="441"/>
      <c r="T22" s="438"/>
      <c r="U22" s="439"/>
      <c r="V22" s="442"/>
      <c r="W22" s="40">
        <f t="shared" si="0"/>
        <v>3</v>
      </c>
      <c r="X22" s="466">
        <f>SUM(W22:W23)</f>
        <v>6</v>
      </c>
      <c r="Y22" s="463"/>
    </row>
    <row r="23" spans="2:29" ht="18" thickBot="1">
      <c r="B23" s="486"/>
      <c r="C23" s="467"/>
      <c r="D23" s="465"/>
      <c r="E23" s="41" t="s">
        <v>12</v>
      </c>
      <c r="F23" s="363" t="s">
        <v>241</v>
      </c>
      <c r="G23" s="360"/>
      <c r="H23" s="42">
        <v>4</v>
      </c>
      <c r="I23" s="43" t="s">
        <v>320</v>
      </c>
      <c r="J23" s="44">
        <v>3</v>
      </c>
      <c r="K23" s="363"/>
      <c r="L23" s="364"/>
      <c r="M23" s="359"/>
      <c r="N23" s="365"/>
      <c r="O23" s="366"/>
      <c r="P23" s="364"/>
      <c r="Q23" s="359">
        <v>3</v>
      </c>
      <c r="R23" s="365"/>
      <c r="S23" s="366"/>
      <c r="T23" s="364"/>
      <c r="U23" s="359"/>
      <c r="V23" s="360"/>
      <c r="W23" s="45">
        <f t="shared" si="0"/>
        <v>3</v>
      </c>
      <c r="X23" s="467"/>
      <c r="Y23" s="463"/>
    </row>
    <row r="24" spans="2:29" ht="16.5" customHeight="1" thickBot="1">
      <c r="B24" s="486"/>
      <c r="C24" s="467"/>
      <c r="D24" s="464" t="s">
        <v>8</v>
      </c>
      <c r="E24" s="36" t="s">
        <v>326</v>
      </c>
      <c r="F24" s="437" t="s">
        <v>327</v>
      </c>
      <c r="G24" s="442"/>
      <c r="H24" s="37">
        <v>3</v>
      </c>
      <c r="I24" s="51" t="s">
        <v>328</v>
      </c>
      <c r="J24" s="39">
        <f>SUM(K24:V24)</f>
        <v>2</v>
      </c>
      <c r="K24" s="437">
        <v>2</v>
      </c>
      <c r="L24" s="438"/>
      <c r="M24" s="439"/>
      <c r="N24" s="440"/>
      <c r="O24" s="441"/>
      <c r="P24" s="438"/>
      <c r="Q24" s="439"/>
      <c r="R24" s="440"/>
      <c r="S24" s="441"/>
      <c r="T24" s="438"/>
      <c r="U24" s="439"/>
      <c r="V24" s="442"/>
      <c r="W24" s="40">
        <f t="shared" si="0"/>
        <v>2</v>
      </c>
      <c r="X24" s="468">
        <f>SUM(W24:W27)</f>
        <v>8</v>
      </c>
      <c r="Y24" s="463">
        <v>8</v>
      </c>
    </row>
    <row r="25" spans="2:29" ht="18" thickBot="1">
      <c r="B25" s="486"/>
      <c r="C25" s="467"/>
      <c r="D25" s="465"/>
      <c r="E25" s="41" t="s">
        <v>326</v>
      </c>
      <c r="F25" s="363" t="s">
        <v>329</v>
      </c>
      <c r="G25" s="360"/>
      <c r="H25" s="42">
        <v>3</v>
      </c>
      <c r="I25" s="43" t="s">
        <v>328</v>
      </c>
      <c r="J25" s="44">
        <f>SUM(K25:V25)</f>
        <v>2</v>
      </c>
      <c r="K25" s="363"/>
      <c r="L25" s="364"/>
      <c r="M25" s="359">
        <v>2</v>
      </c>
      <c r="N25" s="365"/>
      <c r="O25" s="366"/>
      <c r="P25" s="364"/>
      <c r="Q25" s="359"/>
      <c r="R25" s="365"/>
      <c r="S25" s="366"/>
      <c r="T25" s="364"/>
      <c r="U25" s="359"/>
      <c r="V25" s="360"/>
      <c r="W25" s="45">
        <f t="shared" si="0"/>
        <v>2</v>
      </c>
      <c r="X25" s="469"/>
      <c r="Y25" s="463"/>
    </row>
    <row r="26" spans="2:29" ht="18" thickBot="1">
      <c r="B26" s="486"/>
      <c r="C26" s="467"/>
      <c r="D26" s="465"/>
      <c r="E26" s="41" t="s">
        <v>321</v>
      </c>
      <c r="F26" s="363" t="s">
        <v>359</v>
      </c>
      <c r="G26" s="360"/>
      <c r="H26" s="42">
        <v>3</v>
      </c>
      <c r="I26" s="43" t="s">
        <v>328</v>
      </c>
      <c r="J26" s="44">
        <v>2</v>
      </c>
      <c r="K26" s="363"/>
      <c r="L26" s="364"/>
      <c r="M26" s="359"/>
      <c r="N26" s="365"/>
      <c r="O26" s="366">
        <v>2</v>
      </c>
      <c r="P26" s="364"/>
      <c r="Q26" s="359"/>
      <c r="R26" s="365"/>
      <c r="S26" s="366"/>
      <c r="T26" s="364"/>
      <c r="U26" s="359"/>
      <c r="V26" s="360"/>
      <c r="W26" s="45">
        <f t="shared" si="0"/>
        <v>2</v>
      </c>
      <c r="X26" s="469"/>
      <c r="Y26" s="463"/>
    </row>
    <row r="27" spans="2:29" ht="18" thickBot="1">
      <c r="B27" s="486"/>
      <c r="C27" s="467"/>
      <c r="D27" s="465"/>
      <c r="E27" s="41" t="s">
        <v>325</v>
      </c>
      <c r="F27" s="363" t="s">
        <v>330</v>
      </c>
      <c r="G27" s="360"/>
      <c r="H27" s="42">
        <v>3</v>
      </c>
      <c r="I27" s="48" t="s">
        <v>328</v>
      </c>
      <c r="J27" s="44">
        <v>2</v>
      </c>
      <c r="K27" s="363"/>
      <c r="L27" s="364"/>
      <c r="M27" s="359"/>
      <c r="N27" s="365"/>
      <c r="O27" s="366"/>
      <c r="P27" s="364"/>
      <c r="Q27" s="359">
        <v>2</v>
      </c>
      <c r="R27" s="365"/>
      <c r="S27" s="366"/>
      <c r="T27" s="364"/>
      <c r="U27" s="359"/>
      <c r="V27" s="360"/>
      <c r="W27" s="45">
        <f t="shared" si="0"/>
        <v>2</v>
      </c>
      <c r="X27" s="469"/>
      <c r="Y27" s="463"/>
    </row>
    <row r="28" spans="2:29" ht="18" thickBot="1">
      <c r="B28" s="486"/>
      <c r="C28" s="467"/>
      <c r="D28" s="464" t="s">
        <v>24</v>
      </c>
      <c r="E28" s="36" t="s">
        <v>326</v>
      </c>
      <c r="F28" s="437" t="s">
        <v>9</v>
      </c>
      <c r="G28" s="442"/>
      <c r="H28" s="37">
        <v>3</v>
      </c>
      <c r="I28" s="56" t="s">
        <v>328</v>
      </c>
      <c r="J28" s="39">
        <v>3</v>
      </c>
      <c r="K28" s="437"/>
      <c r="L28" s="438"/>
      <c r="M28" s="439">
        <v>3</v>
      </c>
      <c r="N28" s="440"/>
      <c r="O28" s="441"/>
      <c r="P28" s="438"/>
      <c r="Q28" s="439"/>
      <c r="R28" s="440"/>
      <c r="S28" s="441"/>
      <c r="T28" s="438"/>
      <c r="U28" s="439"/>
      <c r="V28" s="442"/>
      <c r="W28" s="387">
        <f>SUM(K28:V29)</f>
        <v>6</v>
      </c>
      <c r="X28" s="388"/>
      <c r="Y28" s="463">
        <v>6</v>
      </c>
    </row>
    <row r="29" spans="2:29" ht="18" thickBot="1">
      <c r="B29" s="486"/>
      <c r="C29" s="467"/>
      <c r="D29" s="465"/>
      <c r="E29" s="46" t="s">
        <v>326</v>
      </c>
      <c r="F29" s="363" t="s">
        <v>41</v>
      </c>
      <c r="G29" s="360"/>
      <c r="H29" s="42">
        <v>3</v>
      </c>
      <c r="I29" s="43" t="s">
        <v>328</v>
      </c>
      <c r="J29" s="44">
        <v>3</v>
      </c>
      <c r="K29" s="363">
        <v>3</v>
      </c>
      <c r="L29" s="364"/>
      <c r="M29" s="359"/>
      <c r="N29" s="365"/>
      <c r="O29" s="366"/>
      <c r="P29" s="364"/>
      <c r="Q29" s="359"/>
      <c r="R29" s="365"/>
      <c r="S29" s="366"/>
      <c r="T29" s="364"/>
      <c r="U29" s="359"/>
      <c r="V29" s="360"/>
      <c r="W29" s="367"/>
      <c r="X29" s="368"/>
      <c r="Y29" s="463"/>
    </row>
    <row r="30" spans="2:29" ht="16.5" customHeight="1" thickBot="1">
      <c r="B30" s="486"/>
      <c r="C30" s="467"/>
      <c r="D30" s="456" t="s">
        <v>332</v>
      </c>
      <c r="E30" s="36" t="s">
        <v>326</v>
      </c>
      <c r="F30" s="437" t="s">
        <v>26</v>
      </c>
      <c r="G30" s="442"/>
      <c r="H30" s="37">
        <v>3</v>
      </c>
      <c r="I30" s="51" t="s">
        <v>328</v>
      </c>
      <c r="J30" s="39">
        <v>4</v>
      </c>
      <c r="K30" s="437"/>
      <c r="L30" s="438"/>
      <c r="M30" s="439">
        <v>4</v>
      </c>
      <c r="N30" s="440"/>
      <c r="O30" s="441"/>
      <c r="P30" s="438"/>
      <c r="Q30" s="439"/>
      <c r="R30" s="440"/>
      <c r="S30" s="441"/>
      <c r="T30" s="438"/>
      <c r="U30" s="439"/>
      <c r="V30" s="442"/>
      <c r="W30" s="387">
        <f>SUM(K30:V31)</f>
        <v>8</v>
      </c>
      <c r="X30" s="388"/>
      <c r="Y30" s="463">
        <v>8</v>
      </c>
    </row>
    <row r="31" spans="2:29" ht="18" thickBot="1">
      <c r="B31" s="486"/>
      <c r="C31" s="467"/>
      <c r="D31" s="457"/>
      <c r="E31" s="46" t="s">
        <v>326</v>
      </c>
      <c r="F31" s="363" t="s">
        <v>360</v>
      </c>
      <c r="G31" s="360"/>
      <c r="H31" s="42">
        <v>3</v>
      </c>
      <c r="I31" s="43" t="s">
        <v>328</v>
      </c>
      <c r="J31" s="44">
        <v>4</v>
      </c>
      <c r="K31" s="363">
        <v>4</v>
      </c>
      <c r="L31" s="364"/>
      <c r="M31" s="359"/>
      <c r="N31" s="365"/>
      <c r="O31" s="366"/>
      <c r="P31" s="364"/>
      <c r="Q31" s="359"/>
      <c r="R31" s="365"/>
      <c r="S31" s="366"/>
      <c r="T31" s="364"/>
      <c r="U31" s="359"/>
      <c r="V31" s="360"/>
      <c r="W31" s="367"/>
      <c r="X31" s="368"/>
      <c r="Y31" s="463"/>
      <c r="Z31" s="77" t="s">
        <v>372</v>
      </c>
    </row>
    <row r="32" spans="2:29" ht="24.75" customHeight="1" thickBot="1">
      <c r="B32" s="288" t="s">
        <v>340</v>
      </c>
      <c r="C32" s="290"/>
      <c r="D32" s="290"/>
      <c r="E32" s="290"/>
      <c r="F32" s="290"/>
      <c r="G32" s="289"/>
      <c r="H32" s="149">
        <f>SUM(H20:H31)</f>
        <v>40</v>
      </c>
      <c r="I32" s="13"/>
      <c r="J32" s="153">
        <f>SUM(J20:J31)</f>
        <v>34</v>
      </c>
      <c r="K32" s="458">
        <f>SUM(K9:L31)</f>
        <v>21</v>
      </c>
      <c r="L32" s="459"/>
      <c r="M32" s="459">
        <f>SUM(M9:N31)</f>
        <v>21</v>
      </c>
      <c r="N32" s="299"/>
      <c r="O32" s="460">
        <f>SUM(O9:P31)</f>
        <v>14</v>
      </c>
      <c r="P32" s="459"/>
      <c r="Q32" s="459">
        <f>SUM(Q9:R31)</f>
        <v>11</v>
      </c>
      <c r="R32" s="461"/>
      <c r="S32" s="298">
        <f>SUM(S9:T31)</f>
        <v>0</v>
      </c>
      <c r="T32" s="459"/>
      <c r="U32" s="459">
        <f>SUM(U9:V31)</f>
        <v>0</v>
      </c>
      <c r="V32" s="462"/>
      <c r="W32" s="288">
        <f t="shared" ref="W32:W36" si="1">SUM(K32:V32)</f>
        <v>67</v>
      </c>
      <c r="X32" s="298"/>
      <c r="Y32" s="153">
        <f>SUM(Y9:Y31)</f>
        <v>64</v>
      </c>
      <c r="AA32" s="286" t="b">
        <f>W32&gt;=Y32</f>
        <v>1</v>
      </c>
      <c r="AB32" s="287"/>
    </row>
    <row r="33" spans="2:25" ht="17.25" customHeight="1">
      <c r="B33" s="428" t="s">
        <v>333</v>
      </c>
      <c r="C33" s="429"/>
      <c r="D33" s="431" t="s">
        <v>334</v>
      </c>
      <c r="E33" s="432"/>
      <c r="F33" s="435" t="s">
        <v>499</v>
      </c>
      <c r="G33" s="436"/>
      <c r="H33" s="28"/>
      <c r="I33" s="72"/>
      <c r="J33" s="141">
        <v>2</v>
      </c>
      <c r="K33" s="437"/>
      <c r="L33" s="438"/>
      <c r="M33" s="439"/>
      <c r="N33" s="440"/>
      <c r="O33" s="441"/>
      <c r="P33" s="438"/>
      <c r="Q33" s="439"/>
      <c r="R33" s="440"/>
      <c r="S33" s="441">
        <v>2</v>
      </c>
      <c r="T33" s="438"/>
      <c r="U33" s="439"/>
      <c r="V33" s="442"/>
      <c r="W33" s="443">
        <f t="shared" si="1"/>
        <v>2</v>
      </c>
      <c r="X33" s="444"/>
      <c r="Y33" s="313">
        <v>107</v>
      </c>
    </row>
    <row r="34" spans="2:25" ht="17.25" customHeight="1" thickBot="1">
      <c r="B34" s="375"/>
      <c r="C34" s="376"/>
      <c r="D34" s="433"/>
      <c r="E34" s="434"/>
      <c r="F34" s="445" t="s">
        <v>500</v>
      </c>
      <c r="G34" s="446"/>
      <c r="H34" s="31"/>
      <c r="I34" s="74"/>
      <c r="J34" s="143">
        <v>2</v>
      </c>
      <c r="K34" s="447"/>
      <c r="L34" s="448"/>
      <c r="M34" s="449"/>
      <c r="N34" s="450"/>
      <c r="O34" s="451"/>
      <c r="P34" s="448"/>
      <c r="Q34" s="449">
        <v>2</v>
      </c>
      <c r="R34" s="450"/>
      <c r="S34" s="451"/>
      <c r="T34" s="448"/>
      <c r="U34" s="449"/>
      <c r="V34" s="452"/>
      <c r="W34" s="592">
        <f t="shared" si="1"/>
        <v>2</v>
      </c>
      <c r="X34" s="593"/>
      <c r="Y34" s="314"/>
    </row>
    <row r="35" spans="2:25" ht="17.25" customHeight="1">
      <c r="B35" s="375"/>
      <c r="C35" s="376"/>
      <c r="D35" s="145" t="s">
        <v>337</v>
      </c>
      <c r="E35" s="150" t="s">
        <v>335</v>
      </c>
      <c r="F35" s="588" t="s">
        <v>680</v>
      </c>
      <c r="G35" s="589"/>
      <c r="H35" s="30"/>
      <c r="I35" s="29"/>
      <c r="J35" s="78">
        <v>4</v>
      </c>
      <c r="K35" s="437">
        <v>4</v>
      </c>
      <c r="L35" s="438"/>
      <c r="M35" s="439"/>
      <c r="N35" s="440"/>
      <c r="O35" s="441"/>
      <c r="P35" s="438"/>
      <c r="Q35" s="439"/>
      <c r="R35" s="440"/>
      <c r="S35" s="441"/>
      <c r="T35" s="438"/>
      <c r="U35" s="439"/>
      <c r="V35" s="442"/>
      <c r="W35" s="443">
        <f t="shared" si="1"/>
        <v>4</v>
      </c>
      <c r="X35" s="444"/>
      <c r="Y35" s="314"/>
    </row>
    <row r="36" spans="2:25" ht="17.25" customHeight="1">
      <c r="B36" s="375"/>
      <c r="C36" s="376"/>
      <c r="D36" s="145" t="s">
        <v>669</v>
      </c>
      <c r="E36" s="147" t="s">
        <v>335</v>
      </c>
      <c r="F36" s="552" t="s">
        <v>679</v>
      </c>
      <c r="G36" s="553"/>
      <c r="H36" s="30"/>
      <c r="I36" s="29"/>
      <c r="J36" s="78">
        <v>4</v>
      </c>
      <c r="K36" s="363">
        <v>4</v>
      </c>
      <c r="L36" s="364"/>
      <c r="M36" s="359"/>
      <c r="N36" s="365"/>
      <c r="O36" s="366"/>
      <c r="P36" s="364"/>
      <c r="Q36" s="359"/>
      <c r="R36" s="365"/>
      <c r="S36" s="366"/>
      <c r="T36" s="364"/>
      <c r="U36" s="359"/>
      <c r="V36" s="360"/>
      <c r="W36" s="400">
        <f t="shared" si="1"/>
        <v>4</v>
      </c>
      <c r="X36" s="401"/>
      <c r="Y36" s="314"/>
    </row>
    <row r="37" spans="2:25" ht="17.25" customHeight="1">
      <c r="B37" s="375"/>
      <c r="C37" s="376"/>
      <c r="D37" s="145" t="s">
        <v>669</v>
      </c>
      <c r="E37" s="147" t="s">
        <v>335</v>
      </c>
      <c r="F37" s="418" t="s">
        <v>678</v>
      </c>
      <c r="G37" s="419"/>
      <c r="H37" s="30"/>
      <c r="I37" s="246"/>
      <c r="J37" s="78">
        <v>8</v>
      </c>
      <c r="K37" s="245"/>
      <c r="L37" s="242"/>
      <c r="M37" s="373">
        <v>8</v>
      </c>
      <c r="N37" s="374"/>
      <c r="O37" s="247"/>
      <c r="P37" s="242"/>
      <c r="Q37" s="241"/>
      <c r="R37" s="244"/>
      <c r="S37" s="247"/>
      <c r="T37" s="242"/>
      <c r="U37" s="241"/>
      <c r="V37" s="240"/>
      <c r="W37" s="400">
        <f t="shared" ref="W37:W39" si="2">SUM(K37:V37)</f>
        <v>8</v>
      </c>
      <c r="X37" s="401"/>
      <c r="Y37" s="314"/>
    </row>
    <row r="38" spans="2:25" ht="17.25" customHeight="1">
      <c r="B38" s="375"/>
      <c r="C38" s="376"/>
      <c r="D38" s="145" t="s">
        <v>663</v>
      </c>
      <c r="E38" s="147" t="s">
        <v>335</v>
      </c>
      <c r="F38" s="369" t="s">
        <v>677</v>
      </c>
      <c r="G38" s="370"/>
      <c r="H38" s="30"/>
      <c r="I38" s="246"/>
      <c r="J38" s="78">
        <v>3</v>
      </c>
      <c r="K38" s="245"/>
      <c r="L38" s="242"/>
      <c r="M38" s="241"/>
      <c r="N38" s="243"/>
      <c r="O38" s="371">
        <v>3</v>
      </c>
      <c r="P38" s="372"/>
      <c r="Q38" s="241"/>
      <c r="R38" s="244"/>
      <c r="S38" s="243"/>
      <c r="T38" s="242"/>
      <c r="U38" s="241"/>
      <c r="V38" s="240"/>
      <c r="W38" s="400">
        <f t="shared" si="2"/>
        <v>3</v>
      </c>
      <c r="X38" s="401"/>
      <c r="Y38" s="314"/>
    </row>
    <row r="39" spans="2:25" ht="17.25" customHeight="1">
      <c r="B39" s="375"/>
      <c r="C39" s="376"/>
      <c r="D39" s="145" t="s">
        <v>663</v>
      </c>
      <c r="E39" s="147" t="s">
        <v>335</v>
      </c>
      <c r="F39" s="361" t="s">
        <v>676</v>
      </c>
      <c r="G39" s="362"/>
      <c r="H39" s="30"/>
      <c r="I39" s="73"/>
      <c r="J39" s="142">
        <v>4</v>
      </c>
      <c r="K39" s="363"/>
      <c r="L39" s="364"/>
      <c r="M39" s="359"/>
      <c r="N39" s="365"/>
      <c r="O39" s="366">
        <v>4</v>
      </c>
      <c r="P39" s="364"/>
      <c r="Q39" s="359"/>
      <c r="R39" s="365"/>
      <c r="S39" s="366"/>
      <c r="T39" s="364"/>
      <c r="U39" s="359"/>
      <c r="V39" s="360"/>
      <c r="W39" s="400">
        <f t="shared" si="2"/>
        <v>4</v>
      </c>
      <c r="X39" s="401"/>
      <c r="Y39" s="314"/>
    </row>
    <row r="40" spans="2:25" ht="17.25" customHeight="1">
      <c r="B40" s="375"/>
      <c r="C40" s="376"/>
      <c r="D40" s="145" t="s">
        <v>663</v>
      </c>
      <c r="E40" s="147" t="s">
        <v>335</v>
      </c>
      <c r="F40" s="361" t="s">
        <v>675</v>
      </c>
      <c r="G40" s="362"/>
      <c r="H40" s="30"/>
      <c r="I40" s="73"/>
      <c r="J40" s="142">
        <v>5</v>
      </c>
      <c r="K40" s="363"/>
      <c r="L40" s="364"/>
      <c r="M40" s="359"/>
      <c r="N40" s="365"/>
      <c r="O40" s="366"/>
      <c r="P40" s="364"/>
      <c r="Q40" s="359">
        <v>4</v>
      </c>
      <c r="R40" s="365"/>
      <c r="S40" s="366"/>
      <c r="T40" s="364"/>
      <c r="U40" s="359"/>
      <c r="V40" s="360"/>
      <c r="W40" s="400">
        <v>5</v>
      </c>
      <c r="X40" s="401"/>
      <c r="Y40" s="314"/>
    </row>
    <row r="41" spans="2:25" ht="17.25" customHeight="1">
      <c r="B41" s="375"/>
      <c r="C41" s="376"/>
      <c r="D41" s="145" t="s">
        <v>669</v>
      </c>
      <c r="E41" s="147" t="s">
        <v>335</v>
      </c>
      <c r="F41" s="361" t="s">
        <v>674</v>
      </c>
      <c r="G41" s="362"/>
      <c r="H41" s="30"/>
      <c r="I41" s="73"/>
      <c r="J41" s="142">
        <v>5</v>
      </c>
      <c r="K41" s="363"/>
      <c r="L41" s="364"/>
      <c r="M41" s="359"/>
      <c r="N41" s="365"/>
      <c r="O41" s="366"/>
      <c r="P41" s="364"/>
      <c r="Q41" s="359">
        <v>4</v>
      </c>
      <c r="R41" s="365"/>
      <c r="S41" s="366"/>
      <c r="T41" s="364"/>
      <c r="U41" s="359"/>
      <c r="V41" s="360"/>
      <c r="W41" s="400">
        <f>SUM(K41:V41)</f>
        <v>4</v>
      </c>
      <c r="X41" s="401"/>
      <c r="Y41" s="314"/>
    </row>
    <row r="42" spans="2:25" ht="17.25" customHeight="1">
      <c r="B42" s="375"/>
      <c r="C42" s="376"/>
      <c r="D42" s="145" t="s">
        <v>669</v>
      </c>
      <c r="E42" s="147" t="s">
        <v>336</v>
      </c>
      <c r="F42" s="361" t="s">
        <v>673</v>
      </c>
      <c r="G42" s="362"/>
      <c r="H42" s="30"/>
      <c r="I42" s="73"/>
      <c r="J42" s="142">
        <v>8</v>
      </c>
      <c r="K42" s="363"/>
      <c r="L42" s="364"/>
      <c r="M42" s="359"/>
      <c r="N42" s="365"/>
      <c r="O42" s="366">
        <v>4</v>
      </c>
      <c r="P42" s="364"/>
      <c r="Q42" s="359">
        <v>4</v>
      </c>
      <c r="R42" s="365"/>
      <c r="S42" s="366"/>
      <c r="T42" s="364"/>
      <c r="U42" s="359"/>
      <c r="V42" s="360"/>
      <c r="W42" s="400">
        <f>SUM(K42:V42)</f>
        <v>8</v>
      </c>
      <c r="X42" s="401"/>
      <c r="Y42" s="314"/>
    </row>
    <row r="43" spans="2:25" ht="17.25" customHeight="1">
      <c r="B43" s="375"/>
      <c r="C43" s="376"/>
      <c r="D43" s="145" t="s">
        <v>669</v>
      </c>
      <c r="E43" s="147" t="s">
        <v>335</v>
      </c>
      <c r="F43" s="361" t="s">
        <v>672</v>
      </c>
      <c r="G43" s="362"/>
      <c r="H43" s="30"/>
      <c r="I43" s="73"/>
      <c r="J43" s="142">
        <v>5</v>
      </c>
      <c r="K43" s="363"/>
      <c r="L43" s="364"/>
      <c r="M43" s="359"/>
      <c r="N43" s="365"/>
      <c r="O43" s="366"/>
      <c r="P43" s="364"/>
      <c r="Q43" s="359"/>
      <c r="R43" s="365"/>
      <c r="S43" s="366">
        <v>5</v>
      </c>
      <c r="T43" s="364"/>
      <c r="U43" s="359"/>
      <c r="V43" s="360"/>
      <c r="W43" s="400">
        <f>SUM(K43:V43)</f>
        <v>5</v>
      </c>
      <c r="X43" s="401"/>
      <c r="Y43" s="314"/>
    </row>
    <row r="44" spans="2:25" ht="17.25" customHeight="1">
      <c r="B44" s="375"/>
      <c r="C44" s="376"/>
      <c r="D44" s="145" t="s">
        <v>362</v>
      </c>
      <c r="E44" s="147" t="s">
        <v>335</v>
      </c>
      <c r="F44" s="361" t="s">
        <v>671</v>
      </c>
      <c r="G44" s="362"/>
      <c r="H44" s="30"/>
      <c r="I44" s="73"/>
      <c r="J44" s="142">
        <v>5</v>
      </c>
      <c r="K44" s="363"/>
      <c r="L44" s="364"/>
      <c r="M44" s="359"/>
      <c r="N44" s="365"/>
      <c r="O44" s="366"/>
      <c r="P44" s="364"/>
      <c r="Q44" s="359"/>
      <c r="R44" s="365"/>
      <c r="S44" s="366"/>
      <c r="T44" s="364"/>
      <c r="U44" s="359">
        <v>5</v>
      </c>
      <c r="V44" s="360"/>
      <c r="W44" s="400">
        <f>SUM(K44:V44)</f>
        <v>5</v>
      </c>
      <c r="X44" s="401"/>
      <c r="Y44" s="314"/>
    </row>
    <row r="45" spans="2:25" ht="17.25" customHeight="1">
      <c r="B45" s="375"/>
      <c r="C45" s="376"/>
      <c r="D45" s="145" t="s">
        <v>669</v>
      </c>
      <c r="E45" s="147" t="s">
        <v>336</v>
      </c>
      <c r="F45" s="361" t="s">
        <v>670</v>
      </c>
      <c r="G45" s="362"/>
      <c r="H45" s="30"/>
      <c r="I45" s="73"/>
      <c r="J45" s="142">
        <v>12</v>
      </c>
      <c r="K45" s="363"/>
      <c r="L45" s="364"/>
      <c r="M45" s="359"/>
      <c r="N45" s="365"/>
      <c r="O45" s="366"/>
      <c r="P45" s="364"/>
      <c r="Q45" s="359"/>
      <c r="R45" s="365"/>
      <c r="S45" s="366">
        <v>6</v>
      </c>
      <c r="T45" s="364"/>
      <c r="U45" s="359">
        <v>6</v>
      </c>
      <c r="V45" s="360"/>
      <c r="W45" s="400">
        <f>SUM(K45:V45)</f>
        <v>12</v>
      </c>
      <c r="X45" s="401"/>
      <c r="Y45" s="314"/>
    </row>
    <row r="46" spans="2:25" ht="17.25" customHeight="1">
      <c r="B46" s="375"/>
      <c r="C46" s="376"/>
      <c r="D46" s="145" t="s">
        <v>669</v>
      </c>
      <c r="E46" s="147" t="s">
        <v>336</v>
      </c>
      <c r="F46" s="361" t="s">
        <v>668</v>
      </c>
      <c r="G46" s="362"/>
      <c r="H46" s="30"/>
      <c r="I46" s="73"/>
      <c r="J46" s="142">
        <v>6</v>
      </c>
      <c r="K46" s="363"/>
      <c r="L46" s="364"/>
      <c r="M46" s="359"/>
      <c r="N46" s="365"/>
      <c r="O46" s="366"/>
      <c r="P46" s="364"/>
      <c r="Q46" s="359"/>
      <c r="R46" s="365"/>
      <c r="S46" s="366">
        <v>3</v>
      </c>
      <c r="T46" s="364"/>
      <c r="U46" s="359">
        <v>3</v>
      </c>
      <c r="V46" s="360"/>
      <c r="W46" s="400">
        <v>6</v>
      </c>
      <c r="X46" s="401"/>
      <c r="Y46" s="314"/>
    </row>
    <row r="47" spans="2:25" ht="17.25" customHeight="1">
      <c r="B47" s="375"/>
      <c r="C47" s="376"/>
      <c r="D47" s="145" t="s">
        <v>667</v>
      </c>
      <c r="E47" s="147" t="s">
        <v>336</v>
      </c>
      <c r="F47" s="361" t="s">
        <v>666</v>
      </c>
      <c r="G47" s="362"/>
      <c r="H47" s="30"/>
      <c r="I47" s="73"/>
      <c r="J47" s="142">
        <v>4</v>
      </c>
      <c r="K47" s="363"/>
      <c r="L47" s="364"/>
      <c r="M47" s="359"/>
      <c r="N47" s="365"/>
      <c r="O47" s="366"/>
      <c r="P47" s="364"/>
      <c r="Q47" s="359"/>
      <c r="R47" s="365"/>
      <c r="S47" s="366">
        <v>2</v>
      </c>
      <c r="T47" s="364"/>
      <c r="U47" s="359">
        <v>2</v>
      </c>
      <c r="V47" s="360"/>
      <c r="W47" s="400">
        <v>4</v>
      </c>
      <c r="X47" s="401"/>
      <c r="Y47" s="314"/>
    </row>
    <row r="48" spans="2:25" ht="18.600000000000001" customHeight="1" thickBot="1">
      <c r="B48" s="586"/>
      <c r="C48" s="587"/>
      <c r="D48" s="145" t="s">
        <v>362</v>
      </c>
      <c r="E48" s="147" t="s">
        <v>336</v>
      </c>
      <c r="F48" s="590" t="s">
        <v>665</v>
      </c>
      <c r="G48" s="591"/>
      <c r="H48" s="30"/>
      <c r="I48" s="73"/>
      <c r="J48" s="142">
        <v>6</v>
      </c>
      <c r="K48" s="447"/>
      <c r="L48" s="448"/>
      <c r="M48" s="449"/>
      <c r="N48" s="450"/>
      <c r="O48" s="451"/>
      <c r="P48" s="448"/>
      <c r="Q48" s="449"/>
      <c r="R48" s="450"/>
      <c r="S48" s="451">
        <v>3</v>
      </c>
      <c r="T48" s="448"/>
      <c r="U48" s="449">
        <v>5</v>
      </c>
      <c r="V48" s="452"/>
      <c r="W48" s="592">
        <f>SUM(K48:V48)</f>
        <v>8</v>
      </c>
      <c r="X48" s="593"/>
      <c r="Y48" s="314"/>
    </row>
    <row r="49" spans="2:29" ht="20.25" customHeight="1">
      <c r="B49" s="403" t="s">
        <v>143</v>
      </c>
      <c r="C49" s="60" t="s">
        <v>373</v>
      </c>
      <c r="D49" s="59" t="s">
        <v>663</v>
      </c>
      <c r="E49" s="60" t="s">
        <v>336</v>
      </c>
      <c r="F49" s="405" t="s">
        <v>664</v>
      </c>
      <c r="G49" s="406"/>
      <c r="H49" s="79"/>
      <c r="I49" s="238"/>
      <c r="J49" s="409">
        <v>16</v>
      </c>
      <c r="K49" s="437"/>
      <c r="L49" s="438"/>
      <c r="M49" s="439"/>
      <c r="N49" s="440"/>
      <c r="O49" s="441"/>
      <c r="P49" s="438"/>
      <c r="Q49" s="439"/>
      <c r="R49" s="440"/>
      <c r="S49" s="475">
        <v>8</v>
      </c>
      <c r="T49" s="472"/>
      <c r="U49" s="473">
        <v>8</v>
      </c>
      <c r="V49" s="480"/>
      <c r="W49" s="387">
        <f>SUM(K49:V51)</f>
        <v>16</v>
      </c>
      <c r="X49" s="388"/>
      <c r="Y49" s="314"/>
    </row>
    <row r="50" spans="2:29" ht="20.25" customHeight="1">
      <c r="B50" s="574"/>
      <c r="C50" s="147" t="s">
        <v>374</v>
      </c>
      <c r="D50" s="57" t="s">
        <v>663</v>
      </c>
      <c r="E50" s="147" t="s">
        <v>336</v>
      </c>
      <c r="F50" s="361" t="s">
        <v>662</v>
      </c>
      <c r="G50" s="362"/>
      <c r="H50" s="80"/>
      <c r="I50" s="236"/>
      <c r="J50" s="378"/>
      <c r="K50" s="363"/>
      <c r="L50" s="364"/>
      <c r="M50" s="359"/>
      <c r="N50" s="365"/>
      <c r="O50" s="366"/>
      <c r="P50" s="364"/>
      <c r="Q50" s="359"/>
      <c r="R50" s="365"/>
      <c r="S50" s="556"/>
      <c r="T50" s="557"/>
      <c r="U50" s="560"/>
      <c r="V50" s="564"/>
      <c r="W50" s="367"/>
      <c r="X50" s="368"/>
      <c r="Y50" s="314"/>
    </row>
    <row r="51" spans="2:29" ht="20.25" customHeight="1" thickBot="1">
      <c r="B51" s="404"/>
      <c r="C51" s="148" t="s">
        <v>375</v>
      </c>
      <c r="D51" s="62" t="s">
        <v>337</v>
      </c>
      <c r="E51" s="148" t="s">
        <v>336</v>
      </c>
      <c r="F51" s="391" t="s">
        <v>661</v>
      </c>
      <c r="G51" s="392"/>
      <c r="H51" s="81"/>
      <c r="I51" s="239"/>
      <c r="J51" s="410"/>
      <c r="K51" s="447"/>
      <c r="L51" s="448"/>
      <c r="M51" s="449"/>
      <c r="N51" s="450"/>
      <c r="O51" s="451"/>
      <c r="P51" s="448"/>
      <c r="Q51" s="449"/>
      <c r="R51" s="450"/>
      <c r="S51" s="558"/>
      <c r="T51" s="559"/>
      <c r="U51" s="562"/>
      <c r="V51" s="479"/>
      <c r="W51" s="389"/>
      <c r="X51" s="390"/>
      <c r="Y51" s="314"/>
    </row>
    <row r="52" spans="2:29" ht="16.5" customHeight="1">
      <c r="B52" s="428" t="s">
        <v>144</v>
      </c>
      <c r="C52" s="429"/>
      <c r="D52" s="58" t="s">
        <v>362</v>
      </c>
      <c r="E52" s="60" t="s">
        <v>335</v>
      </c>
      <c r="F52" s="405" t="s">
        <v>363</v>
      </c>
      <c r="G52" s="406"/>
      <c r="H52" s="28"/>
      <c r="I52" s="238"/>
      <c r="J52" s="409">
        <v>8</v>
      </c>
      <c r="K52" s="437"/>
      <c r="L52" s="438"/>
      <c r="M52" s="439"/>
      <c r="N52" s="440"/>
      <c r="O52" s="441">
        <v>4</v>
      </c>
      <c r="P52" s="438"/>
      <c r="Q52" s="439"/>
      <c r="R52" s="440"/>
      <c r="S52" s="441"/>
      <c r="T52" s="438"/>
      <c r="U52" s="439"/>
      <c r="V52" s="442"/>
      <c r="W52" s="387">
        <v>8</v>
      </c>
      <c r="X52" s="388"/>
      <c r="Y52" s="314"/>
    </row>
    <row r="53" spans="2:29" ht="16.5" customHeight="1">
      <c r="B53" s="375"/>
      <c r="C53" s="376"/>
      <c r="D53" s="57" t="s">
        <v>362</v>
      </c>
      <c r="E53" s="150" t="s">
        <v>335</v>
      </c>
      <c r="F53" s="361" t="s">
        <v>364</v>
      </c>
      <c r="G53" s="362"/>
      <c r="H53" s="30"/>
      <c r="I53" s="236"/>
      <c r="J53" s="378"/>
      <c r="K53" s="363"/>
      <c r="L53" s="364"/>
      <c r="M53" s="359"/>
      <c r="N53" s="365"/>
      <c r="O53" s="366"/>
      <c r="P53" s="364"/>
      <c r="Q53" s="359">
        <v>4</v>
      </c>
      <c r="R53" s="365"/>
      <c r="S53" s="366"/>
      <c r="T53" s="364"/>
      <c r="U53" s="359"/>
      <c r="V53" s="360"/>
      <c r="W53" s="367"/>
      <c r="X53" s="368"/>
      <c r="Y53" s="314"/>
    </row>
    <row r="54" spans="2:29" ht="16.5" customHeight="1">
      <c r="B54" s="375"/>
      <c r="C54" s="376"/>
      <c r="D54" s="57" t="s">
        <v>361</v>
      </c>
      <c r="E54" s="150" t="s">
        <v>336</v>
      </c>
      <c r="F54" s="361" t="s">
        <v>501</v>
      </c>
      <c r="G54" s="362"/>
      <c r="H54" s="30"/>
      <c r="I54" s="236"/>
      <c r="J54" s="378"/>
      <c r="K54" s="363"/>
      <c r="L54" s="364"/>
      <c r="M54" s="359"/>
      <c r="N54" s="365"/>
      <c r="O54" s="366">
        <v>4</v>
      </c>
      <c r="P54" s="364"/>
      <c r="Q54" s="359">
        <v>4</v>
      </c>
      <c r="R54" s="365"/>
      <c r="S54" s="366"/>
      <c r="T54" s="364"/>
      <c r="U54" s="359"/>
      <c r="V54" s="360"/>
      <c r="W54" s="367"/>
      <c r="X54" s="368"/>
      <c r="Y54" s="314"/>
    </row>
    <row r="55" spans="2:29" ht="16.5" customHeight="1">
      <c r="B55" s="375"/>
      <c r="C55" s="376"/>
      <c r="D55" s="57" t="s">
        <v>361</v>
      </c>
      <c r="E55" s="147" t="s">
        <v>335</v>
      </c>
      <c r="F55" s="369" t="s">
        <v>519</v>
      </c>
      <c r="G55" s="370"/>
      <c r="H55" s="30"/>
      <c r="I55" s="236"/>
      <c r="J55" s="378"/>
      <c r="K55" s="363"/>
      <c r="L55" s="364"/>
      <c r="M55" s="359"/>
      <c r="N55" s="365"/>
      <c r="O55" s="366">
        <v>4</v>
      </c>
      <c r="P55" s="364"/>
      <c r="Q55" s="359"/>
      <c r="R55" s="365"/>
      <c r="S55" s="366"/>
      <c r="T55" s="364"/>
      <c r="U55" s="359"/>
      <c r="V55" s="360"/>
      <c r="W55" s="367"/>
      <c r="X55" s="368"/>
      <c r="Y55" s="314"/>
    </row>
    <row r="56" spans="2:29" ht="16.5" customHeight="1">
      <c r="B56" s="375"/>
      <c r="C56" s="376"/>
      <c r="D56" s="57" t="s">
        <v>361</v>
      </c>
      <c r="E56" s="147" t="s">
        <v>336</v>
      </c>
      <c r="F56" s="369" t="s">
        <v>366</v>
      </c>
      <c r="G56" s="370"/>
      <c r="H56" s="30"/>
      <c r="I56" s="236"/>
      <c r="J56" s="378"/>
      <c r="K56" s="363"/>
      <c r="L56" s="364"/>
      <c r="M56" s="359"/>
      <c r="N56" s="365"/>
      <c r="O56" s="366"/>
      <c r="P56" s="364"/>
      <c r="Q56" s="359">
        <v>4</v>
      </c>
      <c r="R56" s="365"/>
      <c r="S56" s="366"/>
      <c r="T56" s="364"/>
      <c r="U56" s="359"/>
      <c r="V56" s="360"/>
      <c r="W56" s="367"/>
      <c r="X56" s="368"/>
      <c r="Y56" s="314"/>
    </row>
    <row r="57" spans="2:29" ht="16.5" customHeight="1">
      <c r="B57" s="375"/>
      <c r="C57" s="376"/>
      <c r="D57" s="57" t="s">
        <v>361</v>
      </c>
      <c r="E57" s="147" t="s">
        <v>335</v>
      </c>
      <c r="F57" s="361" t="s">
        <v>502</v>
      </c>
      <c r="G57" s="362"/>
      <c r="H57" s="30"/>
      <c r="I57" s="236"/>
      <c r="J57" s="378"/>
      <c r="K57" s="363"/>
      <c r="L57" s="364"/>
      <c r="M57" s="359"/>
      <c r="N57" s="365"/>
      <c r="O57" s="366">
        <v>4</v>
      </c>
      <c r="P57" s="364"/>
      <c r="Q57" s="359"/>
      <c r="R57" s="365"/>
      <c r="S57" s="366"/>
      <c r="T57" s="364"/>
      <c r="U57" s="359"/>
      <c r="V57" s="360"/>
      <c r="W57" s="367"/>
      <c r="X57" s="368"/>
      <c r="Y57" s="314"/>
    </row>
    <row r="58" spans="2:29" ht="16.5" customHeight="1">
      <c r="B58" s="375"/>
      <c r="C58" s="376"/>
      <c r="D58" s="57" t="s">
        <v>361</v>
      </c>
      <c r="E58" s="150" t="s">
        <v>335</v>
      </c>
      <c r="F58" s="361" t="s">
        <v>367</v>
      </c>
      <c r="G58" s="362"/>
      <c r="H58" s="30"/>
      <c r="I58" s="236"/>
      <c r="J58" s="378"/>
      <c r="K58" s="363"/>
      <c r="L58" s="364"/>
      <c r="M58" s="359"/>
      <c r="N58" s="365"/>
      <c r="O58" s="366"/>
      <c r="P58" s="364"/>
      <c r="Q58" s="359">
        <v>4</v>
      </c>
      <c r="R58" s="365"/>
      <c r="S58" s="366"/>
      <c r="T58" s="364"/>
      <c r="U58" s="359"/>
      <c r="V58" s="360"/>
      <c r="W58" s="367"/>
      <c r="X58" s="368"/>
      <c r="Y58" s="314"/>
    </row>
    <row r="59" spans="2:29" ht="16.5" customHeight="1">
      <c r="B59" s="375"/>
      <c r="C59" s="376"/>
      <c r="D59" s="57" t="s">
        <v>62</v>
      </c>
      <c r="E59" s="150" t="s">
        <v>336</v>
      </c>
      <c r="F59" s="361" t="s">
        <v>508</v>
      </c>
      <c r="G59" s="362"/>
      <c r="H59" s="30"/>
      <c r="I59" s="236"/>
      <c r="J59" s="378"/>
      <c r="K59" s="363"/>
      <c r="L59" s="364"/>
      <c r="M59" s="359"/>
      <c r="N59" s="365"/>
      <c r="O59" s="366">
        <v>4</v>
      </c>
      <c r="P59" s="364"/>
      <c r="Q59" s="359">
        <v>4</v>
      </c>
      <c r="R59" s="365"/>
      <c r="S59" s="366"/>
      <c r="T59" s="364"/>
      <c r="U59" s="359"/>
      <c r="V59" s="360"/>
      <c r="W59" s="367"/>
      <c r="X59" s="368"/>
      <c r="Y59" s="314"/>
    </row>
    <row r="60" spans="2:29" ht="16.5" customHeight="1">
      <c r="B60" s="375"/>
      <c r="C60" s="376"/>
      <c r="D60" s="57" t="s">
        <v>60</v>
      </c>
      <c r="E60" s="150" t="s">
        <v>336</v>
      </c>
      <c r="F60" s="361" t="s">
        <v>369</v>
      </c>
      <c r="G60" s="362"/>
      <c r="H60" s="30"/>
      <c r="I60" s="236"/>
      <c r="J60" s="378"/>
      <c r="K60" s="363"/>
      <c r="L60" s="364"/>
      <c r="M60" s="359"/>
      <c r="N60" s="365"/>
      <c r="O60" s="366">
        <v>4</v>
      </c>
      <c r="P60" s="364"/>
      <c r="Q60" s="359">
        <v>4</v>
      </c>
      <c r="R60" s="365"/>
      <c r="S60" s="366"/>
      <c r="T60" s="364"/>
      <c r="U60" s="359"/>
      <c r="V60" s="360"/>
      <c r="W60" s="367"/>
      <c r="X60" s="368"/>
      <c r="Y60" s="314"/>
    </row>
    <row r="61" spans="2:29" ht="19.8" customHeight="1" thickBot="1">
      <c r="B61" s="586"/>
      <c r="C61" s="587"/>
      <c r="D61" s="57" t="s">
        <v>337</v>
      </c>
      <c r="E61" s="148" t="s">
        <v>336</v>
      </c>
      <c r="F61" s="361" t="s">
        <v>503</v>
      </c>
      <c r="G61" s="362"/>
      <c r="H61" s="237"/>
      <c r="I61" s="236"/>
      <c r="J61" s="410"/>
      <c r="K61" s="447"/>
      <c r="L61" s="448"/>
      <c r="M61" s="449"/>
      <c r="N61" s="450"/>
      <c r="O61" s="451">
        <v>4</v>
      </c>
      <c r="P61" s="448"/>
      <c r="Q61" s="449">
        <v>4</v>
      </c>
      <c r="R61" s="450"/>
      <c r="S61" s="451"/>
      <c r="T61" s="448"/>
      <c r="U61" s="449"/>
      <c r="V61" s="452"/>
      <c r="W61" s="389"/>
      <c r="X61" s="390"/>
      <c r="Y61" s="352"/>
    </row>
    <row r="62" spans="2:29" ht="24.75" customHeight="1">
      <c r="B62" s="350" t="s">
        <v>341</v>
      </c>
      <c r="C62" s="346"/>
      <c r="D62" s="346"/>
      <c r="E62" s="346"/>
      <c r="F62" s="346"/>
      <c r="G62" s="348"/>
      <c r="H62" s="353">
        <f>SUM(H33:H48)</f>
        <v>0</v>
      </c>
      <c r="I62" s="355">
        <f>SUM(I33:I48)</f>
        <v>0</v>
      </c>
      <c r="J62" s="357">
        <f>SUM(J33:J61)</f>
        <v>107</v>
      </c>
      <c r="K62" s="350">
        <f>SUM(K33:L61)</f>
        <v>8</v>
      </c>
      <c r="L62" s="339"/>
      <c r="M62" s="342">
        <f>SUM(M33:N61)</f>
        <v>8</v>
      </c>
      <c r="N62" s="346"/>
      <c r="O62" s="338">
        <f>SUM(O33:P52)</f>
        <v>15</v>
      </c>
      <c r="P62" s="339"/>
      <c r="Q62" s="342">
        <f>SUM(Q33:R53)</f>
        <v>18</v>
      </c>
      <c r="R62" s="343"/>
      <c r="S62" s="346">
        <f>SUM(S33:T61)</f>
        <v>29</v>
      </c>
      <c r="T62" s="339"/>
      <c r="U62" s="342">
        <f>SUM(U33:V61)</f>
        <v>29</v>
      </c>
      <c r="V62" s="348"/>
      <c r="W62" s="350">
        <f>SUM(K62:V63)</f>
        <v>107</v>
      </c>
      <c r="X62" s="348"/>
      <c r="Y62" s="313">
        <f>SUM(Y33:Y61)</f>
        <v>107</v>
      </c>
      <c r="AC62" s="144"/>
    </row>
    <row r="63" spans="2:29" ht="18" thickBot="1">
      <c r="B63" s="351"/>
      <c r="C63" s="347"/>
      <c r="D63" s="347"/>
      <c r="E63" s="347"/>
      <c r="F63" s="347"/>
      <c r="G63" s="349"/>
      <c r="H63" s="354"/>
      <c r="I63" s="356"/>
      <c r="J63" s="358"/>
      <c r="K63" s="351"/>
      <c r="L63" s="341"/>
      <c r="M63" s="344"/>
      <c r="N63" s="347"/>
      <c r="O63" s="340"/>
      <c r="P63" s="341"/>
      <c r="Q63" s="344"/>
      <c r="R63" s="345"/>
      <c r="S63" s="347"/>
      <c r="T63" s="341"/>
      <c r="U63" s="344"/>
      <c r="V63" s="349"/>
      <c r="W63" s="351"/>
      <c r="X63" s="349"/>
      <c r="Y63" s="352"/>
      <c r="AC63" s="63"/>
    </row>
    <row r="64" spans="2:29" ht="17.25" customHeight="1" thickBot="1">
      <c r="B64" s="288"/>
      <c r="C64" s="290"/>
      <c r="D64" s="290"/>
      <c r="E64" s="290"/>
      <c r="F64" s="290"/>
      <c r="G64" s="289"/>
      <c r="H64" s="151">
        <f>SUM(H32,H62)</f>
        <v>40</v>
      </c>
      <c r="I64" s="152">
        <f>SUM(I32,I62)</f>
        <v>0</v>
      </c>
      <c r="J64" s="153">
        <f>SUM(J32,J62)</f>
        <v>141</v>
      </c>
      <c r="K64" s="288">
        <f>SUM(K32,K62)</f>
        <v>29</v>
      </c>
      <c r="L64" s="298"/>
      <c r="M64" s="299">
        <f>SUM(M32,M62)</f>
        <v>29</v>
      </c>
      <c r="N64" s="291"/>
      <c r="O64" s="292">
        <f>SUM(O32,O62)</f>
        <v>29</v>
      </c>
      <c r="P64" s="298"/>
      <c r="Q64" s="299">
        <f>SUM(Q32,Q62)</f>
        <v>29</v>
      </c>
      <c r="R64" s="291"/>
      <c r="S64" s="292">
        <f>SUM(S32,S62)</f>
        <v>29</v>
      </c>
      <c r="T64" s="298"/>
      <c r="U64" s="299">
        <f>SUM(U32,U62)</f>
        <v>29</v>
      </c>
      <c r="V64" s="289"/>
      <c r="W64" s="288">
        <f>SUM(K64:V64)</f>
        <v>174</v>
      </c>
      <c r="X64" s="289"/>
      <c r="Y64" s="10">
        <f>Y32+Y62</f>
        <v>171</v>
      </c>
      <c r="AA64" s="293" t="s">
        <v>145</v>
      </c>
      <c r="AB64" s="293"/>
    </row>
    <row r="65" spans="2:28" ht="18.75" customHeight="1" thickBot="1">
      <c r="B65" s="307" t="s">
        <v>342</v>
      </c>
      <c r="C65" s="326"/>
      <c r="D65" s="326"/>
      <c r="E65" s="308"/>
      <c r="F65" s="331" t="s">
        <v>338</v>
      </c>
      <c r="G65" s="332"/>
      <c r="H65" s="332"/>
      <c r="I65" s="332"/>
      <c r="J65" s="333"/>
      <c r="K65" s="334">
        <v>16</v>
      </c>
      <c r="L65" s="335"/>
      <c r="M65" s="305">
        <v>16</v>
      </c>
      <c r="N65" s="336"/>
      <c r="O65" s="337">
        <v>16</v>
      </c>
      <c r="P65" s="335"/>
      <c r="Q65" s="305">
        <v>16</v>
      </c>
      <c r="R65" s="336"/>
      <c r="S65" s="337">
        <v>16</v>
      </c>
      <c r="T65" s="335"/>
      <c r="U65" s="305">
        <v>16</v>
      </c>
      <c r="V65" s="306"/>
      <c r="W65" s="307">
        <f>SUM(K65:V67)</f>
        <v>288</v>
      </c>
      <c r="X65" s="308"/>
      <c r="Y65" s="313">
        <f>Y68*16</f>
        <v>288</v>
      </c>
      <c r="AA65" s="325"/>
      <c r="AB65" s="325"/>
    </row>
    <row r="66" spans="2:28" ht="17.25" customHeight="1" thickBot="1">
      <c r="B66" s="309"/>
      <c r="C66" s="327"/>
      <c r="D66" s="327"/>
      <c r="E66" s="310"/>
      <c r="F66" s="316" t="s">
        <v>57</v>
      </c>
      <c r="G66" s="317"/>
      <c r="H66" s="317"/>
      <c r="I66" s="317"/>
      <c r="J66" s="318"/>
      <c r="K66" s="319">
        <v>16</v>
      </c>
      <c r="L66" s="320"/>
      <c r="M66" s="321">
        <v>16</v>
      </c>
      <c r="N66" s="322"/>
      <c r="O66" s="323">
        <v>16</v>
      </c>
      <c r="P66" s="320"/>
      <c r="Q66" s="321">
        <v>16</v>
      </c>
      <c r="R66" s="322"/>
      <c r="S66" s="323">
        <v>16</v>
      </c>
      <c r="T66" s="320"/>
      <c r="U66" s="321">
        <v>16</v>
      </c>
      <c r="V66" s="324"/>
      <c r="W66" s="309"/>
      <c r="X66" s="310"/>
      <c r="Y66" s="314"/>
      <c r="AA66" s="286" t="b">
        <f>W64&gt;=Y64</f>
        <v>1</v>
      </c>
      <c r="AB66" s="287"/>
    </row>
    <row r="67" spans="2:28" ht="17.25" customHeight="1">
      <c r="B67" s="309"/>
      <c r="C67" s="327"/>
      <c r="D67" s="327"/>
      <c r="E67" s="310"/>
      <c r="F67" s="316" t="s">
        <v>11</v>
      </c>
      <c r="G67" s="317"/>
      <c r="H67" s="317"/>
      <c r="I67" s="317"/>
      <c r="J67" s="318"/>
      <c r="K67" s="319">
        <v>16</v>
      </c>
      <c r="L67" s="320"/>
      <c r="M67" s="321">
        <v>16</v>
      </c>
      <c r="N67" s="322"/>
      <c r="O67" s="323">
        <v>16</v>
      </c>
      <c r="P67" s="320"/>
      <c r="Q67" s="321">
        <v>16</v>
      </c>
      <c r="R67" s="322"/>
      <c r="S67" s="323">
        <v>16</v>
      </c>
      <c r="T67" s="320"/>
      <c r="U67" s="321">
        <v>16</v>
      </c>
      <c r="V67" s="324"/>
      <c r="W67" s="311"/>
      <c r="X67" s="312"/>
      <c r="Y67" s="315"/>
    </row>
    <row r="68" spans="2:28" ht="17.25" customHeight="1" thickBot="1">
      <c r="B68" s="328"/>
      <c r="C68" s="329"/>
      <c r="D68" s="329"/>
      <c r="E68" s="330"/>
      <c r="F68" s="296" t="s">
        <v>139</v>
      </c>
      <c r="G68" s="300"/>
      <c r="H68" s="300"/>
      <c r="I68" s="300"/>
      <c r="J68" s="297"/>
      <c r="K68" s="301">
        <v>3</v>
      </c>
      <c r="L68" s="302"/>
      <c r="M68" s="294">
        <v>3</v>
      </c>
      <c r="N68" s="303"/>
      <c r="O68" s="304">
        <v>3</v>
      </c>
      <c r="P68" s="302"/>
      <c r="Q68" s="294">
        <v>3</v>
      </c>
      <c r="R68" s="303"/>
      <c r="S68" s="304">
        <v>3</v>
      </c>
      <c r="T68" s="302"/>
      <c r="U68" s="294">
        <v>3</v>
      </c>
      <c r="V68" s="295"/>
      <c r="W68" s="296">
        <f>SUM(K68:V68)</f>
        <v>18</v>
      </c>
      <c r="X68" s="297"/>
      <c r="Y68" s="64">
        <v>18</v>
      </c>
      <c r="AA68" s="293" t="s">
        <v>146</v>
      </c>
      <c r="AB68" s="293"/>
    </row>
    <row r="69" spans="2:28" ht="17.25" customHeight="1" thickBot="1">
      <c r="B69" s="288"/>
      <c r="C69" s="290"/>
      <c r="D69" s="290"/>
      <c r="E69" s="290"/>
      <c r="F69" s="290"/>
      <c r="G69" s="290"/>
      <c r="H69" s="290"/>
      <c r="I69" s="290"/>
      <c r="J69" s="289"/>
      <c r="K69" s="288">
        <v>32</v>
      </c>
      <c r="L69" s="298"/>
      <c r="M69" s="299">
        <v>32</v>
      </c>
      <c r="N69" s="291"/>
      <c r="O69" s="292">
        <v>32</v>
      </c>
      <c r="P69" s="298"/>
      <c r="Q69" s="299">
        <v>32</v>
      </c>
      <c r="R69" s="291"/>
      <c r="S69" s="292">
        <v>32</v>
      </c>
      <c r="T69" s="298"/>
      <c r="U69" s="299">
        <v>32</v>
      </c>
      <c r="V69" s="289"/>
      <c r="W69" s="288">
        <f>SUM(K69:V69)</f>
        <v>192</v>
      </c>
      <c r="X69" s="289"/>
      <c r="Y69" s="32">
        <f>W69</f>
        <v>192</v>
      </c>
      <c r="AA69" s="286" t="b">
        <f>W68&gt;=Y68</f>
        <v>1</v>
      </c>
      <c r="AB69" s="287"/>
    </row>
    <row r="70" spans="2:28" ht="17.25" customHeight="1" thickBot="1">
      <c r="B70" s="288"/>
      <c r="C70" s="290"/>
      <c r="D70" s="290"/>
      <c r="E70" s="290"/>
      <c r="F70" s="290"/>
      <c r="G70" s="290"/>
      <c r="H70" s="290"/>
      <c r="I70" s="290"/>
      <c r="J70" s="289"/>
      <c r="K70" s="288">
        <f>SUM(K69:N69)</f>
        <v>64</v>
      </c>
      <c r="L70" s="290"/>
      <c r="M70" s="290"/>
      <c r="N70" s="291"/>
      <c r="O70" s="292">
        <f>SUM(O69:R69)</f>
        <v>64</v>
      </c>
      <c r="P70" s="290"/>
      <c r="Q70" s="290"/>
      <c r="R70" s="291"/>
      <c r="S70" s="292">
        <f>SUM(S69:V69)</f>
        <v>64</v>
      </c>
      <c r="T70" s="290"/>
      <c r="U70" s="290"/>
      <c r="V70" s="289"/>
      <c r="W70" s="288">
        <f>SUM(K70:V70)</f>
        <v>192</v>
      </c>
      <c r="X70" s="289"/>
      <c r="Y70" s="10"/>
      <c r="AA70" s="293" t="s">
        <v>142</v>
      </c>
      <c r="AB70" s="293"/>
    </row>
    <row r="71" spans="2:28" ht="17.25" customHeight="1" thickBot="1">
      <c r="AA71" s="286" t="b">
        <f>W69&gt;=Y69</f>
        <v>1</v>
      </c>
      <c r="AB71" s="287"/>
    </row>
    <row r="72" spans="2:28" ht="17.25" customHeight="1"/>
    <row r="73" spans="2:28" ht="17.25" customHeight="1"/>
    <row r="74" spans="2:28" ht="17.25" customHeight="1"/>
    <row r="76" spans="2:28" ht="24.9" customHeight="1"/>
    <row r="77" spans="2:28" ht="24.9" customHeight="1"/>
    <row r="78" spans="2:28" ht="32.25" customHeight="1"/>
    <row r="79" spans="2:28" ht="24.9" customHeight="1"/>
    <row r="81" ht="16.5" customHeight="1"/>
    <row r="82" ht="17.2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244.5" customHeight="1"/>
  </sheetData>
  <mergeCells count="521">
    <mergeCell ref="S60:T60"/>
    <mergeCell ref="U60:V60"/>
    <mergeCell ref="S61:T61"/>
    <mergeCell ref="U61:V61"/>
    <mergeCell ref="F56:G56"/>
    <mergeCell ref="K56:L56"/>
    <mergeCell ref="M56:N56"/>
    <mergeCell ref="O56:P56"/>
    <mergeCell ref="Q56:R56"/>
    <mergeCell ref="S56:T56"/>
    <mergeCell ref="S57:T57"/>
    <mergeCell ref="U57:V57"/>
    <mergeCell ref="S58:T58"/>
    <mergeCell ref="U58:V58"/>
    <mergeCell ref="S59:T59"/>
    <mergeCell ref="U59:V59"/>
    <mergeCell ref="M60:N60"/>
    <mergeCell ref="M61:N61"/>
    <mergeCell ref="K59:L59"/>
    <mergeCell ref="K60:L60"/>
    <mergeCell ref="K61:L61"/>
    <mergeCell ref="M59:N59"/>
    <mergeCell ref="J52:J61"/>
    <mergeCell ref="U52:V52"/>
    <mergeCell ref="U55:V55"/>
    <mergeCell ref="K58:L58"/>
    <mergeCell ref="M53:N53"/>
    <mergeCell ref="M54:N54"/>
    <mergeCell ref="M55:N55"/>
    <mergeCell ref="M57:N57"/>
    <mergeCell ref="M58:N58"/>
    <mergeCell ref="U56:V56"/>
    <mergeCell ref="Q57:R57"/>
    <mergeCell ref="O58:P58"/>
    <mergeCell ref="Q58:R58"/>
    <mergeCell ref="O45:P45"/>
    <mergeCell ref="O46:P46"/>
    <mergeCell ref="O47:P47"/>
    <mergeCell ref="O48:P48"/>
    <mergeCell ref="Q45:R45"/>
    <mergeCell ref="Q46:R46"/>
    <mergeCell ref="Q47:R47"/>
    <mergeCell ref="Q48:R48"/>
    <mergeCell ref="M51:N51"/>
    <mergeCell ref="O51:P51"/>
    <mergeCell ref="Q51:R51"/>
    <mergeCell ref="Q49:R49"/>
    <mergeCell ref="Q50:R50"/>
    <mergeCell ref="O49:P49"/>
    <mergeCell ref="O50:P50"/>
    <mergeCell ref="M49:N49"/>
    <mergeCell ref="M50:N50"/>
    <mergeCell ref="Q43:R43"/>
    <mergeCell ref="O44:P44"/>
    <mergeCell ref="Q44:R44"/>
    <mergeCell ref="U40:V40"/>
    <mergeCell ref="S41:T41"/>
    <mergeCell ref="U41:V41"/>
    <mergeCell ref="S42:T42"/>
    <mergeCell ref="U42:V42"/>
    <mergeCell ref="O38:P38"/>
    <mergeCell ref="Q19:R19"/>
    <mergeCell ref="O36:P36"/>
    <mergeCell ref="O30:P30"/>
    <mergeCell ref="Q30:R30"/>
    <mergeCell ref="M32:N32"/>
    <mergeCell ref="O32:P32"/>
    <mergeCell ref="Q32:R32"/>
    <mergeCell ref="Q36:R36"/>
    <mergeCell ref="K48:L48"/>
    <mergeCell ref="M43:N43"/>
    <mergeCell ref="M46:N46"/>
    <mergeCell ref="M47:N47"/>
    <mergeCell ref="M48:N48"/>
    <mergeCell ref="K45:L45"/>
    <mergeCell ref="K46:L46"/>
    <mergeCell ref="K47:L47"/>
    <mergeCell ref="M36:N36"/>
    <mergeCell ref="M39:N39"/>
    <mergeCell ref="M41:N41"/>
    <mergeCell ref="M42:N42"/>
    <mergeCell ref="M44:N44"/>
    <mergeCell ref="M40:N40"/>
    <mergeCell ref="K39:L39"/>
    <mergeCell ref="K40:L40"/>
    <mergeCell ref="AA8:AD8"/>
    <mergeCell ref="B9:C31"/>
    <mergeCell ref="D9:D11"/>
    <mergeCell ref="F9:G9"/>
    <mergeCell ref="K9:L9"/>
    <mergeCell ref="F10:G10"/>
    <mergeCell ref="K10:L10"/>
    <mergeCell ref="M10:N10"/>
    <mergeCell ref="O10:P10"/>
    <mergeCell ref="Q10:R10"/>
    <mergeCell ref="S10:T10"/>
    <mergeCell ref="U13:V13"/>
    <mergeCell ref="O12:P12"/>
    <mergeCell ref="Q12:R12"/>
    <mergeCell ref="Q11:R11"/>
    <mergeCell ref="S11:T11"/>
    <mergeCell ref="Q17:R17"/>
    <mergeCell ref="O11:P11"/>
    <mergeCell ref="Y7:Y8"/>
    <mergeCell ref="M17:N17"/>
    <mergeCell ref="O17:P17"/>
    <mergeCell ref="Q15:R15"/>
    <mergeCell ref="Q13:R13"/>
    <mergeCell ref="K14:L14"/>
    <mergeCell ref="AA2:AA5"/>
    <mergeCell ref="B3:B4"/>
    <mergeCell ref="C3:E4"/>
    <mergeCell ref="F3:G4"/>
    <mergeCell ref="H3:J4"/>
    <mergeCell ref="K3:O4"/>
    <mergeCell ref="P3:Y3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K8:L8"/>
    <mergeCell ref="M8:N8"/>
    <mergeCell ref="X9:X11"/>
    <mergeCell ref="U10:V10"/>
    <mergeCell ref="U11:V11"/>
    <mergeCell ref="B2:U2"/>
    <mergeCell ref="V2:W2"/>
    <mergeCell ref="X2:Y2"/>
    <mergeCell ref="U6:Y6"/>
    <mergeCell ref="P4:S4"/>
    <mergeCell ref="B7:C8"/>
    <mergeCell ref="D7:D8"/>
    <mergeCell ref="E7:G7"/>
    <mergeCell ref="W7:X8"/>
    <mergeCell ref="F12:G12"/>
    <mergeCell ref="U8:V8"/>
    <mergeCell ref="O9:P9"/>
    <mergeCell ref="Q9:R9"/>
    <mergeCell ref="S9:T9"/>
    <mergeCell ref="U9:V9"/>
    <mergeCell ref="H7:H8"/>
    <mergeCell ref="I7:I8"/>
    <mergeCell ref="D12:D14"/>
    <mergeCell ref="Q14:R14"/>
    <mergeCell ref="K12:L12"/>
    <mergeCell ref="M12:N12"/>
    <mergeCell ref="F13:G13"/>
    <mergeCell ref="K13:L13"/>
    <mergeCell ref="M13:N13"/>
    <mergeCell ref="O13:P13"/>
    <mergeCell ref="O8:P8"/>
    <mergeCell ref="Q8:R8"/>
    <mergeCell ref="S8:T8"/>
    <mergeCell ref="J7:J8"/>
    <mergeCell ref="K7:N7"/>
    <mergeCell ref="F8:G8"/>
    <mergeCell ref="O7:R7"/>
    <mergeCell ref="S7:V7"/>
    <mergeCell ref="D15:D17"/>
    <mergeCell ref="F15:G15"/>
    <mergeCell ref="K15:L15"/>
    <mergeCell ref="M15:N15"/>
    <mergeCell ref="O15:P15"/>
    <mergeCell ref="O14:P14"/>
    <mergeCell ref="F14:G14"/>
    <mergeCell ref="AB14:AD14"/>
    <mergeCell ref="U18:V18"/>
    <mergeCell ref="Y18:Y19"/>
    <mergeCell ref="F19:G19"/>
    <mergeCell ref="K19:L19"/>
    <mergeCell ref="D18:D21"/>
    <mergeCell ref="Y20:Y23"/>
    <mergeCell ref="X12:X14"/>
    <mergeCell ref="Y9:Y17"/>
    <mergeCell ref="K11:L11"/>
    <mergeCell ref="M11:N11"/>
    <mergeCell ref="M14:N14"/>
    <mergeCell ref="S13:T13"/>
    <mergeCell ref="AA19:AB19"/>
    <mergeCell ref="U19:V19"/>
    <mergeCell ref="S15:T15"/>
    <mergeCell ref="U15:V15"/>
    <mergeCell ref="X15:X17"/>
    <mergeCell ref="F16:G16"/>
    <mergeCell ref="K16:L16"/>
    <mergeCell ref="M16:N16"/>
    <mergeCell ref="O16:P16"/>
    <mergeCell ref="Q16:R16"/>
    <mergeCell ref="X18:X19"/>
    <mergeCell ref="M9:N9"/>
    <mergeCell ref="F11:G11"/>
    <mergeCell ref="S12:T12"/>
    <mergeCell ref="U12:V12"/>
    <mergeCell ref="U17:V17"/>
    <mergeCell ref="F17:G17"/>
    <mergeCell ref="K17:L17"/>
    <mergeCell ref="S17:T17"/>
    <mergeCell ref="U14:V14"/>
    <mergeCell ref="S16:T16"/>
    <mergeCell ref="U16:V16"/>
    <mergeCell ref="S14:T14"/>
    <mergeCell ref="S18:T18"/>
    <mergeCell ref="F18:G18"/>
    <mergeCell ref="K18:L18"/>
    <mergeCell ref="M18:N18"/>
    <mergeCell ref="O18:P18"/>
    <mergeCell ref="Q18:R18"/>
    <mergeCell ref="M19:N19"/>
    <mergeCell ref="Q23:R23"/>
    <mergeCell ref="X22:X23"/>
    <mergeCell ref="S23:T23"/>
    <mergeCell ref="U20:V20"/>
    <mergeCell ref="S21:T21"/>
    <mergeCell ref="D22:D23"/>
    <mergeCell ref="F22:G22"/>
    <mergeCell ref="K22:L22"/>
    <mergeCell ref="M22:N22"/>
    <mergeCell ref="O22:P22"/>
    <mergeCell ref="Q22:R22"/>
    <mergeCell ref="F23:G23"/>
    <mergeCell ref="K23:L23"/>
    <mergeCell ref="F20:G20"/>
    <mergeCell ref="F21:G21"/>
    <mergeCell ref="K20:L20"/>
    <mergeCell ref="M20:N20"/>
    <mergeCell ref="O20:P20"/>
    <mergeCell ref="Q20:R20"/>
    <mergeCell ref="S19:T19"/>
    <mergeCell ref="S22:T22"/>
    <mergeCell ref="O19:P19"/>
    <mergeCell ref="S25:T25"/>
    <mergeCell ref="X20:X21"/>
    <mergeCell ref="S24:T24"/>
    <mergeCell ref="S20:T20"/>
    <mergeCell ref="K21:L21"/>
    <mergeCell ref="M21:N21"/>
    <mergeCell ref="O21:P21"/>
    <mergeCell ref="Q21:R21"/>
    <mergeCell ref="X24:X27"/>
    <mergeCell ref="U26:V26"/>
    <mergeCell ref="U24:V24"/>
    <mergeCell ref="U25:V25"/>
    <mergeCell ref="U23:V23"/>
    <mergeCell ref="U22:V22"/>
    <mergeCell ref="U21:V21"/>
    <mergeCell ref="M23:N23"/>
    <mergeCell ref="O23:P23"/>
    <mergeCell ref="Q27:R27"/>
    <mergeCell ref="Y24:Y27"/>
    <mergeCell ref="F25:G25"/>
    <mergeCell ref="K25:L25"/>
    <mergeCell ref="M25:N25"/>
    <mergeCell ref="O25:P25"/>
    <mergeCell ref="Q25:R25"/>
    <mergeCell ref="S26:T26"/>
    <mergeCell ref="D24:D27"/>
    <mergeCell ref="F24:G24"/>
    <mergeCell ref="K24:L24"/>
    <mergeCell ref="M24:N24"/>
    <mergeCell ref="O24:P24"/>
    <mergeCell ref="Q24:R24"/>
    <mergeCell ref="F27:G27"/>
    <mergeCell ref="K27:L27"/>
    <mergeCell ref="Q26:R26"/>
    <mergeCell ref="M27:N27"/>
    <mergeCell ref="O27:P27"/>
    <mergeCell ref="F26:G26"/>
    <mergeCell ref="K26:L26"/>
    <mergeCell ref="M26:N26"/>
    <mergeCell ref="O26:P26"/>
    <mergeCell ref="S27:T27"/>
    <mergeCell ref="U27:V27"/>
    <mergeCell ref="S29:T29"/>
    <mergeCell ref="U29:V29"/>
    <mergeCell ref="S28:T28"/>
    <mergeCell ref="D28:D29"/>
    <mergeCell ref="F28:G28"/>
    <mergeCell ref="K28:L28"/>
    <mergeCell ref="M28:N28"/>
    <mergeCell ref="O28:P28"/>
    <mergeCell ref="Q28:R28"/>
    <mergeCell ref="AA32:AB32"/>
    <mergeCell ref="W32:X32"/>
    <mergeCell ref="U28:V28"/>
    <mergeCell ref="W28:X29"/>
    <mergeCell ref="Y28:Y29"/>
    <mergeCell ref="F29:G29"/>
    <mergeCell ref="K29:L29"/>
    <mergeCell ref="M29:N29"/>
    <mergeCell ref="O29:P29"/>
    <mergeCell ref="Q29:R29"/>
    <mergeCell ref="B32:G32"/>
    <mergeCell ref="K32:L32"/>
    <mergeCell ref="W30:X31"/>
    <mergeCell ref="Y30:Y31"/>
    <mergeCell ref="F31:G31"/>
    <mergeCell ref="K31:L31"/>
    <mergeCell ref="M31:N31"/>
    <mergeCell ref="O31:P31"/>
    <mergeCell ref="Q31:R31"/>
    <mergeCell ref="S31:T31"/>
    <mergeCell ref="D30:D31"/>
    <mergeCell ref="F30:G30"/>
    <mergeCell ref="K30:L30"/>
    <mergeCell ref="M30:N30"/>
    <mergeCell ref="S32:T32"/>
    <mergeCell ref="U32:V32"/>
    <mergeCell ref="S30:T30"/>
    <mergeCell ref="U30:V30"/>
    <mergeCell ref="U31:V31"/>
    <mergeCell ref="O62:P63"/>
    <mergeCell ref="Q62:R63"/>
    <mergeCell ref="S62:T63"/>
    <mergeCell ref="U62:V63"/>
    <mergeCell ref="S49:T51"/>
    <mergeCell ref="U49:V51"/>
    <mergeCell ref="S34:T34"/>
    <mergeCell ref="U47:V47"/>
    <mergeCell ref="S33:T33"/>
    <mergeCell ref="U34:V34"/>
    <mergeCell ref="S43:T43"/>
    <mergeCell ref="U44:V44"/>
    <mergeCell ref="S45:T45"/>
    <mergeCell ref="U45:V45"/>
    <mergeCell ref="S46:T46"/>
    <mergeCell ref="U46:V46"/>
    <mergeCell ref="S40:T40"/>
    <mergeCell ref="Q39:R39"/>
    <mergeCell ref="S36:T36"/>
    <mergeCell ref="W62:X63"/>
    <mergeCell ref="Y62:Y63"/>
    <mergeCell ref="B62:G63"/>
    <mergeCell ref="H62:H63"/>
    <mergeCell ref="I62:I63"/>
    <mergeCell ref="J62:J63"/>
    <mergeCell ref="K62:L63"/>
    <mergeCell ref="M62:N63"/>
    <mergeCell ref="U64:V64"/>
    <mergeCell ref="W64:X64"/>
    <mergeCell ref="B65:E68"/>
    <mergeCell ref="F65:J65"/>
    <mergeCell ref="K65:L65"/>
    <mergeCell ref="M65:N65"/>
    <mergeCell ref="O65:P65"/>
    <mergeCell ref="Q65:R65"/>
    <mergeCell ref="S65:T65"/>
    <mergeCell ref="B64:G64"/>
    <mergeCell ref="K64:L64"/>
    <mergeCell ref="M64:N64"/>
    <mergeCell ref="O64:P64"/>
    <mergeCell ref="Q64:R64"/>
    <mergeCell ref="S64:T64"/>
    <mergeCell ref="F67:J67"/>
    <mergeCell ref="K67:L67"/>
    <mergeCell ref="M67:N67"/>
    <mergeCell ref="O67:P67"/>
    <mergeCell ref="Q67:R67"/>
    <mergeCell ref="S67:T67"/>
    <mergeCell ref="F66:J66"/>
    <mergeCell ref="K66:L66"/>
    <mergeCell ref="M66:N66"/>
    <mergeCell ref="O66:P66"/>
    <mergeCell ref="Q66:R66"/>
    <mergeCell ref="S66:T66"/>
    <mergeCell ref="U68:V68"/>
    <mergeCell ref="W68:X68"/>
    <mergeCell ref="AA68:AB68"/>
    <mergeCell ref="U65:V65"/>
    <mergeCell ref="W65:X67"/>
    <mergeCell ref="Y65:Y67"/>
    <mergeCell ref="U66:V66"/>
    <mergeCell ref="AA66:AB66"/>
    <mergeCell ref="U67:V67"/>
    <mergeCell ref="AA64:AB65"/>
    <mergeCell ref="F68:J68"/>
    <mergeCell ref="K68:L68"/>
    <mergeCell ref="M68:N68"/>
    <mergeCell ref="O68:P68"/>
    <mergeCell ref="Q68:R68"/>
    <mergeCell ref="S68:T68"/>
    <mergeCell ref="K69:L69"/>
    <mergeCell ref="M69:N69"/>
    <mergeCell ref="O69:P69"/>
    <mergeCell ref="Q69:R69"/>
    <mergeCell ref="S69:T69"/>
    <mergeCell ref="U69:V69"/>
    <mergeCell ref="AA71:AB71"/>
    <mergeCell ref="W69:X69"/>
    <mergeCell ref="AA69:AB69"/>
    <mergeCell ref="B70:J70"/>
    <mergeCell ref="K70:N70"/>
    <mergeCell ref="O70:R70"/>
    <mergeCell ref="S70:V70"/>
    <mergeCell ref="W70:X70"/>
    <mergeCell ref="AA70:AB70"/>
    <mergeCell ref="B69:J69"/>
    <mergeCell ref="W33:X33"/>
    <mergeCell ref="W34:X34"/>
    <mergeCell ref="W35:X35"/>
    <mergeCell ref="W36:X36"/>
    <mergeCell ref="W37:X37"/>
    <mergeCell ref="F50:G50"/>
    <mergeCell ref="F38:G38"/>
    <mergeCell ref="F39:G39"/>
    <mergeCell ref="F40:G40"/>
    <mergeCell ref="F41:G41"/>
    <mergeCell ref="K34:L34"/>
    <mergeCell ref="M34:N34"/>
    <mergeCell ref="O34:P34"/>
    <mergeCell ref="Q34:R34"/>
    <mergeCell ref="W48:X48"/>
    <mergeCell ref="W47:X47"/>
    <mergeCell ref="W46:X46"/>
    <mergeCell ref="W45:X45"/>
    <mergeCell ref="W44:X44"/>
    <mergeCell ref="F33:G33"/>
    <mergeCell ref="F34:G34"/>
    <mergeCell ref="F44:G44"/>
    <mergeCell ref="F45:G45"/>
    <mergeCell ref="F46:G46"/>
    <mergeCell ref="F48:G48"/>
    <mergeCell ref="S48:T48"/>
    <mergeCell ref="U48:V48"/>
    <mergeCell ref="S47:T47"/>
    <mergeCell ref="F47:G47"/>
    <mergeCell ref="F42:G42"/>
    <mergeCell ref="F43:G43"/>
    <mergeCell ref="J49:J51"/>
    <mergeCell ref="K35:L35"/>
    <mergeCell ref="K36:L36"/>
    <mergeCell ref="K41:L41"/>
    <mergeCell ref="K42:L42"/>
    <mergeCell ref="K43:L43"/>
    <mergeCell ref="K44:L44"/>
    <mergeCell ref="M37:N37"/>
    <mergeCell ref="S35:T35"/>
    <mergeCell ref="U35:V35"/>
    <mergeCell ref="U36:V36"/>
    <mergeCell ref="S39:T39"/>
    <mergeCell ref="U39:V39"/>
    <mergeCell ref="M45:N45"/>
    <mergeCell ref="U43:V43"/>
    <mergeCell ref="S44:T44"/>
    <mergeCell ref="O43:P43"/>
    <mergeCell ref="F52:G52"/>
    <mergeCell ref="F53:G53"/>
    <mergeCell ref="F54:G54"/>
    <mergeCell ref="F55:G55"/>
    <mergeCell ref="F57:G57"/>
    <mergeCell ref="F58:G58"/>
    <mergeCell ref="K55:L55"/>
    <mergeCell ref="K57:L57"/>
    <mergeCell ref="W49:X51"/>
    <mergeCell ref="K51:L51"/>
    <mergeCell ref="M52:N52"/>
    <mergeCell ref="K52:L52"/>
    <mergeCell ref="K53:L53"/>
    <mergeCell ref="K54:L54"/>
    <mergeCell ref="K49:L49"/>
    <mergeCell ref="K50:L50"/>
    <mergeCell ref="S52:T52"/>
    <mergeCell ref="Q52:R52"/>
    <mergeCell ref="O53:P53"/>
    <mergeCell ref="S53:T53"/>
    <mergeCell ref="U53:V53"/>
    <mergeCell ref="S54:T54"/>
    <mergeCell ref="U54:V54"/>
    <mergeCell ref="S55:T55"/>
    <mergeCell ref="Q59:R59"/>
    <mergeCell ref="W43:X43"/>
    <mergeCell ref="F61:G61"/>
    <mergeCell ref="F35:G35"/>
    <mergeCell ref="F36:G36"/>
    <mergeCell ref="F37:G37"/>
    <mergeCell ref="F59:G59"/>
    <mergeCell ref="F60:G60"/>
    <mergeCell ref="F49:G49"/>
    <mergeCell ref="F51:G51"/>
    <mergeCell ref="W38:X38"/>
    <mergeCell ref="W39:X39"/>
    <mergeCell ref="W42:X42"/>
    <mergeCell ref="W40:X40"/>
    <mergeCell ref="W41:X41"/>
    <mergeCell ref="Q60:R60"/>
    <mergeCell ref="Q61:R61"/>
    <mergeCell ref="O59:P59"/>
    <mergeCell ref="O60:P60"/>
    <mergeCell ref="O61:P61"/>
    <mergeCell ref="M35:N35"/>
    <mergeCell ref="O35:P35"/>
    <mergeCell ref="Q35:R35"/>
    <mergeCell ref="W52:X61"/>
    <mergeCell ref="Y33:Y61"/>
    <mergeCell ref="K33:L33"/>
    <mergeCell ref="M33:N33"/>
    <mergeCell ref="O33:P33"/>
    <mergeCell ref="Q33:R33"/>
    <mergeCell ref="U33:V33"/>
    <mergeCell ref="B49:B51"/>
    <mergeCell ref="B52:C61"/>
    <mergeCell ref="B33:C48"/>
    <mergeCell ref="D33:E34"/>
    <mergeCell ref="O52:P52"/>
    <mergeCell ref="Q53:R53"/>
    <mergeCell ref="O54:P54"/>
    <mergeCell ref="Q54:R54"/>
    <mergeCell ref="O40:P40"/>
    <mergeCell ref="O41:P41"/>
    <mergeCell ref="O42:P42"/>
    <mergeCell ref="Q40:R40"/>
    <mergeCell ref="Q41:R41"/>
    <mergeCell ref="Q42:R42"/>
    <mergeCell ref="O39:P39"/>
    <mergeCell ref="O55:P55"/>
    <mergeCell ref="Q55:R55"/>
    <mergeCell ref="O57:P57"/>
  </mergeCells>
  <phoneticPr fontId="9" type="noConversion"/>
  <conditionalFormatting sqref="AA32:AB32 AC63 AA66:AB66 AA69:AB69 AA71:AB71">
    <cfRule type="containsText" dxfId="0" priority="1" operator="containsText" text="FALSE">
      <formula>NOT(ISERROR(SEARCH("FALSE",AA32)))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62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29BC-9073-43C8-A099-3367F066DB45}">
  <sheetPr>
    <pageSetUpPr fitToPage="1"/>
  </sheetPr>
  <dimension ref="B2:AG66"/>
  <sheetViews>
    <sheetView showGridLines="0" view="pageBreakPreview" topLeftCell="F6" zoomScaleNormal="85" zoomScaleSheetLayoutView="100" workbookViewId="0">
      <selection activeCell="K15" sqref="K15"/>
    </sheetView>
  </sheetViews>
  <sheetFormatPr defaultRowHeight="17.399999999999999"/>
  <cols>
    <col min="1" max="1" width="3" customWidth="1"/>
    <col min="2" max="2" width="13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97" t="s">
        <v>140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</row>
    <row r="3" spans="2:33" ht="27" customHeight="1" thickBot="1"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598" t="s">
        <v>120</v>
      </c>
      <c r="O3" s="599"/>
      <c r="P3" s="600"/>
      <c r="Q3" s="598" t="s">
        <v>118</v>
      </c>
      <c r="R3" s="599"/>
      <c r="S3" s="600"/>
      <c r="T3" s="601" t="s">
        <v>121</v>
      </c>
      <c r="U3" s="602"/>
    </row>
    <row r="4" spans="2:33" ht="27" customHeight="1" thickBot="1"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603" t="s">
        <v>356</v>
      </c>
      <c r="O4" s="604"/>
      <c r="P4" s="605"/>
      <c r="Q4" s="606" t="s">
        <v>761</v>
      </c>
      <c r="R4" s="607"/>
      <c r="S4" s="608"/>
      <c r="T4" s="609">
        <v>2027</v>
      </c>
      <c r="U4" s="610"/>
    </row>
    <row r="5" spans="2:33" ht="24" customHeight="1" thickBot="1">
      <c r="B5" s="611"/>
      <c r="C5" s="611"/>
    </row>
    <row r="6" spans="2:33" ht="20.25" customHeight="1">
      <c r="B6" s="612" t="s">
        <v>13</v>
      </c>
      <c r="C6" s="615" t="s">
        <v>131</v>
      </c>
      <c r="D6" s="594" t="s">
        <v>14</v>
      </c>
      <c r="E6" s="594" t="s">
        <v>15</v>
      </c>
      <c r="F6" s="594" t="s">
        <v>132</v>
      </c>
      <c r="G6" s="594" t="s">
        <v>133</v>
      </c>
      <c r="H6" s="618" t="s">
        <v>52</v>
      </c>
      <c r="I6" s="618"/>
      <c r="J6" s="618"/>
      <c r="K6" s="618"/>
      <c r="L6" s="618" t="s">
        <v>53</v>
      </c>
      <c r="M6" s="618"/>
      <c r="N6" s="618"/>
      <c r="O6" s="618"/>
      <c r="P6" s="618" t="s">
        <v>54</v>
      </c>
      <c r="Q6" s="618"/>
      <c r="R6" s="618"/>
      <c r="S6" s="618"/>
      <c r="T6" s="619" t="s">
        <v>130</v>
      </c>
      <c r="U6" s="629" t="s">
        <v>117</v>
      </c>
      <c r="W6" s="622" t="s">
        <v>122</v>
      </c>
      <c r="X6" s="623"/>
      <c r="Y6" s="623"/>
      <c r="Z6" s="623"/>
      <c r="AA6" s="623"/>
      <c r="AB6" s="623"/>
      <c r="AC6" s="623"/>
      <c r="AD6" s="623"/>
      <c r="AE6" s="623"/>
      <c r="AF6" s="624"/>
      <c r="AG6" s="117"/>
    </row>
    <row r="7" spans="2:33" ht="16.5" customHeight="1">
      <c r="B7" s="613"/>
      <c r="C7" s="616"/>
      <c r="D7" s="595"/>
      <c r="E7" s="595"/>
      <c r="F7" s="595"/>
      <c r="G7" s="595"/>
      <c r="H7" s="625" t="s">
        <v>115</v>
      </c>
      <c r="I7" s="625"/>
      <c r="J7" s="625" t="s">
        <v>56</v>
      </c>
      <c r="K7" s="625"/>
      <c r="L7" s="625" t="s">
        <v>115</v>
      </c>
      <c r="M7" s="625"/>
      <c r="N7" s="625" t="s">
        <v>56</v>
      </c>
      <c r="O7" s="625"/>
      <c r="P7" s="625" t="s">
        <v>115</v>
      </c>
      <c r="Q7" s="625"/>
      <c r="R7" s="625" t="s">
        <v>56</v>
      </c>
      <c r="S7" s="625"/>
      <c r="T7" s="620"/>
      <c r="U7" s="630"/>
      <c r="W7" s="626" t="s">
        <v>123</v>
      </c>
      <c r="X7" s="627"/>
      <c r="Y7" s="627"/>
      <c r="Z7" s="627"/>
      <c r="AA7" s="627"/>
      <c r="AB7" s="627"/>
      <c r="AC7" s="627"/>
      <c r="AD7" s="627"/>
      <c r="AE7" s="627"/>
      <c r="AF7" s="628"/>
      <c r="AG7" s="117"/>
    </row>
    <row r="8" spans="2:33" ht="17.25" customHeight="1" thickBot="1">
      <c r="B8" s="614"/>
      <c r="C8" s="617"/>
      <c r="D8" s="596"/>
      <c r="E8" s="596"/>
      <c r="F8" s="596"/>
      <c r="G8" s="596"/>
      <c r="H8" s="121" t="s">
        <v>129</v>
      </c>
      <c r="I8" s="121" t="s">
        <v>116</v>
      </c>
      <c r="J8" s="121" t="s">
        <v>129</v>
      </c>
      <c r="K8" s="121" t="s">
        <v>116</v>
      </c>
      <c r="L8" s="121" t="s">
        <v>129</v>
      </c>
      <c r="M8" s="121" t="s">
        <v>116</v>
      </c>
      <c r="N8" s="121" t="s">
        <v>129</v>
      </c>
      <c r="O8" s="121" t="s">
        <v>116</v>
      </c>
      <c r="P8" s="121" t="s">
        <v>129</v>
      </c>
      <c r="Q8" s="121" t="s">
        <v>116</v>
      </c>
      <c r="R8" s="121" t="s">
        <v>129</v>
      </c>
      <c r="S8" s="121" t="s">
        <v>116</v>
      </c>
      <c r="T8" s="621"/>
      <c r="U8" s="631"/>
      <c r="W8" s="11"/>
      <c r="X8" s="120"/>
      <c r="Y8" s="120"/>
      <c r="Z8" s="120"/>
      <c r="AA8" s="120"/>
      <c r="AB8" s="120"/>
      <c r="AC8" s="120"/>
      <c r="AD8" s="120"/>
      <c r="AE8" s="120"/>
      <c r="AF8" s="12"/>
      <c r="AG8" s="117"/>
    </row>
    <row r="9" spans="2:33" ht="16.5" customHeight="1">
      <c r="B9" s="632" t="s">
        <v>832</v>
      </c>
      <c r="C9" s="634">
        <v>12</v>
      </c>
      <c r="D9" s="87" t="s">
        <v>831</v>
      </c>
      <c r="E9" s="87" t="s">
        <v>830</v>
      </c>
      <c r="F9" s="251">
        <v>44</v>
      </c>
      <c r="G9" s="251">
        <v>3</v>
      </c>
      <c r="H9" s="252"/>
      <c r="I9" s="252">
        <f>H9*16</f>
        <v>0</v>
      </c>
      <c r="J9" s="252"/>
      <c r="K9" s="252">
        <f>J9*16</f>
        <v>0</v>
      </c>
      <c r="L9" s="252"/>
      <c r="M9" s="252">
        <f>L9*16</f>
        <v>0</v>
      </c>
      <c r="N9" s="252"/>
      <c r="O9" s="252">
        <f>N9*16</f>
        <v>0</v>
      </c>
      <c r="P9" s="91">
        <v>3</v>
      </c>
      <c r="Q9" s="91">
        <f>P9*16</f>
        <v>48</v>
      </c>
      <c r="R9" s="91"/>
      <c r="S9" s="91">
        <f>R9*16</f>
        <v>0</v>
      </c>
      <c r="T9" s="115">
        <f>SUM(H9,J9,L9,N9,P9,R9)</f>
        <v>3</v>
      </c>
      <c r="U9" s="114">
        <f>SUM(I9,K9,M9,O9,Q9,S9)</f>
        <v>48</v>
      </c>
      <c r="W9" s="119"/>
      <c r="X9" s="117"/>
      <c r="Y9" s="117"/>
      <c r="Z9" s="117"/>
      <c r="AA9" s="117"/>
      <c r="AB9" s="117"/>
      <c r="AC9" s="117"/>
      <c r="AD9" s="117"/>
      <c r="AE9" s="117"/>
      <c r="AF9" s="118"/>
      <c r="AG9" s="117"/>
    </row>
    <row r="10" spans="2:33" ht="16.5" customHeight="1">
      <c r="B10" s="632"/>
      <c r="C10" s="634"/>
      <c r="D10" s="87" t="s">
        <v>829</v>
      </c>
      <c r="E10" s="87" t="s">
        <v>828</v>
      </c>
      <c r="F10" s="251">
        <v>44</v>
      </c>
      <c r="G10" s="251">
        <v>4</v>
      </c>
      <c r="H10" s="252"/>
      <c r="I10" s="252"/>
      <c r="J10" s="252"/>
      <c r="K10" s="252"/>
      <c r="L10" s="252"/>
      <c r="M10" s="252"/>
      <c r="N10" s="252"/>
      <c r="O10" s="252"/>
      <c r="P10" s="91">
        <v>3</v>
      </c>
      <c r="Q10" s="91">
        <v>48</v>
      </c>
      <c r="R10" s="91"/>
      <c r="S10" s="91"/>
      <c r="T10" s="115">
        <v>3</v>
      </c>
      <c r="U10" s="114">
        <v>48</v>
      </c>
      <c r="W10" s="119"/>
      <c r="X10" s="117"/>
      <c r="Y10" s="117"/>
      <c r="Z10" s="117"/>
      <c r="AA10" s="117"/>
      <c r="AB10" s="117"/>
      <c r="AC10" s="117"/>
      <c r="AD10" s="117"/>
      <c r="AE10" s="117"/>
      <c r="AF10" s="118"/>
      <c r="AG10" s="117"/>
    </row>
    <row r="11" spans="2:33" ht="16.5" customHeight="1">
      <c r="B11" s="632"/>
      <c r="C11" s="634"/>
      <c r="D11" s="87" t="s">
        <v>827</v>
      </c>
      <c r="E11" s="87" t="s">
        <v>826</v>
      </c>
      <c r="F11" s="251">
        <v>44</v>
      </c>
      <c r="G11" s="251">
        <v>3</v>
      </c>
      <c r="H11" s="252"/>
      <c r="I11" s="252"/>
      <c r="J11" s="252"/>
      <c r="K11" s="252"/>
      <c r="L11" s="252"/>
      <c r="M11" s="252"/>
      <c r="N11" s="252"/>
      <c r="O11" s="252"/>
      <c r="P11" s="91"/>
      <c r="Q11" s="91"/>
      <c r="R11" s="91">
        <v>3</v>
      </c>
      <c r="S11" s="91">
        <v>48</v>
      </c>
      <c r="T11" s="115">
        <v>3</v>
      </c>
      <c r="U11" s="114">
        <v>48</v>
      </c>
      <c r="W11" s="119"/>
      <c r="X11" s="117"/>
      <c r="Y11" s="117"/>
      <c r="Z11" s="117"/>
      <c r="AA11" s="117"/>
      <c r="AB11" s="117"/>
      <c r="AC11" s="117"/>
      <c r="AD11" s="117"/>
      <c r="AE11" s="117"/>
      <c r="AF11" s="118"/>
      <c r="AG11" s="117"/>
    </row>
    <row r="12" spans="2:33">
      <c r="B12" s="632"/>
      <c r="C12" s="634"/>
      <c r="D12" s="87" t="s">
        <v>825</v>
      </c>
      <c r="E12" s="88" t="s">
        <v>824</v>
      </c>
      <c r="F12" s="251">
        <v>44</v>
      </c>
      <c r="G12" s="251">
        <v>3</v>
      </c>
      <c r="H12" s="252"/>
      <c r="I12" s="252">
        <f>H12*16</f>
        <v>0</v>
      </c>
      <c r="J12" s="252"/>
      <c r="K12" s="252">
        <f>J12*16</f>
        <v>0</v>
      </c>
      <c r="L12" s="252"/>
      <c r="M12" s="252">
        <f>L12*16</f>
        <v>0</v>
      </c>
      <c r="N12" s="252"/>
      <c r="O12" s="252">
        <f>N12*16</f>
        <v>0</v>
      </c>
      <c r="P12" s="91"/>
      <c r="Q12" s="91">
        <f>P12*16</f>
        <v>0</v>
      </c>
      <c r="R12" s="91">
        <v>3</v>
      </c>
      <c r="S12" s="91">
        <v>48</v>
      </c>
      <c r="T12" s="115">
        <v>3</v>
      </c>
      <c r="U12" s="114">
        <f>SUM(I12,K12,M12,O12,Q12,S12)</f>
        <v>48</v>
      </c>
    </row>
    <row r="13" spans="2:33" ht="18" thickBot="1">
      <c r="B13" s="633"/>
      <c r="C13" s="635"/>
      <c r="D13" s="636" t="s">
        <v>16</v>
      </c>
      <c r="E13" s="636"/>
      <c r="F13" s="107"/>
      <c r="G13" s="107"/>
      <c r="H13" s="108">
        <f t="shared" ref="H13:U13" si="0">SUM(H9:H12)</f>
        <v>0</v>
      </c>
      <c r="I13" s="108">
        <f t="shared" si="0"/>
        <v>0</v>
      </c>
      <c r="J13" s="108">
        <f t="shared" si="0"/>
        <v>0</v>
      </c>
      <c r="K13" s="108">
        <f t="shared" si="0"/>
        <v>0</v>
      </c>
      <c r="L13" s="108">
        <f t="shared" si="0"/>
        <v>0</v>
      </c>
      <c r="M13" s="108">
        <f t="shared" si="0"/>
        <v>0</v>
      </c>
      <c r="N13" s="108">
        <f t="shared" si="0"/>
        <v>0</v>
      </c>
      <c r="O13" s="108">
        <f t="shared" si="0"/>
        <v>0</v>
      </c>
      <c r="P13" s="104">
        <f t="shared" si="0"/>
        <v>6</v>
      </c>
      <c r="Q13" s="104">
        <f t="shared" si="0"/>
        <v>96</v>
      </c>
      <c r="R13" s="104">
        <f t="shared" si="0"/>
        <v>6</v>
      </c>
      <c r="S13" s="104">
        <f t="shared" si="0"/>
        <v>96</v>
      </c>
      <c r="T13" s="104">
        <f t="shared" si="0"/>
        <v>12</v>
      </c>
      <c r="U13" s="104">
        <f t="shared" si="0"/>
        <v>192</v>
      </c>
    </row>
    <row r="14" spans="2:33">
      <c r="B14" s="637" t="s">
        <v>823</v>
      </c>
      <c r="C14" s="641">
        <v>15</v>
      </c>
      <c r="D14" s="86" t="s">
        <v>822</v>
      </c>
      <c r="E14" s="86" t="s">
        <v>821</v>
      </c>
      <c r="F14" s="86">
        <v>32</v>
      </c>
      <c r="G14" s="86">
        <v>3</v>
      </c>
      <c r="H14" s="89"/>
      <c r="I14" s="89"/>
      <c r="J14" s="89"/>
      <c r="K14" s="89"/>
      <c r="L14" s="89">
        <v>2</v>
      </c>
      <c r="M14" s="89">
        <v>32</v>
      </c>
      <c r="N14" s="89"/>
      <c r="O14" s="89"/>
      <c r="P14" s="89"/>
      <c r="Q14" s="89"/>
      <c r="R14" s="89"/>
      <c r="S14" s="89"/>
      <c r="T14" s="26">
        <v>2</v>
      </c>
      <c r="U14" s="25">
        <f>I14+K14+M14+O14+Q14+S14</f>
        <v>32</v>
      </c>
      <c r="W14" s="116"/>
    </row>
    <row r="15" spans="2:33">
      <c r="B15" s="638"/>
      <c r="C15" s="642"/>
      <c r="D15" s="87" t="s">
        <v>820</v>
      </c>
      <c r="E15" s="87" t="s">
        <v>819</v>
      </c>
      <c r="F15" s="87">
        <v>180</v>
      </c>
      <c r="G15" s="87">
        <v>2</v>
      </c>
      <c r="H15" s="90"/>
      <c r="I15" s="90"/>
      <c r="J15" s="90"/>
      <c r="K15" s="90"/>
      <c r="L15" s="90">
        <v>3</v>
      </c>
      <c r="M15" s="90">
        <v>48</v>
      </c>
      <c r="N15" s="90"/>
      <c r="O15" s="90"/>
      <c r="P15" s="90"/>
      <c r="Q15" s="90"/>
      <c r="R15" s="90"/>
      <c r="S15" s="91"/>
      <c r="T15" s="22">
        <v>3</v>
      </c>
      <c r="U15" s="21">
        <f>I15+K15+M15+O15+Q15+S15</f>
        <v>48</v>
      </c>
    </row>
    <row r="16" spans="2:33">
      <c r="B16" s="638"/>
      <c r="C16" s="642"/>
      <c r="D16" s="87" t="s">
        <v>818</v>
      </c>
      <c r="E16" s="87" t="s">
        <v>817</v>
      </c>
      <c r="F16" s="87">
        <v>240</v>
      </c>
      <c r="G16" s="87">
        <v>3</v>
      </c>
      <c r="H16" s="90"/>
      <c r="I16" s="90"/>
      <c r="J16" s="90"/>
      <c r="K16" s="90"/>
      <c r="L16" s="90">
        <v>2</v>
      </c>
      <c r="M16" s="90">
        <v>32</v>
      </c>
      <c r="N16" s="90"/>
      <c r="O16" s="90"/>
      <c r="P16" s="90"/>
      <c r="Q16" s="90">
        <f>P16*16</f>
        <v>0</v>
      </c>
      <c r="R16" s="90"/>
      <c r="S16" s="91"/>
      <c r="T16" s="22">
        <v>2</v>
      </c>
      <c r="U16" s="21">
        <f>I16+K16+M16+O16+Q16+S16</f>
        <v>32</v>
      </c>
    </row>
    <row r="17" spans="2:21">
      <c r="B17" s="638"/>
      <c r="C17" s="642"/>
      <c r="D17" s="266" t="s">
        <v>816</v>
      </c>
      <c r="E17" s="266" t="s">
        <v>815</v>
      </c>
      <c r="F17" s="87">
        <v>240</v>
      </c>
      <c r="G17" s="87">
        <v>4</v>
      </c>
      <c r="H17" s="90"/>
      <c r="I17" s="90"/>
      <c r="J17" s="90"/>
      <c r="K17" s="90"/>
      <c r="L17" s="90"/>
      <c r="M17" s="90"/>
      <c r="N17" s="90">
        <v>4</v>
      </c>
      <c r="O17" s="90">
        <v>64</v>
      </c>
      <c r="P17" s="90"/>
      <c r="Q17" s="90"/>
      <c r="R17" s="90"/>
      <c r="S17" s="91"/>
      <c r="T17" s="22">
        <v>4</v>
      </c>
      <c r="U17" s="21">
        <v>64</v>
      </c>
    </row>
    <row r="18" spans="2:21">
      <c r="B18" s="639"/>
      <c r="C18" s="643"/>
      <c r="D18" s="88" t="s">
        <v>814</v>
      </c>
      <c r="E18" s="88" t="s">
        <v>813</v>
      </c>
      <c r="F18" s="88">
        <v>180</v>
      </c>
      <c r="G18" s="88">
        <v>4</v>
      </c>
      <c r="H18" s="91"/>
      <c r="I18" s="91"/>
      <c r="J18" s="91"/>
      <c r="K18" s="91"/>
      <c r="L18" s="91"/>
      <c r="M18" s="91"/>
      <c r="N18" s="91">
        <v>4</v>
      </c>
      <c r="O18" s="91">
        <v>64</v>
      </c>
      <c r="P18" s="91"/>
      <c r="Q18" s="91"/>
      <c r="R18" s="91"/>
      <c r="S18" s="91"/>
      <c r="T18" s="22">
        <v>4</v>
      </c>
      <c r="U18" s="21">
        <v>64</v>
      </c>
    </row>
    <row r="19" spans="2:21" ht="18" thickBot="1">
      <c r="B19" s="640"/>
      <c r="C19" s="644"/>
      <c r="D19" s="636" t="s">
        <v>16</v>
      </c>
      <c r="E19" s="636"/>
      <c r="F19" s="274"/>
      <c r="G19" s="274"/>
      <c r="H19" s="104"/>
      <c r="I19" s="104"/>
      <c r="J19" s="104"/>
      <c r="K19" s="104"/>
      <c r="L19" s="104">
        <f t="shared" ref="L19:U19" si="1">SUM(L14:L18)</f>
        <v>7</v>
      </c>
      <c r="M19" s="104">
        <f t="shared" si="1"/>
        <v>112</v>
      </c>
      <c r="N19" s="104">
        <f t="shared" si="1"/>
        <v>8</v>
      </c>
      <c r="O19" s="104">
        <f t="shared" si="1"/>
        <v>128</v>
      </c>
      <c r="P19" s="104">
        <f t="shared" si="1"/>
        <v>0</v>
      </c>
      <c r="Q19" s="104">
        <f t="shared" si="1"/>
        <v>0</v>
      </c>
      <c r="R19" s="104">
        <f t="shared" si="1"/>
        <v>0</v>
      </c>
      <c r="S19" s="104">
        <f t="shared" si="1"/>
        <v>0</v>
      </c>
      <c r="T19" s="104">
        <f t="shared" si="1"/>
        <v>15</v>
      </c>
      <c r="U19" s="104">
        <f t="shared" si="1"/>
        <v>240</v>
      </c>
    </row>
    <row r="20" spans="2:21" ht="17.25" customHeight="1">
      <c r="B20" s="645" t="s">
        <v>839</v>
      </c>
      <c r="C20" s="646">
        <v>12</v>
      </c>
      <c r="D20" s="86" t="s">
        <v>812</v>
      </c>
      <c r="E20" s="86" t="s">
        <v>811</v>
      </c>
      <c r="F20" s="86">
        <v>90</v>
      </c>
      <c r="G20" s="86">
        <v>6</v>
      </c>
      <c r="H20" s="89"/>
      <c r="I20" s="89"/>
      <c r="J20" s="89"/>
      <c r="K20" s="89"/>
      <c r="L20" s="89"/>
      <c r="M20" s="89"/>
      <c r="N20" s="89"/>
      <c r="O20" s="89"/>
      <c r="P20" s="89">
        <v>3</v>
      </c>
      <c r="Q20" s="89">
        <v>48</v>
      </c>
      <c r="R20" s="89"/>
      <c r="S20" s="89"/>
      <c r="T20" s="26">
        <f t="shared" ref="T20:U23" si="2">H20+J20+L20+N20+P20+R20</f>
        <v>3</v>
      </c>
      <c r="U20" s="25">
        <f t="shared" si="2"/>
        <v>48</v>
      </c>
    </row>
    <row r="21" spans="2:21" ht="17.25" customHeight="1">
      <c r="B21" s="632"/>
      <c r="C21" s="634"/>
      <c r="D21" s="87" t="s">
        <v>810</v>
      </c>
      <c r="E21" s="87" t="s">
        <v>809</v>
      </c>
      <c r="F21" s="87">
        <v>90</v>
      </c>
      <c r="G21" s="87">
        <v>5</v>
      </c>
      <c r="H21" s="90"/>
      <c r="I21" s="90"/>
      <c r="J21" s="90"/>
      <c r="K21" s="90"/>
      <c r="L21" s="90"/>
      <c r="M21" s="90"/>
      <c r="N21" s="90"/>
      <c r="O21" s="91"/>
      <c r="P21" s="91">
        <v>3</v>
      </c>
      <c r="Q21" s="91">
        <v>48</v>
      </c>
      <c r="R21" s="91"/>
      <c r="S21" s="91"/>
      <c r="T21" s="271">
        <f t="shared" si="2"/>
        <v>3</v>
      </c>
      <c r="U21" s="270">
        <f t="shared" si="2"/>
        <v>48</v>
      </c>
    </row>
    <row r="22" spans="2:21" ht="17.25" customHeight="1">
      <c r="B22" s="632"/>
      <c r="C22" s="634"/>
      <c r="D22" s="87" t="s">
        <v>808</v>
      </c>
      <c r="E22" s="87" t="s">
        <v>807</v>
      </c>
      <c r="F22" s="87">
        <v>130</v>
      </c>
      <c r="G22" s="87">
        <v>7</v>
      </c>
      <c r="H22" s="91"/>
      <c r="I22" s="91"/>
      <c r="J22" s="91"/>
      <c r="K22" s="91"/>
      <c r="L22" s="91"/>
      <c r="M22" s="91"/>
      <c r="N22" s="91"/>
      <c r="O22" s="269"/>
      <c r="P22" s="269"/>
      <c r="Q22" s="269"/>
      <c r="R22" s="269">
        <v>3</v>
      </c>
      <c r="S22" s="269">
        <v>48</v>
      </c>
      <c r="T22" s="22">
        <f t="shared" si="2"/>
        <v>3</v>
      </c>
      <c r="U22" s="21">
        <f t="shared" si="2"/>
        <v>48</v>
      </c>
    </row>
    <row r="23" spans="2:21" ht="17.25" customHeight="1">
      <c r="B23" s="632"/>
      <c r="C23" s="634"/>
      <c r="D23" s="87" t="s">
        <v>806</v>
      </c>
      <c r="E23" s="87" t="s">
        <v>805</v>
      </c>
      <c r="F23" s="88">
        <v>90</v>
      </c>
      <c r="G23" s="88">
        <v>7</v>
      </c>
      <c r="H23" s="91"/>
      <c r="I23" s="91"/>
      <c r="J23" s="91"/>
      <c r="K23" s="91"/>
      <c r="L23" s="91"/>
      <c r="M23" s="91"/>
      <c r="N23" s="91"/>
      <c r="O23" s="269"/>
      <c r="P23" s="269"/>
      <c r="Q23" s="269"/>
      <c r="R23" s="269">
        <v>3</v>
      </c>
      <c r="S23" s="269">
        <v>48</v>
      </c>
      <c r="T23" s="22">
        <f t="shared" si="2"/>
        <v>3</v>
      </c>
      <c r="U23" s="21">
        <f t="shared" si="2"/>
        <v>48</v>
      </c>
    </row>
    <row r="24" spans="2:21" ht="17.25" customHeight="1" thickBot="1">
      <c r="B24" s="633"/>
      <c r="C24" s="635"/>
      <c r="D24" s="636" t="s">
        <v>16</v>
      </c>
      <c r="E24" s="636"/>
      <c r="F24" s="274"/>
      <c r="G24" s="274"/>
      <c r="H24" s="104">
        <f t="shared" ref="H24:O24" si="3">SUM(H20:H21)</f>
        <v>0</v>
      </c>
      <c r="I24" s="104">
        <f t="shared" si="3"/>
        <v>0</v>
      </c>
      <c r="J24" s="104">
        <f t="shared" si="3"/>
        <v>0</v>
      </c>
      <c r="K24" s="104">
        <f t="shared" si="3"/>
        <v>0</v>
      </c>
      <c r="L24" s="104">
        <f t="shared" si="3"/>
        <v>0</v>
      </c>
      <c r="M24" s="104">
        <f t="shared" si="3"/>
        <v>0</v>
      </c>
      <c r="N24" s="104">
        <f t="shared" si="3"/>
        <v>0</v>
      </c>
      <c r="O24" s="104">
        <f t="shared" si="3"/>
        <v>0</v>
      </c>
      <c r="P24" s="104">
        <f t="shared" ref="P24:U24" si="4">SUM(P20:P23)</f>
        <v>6</v>
      </c>
      <c r="Q24" s="104">
        <f t="shared" si="4"/>
        <v>96</v>
      </c>
      <c r="R24" s="104">
        <f t="shared" si="4"/>
        <v>6</v>
      </c>
      <c r="S24" s="104">
        <f t="shared" si="4"/>
        <v>96</v>
      </c>
      <c r="T24" s="104">
        <f t="shared" si="4"/>
        <v>12</v>
      </c>
      <c r="U24" s="104">
        <f t="shared" si="4"/>
        <v>192</v>
      </c>
    </row>
    <row r="25" spans="2:21" ht="17.25" customHeight="1">
      <c r="B25" s="632" t="s">
        <v>804</v>
      </c>
      <c r="C25" s="634">
        <v>8</v>
      </c>
      <c r="D25" s="86" t="s">
        <v>803</v>
      </c>
      <c r="E25" s="268" t="s">
        <v>802</v>
      </c>
      <c r="F25" s="250">
        <v>60</v>
      </c>
      <c r="G25" s="250">
        <v>3</v>
      </c>
      <c r="H25" s="105"/>
      <c r="I25" s="105">
        <f>H25*16</f>
        <v>0</v>
      </c>
      <c r="J25" s="105"/>
      <c r="K25" s="105">
        <f>J25*16</f>
        <v>0</v>
      </c>
      <c r="L25" s="89">
        <v>2</v>
      </c>
      <c r="M25" s="89">
        <v>32</v>
      </c>
      <c r="N25" s="89"/>
      <c r="O25" s="89"/>
      <c r="P25" s="89"/>
      <c r="Q25" s="89">
        <f>P25*16</f>
        <v>0</v>
      </c>
      <c r="R25" s="89"/>
      <c r="S25" s="89">
        <f>R25*16</f>
        <v>0</v>
      </c>
      <c r="T25" s="100">
        <v>2</v>
      </c>
      <c r="U25" s="102">
        <f>SUM(I25,K25,M25,O25,Q25,S25)</f>
        <v>32</v>
      </c>
    </row>
    <row r="26" spans="2:21" ht="17.25" customHeight="1">
      <c r="B26" s="632"/>
      <c r="C26" s="634"/>
      <c r="D26" s="88" t="s">
        <v>801</v>
      </c>
      <c r="E26" s="267" t="s">
        <v>800</v>
      </c>
      <c r="F26" s="110">
        <v>60</v>
      </c>
      <c r="G26" s="110">
        <v>3</v>
      </c>
      <c r="H26" s="252"/>
      <c r="I26" s="252"/>
      <c r="J26" s="252"/>
      <c r="K26" s="252"/>
      <c r="L26" s="91">
        <v>2</v>
      </c>
      <c r="M26" s="91">
        <v>32</v>
      </c>
      <c r="N26" s="91"/>
      <c r="O26" s="91"/>
      <c r="P26" s="91"/>
      <c r="Q26" s="91"/>
      <c r="R26" s="91"/>
      <c r="S26" s="91"/>
      <c r="T26" s="115">
        <v>2</v>
      </c>
      <c r="U26" s="114">
        <v>32</v>
      </c>
    </row>
    <row r="27" spans="2:21">
      <c r="B27" s="632"/>
      <c r="C27" s="634"/>
      <c r="D27" s="87" t="s">
        <v>799</v>
      </c>
      <c r="E27" s="87" t="s">
        <v>798</v>
      </c>
      <c r="F27" s="251">
        <v>50</v>
      </c>
      <c r="G27" s="251">
        <v>2</v>
      </c>
      <c r="H27" s="106"/>
      <c r="I27" s="106">
        <f>H27*16</f>
        <v>0</v>
      </c>
      <c r="J27" s="106"/>
      <c r="K27" s="106">
        <f>J27*16</f>
        <v>0</v>
      </c>
      <c r="L27" s="90"/>
      <c r="M27" s="90"/>
      <c r="N27" s="90">
        <v>2</v>
      </c>
      <c r="O27" s="90">
        <v>32</v>
      </c>
      <c r="P27" s="90"/>
      <c r="Q27" s="90">
        <f>P27*16</f>
        <v>0</v>
      </c>
      <c r="R27" s="90"/>
      <c r="S27" s="90">
        <f>R27*16</f>
        <v>0</v>
      </c>
      <c r="T27" s="101">
        <v>2</v>
      </c>
      <c r="U27" s="103">
        <f>SUM(I27,K27,M27,O27,Q27,S27)</f>
        <v>32</v>
      </c>
    </row>
    <row r="28" spans="2:21">
      <c r="B28" s="632"/>
      <c r="C28" s="634"/>
      <c r="D28" s="87" t="s">
        <v>797</v>
      </c>
      <c r="E28" s="87" t="s">
        <v>796</v>
      </c>
      <c r="F28" s="251">
        <v>50</v>
      </c>
      <c r="G28" s="251">
        <v>3</v>
      </c>
      <c r="H28" s="106"/>
      <c r="I28" s="106">
        <f>H28*16</f>
        <v>0</v>
      </c>
      <c r="J28" s="106"/>
      <c r="K28" s="106"/>
      <c r="L28" s="90"/>
      <c r="M28" s="91"/>
      <c r="N28" s="91">
        <v>2</v>
      </c>
      <c r="O28" s="91">
        <v>32</v>
      </c>
      <c r="P28" s="91"/>
      <c r="Q28" s="91"/>
      <c r="R28" s="91"/>
      <c r="S28" s="91">
        <f>R28*16</f>
        <v>0</v>
      </c>
      <c r="T28" s="115">
        <v>2</v>
      </c>
      <c r="U28" s="114">
        <f>SUM(I28,K28,M28,O28,Q28,S28)</f>
        <v>32</v>
      </c>
    </row>
    <row r="29" spans="2:21" ht="18" thickBot="1">
      <c r="B29" s="633"/>
      <c r="C29" s="635"/>
      <c r="D29" s="647" t="s">
        <v>16</v>
      </c>
      <c r="E29" s="648"/>
      <c r="F29" s="107"/>
      <c r="G29" s="107"/>
      <c r="H29" s="108">
        <f t="shared" ref="H29:U29" si="5">SUM(H25:H28)</f>
        <v>0</v>
      </c>
      <c r="I29" s="108">
        <f t="shared" si="5"/>
        <v>0</v>
      </c>
      <c r="J29" s="108">
        <f t="shared" si="5"/>
        <v>0</v>
      </c>
      <c r="K29" s="108">
        <f t="shared" si="5"/>
        <v>0</v>
      </c>
      <c r="L29" s="104">
        <f t="shared" si="5"/>
        <v>4</v>
      </c>
      <c r="M29" s="104">
        <f t="shared" si="5"/>
        <v>64</v>
      </c>
      <c r="N29" s="104">
        <f t="shared" si="5"/>
        <v>4</v>
      </c>
      <c r="O29" s="104">
        <f t="shared" si="5"/>
        <v>64</v>
      </c>
      <c r="P29" s="104">
        <f t="shared" si="5"/>
        <v>0</v>
      </c>
      <c r="Q29" s="104">
        <f t="shared" si="5"/>
        <v>0</v>
      </c>
      <c r="R29" s="104">
        <f t="shared" si="5"/>
        <v>0</v>
      </c>
      <c r="S29" s="104">
        <f t="shared" si="5"/>
        <v>0</v>
      </c>
      <c r="T29" s="104">
        <f t="shared" si="5"/>
        <v>8</v>
      </c>
      <c r="U29" s="104">
        <f t="shared" si="5"/>
        <v>128</v>
      </c>
    </row>
    <row r="30" spans="2:21">
      <c r="B30" s="649" t="s">
        <v>833</v>
      </c>
      <c r="C30" s="646">
        <v>22</v>
      </c>
      <c r="D30" s="86" t="s">
        <v>795</v>
      </c>
      <c r="E30" s="86" t="s">
        <v>794</v>
      </c>
      <c r="F30" s="86">
        <v>60</v>
      </c>
      <c r="G30" s="86">
        <v>4</v>
      </c>
      <c r="H30" s="89"/>
      <c r="I30" s="89"/>
      <c r="J30" s="89"/>
      <c r="K30" s="89"/>
      <c r="L30" s="89"/>
      <c r="M30" s="89">
        <f>L30*16</f>
        <v>0</v>
      </c>
      <c r="N30" s="89"/>
      <c r="O30" s="89"/>
      <c r="P30" s="89">
        <v>5</v>
      </c>
      <c r="Q30" s="89">
        <v>80</v>
      </c>
      <c r="R30" s="89"/>
      <c r="S30" s="89"/>
      <c r="T30" s="26">
        <v>5</v>
      </c>
      <c r="U30" s="25">
        <f>I30+K30+M30+O30+Q30+S30</f>
        <v>80</v>
      </c>
    </row>
    <row r="31" spans="2:21">
      <c r="B31" s="650"/>
      <c r="C31" s="634"/>
      <c r="D31" s="87" t="s">
        <v>793</v>
      </c>
      <c r="E31" s="266" t="s">
        <v>792</v>
      </c>
      <c r="F31" s="87">
        <v>60</v>
      </c>
      <c r="G31" s="87">
        <v>4</v>
      </c>
      <c r="H31" s="90"/>
      <c r="I31" s="90"/>
      <c r="J31" s="90"/>
      <c r="K31" s="90"/>
      <c r="L31" s="90"/>
      <c r="M31" s="90"/>
      <c r="N31" s="90"/>
      <c r="O31" s="90"/>
      <c r="P31" s="90">
        <v>5</v>
      </c>
      <c r="Q31" s="90">
        <v>80</v>
      </c>
      <c r="R31" s="90"/>
      <c r="S31" s="90"/>
      <c r="T31" s="24">
        <v>5</v>
      </c>
      <c r="U31" s="23">
        <v>80</v>
      </c>
    </row>
    <row r="32" spans="2:21">
      <c r="B32" s="650"/>
      <c r="C32" s="634"/>
      <c r="D32" s="87" t="s">
        <v>791</v>
      </c>
      <c r="E32" s="87" t="s">
        <v>790</v>
      </c>
      <c r="F32" s="87">
        <v>60</v>
      </c>
      <c r="G32" s="87">
        <v>3</v>
      </c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1">
        <v>6</v>
      </c>
      <c r="S32" s="91">
        <v>96</v>
      </c>
      <c r="T32" s="22">
        <v>6</v>
      </c>
      <c r="U32" s="21">
        <v>96</v>
      </c>
    </row>
    <row r="33" spans="2:21">
      <c r="B33" s="650"/>
      <c r="C33" s="634"/>
      <c r="D33" s="266" t="s">
        <v>789</v>
      </c>
      <c r="E33" s="266" t="s">
        <v>788</v>
      </c>
      <c r="F33" s="87">
        <v>30</v>
      </c>
      <c r="G33" s="87">
        <v>3</v>
      </c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>
        <v>6</v>
      </c>
      <c r="S33" s="90">
        <v>96</v>
      </c>
      <c r="T33" s="24">
        <v>6</v>
      </c>
      <c r="U33" s="23">
        <v>96</v>
      </c>
    </row>
    <row r="34" spans="2:21" ht="18" thickBot="1">
      <c r="B34" s="651"/>
      <c r="C34" s="635"/>
      <c r="D34" s="647" t="s">
        <v>16</v>
      </c>
      <c r="E34" s="648"/>
      <c r="F34" s="274"/>
      <c r="G34" s="274"/>
      <c r="H34" s="104">
        <f t="shared" ref="H34:U34" si="6">SUM(H30:H33)</f>
        <v>0</v>
      </c>
      <c r="I34" s="104">
        <f t="shared" si="6"/>
        <v>0</v>
      </c>
      <c r="J34" s="104">
        <f t="shared" si="6"/>
        <v>0</v>
      </c>
      <c r="K34" s="104">
        <f t="shared" si="6"/>
        <v>0</v>
      </c>
      <c r="L34" s="104">
        <f t="shared" si="6"/>
        <v>0</v>
      </c>
      <c r="M34" s="104">
        <f t="shared" si="6"/>
        <v>0</v>
      </c>
      <c r="N34" s="104">
        <f t="shared" si="6"/>
        <v>0</v>
      </c>
      <c r="O34" s="104">
        <f t="shared" si="6"/>
        <v>0</v>
      </c>
      <c r="P34" s="104">
        <f t="shared" si="6"/>
        <v>10</v>
      </c>
      <c r="Q34" s="104">
        <f t="shared" si="6"/>
        <v>160</v>
      </c>
      <c r="R34" s="104">
        <f t="shared" si="6"/>
        <v>12</v>
      </c>
      <c r="S34" s="104">
        <f t="shared" si="6"/>
        <v>192</v>
      </c>
      <c r="T34" s="104">
        <f t="shared" si="6"/>
        <v>22</v>
      </c>
      <c r="U34" s="104">
        <f t="shared" si="6"/>
        <v>352</v>
      </c>
    </row>
    <row r="35" spans="2:21">
      <c r="B35" s="649" t="s">
        <v>787</v>
      </c>
      <c r="C35" s="646">
        <v>10</v>
      </c>
      <c r="D35" s="86" t="s">
        <v>786</v>
      </c>
      <c r="E35" s="86" t="s">
        <v>785</v>
      </c>
      <c r="F35" s="86">
        <v>50</v>
      </c>
      <c r="G35" s="86">
        <v>3</v>
      </c>
      <c r="H35" s="89"/>
      <c r="I35" s="89"/>
      <c r="J35" s="89"/>
      <c r="K35" s="89"/>
      <c r="L35" s="89"/>
      <c r="M35" s="89"/>
      <c r="N35" s="89"/>
      <c r="O35" s="89"/>
      <c r="P35" s="89">
        <v>2</v>
      </c>
      <c r="Q35" s="89">
        <v>32</v>
      </c>
      <c r="R35" s="89"/>
      <c r="S35" s="89"/>
      <c r="T35" s="26">
        <v>2</v>
      </c>
      <c r="U35" s="25">
        <f>I35+K35+M35+O35+Q35+S35</f>
        <v>32</v>
      </c>
    </row>
    <row r="36" spans="2:21">
      <c r="B36" s="650"/>
      <c r="C36" s="634"/>
      <c r="D36" s="88" t="s">
        <v>784</v>
      </c>
      <c r="E36" s="88" t="s">
        <v>783</v>
      </c>
      <c r="F36" s="88">
        <v>50</v>
      </c>
      <c r="G36" s="88">
        <v>3</v>
      </c>
      <c r="H36" s="91"/>
      <c r="I36" s="91"/>
      <c r="J36" s="91"/>
      <c r="K36" s="91"/>
      <c r="L36" s="91"/>
      <c r="M36" s="91"/>
      <c r="N36" s="91"/>
      <c r="O36" s="91"/>
      <c r="P36" s="91">
        <v>3</v>
      </c>
      <c r="Q36" s="91">
        <v>48</v>
      </c>
      <c r="R36" s="91"/>
      <c r="S36" s="91"/>
      <c r="T36" s="22">
        <v>3</v>
      </c>
      <c r="U36" s="21">
        <v>48</v>
      </c>
    </row>
    <row r="37" spans="2:21">
      <c r="B37" s="650"/>
      <c r="C37" s="634"/>
      <c r="D37" s="88" t="s">
        <v>782</v>
      </c>
      <c r="E37" s="88" t="s">
        <v>781</v>
      </c>
      <c r="F37" s="88">
        <v>40</v>
      </c>
      <c r="G37" s="88">
        <v>2</v>
      </c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>
        <v>2</v>
      </c>
      <c r="S37" s="91">
        <v>32</v>
      </c>
      <c r="T37" s="22">
        <v>2</v>
      </c>
      <c r="U37" s="21">
        <v>32</v>
      </c>
    </row>
    <row r="38" spans="2:21">
      <c r="B38" s="650"/>
      <c r="C38" s="634"/>
      <c r="D38" s="88" t="s">
        <v>780</v>
      </c>
      <c r="E38" s="88" t="s">
        <v>779</v>
      </c>
      <c r="F38" s="88">
        <v>40</v>
      </c>
      <c r="G38" s="88">
        <v>3</v>
      </c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>
        <v>3</v>
      </c>
      <c r="S38" s="91">
        <f>R38*16</f>
        <v>48</v>
      </c>
      <c r="T38" s="22">
        <v>3</v>
      </c>
      <c r="U38" s="21">
        <f>I38+K38+M38+O38+Q38+S38</f>
        <v>48</v>
      </c>
    </row>
    <row r="39" spans="2:21" ht="18" thickBot="1">
      <c r="B39" s="651"/>
      <c r="C39" s="635"/>
      <c r="D39" s="647" t="s">
        <v>16</v>
      </c>
      <c r="E39" s="648"/>
      <c r="F39" s="274"/>
      <c r="G39" s="274"/>
      <c r="H39" s="104">
        <f t="shared" ref="H39:U39" si="7">SUM(H35:H38)</f>
        <v>0</v>
      </c>
      <c r="I39" s="104">
        <f t="shared" si="7"/>
        <v>0</v>
      </c>
      <c r="J39" s="104">
        <f t="shared" si="7"/>
        <v>0</v>
      </c>
      <c r="K39" s="104">
        <f t="shared" si="7"/>
        <v>0</v>
      </c>
      <c r="L39" s="104">
        <f t="shared" si="7"/>
        <v>0</v>
      </c>
      <c r="M39" s="104">
        <f t="shared" si="7"/>
        <v>0</v>
      </c>
      <c r="N39" s="104">
        <f t="shared" si="7"/>
        <v>0</v>
      </c>
      <c r="O39" s="104">
        <f t="shared" si="7"/>
        <v>0</v>
      </c>
      <c r="P39" s="104">
        <f t="shared" si="7"/>
        <v>5</v>
      </c>
      <c r="Q39" s="104">
        <f t="shared" si="7"/>
        <v>80</v>
      </c>
      <c r="R39" s="104">
        <f t="shared" si="7"/>
        <v>5</v>
      </c>
      <c r="S39" s="104">
        <f t="shared" si="7"/>
        <v>80</v>
      </c>
      <c r="T39" s="104">
        <f t="shared" si="7"/>
        <v>10</v>
      </c>
      <c r="U39" s="104">
        <f t="shared" si="7"/>
        <v>160</v>
      </c>
    </row>
    <row r="40" spans="2:21" ht="18" thickBot="1">
      <c r="B40" s="645" t="s">
        <v>778</v>
      </c>
      <c r="C40" s="646">
        <v>8</v>
      </c>
      <c r="D40" s="86" t="s">
        <v>777</v>
      </c>
      <c r="E40" s="86" t="s">
        <v>776</v>
      </c>
      <c r="F40" s="250">
        <v>50</v>
      </c>
      <c r="G40" s="250">
        <v>3</v>
      </c>
      <c r="H40" s="105"/>
      <c r="I40" s="105">
        <f>H40*16</f>
        <v>0</v>
      </c>
      <c r="K40" s="105">
        <f>J41*16</f>
        <v>0</v>
      </c>
      <c r="L40" s="105"/>
      <c r="M40" s="105"/>
      <c r="N40" s="105"/>
      <c r="O40" s="105"/>
      <c r="P40" s="89">
        <v>4</v>
      </c>
      <c r="Q40" s="89">
        <v>64</v>
      </c>
      <c r="R40" s="89"/>
      <c r="S40" s="89">
        <f>R40*16</f>
        <v>0</v>
      </c>
      <c r="T40" s="123">
        <f>SUM(H40,J41,L40,N40,P40,R40)</f>
        <v>4</v>
      </c>
      <c r="U40" s="124">
        <f>SUM(I40,K40,M40,O40,Q40,S40)</f>
        <v>64</v>
      </c>
    </row>
    <row r="41" spans="2:21">
      <c r="B41" s="632"/>
      <c r="C41" s="634"/>
      <c r="D41" s="87" t="s">
        <v>775</v>
      </c>
      <c r="E41" s="86" t="s">
        <v>774</v>
      </c>
      <c r="F41" s="251">
        <v>50</v>
      </c>
      <c r="G41" s="251">
        <v>3</v>
      </c>
      <c r="H41" s="106"/>
      <c r="I41" s="106">
        <f>H41*16</f>
        <v>0</v>
      </c>
      <c r="J41" s="105"/>
      <c r="K41" s="106"/>
      <c r="L41" s="106"/>
      <c r="M41" s="106"/>
      <c r="N41" s="106"/>
      <c r="O41" s="106"/>
      <c r="P41" s="90"/>
      <c r="Q41" s="90">
        <f>P41*16</f>
        <v>0</v>
      </c>
      <c r="R41" s="90">
        <v>4</v>
      </c>
      <c r="S41" s="90">
        <f>R41*16</f>
        <v>64</v>
      </c>
      <c r="T41" s="126">
        <v>4</v>
      </c>
      <c r="U41" s="127">
        <v>64</v>
      </c>
    </row>
    <row r="42" spans="2:21" ht="18" thickBot="1">
      <c r="B42" s="633"/>
      <c r="C42" s="635"/>
      <c r="D42" s="647" t="s">
        <v>16</v>
      </c>
      <c r="E42" s="648"/>
      <c r="F42" s="107"/>
      <c r="G42" s="107"/>
      <c r="H42" s="108">
        <f>SUM(H40:H41)</f>
        <v>0</v>
      </c>
      <c r="I42" s="108">
        <f>SUM(I40:I41)</f>
        <v>0</v>
      </c>
      <c r="J42" s="108">
        <f>SUM(J41:J41)</f>
        <v>0</v>
      </c>
      <c r="K42" s="108">
        <f t="shared" ref="K42:U42" si="8">SUM(K40:K41)</f>
        <v>0</v>
      </c>
      <c r="L42" s="108">
        <f t="shared" si="8"/>
        <v>0</v>
      </c>
      <c r="M42" s="108">
        <f t="shared" si="8"/>
        <v>0</v>
      </c>
      <c r="N42" s="108">
        <f t="shared" si="8"/>
        <v>0</v>
      </c>
      <c r="O42" s="108">
        <f t="shared" si="8"/>
        <v>0</v>
      </c>
      <c r="P42" s="104">
        <f t="shared" si="8"/>
        <v>4</v>
      </c>
      <c r="Q42" s="104">
        <f t="shared" si="8"/>
        <v>64</v>
      </c>
      <c r="R42" s="104">
        <f t="shared" si="8"/>
        <v>4</v>
      </c>
      <c r="S42" s="104">
        <f t="shared" si="8"/>
        <v>64</v>
      </c>
      <c r="T42" s="104">
        <f t="shared" si="8"/>
        <v>8</v>
      </c>
      <c r="U42" s="104">
        <f t="shared" si="8"/>
        <v>128</v>
      </c>
    </row>
    <row r="43" spans="2:21">
      <c r="B43" s="645" t="s">
        <v>727</v>
      </c>
      <c r="C43" s="646">
        <v>4</v>
      </c>
      <c r="D43" s="87" t="s">
        <v>700</v>
      </c>
      <c r="E43" s="86" t="s">
        <v>701</v>
      </c>
      <c r="F43" s="250">
        <v>16</v>
      </c>
      <c r="G43" s="250">
        <v>3</v>
      </c>
      <c r="H43" s="105"/>
      <c r="I43" s="105">
        <f>H43*16</f>
        <v>0</v>
      </c>
      <c r="J43" s="105"/>
      <c r="K43" s="105">
        <f>J43*16</f>
        <v>0</v>
      </c>
      <c r="L43" s="105"/>
      <c r="M43" s="105"/>
      <c r="N43" s="105"/>
      <c r="O43" s="105"/>
      <c r="P43" s="89">
        <v>2</v>
      </c>
      <c r="Q43" s="89">
        <v>32</v>
      </c>
      <c r="R43" s="89"/>
      <c r="S43" s="89">
        <f>R43*16</f>
        <v>0</v>
      </c>
      <c r="T43" s="123">
        <f>SUM(H43,J43,L43,N43,P43,R43)</f>
        <v>2</v>
      </c>
      <c r="U43" s="124">
        <f>SUM(I43,K43,M43,O43,Q43,S43)</f>
        <v>32</v>
      </c>
    </row>
    <row r="44" spans="2:21">
      <c r="B44" s="632"/>
      <c r="C44" s="634"/>
      <c r="D44" s="87" t="s">
        <v>702</v>
      </c>
      <c r="E44" s="87" t="s">
        <v>703</v>
      </c>
      <c r="F44" s="251">
        <v>16</v>
      </c>
      <c r="G44" s="251">
        <v>4</v>
      </c>
      <c r="H44" s="106"/>
      <c r="I44" s="106">
        <f>H44*16</f>
        <v>0</v>
      </c>
      <c r="J44" s="106"/>
      <c r="K44" s="106"/>
      <c r="L44" s="106"/>
      <c r="M44" s="106"/>
      <c r="N44" s="106"/>
      <c r="O44" s="106"/>
      <c r="P44" s="90"/>
      <c r="Q44" s="90">
        <f>P44*16</f>
        <v>0</v>
      </c>
      <c r="R44" s="90">
        <v>2</v>
      </c>
      <c r="S44" s="90">
        <v>32</v>
      </c>
      <c r="T44" s="126">
        <v>2</v>
      </c>
      <c r="U44" s="127">
        <v>32</v>
      </c>
    </row>
    <row r="45" spans="2:21" ht="18" thickBot="1">
      <c r="B45" s="633"/>
      <c r="C45" s="635"/>
      <c r="D45" s="647" t="s">
        <v>16</v>
      </c>
      <c r="E45" s="648"/>
      <c r="F45" s="107"/>
      <c r="G45" s="107"/>
      <c r="H45" s="108">
        <f t="shared" ref="H45:U45" si="9">SUM(H43:H44)</f>
        <v>0</v>
      </c>
      <c r="I45" s="108">
        <f t="shared" si="9"/>
        <v>0</v>
      </c>
      <c r="J45" s="108">
        <f t="shared" si="9"/>
        <v>0</v>
      </c>
      <c r="K45" s="108">
        <f t="shared" si="9"/>
        <v>0</v>
      </c>
      <c r="L45" s="108">
        <f t="shared" si="9"/>
        <v>0</v>
      </c>
      <c r="M45" s="108">
        <f t="shared" si="9"/>
        <v>0</v>
      </c>
      <c r="N45" s="108">
        <f t="shared" si="9"/>
        <v>0</v>
      </c>
      <c r="O45" s="108">
        <f t="shared" si="9"/>
        <v>0</v>
      </c>
      <c r="P45" s="104">
        <f t="shared" si="9"/>
        <v>2</v>
      </c>
      <c r="Q45" s="104">
        <f t="shared" si="9"/>
        <v>32</v>
      </c>
      <c r="R45" s="104">
        <f t="shared" si="9"/>
        <v>2</v>
      </c>
      <c r="S45" s="104">
        <f t="shared" si="9"/>
        <v>32</v>
      </c>
      <c r="T45" s="104">
        <f t="shared" si="9"/>
        <v>4</v>
      </c>
      <c r="U45" s="104">
        <f t="shared" si="9"/>
        <v>64</v>
      </c>
    </row>
    <row r="46" spans="2:21">
      <c r="B46" s="645" t="s">
        <v>365</v>
      </c>
      <c r="C46" s="652">
        <v>8</v>
      </c>
      <c r="D46" s="86" t="s">
        <v>378</v>
      </c>
      <c r="E46" s="86" t="s">
        <v>381</v>
      </c>
      <c r="F46" s="86">
        <v>45</v>
      </c>
      <c r="G46" s="86">
        <v>2</v>
      </c>
      <c r="H46" s="89"/>
      <c r="I46" s="89"/>
      <c r="J46" s="89"/>
      <c r="K46" s="89"/>
      <c r="L46" s="89">
        <v>2</v>
      </c>
      <c r="M46" s="89">
        <v>32</v>
      </c>
      <c r="N46" s="89"/>
      <c r="O46" s="89"/>
      <c r="P46" s="89"/>
      <c r="Q46" s="89"/>
      <c r="R46" s="89"/>
      <c r="S46" s="89"/>
      <c r="T46" s="26">
        <f>L46+N46</f>
        <v>2</v>
      </c>
      <c r="U46" s="25">
        <v>32</v>
      </c>
    </row>
    <row r="47" spans="2:21">
      <c r="B47" s="632"/>
      <c r="C47" s="653"/>
      <c r="D47" s="87" t="s">
        <v>520</v>
      </c>
      <c r="E47" s="87" t="s">
        <v>521</v>
      </c>
      <c r="F47" s="87">
        <v>45</v>
      </c>
      <c r="G47" s="87">
        <v>5</v>
      </c>
      <c r="H47" s="90"/>
      <c r="I47" s="90"/>
      <c r="J47" s="90"/>
      <c r="K47" s="90"/>
      <c r="L47" s="90">
        <v>2</v>
      </c>
      <c r="M47" s="90">
        <v>32</v>
      </c>
      <c r="N47" s="90"/>
      <c r="O47" s="90"/>
      <c r="P47" s="90"/>
      <c r="Q47" s="90"/>
      <c r="R47" s="90"/>
      <c r="S47" s="91"/>
      <c r="T47" s="24">
        <v>2</v>
      </c>
      <c r="U47" s="23">
        <v>32</v>
      </c>
    </row>
    <row r="48" spans="2:21">
      <c r="B48" s="632"/>
      <c r="C48" s="653"/>
      <c r="D48" s="87" t="s">
        <v>379</v>
      </c>
      <c r="E48" s="87" t="s">
        <v>382</v>
      </c>
      <c r="F48" s="87">
        <v>100</v>
      </c>
      <c r="G48" s="87">
        <v>3</v>
      </c>
      <c r="H48" s="90"/>
      <c r="I48" s="90"/>
      <c r="J48" s="90"/>
      <c r="K48" s="90"/>
      <c r="L48" s="90"/>
      <c r="M48" s="90"/>
      <c r="N48" s="90">
        <v>2</v>
      </c>
      <c r="O48" s="90">
        <v>32</v>
      </c>
      <c r="P48" s="90"/>
      <c r="Q48" s="90"/>
      <c r="R48" s="90"/>
      <c r="S48" s="91"/>
      <c r="T48" s="24">
        <v>2</v>
      </c>
      <c r="U48" s="23">
        <v>32</v>
      </c>
    </row>
    <row r="49" spans="2:21">
      <c r="B49" s="632"/>
      <c r="C49" s="653"/>
      <c r="D49" s="88" t="s">
        <v>380</v>
      </c>
      <c r="E49" s="88" t="s">
        <v>383</v>
      </c>
      <c r="F49" s="88">
        <v>100</v>
      </c>
      <c r="G49" s="88">
        <v>4</v>
      </c>
      <c r="H49" s="91"/>
      <c r="I49" s="91"/>
      <c r="J49" s="91"/>
      <c r="K49" s="91"/>
      <c r="L49" s="91"/>
      <c r="M49" s="91"/>
      <c r="N49" s="91">
        <v>2</v>
      </c>
      <c r="O49" s="91">
        <v>32</v>
      </c>
      <c r="P49" s="91"/>
      <c r="Q49" s="91"/>
      <c r="R49" s="91"/>
      <c r="S49" s="91"/>
      <c r="T49" s="22">
        <v>2</v>
      </c>
      <c r="U49" s="21">
        <v>32</v>
      </c>
    </row>
    <row r="50" spans="2:21" ht="18" thickBot="1">
      <c r="B50" s="633"/>
      <c r="C50" s="654"/>
      <c r="D50" s="647" t="s">
        <v>16</v>
      </c>
      <c r="E50" s="648"/>
      <c r="F50" s="274"/>
      <c r="G50" s="274"/>
      <c r="H50" s="104">
        <f t="shared" ref="H50:U50" si="10">SUM(H46:H49)</f>
        <v>0</v>
      </c>
      <c r="I50" s="104">
        <f t="shared" si="10"/>
        <v>0</v>
      </c>
      <c r="J50" s="104">
        <f t="shared" si="10"/>
        <v>0</v>
      </c>
      <c r="K50" s="104">
        <f t="shared" si="10"/>
        <v>0</v>
      </c>
      <c r="L50" s="104">
        <f t="shared" si="10"/>
        <v>4</v>
      </c>
      <c r="M50" s="104">
        <f t="shared" si="10"/>
        <v>64</v>
      </c>
      <c r="N50" s="104">
        <f t="shared" si="10"/>
        <v>4</v>
      </c>
      <c r="O50" s="104">
        <f t="shared" si="10"/>
        <v>64</v>
      </c>
      <c r="P50" s="104">
        <f t="shared" si="10"/>
        <v>0</v>
      </c>
      <c r="Q50" s="104">
        <f t="shared" si="10"/>
        <v>0</v>
      </c>
      <c r="R50" s="104">
        <f t="shared" si="10"/>
        <v>0</v>
      </c>
      <c r="S50" s="104">
        <f t="shared" si="10"/>
        <v>0</v>
      </c>
      <c r="T50" s="104">
        <f t="shared" si="10"/>
        <v>8</v>
      </c>
      <c r="U50" s="104">
        <f t="shared" si="10"/>
        <v>128</v>
      </c>
    </row>
    <row r="51" spans="2:21">
      <c r="B51" s="645" t="s">
        <v>376</v>
      </c>
      <c r="C51" s="652">
        <v>8</v>
      </c>
      <c r="D51" s="86" t="s">
        <v>840</v>
      </c>
      <c r="E51" s="86" t="s">
        <v>386</v>
      </c>
      <c r="F51" s="86">
        <v>30</v>
      </c>
      <c r="G51" s="86">
        <v>3</v>
      </c>
      <c r="H51" s="89"/>
      <c r="I51" s="89"/>
      <c r="J51" s="89"/>
      <c r="K51" s="89"/>
      <c r="L51" s="89"/>
      <c r="M51" s="89"/>
      <c r="N51" s="89">
        <v>2</v>
      </c>
      <c r="O51" s="89">
        <v>32</v>
      </c>
      <c r="P51" s="89"/>
      <c r="Q51" s="89"/>
      <c r="R51" s="89"/>
      <c r="S51" s="89"/>
      <c r="T51" s="232">
        <v>2</v>
      </c>
      <c r="U51" s="233">
        <v>32</v>
      </c>
    </row>
    <row r="52" spans="2:21">
      <c r="B52" s="632"/>
      <c r="C52" s="653"/>
      <c r="D52" s="87" t="s">
        <v>385</v>
      </c>
      <c r="E52" s="87" t="s">
        <v>387</v>
      </c>
      <c r="F52" s="87">
        <v>60</v>
      </c>
      <c r="G52" s="87">
        <v>2</v>
      </c>
      <c r="H52" s="90"/>
      <c r="I52" s="90"/>
      <c r="J52" s="90"/>
      <c r="K52" s="90"/>
      <c r="L52" s="90"/>
      <c r="M52" s="90"/>
      <c r="N52" s="90">
        <v>2</v>
      </c>
      <c r="O52" s="90">
        <v>32</v>
      </c>
      <c r="P52" s="90"/>
      <c r="Q52" s="90"/>
      <c r="R52" s="90"/>
      <c r="S52" s="91"/>
      <c r="T52" s="234">
        <v>2</v>
      </c>
      <c r="U52" s="235">
        <v>32</v>
      </c>
    </row>
    <row r="53" spans="2:21" ht="18" thickBot="1">
      <c r="B53" s="633"/>
      <c r="C53" s="654"/>
      <c r="D53" s="647" t="s">
        <v>16</v>
      </c>
      <c r="E53" s="648"/>
      <c r="F53" s="274"/>
      <c r="G53" s="274"/>
      <c r="H53" s="104">
        <f t="shared" ref="H53:U53" si="11">SUM(H51:H52)</f>
        <v>0</v>
      </c>
      <c r="I53" s="104">
        <f t="shared" si="11"/>
        <v>0</v>
      </c>
      <c r="J53" s="104">
        <f t="shared" si="11"/>
        <v>0</v>
      </c>
      <c r="K53" s="104">
        <f t="shared" si="11"/>
        <v>0</v>
      </c>
      <c r="L53" s="104">
        <f t="shared" si="11"/>
        <v>0</v>
      </c>
      <c r="M53" s="104">
        <f t="shared" si="11"/>
        <v>0</v>
      </c>
      <c r="N53" s="104">
        <f t="shared" si="11"/>
        <v>4</v>
      </c>
      <c r="O53" s="104">
        <f t="shared" si="11"/>
        <v>64</v>
      </c>
      <c r="P53" s="104">
        <f t="shared" si="11"/>
        <v>0</v>
      </c>
      <c r="Q53" s="104">
        <f t="shared" si="11"/>
        <v>0</v>
      </c>
      <c r="R53" s="104">
        <f t="shared" si="11"/>
        <v>0</v>
      </c>
      <c r="S53" s="104">
        <f t="shared" si="11"/>
        <v>0</v>
      </c>
      <c r="T53" s="104">
        <f t="shared" si="11"/>
        <v>4</v>
      </c>
      <c r="U53" s="104">
        <f t="shared" si="11"/>
        <v>64</v>
      </c>
    </row>
    <row r="54" spans="2:21">
      <c r="B54" s="632" t="s">
        <v>368</v>
      </c>
      <c r="C54" s="653">
        <v>8</v>
      </c>
      <c r="D54" s="87" t="s">
        <v>757</v>
      </c>
      <c r="E54" s="87" t="s">
        <v>758</v>
      </c>
      <c r="F54" s="87">
        <v>24</v>
      </c>
      <c r="G54" s="87">
        <v>2</v>
      </c>
      <c r="H54" s="125"/>
      <c r="I54" s="125"/>
      <c r="J54" s="125"/>
      <c r="K54" s="125"/>
      <c r="L54" s="90">
        <v>4</v>
      </c>
      <c r="M54" s="90">
        <v>64</v>
      </c>
      <c r="N54" s="90"/>
      <c r="O54" s="90"/>
      <c r="P54" s="90"/>
      <c r="Q54" s="90"/>
      <c r="R54" s="90"/>
      <c r="S54" s="90"/>
      <c r="T54" s="126">
        <v>4</v>
      </c>
      <c r="U54" s="127">
        <v>64</v>
      </c>
    </row>
    <row r="55" spans="2:21">
      <c r="B55" s="632"/>
      <c r="C55" s="653"/>
      <c r="D55" s="87" t="s">
        <v>517</v>
      </c>
      <c r="E55" s="87" t="s">
        <v>404</v>
      </c>
      <c r="F55" s="87">
        <v>40</v>
      </c>
      <c r="G55" s="87">
        <v>2</v>
      </c>
      <c r="H55" s="125"/>
      <c r="I55" s="125"/>
      <c r="J55" s="125"/>
      <c r="K55" s="125"/>
      <c r="L55" s="90"/>
      <c r="M55" s="90"/>
      <c r="N55" s="90">
        <v>2</v>
      </c>
      <c r="O55" s="90">
        <v>32</v>
      </c>
      <c r="P55" s="90"/>
      <c r="Q55" s="90"/>
      <c r="R55" s="90"/>
      <c r="S55" s="90"/>
      <c r="T55" s="126">
        <v>2</v>
      </c>
      <c r="U55" s="127">
        <v>32</v>
      </c>
    </row>
    <row r="56" spans="2:21">
      <c r="B56" s="632"/>
      <c r="C56" s="653"/>
      <c r="D56" s="87" t="s">
        <v>388</v>
      </c>
      <c r="E56" s="87" t="s">
        <v>759</v>
      </c>
      <c r="F56" s="87">
        <v>40</v>
      </c>
      <c r="G56" s="87">
        <v>3</v>
      </c>
      <c r="H56" s="125"/>
      <c r="I56" s="125"/>
      <c r="J56" s="125"/>
      <c r="K56" s="125"/>
      <c r="L56" s="90"/>
      <c r="M56" s="90"/>
      <c r="N56" s="90">
        <v>2</v>
      </c>
      <c r="O56" s="90">
        <v>32</v>
      </c>
      <c r="P56" s="90"/>
      <c r="Q56" s="90"/>
      <c r="R56" s="90"/>
      <c r="S56" s="90"/>
      <c r="T56" s="126">
        <v>2</v>
      </c>
      <c r="U56" s="127">
        <v>32</v>
      </c>
    </row>
    <row r="57" spans="2:21" ht="18" thickBot="1">
      <c r="B57" s="633"/>
      <c r="C57" s="654"/>
      <c r="D57" s="647" t="s">
        <v>16</v>
      </c>
      <c r="E57" s="648"/>
      <c r="F57" s="130"/>
      <c r="G57" s="130"/>
      <c r="H57" s="131">
        <f t="shared" ref="H57:U57" si="12">SUM(H54:H56)</f>
        <v>0</v>
      </c>
      <c r="I57" s="131">
        <f t="shared" si="12"/>
        <v>0</v>
      </c>
      <c r="J57" s="131">
        <f t="shared" si="12"/>
        <v>0</v>
      </c>
      <c r="K57" s="131">
        <f t="shared" si="12"/>
        <v>0</v>
      </c>
      <c r="L57" s="104">
        <f t="shared" si="12"/>
        <v>4</v>
      </c>
      <c r="M57" s="104">
        <f t="shared" si="12"/>
        <v>64</v>
      </c>
      <c r="N57" s="104">
        <f t="shared" si="12"/>
        <v>4</v>
      </c>
      <c r="O57" s="104">
        <f t="shared" si="12"/>
        <v>64</v>
      </c>
      <c r="P57" s="104">
        <f t="shared" si="12"/>
        <v>0</v>
      </c>
      <c r="Q57" s="104">
        <f t="shared" si="12"/>
        <v>0</v>
      </c>
      <c r="R57" s="104">
        <f t="shared" si="12"/>
        <v>0</v>
      </c>
      <c r="S57" s="104">
        <f t="shared" si="12"/>
        <v>0</v>
      </c>
      <c r="T57" s="104">
        <f t="shared" si="12"/>
        <v>8</v>
      </c>
      <c r="U57" s="104">
        <f t="shared" si="12"/>
        <v>128</v>
      </c>
    </row>
    <row r="58" spans="2:21">
      <c r="B58" s="645" t="s">
        <v>377</v>
      </c>
      <c r="C58" s="652">
        <v>8</v>
      </c>
      <c r="D58" s="86" t="s">
        <v>389</v>
      </c>
      <c r="E58" s="86" t="s">
        <v>392</v>
      </c>
      <c r="F58" s="86">
        <v>20</v>
      </c>
      <c r="G58" s="86">
        <v>3</v>
      </c>
      <c r="H58" s="89"/>
      <c r="I58" s="89"/>
      <c r="J58" s="89"/>
      <c r="K58" s="89"/>
      <c r="L58" s="89">
        <v>2</v>
      </c>
      <c r="M58" s="89">
        <v>32</v>
      </c>
      <c r="N58" s="89"/>
      <c r="O58" s="89"/>
      <c r="P58" s="89"/>
      <c r="Q58" s="89"/>
      <c r="R58" s="89"/>
      <c r="S58" s="89"/>
      <c r="T58" s="26">
        <v>2</v>
      </c>
      <c r="U58" s="26">
        <v>32</v>
      </c>
    </row>
    <row r="59" spans="2:21">
      <c r="B59" s="632"/>
      <c r="C59" s="653"/>
      <c r="D59" s="87" t="s">
        <v>390</v>
      </c>
      <c r="E59" s="87" t="s">
        <v>393</v>
      </c>
      <c r="F59" s="87">
        <v>20</v>
      </c>
      <c r="G59" s="87">
        <v>2</v>
      </c>
      <c r="H59" s="90"/>
      <c r="I59" s="90"/>
      <c r="J59" s="90"/>
      <c r="K59" s="90"/>
      <c r="L59" s="90">
        <v>2</v>
      </c>
      <c r="M59" s="90">
        <v>32</v>
      </c>
      <c r="N59" s="90"/>
      <c r="O59" s="90"/>
      <c r="P59" s="90"/>
      <c r="Q59" s="90"/>
      <c r="R59" s="90"/>
      <c r="S59" s="91"/>
      <c r="T59" s="24">
        <v>2</v>
      </c>
      <c r="U59" s="24">
        <v>32</v>
      </c>
    </row>
    <row r="60" spans="2:21">
      <c r="B60" s="632"/>
      <c r="C60" s="653"/>
      <c r="D60" s="87" t="s">
        <v>391</v>
      </c>
      <c r="E60" s="87" t="s">
        <v>394</v>
      </c>
      <c r="F60" s="87">
        <v>80</v>
      </c>
      <c r="G60" s="87">
        <v>3</v>
      </c>
      <c r="H60" s="90"/>
      <c r="I60" s="90"/>
      <c r="J60" s="90"/>
      <c r="K60" s="90"/>
      <c r="L60" s="90"/>
      <c r="M60" s="90"/>
      <c r="N60" s="90">
        <v>4</v>
      </c>
      <c r="O60" s="90">
        <f>N60*16</f>
        <v>64</v>
      </c>
      <c r="P60" s="90"/>
      <c r="Q60" s="90"/>
      <c r="R60" s="90"/>
      <c r="S60" s="91"/>
      <c r="T60" s="24">
        <v>4</v>
      </c>
      <c r="U60" s="24">
        <v>64</v>
      </c>
    </row>
    <row r="61" spans="2:21" ht="18" thickBot="1">
      <c r="B61" s="633"/>
      <c r="C61" s="654"/>
      <c r="D61" s="647" t="s">
        <v>16</v>
      </c>
      <c r="E61" s="648"/>
      <c r="F61" s="274"/>
      <c r="G61" s="274"/>
      <c r="H61" s="104">
        <f t="shared" ref="H61:U61" si="13">SUM(H58:H60)</f>
        <v>0</v>
      </c>
      <c r="I61" s="104">
        <f t="shared" si="13"/>
        <v>0</v>
      </c>
      <c r="J61" s="104">
        <f t="shared" si="13"/>
        <v>0</v>
      </c>
      <c r="K61" s="104">
        <f t="shared" si="13"/>
        <v>0</v>
      </c>
      <c r="L61" s="104">
        <f t="shared" si="13"/>
        <v>4</v>
      </c>
      <c r="M61" s="104">
        <f t="shared" si="13"/>
        <v>64</v>
      </c>
      <c r="N61" s="104">
        <f t="shared" si="13"/>
        <v>4</v>
      </c>
      <c r="O61" s="104">
        <f t="shared" si="13"/>
        <v>64</v>
      </c>
      <c r="P61" s="104">
        <f t="shared" si="13"/>
        <v>0</v>
      </c>
      <c r="Q61" s="104">
        <f t="shared" si="13"/>
        <v>0</v>
      </c>
      <c r="R61" s="104">
        <f t="shared" si="13"/>
        <v>0</v>
      </c>
      <c r="S61" s="104">
        <f t="shared" si="13"/>
        <v>0</v>
      </c>
      <c r="T61" s="104">
        <f t="shared" si="13"/>
        <v>8</v>
      </c>
      <c r="U61" s="104">
        <f t="shared" si="13"/>
        <v>128</v>
      </c>
    </row>
    <row r="62" spans="2:21">
      <c r="B62" s="645" t="s">
        <v>395</v>
      </c>
      <c r="C62" s="652">
        <v>8</v>
      </c>
      <c r="D62" s="134" t="s">
        <v>396</v>
      </c>
      <c r="E62" s="134" t="s">
        <v>403</v>
      </c>
      <c r="F62" s="109">
        <v>20</v>
      </c>
      <c r="G62" s="109">
        <v>2</v>
      </c>
      <c r="H62" s="133"/>
      <c r="I62" s="133"/>
      <c r="J62" s="133"/>
      <c r="K62" s="133"/>
      <c r="L62" s="133">
        <v>2</v>
      </c>
      <c r="M62" s="133">
        <v>32</v>
      </c>
      <c r="N62" s="133"/>
      <c r="O62" s="133"/>
      <c r="P62" s="133"/>
      <c r="Q62" s="133"/>
      <c r="R62" s="133"/>
      <c r="S62" s="133"/>
      <c r="T62" s="138">
        <v>2</v>
      </c>
      <c r="U62" s="259">
        <v>32</v>
      </c>
    </row>
    <row r="63" spans="2:21">
      <c r="B63" s="632"/>
      <c r="C63" s="653"/>
      <c r="D63" s="88" t="s">
        <v>397</v>
      </c>
      <c r="E63" s="88" t="s">
        <v>402</v>
      </c>
      <c r="F63" s="110">
        <v>20</v>
      </c>
      <c r="G63" s="110">
        <v>2</v>
      </c>
      <c r="H63" s="132"/>
      <c r="I63" s="132"/>
      <c r="J63" s="132"/>
      <c r="K63" s="132"/>
      <c r="L63" s="132">
        <v>2</v>
      </c>
      <c r="M63" s="132">
        <v>32</v>
      </c>
      <c r="N63" s="132"/>
      <c r="O63" s="132"/>
      <c r="P63" s="132"/>
      <c r="Q63" s="132"/>
      <c r="R63" s="132"/>
      <c r="S63" s="132"/>
      <c r="T63" s="139">
        <v>2</v>
      </c>
      <c r="U63" s="260">
        <v>32</v>
      </c>
    </row>
    <row r="64" spans="2:21">
      <c r="B64" s="632"/>
      <c r="C64" s="653"/>
      <c r="D64" s="88" t="s">
        <v>398</v>
      </c>
      <c r="E64" s="88" t="s">
        <v>401</v>
      </c>
      <c r="F64" s="110">
        <v>20</v>
      </c>
      <c r="G64" s="110">
        <v>2</v>
      </c>
      <c r="H64" s="132"/>
      <c r="I64" s="132"/>
      <c r="J64" s="132"/>
      <c r="K64" s="132"/>
      <c r="L64" s="132"/>
      <c r="M64" s="132"/>
      <c r="N64" s="132">
        <v>1</v>
      </c>
      <c r="O64" s="132">
        <v>16</v>
      </c>
      <c r="P64" s="132"/>
      <c r="Q64" s="132"/>
      <c r="R64" s="132"/>
      <c r="S64" s="132"/>
      <c r="T64" s="139">
        <v>1</v>
      </c>
      <c r="U64" s="260">
        <v>16</v>
      </c>
    </row>
    <row r="65" spans="2:21">
      <c r="B65" s="632"/>
      <c r="C65" s="653"/>
      <c r="D65" s="88" t="s">
        <v>399</v>
      </c>
      <c r="E65" s="88" t="s">
        <v>400</v>
      </c>
      <c r="F65" s="110">
        <v>50</v>
      </c>
      <c r="G65" s="110">
        <v>2</v>
      </c>
      <c r="H65" s="132"/>
      <c r="I65" s="132"/>
      <c r="J65" s="132"/>
      <c r="K65" s="132"/>
      <c r="L65" s="132"/>
      <c r="M65" s="132"/>
      <c r="N65" s="132">
        <v>3</v>
      </c>
      <c r="O65" s="132">
        <v>48</v>
      </c>
      <c r="P65" s="132"/>
      <c r="Q65" s="132"/>
      <c r="R65" s="132"/>
      <c r="S65" s="132"/>
      <c r="T65" s="139">
        <v>3</v>
      </c>
      <c r="U65" s="260">
        <v>48</v>
      </c>
    </row>
    <row r="66" spans="2:21" ht="18" thickBot="1">
      <c r="B66" s="633"/>
      <c r="C66" s="654"/>
      <c r="D66" s="647" t="s">
        <v>16</v>
      </c>
      <c r="E66" s="648"/>
      <c r="F66" s="136"/>
      <c r="G66" s="107"/>
      <c r="H66" s="108">
        <f t="shared" ref="H66:U66" si="14">SUM(H62:H65)</f>
        <v>0</v>
      </c>
      <c r="I66" s="108">
        <f t="shared" si="14"/>
        <v>0</v>
      </c>
      <c r="J66" s="108">
        <f t="shared" si="14"/>
        <v>0</v>
      </c>
      <c r="K66" s="108">
        <f t="shared" si="14"/>
        <v>0</v>
      </c>
      <c r="L66" s="140">
        <f t="shared" si="14"/>
        <v>4</v>
      </c>
      <c r="M66" s="140">
        <f t="shared" si="14"/>
        <v>64</v>
      </c>
      <c r="N66" s="140">
        <f t="shared" si="14"/>
        <v>4</v>
      </c>
      <c r="O66" s="140">
        <f t="shared" si="14"/>
        <v>64</v>
      </c>
      <c r="P66" s="104">
        <f t="shared" si="14"/>
        <v>0</v>
      </c>
      <c r="Q66" s="104">
        <f t="shared" si="14"/>
        <v>0</v>
      </c>
      <c r="R66" s="104">
        <f t="shared" si="14"/>
        <v>0</v>
      </c>
      <c r="S66" s="104">
        <f t="shared" si="14"/>
        <v>0</v>
      </c>
      <c r="T66" s="104">
        <f t="shared" si="14"/>
        <v>8</v>
      </c>
      <c r="U66" s="135">
        <f t="shared" si="14"/>
        <v>128</v>
      </c>
    </row>
  </sheetData>
  <mergeCells count="66">
    <mergeCell ref="B62:B66"/>
    <mergeCell ref="C62:C66"/>
    <mergeCell ref="D66:E66"/>
    <mergeCell ref="B54:B57"/>
    <mergeCell ref="C54:C57"/>
    <mergeCell ref="D57:E57"/>
    <mergeCell ref="B58:B61"/>
    <mergeCell ref="C58:C61"/>
    <mergeCell ref="D61:E61"/>
    <mergeCell ref="B46:B50"/>
    <mergeCell ref="C46:C50"/>
    <mergeCell ref="D50:E50"/>
    <mergeCell ref="B51:B53"/>
    <mergeCell ref="C51:C53"/>
    <mergeCell ref="D53:E53"/>
    <mergeCell ref="B40:B42"/>
    <mergeCell ref="C40:C42"/>
    <mergeCell ref="D42:E42"/>
    <mergeCell ref="B43:B45"/>
    <mergeCell ref="C43:C45"/>
    <mergeCell ref="D45:E45"/>
    <mergeCell ref="B30:B34"/>
    <mergeCell ref="C30:C34"/>
    <mergeCell ref="D34:E34"/>
    <mergeCell ref="B35:B39"/>
    <mergeCell ref="C35:C39"/>
    <mergeCell ref="D39:E39"/>
    <mergeCell ref="B20:B24"/>
    <mergeCell ref="C20:C24"/>
    <mergeCell ref="D24:E24"/>
    <mergeCell ref="B25:B29"/>
    <mergeCell ref="C25:C29"/>
    <mergeCell ref="D29:E29"/>
    <mergeCell ref="B9:B13"/>
    <mergeCell ref="C9:C13"/>
    <mergeCell ref="D13:E13"/>
    <mergeCell ref="B14:B19"/>
    <mergeCell ref="C14:C19"/>
    <mergeCell ref="D19:E19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39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E9F2-7C04-4997-9AA1-B5302E257FB8}">
  <sheetPr>
    <pageSetUpPr fitToPage="1"/>
  </sheetPr>
  <dimension ref="B2:AG83"/>
  <sheetViews>
    <sheetView showGridLines="0" view="pageBreakPreview" topLeftCell="A75" zoomScale="115" zoomScaleNormal="85" zoomScaleSheetLayoutView="115" workbookViewId="0">
      <selection activeCell="E35" sqref="E35:E38"/>
    </sheetView>
  </sheetViews>
  <sheetFormatPr defaultRowHeight="17.399999999999999"/>
  <cols>
    <col min="1" max="1" width="3" customWidth="1"/>
    <col min="2" max="2" width="13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97" t="s">
        <v>140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</row>
    <row r="3" spans="2:33" ht="27" customHeight="1" thickBot="1"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598" t="s">
        <v>120</v>
      </c>
      <c r="O3" s="599"/>
      <c r="P3" s="600"/>
      <c r="Q3" s="598" t="s">
        <v>118</v>
      </c>
      <c r="R3" s="599"/>
      <c r="S3" s="600"/>
      <c r="T3" s="601" t="s">
        <v>121</v>
      </c>
      <c r="U3" s="602"/>
    </row>
    <row r="4" spans="2:33" ht="27" customHeight="1" thickBot="1"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603" t="s">
        <v>356</v>
      </c>
      <c r="O4" s="604"/>
      <c r="P4" s="605"/>
      <c r="Q4" s="606" t="s">
        <v>420</v>
      </c>
      <c r="R4" s="607"/>
      <c r="S4" s="608"/>
      <c r="T4" s="609">
        <v>2027</v>
      </c>
      <c r="U4" s="610"/>
    </row>
    <row r="5" spans="2:33" ht="24" customHeight="1" thickBot="1">
      <c r="B5" s="611"/>
      <c r="C5" s="611"/>
    </row>
    <row r="6" spans="2:33" ht="20.25" customHeight="1">
      <c r="B6" s="612" t="s">
        <v>13</v>
      </c>
      <c r="C6" s="615" t="s">
        <v>131</v>
      </c>
      <c r="D6" s="594" t="s">
        <v>14</v>
      </c>
      <c r="E6" s="594" t="s">
        <v>15</v>
      </c>
      <c r="F6" s="594" t="s">
        <v>132</v>
      </c>
      <c r="G6" s="594" t="s">
        <v>133</v>
      </c>
      <c r="H6" s="618" t="s">
        <v>52</v>
      </c>
      <c r="I6" s="618"/>
      <c r="J6" s="618"/>
      <c r="K6" s="618"/>
      <c r="L6" s="618" t="s">
        <v>53</v>
      </c>
      <c r="M6" s="618"/>
      <c r="N6" s="618"/>
      <c r="O6" s="618"/>
      <c r="P6" s="618" t="s">
        <v>54</v>
      </c>
      <c r="Q6" s="618"/>
      <c r="R6" s="618"/>
      <c r="S6" s="618"/>
      <c r="T6" s="619" t="s">
        <v>130</v>
      </c>
      <c r="U6" s="629" t="s">
        <v>117</v>
      </c>
      <c r="W6" s="622" t="s">
        <v>122</v>
      </c>
      <c r="X6" s="623"/>
      <c r="Y6" s="623"/>
      <c r="Z6" s="623"/>
      <c r="AA6" s="623"/>
      <c r="AB6" s="623"/>
      <c r="AC6" s="623"/>
      <c r="AD6" s="623"/>
      <c r="AE6" s="623"/>
      <c r="AF6" s="624"/>
      <c r="AG6" s="117"/>
    </row>
    <row r="7" spans="2:33" ht="16.5" customHeight="1">
      <c r="B7" s="613"/>
      <c r="C7" s="616"/>
      <c r="D7" s="595"/>
      <c r="E7" s="595"/>
      <c r="F7" s="595"/>
      <c r="G7" s="595"/>
      <c r="H7" s="625" t="s">
        <v>115</v>
      </c>
      <c r="I7" s="625"/>
      <c r="J7" s="625" t="s">
        <v>56</v>
      </c>
      <c r="K7" s="625"/>
      <c r="L7" s="625" t="s">
        <v>115</v>
      </c>
      <c r="M7" s="625"/>
      <c r="N7" s="625" t="s">
        <v>56</v>
      </c>
      <c r="O7" s="625"/>
      <c r="P7" s="625" t="s">
        <v>115</v>
      </c>
      <c r="Q7" s="625"/>
      <c r="R7" s="625" t="s">
        <v>56</v>
      </c>
      <c r="S7" s="625"/>
      <c r="T7" s="620"/>
      <c r="U7" s="630"/>
      <c r="W7" s="626" t="s">
        <v>123</v>
      </c>
      <c r="X7" s="627"/>
      <c r="Y7" s="627"/>
      <c r="Z7" s="627"/>
      <c r="AA7" s="627"/>
      <c r="AB7" s="627"/>
      <c r="AC7" s="627"/>
      <c r="AD7" s="627"/>
      <c r="AE7" s="627"/>
      <c r="AF7" s="628"/>
      <c r="AG7" s="117"/>
    </row>
    <row r="8" spans="2:33" ht="17.25" customHeight="1" thickBot="1">
      <c r="B8" s="614"/>
      <c r="C8" s="617"/>
      <c r="D8" s="596"/>
      <c r="E8" s="596"/>
      <c r="F8" s="596"/>
      <c r="G8" s="596"/>
      <c r="H8" s="121" t="s">
        <v>129</v>
      </c>
      <c r="I8" s="121" t="s">
        <v>116</v>
      </c>
      <c r="J8" s="121" t="s">
        <v>129</v>
      </c>
      <c r="K8" s="121" t="s">
        <v>116</v>
      </c>
      <c r="L8" s="121" t="s">
        <v>129</v>
      </c>
      <c r="M8" s="121" t="s">
        <v>116</v>
      </c>
      <c r="N8" s="121" t="s">
        <v>129</v>
      </c>
      <c r="O8" s="121" t="s">
        <v>116</v>
      </c>
      <c r="P8" s="121" t="s">
        <v>129</v>
      </c>
      <c r="Q8" s="121" t="s">
        <v>116</v>
      </c>
      <c r="R8" s="121" t="s">
        <v>129</v>
      </c>
      <c r="S8" s="121" t="s">
        <v>116</v>
      </c>
      <c r="T8" s="621"/>
      <c r="U8" s="631"/>
      <c r="W8" s="11"/>
      <c r="X8" s="120"/>
      <c r="Y8" s="120"/>
      <c r="Z8" s="120"/>
      <c r="AA8" s="120"/>
      <c r="AB8" s="120"/>
      <c r="AC8" s="120"/>
      <c r="AD8" s="120"/>
      <c r="AE8" s="120"/>
      <c r="AF8" s="12"/>
      <c r="AG8" s="117"/>
    </row>
    <row r="9" spans="2:33" ht="16.5" customHeight="1">
      <c r="B9" s="649" t="s">
        <v>474</v>
      </c>
      <c r="C9" s="655">
        <v>6</v>
      </c>
      <c r="D9" s="86" t="s">
        <v>473</v>
      </c>
      <c r="E9" s="86" t="s">
        <v>472</v>
      </c>
      <c r="F9" s="86">
        <v>30</v>
      </c>
      <c r="G9" s="86">
        <v>3</v>
      </c>
      <c r="H9" s="89"/>
      <c r="I9" s="89"/>
      <c r="J9" s="89"/>
      <c r="K9" s="89"/>
      <c r="L9" s="89"/>
      <c r="M9" s="89"/>
      <c r="N9" s="89"/>
      <c r="O9" s="89"/>
      <c r="P9" s="89">
        <v>2</v>
      </c>
      <c r="Q9" s="89">
        <v>32</v>
      </c>
      <c r="R9" s="89"/>
      <c r="S9" s="89"/>
      <c r="T9" s="26">
        <v>2</v>
      </c>
      <c r="U9" s="25">
        <v>32</v>
      </c>
      <c r="W9" s="119"/>
      <c r="X9" s="117"/>
      <c r="Y9" s="117"/>
      <c r="Z9" s="117"/>
      <c r="AA9" s="117"/>
      <c r="AB9" s="117"/>
      <c r="AC9" s="117"/>
      <c r="AD9" s="117"/>
      <c r="AE9" s="117"/>
      <c r="AF9" s="118"/>
      <c r="AG9" s="117"/>
    </row>
    <row r="10" spans="2:33">
      <c r="B10" s="650"/>
      <c r="C10" s="656"/>
      <c r="D10" s="87" t="s">
        <v>471</v>
      </c>
      <c r="E10" s="87" t="s">
        <v>470</v>
      </c>
      <c r="F10" s="87">
        <v>30</v>
      </c>
      <c r="G10" s="87">
        <v>3</v>
      </c>
      <c r="H10" s="90"/>
      <c r="I10" s="90"/>
      <c r="J10" s="90"/>
      <c r="K10" s="90"/>
      <c r="L10" s="90"/>
      <c r="M10" s="90"/>
      <c r="N10" s="90"/>
      <c r="O10" s="90"/>
      <c r="P10" s="90">
        <v>1</v>
      </c>
      <c r="Q10" s="90">
        <v>16</v>
      </c>
      <c r="R10" s="90"/>
      <c r="S10" s="91"/>
      <c r="T10" s="22">
        <v>1</v>
      </c>
      <c r="U10" s="21">
        <v>16</v>
      </c>
    </row>
    <row r="11" spans="2:33">
      <c r="B11" s="650"/>
      <c r="C11" s="656"/>
      <c r="D11" s="87" t="s">
        <v>469</v>
      </c>
      <c r="E11" s="87" t="s">
        <v>468</v>
      </c>
      <c r="F11" s="87">
        <v>45</v>
      </c>
      <c r="G11" s="87">
        <v>4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>
        <v>2</v>
      </c>
      <c r="S11" s="91">
        <v>32</v>
      </c>
      <c r="T11" s="22">
        <v>2</v>
      </c>
      <c r="U11" s="21">
        <v>32</v>
      </c>
      <c r="W11" s="116"/>
    </row>
    <row r="12" spans="2:33">
      <c r="B12" s="650"/>
      <c r="C12" s="656"/>
      <c r="D12" s="87" t="s">
        <v>467</v>
      </c>
      <c r="E12" s="87" t="s">
        <v>466</v>
      </c>
      <c r="F12" s="87">
        <v>30</v>
      </c>
      <c r="G12" s="87">
        <v>3</v>
      </c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>
        <v>2</v>
      </c>
      <c r="S12" s="91">
        <v>32</v>
      </c>
      <c r="T12" s="283">
        <v>2</v>
      </c>
      <c r="U12" s="284">
        <v>32</v>
      </c>
    </row>
    <row r="13" spans="2:33" ht="18" thickBot="1">
      <c r="B13" s="651"/>
      <c r="C13" s="657"/>
      <c r="D13" s="636" t="s">
        <v>16</v>
      </c>
      <c r="E13" s="636"/>
      <c r="F13" s="274"/>
      <c r="G13" s="274"/>
      <c r="H13" s="104"/>
      <c r="I13" s="104"/>
      <c r="J13" s="104"/>
      <c r="K13" s="104"/>
      <c r="L13" s="104"/>
      <c r="M13" s="104"/>
      <c r="N13" s="104"/>
      <c r="O13" s="104"/>
      <c r="P13" s="104">
        <f t="shared" ref="P13:U13" si="0">SUM(P9:P12)</f>
        <v>3</v>
      </c>
      <c r="Q13" s="104">
        <f t="shared" si="0"/>
        <v>48</v>
      </c>
      <c r="R13" s="104">
        <f t="shared" si="0"/>
        <v>4</v>
      </c>
      <c r="S13" s="104">
        <f t="shared" si="0"/>
        <v>64</v>
      </c>
      <c r="T13" s="104">
        <f t="shared" si="0"/>
        <v>7</v>
      </c>
      <c r="U13" s="135">
        <f t="shared" si="0"/>
        <v>112</v>
      </c>
    </row>
    <row r="14" spans="2:33">
      <c r="B14" s="658" t="s">
        <v>465</v>
      </c>
      <c r="C14" s="652">
        <v>6</v>
      </c>
      <c r="D14" s="86" t="s">
        <v>841</v>
      </c>
      <c r="E14" s="86" t="s">
        <v>464</v>
      </c>
      <c r="F14" s="86">
        <v>30</v>
      </c>
      <c r="G14" s="86">
        <v>4</v>
      </c>
      <c r="H14" s="89"/>
      <c r="I14" s="89"/>
      <c r="J14" s="89"/>
      <c r="K14" s="89"/>
      <c r="L14" s="89"/>
      <c r="M14" s="89"/>
      <c r="N14" s="89"/>
      <c r="O14" s="89"/>
      <c r="P14" s="89">
        <v>2</v>
      </c>
      <c r="Q14" s="89">
        <v>32</v>
      </c>
      <c r="R14" s="89"/>
      <c r="S14" s="89"/>
      <c r="T14" s="26">
        <v>2</v>
      </c>
      <c r="U14" s="25">
        <v>32</v>
      </c>
    </row>
    <row r="15" spans="2:33">
      <c r="B15" s="659"/>
      <c r="C15" s="653"/>
      <c r="D15" s="87" t="s">
        <v>463</v>
      </c>
      <c r="E15" s="87" t="s">
        <v>462</v>
      </c>
      <c r="F15" s="87">
        <v>45</v>
      </c>
      <c r="G15" s="87">
        <v>3</v>
      </c>
      <c r="H15" s="90"/>
      <c r="I15" s="90"/>
      <c r="J15" s="90"/>
      <c r="K15" s="90"/>
      <c r="L15" s="90"/>
      <c r="M15" s="90"/>
      <c r="N15" s="90"/>
      <c r="O15" s="91"/>
      <c r="P15" s="91">
        <v>1</v>
      </c>
      <c r="Q15" s="91">
        <v>16</v>
      </c>
      <c r="R15" s="91"/>
      <c r="S15" s="91"/>
      <c r="T15" s="22">
        <v>1</v>
      </c>
      <c r="U15" s="21">
        <v>16</v>
      </c>
    </row>
    <row r="16" spans="2:33" ht="17.399999999999999" customHeight="1">
      <c r="B16" s="659"/>
      <c r="C16" s="653"/>
      <c r="D16" s="87" t="s">
        <v>461</v>
      </c>
      <c r="E16" s="87" t="s">
        <v>460</v>
      </c>
      <c r="F16" s="87">
        <v>45</v>
      </c>
      <c r="G16" s="87">
        <v>4</v>
      </c>
      <c r="H16" s="90"/>
      <c r="I16" s="90"/>
      <c r="J16" s="90"/>
      <c r="K16" s="90"/>
      <c r="L16" s="90"/>
      <c r="M16" s="90"/>
      <c r="N16" s="90"/>
      <c r="O16" s="91"/>
      <c r="P16" s="91"/>
      <c r="Q16" s="91"/>
      <c r="R16" s="91">
        <v>2</v>
      </c>
      <c r="S16" s="91">
        <v>32</v>
      </c>
      <c r="T16" s="22">
        <v>2</v>
      </c>
      <c r="U16" s="21">
        <v>32</v>
      </c>
    </row>
    <row r="17" spans="2:21">
      <c r="B17" s="659"/>
      <c r="C17" s="653"/>
      <c r="D17" s="88" t="s">
        <v>842</v>
      </c>
      <c r="E17" s="728" t="s">
        <v>857</v>
      </c>
      <c r="F17" s="88">
        <v>30</v>
      </c>
      <c r="G17" s="88">
        <v>3</v>
      </c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>
        <v>1</v>
      </c>
      <c r="S17" s="91">
        <v>16</v>
      </c>
      <c r="T17" s="22">
        <v>1</v>
      </c>
      <c r="U17" s="21">
        <v>16</v>
      </c>
    </row>
    <row r="18" spans="2:21" ht="18" thickBot="1">
      <c r="B18" s="660"/>
      <c r="C18" s="654"/>
      <c r="D18" s="636" t="s">
        <v>16</v>
      </c>
      <c r="E18" s="636"/>
      <c r="F18" s="274"/>
      <c r="G18" s="274"/>
      <c r="H18" s="104">
        <f t="shared" ref="H18:U18" si="1">SUM(H14:H17)</f>
        <v>0</v>
      </c>
      <c r="I18" s="104">
        <f t="shared" si="1"/>
        <v>0</v>
      </c>
      <c r="J18" s="104">
        <f t="shared" si="1"/>
        <v>0</v>
      </c>
      <c r="K18" s="104">
        <f t="shared" si="1"/>
        <v>0</v>
      </c>
      <c r="L18" s="104">
        <f t="shared" si="1"/>
        <v>0</v>
      </c>
      <c r="M18" s="104">
        <f t="shared" si="1"/>
        <v>0</v>
      </c>
      <c r="N18" s="104">
        <f t="shared" si="1"/>
        <v>0</v>
      </c>
      <c r="O18" s="104">
        <f t="shared" si="1"/>
        <v>0</v>
      </c>
      <c r="P18" s="104">
        <f t="shared" si="1"/>
        <v>3</v>
      </c>
      <c r="Q18" s="104">
        <f t="shared" si="1"/>
        <v>48</v>
      </c>
      <c r="R18" s="104">
        <f t="shared" si="1"/>
        <v>3</v>
      </c>
      <c r="S18" s="104">
        <f t="shared" si="1"/>
        <v>48</v>
      </c>
      <c r="T18" s="104">
        <f t="shared" si="1"/>
        <v>6</v>
      </c>
      <c r="U18" s="135">
        <f t="shared" si="1"/>
        <v>96</v>
      </c>
    </row>
    <row r="19" spans="2:21">
      <c r="B19" s="645" t="s">
        <v>414</v>
      </c>
      <c r="C19" s="652">
        <v>16</v>
      </c>
      <c r="D19" s="86" t="s">
        <v>489</v>
      </c>
      <c r="E19" s="86" t="s">
        <v>457</v>
      </c>
      <c r="F19" s="87">
        <v>50</v>
      </c>
      <c r="G19" s="87">
        <v>4</v>
      </c>
      <c r="H19" s="122"/>
      <c r="I19" s="122"/>
      <c r="J19" s="122"/>
      <c r="K19" s="122"/>
      <c r="L19" s="122"/>
      <c r="M19" s="89"/>
      <c r="N19" s="89"/>
      <c r="O19" s="89"/>
      <c r="P19" s="89">
        <v>4</v>
      </c>
      <c r="Q19" s="89">
        <f>P19*16</f>
        <v>64</v>
      </c>
      <c r="R19" s="89"/>
      <c r="S19" s="89"/>
      <c r="T19" s="123">
        <v>4</v>
      </c>
      <c r="U19" s="124">
        <v>64</v>
      </c>
    </row>
    <row r="20" spans="2:21">
      <c r="B20" s="632"/>
      <c r="C20" s="653"/>
      <c r="D20" s="87" t="s">
        <v>459</v>
      </c>
      <c r="E20" s="87" t="s">
        <v>458</v>
      </c>
      <c r="F20" s="87">
        <v>50</v>
      </c>
      <c r="G20" s="87">
        <v>4</v>
      </c>
      <c r="H20" s="125"/>
      <c r="I20" s="125"/>
      <c r="J20" s="125"/>
      <c r="K20" s="125"/>
      <c r="L20" s="125"/>
      <c r="M20" s="90"/>
      <c r="N20" s="90"/>
      <c r="O20" s="90"/>
      <c r="P20" s="90">
        <v>4</v>
      </c>
      <c r="Q20" s="90">
        <f>P20*16</f>
        <v>64</v>
      </c>
      <c r="R20" s="90"/>
      <c r="S20" s="90"/>
      <c r="T20" s="126">
        <v>4</v>
      </c>
      <c r="U20" s="127">
        <v>64</v>
      </c>
    </row>
    <row r="21" spans="2:21">
      <c r="B21" s="632"/>
      <c r="C21" s="653"/>
      <c r="D21" s="87" t="s">
        <v>488</v>
      </c>
      <c r="E21" s="87" t="s">
        <v>487</v>
      </c>
      <c r="F21" s="87">
        <v>50</v>
      </c>
      <c r="G21" s="87">
        <v>3</v>
      </c>
      <c r="H21" s="125"/>
      <c r="I21" s="125"/>
      <c r="J21" s="125"/>
      <c r="K21" s="125"/>
      <c r="L21" s="125"/>
      <c r="M21" s="90"/>
      <c r="N21" s="90"/>
      <c r="O21" s="90"/>
      <c r="P21" s="90"/>
      <c r="Q21" s="90"/>
      <c r="R21" s="90">
        <v>4</v>
      </c>
      <c r="S21" s="90">
        <f>R21*16</f>
        <v>64</v>
      </c>
      <c r="T21" s="126">
        <v>4</v>
      </c>
      <c r="U21" s="127">
        <v>64</v>
      </c>
    </row>
    <row r="22" spans="2:21">
      <c r="B22" s="632"/>
      <c r="C22" s="653"/>
      <c r="D22" s="87" t="s">
        <v>486</v>
      </c>
      <c r="E22" s="87" t="s">
        <v>485</v>
      </c>
      <c r="F22" s="87">
        <v>30</v>
      </c>
      <c r="G22" s="87">
        <v>3</v>
      </c>
      <c r="H22" s="125"/>
      <c r="I22" s="125"/>
      <c r="J22" s="125"/>
      <c r="K22" s="125"/>
      <c r="L22" s="125"/>
      <c r="M22" s="91"/>
      <c r="N22" s="91"/>
      <c r="O22" s="91"/>
      <c r="P22" s="91"/>
      <c r="Q22" s="91"/>
      <c r="R22" s="91">
        <v>4</v>
      </c>
      <c r="S22" s="90">
        <f>R22*16</f>
        <v>64</v>
      </c>
      <c r="T22" s="128">
        <v>4</v>
      </c>
      <c r="U22" s="129">
        <v>64</v>
      </c>
    </row>
    <row r="23" spans="2:21" ht="18" thickBot="1">
      <c r="B23" s="633"/>
      <c r="C23" s="654"/>
      <c r="D23" s="647" t="s">
        <v>16</v>
      </c>
      <c r="E23" s="648"/>
      <c r="F23" s="130"/>
      <c r="G23" s="130"/>
      <c r="H23" s="131">
        <f t="shared" ref="H23:U23" si="2">SUM(H19:H22)</f>
        <v>0</v>
      </c>
      <c r="I23" s="131">
        <f t="shared" si="2"/>
        <v>0</v>
      </c>
      <c r="J23" s="131">
        <f t="shared" si="2"/>
        <v>0</v>
      </c>
      <c r="K23" s="131">
        <f t="shared" si="2"/>
        <v>0</v>
      </c>
      <c r="L23" s="131">
        <f t="shared" si="2"/>
        <v>0</v>
      </c>
      <c r="M23" s="104">
        <f t="shared" si="2"/>
        <v>0</v>
      </c>
      <c r="N23" s="104">
        <f t="shared" si="2"/>
        <v>0</v>
      </c>
      <c r="O23" s="104">
        <f t="shared" si="2"/>
        <v>0</v>
      </c>
      <c r="P23" s="104">
        <f t="shared" si="2"/>
        <v>8</v>
      </c>
      <c r="Q23" s="104">
        <f t="shared" si="2"/>
        <v>128</v>
      </c>
      <c r="R23" s="104">
        <f t="shared" si="2"/>
        <v>8</v>
      </c>
      <c r="S23" s="104">
        <f t="shared" si="2"/>
        <v>128</v>
      </c>
      <c r="T23" s="104">
        <f t="shared" si="2"/>
        <v>16</v>
      </c>
      <c r="U23" s="135">
        <f t="shared" si="2"/>
        <v>256</v>
      </c>
    </row>
    <row r="24" spans="2:21">
      <c r="B24" s="649" t="s">
        <v>456</v>
      </c>
      <c r="C24" s="652">
        <v>5</v>
      </c>
      <c r="D24" s="86" t="s">
        <v>455</v>
      </c>
      <c r="E24" s="86" t="s">
        <v>454</v>
      </c>
      <c r="F24" s="86">
        <v>50</v>
      </c>
      <c r="G24" s="86">
        <v>3</v>
      </c>
      <c r="H24" s="89"/>
      <c r="I24" s="89"/>
      <c r="J24" s="89"/>
      <c r="K24" s="89"/>
      <c r="L24" s="89"/>
      <c r="M24" s="89"/>
      <c r="N24" s="89">
        <v>3</v>
      </c>
      <c r="O24" s="89">
        <f>N24*16</f>
        <v>48</v>
      </c>
      <c r="P24" s="89"/>
      <c r="Q24" s="89"/>
      <c r="R24" s="89"/>
      <c r="S24" s="89"/>
      <c r="T24" s="26">
        <v>3</v>
      </c>
      <c r="U24" s="25">
        <v>48</v>
      </c>
    </row>
    <row r="25" spans="2:21">
      <c r="B25" s="650"/>
      <c r="C25" s="653"/>
      <c r="D25" s="87" t="s">
        <v>453</v>
      </c>
      <c r="E25" s="87" t="s">
        <v>452</v>
      </c>
      <c r="F25" s="87">
        <v>15</v>
      </c>
      <c r="G25" s="87">
        <v>2</v>
      </c>
      <c r="H25" s="90"/>
      <c r="I25" s="90"/>
      <c r="J25" s="90"/>
      <c r="K25" s="90"/>
      <c r="L25" s="91"/>
      <c r="M25" s="91"/>
      <c r="N25" s="91">
        <v>2</v>
      </c>
      <c r="O25" s="91">
        <f>N25*16</f>
        <v>32</v>
      </c>
      <c r="P25" s="91"/>
      <c r="Q25" s="91"/>
      <c r="R25" s="91"/>
      <c r="S25" s="91"/>
      <c r="T25" s="22">
        <v>2</v>
      </c>
      <c r="U25" s="21">
        <v>32</v>
      </c>
    </row>
    <row r="26" spans="2:21" ht="18" thickBot="1">
      <c r="B26" s="651"/>
      <c r="C26" s="654"/>
      <c r="D26" s="647" t="s">
        <v>16</v>
      </c>
      <c r="E26" s="648"/>
      <c r="F26" s="274"/>
      <c r="G26" s="274"/>
      <c r="H26" s="104">
        <f t="shared" ref="H26:U26" si="3">SUM(H24:H25)</f>
        <v>0</v>
      </c>
      <c r="I26" s="104">
        <f t="shared" si="3"/>
        <v>0</v>
      </c>
      <c r="J26" s="104">
        <f t="shared" si="3"/>
        <v>0</v>
      </c>
      <c r="K26" s="104">
        <f t="shared" si="3"/>
        <v>0</v>
      </c>
      <c r="L26" s="104">
        <f t="shared" si="3"/>
        <v>0</v>
      </c>
      <c r="M26" s="104">
        <f t="shared" si="3"/>
        <v>0</v>
      </c>
      <c r="N26" s="104">
        <f t="shared" si="3"/>
        <v>5</v>
      </c>
      <c r="O26" s="104">
        <f t="shared" si="3"/>
        <v>80</v>
      </c>
      <c r="P26" s="104">
        <f t="shared" si="3"/>
        <v>0</v>
      </c>
      <c r="Q26" s="104">
        <f t="shared" si="3"/>
        <v>0</v>
      </c>
      <c r="R26" s="104">
        <f t="shared" si="3"/>
        <v>0</v>
      </c>
      <c r="S26" s="104">
        <f t="shared" si="3"/>
        <v>0</v>
      </c>
      <c r="T26" s="104">
        <f t="shared" si="3"/>
        <v>5</v>
      </c>
      <c r="U26" s="135">
        <f t="shared" si="3"/>
        <v>80</v>
      </c>
    </row>
    <row r="27" spans="2:21">
      <c r="B27" s="649" t="s">
        <v>451</v>
      </c>
      <c r="C27" s="652">
        <v>10</v>
      </c>
      <c r="D27" s="86" t="s">
        <v>450</v>
      </c>
      <c r="E27" s="86" t="s">
        <v>449</v>
      </c>
      <c r="F27" s="86">
        <v>50</v>
      </c>
      <c r="G27" s="86">
        <v>2</v>
      </c>
      <c r="H27" s="89"/>
      <c r="I27" s="89"/>
      <c r="J27" s="89"/>
      <c r="K27" s="89"/>
      <c r="L27" s="89"/>
      <c r="M27" s="89"/>
      <c r="N27" s="89"/>
      <c r="O27" s="89"/>
      <c r="P27" s="89">
        <v>3</v>
      </c>
      <c r="Q27" s="89">
        <f>P27*16</f>
        <v>48</v>
      </c>
      <c r="R27" s="89"/>
      <c r="S27" s="89"/>
      <c r="T27" s="26">
        <v>3</v>
      </c>
      <c r="U27" s="25">
        <v>48</v>
      </c>
    </row>
    <row r="28" spans="2:21">
      <c r="B28" s="650"/>
      <c r="C28" s="653"/>
      <c r="D28" s="87" t="s">
        <v>448</v>
      </c>
      <c r="E28" s="87" t="s">
        <v>447</v>
      </c>
      <c r="F28" s="87">
        <v>50</v>
      </c>
      <c r="G28" s="87">
        <v>2</v>
      </c>
      <c r="H28" s="90"/>
      <c r="I28" s="90"/>
      <c r="J28" s="90"/>
      <c r="K28" s="90"/>
      <c r="L28" s="90"/>
      <c r="M28" s="90"/>
      <c r="N28" s="90"/>
      <c r="O28" s="90"/>
      <c r="P28" s="90">
        <v>2</v>
      </c>
      <c r="Q28" s="90">
        <v>32</v>
      </c>
      <c r="R28" s="90"/>
      <c r="S28" s="90"/>
      <c r="T28" s="24">
        <v>2</v>
      </c>
      <c r="U28" s="23">
        <v>32</v>
      </c>
    </row>
    <row r="29" spans="2:21">
      <c r="B29" s="650"/>
      <c r="C29" s="653"/>
      <c r="D29" s="87" t="s">
        <v>446</v>
      </c>
      <c r="E29" s="87" t="s">
        <v>445</v>
      </c>
      <c r="F29" s="87">
        <v>30</v>
      </c>
      <c r="G29" s="87">
        <v>2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>
        <v>2</v>
      </c>
      <c r="S29" s="90">
        <v>32</v>
      </c>
      <c r="T29" s="24">
        <v>2</v>
      </c>
      <c r="U29" s="23">
        <v>32</v>
      </c>
    </row>
    <row r="30" spans="2:21">
      <c r="B30" s="650"/>
      <c r="C30" s="653"/>
      <c r="D30" s="87" t="s">
        <v>444</v>
      </c>
      <c r="E30" s="87" t="s">
        <v>443</v>
      </c>
      <c r="F30" s="87">
        <v>40</v>
      </c>
      <c r="G30" s="87">
        <v>3</v>
      </c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>
        <v>3</v>
      </c>
      <c r="S30" s="91">
        <v>48</v>
      </c>
      <c r="T30" s="24">
        <v>3</v>
      </c>
      <c r="U30" s="23">
        <v>48</v>
      </c>
    </row>
    <row r="31" spans="2:21" ht="18" thickBot="1">
      <c r="B31" s="651"/>
      <c r="C31" s="654"/>
      <c r="D31" s="647" t="s">
        <v>16</v>
      </c>
      <c r="E31" s="648"/>
      <c r="F31" s="274"/>
      <c r="G31" s="274"/>
      <c r="H31" s="104">
        <f t="shared" ref="H31:U31" si="4">SUM(H27:H30)</f>
        <v>0</v>
      </c>
      <c r="I31" s="104">
        <f t="shared" si="4"/>
        <v>0</v>
      </c>
      <c r="J31" s="104">
        <f t="shared" si="4"/>
        <v>0</v>
      </c>
      <c r="K31" s="104">
        <f t="shared" si="4"/>
        <v>0</v>
      </c>
      <c r="L31" s="104">
        <f t="shared" si="4"/>
        <v>0</v>
      </c>
      <c r="M31" s="104">
        <f t="shared" si="4"/>
        <v>0</v>
      </c>
      <c r="N31" s="104">
        <f t="shared" si="4"/>
        <v>0</v>
      </c>
      <c r="O31" s="104">
        <f t="shared" si="4"/>
        <v>0</v>
      </c>
      <c r="P31" s="104">
        <f t="shared" si="4"/>
        <v>5</v>
      </c>
      <c r="Q31" s="104">
        <f t="shared" si="4"/>
        <v>80</v>
      </c>
      <c r="R31" s="104">
        <f t="shared" si="4"/>
        <v>5</v>
      </c>
      <c r="S31" s="104">
        <f t="shared" si="4"/>
        <v>80</v>
      </c>
      <c r="T31" s="104">
        <f t="shared" si="4"/>
        <v>10</v>
      </c>
      <c r="U31" s="135">
        <f t="shared" si="4"/>
        <v>160</v>
      </c>
    </row>
    <row r="32" spans="2:21">
      <c r="B32" s="649" t="s">
        <v>515</v>
      </c>
      <c r="C32" s="655">
        <v>10</v>
      </c>
      <c r="D32" s="86" t="s">
        <v>442</v>
      </c>
      <c r="E32" s="86" t="s">
        <v>441</v>
      </c>
      <c r="F32" s="86">
        <v>70</v>
      </c>
      <c r="G32" s="86">
        <v>3</v>
      </c>
      <c r="H32" s="89"/>
      <c r="I32" s="89"/>
      <c r="J32" s="89"/>
      <c r="K32" s="89"/>
      <c r="L32" s="89"/>
      <c r="M32" s="89"/>
      <c r="N32" s="89"/>
      <c r="O32" s="89"/>
      <c r="P32" s="89">
        <v>5</v>
      </c>
      <c r="Q32" s="89">
        <v>80</v>
      </c>
      <c r="R32" s="89"/>
      <c r="S32" s="89"/>
      <c r="T32" s="26">
        <v>5</v>
      </c>
      <c r="U32" s="25">
        <v>80</v>
      </c>
    </row>
    <row r="33" spans="2:21">
      <c r="B33" s="650"/>
      <c r="C33" s="656"/>
      <c r="D33" s="87" t="s">
        <v>440</v>
      </c>
      <c r="E33" s="87" t="s">
        <v>439</v>
      </c>
      <c r="F33" s="87">
        <v>70</v>
      </c>
      <c r="G33" s="87">
        <v>3</v>
      </c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>
        <v>5</v>
      </c>
      <c r="S33" s="90">
        <v>80</v>
      </c>
      <c r="T33" s="24">
        <v>5</v>
      </c>
      <c r="U33" s="23">
        <v>80</v>
      </c>
    </row>
    <row r="34" spans="2:21" ht="18" thickBot="1">
      <c r="B34" s="651"/>
      <c r="C34" s="657"/>
      <c r="D34" s="647" t="s">
        <v>16</v>
      </c>
      <c r="E34" s="648"/>
      <c r="F34" s="274"/>
      <c r="G34" s="274"/>
      <c r="H34" s="104"/>
      <c r="I34" s="104"/>
      <c r="J34" s="104"/>
      <c r="K34" s="104"/>
      <c r="L34" s="104"/>
      <c r="M34" s="104"/>
      <c r="N34" s="104"/>
      <c r="O34" s="104"/>
      <c r="P34" s="104">
        <f>SUM(P30:P33)</f>
        <v>10</v>
      </c>
      <c r="Q34" s="104">
        <f>SUM(Q30:Q33)</f>
        <v>160</v>
      </c>
      <c r="R34" s="104">
        <f>SUM(R30:R33)</f>
        <v>13</v>
      </c>
      <c r="S34" s="104">
        <f>SUM(S30:S33)</f>
        <v>208</v>
      </c>
      <c r="T34" s="104">
        <f>SUM(T32:T33)</f>
        <v>10</v>
      </c>
      <c r="U34" s="135">
        <f>SUM(U32:U33)</f>
        <v>160</v>
      </c>
    </row>
    <row r="35" spans="2:21">
      <c r="B35" s="649" t="s">
        <v>408</v>
      </c>
      <c r="C35" s="652">
        <v>10</v>
      </c>
      <c r="D35" s="86" t="s">
        <v>438</v>
      </c>
      <c r="E35" s="285" t="s">
        <v>845</v>
      </c>
      <c r="F35" s="86">
        <v>50</v>
      </c>
      <c r="G35" s="86">
        <v>4</v>
      </c>
      <c r="H35" s="89"/>
      <c r="I35" s="89"/>
      <c r="J35" s="89"/>
      <c r="K35" s="89"/>
      <c r="L35" s="89"/>
      <c r="M35" s="89"/>
      <c r="N35" s="89"/>
      <c r="O35" s="89"/>
      <c r="P35" s="89">
        <v>2</v>
      </c>
      <c r="Q35" s="89">
        <v>32</v>
      </c>
      <c r="R35" s="89"/>
      <c r="S35" s="89"/>
      <c r="T35" s="26">
        <v>2</v>
      </c>
      <c r="U35" s="25">
        <v>32</v>
      </c>
    </row>
    <row r="36" spans="2:21">
      <c r="B36" s="650"/>
      <c r="C36" s="653"/>
      <c r="D36" s="87" t="s">
        <v>437</v>
      </c>
      <c r="E36" s="280" t="s">
        <v>846</v>
      </c>
      <c r="F36" s="87">
        <v>80</v>
      </c>
      <c r="G36" s="87">
        <v>4</v>
      </c>
      <c r="H36" s="90"/>
      <c r="I36" s="90"/>
      <c r="J36" s="90"/>
      <c r="K36" s="90"/>
      <c r="L36" s="90"/>
      <c r="M36" s="90"/>
      <c r="N36" s="90"/>
      <c r="O36" s="90"/>
      <c r="P36" s="90">
        <v>3</v>
      </c>
      <c r="Q36" s="90">
        <v>48</v>
      </c>
      <c r="R36" s="90"/>
      <c r="S36" s="90"/>
      <c r="T36" s="24">
        <v>3</v>
      </c>
      <c r="U36" s="23">
        <v>48</v>
      </c>
    </row>
    <row r="37" spans="2:21">
      <c r="B37" s="650"/>
      <c r="C37" s="653"/>
      <c r="D37" s="87" t="s">
        <v>436</v>
      </c>
      <c r="E37" s="87" t="s">
        <v>435</v>
      </c>
      <c r="F37" s="87">
        <v>30</v>
      </c>
      <c r="G37" s="87">
        <v>2</v>
      </c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>
        <v>2</v>
      </c>
      <c r="S37" s="90">
        <v>32</v>
      </c>
      <c r="T37" s="24">
        <v>2</v>
      </c>
      <c r="U37" s="23">
        <v>32</v>
      </c>
    </row>
    <row r="38" spans="2:21">
      <c r="B38" s="661"/>
      <c r="C38" s="653"/>
      <c r="D38" s="88" t="s">
        <v>434</v>
      </c>
      <c r="E38" s="728" t="s">
        <v>847</v>
      </c>
      <c r="F38" s="88">
        <v>50</v>
      </c>
      <c r="G38" s="88">
        <v>3</v>
      </c>
      <c r="H38" s="91"/>
      <c r="I38" s="91"/>
      <c r="J38" s="91"/>
      <c r="K38" s="91"/>
      <c r="L38" s="91"/>
      <c r="M38" s="91"/>
      <c r="N38" s="91"/>
      <c r="O38" s="91"/>
      <c r="P38" s="90"/>
      <c r="Q38" s="90"/>
      <c r="R38" s="90">
        <v>3</v>
      </c>
      <c r="S38" s="91">
        <v>48</v>
      </c>
      <c r="T38" s="24">
        <v>3</v>
      </c>
      <c r="U38" s="23">
        <v>48</v>
      </c>
    </row>
    <row r="39" spans="2:21" ht="18" thickBot="1">
      <c r="B39" s="651"/>
      <c r="C39" s="654"/>
      <c r="D39" s="647" t="s">
        <v>16</v>
      </c>
      <c r="E39" s="648"/>
      <c r="F39" s="274"/>
      <c r="G39" s="274"/>
      <c r="H39" s="104"/>
      <c r="I39" s="104"/>
      <c r="J39" s="104"/>
      <c r="K39" s="104"/>
      <c r="L39" s="104"/>
      <c r="M39" s="104"/>
      <c r="N39" s="104"/>
      <c r="O39" s="104"/>
      <c r="P39" s="104">
        <f t="shared" ref="P39:U39" si="5">SUM(P35:P38)</f>
        <v>5</v>
      </c>
      <c r="Q39" s="104">
        <f t="shared" si="5"/>
        <v>80</v>
      </c>
      <c r="R39" s="104">
        <f t="shared" si="5"/>
        <v>5</v>
      </c>
      <c r="S39" s="104">
        <f t="shared" si="5"/>
        <v>80</v>
      </c>
      <c r="T39" s="104">
        <f t="shared" si="5"/>
        <v>10</v>
      </c>
      <c r="U39" s="135">
        <f t="shared" si="5"/>
        <v>160</v>
      </c>
    </row>
    <row r="40" spans="2:21">
      <c r="B40" s="649" t="s">
        <v>433</v>
      </c>
      <c r="C40" s="652">
        <v>10</v>
      </c>
      <c r="D40" s="86" t="s">
        <v>432</v>
      </c>
      <c r="E40" s="86" t="s">
        <v>431</v>
      </c>
      <c r="F40" s="86">
        <v>50</v>
      </c>
      <c r="G40" s="86">
        <v>3</v>
      </c>
      <c r="H40" s="89"/>
      <c r="I40" s="89"/>
      <c r="J40" s="89"/>
      <c r="K40" s="89"/>
      <c r="L40" s="89">
        <v>5</v>
      </c>
      <c r="M40" s="89">
        <v>80</v>
      </c>
      <c r="N40" s="89"/>
      <c r="O40" s="89"/>
      <c r="P40" s="89"/>
      <c r="Q40" s="89"/>
      <c r="R40" s="89"/>
      <c r="S40" s="89"/>
      <c r="T40" s="26">
        <v>5</v>
      </c>
      <c r="U40" s="25">
        <v>80</v>
      </c>
    </row>
    <row r="41" spans="2:21">
      <c r="B41" s="650"/>
      <c r="C41" s="653"/>
      <c r="D41" s="87" t="s">
        <v>430</v>
      </c>
      <c r="E41" s="87" t="s">
        <v>429</v>
      </c>
      <c r="F41" s="87">
        <v>70</v>
      </c>
      <c r="G41" s="87">
        <v>4</v>
      </c>
      <c r="H41" s="90"/>
      <c r="I41" s="90"/>
      <c r="J41" s="90"/>
      <c r="K41" s="90"/>
      <c r="L41" s="90"/>
      <c r="M41" s="90"/>
      <c r="N41" s="90">
        <v>5</v>
      </c>
      <c r="O41" s="90">
        <v>80</v>
      </c>
      <c r="P41" s="90"/>
      <c r="Q41" s="90"/>
      <c r="R41" s="90"/>
      <c r="S41" s="91"/>
      <c r="T41" s="24">
        <v>5</v>
      </c>
      <c r="U41" s="23">
        <v>80</v>
      </c>
    </row>
    <row r="42" spans="2:21" ht="18" thickBot="1">
      <c r="B42" s="651"/>
      <c r="C42" s="654"/>
      <c r="D42" s="647" t="s">
        <v>16</v>
      </c>
      <c r="E42" s="648"/>
      <c r="F42" s="274"/>
      <c r="G42" s="274"/>
      <c r="H42" s="104"/>
      <c r="I42" s="104"/>
      <c r="J42" s="104"/>
      <c r="K42" s="104"/>
      <c r="L42" s="104">
        <f>SUM(N38:N41)</f>
        <v>5</v>
      </c>
      <c r="M42" s="104">
        <f>SUM(O38:O41)</f>
        <v>80</v>
      </c>
      <c r="N42" s="104">
        <f>SUM(P38:P41)</f>
        <v>5</v>
      </c>
      <c r="O42" s="104">
        <f>SUM(Q38:Q41)</f>
        <v>80</v>
      </c>
      <c r="P42" s="104"/>
      <c r="Q42" s="104"/>
      <c r="R42" s="104"/>
      <c r="S42" s="104"/>
      <c r="T42" s="104">
        <f>SUM(T40:T41)</f>
        <v>10</v>
      </c>
      <c r="U42" s="135">
        <f>SUM(U40:U41)</f>
        <v>160</v>
      </c>
    </row>
    <row r="43" spans="2:21">
      <c r="B43" s="649" t="s">
        <v>428</v>
      </c>
      <c r="C43" s="652">
        <v>12</v>
      </c>
      <c r="D43" s="86" t="s">
        <v>425</v>
      </c>
      <c r="E43" s="86" t="s">
        <v>424</v>
      </c>
      <c r="F43" s="86">
        <v>60</v>
      </c>
      <c r="G43" s="86">
        <v>6</v>
      </c>
      <c r="H43" s="89"/>
      <c r="I43" s="89"/>
      <c r="J43" s="89"/>
      <c r="K43" s="89"/>
      <c r="L43" s="89"/>
      <c r="M43" s="89"/>
      <c r="N43" s="89"/>
      <c r="O43" s="89"/>
      <c r="P43" s="89">
        <v>3</v>
      </c>
      <c r="Q43" s="89">
        <f>P43*16</f>
        <v>48</v>
      </c>
      <c r="R43" s="89"/>
      <c r="S43" s="89"/>
      <c r="T43" s="26">
        <v>3</v>
      </c>
      <c r="U43" s="25">
        <v>48</v>
      </c>
    </row>
    <row r="44" spans="2:21">
      <c r="B44" s="650"/>
      <c r="C44" s="653"/>
      <c r="D44" s="87" t="s">
        <v>484</v>
      </c>
      <c r="E44" s="87" t="s">
        <v>483</v>
      </c>
      <c r="F44" s="87">
        <v>40</v>
      </c>
      <c r="G44" s="87">
        <v>6</v>
      </c>
      <c r="H44" s="90"/>
      <c r="I44" s="90"/>
      <c r="J44" s="90"/>
      <c r="K44" s="90"/>
      <c r="L44" s="90"/>
      <c r="M44" s="90"/>
      <c r="N44" s="90"/>
      <c r="O44" s="90"/>
      <c r="P44" s="90">
        <v>3</v>
      </c>
      <c r="Q44" s="90">
        <v>48</v>
      </c>
      <c r="R44" s="90"/>
      <c r="S44" s="91"/>
      <c r="T44" s="24">
        <v>3</v>
      </c>
      <c r="U44" s="23">
        <v>48</v>
      </c>
    </row>
    <row r="45" spans="2:21">
      <c r="B45" s="650"/>
      <c r="C45" s="653"/>
      <c r="D45" s="87" t="s">
        <v>423</v>
      </c>
      <c r="E45" s="87" t="s">
        <v>422</v>
      </c>
      <c r="F45" s="87">
        <v>40</v>
      </c>
      <c r="G45" s="87">
        <v>4</v>
      </c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>
        <v>3</v>
      </c>
      <c r="S45" s="91">
        <v>48</v>
      </c>
      <c r="T45" s="24">
        <v>3</v>
      </c>
      <c r="U45" s="23">
        <v>48</v>
      </c>
    </row>
    <row r="46" spans="2:21">
      <c r="B46" s="661"/>
      <c r="C46" s="653"/>
      <c r="D46" s="88" t="s">
        <v>482</v>
      </c>
      <c r="E46" s="88" t="s">
        <v>481</v>
      </c>
      <c r="F46" s="88">
        <v>30</v>
      </c>
      <c r="G46" s="88">
        <v>6</v>
      </c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>
        <v>3</v>
      </c>
      <c r="S46" s="91">
        <v>48</v>
      </c>
      <c r="T46" s="22">
        <v>3</v>
      </c>
      <c r="U46" s="21">
        <v>48</v>
      </c>
    </row>
    <row r="47" spans="2:21" ht="18" thickBot="1">
      <c r="B47" s="651"/>
      <c r="C47" s="654"/>
      <c r="D47" s="647" t="s">
        <v>16</v>
      </c>
      <c r="E47" s="648"/>
      <c r="F47" s="274"/>
      <c r="G47" s="274"/>
      <c r="H47" s="104">
        <f t="shared" ref="H47:U47" si="6">SUM(H43:H46)</f>
        <v>0</v>
      </c>
      <c r="I47" s="104">
        <f t="shared" si="6"/>
        <v>0</v>
      </c>
      <c r="J47" s="104">
        <f t="shared" si="6"/>
        <v>0</v>
      </c>
      <c r="K47" s="104">
        <f t="shared" si="6"/>
        <v>0</v>
      </c>
      <c r="L47" s="104">
        <f t="shared" si="6"/>
        <v>0</v>
      </c>
      <c r="M47" s="104">
        <f t="shared" si="6"/>
        <v>0</v>
      </c>
      <c r="N47" s="104">
        <f t="shared" si="6"/>
        <v>0</v>
      </c>
      <c r="O47" s="104">
        <f t="shared" si="6"/>
        <v>0</v>
      </c>
      <c r="P47" s="104">
        <f t="shared" si="6"/>
        <v>6</v>
      </c>
      <c r="Q47" s="104">
        <f t="shared" si="6"/>
        <v>96</v>
      </c>
      <c r="R47" s="104">
        <f t="shared" si="6"/>
        <v>6</v>
      </c>
      <c r="S47" s="104">
        <f t="shared" si="6"/>
        <v>96</v>
      </c>
      <c r="T47" s="104">
        <f t="shared" si="6"/>
        <v>12</v>
      </c>
      <c r="U47" s="135">
        <f t="shared" si="6"/>
        <v>192</v>
      </c>
    </row>
    <row r="48" spans="2:21">
      <c r="B48" s="649" t="s">
        <v>405</v>
      </c>
      <c r="C48" s="652">
        <v>12</v>
      </c>
      <c r="D48" s="86" t="s">
        <v>425</v>
      </c>
      <c r="E48" s="86" t="s">
        <v>424</v>
      </c>
      <c r="F48" s="86">
        <v>60</v>
      </c>
      <c r="G48" s="86">
        <v>6</v>
      </c>
      <c r="H48" s="89"/>
      <c r="I48" s="89"/>
      <c r="J48" s="89"/>
      <c r="K48" s="89"/>
      <c r="L48" s="89"/>
      <c r="M48" s="89"/>
      <c r="N48" s="89"/>
      <c r="O48" s="89"/>
      <c r="P48" s="89">
        <v>3</v>
      </c>
      <c r="Q48" s="89">
        <f>P48*16</f>
        <v>48</v>
      </c>
      <c r="R48" s="89"/>
      <c r="S48" s="89"/>
      <c r="T48" s="26">
        <v>3</v>
      </c>
      <c r="U48" s="25">
        <v>48</v>
      </c>
    </row>
    <row r="49" spans="2:21">
      <c r="B49" s="650"/>
      <c r="C49" s="653"/>
      <c r="D49" s="87" t="s">
        <v>480</v>
      </c>
      <c r="E49" s="87" t="s">
        <v>479</v>
      </c>
      <c r="F49" s="87">
        <v>30</v>
      </c>
      <c r="G49" s="87">
        <v>5</v>
      </c>
      <c r="H49" s="90"/>
      <c r="I49" s="90"/>
      <c r="J49" s="90"/>
      <c r="K49" s="90"/>
      <c r="L49" s="90"/>
      <c r="M49" s="90"/>
      <c r="N49" s="90"/>
      <c r="O49" s="90"/>
      <c r="P49" s="90">
        <v>3</v>
      </c>
      <c r="Q49" s="90">
        <v>48</v>
      </c>
      <c r="R49" s="90"/>
      <c r="S49" s="91"/>
      <c r="T49" s="24">
        <v>3</v>
      </c>
      <c r="U49" s="23">
        <v>48</v>
      </c>
    </row>
    <row r="50" spans="2:21">
      <c r="B50" s="650"/>
      <c r="C50" s="653"/>
      <c r="D50" s="87" t="s">
        <v>423</v>
      </c>
      <c r="E50" s="87" t="s">
        <v>422</v>
      </c>
      <c r="F50" s="87">
        <v>40</v>
      </c>
      <c r="G50" s="87">
        <v>4</v>
      </c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>
        <v>3</v>
      </c>
      <c r="S50" s="91">
        <v>48</v>
      </c>
      <c r="T50" s="24">
        <v>3</v>
      </c>
      <c r="U50" s="23">
        <v>48</v>
      </c>
    </row>
    <row r="51" spans="2:21">
      <c r="B51" s="661"/>
      <c r="C51" s="653"/>
      <c r="D51" s="88" t="s">
        <v>427</v>
      </c>
      <c r="E51" s="88" t="s">
        <v>426</v>
      </c>
      <c r="F51" s="88">
        <v>20</v>
      </c>
      <c r="G51" s="88">
        <v>5</v>
      </c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>
        <v>3</v>
      </c>
      <c r="S51" s="91">
        <v>48</v>
      </c>
      <c r="T51" s="22">
        <v>3</v>
      </c>
      <c r="U51" s="21">
        <v>48</v>
      </c>
    </row>
    <row r="52" spans="2:21" ht="18" thickBot="1">
      <c r="B52" s="651"/>
      <c r="C52" s="654"/>
      <c r="D52" s="647" t="s">
        <v>16</v>
      </c>
      <c r="E52" s="648"/>
      <c r="F52" s="274"/>
      <c r="G52" s="274"/>
      <c r="H52" s="104"/>
      <c r="I52" s="104"/>
      <c r="J52" s="104"/>
      <c r="K52" s="104"/>
      <c r="L52" s="104"/>
      <c r="M52" s="104"/>
      <c r="N52" s="104"/>
      <c r="O52" s="104"/>
      <c r="P52" s="104">
        <f t="shared" ref="P52:U52" si="7">SUM(P48:P51)</f>
        <v>6</v>
      </c>
      <c r="Q52" s="104">
        <f t="shared" si="7"/>
        <v>96</v>
      </c>
      <c r="R52" s="104">
        <f t="shared" si="7"/>
        <v>6</v>
      </c>
      <c r="S52" s="104">
        <f t="shared" si="7"/>
        <v>96</v>
      </c>
      <c r="T52" s="104">
        <f t="shared" si="7"/>
        <v>12</v>
      </c>
      <c r="U52" s="135">
        <f t="shared" si="7"/>
        <v>192</v>
      </c>
    </row>
    <row r="53" spans="2:21">
      <c r="B53" s="649" t="s">
        <v>406</v>
      </c>
      <c r="C53" s="652">
        <v>12</v>
      </c>
      <c r="D53" s="86" t="s">
        <v>425</v>
      </c>
      <c r="E53" s="86" t="s">
        <v>424</v>
      </c>
      <c r="F53" s="86">
        <v>60</v>
      </c>
      <c r="G53" s="86">
        <v>6</v>
      </c>
      <c r="H53" s="89"/>
      <c r="I53" s="89"/>
      <c r="J53" s="89"/>
      <c r="K53" s="89"/>
      <c r="L53" s="89"/>
      <c r="M53" s="89"/>
      <c r="N53" s="89"/>
      <c r="O53" s="89"/>
      <c r="P53" s="89">
        <v>3</v>
      </c>
      <c r="Q53" s="89">
        <f>P53*16</f>
        <v>48</v>
      </c>
      <c r="R53" s="89"/>
      <c r="S53" s="89"/>
      <c r="T53" s="26">
        <v>3</v>
      </c>
      <c r="U53" s="25">
        <v>48</v>
      </c>
    </row>
    <row r="54" spans="2:21">
      <c r="B54" s="650"/>
      <c r="C54" s="653"/>
      <c r="D54" s="87" t="s">
        <v>478</v>
      </c>
      <c r="E54" s="87" t="s">
        <v>477</v>
      </c>
      <c r="F54" s="87">
        <v>50</v>
      </c>
      <c r="G54" s="87">
        <v>4</v>
      </c>
      <c r="H54" s="90"/>
      <c r="I54" s="90"/>
      <c r="J54" s="90"/>
      <c r="K54" s="90"/>
      <c r="L54" s="90"/>
      <c r="M54" s="90"/>
      <c r="N54" s="90"/>
      <c r="O54" s="90"/>
      <c r="P54" s="90">
        <v>3</v>
      </c>
      <c r="Q54" s="90">
        <v>48</v>
      </c>
      <c r="R54" s="90"/>
      <c r="S54" s="91"/>
      <c r="T54" s="24">
        <v>3</v>
      </c>
      <c r="U54" s="23">
        <v>48</v>
      </c>
    </row>
    <row r="55" spans="2:21">
      <c r="B55" s="650"/>
      <c r="C55" s="653"/>
      <c r="D55" s="87" t="s">
        <v>423</v>
      </c>
      <c r="E55" s="87" t="s">
        <v>422</v>
      </c>
      <c r="F55" s="87">
        <v>40</v>
      </c>
      <c r="G55" s="87">
        <v>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>
        <v>3</v>
      </c>
      <c r="S55" s="91">
        <v>48</v>
      </c>
      <c r="T55" s="24">
        <v>3</v>
      </c>
      <c r="U55" s="23">
        <v>48</v>
      </c>
    </row>
    <row r="56" spans="2:21">
      <c r="B56" s="661"/>
      <c r="C56" s="653"/>
      <c r="D56" s="88" t="s">
        <v>476</v>
      </c>
      <c r="E56" s="88" t="s">
        <v>475</v>
      </c>
      <c r="F56" s="88">
        <v>50</v>
      </c>
      <c r="G56" s="88">
        <v>4</v>
      </c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>
        <v>3</v>
      </c>
      <c r="S56" s="91">
        <v>48</v>
      </c>
      <c r="T56" s="22">
        <v>3</v>
      </c>
      <c r="U56" s="21">
        <v>48</v>
      </c>
    </row>
    <row r="57" spans="2:21" ht="18" thickBot="1">
      <c r="B57" s="651"/>
      <c r="C57" s="654"/>
      <c r="D57" s="647" t="s">
        <v>16</v>
      </c>
      <c r="E57" s="648"/>
      <c r="F57" s="274"/>
      <c r="G57" s="274"/>
      <c r="H57" s="104"/>
      <c r="I57" s="104"/>
      <c r="J57" s="104"/>
      <c r="K57" s="104"/>
      <c r="L57" s="104"/>
      <c r="M57" s="104"/>
      <c r="N57" s="104"/>
      <c r="O57" s="104"/>
      <c r="P57" s="104">
        <f t="shared" ref="P57:U57" si="8">SUM(P53:P56)</f>
        <v>6</v>
      </c>
      <c r="Q57" s="104">
        <f t="shared" si="8"/>
        <v>96</v>
      </c>
      <c r="R57" s="104">
        <f t="shared" si="8"/>
        <v>6</v>
      </c>
      <c r="S57" s="104">
        <f t="shared" si="8"/>
        <v>96</v>
      </c>
      <c r="T57" s="104">
        <f t="shared" si="8"/>
        <v>12</v>
      </c>
      <c r="U57" s="135">
        <f t="shared" si="8"/>
        <v>192</v>
      </c>
    </row>
    <row r="58" spans="2:21">
      <c r="B58" s="645" t="s">
        <v>368</v>
      </c>
      <c r="C58" s="652">
        <v>4</v>
      </c>
      <c r="D58" s="86" t="s">
        <v>517</v>
      </c>
      <c r="E58" s="86" t="s">
        <v>404</v>
      </c>
      <c r="F58" s="87">
        <v>40</v>
      </c>
      <c r="G58" s="87">
        <v>2</v>
      </c>
      <c r="H58" s="122"/>
      <c r="I58" s="122"/>
      <c r="J58" s="122"/>
      <c r="K58" s="122"/>
      <c r="L58" s="89"/>
      <c r="M58" s="89"/>
      <c r="N58" s="89"/>
      <c r="O58" s="89"/>
      <c r="P58" s="89">
        <v>2</v>
      </c>
      <c r="Q58" s="89">
        <v>32</v>
      </c>
      <c r="R58" s="89"/>
      <c r="S58" s="89"/>
      <c r="T58" s="123">
        <v>2</v>
      </c>
      <c r="U58" s="124">
        <v>32</v>
      </c>
    </row>
    <row r="59" spans="2:21">
      <c r="B59" s="632"/>
      <c r="C59" s="653"/>
      <c r="D59" s="87" t="s">
        <v>757</v>
      </c>
      <c r="E59" s="87" t="s">
        <v>758</v>
      </c>
      <c r="F59" s="87">
        <v>24</v>
      </c>
      <c r="G59" s="87">
        <v>2</v>
      </c>
      <c r="H59" s="125"/>
      <c r="I59" s="125"/>
      <c r="J59" s="125"/>
      <c r="K59" s="125"/>
      <c r="L59" s="90"/>
      <c r="M59" s="90"/>
      <c r="N59" s="90"/>
      <c r="O59" s="90"/>
      <c r="P59" s="90"/>
      <c r="Q59" s="90"/>
      <c r="R59" s="90">
        <v>1</v>
      </c>
      <c r="S59" s="90">
        <v>16</v>
      </c>
      <c r="T59" s="281">
        <v>1</v>
      </c>
      <c r="U59" s="282">
        <v>16</v>
      </c>
    </row>
    <row r="60" spans="2:21">
      <c r="B60" s="632"/>
      <c r="C60" s="653"/>
      <c r="D60" s="87" t="s">
        <v>388</v>
      </c>
      <c r="E60" s="87" t="s">
        <v>518</v>
      </c>
      <c r="F60" s="87">
        <v>40</v>
      </c>
      <c r="G60" s="87">
        <v>3</v>
      </c>
      <c r="H60" s="125"/>
      <c r="I60" s="125"/>
      <c r="J60" s="125"/>
      <c r="K60" s="125"/>
      <c r="L60" s="90"/>
      <c r="M60" s="90"/>
      <c r="N60" s="90"/>
      <c r="O60" s="90"/>
      <c r="P60" s="90"/>
      <c r="Q60" s="90"/>
      <c r="R60" s="90">
        <v>2</v>
      </c>
      <c r="S60" s="90">
        <v>32</v>
      </c>
      <c r="T60" s="281">
        <v>2</v>
      </c>
      <c r="U60" s="282">
        <v>32</v>
      </c>
    </row>
    <row r="61" spans="2:21" ht="18" thickBot="1">
      <c r="B61" s="633"/>
      <c r="C61" s="654"/>
      <c r="D61" s="647" t="s">
        <v>16</v>
      </c>
      <c r="E61" s="648"/>
      <c r="F61" s="130"/>
      <c r="G61" s="130"/>
      <c r="H61" s="131">
        <f>SUM(H58:H60)</f>
        <v>0</v>
      </c>
      <c r="I61" s="131">
        <f>SUM(I58:I60)</f>
        <v>0</v>
      </c>
      <c r="J61" s="131">
        <f>SUM(J58:J60)</f>
        <v>0</v>
      </c>
      <c r="K61" s="131">
        <f>SUM(K58:K60)</f>
        <v>0</v>
      </c>
      <c r="L61" s="104"/>
      <c r="M61" s="104"/>
      <c r="N61" s="104"/>
      <c r="O61" s="104"/>
      <c r="P61" s="104">
        <f t="shared" ref="P61:U61" si="9">SUM(P58:P60)</f>
        <v>2</v>
      </c>
      <c r="Q61" s="104">
        <f t="shared" si="9"/>
        <v>32</v>
      </c>
      <c r="R61" s="104">
        <f t="shared" si="9"/>
        <v>3</v>
      </c>
      <c r="S61" s="104">
        <f t="shared" si="9"/>
        <v>48</v>
      </c>
      <c r="T61" s="104">
        <f t="shared" si="9"/>
        <v>5</v>
      </c>
      <c r="U61" s="135">
        <f t="shared" si="9"/>
        <v>80</v>
      </c>
    </row>
    <row r="62" spans="2:21">
      <c r="B62" s="645" t="s">
        <v>490</v>
      </c>
      <c r="C62" s="652">
        <v>10</v>
      </c>
      <c r="D62" s="86" t="s">
        <v>844</v>
      </c>
      <c r="E62" s="285" t="s">
        <v>843</v>
      </c>
      <c r="F62" s="87">
        <v>50</v>
      </c>
      <c r="G62" s="87">
        <v>2</v>
      </c>
      <c r="H62" s="105"/>
      <c r="I62" s="105"/>
      <c r="J62" s="105"/>
      <c r="K62" s="105"/>
      <c r="L62" s="89">
        <v>3</v>
      </c>
      <c r="M62" s="89">
        <f>L62*16</f>
        <v>48</v>
      </c>
      <c r="N62" s="89"/>
      <c r="O62" s="89"/>
      <c r="P62" s="89"/>
      <c r="Q62" s="89"/>
      <c r="R62" s="89"/>
      <c r="S62" s="89"/>
      <c r="T62" s="100">
        <v>3</v>
      </c>
      <c r="U62" s="102">
        <v>48</v>
      </c>
    </row>
    <row r="63" spans="2:21">
      <c r="B63" s="632"/>
      <c r="C63" s="653"/>
      <c r="D63" s="87" t="s">
        <v>494</v>
      </c>
      <c r="E63" s="87" t="s">
        <v>492</v>
      </c>
      <c r="F63" s="87">
        <v>40</v>
      </c>
      <c r="G63" s="87">
        <v>3</v>
      </c>
      <c r="H63" s="106"/>
      <c r="I63" s="106"/>
      <c r="J63" s="106"/>
      <c r="K63" s="106"/>
      <c r="L63" s="91">
        <v>2</v>
      </c>
      <c r="M63" s="91">
        <f>L63*16</f>
        <v>32</v>
      </c>
      <c r="N63" s="90"/>
      <c r="O63" s="90"/>
      <c r="P63" s="90"/>
      <c r="Q63" s="90"/>
      <c r="R63" s="90"/>
      <c r="S63" s="90"/>
      <c r="T63" s="101">
        <v>2</v>
      </c>
      <c r="U63" s="103">
        <v>32</v>
      </c>
    </row>
    <row r="64" spans="2:21">
      <c r="B64" s="632"/>
      <c r="C64" s="653"/>
      <c r="D64" s="87" t="s">
        <v>495</v>
      </c>
      <c r="E64" s="87" t="s">
        <v>493</v>
      </c>
      <c r="F64" s="87">
        <v>50</v>
      </c>
      <c r="G64" s="87">
        <v>3</v>
      </c>
      <c r="H64" s="106"/>
      <c r="I64" s="106"/>
      <c r="J64" s="106"/>
      <c r="K64" s="106"/>
      <c r="L64" s="106"/>
      <c r="M64" s="90"/>
      <c r="N64" s="90">
        <v>3</v>
      </c>
      <c r="O64" s="90">
        <v>48</v>
      </c>
      <c r="P64" s="90"/>
      <c r="Q64" s="90"/>
      <c r="R64" s="90"/>
      <c r="S64" s="90"/>
      <c r="T64" s="101">
        <v>3</v>
      </c>
      <c r="U64" s="103">
        <v>48</v>
      </c>
    </row>
    <row r="65" spans="2:21">
      <c r="B65" s="632"/>
      <c r="C65" s="653"/>
      <c r="D65" s="87" t="s">
        <v>491</v>
      </c>
      <c r="E65" s="87" t="s">
        <v>496</v>
      </c>
      <c r="F65" s="87">
        <v>40</v>
      </c>
      <c r="G65" s="87">
        <v>3</v>
      </c>
      <c r="H65" s="106"/>
      <c r="I65" s="106"/>
      <c r="J65" s="106"/>
      <c r="K65" s="106"/>
      <c r="L65" s="106"/>
      <c r="M65" s="91"/>
      <c r="N65" s="91">
        <v>2</v>
      </c>
      <c r="O65" s="91">
        <v>32</v>
      </c>
      <c r="P65" s="91"/>
      <c r="Q65" s="91"/>
      <c r="R65" s="91"/>
      <c r="S65" s="90"/>
      <c r="T65" s="115">
        <v>2</v>
      </c>
      <c r="U65" s="114">
        <v>32</v>
      </c>
    </row>
    <row r="66" spans="2:21" ht="18" thickBot="1">
      <c r="B66" s="633"/>
      <c r="C66" s="654"/>
      <c r="D66" s="647" t="s">
        <v>16</v>
      </c>
      <c r="E66" s="648"/>
      <c r="F66" s="107"/>
      <c r="G66" s="107"/>
      <c r="H66" s="108">
        <f>SUM(H62:H65)</f>
        <v>0</v>
      </c>
      <c r="I66" s="108">
        <f t="shared" ref="I66:K66" si="10">SUM(I62:I65)</f>
        <v>0</v>
      </c>
      <c r="J66" s="108">
        <f t="shared" si="10"/>
        <v>0</v>
      </c>
      <c r="K66" s="108">
        <f t="shared" si="10"/>
        <v>0</v>
      </c>
      <c r="L66" s="104">
        <f>SUM(L62:L63)</f>
        <v>5</v>
      </c>
      <c r="M66" s="104">
        <f t="shared" ref="M66" si="11">SUM(M62:M63)</f>
        <v>80</v>
      </c>
      <c r="N66" s="104">
        <f>SUM(N64:N65)</f>
        <v>5</v>
      </c>
      <c r="O66" s="104">
        <f>SUM(O64:O65)</f>
        <v>80</v>
      </c>
      <c r="P66" s="104">
        <f t="shared" ref="P66:S66" si="12">SUM(P62:P63)</f>
        <v>0</v>
      </c>
      <c r="Q66" s="104">
        <f t="shared" si="12"/>
        <v>0</v>
      </c>
      <c r="R66" s="104">
        <f t="shared" si="12"/>
        <v>0</v>
      </c>
      <c r="S66" s="104">
        <f t="shared" si="12"/>
        <v>0</v>
      </c>
      <c r="T66" s="104">
        <f>SUM(T62:T65)</f>
        <v>10</v>
      </c>
      <c r="U66" s="104">
        <f>SUM(U62:U65)</f>
        <v>160</v>
      </c>
    </row>
    <row r="67" spans="2:21">
      <c r="B67" s="645" t="s">
        <v>365</v>
      </c>
      <c r="C67" s="652">
        <v>8</v>
      </c>
      <c r="D67" s="86" t="s">
        <v>378</v>
      </c>
      <c r="E67" s="86" t="s">
        <v>381</v>
      </c>
      <c r="F67" s="86">
        <v>45</v>
      </c>
      <c r="G67" s="86">
        <v>2</v>
      </c>
      <c r="H67" s="89"/>
      <c r="I67" s="89"/>
      <c r="J67" s="89"/>
      <c r="K67" s="89"/>
      <c r="L67" s="89">
        <v>2</v>
      </c>
      <c r="M67" s="89">
        <v>32</v>
      </c>
      <c r="N67" s="89"/>
      <c r="O67" s="89"/>
      <c r="P67" s="89"/>
      <c r="Q67" s="89"/>
      <c r="R67" s="89"/>
      <c r="S67" s="89"/>
      <c r="T67" s="26">
        <f>L67+N67</f>
        <v>2</v>
      </c>
      <c r="U67" s="25">
        <v>32</v>
      </c>
    </row>
    <row r="68" spans="2:21">
      <c r="B68" s="632"/>
      <c r="C68" s="653"/>
      <c r="D68" s="266" t="s">
        <v>520</v>
      </c>
      <c r="E68" s="266" t="s">
        <v>521</v>
      </c>
      <c r="F68" s="266">
        <v>45</v>
      </c>
      <c r="G68" s="266">
        <v>5</v>
      </c>
      <c r="H68" s="278"/>
      <c r="I68" s="278"/>
      <c r="J68" s="278"/>
      <c r="K68" s="278"/>
      <c r="L68" s="278">
        <v>2</v>
      </c>
      <c r="M68" s="278">
        <v>32</v>
      </c>
      <c r="N68" s="278"/>
      <c r="O68" s="278"/>
      <c r="P68" s="278"/>
      <c r="Q68" s="278"/>
      <c r="R68" s="278"/>
      <c r="S68" s="279"/>
      <c r="T68" s="24">
        <v>2</v>
      </c>
      <c r="U68" s="23">
        <v>32</v>
      </c>
    </row>
    <row r="69" spans="2:21">
      <c r="B69" s="632"/>
      <c r="C69" s="653"/>
      <c r="D69" s="87" t="s">
        <v>379</v>
      </c>
      <c r="E69" s="87" t="s">
        <v>382</v>
      </c>
      <c r="F69" s="87">
        <v>100</v>
      </c>
      <c r="G69" s="87">
        <v>3</v>
      </c>
      <c r="H69" s="90"/>
      <c r="I69" s="90"/>
      <c r="J69" s="90"/>
      <c r="K69" s="90"/>
      <c r="L69" s="90"/>
      <c r="M69" s="90"/>
      <c r="N69" s="90">
        <v>2</v>
      </c>
      <c r="O69" s="90">
        <v>32</v>
      </c>
      <c r="P69" s="91"/>
      <c r="Q69" s="90"/>
      <c r="R69" s="90"/>
      <c r="S69" s="91"/>
      <c r="T69" s="24">
        <v>2</v>
      </c>
      <c r="U69" s="23">
        <v>32</v>
      </c>
    </row>
    <row r="70" spans="2:21">
      <c r="B70" s="632"/>
      <c r="C70" s="653"/>
      <c r="D70" s="267" t="s">
        <v>380</v>
      </c>
      <c r="E70" s="267" t="s">
        <v>383</v>
      </c>
      <c r="F70" s="267">
        <v>100</v>
      </c>
      <c r="G70" s="267">
        <v>4</v>
      </c>
      <c r="H70" s="279"/>
      <c r="I70" s="279"/>
      <c r="J70" s="279"/>
      <c r="K70" s="279"/>
      <c r="L70" s="279"/>
      <c r="M70" s="279"/>
      <c r="N70" s="279">
        <v>2</v>
      </c>
      <c r="O70" s="279">
        <v>32</v>
      </c>
      <c r="Q70" s="279"/>
      <c r="R70" s="279"/>
      <c r="S70" s="279"/>
      <c r="T70" s="22">
        <v>2</v>
      </c>
      <c r="U70" s="21">
        <v>32</v>
      </c>
    </row>
    <row r="71" spans="2:21" ht="18" thickBot="1">
      <c r="B71" s="633"/>
      <c r="C71" s="654"/>
      <c r="D71" s="647" t="s">
        <v>16</v>
      </c>
      <c r="E71" s="648"/>
      <c r="F71" s="274"/>
      <c r="G71" s="274"/>
      <c r="H71" s="104">
        <f t="shared" ref="H71:U71" si="13">SUM(H67:H70)</f>
        <v>0</v>
      </c>
      <c r="I71" s="104">
        <f t="shared" si="13"/>
        <v>0</v>
      </c>
      <c r="J71" s="104">
        <f t="shared" si="13"/>
        <v>0</v>
      </c>
      <c r="K71" s="104">
        <f t="shared" si="13"/>
        <v>0</v>
      </c>
      <c r="L71" s="104">
        <f t="shared" si="13"/>
        <v>4</v>
      </c>
      <c r="M71" s="104">
        <f t="shared" si="13"/>
        <v>64</v>
      </c>
      <c r="N71" s="104">
        <f t="shared" si="13"/>
        <v>4</v>
      </c>
      <c r="O71" s="104">
        <f t="shared" si="13"/>
        <v>64</v>
      </c>
      <c r="P71" s="104">
        <f>SUM(P67:P69)</f>
        <v>0</v>
      </c>
      <c r="Q71" s="104">
        <f t="shared" si="13"/>
        <v>0</v>
      </c>
      <c r="R71" s="104">
        <f t="shared" si="13"/>
        <v>0</v>
      </c>
      <c r="S71" s="104">
        <f t="shared" si="13"/>
        <v>0</v>
      </c>
      <c r="T71" s="104">
        <f t="shared" si="13"/>
        <v>8</v>
      </c>
      <c r="U71" s="135">
        <f t="shared" si="13"/>
        <v>128</v>
      </c>
    </row>
    <row r="72" spans="2:21" ht="17.399999999999999" customHeight="1">
      <c r="B72" s="645" t="s">
        <v>376</v>
      </c>
      <c r="C72" s="652">
        <v>4</v>
      </c>
      <c r="D72" s="86" t="s">
        <v>384</v>
      </c>
      <c r="E72" s="86" t="s">
        <v>386</v>
      </c>
      <c r="F72" s="86">
        <v>30</v>
      </c>
      <c r="G72" s="86">
        <v>3</v>
      </c>
      <c r="H72" s="89"/>
      <c r="I72" s="89"/>
      <c r="J72" s="89"/>
      <c r="K72" s="89"/>
      <c r="L72" s="89"/>
      <c r="M72" s="89"/>
      <c r="N72" s="89">
        <v>2</v>
      </c>
      <c r="O72" s="89">
        <v>32</v>
      </c>
      <c r="P72" s="89"/>
      <c r="Q72" s="89"/>
      <c r="R72" s="89"/>
      <c r="S72" s="89"/>
      <c r="T72" s="232">
        <v>2</v>
      </c>
      <c r="U72" s="233">
        <v>32</v>
      </c>
    </row>
    <row r="73" spans="2:21">
      <c r="B73" s="632"/>
      <c r="C73" s="653"/>
      <c r="D73" s="87" t="s">
        <v>385</v>
      </c>
      <c r="E73" s="87" t="s">
        <v>387</v>
      </c>
      <c r="F73" s="87">
        <v>60</v>
      </c>
      <c r="G73" s="87">
        <v>2</v>
      </c>
      <c r="H73" s="90"/>
      <c r="I73" s="90"/>
      <c r="J73" s="90"/>
      <c r="K73" s="90"/>
      <c r="L73" s="90"/>
      <c r="M73" s="90"/>
      <c r="N73" s="90">
        <v>2</v>
      </c>
      <c r="O73" s="90">
        <v>32</v>
      </c>
      <c r="P73" s="90"/>
      <c r="Q73" s="90"/>
      <c r="R73" s="90"/>
      <c r="S73" s="91"/>
      <c r="T73" s="234">
        <v>2</v>
      </c>
      <c r="U73" s="235">
        <v>32</v>
      </c>
    </row>
    <row r="74" spans="2:21" ht="18" thickBot="1">
      <c r="B74" s="633"/>
      <c r="C74" s="654"/>
      <c r="D74" s="272" t="s">
        <v>16</v>
      </c>
      <c r="E74" s="273"/>
      <c r="F74" s="274"/>
      <c r="G74" s="274"/>
      <c r="H74" s="104">
        <f t="shared" ref="H74:U74" si="14">SUM(H72:H73)</f>
        <v>0</v>
      </c>
      <c r="I74" s="104">
        <f t="shared" si="14"/>
        <v>0</v>
      </c>
      <c r="J74" s="104">
        <f t="shared" si="14"/>
        <v>0</v>
      </c>
      <c r="K74" s="104">
        <f t="shared" si="14"/>
        <v>0</v>
      </c>
      <c r="L74" s="104">
        <f t="shared" si="14"/>
        <v>0</v>
      </c>
      <c r="M74" s="104">
        <f t="shared" si="14"/>
        <v>0</v>
      </c>
      <c r="N74" s="104">
        <f t="shared" si="14"/>
        <v>4</v>
      </c>
      <c r="O74" s="104">
        <f t="shared" si="14"/>
        <v>64</v>
      </c>
      <c r="P74" s="104">
        <f t="shared" si="14"/>
        <v>0</v>
      </c>
      <c r="Q74" s="104">
        <f t="shared" si="14"/>
        <v>0</v>
      </c>
      <c r="R74" s="104">
        <f t="shared" si="14"/>
        <v>0</v>
      </c>
      <c r="S74" s="104">
        <f t="shared" si="14"/>
        <v>0</v>
      </c>
      <c r="T74" s="104">
        <f t="shared" si="14"/>
        <v>4</v>
      </c>
      <c r="U74" s="135">
        <f t="shared" si="14"/>
        <v>64</v>
      </c>
    </row>
    <row r="75" spans="2:21">
      <c r="B75" s="645" t="s">
        <v>377</v>
      </c>
      <c r="C75" s="652">
        <v>8</v>
      </c>
      <c r="D75" s="86" t="s">
        <v>389</v>
      </c>
      <c r="E75" s="86" t="s">
        <v>392</v>
      </c>
      <c r="F75" s="86">
        <v>20</v>
      </c>
      <c r="G75" s="86">
        <v>3</v>
      </c>
      <c r="H75" s="89"/>
      <c r="I75" s="89"/>
      <c r="J75" s="89"/>
      <c r="K75" s="89"/>
      <c r="L75" s="89">
        <v>2</v>
      </c>
      <c r="M75" s="89">
        <v>32</v>
      </c>
      <c r="N75" s="89"/>
      <c r="O75" s="89"/>
      <c r="P75" s="89"/>
      <c r="Q75" s="89"/>
      <c r="R75" s="89"/>
      <c r="S75" s="89"/>
      <c r="T75" s="26">
        <v>2</v>
      </c>
      <c r="U75" s="25">
        <v>32</v>
      </c>
    </row>
    <row r="76" spans="2:21">
      <c r="B76" s="632"/>
      <c r="C76" s="653"/>
      <c r="D76" s="87" t="s">
        <v>390</v>
      </c>
      <c r="E76" s="87" t="s">
        <v>393</v>
      </c>
      <c r="F76" s="87">
        <v>20</v>
      </c>
      <c r="G76" s="87">
        <v>2</v>
      </c>
      <c r="H76" s="90"/>
      <c r="I76" s="90"/>
      <c r="J76" s="90"/>
      <c r="K76" s="90"/>
      <c r="L76" s="90">
        <v>2</v>
      </c>
      <c r="M76" s="90">
        <v>32</v>
      </c>
      <c r="N76" s="90"/>
      <c r="O76" s="90"/>
      <c r="P76" s="90"/>
      <c r="Q76" s="90"/>
      <c r="R76" s="90"/>
      <c r="S76" s="91"/>
      <c r="T76" s="24">
        <v>2</v>
      </c>
      <c r="U76" s="23">
        <v>32</v>
      </c>
    </row>
    <row r="77" spans="2:21">
      <c r="B77" s="632"/>
      <c r="C77" s="653"/>
      <c r="D77" s="87" t="s">
        <v>391</v>
      </c>
      <c r="E77" s="87" t="s">
        <v>394</v>
      </c>
      <c r="F77" s="87">
        <v>80</v>
      </c>
      <c r="G77" s="87">
        <v>3</v>
      </c>
      <c r="H77" s="90"/>
      <c r="I77" s="90"/>
      <c r="J77" s="90"/>
      <c r="K77" s="90"/>
      <c r="L77" s="90"/>
      <c r="M77" s="90"/>
      <c r="N77" s="90">
        <v>4</v>
      </c>
      <c r="O77" s="90">
        <f>N77*16</f>
        <v>64</v>
      </c>
      <c r="P77" s="90"/>
      <c r="Q77" s="90"/>
      <c r="R77" s="90"/>
      <c r="S77" s="91"/>
      <c r="T77" s="24">
        <v>4</v>
      </c>
      <c r="U77" s="23">
        <v>64</v>
      </c>
    </row>
    <row r="78" spans="2:21" ht="18" thickBot="1">
      <c r="B78" s="633"/>
      <c r="C78" s="654"/>
      <c r="D78" s="272" t="s">
        <v>16</v>
      </c>
      <c r="E78" s="273"/>
      <c r="F78" s="274"/>
      <c r="G78" s="274"/>
      <c r="H78" s="104">
        <f>SUM(H75:H77)</f>
        <v>0</v>
      </c>
      <c r="I78" s="104">
        <f t="shared" ref="I78:U78" si="15">SUM(I75:I77)</f>
        <v>0</v>
      </c>
      <c r="J78" s="104">
        <f t="shared" si="15"/>
        <v>0</v>
      </c>
      <c r="K78" s="104">
        <f t="shared" si="15"/>
        <v>0</v>
      </c>
      <c r="L78" s="104">
        <f t="shared" si="15"/>
        <v>4</v>
      </c>
      <c r="M78" s="104">
        <f t="shared" si="15"/>
        <v>64</v>
      </c>
      <c r="N78" s="104">
        <f t="shared" si="15"/>
        <v>4</v>
      </c>
      <c r="O78" s="104">
        <f t="shared" si="15"/>
        <v>64</v>
      </c>
      <c r="P78" s="104">
        <f t="shared" si="15"/>
        <v>0</v>
      </c>
      <c r="Q78" s="104">
        <f t="shared" si="15"/>
        <v>0</v>
      </c>
      <c r="R78" s="104">
        <f t="shared" si="15"/>
        <v>0</v>
      </c>
      <c r="S78" s="104">
        <f t="shared" si="15"/>
        <v>0</v>
      </c>
      <c r="T78" s="104">
        <f t="shared" si="15"/>
        <v>8</v>
      </c>
      <c r="U78" s="135">
        <f t="shared" si="15"/>
        <v>128</v>
      </c>
    </row>
    <row r="79" spans="2:21">
      <c r="B79" s="645" t="s">
        <v>395</v>
      </c>
      <c r="C79" s="652">
        <v>8</v>
      </c>
      <c r="D79" s="134" t="s">
        <v>396</v>
      </c>
      <c r="E79" s="134" t="s">
        <v>403</v>
      </c>
      <c r="F79" s="109">
        <v>20</v>
      </c>
      <c r="G79" s="109">
        <v>2</v>
      </c>
      <c r="H79" s="133"/>
      <c r="I79" s="133"/>
      <c r="J79" s="133"/>
      <c r="K79" s="133"/>
      <c r="L79" s="133">
        <v>2</v>
      </c>
      <c r="M79" s="133">
        <v>32</v>
      </c>
      <c r="N79" s="133"/>
      <c r="O79" s="133"/>
      <c r="P79" s="133"/>
      <c r="Q79" s="133"/>
      <c r="R79" s="133"/>
      <c r="S79" s="133"/>
      <c r="T79" s="138">
        <v>2</v>
      </c>
      <c r="U79" s="259">
        <v>32</v>
      </c>
    </row>
    <row r="80" spans="2:21">
      <c r="B80" s="632"/>
      <c r="C80" s="653"/>
      <c r="D80" s="88" t="s">
        <v>397</v>
      </c>
      <c r="E80" s="88" t="s">
        <v>402</v>
      </c>
      <c r="F80" s="110">
        <v>20</v>
      </c>
      <c r="G80" s="110">
        <v>2</v>
      </c>
      <c r="H80" s="132"/>
      <c r="I80" s="132"/>
      <c r="J80" s="132"/>
      <c r="K80" s="132"/>
      <c r="L80" s="132">
        <v>2</v>
      </c>
      <c r="M80" s="132">
        <v>32</v>
      </c>
      <c r="N80" s="132"/>
      <c r="O80" s="132"/>
      <c r="P80" s="132"/>
      <c r="Q80" s="132"/>
      <c r="R80" s="132"/>
      <c r="S80" s="132"/>
      <c r="T80" s="139">
        <v>2</v>
      </c>
      <c r="U80" s="260">
        <v>32</v>
      </c>
    </row>
    <row r="81" spans="2:21">
      <c r="B81" s="632"/>
      <c r="C81" s="653"/>
      <c r="D81" s="88" t="s">
        <v>398</v>
      </c>
      <c r="E81" s="88" t="s">
        <v>401</v>
      </c>
      <c r="F81" s="110">
        <v>20</v>
      </c>
      <c r="G81" s="110">
        <v>2</v>
      </c>
      <c r="H81" s="132"/>
      <c r="I81" s="132"/>
      <c r="J81" s="132"/>
      <c r="K81" s="132"/>
      <c r="L81" s="132"/>
      <c r="M81" s="132"/>
      <c r="N81" s="132">
        <v>1</v>
      </c>
      <c r="O81" s="132">
        <v>16</v>
      </c>
      <c r="P81" s="132"/>
      <c r="Q81" s="132"/>
      <c r="R81" s="132"/>
      <c r="S81" s="132"/>
      <c r="T81" s="139">
        <v>1</v>
      </c>
      <c r="U81" s="260">
        <v>16</v>
      </c>
    </row>
    <row r="82" spans="2:21">
      <c r="B82" s="632"/>
      <c r="C82" s="653"/>
      <c r="D82" s="88" t="s">
        <v>399</v>
      </c>
      <c r="E82" s="88" t="s">
        <v>400</v>
      </c>
      <c r="F82" s="110">
        <v>50</v>
      </c>
      <c r="G82" s="110">
        <v>2</v>
      </c>
      <c r="H82" s="132"/>
      <c r="I82" s="132"/>
      <c r="J82" s="132"/>
      <c r="K82" s="132"/>
      <c r="L82" s="132"/>
      <c r="M82" s="132"/>
      <c r="N82" s="132">
        <v>3</v>
      </c>
      <c r="O82" s="132">
        <v>48</v>
      </c>
      <c r="P82" s="132"/>
      <c r="Q82" s="132"/>
      <c r="R82" s="132"/>
      <c r="S82" s="132"/>
      <c r="T82" s="139">
        <v>3</v>
      </c>
      <c r="U82" s="260">
        <v>48</v>
      </c>
    </row>
    <row r="83" spans="2:21" ht="18" thickBot="1">
      <c r="B83" s="633"/>
      <c r="C83" s="654"/>
      <c r="D83" s="272" t="s">
        <v>16</v>
      </c>
      <c r="E83" s="273"/>
      <c r="F83" s="136"/>
      <c r="G83" s="107"/>
      <c r="H83" s="108">
        <f t="shared" ref="H83:U83" si="16">SUM(H79:H82)</f>
        <v>0</v>
      </c>
      <c r="I83" s="108">
        <f t="shared" si="16"/>
        <v>0</v>
      </c>
      <c r="J83" s="108">
        <f t="shared" si="16"/>
        <v>0</v>
      </c>
      <c r="K83" s="108">
        <f t="shared" si="16"/>
        <v>0</v>
      </c>
      <c r="L83" s="140">
        <f t="shared" si="16"/>
        <v>4</v>
      </c>
      <c r="M83" s="140">
        <f t="shared" si="16"/>
        <v>64</v>
      </c>
      <c r="N83" s="140">
        <f t="shared" si="16"/>
        <v>4</v>
      </c>
      <c r="O83" s="140">
        <f t="shared" si="16"/>
        <v>64</v>
      </c>
      <c r="P83" s="104">
        <f t="shared" si="16"/>
        <v>0</v>
      </c>
      <c r="Q83" s="104">
        <f t="shared" si="16"/>
        <v>0</v>
      </c>
      <c r="R83" s="104">
        <f t="shared" si="16"/>
        <v>0</v>
      </c>
      <c r="S83" s="104">
        <f t="shared" si="16"/>
        <v>0</v>
      </c>
      <c r="T83" s="104">
        <f t="shared" si="16"/>
        <v>8</v>
      </c>
      <c r="U83" s="135">
        <f t="shared" si="16"/>
        <v>128</v>
      </c>
    </row>
  </sheetData>
  <mergeCells count="75">
    <mergeCell ref="B72:B74"/>
    <mergeCell ref="C72:C74"/>
    <mergeCell ref="B75:B78"/>
    <mergeCell ref="C75:C78"/>
    <mergeCell ref="B79:B83"/>
    <mergeCell ref="C79:C83"/>
    <mergeCell ref="B62:B66"/>
    <mergeCell ref="C62:C66"/>
    <mergeCell ref="D66:E66"/>
    <mergeCell ref="B67:B71"/>
    <mergeCell ref="C67:C71"/>
    <mergeCell ref="D71:E71"/>
    <mergeCell ref="B53:B57"/>
    <mergeCell ref="C53:C57"/>
    <mergeCell ref="D57:E57"/>
    <mergeCell ref="B58:B61"/>
    <mergeCell ref="C58:C61"/>
    <mergeCell ref="D61:E61"/>
    <mergeCell ref="B43:B47"/>
    <mergeCell ref="C43:C47"/>
    <mergeCell ref="D47:E47"/>
    <mergeCell ref="B48:B52"/>
    <mergeCell ref="C48:C52"/>
    <mergeCell ref="D52:E52"/>
    <mergeCell ref="B35:B39"/>
    <mergeCell ref="C35:C39"/>
    <mergeCell ref="D39:E39"/>
    <mergeCell ref="B40:B42"/>
    <mergeCell ref="C40:C42"/>
    <mergeCell ref="D42:E42"/>
    <mergeCell ref="B27:B31"/>
    <mergeCell ref="C27:C31"/>
    <mergeCell ref="D31:E31"/>
    <mergeCell ref="B32:B34"/>
    <mergeCell ref="C32:C34"/>
    <mergeCell ref="D34:E34"/>
    <mergeCell ref="B19:B23"/>
    <mergeCell ref="C19:C23"/>
    <mergeCell ref="D23:E23"/>
    <mergeCell ref="B24:B26"/>
    <mergeCell ref="C24:C26"/>
    <mergeCell ref="D26:E26"/>
    <mergeCell ref="B9:B13"/>
    <mergeCell ref="C9:C13"/>
    <mergeCell ref="D13:E13"/>
    <mergeCell ref="B14:B18"/>
    <mergeCell ref="C14:C18"/>
    <mergeCell ref="D18:E18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" right="0.7" top="0.75" bottom="0.75" header="0.3" footer="0.3"/>
  <pageSetup paperSize="9" scale="33" fitToWidth="0" orientation="landscape" cellComments="asDisplaye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AF94-1F19-4E6A-8803-29C9145D8844}">
  <sheetPr>
    <pageSetUpPr fitToPage="1"/>
  </sheetPr>
  <dimension ref="B2:AG78"/>
  <sheetViews>
    <sheetView showGridLines="0" view="pageBreakPreview" topLeftCell="A49" zoomScale="90" zoomScaleNormal="85" zoomScaleSheetLayoutView="90" workbookViewId="0">
      <selection activeCell="E42" sqref="E42:E45"/>
    </sheetView>
  </sheetViews>
  <sheetFormatPr defaultRowHeight="17.399999999999999"/>
  <cols>
    <col min="1" max="1" width="3" customWidth="1"/>
    <col min="2" max="2" width="13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97" t="s">
        <v>140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</row>
    <row r="3" spans="2:33" ht="27" customHeight="1" thickBot="1"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598" t="s">
        <v>120</v>
      </c>
      <c r="O3" s="599"/>
      <c r="P3" s="600"/>
      <c r="Q3" s="598" t="s">
        <v>118</v>
      </c>
      <c r="R3" s="599"/>
      <c r="S3" s="600"/>
      <c r="T3" s="601" t="s">
        <v>121</v>
      </c>
      <c r="U3" s="602"/>
    </row>
    <row r="4" spans="2:33" ht="27" customHeight="1" thickBot="1"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603" t="s">
        <v>356</v>
      </c>
      <c r="O4" s="604"/>
      <c r="P4" s="605"/>
      <c r="Q4" s="606" t="s">
        <v>682</v>
      </c>
      <c r="R4" s="607"/>
      <c r="S4" s="608"/>
      <c r="T4" s="609">
        <v>2027</v>
      </c>
      <c r="U4" s="610"/>
    </row>
    <row r="5" spans="2:33" ht="24" customHeight="1" thickBot="1">
      <c r="B5" s="611"/>
      <c r="C5" s="611"/>
    </row>
    <row r="6" spans="2:33" ht="20.25" customHeight="1">
      <c r="B6" s="612" t="s">
        <v>13</v>
      </c>
      <c r="C6" s="615" t="s">
        <v>131</v>
      </c>
      <c r="D6" s="594" t="s">
        <v>14</v>
      </c>
      <c r="E6" s="594" t="s">
        <v>15</v>
      </c>
      <c r="F6" s="594" t="s">
        <v>132</v>
      </c>
      <c r="G6" s="594" t="s">
        <v>133</v>
      </c>
      <c r="H6" s="618" t="s">
        <v>52</v>
      </c>
      <c r="I6" s="618"/>
      <c r="J6" s="618"/>
      <c r="K6" s="618"/>
      <c r="L6" s="618" t="s">
        <v>53</v>
      </c>
      <c r="M6" s="618"/>
      <c r="N6" s="618"/>
      <c r="O6" s="618"/>
      <c r="P6" s="618" t="s">
        <v>54</v>
      </c>
      <c r="Q6" s="618"/>
      <c r="R6" s="618"/>
      <c r="S6" s="618"/>
      <c r="T6" s="619" t="s">
        <v>130</v>
      </c>
      <c r="U6" s="629" t="s">
        <v>117</v>
      </c>
      <c r="W6" s="622" t="s">
        <v>122</v>
      </c>
      <c r="X6" s="623"/>
      <c r="Y6" s="623"/>
      <c r="Z6" s="623"/>
      <c r="AA6" s="623"/>
      <c r="AB6" s="623"/>
      <c r="AC6" s="623"/>
      <c r="AD6" s="623"/>
      <c r="AE6" s="623"/>
      <c r="AF6" s="624"/>
      <c r="AG6" s="117"/>
    </row>
    <row r="7" spans="2:33" ht="16.5" customHeight="1">
      <c r="B7" s="613"/>
      <c r="C7" s="616"/>
      <c r="D7" s="595"/>
      <c r="E7" s="595"/>
      <c r="F7" s="595"/>
      <c r="G7" s="595"/>
      <c r="H7" s="625" t="s">
        <v>115</v>
      </c>
      <c r="I7" s="625"/>
      <c r="J7" s="625" t="s">
        <v>56</v>
      </c>
      <c r="K7" s="625"/>
      <c r="L7" s="625" t="s">
        <v>115</v>
      </c>
      <c r="M7" s="625"/>
      <c r="N7" s="625" t="s">
        <v>56</v>
      </c>
      <c r="O7" s="625"/>
      <c r="P7" s="625" t="s">
        <v>115</v>
      </c>
      <c r="Q7" s="625"/>
      <c r="R7" s="625" t="s">
        <v>56</v>
      </c>
      <c r="S7" s="625"/>
      <c r="T7" s="620"/>
      <c r="U7" s="630"/>
      <c r="W7" s="626" t="s">
        <v>123</v>
      </c>
      <c r="X7" s="627"/>
      <c r="Y7" s="627"/>
      <c r="Z7" s="627"/>
      <c r="AA7" s="627"/>
      <c r="AB7" s="627"/>
      <c r="AC7" s="627"/>
      <c r="AD7" s="627"/>
      <c r="AE7" s="627"/>
      <c r="AF7" s="628"/>
      <c r="AG7" s="117"/>
    </row>
    <row r="8" spans="2:33" ht="17.25" customHeight="1" thickBot="1">
      <c r="B8" s="614"/>
      <c r="C8" s="617"/>
      <c r="D8" s="596"/>
      <c r="E8" s="596"/>
      <c r="F8" s="596"/>
      <c r="G8" s="596"/>
      <c r="H8" s="121" t="s">
        <v>129</v>
      </c>
      <c r="I8" s="121" t="s">
        <v>116</v>
      </c>
      <c r="J8" s="121" t="s">
        <v>129</v>
      </c>
      <c r="K8" s="121" t="s">
        <v>116</v>
      </c>
      <c r="L8" s="121" t="s">
        <v>129</v>
      </c>
      <c r="M8" s="121" t="s">
        <v>116</v>
      </c>
      <c r="N8" s="121" t="s">
        <v>129</v>
      </c>
      <c r="O8" s="121" t="s">
        <v>116</v>
      </c>
      <c r="P8" s="121" t="s">
        <v>129</v>
      </c>
      <c r="Q8" s="121" t="s">
        <v>116</v>
      </c>
      <c r="R8" s="121" t="s">
        <v>129</v>
      </c>
      <c r="S8" s="121" t="s">
        <v>116</v>
      </c>
      <c r="T8" s="621"/>
      <c r="U8" s="631"/>
      <c r="W8" s="11"/>
      <c r="X8" s="120"/>
      <c r="Y8" s="120"/>
      <c r="Z8" s="120"/>
      <c r="AA8" s="120"/>
      <c r="AB8" s="120"/>
      <c r="AC8" s="120"/>
      <c r="AD8" s="120"/>
      <c r="AE8" s="120"/>
      <c r="AF8" s="12"/>
      <c r="AG8" s="117"/>
    </row>
    <row r="9" spans="2:33" ht="17.25" customHeight="1">
      <c r="B9" s="645" t="s">
        <v>673</v>
      </c>
      <c r="C9" s="652">
        <v>8</v>
      </c>
      <c r="D9" s="86" t="s">
        <v>684</v>
      </c>
      <c r="E9" s="86" t="s">
        <v>685</v>
      </c>
      <c r="F9" s="86">
        <v>20</v>
      </c>
      <c r="G9" s="86">
        <v>2</v>
      </c>
      <c r="H9" s="89"/>
      <c r="I9" s="89"/>
      <c r="J9" s="89"/>
      <c r="K9" s="89"/>
      <c r="L9" s="89">
        <v>1</v>
      </c>
      <c r="M9" s="89">
        <v>16</v>
      </c>
      <c r="N9" s="89"/>
      <c r="O9" s="89"/>
      <c r="P9" s="89"/>
      <c r="Q9" s="89"/>
      <c r="R9" s="89"/>
      <c r="S9" s="89"/>
      <c r="T9" s="100">
        <v>1</v>
      </c>
      <c r="U9" s="102">
        <v>16</v>
      </c>
      <c r="W9" s="11"/>
      <c r="X9" s="120"/>
      <c r="Y9" s="120"/>
      <c r="Z9" s="120"/>
      <c r="AA9" s="120"/>
      <c r="AB9" s="120"/>
      <c r="AC9" s="120"/>
      <c r="AD9" s="120"/>
      <c r="AE9" s="120"/>
      <c r="AF9" s="12"/>
      <c r="AG9" s="117"/>
    </row>
    <row r="10" spans="2:33" ht="17.25" customHeight="1">
      <c r="B10" s="632"/>
      <c r="C10" s="653"/>
      <c r="D10" s="87" t="s">
        <v>686</v>
      </c>
      <c r="E10" s="87" t="s">
        <v>687</v>
      </c>
      <c r="F10" s="87">
        <v>40</v>
      </c>
      <c r="G10" s="87">
        <v>2</v>
      </c>
      <c r="H10" s="90"/>
      <c r="I10" s="90"/>
      <c r="J10" s="90"/>
      <c r="K10" s="90"/>
      <c r="L10" s="90">
        <v>3</v>
      </c>
      <c r="M10" s="90">
        <v>48</v>
      </c>
      <c r="N10" s="91"/>
      <c r="O10" s="91"/>
      <c r="P10" s="90"/>
      <c r="Q10" s="90"/>
      <c r="R10" s="90"/>
      <c r="S10" s="90"/>
      <c r="T10" s="101">
        <v>3</v>
      </c>
      <c r="U10" s="103">
        <v>48</v>
      </c>
      <c r="W10" s="11"/>
      <c r="X10" s="120"/>
      <c r="Y10" s="120"/>
      <c r="Z10" s="120"/>
      <c r="AA10" s="120"/>
      <c r="AB10" s="120"/>
      <c r="AC10" s="120"/>
      <c r="AD10" s="120"/>
      <c r="AE10" s="120"/>
      <c r="AF10" s="12"/>
      <c r="AG10" s="117"/>
    </row>
    <row r="11" spans="2:33" ht="17.25" customHeight="1">
      <c r="B11" s="632"/>
      <c r="C11" s="653"/>
      <c r="D11" s="87" t="s">
        <v>688</v>
      </c>
      <c r="E11" s="87" t="s">
        <v>689</v>
      </c>
      <c r="F11" s="87">
        <v>40</v>
      </c>
      <c r="G11" s="87">
        <v>2</v>
      </c>
      <c r="H11" s="90"/>
      <c r="I11" s="90"/>
      <c r="J11" s="90"/>
      <c r="K11" s="90"/>
      <c r="L11" s="90"/>
      <c r="M11" s="90"/>
      <c r="N11" s="91">
        <v>2</v>
      </c>
      <c r="O11" s="91">
        <v>32</v>
      </c>
      <c r="P11" s="90"/>
      <c r="Q11" s="90"/>
      <c r="R11" s="90"/>
      <c r="S11" s="90"/>
      <c r="T11" s="101">
        <v>2</v>
      </c>
      <c r="U11" s="103">
        <v>32</v>
      </c>
      <c r="W11" s="11"/>
      <c r="X11" s="120"/>
      <c r="Y11" s="120"/>
      <c r="Z11" s="120"/>
      <c r="AA11" s="120"/>
      <c r="AB11" s="120"/>
      <c r="AC11" s="120"/>
      <c r="AD11" s="120"/>
      <c r="AE11" s="120"/>
      <c r="AF11" s="12"/>
      <c r="AG11" s="117"/>
    </row>
    <row r="12" spans="2:33" ht="16.5" customHeight="1">
      <c r="B12" s="632"/>
      <c r="C12" s="653"/>
      <c r="D12" s="87" t="s">
        <v>690</v>
      </c>
      <c r="E12" s="87" t="s">
        <v>691</v>
      </c>
      <c r="F12" s="87">
        <v>40</v>
      </c>
      <c r="G12" s="87">
        <v>2</v>
      </c>
      <c r="H12" s="90"/>
      <c r="I12" s="90"/>
      <c r="J12" s="90"/>
      <c r="K12" s="90"/>
      <c r="L12" s="90"/>
      <c r="M12" s="91"/>
      <c r="N12" s="90">
        <v>2</v>
      </c>
      <c r="O12" s="90">
        <v>32</v>
      </c>
      <c r="P12" s="91"/>
      <c r="Q12" s="91"/>
      <c r="R12" s="91"/>
      <c r="S12" s="90"/>
      <c r="T12" s="115">
        <v>2</v>
      </c>
      <c r="U12" s="114">
        <v>32</v>
      </c>
      <c r="W12" s="119"/>
      <c r="X12" s="117"/>
      <c r="Y12" s="117"/>
      <c r="Z12" s="117"/>
      <c r="AA12" s="117"/>
      <c r="AB12" s="117"/>
      <c r="AC12" s="117"/>
      <c r="AD12" s="117"/>
      <c r="AE12" s="117"/>
      <c r="AF12" s="118"/>
      <c r="AG12" s="117"/>
    </row>
    <row r="13" spans="2:33" ht="18" thickBot="1">
      <c r="B13" s="633"/>
      <c r="C13" s="654"/>
      <c r="D13" s="647" t="s">
        <v>16</v>
      </c>
      <c r="E13" s="648"/>
      <c r="F13" s="277"/>
      <c r="G13" s="277"/>
      <c r="H13" s="104">
        <f t="shared" ref="H13:U13" si="0">SUM(H9:H12)</f>
        <v>0</v>
      </c>
      <c r="I13" s="104">
        <f t="shared" si="0"/>
        <v>0</v>
      </c>
      <c r="J13" s="104">
        <f t="shared" si="0"/>
        <v>0</v>
      </c>
      <c r="K13" s="104">
        <f t="shared" si="0"/>
        <v>0</v>
      </c>
      <c r="L13" s="104">
        <f t="shared" si="0"/>
        <v>4</v>
      </c>
      <c r="M13" s="104">
        <f t="shared" si="0"/>
        <v>64</v>
      </c>
      <c r="N13" s="104">
        <f t="shared" si="0"/>
        <v>4</v>
      </c>
      <c r="O13" s="104">
        <f t="shared" si="0"/>
        <v>64</v>
      </c>
      <c r="P13" s="104">
        <f t="shared" si="0"/>
        <v>0</v>
      </c>
      <c r="Q13" s="104">
        <f t="shared" si="0"/>
        <v>0</v>
      </c>
      <c r="R13" s="104">
        <f t="shared" si="0"/>
        <v>0</v>
      </c>
      <c r="S13" s="104">
        <f t="shared" si="0"/>
        <v>0</v>
      </c>
      <c r="T13" s="104">
        <f t="shared" si="0"/>
        <v>8</v>
      </c>
      <c r="U13" s="135">
        <f t="shared" si="0"/>
        <v>128</v>
      </c>
    </row>
    <row r="14" spans="2:33">
      <c r="B14" s="649" t="s">
        <v>668</v>
      </c>
      <c r="C14" s="652">
        <v>6</v>
      </c>
      <c r="D14" s="86" t="s">
        <v>692</v>
      </c>
      <c r="E14" s="86" t="s">
        <v>693</v>
      </c>
      <c r="F14" s="86">
        <v>20</v>
      </c>
      <c r="G14" s="86">
        <v>2</v>
      </c>
      <c r="H14" s="89"/>
      <c r="I14" s="89"/>
      <c r="J14" s="89"/>
      <c r="K14" s="89"/>
      <c r="L14" s="89"/>
      <c r="M14" s="89"/>
      <c r="N14" s="89"/>
      <c r="O14" s="89"/>
      <c r="P14" s="89">
        <v>1</v>
      </c>
      <c r="Q14" s="89">
        <v>16</v>
      </c>
      <c r="R14" s="89"/>
      <c r="S14" s="89"/>
      <c r="T14" s="26">
        <v>1</v>
      </c>
      <c r="U14" s="25">
        <v>16</v>
      </c>
    </row>
    <row r="15" spans="2:33">
      <c r="B15" s="650"/>
      <c r="C15" s="653"/>
      <c r="D15" s="87" t="s">
        <v>694</v>
      </c>
      <c r="E15" s="87" t="s">
        <v>695</v>
      </c>
      <c r="F15" s="87">
        <v>40</v>
      </c>
      <c r="G15" s="87">
        <v>2</v>
      </c>
      <c r="H15" s="90"/>
      <c r="I15" s="90"/>
      <c r="J15" s="90"/>
      <c r="K15" s="90"/>
      <c r="L15" s="90"/>
      <c r="M15" s="90"/>
      <c r="N15" s="90"/>
      <c r="O15" s="91"/>
      <c r="P15" s="90">
        <v>2</v>
      </c>
      <c r="Q15" s="90">
        <v>32</v>
      </c>
      <c r="R15" s="90"/>
      <c r="S15" s="90"/>
      <c r="T15" s="248">
        <v>2</v>
      </c>
      <c r="U15" s="249">
        <v>32</v>
      </c>
    </row>
    <row r="16" spans="2:33">
      <c r="B16" s="650"/>
      <c r="C16" s="653"/>
      <c r="D16" s="87" t="s">
        <v>696</v>
      </c>
      <c r="E16" s="87" t="s">
        <v>697</v>
      </c>
      <c r="F16" s="87">
        <v>40</v>
      </c>
      <c r="G16" s="87">
        <v>2</v>
      </c>
      <c r="H16" s="90"/>
      <c r="I16" s="90"/>
      <c r="J16" s="90"/>
      <c r="K16" s="90"/>
      <c r="L16" s="90"/>
      <c r="M16" s="90"/>
      <c r="N16" s="90"/>
      <c r="O16" s="91"/>
      <c r="P16" s="90"/>
      <c r="Q16" s="90"/>
      <c r="R16" s="90">
        <v>2</v>
      </c>
      <c r="S16" s="90">
        <v>32</v>
      </c>
      <c r="T16" s="22">
        <v>2</v>
      </c>
      <c r="U16" s="21">
        <v>32</v>
      </c>
    </row>
    <row r="17" spans="2:21">
      <c r="B17" s="650"/>
      <c r="C17" s="653"/>
      <c r="D17" s="88" t="s">
        <v>698</v>
      </c>
      <c r="E17" s="88" t="s">
        <v>699</v>
      </c>
      <c r="F17" s="88">
        <v>40</v>
      </c>
      <c r="G17" s="88">
        <v>2</v>
      </c>
      <c r="H17" s="91"/>
      <c r="I17" s="91"/>
      <c r="J17" s="91"/>
      <c r="K17" s="91"/>
      <c r="L17" s="90"/>
      <c r="M17" s="90"/>
      <c r="N17" s="90"/>
      <c r="O17" s="91"/>
      <c r="P17" s="91"/>
      <c r="Q17" s="91"/>
      <c r="R17" s="91">
        <v>1</v>
      </c>
      <c r="S17" s="91">
        <v>16</v>
      </c>
      <c r="T17" s="22">
        <v>1</v>
      </c>
      <c r="U17" s="21">
        <v>16</v>
      </c>
    </row>
    <row r="18" spans="2:21" ht="18" thickBot="1">
      <c r="B18" s="651"/>
      <c r="C18" s="654"/>
      <c r="D18" s="636" t="s">
        <v>16</v>
      </c>
      <c r="E18" s="636"/>
      <c r="F18" s="277"/>
      <c r="G18" s="277"/>
      <c r="H18" s="104"/>
      <c r="I18" s="104"/>
      <c r="J18" s="104"/>
      <c r="K18" s="104"/>
      <c r="L18" s="104">
        <f t="shared" ref="L18:U18" si="1">SUM(L14:L17)</f>
        <v>0</v>
      </c>
      <c r="M18" s="104">
        <f t="shared" si="1"/>
        <v>0</v>
      </c>
      <c r="N18" s="104">
        <f t="shared" si="1"/>
        <v>0</v>
      </c>
      <c r="O18" s="104">
        <f t="shared" si="1"/>
        <v>0</v>
      </c>
      <c r="P18" s="104">
        <f t="shared" si="1"/>
        <v>3</v>
      </c>
      <c r="Q18" s="104">
        <f t="shared" si="1"/>
        <v>48</v>
      </c>
      <c r="R18" s="104">
        <f t="shared" si="1"/>
        <v>3</v>
      </c>
      <c r="S18" s="104">
        <f t="shared" si="1"/>
        <v>48</v>
      </c>
      <c r="T18" s="104">
        <f t="shared" si="1"/>
        <v>6</v>
      </c>
      <c r="U18" s="135">
        <f t="shared" si="1"/>
        <v>96</v>
      </c>
    </row>
    <row r="19" spans="2:21">
      <c r="B19" s="632" t="s">
        <v>666</v>
      </c>
      <c r="C19" s="653">
        <v>4</v>
      </c>
      <c r="D19" s="87" t="s">
        <v>700</v>
      </c>
      <c r="E19" s="86" t="s">
        <v>701</v>
      </c>
      <c r="F19" s="250">
        <v>16</v>
      </c>
      <c r="G19" s="250">
        <v>3</v>
      </c>
      <c r="H19" s="105"/>
      <c r="I19" s="105">
        <f>H19*16</f>
        <v>0</v>
      </c>
      <c r="J19" s="105"/>
      <c r="K19" s="105">
        <f>J19*16</f>
        <v>0</v>
      </c>
      <c r="L19" s="105"/>
      <c r="M19" s="105"/>
      <c r="N19" s="105"/>
      <c r="O19" s="105"/>
      <c r="P19" s="89">
        <v>2</v>
      </c>
      <c r="Q19" s="89">
        <v>32</v>
      </c>
      <c r="R19" s="89"/>
      <c r="S19" s="89">
        <f>R19*16</f>
        <v>0</v>
      </c>
      <c r="T19" s="123">
        <f>SUM(H19,J19,L19,N19,P19,R19)</f>
        <v>2</v>
      </c>
      <c r="U19" s="124">
        <f>SUM(I19,K19,M19,O19,Q19,S19)</f>
        <v>32</v>
      </c>
    </row>
    <row r="20" spans="2:21">
      <c r="B20" s="632"/>
      <c r="C20" s="653"/>
      <c r="D20" s="87" t="s">
        <v>702</v>
      </c>
      <c r="E20" s="87" t="s">
        <v>703</v>
      </c>
      <c r="F20" s="251">
        <v>16</v>
      </c>
      <c r="G20" s="251">
        <v>4</v>
      </c>
      <c r="H20" s="106"/>
      <c r="I20" s="106">
        <f>H20*16</f>
        <v>0</v>
      </c>
      <c r="J20" s="106"/>
      <c r="K20" s="106"/>
      <c r="L20" s="106"/>
      <c r="M20" s="106"/>
      <c r="N20" s="106"/>
      <c r="O20" s="106"/>
      <c r="P20" s="90"/>
      <c r="Q20" s="90">
        <f>P20*16</f>
        <v>0</v>
      </c>
      <c r="R20" s="90">
        <v>2</v>
      </c>
      <c r="S20" s="90">
        <v>32</v>
      </c>
      <c r="T20" s="126">
        <v>2</v>
      </c>
      <c r="U20" s="127">
        <v>32</v>
      </c>
    </row>
    <row r="21" spans="2:21" ht="18" thickBot="1">
      <c r="B21" s="633"/>
      <c r="C21" s="654"/>
      <c r="D21" s="647" t="s">
        <v>16</v>
      </c>
      <c r="E21" s="648"/>
      <c r="F21" s="277"/>
      <c r="G21" s="130"/>
      <c r="H21" s="131">
        <f>SUM(H19:H20)</f>
        <v>0</v>
      </c>
      <c r="I21" s="131">
        <f>SUM(I19:I20)</f>
        <v>0</v>
      </c>
      <c r="J21" s="131">
        <f>SUM(J19:J20)</f>
        <v>0</v>
      </c>
      <c r="K21" s="131">
        <f>SUM(K19:K20)</f>
        <v>0</v>
      </c>
      <c r="L21" s="104"/>
      <c r="M21" s="104"/>
      <c r="N21" s="104"/>
      <c r="O21" s="104"/>
      <c r="P21" s="104">
        <f t="shared" ref="P21:U21" si="2">SUM(P19:P20)</f>
        <v>2</v>
      </c>
      <c r="Q21" s="104">
        <f t="shared" si="2"/>
        <v>32</v>
      </c>
      <c r="R21" s="104">
        <f t="shared" si="2"/>
        <v>2</v>
      </c>
      <c r="S21" s="104">
        <f t="shared" si="2"/>
        <v>32</v>
      </c>
      <c r="T21" s="104">
        <f t="shared" si="2"/>
        <v>4</v>
      </c>
      <c r="U21" s="104">
        <f t="shared" si="2"/>
        <v>64</v>
      </c>
    </row>
    <row r="22" spans="2:21">
      <c r="B22" s="645" t="s">
        <v>704</v>
      </c>
      <c r="C22" s="652">
        <v>6</v>
      </c>
      <c r="D22" s="86" t="s">
        <v>705</v>
      </c>
      <c r="E22" s="87" t="s">
        <v>706</v>
      </c>
      <c r="F22" s="86">
        <v>45</v>
      </c>
      <c r="G22" s="86">
        <v>5</v>
      </c>
      <c r="H22" s="105"/>
      <c r="I22" s="105"/>
      <c r="J22" s="89"/>
      <c r="K22" s="89"/>
      <c r="L22" s="105"/>
      <c r="M22" s="105"/>
      <c r="N22" s="105"/>
      <c r="O22" s="105"/>
      <c r="P22" s="89">
        <v>1</v>
      </c>
      <c r="Q22" s="89">
        <v>16</v>
      </c>
      <c r="R22" s="89"/>
      <c r="S22" s="89"/>
      <c r="T22" s="100">
        <v>1</v>
      </c>
      <c r="U22" s="102">
        <v>16</v>
      </c>
    </row>
    <row r="23" spans="2:21">
      <c r="B23" s="632"/>
      <c r="C23" s="653"/>
      <c r="D23" s="87" t="s">
        <v>707</v>
      </c>
      <c r="E23" s="87" t="s">
        <v>708</v>
      </c>
      <c r="F23" s="87">
        <v>50</v>
      </c>
      <c r="G23" s="87">
        <v>6</v>
      </c>
      <c r="H23" s="106"/>
      <c r="I23" s="106"/>
      <c r="J23" s="90"/>
      <c r="K23" s="90"/>
      <c r="L23" s="106"/>
      <c r="M23" s="106"/>
      <c r="N23" s="106"/>
      <c r="O23" s="106"/>
      <c r="P23" s="90">
        <v>1</v>
      </c>
      <c r="Q23" s="90">
        <v>16</v>
      </c>
      <c r="R23" s="90"/>
      <c r="S23" s="90"/>
      <c r="T23" s="101">
        <v>1</v>
      </c>
      <c r="U23" s="103">
        <v>16</v>
      </c>
    </row>
    <row r="24" spans="2:21">
      <c r="B24" s="632"/>
      <c r="C24" s="653"/>
      <c r="D24" s="87" t="s">
        <v>709</v>
      </c>
      <c r="E24" s="87" t="s">
        <v>710</v>
      </c>
      <c r="F24" s="87">
        <v>50</v>
      </c>
      <c r="G24" s="87">
        <v>5</v>
      </c>
      <c r="H24" s="106"/>
      <c r="I24" s="106"/>
      <c r="J24" s="90"/>
      <c r="K24" s="90"/>
      <c r="L24" s="106"/>
      <c r="M24" s="106"/>
      <c r="N24" s="106"/>
      <c r="O24" s="106"/>
      <c r="P24" s="90">
        <v>1</v>
      </c>
      <c r="Q24" s="90">
        <v>16</v>
      </c>
      <c r="R24" s="90"/>
      <c r="S24" s="90"/>
      <c r="T24" s="101">
        <v>1</v>
      </c>
      <c r="U24" s="103">
        <v>16</v>
      </c>
    </row>
    <row r="25" spans="2:21">
      <c r="B25" s="632"/>
      <c r="C25" s="653"/>
      <c r="D25" s="87" t="s">
        <v>711</v>
      </c>
      <c r="E25" s="87" t="s">
        <v>712</v>
      </c>
      <c r="F25" s="87">
        <v>40</v>
      </c>
      <c r="G25" s="87">
        <v>3</v>
      </c>
      <c r="H25" s="106"/>
      <c r="I25" s="106"/>
      <c r="J25" s="90"/>
      <c r="K25" s="90"/>
      <c r="L25" s="106"/>
      <c r="M25" s="106"/>
      <c r="N25" s="106"/>
      <c r="O25" s="106"/>
      <c r="P25" s="90"/>
      <c r="Q25" s="90"/>
      <c r="R25" s="90">
        <v>1</v>
      </c>
      <c r="S25" s="90">
        <v>16</v>
      </c>
      <c r="T25" s="101">
        <v>1</v>
      </c>
      <c r="U25" s="103">
        <v>16</v>
      </c>
    </row>
    <row r="26" spans="2:21">
      <c r="B26" s="632"/>
      <c r="C26" s="653"/>
      <c r="D26" s="87" t="s">
        <v>713</v>
      </c>
      <c r="E26" s="87" t="s">
        <v>714</v>
      </c>
      <c r="F26" s="87">
        <v>35</v>
      </c>
      <c r="G26" s="87">
        <v>3</v>
      </c>
      <c r="H26" s="106"/>
      <c r="I26" s="106"/>
      <c r="J26" s="90"/>
      <c r="K26" s="90"/>
      <c r="L26" s="106"/>
      <c r="M26" s="106"/>
      <c r="N26" s="106"/>
      <c r="O26" s="106"/>
      <c r="P26" s="90"/>
      <c r="Q26" s="90"/>
      <c r="R26" s="90">
        <v>1</v>
      </c>
      <c r="S26" s="90">
        <v>16</v>
      </c>
      <c r="T26" s="101">
        <v>1</v>
      </c>
      <c r="U26" s="103">
        <v>16</v>
      </c>
    </row>
    <row r="27" spans="2:21">
      <c r="B27" s="632"/>
      <c r="C27" s="653"/>
      <c r="D27" s="88" t="s">
        <v>715</v>
      </c>
      <c r="E27" s="88" t="s">
        <v>716</v>
      </c>
      <c r="F27" s="88">
        <v>50</v>
      </c>
      <c r="G27" s="88">
        <v>6</v>
      </c>
      <c r="H27" s="252"/>
      <c r="I27" s="252"/>
      <c r="J27" s="91"/>
      <c r="K27" s="91"/>
      <c r="L27" s="252"/>
      <c r="M27" s="252"/>
      <c r="N27" s="252"/>
      <c r="O27" s="252"/>
      <c r="P27" s="91"/>
      <c r="Q27" s="91"/>
      <c r="R27" s="91">
        <v>3</v>
      </c>
      <c r="S27" s="91">
        <v>48</v>
      </c>
      <c r="T27" s="115">
        <v>3</v>
      </c>
      <c r="U27" s="114">
        <v>48</v>
      </c>
    </row>
    <row r="28" spans="2:21" ht="18" thickBot="1">
      <c r="B28" s="633"/>
      <c r="C28" s="654"/>
      <c r="D28" s="647" t="s">
        <v>16</v>
      </c>
      <c r="E28" s="648"/>
      <c r="F28" s="136"/>
      <c r="G28" s="107"/>
      <c r="H28" s="108">
        <f t="shared" ref="H28:U28" si="3">SUM(H22:H27)</f>
        <v>0</v>
      </c>
      <c r="I28" s="108">
        <f t="shared" si="3"/>
        <v>0</v>
      </c>
      <c r="J28" s="108">
        <f t="shared" si="3"/>
        <v>0</v>
      </c>
      <c r="K28" s="108">
        <f t="shared" si="3"/>
        <v>0</v>
      </c>
      <c r="L28" s="108">
        <f t="shared" si="3"/>
        <v>0</v>
      </c>
      <c r="M28" s="108">
        <f t="shared" si="3"/>
        <v>0</v>
      </c>
      <c r="N28" s="108">
        <f t="shared" si="3"/>
        <v>0</v>
      </c>
      <c r="O28" s="108">
        <f t="shared" si="3"/>
        <v>0</v>
      </c>
      <c r="P28" s="104">
        <f t="shared" si="3"/>
        <v>3</v>
      </c>
      <c r="Q28" s="104">
        <f t="shared" si="3"/>
        <v>48</v>
      </c>
      <c r="R28" s="104">
        <f t="shared" si="3"/>
        <v>5</v>
      </c>
      <c r="S28" s="104">
        <f t="shared" si="3"/>
        <v>80</v>
      </c>
      <c r="T28" s="104">
        <f t="shared" si="3"/>
        <v>8</v>
      </c>
      <c r="U28" s="135">
        <f t="shared" si="3"/>
        <v>128</v>
      </c>
    </row>
    <row r="29" spans="2:21">
      <c r="B29" s="637" t="s">
        <v>717</v>
      </c>
      <c r="C29" s="663">
        <v>16</v>
      </c>
      <c r="D29" s="86" t="s">
        <v>718</v>
      </c>
      <c r="E29" s="86" t="s">
        <v>719</v>
      </c>
      <c r="F29" s="86">
        <v>15</v>
      </c>
      <c r="G29" s="86">
        <v>2</v>
      </c>
      <c r="H29" s="89"/>
      <c r="I29" s="89"/>
      <c r="J29" s="89"/>
      <c r="K29" s="89"/>
      <c r="L29" s="89"/>
      <c r="M29" s="89"/>
      <c r="N29" s="89"/>
      <c r="O29" s="89"/>
      <c r="P29" s="89">
        <v>2</v>
      </c>
      <c r="Q29" s="89">
        <v>32</v>
      </c>
      <c r="R29" s="89"/>
      <c r="S29" s="89"/>
      <c r="T29" s="253">
        <v>2</v>
      </c>
      <c r="U29" s="254">
        <v>32</v>
      </c>
    </row>
    <row r="30" spans="2:21">
      <c r="B30" s="638"/>
      <c r="C30" s="664"/>
      <c r="D30" s="87" t="s">
        <v>720</v>
      </c>
      <c r="E30" s="87" t="s">
        <v>721</v>
      </c>
      <c r="F30" s="87">
        <v>20</v>
      </c>
      <c r="G30" s="87">
        <v>4</v>
      </c>
      <c r="H30" s="90"/>
      <c r="I30" s="90"/>
      <c r="J30" s="90"/>
      <c r="K30" s="90"/>
      <c r="L30" s="90"/>
      <c r="M30" s="90"/>
      <c r="N30" s="90"/>
      <c r="O30" s="90"/>
      <c r="P30" s="90">
        <v>3</v>
      </c>
      <c r="Q30" s="90">
        <f>P30*16</f>
        <v>48</v>
      </c>
      <c r="R30" s="90"/>
      <c r="S30" s="90"/>
      <c r="T30" s="24">
        <v>3</v>
      </c>
      <c r="U30" s="23">
        <v>48</v>
      </c>
    </row>
    <row r="31" spans="2:21">
      <c r="B31" s="638"/>
      <c r="C31" s="664"/>
      <c r="D31" s="87" t="s">
        <v>722</v>
      </c>
      <c r="E31" s="87" t="s">
        <v>723</v>
      </c>
      <c r="F31" s="87">
        <v>15</v>
      </c>
      <c r="G31" s="87">
        <v>4</v>
      </c>
      <c r="H31" s="90"/>
      <c r="I31" s="90"/>
      <c r="J31" s="90"/>
      <c r="K31" s="90"/>
      <c r="L31" s="90"/>
      <c r="M31" s="90"/>
      <c r="N31" s="90"/>
      <c r="O31" s="90"/>
      <c r="P31" s="90">
        <v>3</v>
      </c>
      <c r="Q31" s="90">
        <v>48</v>
      </c>
      <c r="R31" s="90"/>
      <c r="S31" s="91"/>
      <c r="T31" s="22">
        <v>3</v>
      </c>
      <c r="U31" s="21">
        <v>48</v>
      </c>
    </row>
    <row r="32" spans="2:21">
      <c r="B32" s="638"/>
      <c r="C32" s="664"/>
      <c r="D32" s="87" t="s">
        <v>724</v>
      </c>
      <c r="E32" s="87" t="s">
        <v>725</v>
      </c>
      <c r="F32" s="87">
        <v>20</v>
      </c>
      <c r="G32" s="87">
        <v>3</v>
      </c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>
        <v>2</v>
      </c>
      <c r="S32" s="90">
        <v>32</v>
      </c>
      <c r="T32" s="22">
        <v>2</v>
      </c>
      <c r="U32" s="21">
        <v>32</v>
      </c>
    </row>
    <row r="33" spans="2:21">
      <c r="B33" s="638"/>
      <c r="C33" s="664"/>
      <c r="D33" s="87" t="s">
        <v>848</v>
      </c>
      <c r="E33" s="87" t="s">
        <v>726</v>
      </c>
      <c r="F33" s="87">
        <v>15</v>
      </c>
      <c r="G33" s="87">
        <v>4</v>
      </c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>
        <v>2</v>
      </c>
      <c r="S33" s="91">
        <v>32</v>
      </c>
      <c r="T33" s="22">
        <v>2</v>
      </c>
      <c r="U33" s="21">
        <v>32</v>
      </c>
    </row>
    <row r="34" spans="2:21">
      <c r="B34" s="638"/>
      <c r="C34" s="664"/>
      <c r="D34" s="87" t="s">
        <v>727</v>
      </c>
      <c r="E34" s="87" t="s">
        <v>728</v>
      </c>
      <c r="F34" s="87">
        <v>20</v>
      </c>
      <c r="G34" s="87">
        <v>4</v>
      </c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>
        <v>2</v>
      </c>
      <c r="S34" s="91">
        <v>32</v>
      </c>
      <c r="T34" s="22">
        <v>2</v>
      </c>
      <c r="U34" s="21">
        <v>32</v>
      </c>
    </row>
    <row r="35" spans="2:21">
      <c r="B35" s="638"/>
      <c r="C35" s="664"/>
      <c r="D35" s="87" t="s">
        <v>729</v>
      </c>
      <c r="E35" s="87" t="s">
        <v>730</v>
      </c>
      <c r="F35" s="87">
        <v>20</v>
      </c>
      <c r="G35" s="87">
        <v>4</v>
      </c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>
        <v>2</v>
      </c>
      <c r="S35" s="91">
        <v>32</v>
      </c>
      <c r="T35" s="22">
        <v>2</v>
      </c>
      <c r="U35" s="21">
        <v>32</v>
      </c>
    </row>
    <row r="36" spans="2:21" ht="18" thickBot="1">
      <c r="B36" s="662"/>
      <c r="C36" s="666"/>
      <c r="D36" s="636" t="s">
        <v>16</v>
      </c>
      <c r="E36" s="636"/>
      <c r="F36" s="277"/>
      <c r="G36" s="277"/>
      <c r="H36" s="104"/>
      <c r="I36" s="104"/>
      <c r="J36" s="104"/>
      <c r="K36" s="104"/>
      <c r="L36" s="104"/>
      <c r="M36" s="104"/>
      <c r="N36" s="104"/>
      <c r="O36" s="104"/>
      <c r="P36" s="104">
        <f t="shared" ref="P36:U36" si="4">SUM(P29:P35)</f>
        <v>8</v>
      </c>
      <c r="Q36" s="104">
        <f t="shared" si="4"/>
        <v>128</v>
      </c>
      <c r="R36" s="104">
        <f t="shared" si="4"/>
        <v>8</v>
      </c>
      <c r="S36" s="104">
        <f t="shared" si="4"/>
        <v>128</v>
      </c>
      <c r="T36" s="104">
        <f t="shared" si="4"/>
        <v>16</v>
      </c>
      <c r="U36" s="135">
        <f t="shared" si="4"/>
        <v>256</v>
      </c>
    </row>
    <row r="37" spans="2:21">
      <c r="B37" s="649" t="s">
        <v>731</v>
      </c>
      <c r="C37" s="652">
        <v>16</v>
      </c>
      <c r="D37" s="86" t="s">
        <v>732</v>
      </c>
      <c r="E37" s="86" t="s">
        <v>849</v>
      </c>
      <c r="F37" s="86">
        <v>45</v>
      </c>
      <c r="G37" s="86">
        <v>3</v>
      </c>
      <c r="H37" s="89"/>
      <c r="I37" s="89"/>
      <c r="J37" s="89"/>
      <c r="K37" s="89"/>
      <c r="L37" s="89"/>
      <c r="M37" s="89"/>
      <c r="N37" s="89"/>
      <c r="O37" s="89"/>
      <c r="P37" s="89">
        <v>3</v>
      </c>
      <c r="Q37" s="89">
        <v>48</v>
      </c>
      <c r="R37" s="89"/>
      <c r="S37" s="89"/>
      <c r="T37" s="26">
        <v>3</v>
      </c>
      <c r="U37" s="25">
        <v>48</v>
      </c>
    </row>
    <row r="38" spans="2:21">
      <c r="B38" s="650"/>
      <c r="C38" s="653"/>
      <c r="D38" s="87" t="s">
        <v>850</v>
      </c>
      <c r="E38" s="280" t="s">
        <v>834</v>
      </c>
      <c r="F38" s="87">
        <v>90</v>
      </c>
      <c r="G38" s="87">
        <v>3</v>
      </c>
      <c r="H38" s="90"/>
      <c r="I38" s="90"/>
      <c r="J38" s="90"/>
      <c r="K38" s="90"/>
      <c r="L38" s="90"/>
      <c r="M38" s="90"/>
      <c r="N38" s="90"/>
      <c r="O38" s="90"/>
      <c r="P38" s="90">
        <v>5</v>
      </c>
      <c r="Q38" s="90">
        <v>80</v>
      </c>
      <c r="R38" s="90"/>
      <c r="S38" s="90"/>
      <c r="T38" s="24">
        <v>5</v>
      </c>
      <c r="U38" s="23">
        <v>80</v>
      </c>
    </row>
    <row r="39" spans="2:21">
      <c r="B39" s="650"/>
      <c r="C39" s="653"/>
      <c r="D39" s="87" t="s">
        <v>733</v>
      </c>
      <c r="E39" s="87" t="s">
        <v>851</v>
      </c>
      <c r="F39" s="87">
        <v>50</v>
      </c>
      <c r="G39" s="87">
        <v>3</v>
      </c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>
        <v>3</v>
      </c>
      <c r="S39" s="90">
        <v>48</v>
      </c>
      <c r="T39" s="248">
        <v>3</v>
      </c>
      <c r="U39" s="249">
        <v>48</v>
      </c>
    </row>
    <row r="40" spans="2:21">
      <c r="B40" s="650"/>
      <c r="C40" s="653"/>
      <c r="D40" s="87" t="s">
        <v>734</v>
      </c>
      <c r="E40" s="87" t="s">
        <v>852</v>
      </c>
      <c r="F40" s="87">
        <v>90</v>
      </c>
      <c r="G40" s="87">
        <v>3</v>
      </c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>
        <v>5</v>
      </c>
      <c r="S40" s="90">
        <v>80</v>
      </c>
      <c r="T40" s="248">
        <v>5</v>
      </c>
      <c r="U40" s="249">
        <v>80</v>
      </c>
    </row>
    <row r="41" spans="2:21" ht="18" thickBot="1">
      <c r="B41" s="651"/>
      <c r="C41" s="654"/>
      <c r="D41" s="647" t="s">
        <v>16</v>
      </c>
      <c r="E41" s="648"/>
      <c r="F41" s="277"/>
      <c r="G41" s="277"/>
      <c r="H41" s="104">
        <f t="shared" ref="H41:U41" si="5">SUM(H37:H40)</f>
        <v>0</v>
      </c>
      <c r="I41" s="104">
        <f t="shared" si="5"/>
        <v>0</v>
      </c>
      <c r="J41" s="104">
        <f t="shared" si="5"/>
        <v>0</v>
      </c>
      <c r="K41" s="104">
        <f t="shared" si="5"/>
        <v>0</v>
      </c>
      <c r="L41" s="104">
        <f t="shared" si="5"/>
        <v>0</v>
      </c>
      <c r="M41" s="104">
        <f t="shared" si="5"/>
        <v>0</v>
      </c>
      <c r="N41" s="104">
        <f t="shared" si="5"/>
        <v>0</v>
      </c>
      <c r="O41" s="104">
        <f t="shared" si="5"/>
        <v>0</v>
      </c>
      <c r="P41" s="104">
        <f t="shared" si="5"/>
        <v>8</v>
      </c>
      <c r="Q41" s="104">
        <f t="shared" si="5"/>
        <v>128</v>
      </c>
      <c r="R41" s="104">
        <f t="shared" si="5"/>
        <v>8</v>
      </c>
      <c r="S41" s="104">
        <f t="shared" si="5"/>
        <v>128</v>
      </c>
      <c r="T41" s="104">
        <f t="shared" si="5"/>
        <v>16</v>
      </c>
      <c r="U41" s="135">
        <f t="shared" si="5"/>
        <v>256</v>
      </c>
    </row>
    <row r="42" spans="2:21">
      <c r="B42" s="649" t="s">
        <v>735</v>
      </c>
      <c r="C42" s="652">
        <v>16</v>
      </c>
      <c r="D42" s="86" t="s">
        <v>736</v>
      </c>
      <c r="E42" s="86" t="s">
        <v>853</v>
      </c>
      <c r="F42" s="86">
        <v>50</v>
      </c>
      <c r="G42" s="86">
        <v>3</v>
      </c>
      <c r="H42" s="89"/>
      <c r="I42" s="89"/>
      <c r="J42" s="89"/>
      <c r="K42" s="89"/>
      <c r="L42" s="89"/>
      <c r="M42" s="89"/>
      <c r="N42" s="89"/>
      <c r="O42" s="89"/>
      <c r="P42" s="89">
        <v>3</v>
      </c>
      <c r="Q42" s="89">
        <v>48</v>
      </c>
      <c r="R42" s="89"/>
      <c r="S42" s="89"/>
      <c r="T42" s="26">
        <v>3</v>
      </c>
      <c r="U42" s="25">
        <v>48</v>
      </c>
    </row>
    <row r="43" spans="2:21">
      <c r="B43" s="650"/>
      <c r="C43" s="653"/>
      <c r="D43" s="87" t="s">
        <v>737</v>
      </c>
      <c r="E43" s="87" t="s">
        <v>854</v>
      </c>
      <c r="F43" s="87">
        <v>40</v>
      </c>
      <c r="G43" s="87">
        <v>2</v>
      </c>
      <c r="H43" s="90"/>
      <c r="I43" s="90"/>
      <c r="J43" s="90"/>
      <c r="K43" s="90"/>
      <c r="L43" s="90"/>
      <c r="M43" s="90"/>
      <c r="N43" s="90"/>
      <c r="O43" s="90"/>
      <c r="P43" s="91">
        <v>2</v>
      </c>
      <c r="Q43" s="91">
        <v>32</v>
      </c>
      <c r="R43" s="91"/>
      <c r="S43" s="91"/>
      <c r="T43" s="255">
        <v>2</v>
      </c>
      <c r="U43" s="256">
        <v>32</v>
      </c>
    </row>
    <row r="44" spans="2:21">
      <c r="B44" s="650"/>
      <c r="C44" s="653"/>
      <c r="D44" s="87" t="s">
        <v>738</v>
      </c>
      <c r="E44" s="87" t="s">
        <v>739</v>
      </c>
      <c r="F44" s="87">
        <v>50</v>
      </c>
      <c r="G44" s="87">
        <v>3</v>
      </c>
      <c r="H44" s="90"/>
      <c r="I44" s="90"/>
      <c r="J44" s="90"/>
      <c r="K44" s="90"/>
      <c r="L44" s="90"/>
      <c r="M44" s="90"/>
      <c r="N44" s="90"/>
      <c r="O44" s="90"/>
      <c r="P44" s="91">
        <v>3</v>
      </c>
      <c r="Q44" s="91">
        <v>48</v>
      </c>
      <c r="R44" s="91"/>
      <c r="S44" s="91"/>
      <c r="T44" s="22">
        <v>3</v>
      </c>
      <c r="U44" s="21">
        <v>48</v>
      </c>
    </row>
    <row r="45" spans="2:21">
      <c r="B45" s="650"/>
      <c r="C45" s="653"/>
      <c r="D45" s="87" t="s">
        <v>740</v>
      </c>
      <c r="E45" s="87" t="s">
        <v>855</v>
      </c>
      <c r="F45" s="87">
        <v>50</v>
      </c>
      <c r="G45" s="87">
        <v>3</v>
      </c>
      <c r="H45" s="90"/>
      <c r="I45" s="90"/>
      <c r="J45" s="90"/>
      <c r="K45" s="90"/>
      <c r="L45" s="90"/>
      <c r="M45" s="90"/>
      <c r="N45" s="90"/>
      <c r="O45" s="90"/>
      <c r="P45" s="91"/>
      <c r="Q45" s="91"/>
      <c r="R45" s="91">
        <v>3</v>
      </c>
      <c r="S45" s="91">
        <v>48</v>
      </c>
      <c r="T45" s="255">
        <v>3</v>
      </c>
      <c r="U45" s="256">
        <v>48</v>
      </c>
    </row>
    <row r="46" spans="2:21">
      <c r="B46" s="650"/>
      <c r="C46" s="653"/>
      <c r="D46" s="87" t="s">
        <v>741</v>
      </c>
      <c r="E46" s="87" t="s">
        <v>742</v>
      </c>
      <c r="F46" s="87">
        <v>50</v>
      </c>
      <c r="G46" s="87">
        <v>3</v>
      </c>
      <c r="H46" s="90"/>
      <c r="I46" s="90"/>
      <c r="J46" s="90"/>
      <c r="K46" s="90"/>
      <c r="L46" s="90"/>
      <c r="M46" s="90"/>
      <c r="N46" s="90"/>
      <c r="O46" s="90"/>
      <c r="P46" s="91"/>
      <c r="Q46" s="91"/>
      <c r="R46" s="91">
        <v>3</v>
      </c>
      <c r="S46" s="91">
        <v>48</v>
      </c>
      <c r="T46" s="255">
        <v>3</v>
      </c>
      <c r="U46" s="256">
        <v>48</v>
      </c>
    </row>
    <row r="47" spans="2:21">
      <c r="B47" s="650"/>
      <c r="C47" s="653"/>
      <c r="D47" s="87" t="s">
        <v>743</v>
      </c>
      <c r="E47" s="87" t="s">
        <v>744</v>
      </c>
      <c r="F47" s="87">
        <v>50</v>
      </c>
      <c r="G47" s="87">
        <v>3</v>
      </c>
      <c r="H47" s="90"/>
      <c r="I47" s="90"/>
      <c r="J47" s="90"/>
      <c r="K47" s="90"/>
      <c r="L47" s="90"/>
      <c r="M47" s="90"/>
      <c r="N47" s="90"/>
      <c r="O47" s="90"/>
      <c r="P47" s="91"/>
      <c r="Q47" s="91"/>
      <c r="R47" s="91">
        <v>2</v>
      </c>
      <c r="S47" s="91">
        <v>32</v>
      </c>
      <c r="T47" s="255">
        <v>2</v>
      </c>
      <c r="U47" s="256">
        <v>32</v>
      </c>
    </row>
    <row r="48" spans="2:21" ht="18" thickBot="1">
      <c r="B48" s="651"/>
      <c r="C48" s="654"/>
      <c r="D48" s="647" t="s">
        <v>16</v>
      </c>
      <c r="E48" s="648"/>
      <c r="F48" s="277"/>
      <c r="G48" s="277"/>
      <c r="H48" s="104">
        <f t="shared" ref="H48:U48" si="6">SUM(H42:H47)</f>
        <v>0</v>
      </c>
      <c r="I48" s="104">
        <f t="shared" si="6"/>
        <v>0</v>
      </c>
      <c r="J48" s="104">
        <f t="shared" si="6"/>
        <v>0</v>
      </c>
      <c r="K48" s="104">
        <f t="shared" si="6"/>
        <v>0</v>
      </c>
      <c r="L48" s="104">
        <f t="shared" si="6"/>
        <v>0</v>
      </c>
      <c r="M48" s="104">
        <f t="shared" si="6"/>
        <v>0</v>
      </c>
      <c r="N48" s="104">
        <f t="shared" si="6"/>
        <v>0</v>
      </c>
      <c r="O48" s="104">
        <f t="shared" si="6"/>
        <v>0</v>
      </c>
      <c r="P48" s="104">
        <f t="shared" si="6"/>
        <v>8</v>
      </c>
      <c r="Q48" s="104">
        <f t="shared" si="6"/>
        <v>128</v>
      </c>
      <c r="R48" s="104">
        <f t="shared" si="6"/>
        <v>8</v>
      </c>
      <c r="S48" s="104">
        <f t="shared" si="6"/>
        <v>128</v>
      </c>
      <c r="T48" s="104">
        <f t="shared" si="6"/>
        <v>16</v>
      </c>
      <c r="U48" s="135">
        <f t="shared" si="6"/>
        <v>256</v>
      </c>
    </row>
    <row r="49" spans="2:21">
      <c r="B49" s="637" t="s">
        <v>745</v>
      </c>
      <c r="C49" s="663">
        <v>12</v>
      </c>
      <c r="D49" s="86" t="s">
        <v>746</v>
      </c>
      <c r="E49" s="86" t="s">
        <v>747</v>
      </c>
      <c r="F49" s="86">
        <v>30</v>
      </c>
      <c r="G49" s="86">
        <v>3</v>
      </c>
      <c r="H49" s="89"/>
      <c r="I49" s="89"/>
      <c r="J49" s="89"/>
      <c r="K49" s="89"/>
      <c r="L49" s="89"/>
      <c r="M49" s="89"/>
      <c r="N49" s="89"/>
      <c r="O49" s="89"/>
      <c r="P49" s="89">
        <v>2</v>
      </c>
      <c r="Q49" s="89">
        <v>32</v>
      </c>
      <c r="R49" s="89"/>
      <c r="S49" s="89"/>
      <c r="T49" s="26">
        <v>2</v>
      </c>
      <c r="U49" s="25">
        <v>32</v>
      </c>
    </row>
    <row r="50" spans="2:21">
      <c r="B50" s="638"/>
      <c r="C50" s="664"/>
      <c r="D50" s="87" t="s">
        <v>748</v>
      </c>
      <c r="E50" s="87" t="s">
        <v>749</v>
      </c>
      <c r="F50" s="87">
        <v>30</v>
      </c>
      <c r="G50" s="87">
        <v>4</v>
      </c>
      <c r="H50" s="90"/>
      <c r="I50" s="90"/>
      <c r="J50" s="90"/>
      <c r="K50" s="90"/>
      <c r="L50" s="90"/>
      <c r="M50" s="90"/>
      <c r="N50" s="90"/>
      <c r="O50" s="90"/>
      <c r="P50" s="90">
        <v>2</v>
      </c>
      <c r="Q50" s="90">
        <v>32</v>
      </c>
      <c r="R50" s="90"/>
      <c r="S50" s="91"/>
      <c r="T50" s="248">
        <v>2</v>
      </c>
      <c r="U50" s="249">
        <v>32</v>
      </c>
    </row>
    <row r="51" spans="2:21">
      <c r="B51" s="638"/>
      <c r="C51" s="664"/>
      <c r="D51" s="87" t="s">
        <v>750</v>
      </c>
      <c r="E51" s="87" t="s">
        <v>751</v>
      </c>
      <c r="F51" s="87">
        <v>30</v>
      </c>
      <c r="G51" s="87">
        <v>4</v>
      </c>
      <c r="H51" s="90"/>
      <c r="I51" s="90"/>
      <c r="J51" s="90"/>
      <c r="K51" s="90"/>
      <c r="L51" s="90"/>
      <c r="M51" s="90"/>
      <c r="N51" s="90"/>
      <c r="O51" s="90"/>
      <c r="P51" s="90">
        <v>2</v>
      </c>
      <c r="Q51" s="90">
        <v>32</v>
      </c>
      <c r="R51" s="90"/>
      <c r="S51" s="91"/>
      <c r="T51" s="24">
        <v>2</v>
      </c>
      <c r="U51" s="23">
        <v>32</v>
      </c>
    </row>
    <row r="52" spans="2:21">
      <c r="B52" s="638"/>
      <c r="C52" s="664"/>
      <c r="D52" s="87" t="s">
        <v>856</v>
      </c>
      <c r="E52" s="87" t="s">
        <v>752</v>
      </c>
      <c r="F52" s="87">
        <v>30</v>
      </c>
      <c r="G52" s="87">
        <v>3</v>
      </c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>
        <v>2</v>
      </c>
      <c r="S52" s="91">
        <v>32</v>
      </c>
      <c r="T52" s="24">
        <v>2</v>
      </c>
      <c r="U52" s="23">
        <v>32</v>
      </c>
    </row>
    <row r="53" spans="2:21">
      <c r="B53" s="638"/>
      <c r="C53" s="664"/>
      <c r="D53" s="88" t="s">
        <v>753</v>
      </c>
      <c r="E53" s="88" t="s">
        <v>754</v>
      </c>
      <c r="F53" s="87">
        <v>30</v>
      </c>
      <c r="G53" s="87">
        <v>4</v>
      </c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1">
        <v>2</v>
      </c>
      <c r="S53" s="91">
        <v>32</v>
      </c>
      <c r="T53" s="22">
        <v>2</v>
      </c>
      <c r="U53" s="21">
        <v>32</v>
      </c>
    </row>
    <row r="54" spans="2:21">
      <c r="B54" s="639"/>
      <c r="C54" s="665"/>
      <c r="D54" s="88" t="s">
        <v>755</v>
      </c>
      <c r="E54" s="88" t="s">
        <v>756</v>
      </c>
      <c r="F54" s="88">
        <v>30</v>
      </c>
      <c r="G54" s="88">
        <v>3</v>
      </c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>
        <v>2</v>
      </c>
      <c r="S54" s="91">
        <v>32</v>
      </c>
      <c r="T54" s="22">
        <v>2</v>
      </c>
      <c r="U54" s="21">
        <v>32</v>
      </c>
    </row>
    <row r="55" spans="2:21" ht="18" thickBot="1">
      <c r="B55" s="662"/>
      <c r="C55" s="666"/>
      <c r="D55" s="647" t="s">
        <v>16</v>
      </c>
      <c r="E55" s="648"/>
      <c r="F55" s="277"/>
      <c r="G55" s="277"/>
      <c r="H55" s="104">
        <f t="shared" ref="H55:U55" si="7">SUM(H49:H54)</f>
        <v>0</v>
      </c>
      <c r="I55" s="104">
        <f t="shared" si="7"/>
        <v>0</v>
      </c>
      <c r="J55" s="104">
        <f t="shared" si="7"/>
        <v>0</v>
      </c>
      <c r="K55" s="104">
        <f t="shared" si="7"/>
        <v>0</v>
      </c>
      <c r="L55" s="104">
        <f t="shared" si="7"/>
        <v>0</v>
      </c>
      <c r="M55" s="104">
        <f t="shared" si="7"/>
        <v>0</v>
      </c>
      <c r="N55" s="104">
        <f t="shared" si="7"/>
        <v>0</v>
      </c>
      <c r="O55" s="104">
        <f t="shared" si="7"/>
        <v>0</v>
      </c>
      <c r="P55" s="104">
        <f t="shared" si="7"/>
        <v>6</v>
      </c>
      <c r="Q55" s="104">
        <f t="shared" si="7"/>
        <v>96</v>
      </c>
      <c r="R55" s="104">
        <f t="shared" si="7"/>
        <v>6</v>
      </c>
      <c r="S55" s="104">
        <f t="shared" si="7"/>
        <v>96</v>
      </c>
      <c r="T55" s="104">
        <f t="shared" si="7"/>
        <v>12</v>
      </c>
      <c r="U55" s="135">
        <f t="shared" si="7"/>
        <v>192</v>
      </c>
    </row>
    <row r="56" spans="2:21">
      <c r="B56" s="645" t="s">
        <v>365</v>
      </c>
      <c r="C56" s="652">
        <v>8</v>
      </c>
      <c r="D56" s="86" t="s">
        <v>378</v>
      </c>
      <c r="E56" s="86" t="s">
        <v>381</v>
      </c>
      <c r="F56" s="86">
        <v>45</v>
      </c>
      <c r="G56" s="86">
        <v>2</v>
      </c>
      <c r="H56" s="89"/>
      <c r="I56" s="89"/>
      <c r="J56" s="89"/>
      <c r="K56" s="89"/>
      <c r="L56" s="89">
        <v>2</v>
      </c>
      <c r="M56" s="89">
        <v>32</v>
      </c>
      <c r="N56" s="89"/>
      <c r="O56" s="89"/>
      <c r="P56" s="89"/>
      <c r="Q56" s="89"/>
      <c r="R56" s="89"/>
      <c r="S56" s="89"/>
      <c r="T56" s="26">
        <f>L56+N56</f>
        <v>2</v>
      </c>
      <c r="U56" s="25">
        <v>32</v>
      </c>
    </row>
    <row r="57" spans="2:21">
      <c r="B57" s="632"/>
      <c r="C57" s="653"/>
      <c r="D57" s="87" t="s">
        <v>520</v>
      </c>
      <c r="E57" s="87" t="s">
        <v>521</v>
      </c>
      <c r="F57" s="87">
        <v>45</v>
      </c>
      <c r="G57" s="87">
        <v>5</v>
      </c>
      <c r="H57" s="90"/>
      <c r="I57" s="90"/>
      <c r="J57" s="90"/>
      <c r="K57" s="90"/>
      <c r="L57" s="90">
        <v>2</v>
      </c>
      <c r="M57" s="90">
        <v>32</v>
      </c>
      <c r="N57" s="90"/>
      <c r="O57" s="90"/>
      <c r="P57" s="90"/>
      <c r="Q57" s="90"/>
      <c r="R57" s="90"/>
      <c r="S57" s="91"/>
      <c r="T57" s="24">
        <v>2</v>
      </c>
      <c r="U57" s="23">
        <v>32</v>
      </c>
    </row>
    <row r="58" spans="2:21">
      <c r="B58" s="632"/>
      <c r="C58" s="653"/>
      <c r="D58" s="87" t="s">
        <v>379</v>
      </c>
      <c r="E58" s="87" t="s">
        <v>382</v>
      </c>
      <c r="F58" s="87">
        <v>100</v>
      </c>
      <c r="G58" s="87">
        <v>3</v>
      </c>
      <c r="H58" s="90"/>
      <c r="I58" s="90"/>
      <c r="J58" s="90"/>
      <c r="K58" s="90"/>
      <c r="L58" s="90"/>
      <c r="M58" s="90"/>
      <c r="N58" s="90">
        <v>2</v>
      </c>
      <c r="O58" s="90">
        <v>32</v>
      </c>
      <c r="P58" s="90"/>
      <c r="Q58" s="90"/>
      <c r="R58" s="90"/>
      <c r="S58" s="91"/>
      <c r="T58" s="24">
        <v>2</v>
      </c>
      <c r="U58" s="23">
        <v>32</v>
      </c>
    </row>
    <row r="59" spans="2:21">
      <c r="B59" s="632"/>
      <c r="C59" s="653"/>
      <c r="D59" s="88" t="s">
        <v>380</v>
      </c>
      <c r="E59" s="88" t="s">
        <v>383</v>
      </c>
      <c r="F59" s="88">
        <v>100</v>
      </c>
      <c r="G59" s="88">
        <v>4</v>
      </c>
      <c r="H59" s="91"/>
      <c r="I59" s="91"/>
      <c r="J59" s="91"/>
      <c r="K59" s="91"/>
      <c r="L59" s="91"/>
      <c r="M59" s="91"/>
      <c r="N59" s="91">
        <v>2</v>
      </c>
      <c r="O59" s="91">
        <v>32</v>
      </c>
      <c r="P59" s="91"/>
      <c r="Q59" s="91"/>
      <c r="R59" s="91"/>
      <c r="S59" s="91"/>
      <c r="T59" s="22">
        <v>2</v>
      </c>
      <c r="U59" s="21">
        <v>32</v>
      </c>
    </row>
    <row r="60" spans="2:21" ht="18" thickBot="1">
      <c r="B60" s="633"/>
      <c r="C60" s="654"/>
      <c r="D60" s="647" t="s">
        <v>16</v>
      </c>
      <c r="E60" s="648"/>
      <c r="F60" s="277"/>
      <c r="G60" s="277"/>
      <c r="H60" s="104">
        <f t="shared" ref="H60:U60" si="8">SUM(H56:H59)</f>
        <v>0</v>
      </c>
      <c r="I60" s="104">
        <f t="shared" si="8"/>
        <v>0</v>
      </c>
      <c r="J60" s="104">
        <f t="shared" si="8"/>
        <v>0</v>
      </c>
      <c r="K60" s="104">
        <f t="shared" si="8"/>
        <v>0</v>
      </c>
      <c r="L60" s="104">
        <f t="shared" si="8"/>
        <v>4</v>
      </c>
      <c r="M60" s="104">
        <f t="shared" si="8"/>
        <v>64</v>
      </c>
      <c r="N60" s="104">
        <f t="shared" si="8"/>
        <v>4</v>
      </c>
      <c r="O60" s="104">
        <f t="shared" si="8"/>
        <v>64</v>
      </c>
      <c r="P60" s="104">
        <f t="shared" si="8"/>
        <v>0</v>
      </c>
      <c r="Q60" s="104">
        <f t="shared" si="8"/>
        <v>0</v>
      </c>
      <c r="R60" s="104">
        <f t="shared" si="8"/>
        <v>0</v>
      </c>
      <c r="S60" s="104">
        <f t="shared" si="8"/>
        <v>0</v>
      </c>
      <c r="T60" s="104">
        <f t="shared" si="8"/>
        <v>8</v>
      </c>
      <c r="U60" s="104">
        <f t="shared" si="8"/>
        <v>128</v>
      </c>
    </row>
    <row r="61" spans="2:21">
      <c r="B61" s="645" t="s">
        <v>376</v>
      </c>
      <c r="C61" s="652">
        <v>8</v>
      </c>
      <c r="D61" s="86" t="s">
        <v>384</v>
      </c>
      <c r="E61" s="86" t="s">
        <v>386</v>
      </c>
      <c r="F61" s="86">
        <v>30</v>
      </c>
      <c r="G61" s="86">
        <v>3</v>
      </c>
      <c r="H61" s="89"/>
      <c r="I61" s="89"/>
      <c r="J61" s="89"/>
      <c r="K61" s="89"/>
      <c r="L61" s="89">
        <v>2</v>
      </c>
      <c r="M61" s="89">
        <v>32</v>
      </c>
      <c r="N61" s="89"/>
      <c r="O61" s="89"/>
      <c r="P61" s="89"/>
      <c r="Q61" s="89"/>
      <c r="R61" s="89"/>
      <c r="S61" s="89"/>
      <c r="T61" s="26">
        <v>2</v>
      </c>
      <c r="U61" s="25">
        <v>32</v>
      </c>
    </row>
    <row r="62" spans="2:21">
      <c r="B62" s="632"/>
      <c r="C62" s="653"/>
      <c r="D62" s="87" t="s">
        <v>385</v>
      </c>
      <c r="E62" s="87" t="s">
        <v>387</v>
      </c>
      <c r="F62" s="87">
        <v>60</v>
      </c>
      <c r="G62" s="87">
        <v>2</v>
      </c>
      <c r="H62" s="90"/>
      <c r="I62" s="90"/>
      <c r="J62" s="90"/>
      <c r="K62" s="90"/>
      <c r="L62" s="90">
        <v>2</v>
      </c>
      <c r="M62" s="90">
        <v>32</v>
      </c>
      <c r="N62" s="90"/>
      <c r="O62" s="90"/>
      <c r="P62" s="90"/>
      <c r="Q62" s="90"/>
      <c r="R62" s="90"/>
      <c r="S62" s="91"/>
      <c r="T62" s="24">
        <v>2</v>
      </c>
      <c r="U62" s="23">
        <v>32</v>
      </c>
    </row>
    <row r="63" spans="2:21">
      <c r="B63" s="632"/>
      <c r="C63" s="653"/>
      <c r="D63" s="87" t="s">
        <v>835</v>
      </c>
      <c r="E63" s="87" t="s">
        <v>836</v>
      </c>
      <c r="F63" s="87">
        <v>40</v>
      </c>
      <c r="G63" s="87">
        <v>2</v>
      </c>
      <c r="H63" s="90"/>
      <c r="I63" s="90"/>
      <c r="J63" s="90"/>
      <c r="K63" s="90"/>
      <c r="L63" s="90"/>
      <c r="M63" s="90"/>
      <c r="N63" s="90">
        <v>2</v>
      </c>
      <c r="O63" s="90">
        <v>32</v>
      </c>
      <c r="P63" s="90"/>
      <c r="Q63" s="90"/>
      <c r="R63" s="90"/>
      <c r="S63" s="91"/>
      <c r="T63" s="24">
        <v>2</v>
      </c>
      <c r="U63" s="23">
        <v>32</v>
      </c>
    </row>
    <row r="64" spans="2:21">
      <c r="B64" s="632"/>
      <c r="C64" s="653"/>
      <c r="D64" s="88" t="s">
        <v>837</v>
      </c>
      <c r="E64" s="88" t="s">
        <v>838</v>
      </c>
      <c r="F64" s="88">
        <v>80</v>
      </c>
      <c r="G64" s="88">
        <v>4</v>
      </c>
      <c r="H64" s="91"/>
      <c r="I64" s="91"/>
      <c r="J64" s="91"/>
      <c r="K64" s="91"/>
      <c r="L64" s="91"/>
      <c r="M64" s="91"/>
      <c r="N64" s="91">
        <v>2</v>
      </c>
      <c r="O64" s="91">
        <v>32</v>
      </c>
      <c r="P64" s="91"/>
      <c r="Q64" s="91"/>
      <c r="R64" s="91"/>
      <c r="S64" s="91"/>
      <c r="T64" s="22">
        <v>2</v>
      </c>
      <c r="U64" s="21">
        <v>32</v>
      </c>
    </row>
    <row r="65" spans="2:22" ht="18" thickBot="1">
      <c r="B65" s="633"/>
      <c r="C65" s="654"/>
      <c r="D65" s="647" t="s">
        <v>16</v>
      </c>
      <c r="E65" s="648"/>
      <c r="F65" s="277"/>
      <c r="G65" s="277"/>
      <c r="H65" s="104">
        <f t="shared" ref="H65:U65" si="9">SUM(H61:H64)</f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4</v>
      </c>
      <c r="M65" s="104">
        <f t="shared" si="9"/>
        <v>64</v>
      </c>
      <c r="N65" s="104">
        <f t="shared" si="9"/>
        <v>4</v>
      </c>
      <c r="O65" s="104">
        <f t="shared" si="9"/>
        <v>64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8</v>
      </c>
      <c r="U65" s="104">
        <f t="shared" si="9"/>
        <v>128</v>
      </c>
    </row>
    <row r="66" spans="2:22" ht="17.399999999999999" customHeight="1">
      <c r="B66" s="645" t="s">
        <v>368</v>
      </c>
      <c r="C66" s="652">
        <v>8</v>
      </c>
      <c r="D66" s="87" t="s">
        <v>757</v>
      </c>
      <c r="E66" s="87" t="s">
        <v>758</v>
      </c>
      <c r="F66" s="87">
        <v>24</v>
      </c>
      <c r="G66" s="87">
        <v>2</v>
      </c>
      <c r="H66" s="125"/>
      <c r="I66" s="125"/>
      <c r="J66" s="125"/>
      <c r="K66" s="125"/>
      <c r="L66" s="90">
        <v>4</v>
      </c>
      <c r="M66" s="90">
        <v>64</v>
      </c>
      <c r="N66" s="90"/>
      <c r="O66" s="90"/>
      <c r="P66" s="90"/>
      <c r="Q66" s="90"/>
      <c r="R66" s="90"/>
      <c r="S66" s="90"/>
      <c r="T66" s="126">
        <v>4</v>
      </c>
      <c r="U66" s="127">
        <v>64</v>
      </c>
      <c r="V66" s="257"/>
    </row>
    <row r="67" spans="2:22">
      <c r="B67" s="632"/>
      <c r="C67" s="653"/>
      <c r="D67" s="87" t="s">
        <v>517</v>
      </c>
      <c r="E67" s="87" t="s">
        <v>404</v>
      </c>
      <c r="F67" s="87">
        <v>40</v>
      </c>
      <c r="G67" s="87">
        <v>2</v>
      </c>
      <c r="H67" s="125"/>
      <c r="I67" s="125"/>
      <c r="J67" s="125"/>
      <c r="K67" s="125"/>
      <c r="L67" s="90"/>
      <c r="M67" s="90"/>
      <c r="N67" s="90">
        <v>2</v>
      </c>
      <c r="O67" s="90">
        <v>32</v>
      </c>
      <c r="P67" s="90"/>
      <c r="Q67" s="90"/>
      <c r="R67" s="90"/>
      <c r="S67" s="90"/>
      <c r="T67" s="126">
        <v>2</v>
      </c>
      <c r="U67" s="127">
        <v>32</v>
      </c>
      <c r="V67" s="257"/>
    </row>
    <row r="68" spans="2:22">
      <c r="B68" s="632"/>
      <c r="C68" s="653"/>
      <c r="D68" s="87" t="s">
        <v>388</v>
      </c>
      <c r="E68" s="87" t="s">
        <v>759</v>
      </c>
      <c r="F68" s="87">
        <v>40</v>
      </c>
      <c r="G68" s="87">
        <v>3</v>
      </c>
      <c r="H68" s="125"/>
      <c r="I68" s="125"/>
      <c r="J68" s="125"/>
      <c r="K68" s="125"/>
      <c r="L68" s="90"/>
      <c r="M68" s="90"/>
      <c r="N68" s="90">
        <v>2</v>
      </c>
      <c r="O68" s="90">
        <v>32</v>
      </c>
      <c r="P68" s="90"/>
      <c r="Q68" s="90"/>
      <c r="R68" s="90"/>
      <c r="S68" s="90"/>
      <c r="T68" s="126">
        <v>2</v>
      </c>
      <c r="U68" s="127">
        <v>32</v>
      </c>
      <c r="V68" s="257"/>
    </row>
    <row r="69" spans="2:22" ht="18" thickBot="1">
      <c r="B69" s="633"/>
      <c r="C69" s="654"/>
      <c r="D69" s="647" t="s">
        <v>16</v>
      </c>
      <c r="E69" s="648"/>
      <c r="F69" s="130"/>
      <c r="G69" s="130"/>
      <c r="H69" s="131">
        <f t="shared" ref="H69:U69" si="10">SUM(H66:H68)</f>
        <v>0</v>
      </c>
      <c r="I69" s="131">
        <f t="shared" si="10"/>
        <v>0</v>
      </c>
      <c r="J69" s="131">
        <f t="shared" si="10"/>
        <v>0</v>
      </c>
      <c r="K69" s="131">
        <f t="shared" si="10"/>
        <v>0</v>
      </c>
      <c r="L69" s="104">
        <f t="shared" si="10"/>
        <v>4</v>
      </c>
      <c r="M69" s="104">
        <f t="shared" si="10"/>
        <v>64</v>
      </c>
      <c r="N69" s="104">
        <f t="shared" si="10"/>
        <v>4</v>
      </c>
      <c r="O69" s="104">
        <f t="shared" si="10"/>
        <v>64</v>
      </c>
      <c r="P69" s="104">
        <f t="shared" si="10"/>
        <v>0</v>
      </c>
      <c r="Q69" s="104">
        <f t="shared" si="10"/>
        <v>0</v>
      </c>
      <c r="R69" s="104">
        <f t="shared" si="10"/>
        <v>0</v>
      </c>
      <c r="S69" s="104">
        <f t="shared" si="10"/>
        <v>0</v>
      </c>
      <c r="T69" s="104">
        <f t="shared" si="10"/>
        <v>8</v>
      </c>
      <c r="U69" s="104">
        <f t="shared" si="10"/>
        <v>128</v>
      </c>
      <c r="V69" s="258"/>
    </row>
    <row r="70" spans="2:22">
      <c r="B70" s="645" t="s">
        <v>377</v>
      </c>
      <c r="C70" s="652">
        <v>8</v>
      </c>
      <c r="D70" s="86" t="s">
        <v>389</v>
      </c>
      <c r="E70" s="86" t="s">
        <v>392</v>
      </c>
      <c r="F70" s="86">
        <v>20</v>
      </c>
      <c r="G70" s="86">
        <v>3</v>
      </c>
      <c r="H70" s="89"/>
      <c r="I70" s="89"/>
      <c r="J70" s="89"/>
      <c r="K70" s="89"/>
      <c r="L70" s="89">
        <v>2</v>
      </c>
      <c r="M70" s="89">
        <v>32</v>
      </c>
      <c r="N70" s="89"/>
      <c r="O70" s="89"/>
      <c r="P70" s="89"/>
      <c r="Q70" s="89"/>
      <c r="R70" s="89"/>
      <c r="S70" s="89"/>
      <c r="T70" s="26">
        <v>2</v>
      </c>
      <c r="U70" s="26">
        <v>32</v>
      </c>
    </row>
    <row r="71" spans="2:22">
      <c r="B71" s="632"/>
      <c r="C71" s="653"/>
      <c r="D71" s="87" t="s">
        <v>390</v>
      </c>
      <c r="E71" s="87" t="s">
        <v>393</v>
      </c>
      <c r="F71" s="87">
        <v>20</v>
      </c>
      <c r="G71" s="87">
        <v>2</v>
      </c>
      <c r="H71" s="90"/>
      <c r="I71" s="90"/>
      <c r="J71" s="90"/>
      <c r="K71" s="90"/>
      <c r="L71" s="90">
        <v>2</v>
      </c>
      <c r="M71" s="90">
        <v>32</v>
      </c>
      <c r="N71" s="90"/>
      <c r="O71" s="90"/>
      <c r="P71" s="90"/>
      <c r="Q71" s="90"/>
      <c r="R71" s="90"/>
      <c r="S71" s="91"/>
      <c r="T71" s="24">
        <v>2</v>
      </c>
      <c r="U71" s="24">
        <v>32</v>
      </c>
    </row>
    <row r="72" spans="2:22">
      <c r="B72" s="632"/>
      <c r="C72" s="653"/>
      <c r="D72" s="87" t="s">
        <v>391</v>
      </c>
      <c r="E72" s="87" t="s">
        <v>394</v>
      </c>
      <c r="F72" s="87">
        <v>80</v>
      </c>
      <c r="G72" s="87">
        <v>3</v>
      </c>
      <c r="H72" s="90"/>
      <c r="I72" s="90"/>
      <c r="J72" s="90"/>
      <c r="K72" s="90"/>
      <c r="L72" s="90"/>
      <c r="M72" s="90"/>
      <c r="N72" s="90">
        <v>4</v>
      </c>
      <c r="O72" s="90">
        <f>N72*16</f>
        <v>64</v>
      </c>
      <c r="P72" s="90"/>
      <c r="Q72" s="90"/>
      <c r="R72" s="90"/>
      <c r="S72" s="91"/>
      <c r="T72" s="24">
        <v>4</v>
      </c>
      <c r="U72" s="24">
        <v>64</v>
      </c>
    </row>
    <row r="73" spans="2:22" ht="18" thickBot="1">
      <c r="B73" s="633"/>
      <c r="C73" s="654"/>
      <c r="D73" s="647" t="s">
        <v>16</v>
      </c>
      <c r="E73" s="648"/>
      <c r="F73" s="277"/>
      <c r="G73" s="277"/>
      <c r="H73" s="104">
        <f>SUM(H70:H72)</f>
        <v>0</v>
      </c>
      <c r="I73" s="104">
        <f t="shared" ref="I73:U73" si="11">SUM(I70:I72)</f>
        <v>0</v>
      </c>
      <c r="J73" s="104">
        <f t="shared" si="11"/>
        <v>0</v>
      </c>
      <c r="K73" s="104">
        <f t="shared" si="11"/>
        <v>0</v>
      </c>
      <c r="L73" s="104">
        <f t="shared" si="11"/>
        <v>4</v>
      </c>
      <c r="M73" s="104">
        <f t="shared" si="11"/>
        <v>64</v>
      </c>
      <c r="N73" s="104">
        <f t="shared" si="11"/>
        <v>4</v>
      </c>
      <c r="O73" s="104">
        <f t="shared" si="11"/>
        <v>64</v>
      </c>
      <c r="P73" s="104">
        <f t="shared" si="11"/>
        <v>0</v>
      </c>
      <c r="Q73" s="104">
        <f t="shared" si="11"/>
        <v>0</v>
      </c>
      <c r="R73" s="104">
        <f t="shared" si="11"/>
        <v>0</v>
      </c>
      <c r="S73" s="104">
        <f t="shared" si="11"/>
        <v>0</v>
      </c>
      <c r="T73" s="104">
        <f t="shared" si="11"/>
        <v>8</v>
      </c>
      <c r="U73" s="104">
        <f t="shared" si="11"/>
        <v>128</v>
      </c>
    </row>
    <row r="74" spans="2:22">
      <c r="B74" s="645" t="s">
        <v>395</v>
      </c>
      <c r="C74" s="652">
        <v>8</v>
      </c>
      <c r="D74" s="134" t="s">
        <v>396</v>
      </c>
      <c r="E74" s="134" t="s">
        <v>403</v>
      </c>
      <c r="F74" s="109">
        <v>20</v>
      </c>
      <c r="G74" s="109">
        <v>2</v>
      </c>
      <c r="H74" s="133"/>
      <c r="I74" s="133"/>
      <c r="J74" s="133"/>
      <c r="K74" s="133"/>
      <c r="L74" s="133">
        <v>2</v>
      </c>
      <c r="M74" s="133">
        <v>32</v>
      </c>
      <c r="N74" s="133"/>
      <c r="O74" s="133"/>
      <c r="P74" s="133"/>
      <c r="Q74" s="133"/>
      <c r="R74" s="133"/>
      <c r="S74" s="133"/>
      <c r="T74" s="138">
        <v>2</v>
      </c>
      <c r="U74" s="259">
        <v>32</v>
      </c>
    </row>
    <row r="75" spans="2:22">
      <c r="B75" s="632"/>
      <c r="C75" s="653"/>
      <c r="D75" s="88" t="s">
        <v>397</v>
      </c>
      <c r="E75" s="88" t="s">
        <v>402</v>
      </c>
      <c r="F75" s="110">
        <v>20</v>
      </c>
      <c r="G75" s="110">
        <v>2</v>
      </c>
      <c r="H75" s="132"/>
      <c r="I75" s="132"/>
      <c r="J75" s="132"/>
      <c r="K75" s="132"/>
      <c r="L75" s="132">
        <v>2</v>
      </c>
      <c r="M75" s="132">
        <v>32</v>
      </c>
      <c r="N75" s="132"/>
      <c r="O75" s="132"/>
      <c r="P75" s="132"/>
      <c r="Q75" s="132"/>
      <c r="R75" s="132"/>
      <c r="S75" s="132"/>
      <c r="T75" s="139">
        <v>2</v>
      </c>
      <c r="U75" s="260">
        <v>32</v>
      </c>
    </row>
    <row r="76" spans="2:22">
      <c r="B76" s="632"/>
      <c r="C76" s="653"/>
      <c r="D76" s="88" t="s">
        <v>398</v>
      </c>
      <c r="E76" s="88" t="s">
        <v>401</v>
      </c>
      <c r="F76" s="110">
        <v>20</v>
      </c>
      <c r="G76" s="110">
        <v>2</v>
      </c>
      <c r="H76" s="132"/>
      <c r="I76" s="132"/>
      <c r="J76" s="132"/>
      <c r="K76" s="132"/>
      <c r="L76" s="132"/>
      <c r="M76" s="132"/>
      <c r="N76" s="132">
        <v>1</v>
      </c>
      <c r="O76" s="132">
        <v>16</v>
      </c>
      <c r="P76" s="132"/>
      <c r="Q76" s="132"/>
      <c r="R76" s="132"/>
      <c r="S76" s="132"/>
      <c r="T76" s="139">
        <v>1</v>
      </c>
      <c r="U76" s="260">
        <v>16</v>
      </c>
    </row>
    <row r="77" spans="2:22">
      <c r="B77" s="632"/>
      <c r="C77" s="653"/>
      <c r="D77" s="88" t="s">
        <v>399</v>
      </c>
      <c r="E77" s="88" t="s">
        <v>400</v>
      </c>
      <c r="F77" s="110">
        <v>50</v>
      </c>
      <c r="G77" s="110">
        <v>2</v>
      </c>
      <c r="H77" s="132"/>
      <c r="I77" s="132"/>
      <c r="J77" s="132"/>
      <c r="K77" s="132"/>
      <c r="L77" s="132"/>
      <c r="M77" s="132"/>
      <c r="N77" s="132">
        <v>3</v>
      </c>
      <c r="O77" s="132">
        <v>48</v>
      </c>
      <c r="P77" s="132"/>
      <c r="Q77" s="132"/>
      <c r="R77" s="132"/>
      <c r="S77" s="132"/>
      <c r="T77" s="139">
        <v>3</v>
      </c>
      <c r="U77" s="260">
        <v>48</v>
      </c>
    </row>
    <row r="78" spans="2:22" ht="18" thickBot="1">
      <c r="B78" s="633"/>
      <c r="C78" s="654"/>
      <c r="D78" s="647" t="s">
        <v>16</v>
      </c>
      <c r="E78" s="648"/>
      <c r="F78" s="136"/>
      <c r="G78" s="107"/>
      <c r="H78" s="108">
        <f t="shared" ref="H78:U78" si="12">SUM(H74:H77)</f>
        <v>0</v>
      </c>
      <c r="I78" s="108">
        <f t="shared" si="12"/>
        <v>0</v>
      </c>
      <c r="J78" s="108">
        <f t="shared" si="12"/>
        <v>0</v>
      </c>
      <c r="K78" s="108">
        <f t="shared" si="12"/>
        <v>0</v>
      </c>
      <c r="L78" s="140">
        <f t="shared" si="12"/>
        <v>4</v>
      </c>
      <c r="M78" s="140">
        <f t="shared" si="12"/>
        <v>64</v>
      </c>
      <c r="N78" s="140">
        <f t="shared" si="12"/>
        <v>4</v>
      </c>
      <c r="O78" s="140">
        <f t="shared" si="12"/>
        <v>64</v>
      </c>
      <c r="P78" s="104">
        <f t="shared" si="12"/>
        <v>0</v>
      </c>
      <c r="Q78" s="104">
        <f t="shared" si="12"/>
        <v>0</v>
      </c>
      <c r="R78" s="104">
        <f t="shared" si="12"/>
        <v>0</v>
      </c>
      <c r="S78" s="104">
        <f t="shared" si="12"/>
        <v>0</v>
      </c>
      <c r="T78" s="104">
        <f t="shared" si="12"/>
        <v>8</v>
      </c>
      <c r="U78" s="135">
        <f t="shared" si="12"/>
        <v>128</v>
      </c>
    </row>
  </sheetData>
  <mergeCells count="66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3"/>
    <mergeCell ref="C9:C13"/>
    <mergeCell ref="D13:E13"/>
    <mergeCell ref="B14:B18"/>
    <mergeCell ref="C14:C18"/>
    <mergeCell ref="D18:E18"/>
    <mergeCell ref="B19:B21"/>
    <mergeCell ref="C19:C21"/>
    <mergeCell ref="D21:E21"/>
    <mergeCell ref="B22:B28"/>
    <mergeCell ref="C22:C28"/>
    <mergeCell ref="D28:E28"/>
    <mergeCell ref="B29:B36"/>
    <mergeCell ref="C29:C36"/>
    <mergeCell ref="D36:E36"/>
    <mergeCell ref="B37:B41"/>
    <mergeCell ref="C37:C41"/>
    <mergeCell ref="D41:E41"/>
    <mergeCell ref="B42:B48"/>
    <mergeCell ref="C42:C48"/>
    <mergeCell ref="D48:E48"/>
    <mergeCell ref="B49:B55"/>
    <mergeCell ref="C49:C55"/>
    <mergeCell ref="D55:E55"/>
    <mergeCell ref="B56:B60"/>
    <mergeCell ref="C56:C60"/>
    <mergeCell ref="D60:E60"/>
    <mergeCell ref="B61:B65"/>
    <mergeCell ref="C61:C65"/>
    <mergeCell ref="D65:E65"/>
    <mergeCell ref="B74:B78"/>
    <mergeCell ref="C74:C78"/>
    <mergeCell ref="D78:E78"/>
    <mergeCell ref="B66:B69"/>
    <mergeCell ref="C66:C69"/>
    <mergeCell ref="D69:E69"/>
    <mergeCell ref="B70:B73"/>
    <mergeCell ref="C70:C73"/>
    <mergeCell ref="D73:E7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34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2C18-C2C6-40D1-9B17-1FEA5C489A09}">
  <dimension ref="A1:L151"/>
  <sheetViews>
    <sheetView workbookViewId="0">
      <pane ySplit="1" topLeftCell="A113" activePane="bottomLeft" state="frozen"/>
      <selection pane="bottomLeft" activeCell="C118" sqref="C118"/>
    </sheetView>
  </sheetViews>
  <sheetFormatPr defaultRowHeight="17.399999999999999"/>
  <cols>
    <col min="1" max="1" width="16.5" style="1" bestFit="1" customWidth="1"/>
    <col min="2" max="5" width="8.796875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114</v>
      </c>
      <c r="F1" s="2" t="s">
        <v>20</v>
      </c>
      <c r="G1" s="5"/>
      <c r="H1" s="6" t="s">
        <v>67</v>
      </c>
      <c r="I1" s="6" t="s">
        <v>59</v>
      </c>
      <c r="J1" s="6" t="s">
        <v>85</v>
      </c>
      <c r="K1" s="6" t="s">
        <v>49</v>
      </c>
      <c r="L1" s="6" t="s">
        <v>55</v>
      </c>
    </row>
    <row r="2" spans="1:12">
      <c r="A2" s="3" t="s">
        <v>191</v>
      </c>
      <c r="B2" s="3" t="s">
        <v>17</v>
      </c>
      <c r="C2" s="3" t="s">
        <v>21</v>
      </c>
      <c r="D2" s="3" t="s">
        <v>12</v>
      </c>
      <c r="E2" s="3">
        <v>4</v>
      </c>
      <c r="F2" s="7" t="s">
        <v>320</v>
      </c>
      <c r="G2" s="5"/>
      <c r="H2" s="3" t="s">
        <v>68</v>
      </c>
      <c r="I2" s="3" t="s">
        <v>60</v>
      </c>
      <c r="J2" s="3" t="s">
        <v>157</v>
      </c>
      <c r="K2" s="3" t="s">
        <v>157</v>
      </c>
      <c r="L2" s="3" t="s">
        <v>28</v>
      </c>
    </row>
    <row r="3" spans="1:12">
      <c r="A3" s="3" t="s">
        <v>192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320</v>
      </c>
      <c r="G3" s="5"/>
      <c r="H3" s="3" t="s">
        <v>69</v>
      </c>
      <c r="I3" s="3" t="s">
        <v>61</v>
      </c>
      <c r="J3" s="3" t="s">
        <v>158</v>
      </c>
      <c r="K3" s="3" t="s">
        <v>158</v>
      </c>
      <c r="L3" s="3" t="s">
        <v>110</v>
      </c>
    </row>
    <row r="4" spans="1:12">
      <c r="A4" s="3" t="s">
        <v>193</v>
      </c>
      <c r="B4" s="3" t="s">
        <v>17</v>
      </c>
      <c r="C4" s="3" t="s">
        <v>21</v>
      </c>
      <c r="D4" s="3" t="s">
        <v>28</v>
      </c>
      <c r="E4" s="3">
        <v>4</v>
      </c>
      <c r="F4" s="7" t="s">
        <v>322</v>
      </c>
      <c r="G4" s="5"/>
      <c r="H4" s="3" t="s">
        <v>70</v>
      </c>
      <c r="I4" s="3" t="s">
        <v>147</v>
      </c>
      <c r="J4" s="3" t="s">
        <v>86</v>
      </c>
      <c r="K4" s="3" t="s">
        <v>86</v>
      </c>
      <c r="L4" s="3" t="s">
        <v>111</v>
      </c>
    </row>
    <row r="5" spans="1:12">
      <c r="A5" s="3" t="s">
        <v>194</v>
      </c>
      <c r="B5" s="3" t="s">
        <v>17</v>
      </c>
      <c r="C5" s="3" t="s">
        <v>21</v>
      </c>
      <c r="D5" s="3" t="s">
        <v>28</v>
      </c>
      <c r="E5" s="3">
        <v>4</v>
      </c>
      <c r="F5" s="7" t="s">
        <v>322</v>
      </c>
      <c r="G5" s="5"/>
      <c r="H5" s="3" t="s">
        <v>71</v>
      </c>
      <c r="I5" s="3" t="s">
        <v>148</v>
      </c>
      <c r="J5" s="3" t="s">
        <v>159</v>
      </c>
      <c r="K5" s="3" t="s">
        <v>159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28</v>
      </c>
      <c r="E6" s="3">
        <v>4</v>
      </c>
      <c r="F6" s="7" t="s">
        <v>322</v>
      </c>
      <c r="G6" s="5"/>
      <c r="H6" s="3" t="s">
        <v>72</v>
      </c>
      <c r="I6" s="3" t="s">
        <v>149</v>
      </c>
      <c r="J6" s="3" t="s">
        <v>160</v>
      </c>
      <c r="K6" s="3" t="s">
        <v>160</v>
      </c>
      <c r="L6" s="3"/>
    </row>
    <row r="7" spans="1:12">
      <c r="A7" s="3" t="s">
        <v>195</v>
      </c>
      <c r="B7" s="3" t="s">
        <v>17</v>
      </c>
      <c r="C7" s="3" t="s">
        <v>21</v>
      </c>
      <c r="D7" s="3" t="s">
        <v>29</v>
      </c>
      <c r="E7" s="3">
        <v>4</v>
      </c>
      <c r="F7" s="7" t="s">
        <v>322</v>
      </c>
      <c r="G7" s="5"/>
      <c r="H7" s="3" t="s">
        <v>73</v>
      </c>
      <c r="I7" s="3" t="s">
        <v>155</v>
      </c>
      <c r="J7" s="3" t="s">
        <v>87</v>
      </c>
      <c r="K7" s="3" t="s">
        <v>87</v>
      </c>
      <c r="L7" s="5"/>
    </row>
    <row r="8" spans="1:12">
      <c r="A8" s="3" t="s">
        <v>196</v>
      </c>
      <c r="B8" s="3" t="s">
        <v>17</v>
      </c>
      <c r="C8" s="3" t="s">
        <v>21</v>
      </c>
      <c r="D8" s="3" t="s">
        <v>29</v>
      </c>
      <c r="E8" s="3">
        <v>4</v>
      </c>
      <c r="F8" s="7" t="s">
        <v>322</v>
      </c>
      <c r="G8" s="5"/>
      <c r="H8" s="3" t="s">
        <v>74</v>
      </c>
      <c r="I8" s="3" t="s">
        <v>150</v>
      </c>
      <c r="J8" s="3" t="s">
        <v>161</v>
      </c>
      <c r="K8" s="3" t="s">
        <v>161</v>
      </c>
      <c r="L8" s="5"/>
    </row>
    <row r="9" spans="1:12">
      <c r="A9" s="3" t="s">
        <v>197</v>
      </c>
      <c r="B9" s="3" t="s">
        <v>17</v>
      </c>
      <c r="C9" s="3" t="s">
        <v>21</v>
      </c>
      <c r="D9" s="3" t="s">
        <v>29</v>
      </c>
      <c r="E9" s="3">
        <v>4</v>
      </c>
      <c r="F9" s="7" t="s">
        <v>322</v>
      </c>
      <c r="G9" s="5"/>
      <c r="H9" s="3" t="s">
        <v>75</v>
      </c>
      <c r="I9" s="3" t="s">
        <v>62</v>
      </c>
      <c r="J9" s="3" t="s">
        <v>162</v>
      </c>
      <c r="K9" s="3" t="s">
        <v>162</v>
      </c>
      <c r="L9" s="5"/>
    </row>
    <row r="10" spans="1:12">
      <c r="A10" s="3" t="s">
        <v>198</v>
      </c>
      <c r="B10" s="3" t="s">
        <v>17</v>
      </c>
      <c r="C10" s="3" t="s">
        <v>21</v>
      </c>
      <c r="D10" s="3" t="s">
        <v>201</v>
      </c>
      <c r="E10" s="3">
        <v>4</v>
      </c>
      <c r="F10" s="7" t="s">
        <v>322</v>
      </c>
      <c r="G10" s="5"/>
      <c r="H10" s="3" t="s">
        <v>76</v>
      </c>
      <c r="I10" s="3" t="s">
        <v>63</v>
      </c>
      <c r="J10" s="3" t="s">
        <v>105</v>
      </c>
      <c r="K10" s="3" t="s">
        <v>105</v>
      </c>
      <c r="L10" s="5"/>
    </row>
    <row r="11" spans="1:12">
      <c r="A11" s="3" t="s">
        <v>199</v>
      </c>
      <c r="B11" s="3" t="s">
        <v>17</v>
      </c>
      <c r="C11" s="3" t="s">
        <v>21</v>
      </c>
      <c r="D11" s="3" t="s">
        <v>201</v>
      </c>
      <c r="E11" s="3">
        <v>4</v>
      </c>
      <c r="F11" s="7" t="s">
        <v>322</v>
      </c>
      <c r="G11" s="5"/>
      <c r="H11" s="3" t="s">
        <v>77</v>
      </c>
      <c r="I11" s="3" t="s">
        <v>64</v>
      </c>
      <c r="J11" s="3" t="s">
        <v>88</v>
      </c>
      <c r="K11" s="3" t="s">
        <v>88</v>
      </c>
      <c r="L11" s="5"/>
    </row>
    <row r="12" spans="1:12">
      <c r="A12" s="3" t="s">
        <v>200</v>
      </c>
      <c r="B12" s="3" t="s">
        <v>17</v>
      </c>
      <c r="C12" s="3" t="s">
        <v>21</v>
      </c>
      <c r="D12" s="3" t="s">
        <v>201</v>
      </c>
      <c r="E12" s="3">
        <v>4</v>
      </c>
      <c r="F12" s="7" t="s">
        <v>322</v>
      </c>
      <c r="G12" s="5"/>
      <c r="H12" s="3" t="s">
        <v>78</v>
      </c>
      <c r="I12" s="3" t="s">
        <v>151</v>
      </c>
      <c r="J12" s="3" t="s">
        <v>89</v>
      </c>
      <c r="K12" s="3" t="s">
        <v>89</v>
      </c>
      <c r="L12" s="5"/>
    </row>
    <row r="13" spans="1:12">
      <c r="A13" s="3" t="s">
        <v>202</v>
      </c>
      <c r="B13" s="3" t="s">
        <v>17</v>
      </c>
      <c r="C13" s="3" t="s">
        <v>5</v>
      </c>
      <c r="D13" s="3" t="s">
        <v>12</v>
      </c>
      <c r="E13" s="3">
        <v>4</v>
      </c>
      <c r="F13" s="7" t="s">
        <v>320</v>
      </c>
      <c r="G13" s="5"/>
      <c r="H13" s="3" t="s">
        <v>79</v>
      </c>
      <c r="I13" s="3" t="s">
        <v>65</v>
      </c>
      <c r="J13" s="3" t="s">
        <v>163</v>
      </c>
      <c r="K13" s="3" t="s">
        <v>163</v>
      </c>
      <c r="L13" s="5"/>
    </row>
    <row r="14" spans="1:12">
      <c r="A14" s="3" t="s">
        <v>203</v>
      </c>
      <c r="B14" s="3" t="s">
        <v>17</v>
      </c>
      <c r="C14" s="3" t="s">
        <v>5</v>
      </c>
      <c r="D14" s="3" t="s">
        <v>12</v>
      </c>
      <c r="E14" s="3">
        <v>4</v>
      </c>
      <c r="F14" s="7" t="s">
        <v>320</v>
      </c>
      <c r="G14" s="5"/>
      <c r="H14" s="3" t="s">
        <v>80</v>
      </c>
      <c r="I14" s="3" t="s">
        <v>66</v>
      </c>
      <c r="J14" s="3" t="s">
        <v>90</v>
      </c>
      <c r="K14" s="3" t="s">
        <v>90</v>
      </c>
      <c r="L14" s="5"/>
    </row>
    <row r="15" spans="1:12">
      <c r="A15" s="3" t="s">
        <v>204</v>
      </c>
      <c r="B15" s="3" t="s">
        <v>17</v>
      </c>
      <c r="C15" s="3" t="s">
        <v>5</v>
      </c>
      <c r="D15" s="3" t="s">
        <v>28</v>
      </c>
      <c r="E15" s="3">
        <v>4</v>
      </c>
      <c r="F15" s="7" t="s">
        <v>322</v>
      </c>
      <c r="G15" s="5"/>
      <c r="H15" s="3" t="s">
        <v>81</v>
      </c>
      <c r="I15" s="3" t="s">
        <v>152</v>
      </c>
      <c r="J15" s="3" t="s">
        <v>164</v>
      </c>
      <c r="K15" s="3" t="s">
        <v>164</v>
      </c>
      <c r="L15" s="5"/>
    </row>
    <row r="16" spans="1:12">
      <c r="A16" s="3" t="s">
        <v>205</v>
      </c>
      <c r="B16" s="3" t="s">
        <v>17</v>
      </c>
      <c r="C16" s="3" t="s">
        <v>5</v>
      </c>
      <c r="D16" s="3" t="s">
        <v>28</v>
      </c>
      <c r="E16" s="3">
        <v>4</v>
      </c>
      <c r="F16" s="7" t="s">
        <v>322</v>
      </c>
      <c r="G16" s="5"/>
      <c r="H16" s="3" t="s">
        <v>82</v>
      </c>
      <c r="I16" s="3" t="s">
        <v>153</v>
      </c>
      <c r="J16" s="3" t="s">
        <v>165</v>
      </c>
      <c r="K16" s="3" t="s">
        <v>165</v>
      </c>
      <c r="L16" s="5"/>
    </row>
    <row r="17" spans="1:12">
      <c r="A17" s="3" t="s">
        <v>30</v>
      </c>
      <c r="B17" s="3" t="s">
        <v>17</v>
      </c>
      <c r="C17" s="3" t="s">
        <v>5</v>
      </c>
      <c r="D17" s="3" t="s">
        <v>28</v>
      </c>
      <c r="E17" s="3">
        <v>4</v>
      </c>
      <c r="F17" s="7" t="s">
        <v>322</v>
      </c>
      <c r="G17" s="5"/>
      <c r="H17" s="3" t="s">
        <v>83</v>
      </c>
      <c r="I17" s="3" t="s">
        <v>154</v>
      </c>
      <c r="J17" s="3" t="s">
        <v>166</v>
      </c>
      <c r="K17" s="3" t="s">
        <v>166</v>
      </c>
      <c r="L17" s="5"/>
    </row>
    <row r="18" spans="1:12">
      <c r="A18" s="3" t="s">
        <v>206</v>
      </c>
      <c r="B18" s="3" t="s">
        <v>17</v>
      </c>
      <c r="C18" s="3" t="s">
        <v>5</v>
      </c>
      <c r="D18" s="3" t="s">
        <v>29</v>
      </c>
      <c r="E18" s="3">
        <v>4</v>
      </c>
      <c r="F18" s="7" t="s">
        <v>322</v>
      </c>
      <c r="G18" s="5"/>
      <c r="H18" s="3" t="s">
        <v>84</v>
      </c>
      <c r="I18" s="3" t="s">
        <v>156</v>
      </c>
      <c r="J18" s="3" t="s">
        <v>167</v>
      </c>
      <c r="K18" s="3" t="s">
        <v>167</v>
      </c>
      <c r="L18" s="5"/>
    </row>
    <row r="19" spans="1:12">
      <c r="A19" s="3" t="s">
        <v>31</v>
      </c>
      <c r="B19" s="3" t="s">
        <v>17</v>
      </c>
      <c r="C19" s="3" t="s">
        <v>5</v>
      </c>
      <c r="D19" s="3" t="s">
        <v>29</v>
      </c>
      <c r="E19" s="3">
        <v>4</v>
      </c>
      <c r="F19" s="7" t="s">
        <v>322</v>
      </c>
      <c r="G19" s="5"/>
      <c r="J19" s="3" t="s">
        <v>104</v>
      </c>
      <c r="K19" s="3" t="s">
        <v>104</v>
      </c>
      <c r="L19" s="5"/>
    </row>
    <row r="20" spans="1:12">
      <c r="A20" s="3" t="s">
        <v>113</v>
      </c>
      <c r="B20" s="3" t="s">
        <v>17</v>
      </c>
      <c r="C20" s="3" t="s">
        <v>5</v>
      </c>
      <c r="D20" s="3" t="s">
        <v>29</v>
      </c>
      <c r="E20" s="3">
        <v>4</v>
      </c>
      <c r="F20" s="7" t="s">
        <v>322</v>
      </c>
      <c r="G20" s="5"/>
      <c r="J20" s="3" t="s">
        <v>168</v>
      </c>
      <c r="K20" s="3" t="s">
        <v>168</v>
      </c>
      <c r="L20" s="5"/>
    </row>
    <row r="21" spans="1:12">
      <c r="A21" s="3" t="s">
        <v>207</v>
      </c>
      <c r="B21" s="3" t="s">
        <v>17</v>
      </c>
      <c r="C21" s="3" t="s">
        <v>5</v>
      </c>
      <c r="D21" s="3" t="s">
        <v>29</v>
      </c>
      <c r="E21" s="3">
        <v>4</v>
      </c>
      <c r="F21" s="7" t="s">
        <v>322</v>
      </c>
      <c r="G21" s="5"/>
      <c r="J21" s="3" t="s">
        <v>91</v>
      </c>
      <c r="K21" s="3" t="s">
        <v>91</v>
      </c>
      <c r="L21" s="5"/>
    </row>
    <row r="22" spans="1:12">
      <c r="A22" s="3" t="s">
        <v>209</v>
      </c>
      <c r="B22" s="3" t="s">
        <v>17</v>
      </c>
      <c r="C22" s="3" t="s">
        <v>5</v>
      </c>
      <c r="D22" s="3" t="s">
        <v>29</v>
      </c>
      <c r="E22" s="3">
        <v>4</v>
      </c>
      <c r="F22" s="7" t="s">
        <v>322</v>
      </c>
      <c r="G22" s="5"/>
      <c r="H22" s="3"/>
      <c r="I22" s="3"/>
      <c r="J22" s="3" t="s">
        <v>169</v>
      </c>
      <c r="K22" s="3" t="s">
        <v>169</v>
      </c>
      <c r="L22" s="5"/>
    </row>
    <row r="23" spans="1:12">
      <c r="A23" s="3" t="s">
        <v>210</v>
      </c>
      <c r="B23" s="3" t="s">
        <v>17</v>
      </c>
      <c r="C23" s="3" t="s">
        <v>5</v>
      </c>
      <c r="D23" s="3" t="s">
        <v>201</v>
      </c>
      <c r="E23" s="3">
        <v>4</v>
      </c>
      <c r="F23" s="7" t="s">
        <v>322</v>
      </c>
      <c r="G23" s="5"/>
      <c r="H23" s="3"/>
      <c r="I23" s="3"/>
      <c r="J23" s="3" t="s">
        <v>170</v>
      </c>
      <c r="K23" s="3" t="s">
        <v>170</v>
      </c>
      <c r="L23" s="5"/>
    </row>
    <row r="24" spans="1:12">
      <c r="A24" s="3" t="s">
        <v>211</v>
      </c>
      <c r="B24" s="3" t="s">
        <v>17</v>
      </c>
      <c r="C24" s="3" t="s">
        <v>5</v>
      </c>
      <c r="D24" s="3" t="s">
        <v>201</v>
      </c>
      <c r="E24" s="3">
        <v>4</v>
      </c>
      <c r="F24" s="7" t="s">
        <v>322</v>
      </c>
      <c r="G24" s="5"/>
      <c r="H24" s="3"/>
      <c r="I24" s="3"/>
      <c r="J24" s="3" t="s">
        <v>171</v>
      </c>
      <c r="K24" s="3" t="s">
        <v>171</v>
      </c>
      <c r="L24" s="5"/>
    </row>
    <row r="25" spans="1:12">
      <c r="A25" s="3" t="s">
        <v>212</v>
      </c>
      <c r="B25" s="3" t="s">
        <v>17</v>
      </c>
      <c r="C25" s="3" t="s">
        <v>5</v>
      </c>
      <c r="D25" s="3" t="s">
        <v>201</v>
      </c>
      <c r="E25" s="3">
        <v>4</v>
      </c>
      <c r="F25" s="7" t="s">
        <v>322</v>
      </c>
      <c r="G25" s="5"/>
      <c r="H25" s="3"/>
      <c r="I25" s="3"/>
      <c r="J25" s="3" t="s">
        <v>172</v>
      </c>
      <c r="K25" s="3" t="s">
        <v>172</v>
      </c>
      <c r="L25" s="5"/>
    </row>
    <row r="26" spans="1:12">
      <c r="A26" s="3" t="s">
        <v>208</v>
      </c>
      <c r="B26" s="3" t="s">
        <v>17</v>
      </c>
      <c r="C26" s="3" t="s">
        <v>6</v>
      </c>
      <c r="D26" s="3" t="s">
        <v>12</v>
      </c>
      <c r="E26" s="3">
        <v>4</v>
      </c>
      <c r="F26" s="7" t="s">
        <v>320</v>
      </c>
      <c r="G26" s="5"/>
      <c r="H26" s="5"/>
      <c r="I26" s="3"/>
      <c r="J26" s="3" t="s">
        <v>92</v>
      </c>
      <c r="K26" s="3" t="s">
        <v>92</v>
      </c>
      <c r="L26" s="5"/>
    </row>
    <row r="27" spans="1:12">
      <c r="A27" s="3" t="s">
        <v>213</v>
      </c>
      <c r="B27" s="3" t="s">
        <v>17</v>
      </c>
      <c r="C27" s="3" t="s">
        <v>6</v>
      </c>
      <c r="D27" s="3" t="s">
        <v>28</v>
      </c>
      <c r="E27" s="3">
        <v>4</v>
      </c>
      <c r="F27" s="7" t="s">
        <v>322</v>
      </c>
      <c r="G27" s="5"/>
      <c r="H27" s="5"/>
      <c r="I27" s="5"/>
      <c r="J27" s="3" t="s">
        <v>173</v>
      </c>
      <c r="K27" s="3" t="s">
        <v>173</v>
      </c>
      <c r="L27" s="5"/>
    </row>
    <row r="28" spans="1:12">
      <c r="A28" s="3" t="s">
        <v>32</v>
      </c>
      <c r="B28" s="3" t="s">
        <v>17</v>
      </c>
      <c r="C28" s="3" t="s">
        <v>6</v>
      </c>
      <c r="D28" s="3" t="s">
        <v>28</v>
      </c>
      <c r="E28" s="3">
        <v>4</v>
      </c>
      <c r="F28" s="7" t="s">
        <v>322</v>
      </c>
      <c r="G28" s="5"/>
      <c r="H28" s="5"/>
      <c r="I28" s="5"/>
      <c r="J28" s="3" t="s">
        <v>93</v>
      </c>
      <c r="K28" s="3" t="s">
        <v>93</v>
      </c>
      <c r="L28" s="5"/>
    </row>
    <row r="29" spans="1:12">
      <c r="A29" s="3" t="s">
        <v>33</v>
      </c>
      <c r="B29" s="3" t="s">
        <v>17</v>
      </c>
      <c r="C29" s="3" t="s">
        <v>6</v>
      </c>
      <c r="D29" s="3" t="s">
        <v>28</v>
      </c>
      <c r="E29" s="3">
        <v>4</v>
      </c>
      <c r="F29" s="7" t="s">
        <v>322</v>
      </c>
      <c r="G29" s="5"/>
      <c r="H29" s="5"/>
      <c r="I29" s="5"/>
      <c r="J29" s="3" t="s">
        <v>94</v>
      </c>
      <c r="K29" s="3" t="s">
        <v>94</v>
      </c>
      <c r="L29" s="5"/>
    </row>
    <row r="30" spans="1:12">
      <c r="A30" s="3" t="s">
        <v>34</v>
      </c>
      <c r="B30" s="3" t="s">
        <v>17</v>
      </c>
      <c r="C30" s="3" t="s">
        <v>6</v>
      </c>
      <c r="D30" s="3" t="s">
        <v>28</v>
      </c>
      <c r="E30" s="3">
        <v>4</v>
      </c>
      <c r="F30" s="7" t="s">
        <v>322</v>
      </c>
      <c r="G30" s="5"/>
      <c r="H30" s="5"/>
      <c r="I30" s="5"/>
      <c r="J30" s="3" t="s">
        <v>95</v>
      </c>
      <c r="K30" s="3" t="s">
        <v>95</v>
      </c>
      <c r="L30" s="5"/>
    </row>
    <row r="31" spans="1:12">
      <c r="A31" s="3" t="s">
        <v>35</v>
      </c>
      <c r="B31" s="3" t="s">
        <v>17</v>
      </c>
      <c r="C31" s="3" t="s">
        <v>6</v>
      </c>
      <c r="D31" s="3" t="s">
        <v>29</v>
      </c>
      <c r="E31" s="3">
        <v>4</v>
      </c>
      <c r="F31" s="7" t="s">
        <v>322</v>
      </c>
      <c r="G31" s="5"/>
      <c r="H31" s="5"/>
      <c r="I31" s="5"/>
      <c r="J31" s="3" t="s">
        <v>96</v>
      </c>
      <c r="K31" s="3" t="s">
        <v>96</v>
      </c>
      <c r="L31" s="5"/>
    </row>
    <row r="32" spans="1:12">
      <c r="A32" s="3" t="s">
        <v>214</v>
      </c>
      <c r="B32" s="3" t="s">
        <v>17</v>
      </c>
      <c r="C32" s="3" t="s">
        <v>6</v>
      </c>
      <c r="D32" s="3" t="s">
        <v>29</v>
      </c>
      <c r="E32" s="3">
        <v>4</v>
      </c>
      <c r="F32" s="7" t="s">
        <v>322</v>
      </c>
      <c r="G32" s="5"/>
      <c r="H32" s="5"/>
      <c r="I32" s="5"/>
      <c r="J32" s="3" t="s">
        <v>97</v>
      </c>
      <c r="K32" s="3" t="s">
        <v>97</v>
      </c>
      <c r="L32" s="5"/>
    </row>
    <row r="33" spans="1:12">
      <c r="A33" s="3" t="s">
        <v>215</v>
      </c>
      <c r="B33" s="3" t="s">
        <v>17</v>
      </c>
      <c r="C33" s="3" t="s">
        <v>6</v>
      </c>
      <c r="D33" s="3" t="s">
        <v>29</v>
      </c>
      <c r="E33" s="3">
        <v>4</v>
      </c>
      <c r="F33" s="7" t="s">
        <v>322</v>
      </c>
      <c r="G33" s="5"/>
      <c r="H33" s="5"/>
      <c r="I33" s="5"/>
      <c r="J33" s="3" t="s">
        <v>98</v>
      </c>
      <c r="K33" s="3" t="s">
        <v>98</v>
      </c>
      <c r="L33" s="5"/>
    </row>
    <row r="34" spans="1:12">
      <c r="A34" s="3" t="s">
        <v>216</v>
      </c>
      <c r="B34" s="3" t="s">
        <v>17</v>
      </c>
      <c r="C34" s="3" t="s">
        <v>6</v>
      </c>
      <c r="D34" s="3" t="s">
        <v>29</v>
      </c>
      <c r="E34" s="3">
        <v>4</v>
      </c>
      <c r="F34" s="7" t="s">
        <v>322</v>
      </c>
      <c r="G34" s="5"/>
      <c r="H34" s="5"/>
      <c r="I34" s="5"/>
      <c r="J34" s="3" t="s">
        <v>174</v>
      </c>
      <c r="K34" s="3" t="s">
        <v>174</v>
      </c>
      <c r="L34" s="5"/>
    </row>
    <row r="35" spans="1:12">
      <c r="A35" s="3" t="s">
        <v>217</v>
      </c>
      <c r="B35" s="3" t="s">
        <v>17</v>
      </c>
      <c r="C35" s="3" t="s">
        <v>6</v>
      </c>
      <c r="D35" s="3" t="s">
        <v>29</v>
      </c>
      <c r="E35" s="3">
        <v>4</v>
      </c>
      <c r="F35" s="7" t="s">
        <v>322</v>
      </c>
      <c r="G35" s="5"/>
      <c r="H35" s="5"/>
      <c r="I35" s="5"/>
      <c r="J35" s="3" t="s">
        <v>175</v>
      </c>
      <c r="K35" s="3" t="s">
        <v>175</v>
      </c>
      <c r="L35" s="5"/>
    </row>
    <row r="36" spans="1:12">
      <c r="A36" s="3" t="s">
        <v>218</v>
      </c>
      <c r="B36" s="3" t="s">
        <v>17</v>
      </c>
      <c r="C36" s="3" t="s">
        <v>6</v>
      </c>
      <c r="D36" s="3" t="s">
        <v>201</v>
      </c>
      <c r="E36" s="3">
        <v>4</v>
      </c>
      <c r="F36" s="7" t="s">
        <v>322</v>
      </c>
      <c r="G36" s="5"/>
      <c r="H36" s="5"/>
      <c r="I36" s="5"/>
      <c r="J36" s="3" t="s">
        <v>99</v>
      </c>
      <c r="K36" s="3" t="s">
        <v>99</v>
      </c>
      <c r="L36" s="5"/>
    </row>
    <row r="37" spans="1:12">
      <c r="A37" s="3" t="s">
        <v>219</v>
      </c>
      <c r="B37" s="3" t="s">
        <v>17</v>
      </c>
      <c r="C37" s="3" t="s">
        <v>6</v>
      </c>
      <c r="D37" s="3" t="s">
        <v>201</v>
      </c>
      <c r="E37" s="3">
        <v>4</v>
      </c>
      <c r="F37" s="7" t="s">
        <v>322</v>
      </c>
      <c r="G37" s="5"/>
      <c r="H37" s="5"/>
      <c r="I37" s="5"/>
      <c r="J37" s="3" t="s">
        <v>100</v>
      </c>
      <c r="K37" s="3" t="s">
        <v>100</v>
      </c>
      <c r="L37" s="5"/>
    </row>
    <row r="38" spans="1:12">
      <c r="A38" s="3" t="s">
        <v>220</v>
      </c>
      <c r="B38" s="3" t="s">
        <v>17</v>
      </c>
      <c r="C38" s="3" t="s">
        <v>6</v>
      </c>
      <c r="D38" s="3" t="s">
        <v>201</v>
      </c>
      <c r="E38" s="3">
        <v>4</v>
      </c>
      <c r="F38" s="7" t="s">
        <v>322</v>
      </c>
      <c r="G38" s="5"/>
      <c r="H38" s="5"/>
      <c r="I38" s="5"/>
      <c r="J38" s="3" t="s">
        <v>101</v>
      </c>
      <c r="K38" s="3" t="s">
        <v>101</v>
      </c>
      <c r="L38" s="5"/>
    </row>
    <row r="39" spans="1:12">
      <c r="A39" s="3" t="s">
        <v>221</v>
      </c>
      <c r="B39" s="3" t="s">
        <v>17</v>
      </c>
      <c r="C39" s="3" t="s">
        <v>7</v>
      </c>
      <c r="D39" s="3" t="s">
        <v>12</v>
      </c>
      <c r="E39" s="3">
        <v>3</v>
      </c>
      <c r="F39" s="7" t="s">
        <v>343</v>
      </c>
      <c r="G39" s="5"/>
      <c r="H39" s="5"/>
      <c r="I39" s="5"/>
      <c r="J39" s="3" t="s">
        <v>102</v>
      </c>
      <c r="K39" s="3" t="s">
        <v>102</v>
      </c>
      <c r="L39" s="5"/>
    </row>
    <row r="40" spans="1:12">
      <c r="A40" s="3" t="s">
        <v>222</v>
      </c>
      <c r="B40" s="3" t="s">
        <v>17</v>
      </c>
      <c r="C40" s="3" t="s">
        <v>7</v>
      </c>
      <c r="D40" s="3" t="s">
        <v>12</v>
      </c>
      <c r="E40" s="3">
        <v>3</v>
      </c>
      <c r="F40" s="7" t="s">
        <v>343</v>
      </c>
      <c r="G40" s="5"/>
      <c r="H40" s="5"/>
      <c r="I40" s="5"/>
      <c r="J40" s="3" t="s">
        <v>176</v>
      </c>
      <c r="K40" s="3" t="s">
        <v>176</v>
      </c>
      <c r="L40" s="5"/>
    </row>
    <row r="41" spans="1:12" ht="17.25" customHeight="1">
      <c r="A41" s="3" t="s">
        <v>223</v>
      </c>
      <c r="B41" s="3" t="s">
        <v>17</v>
      </c>
      <c r="C41" s="3" t="s">
        <v>22</v>
      </c>
      <c r="D41" s="3" t="s">
        <v>12</v>
      </c>
      <c r="E41" s="3">
        <v>4</v>
      </c>
      <c r="F41" s="7" t="s">
        <v>320</v>
      </c>
      <c r="G41" s="5"/>
      <c r="H41" s="5"/>
      <c r="I41" s="5"/>
      <c r="J41" s="3" t="s">
        <v>103</v>
      </c>
      <c r="K41" s="3" t="s">
        <v>103</v>
      </c>
      <c r="L41" s="5"/>
    </row>
    <row r="42" spans="1:12" ht="17.25" customHeight="1">
      <c r="A42" s="3" t="s">
        <v>224</v>
      </c>
      <c r="B42" s="3" t="s">
        <v>17</v>
      </c>
      <c r="C42" s="3" t="s">
        <v>22</v>
      </c>
      <c r="D42" s="3" t="s">
        <v>12</v>
      </c>
      <c r="E42" s="3">
        <v>4</v>
      </c>
      <c r="F42" s="7" t="s">
        <v>320</v>
      </c>
      <c r="G42" s="5"/>
      <c r="H42" s="5"/>
      <c r="I42" s="5"/>
      <c r="J42" s="3" t="s">
        <v>177</v>
      </c>
      <c r="K42" s="3" t="s">
        <v>177</v>
      </c>
      <c r="L42" s="5"/>
    </row>
    <row r="43" spans="1:12" ht="17.25" customHeight="1">
      <c r="A43" s="3" t="s">
        <v>236</v>
      </c>
      <c r="B43" s="3" t="s">
        <v>17</v>
      </c>
      <c r="C43" s="3" t="s">
        <v>22</v>
      </c>
      <c r="D43" s="3" t="s">
        <v>28</v>
      </c>
      <c r="E43" s="3">
        <v>4</v>
      </c>
      <c r="F43" s="7" t="s">
        <v>322</v>
      </c>
      <c r="G43" s="5"/>
      <c r="H43" s="5"/>
      <c r="I43" s="5"/>
      <c r="J43" s="3" t="s">
        <v>178</v>
      </c>
      <c r="K43" s="3" t="s">
        <v>178</v>
      </c>
      <c r="L43" s="5"/>
    </row>
    <row r="44" spans="1:12" ht="17.25" customHeight="1">
      <c r="A44" s="3" t="s">
        <v>237</v>
      </c>
      <c r="B44" s="3" t="s">
        <v>17</v>
      </c>
      <c r="C44" s="3" t="s">
        <v>22</v>
      </c>
      <c r="D44" s="3" t="s">
        <v>28</v>
      </c>
      <c r="E44" s="3">
        <v>4</v>
      </c>
      <c r="F44" s="7" t="s">
        <v>322</v>
      </c>
      <c r="G44" s="5"/>
      <c r="H44" s="5"/>
      <c r="I44" s="5"/>
      <c r="J44" s="3" t="s">
        <v>106</v>
      </c>
      <c r="K44" s="3" t="s">
        <v>106</v>
      </c>
      <c r="L44" s="5"/>
    </row>
    <row r="45" spans="1:12" ht="17.25" customHeight="1">
      <c r="A45" s="3" t="s">
        <v>238</v>
      </c>
      <c r="B45" s="3" t="s">
        <v>17</v>
      </c>
      <c r="C45" s="3" t="s">
        <v>22</v>
      </c>
      <c r="D45" s="3" t="s">
        <v>28</v>
      </c>
      <c r="E45" s="3">
        <v>4</v>
      </c>
      <c r="F45" s="7" t="s">
        <v>322</v>
      </c>
      <c r="G45" s="5"/>
      <c r="H45" s="5"/>
      <c r="I45" s="5"/>
      <c r="J45" s="3" t="s">
        <v>179</v>
      </c>
      <c r="K45" s="3" t="s">
        <v>179</v>
      </c>
      <c r="L45" s="5"/>
    </row>
    <row r="46" spans="1:12" ht="17.25" customHeight="1">
      <c r="A46" s="3" t="s">
        <v>239</v>
      </c>
      <c r="B46" s="3" t="s">
        <v>17</v>
      </c>
      <c r="C46" s="3" t="s">
        <v>22</v>
      </c>
      <c r="D46" s="3" t="s">
        <v>28</v>
      </c>
      <c r="E46" s="3">
        <v>4</v>
      </c>
      <c r="F46" s="7" t="s">
        <v>322</v>
      </c>
      <c r="G46" s="5"/>
      <c r="H46" s="5"/>
      <c r="I46" s="5"/>
      <c r="J46" s="3" t="s">
        <v>107</v>
      </c>
      <c r="K46" s="3" t="s">
        <v>107</v>
      </c>
      <c r="L46" s="5"/>
    </row>
    <row r="47" spans="1:12">
      <c r="A47" s="3" t="s">
        <v>225</v>
      </c>
      <c r="B47" s="3" t="s">
        <v>17</v>
      </c>
      <c r="C47" s="3" t="s">
        <v>22</v>
      </c>
      <c r="D47" s="3" t="s">
        <v>29</v>
      </c>
      <c r="E47" s="3">
        <v>4</v>
      </c>
      <c r="F47" s="7" t="s">
        <v>322</v>
      </c>
      <c r="G47" s="5"/>
      <c r="H47" s="5"/>
      <c r="I47" s="5"/>
      <c r="J47" s="3" t="s">
        <v>108</v>
      </c>
      <c r="K47" s="3" t="s">
        <v>108</v>
      </c>
      <c r="L47" s="5"/>
    </row>
    <row r="48" spans="1:12">
      <c r="A48" s="3" t="s">
        <v>226</v>
      </c>
      <c r="B48" s="3" t="s">
        <v>17</v>
      </c>
      <c r="C48" s="3" t="s">
        <v>22</v>
      </c>
      <c r="D48" s="3" t="s">
        <v>29</v>
      </c>
      <c r="E48" s="3">
        <v>4</v>
      </c>
      <c r="F48" s="7" t="s">
        <v>322</v>
      </c>
      <c r="G48" s="5"/>
      <c r="H48" s="5"/>
      <c r="I48" s="5"/>
      <c r="J48" s="3" t="s">
        <v>109</v>
      </c>
      <c r="K48" s="3" t="s">
        <v>109</v>
      </c>
      <c r="L48" s="5"/>
    </row>
    <row r="49" spans="1:12">
      <c r="A49" s="3" t="s">
        <v>227</v>
      </c>
      <c r="B49" s="3" t="s">
        <v>17</v>
      </c>
      <c r="C49" s="3" t="s">
        <v>22</v>
      </c>
      <c r="D49" s="3" t="s">
        <v>29</v>
      </c>
      <c r="E49" s="3">
        <v>4</v>
      </c>
      <c r="F49" s="7" t="s">
        <v>322</v>
      </c>
      <c r="G49" s="5"/>
      <c r="H49" s="5"/>
      <c r="I49" s="5"/>
      <c r="J49" s="5" t="s">
        <v>180</v>
      </c>
      <c r="K49" s="5" t="s">
        <v>180</v>
      </c>
      <c r="L49" s="5"/>
    </row>
    <row r="50" spans="1:12">
      <c r="A50" s="3" t="s">
        <v>228</v>
      </c>
      <c r="B50" s="3" t="s">
        <v>17</v>
      </c>
      <c r="C50" s="3" t="s">
        <v>22</v>
      </c>
      <c r="D50" s="3" t="s">
        <v>29</v>
      </c>
      <c r="E50" s="3">
        <v>4</v>
      </c>
      <c r="F50" s="7" t="s">
        <v>322</v>
      </c>
      <c r="G50" s="5"/>
      <c r="H50" s="5"/>
      <c r="I50" s="5"/>
      <c r="J50" s="5" t="s">
        <v>181</v>
      </c>
      <c r="K50" s="5" t="s">
        <v>181</v>
      </c>
      <c r="L50" s="5"/>
    </row>
    <row r="51" spans="1:12">
      <c r="A51" s="3" t="s">
        <v>36</v>
      </c>
      <c r="B51" s="3" t="s">
        <v>17</v>
      </c>
      <c r="C51" s="3" t="s">
        <v>22</v>
      </c>
      <c r="D51" s="3" t="s">
        <v>29</v>
      </c>
      <c r="E51" s="3">
        <v>4</v>
      </c>
      <c r="F51" s="7" t="s">
        <v>322</v>
      </c>
      <c r="G51" s="5"/>
      <c r="H51" s="5"/>
      <c r="I51" s="5"/>
      <c r="J51" s="5" t="s">
        <v>182</v>
      </c>
      <c r="K51" s="5" t="s">
        <v>182</v>
      </c>
      <c r="L51" s="5"/>
    </row>
    <row r="52" spans="1:12">
      <c r="A52" s="3" t="s">
        <v>229</v>
      </c>
      <c r="B52" s="3" t="s">
        <v>17</v>
      </c>
      <c r="C52" s="3" t="s">
        <v>22</v>
      </c>
      <c r="D52" s="3" t="s">
        <v>29</v>
      </c>
      <c r="E52" s="3">
        <v>4</v>
      </c>
      <c r="F52" s="7" t="s">
        <v>322</v>
      </c>
      <c r="G52" s="5"/>
      <c r="H52" s="5"/>
      <c r="I52" s="5"/>
      <c r="J52" s="5" t="s">
        <v>183</v>
      </c>
      <c r="K52" s="5" t="s">
        <v>183</v>
      </c>
      <c r="L52" s="5"/>
    </row>
    <row r="53" spans="1:12">
      <c r="A53" s="3" t="s">
        <v>37</v>
      </c>
      <c r="B53" s="3" t="s">
        <v>17</v>
      </c>
      <c r="C53" s="3" t="s">
        <v>22</v>
      </c>
      <c r="D53" s="3" t="s">
        <v>29</v>
      </c>
      <c r="E53" s="3">
        <v>4</v>
      </c>
      <c r="F53" s="7" t="s">
        <v>322</v>
      </c>
      <c r="G53" s="5"/>
      <c r="H53" s="5"/>
      <c r="I53" s="5"/>
      <c r="J53" s="5" t="s">
        <v>184</v>
      </c>
      <c r="K53" s="5" t="s">
        <v>184</v>
      </c>
      <c r="L53" s="5"/>
    </row>
    <row r="54" spans="1:12">
      <c r="A54" s="3" t="s">
        <v>230</v>
      </c>
      <c r="B54" s="3" t="s">
        <v>17</v>
      </c>
      <c r="C54" s="3" t="s">
        <v>22</v>
      </c>
      <c r="D54" s="3" t="s">
        <v>29</v>
      </c>
      <c r="E54" s="3">
        <v>4</v>
      </c>
      <c r="F54" s="7" t="s">
        <v>322</v>
      </c>
      <c r="G54" s="5"/>
      <c r="H54" s="5"/>
      <c r="I54" s="5"/>
      <c r="J54" s="5" t="s">
        <v>185</v>
      </c>
      <c r="K54" s="5" t="s">
        <v>185</v>
      </c>
      <c r="L54" s="5"/>
    </row>
    <row r="55" spans="1:12">
      <c r="A55" s="3" t="s">
        <v>231</v>
      </c>
      <c r="B55" s="3" t="s">
        <v>17</v>
      </c>
      <c r="C55" s="3" t="s">
        <v>22</v>
      </c>
      <c r="D55" s="3" t="s">
        <v>29</v>
      </c>
      <c r="E55" s="3">
        <v>4</v>
      </c>
      <c r="F55" s="7" t="s">
        <v>322</v>
      </c>
      <c r="G55" s="5"/>
      <c r="H55" s="5"/>
      <c r="I55" s="5"/>
      <c r="J55" s="5" t="s">
        <v>187</v>
      </c>
      <c r="K55" s="5" t="s">
        <v>187</v>
      </c>
      <c r="L55" s="5"/>
    </row>
    <row r="56" spans="1:12">
      <c r="A56" s="3" t="s">
        <v>38</v>
      </c>
      <c r="B56" s="3" t="s">
        <v>17</v>
      </c>
      <c r="C56" s="3" t="s">
        <v>22</v>
      </c>
      <c r="D56" s="3" t="s">
        <v>201</v>
      </c>
      <c r="E56" s="3">
        <v>4</v>
      </c>
      <c r="F56" s="7" t="s">
        <v>322</v>
      </c>
      <c r="G56" s="5"/>
      <c r="H56" s="5"/>
      <c r="I56" s="5"/>
      <c r="J56" s="5" t="s">
        <v>186</v>
      </c>
      <c r="K56" s="5" t="s">
        <v>186</v>
      </c>
      <c r="L56" s="5"/>
    </row>
    <row r="57" spans="1:12">
      <c r="A57" s="3" t="s">
        <v>39</v>
      </c>
      <c r="B57" s="3" t="s">
        <v>17</v>
      </c>
      <c r="C57" s="3" t="s">
        <v>22</v>
      </c>
      <c r="D57" s="3" t="s">
        <v>201</v>
      </c>
      <c r="E57" s="3">
        <v>4</v>
      </c>
      <c r="F57" s="7" t="s">
        <v>322</v>
      </c>
      <c r="G57" s="5"/>
      <c r="H57" s="5"/>
      <c r="I57" s="5"/>
      <c r="J57" s="5" t="s">
        <v>188</v>
      </c>
      <c r="K57" s="5" t="s">
        <v>188</v>
      </c>
      <c r="L57" s="5"/>
    </row>
    <row r="58" spans="1:12">
      <c r="A58" s="3" t="s">
        <v>232</v>
      </c>
      <c r="B58" s="3" t="s">
        <v>17</v>
      </c>
      <c r="C58" s="3" t="s">
        <v>22</v>
      </c>
      <c r="D58" s="3" t="s">
        <v>201</v>
      </c>
      <c r="E58" s="3">
        <v>4</v>
      </c>
      <c r="F58" s="7" t="s">
        <v>322</v>
      </c>
      <c r="G58" s="5"/>
      <c r="H58" s="5"/>
      <c r="I58" s="5"/>
      <c r="J58" s="5" t="s">
        <v>189</v>
      </c>
      <c r="K58" s="5" t="s">
        <v>189</v>
      </c>
      <c r="L58" s="5"/>
    </row>
    <row r="59" spans="1:12">
      <c r="A59" s="3" t="s">
        <v>233</v>
      </c>
      <c r="B59" s="3" t="s">
        <v>17</v>
      </c>
      <c r="C59" s="3" t="s">
        <v>22</v>
      </c>
      <c r="D59" s="3" t="s">
        <v>201</v>
      </c>
      <c r="E59" s="3">
        <v>4</v>
      </c>
      <c r="F59" s="7" t="s">
        <v>322</v>
      </c>
      <c r="G59" s="5"/>
      <c r="H59" s="5"/>
      <c r="I59" s="5"/>
      <c r="J59" s="5" t="s">
        <v>190</v>
      </c>
      <c r="K59" s="5" t="s">
        <v>190</v>
      </c>
      <c r="L59" s="5"/>
    </row>
    <row r="60" spans="1:12">
      <c r="A60" s="3" t="s">
        <v>234</v>
      </c>
      <c r="B60" s="3" t="s">
        <v>17</v>
      </c>
      <c r="C60" s="3" t="s">
        <v>22</v>
      </c>
      <c r="D60" s="3" t="s">
        <v>201</v>
      </c>
      <c r="E60" s="3">
        <v>4</v>
      </c>
      <c r="F60" s="7" t="s">
        <v>322</v>
      </c>
      <c r="G60" s="5"/>
      <c r="H60" s="5"/>
      <c r="I60" s="5"/>
      <c r="J60" s="3"/>
      <c r="K60" s="3"/>
      <c r="L60" s="5"/>
    </row>
    <row r="61" spans="1:12">
      <c r="A61" s="3" t="s">
        <v>235</v>
      </c>
      <c r="B61" s="3" t="s">
        <v>17</v>
      </c>
      <c r="C61" s="3" t="s">
        <v>22</v>
      </c>
      <c r="D61" s="3" t="s">
        <v>201</v>
      </c>
      <c r="E61" s="3">
        <v>4</v>
      </c>
      <c r="F61" s="7" t="s">
        <v>322</v>
      </c>
      <c r="G61" s="5"/>
      <c r="H61" s="5"/>
      <c r="I61" s="5"/>
      <c r="J61" s="3"/>
      <c r="K61" s="3"/>
      <c r="L61" s="5"/>
    </row>
    <row r="62" spans="1:12">
      <c r="A62" s="3" t="s">
        <v>240</v>
      </c>
      <c r="B62" s="3" t="s">
        <v>17</v>
      </c>
      <c r="C62" s="3" t="s">
        <v>23</v>
      </c>
      <c r="D62" s="3" t="s">
        <v>12</v>
      </c>
      <c r="E62" s="3">
        <v>4</v>
      </c>
      <c r="F62" s="7" t="s">
        <v>320</v>
      </c>
      <c r="G62" s="5"/>
      <c r="H62" s="5"/>
      <c r="I62" s="5"/>
      <c r="L62" s="5"/>
    </row>
    <row r="63" spans="1:12">
      <c r="A63" s="3" t="s">
        <v>241</v>
      </c>
      <c r="B63" s="3" t="s">
        <v>17</v>
      </c>
      <c r="C63" s="3" t="s">
        <v>23</v>
      </c>
      <c r="D63" s="3" t="s">
        <v>12</v>
      </c>
      <c r="E63" s="3">
        <v>4</v>
      </c>
      <c r="F63" s="7" t="s">
        <v>320</v>
      </c>
      <c r="G63" s="5"/>
      <c r="H63" s="5"/>
      <c r="I63" s="5"/>
      <c r="J63" s="3"/>
      <c r="K63" s="3"/>
      <c r="L63" s="5"/>
    </row>
    <row r="64" spans="1:12">
      <c r="A64" s="3" t="s">
        <v>242</v>
      </c>
      <c r="B64" s="3" t="s">
        <v>17</v>
      </c>
      <c r="C64" s="3" t="s">
        <v>23</v>
      </c>
      <c r="D64" s="3" t="s">
        <v>12</v>
      </c>
      <c r="E64" s="3">
        <v>4</v>
      </c>
      <c r="F64" s="7" t="s">
        <v>320</v>
      </c>
      <c r="G64" s="5"/>
      <c r="H64" s="5"/>
      <c r="I64" s="5"/>
      <c r="L64" s="5"/>
    </row>
    <row r="65" spans="1:12">
      <c r="A65" s="3" t="s">
        <v>243</v>
      </c>
      <c r="B65" s="3" t="s">
        <v>17</v>
      </c>
      <c r="C65" s="3" t="s">
        <v>23</v>
      </c>
      <c r="D65" s="3" t="s">
        <v>12</v>
      </c>
      <c r="E65" s="3">
        <v>4</v>
      </c>
      <c r="F65" s="7" t="s">
        <v>320</v>
      </c>
      <c r="G65" s="5"/>
      <c r="H65" s="5"/>
      <c r="I65" s="5"/>
      <c r="J65" s="3"/>
      <c r="K65" s="3"/>
      <c r="L65" s="5"/>
    </row>
    <row r="66" spans="1:12">
      <c r="A66" s="3" t="s">
        <v>244</v>
      </c>
      <c r="B66" s="3" t="s">
        <v>17</v>
      </c>
      <c r="C66" s="3" t="s">
        <v>23</v>
      </c>
      <c r="D66" s="3" t="s">
        <v>28</v>
      </c>
      <c r="E66" s="3">
        <v>4</v>
      </c>
      <c r="F66" s="7" t="s">
        <v>322</v>
      </c>
      <c r="G66" s="5"/>
      <c r="H66" s="5"/>
      <c r="I66" s="5"/>
      <c r="J66" s="3"/>
      <c r="K66" s="3"/>
      <c r="L66" s="5"/>
    </row>
    <row r="67" spans="1:12">
      <c r="A67" s="3" t="s">
        <v>245</v>
      </c>
      <c r="B67" s="3" t="s">
        <v>17</v>
      </c>
      <c r="C67" s="3" t="s">
        <v>23</v>
      </c>
      <c r="D67" s="3" t="s">
        <v>28</v>
      </c>
      <c r="E67" s="3">
        <v>4</v>
      </c>
      <c r="F67" s="7" t="s">
        <v>322</v>
      </c>
      <c r="G67" s="5"/>
      <c r="H67" s="5"/>
      <c r="I67" s="5"/>
      <c r="J67" s="3"/>
      <c r="K67" s="3"/>
      <c r="L67" s="5"/>
    </row>
    <row r="68" spans="1:12">
      <c r="A68" s="3" t="s">
        <v>246</v>
      </c>
      <c r="B68" s="3" t="s">
        <v>17</v>
      </c>
      <c r="C68" s="3" t="s">
        <v>23</v>
      </c>
      <c r="D68" s="3" t="s">
        <v>28</v>
      </c>
      <c r="E68" s="3">
        <v>4</v>
      </c>
      <c r="F68" s="7" t="s">
        <v>322</v>
      </c>
      <c r="G68" s="5"/>
      <c r="H68" s="5"/>
      <c r="I68" s="5"/>
      <c r="J68" s="3"/>
      <c r="K68" s="3"/>
      <c r="L68" s="5"/>
    </row>
    <row r="69" spans="1:12">
      <c r="A69" s="3" t="s">
        <v>247</v>
      </c>
      <c r="B69" s="3" t="s">
        <v>17</v>
      </c>
      <c r="C69" s="3" t="s">
        <v>23</v>
      </c>
      <c r="D69" s="3" t="s">
        <v>28</v>
      </c>
      <c r="E69" s="3">
        <v>4</v>
      </c>
      <c r="F69" s="7" t="s">
        <v>322</v>
      </c>
      <c r="G69" s="5"/>
      <c r="H69" s="5"/>
      <c r="I69" s="5"/>
      <c r="L69" s="5"/>
    </row>
    <row r="70" spans="1:12">
      <c r="A70" s="3" t="s">
        <v>248</v>
      </c>
      <c r="B70" s="3" t="s">
        <v>17</v>
      </c>
      <c r="C70" s="3" t="s">
        <v>23</v>
      </c>
      <c r="D70" s="3" t="s">
        <v>29</v>
      </c>
      <c r="E70" s="3">
        <v>4</v>
      </c>
      <c r="F70" s="7" t="s">
        <v>322</v>
      </c>
      <c r="G70" s="5"/>
      <c r="H70" s="5"/>
      <c r="I70" s="5"/>
      <c r="L70" s="5"/>
    </row>
    <row r="71" spans="1:12">
      <c r="A71" s="3" t="s">
        <v>249</v>
      </c>
      <c r="B71" s="3" t="s">
        <v>17</v>
      </c>
      <c r="C71" s="3" t="s">
        <v>23</v>
      </c>
      <c r="D71" s="3" t="s">
        <v>29</v>
      </c>
      <c r="E71" s="3">
        <v>4</v>
      </c>
      <c r="F71" s="7" t="s">
        <v>322</v>
      </c>
      <c r="G71" s="5"/>
      <c r="H71" s="5"/>
      <c r="I71" s="5"/>
      <c r="L71" s="5"/>
    </row>
    <row r="72" spans="1:12">
      <c r="A72" s="3" t="s">
        <v>250</v>
      </c>
      <c r="B72" s="3" t="s">
        <v>17</v>
      </c>
      <c r="C72" s="3" t="s">
        <v>23</v>
      </c>
      <c r="D72" s="3" t="s">
        <v>29</v>
      </c>
      <c r="E72" s="3">
        <v>4</v>
      </c>
      <c r="F72" s="7" t="s">
        <v>322</v>
      </c>
      <c r="G72" s="5"/>
      <c r="H72" s="5"/>
      <c r="I72" s="5"/>
      <c r="L72" s="5"/>
    </row>
    <row r="73" spans="1:12">
      <c r="A73" s="3" t="s">
        <v>251</v>
      </c>
      <c r="B73" s="3" t="s">
        <v>17</v>
      </c>
      <c r="C73" s="3" t="s">
        <v>23</v>
      </c>
      <c r="D73" s="3" t="s">
        <v>29</v>
      </c>
      <c r="E73" s="3">
        <v>4</v>
      </c>
      <c r="F73" s="7" t="s">
        <v>322</v>
      </c>
      <c r="G73" s="5"/>
      <c r="H73" s="5"/>
      <c r="I73" s="5"/>
      <c r="L73" s="5"/>
    </row>
    <row r="74" spans="1:12">
      <c r="A74" s="3" t="s">
        <v>252</v>
      </c>
      <c r="B74" s="3" t="s">
        <v>17</v>
      </c>
      <c r="C74" s="3" t="s">
        <v>23</v>
      </c>
      <c r="D74" s="3" t="s">
        <v>29</v>
      </c>
      <c r="E74" s="3">
        <v>4</v>
      </c>
      <c r="F74" s="7" t="s">
        <v>322</v>
      </c>
      <c r="G74" s="5"/>
      <c r="H74" s="5"/>
      <c r="I74" s="5"/>
      <c r="L74" s="5"/>
    </row>
    <row r="75" spans="1:12">
      <c r="A75" s="3" t="s">
        <v>253</v>
      </c>
      <c r="B75" s="3" t="s">
        <v>17</v>
      </c>
      <c r="C75" s="3" t="s">
        <v>23</v>
      </c>
      <c r="D75" s="3" t="s">
        <v>29</v>
      </c>
      <c r="E75" s="3">
        <v>4</v>
      </c>
      <c r="F75" s="7" t="s">
        <v>322</v>
      </c>
      <c r="G75" s="5"/>
      <c r="H75" s="5"/>
      <c r="I75" s="5"/>
      <c r="L75" s="5"/>
    </row>
    <row r="76" spans="1:12">
      <c r="A76" s="3" t="s">
        <v>254</v>
      </c>
      <c r="B76" s="3" t="s">
        <v>17</v>
      </c>
      <c r="C76" s="3" t="s">
        <v>23</v>
      </c>
      <c r="D76" s="3" t="s">
        <v>29</v>
      </c>
      <c r="E76" s="3">
        <v>4</v>
      </c>
      <c r="F76" s="7" t="s">
        <v>322</v>
      </c>
      <c r="G76" s="5"/>
      <c r="H76" s="5"/>
      <c r="I76" s="5"/>
      <c r="L76" s="5"/>
    </row>
    <row r="77" spans="1:12">
      <c r="A77" s="3" t="s">
        <v>255</v>
      </c>
      <c r="B77" s="3" t="s">
        <v>17</v>
      </c>
      <c r="C77" s="3" t="s">
        <v>23</v>
      </c>
      <c r="D77" s="3" t="s">
        <v>29</v>
      </c>
      <c r="E77" s="3">
        <v>4</v>
      </c>
      <c r="F77" s="7" t="s">
        <v>322</v>
      </c>
      <c r="G77" s="5"/>
      <c r="H77" s="5"/>
      <c r="I77" s="5"/>
      <c r="L77" s="5"/>
    </row>
    <row r="78" spans="1:12">
      <c r="A78" s="3" t="s">
        <v>256</v>
      </c>
      <c r="B78" s="3" t="s">
        <v>17</v>
      </c>
      <c r="C78" s="3" t="s">
        <v>23</v>
      </c>
      <c r="D78" s="3" t="s">
        <v>201</v>
      </c>
      <c r="E78" s="3">
        <v>4</v>
      </c>
      <c r="F78" s="7" t="s">
        <v>322</v>
      </c>
      <c r="G78" s="5"/>
      <c r="H78" s="5"/>
      <c r="I78" s="5"/>
      <c r="L78" s="5"/>
    </row>
    <row r="79" spans="1:12">
      <c r="A79" s="3" t="s">
        <v>257</v>
      </c>
      <c r="B79" s="3" t="s">
        <v>17</v>
      </c>
      <c r="C79" s="3" t="s">
        <v>23</v>
      </c>
      <c r="D79" s="3" t="s">
        <v>201</v>
      </c>
      <c r="E79" s="3">
        <v>4</v>
      </c>
      <c r="F79" s="7" t="s">
        <v>322</v>
      </c>
      <c r="G79" s="5"/>
      <c r="H79" s="5"/>
      <c r="I79" s="5"/>
      <c r="L79" s="5"/>
    </row>
    <row r="80" spans="1:12">
      <c r="A80" s="3" t="s">
        <v>258</v>
      </c>
      <c r="B80" s="3" t="s">
        <v>17</v>
      </c>
      <c r="C80" s="3" t="s">
        <v>23</v>
      </c>
      <c r="D80" s="3" t="s">
        <v>201</v>
      </c>
      <c r="E80" s="3">
        <v>4</v>
      </c>
      <c r="F80" s="7" t="s">
        <v>322</v>
      </c>
      <c r="G80" s="5"/>
      <c r="H80" s="5"/>
      <c r="I80" s="5"/>
      <c r="L80" s="5"/>
    </row>
    <row r="81" spans="1:12">
      <c r="A81" s="3" t="s">
        <v>259</v>
      </c>
      <c r="B81" s="3" t="s">
        <v>17</v>
      </c>
      <c r="C81" s="3" t="s">
        <v>8</v>
      </c>
      <c r="D81" s="3" t="s">
        <v>28</v>
      </c>
      <c r="E81" s="3">
        <v>3</v>
      </c>
      <c r="F81" s="7" t="s">
        <v>328</v>
      </c>
      <c r="G81" s="5"/>
      <c r="H81" s="5"/>
      <c r="I81" s="5"/>
      <c r="L81" s="5"/>
    </row>
    <row r="82" spans="1:12">
      <c r="A82" s="3" t="s">
        <v>260</v>
      </c>
      <c r="B82" s="3" t="s">
        <v>17</v>
      </c>
      <c r="C82" s="3" t="s">
        <v>8</v>
      </c>
      <c r="D82" s="3" t="s">
        <v>28</v>
      </c>
      <c r="E82" s="3">
        <v>3</v>
      </c>
      <c r="F82" s="7" t="s">
        <v>328</v>
      </c>
      <c r="G82" s="5"/>
      <c r="H82" s="5"/>
      <c r="I82" s="5"/>
      <c r="L82" s="5"/>
    </row>
    <row r="83" spans="1:12">
      <c r="A83" s="3" t="s">
        <v>261</v>
      </c>
      <c r="B83" s="3" t="s">
        <v>17</v>
      </c>
      <c r="C83" s="3" t="s">
        <v>8</v>
      </c>
      <c r="D83" s="3" t="s">
        <v>29</v>
      </c>
      <c r="E83" s="3">
        <v>3</v>
      </c>
      <c r="F83" s="7" t="s">
        <v>328</v>
      </c>
      <c r="G83" s="5"/>
      <c r="H83" s="5"/>
      <c r="I83" s="5"/>
      <c r="L83" s="5"/>
    </row>
    <row r="84" spans="1:12">
      <c r="A84" s="3" t="s">
        <v>262</v>
      </c>
      <c r="B84" s="3" t="s">
        <v>17</v>
      </c>
      <c r="C84" s="3" t="s">
        <v>8</v>
      </c>
      <c r="D84" s="3" t="s">
        <v>29</v>
      </c>
      <c r="E84" s="3">
        <v>3</v>
      </c>
      <c r="F84" s="7" t="s">
        <v>328</v>
      </c>
      <c r="G84" s="5"/>
      <c r="H84" s="5"/>
      <c r="I84" s="5"/>
      <c r="L84" s="5"/>
    </row>
    <row r="85" spans="1:12">
      <c r="A85" s="3" t="s">
        <v>40</v>
      </c>
      <c r="B85" s="3" t="s">
        <v>17</v>
      </c>
      <c r="C85" s="3" t="s">
        <v>8</v>
      </c>
      <c r="D85" s="3" t="s">
        <v>29</v>
      </c>
      <c r="E85" s="3">
        <v>2</v>
      </c>
      <c r="F85" s="7" t="s">
        <v>331</v>
      </c>
      <c r="G85" s="5"/>
      <c r="H85" s="5"/>
      <c r="I85" s="5"/>
      <c r="J85" s="5"/>
      <c r="K85" s="5"/>
      <c r="L85" s="5"/>
    </row>
    <row r="86" spans="1:12">
      <c r="A86" s="3" t="s">
        <v>263</v>
      </c>
      <c r="B86" s="3" t="s">
        <v>17</v>
      </c>
      <c r="C86" s="3" t="s">
        <v>8</v>
      </c>
      <c r="D86" s="3" t="s">
        <v>201</v>
      </c>
      <c r="E86" s="3">
        <v>3</v>
      </c>
      <c r="F86" s="7" t="s">
        <v>328</v>
      </c>
      <c r="G86" s="5"/>
      <c r="H86" s="5"/>
      <c r="I86" s="5"/>
      <c r="J86" s="5"/>
      <c r="K86" s="5"/>
      <c r="L86" s="5"/>
    </row>
    <row r="87" spans="1:12">
      <c r="A87" s="3" t="s">
        <v>264</v>
      </c>
      <c r="B87" s="3" t="s">
        <v>17</v>
      </c>
      <c r="C87" s="3" t="s">
        <v>8</v>
      </c>
      <c r="D87" s="3" t="s">
        <v>201</v>
      </c>
      <c r="E87" s="3">
        <v>2</v>
      </c>
      <c r="F87" s="7" t="s">
        <v>331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24</v>
      </c>
      <c r="D88" s="3" t="s">
        <v>28</v>
      </c>
      <c r="E88" s="3">
        <v>3</v>
      </c>
      <c r="F88" s="7" t="s">
        <v>328</v>
      </c>
      <c r="G88" s="5"/>
      <c r="H88" s="5"/>
      <c r="I88" s="5"/>
      <c r="J88" s="5"/>
      <c r="K88" s="5"/>
      <c r="L88" s="5"/>
    </row>
    <row r="89" spans="1:12">
      <c r="A89" s="3" t="s">
        <v>41</v>
      </c>
      <c r="B89" s="3" t="s">
        <v>17</v>
      </c>
      <c r="C89" s="3" t="s">
        <v>24</v>
      </c>
      <c r="D89" s="3" t="s">
        <v>28</v>
      </c>
      <c r="E89" s="3">
        <v>3</v>
      </c>
      <c r="F89" s="7" t="s">
        <v>328</v>
      </c>
      <c r="G89" s="5"/>
      <c r="H89" s="5"/>
      <c r="I89" s="5"/>
      <c r="J89" s="5"/>
      <c r="K89" s="5"/>
      <c r="L89" s="5"/>
    </row>
    <row r="90" spans="1:12">
      <c r="A90" s="3" t="s">
        <v>42</v>
      </c>
      <c r="B90" s="3" t="s">
        <v>17</v>
      </c>
      <c r="C90" s="3" t="s">
        <v>24</v>
      </c>
      <c r="D90" s="3" t="s">
        <v>28</v>
      </c>
      <c r="E90" s="3">
        <v>3</v>
      </c>
      <c r="F90" s="7" t="s">
        <v>328</v>
      </c>
      <c r="G90" s="5"/>
      <c r="H90" s="5"/>
      <c r="I90" s="5"/>
      <c r="J90" s="5"/>
      <c r="K90" s="5"/>
      <c r="L90" s="5"/>
    </row>
    <row r="91" spans="1:12">
      <c r="A91" s="3" t="s">
        <v>265</v>
      </c>
      <c r="B91" s="3" t="s">
        <v>17</v>
      </c>
      <c r="C91" s="3" t="s">
        <v>24</v>
      </c>
      <c r="D91" s="3" t="s">
        <v>29</v>
      </c>
      <c r="E91" s="3">
        <v>3</v>
      </c>
      <c r="F91" s="7" t="s">
        <v>328</v>
      </c>
      <c r="G91" s="5"/>
      <c r="H91" s="5"/>
      <c r="I91" s="5"/>
      <c r="J91" s="5"/>
      <c r="K91" s="5"/>
      <c r="L91" s="5"/>
    </row>
    <row r="92" spans="1:12">
      <c r="A92" s="3" t="s">
        <v>266</v>
      </c>
      <c r="B92" s="3" t="s">
        <v>17</v>
      </c>
      <c r="C92" s="3" t="s">
        <v>24</v>
      </c>
      <c r="D92" s="3" t="s">
        <v>29</v>
      </c>
      <c r="E92" s="3">
        <v>3</v>
      </c>
      <c r="F92" s="7" t="s">
        <v>328</v>
      </c>
      <c r="G92" s="5"/>
      <c r="H92" s="5"/>
      <c r="I92" s="5"/>
      <c r="J92" s="5"/>
      <c r="K92" s="5"/>
      <c r="L92" s="5"/>
    </row>
    <row r="93" spans="1:12">
      <c r="A93" s="3" t="s">
        <v>267</v>
      </c>
      <c r="B93" s="3" t="s">
        <v>17</v>
      </c>
      <c r="C93" s="3" t="s">
        <v>24</v>
      </c>
      <c r="D93" s="3" t="s">
        <v>29</v>
      </c>
      <c r="E93" s="3">
        <v>3</v>
      </c>
      <c r="F93" s="7" t="s">
        <v>328</v>
      </c>
      <c r="G93" s="5"/>
      <c r="H93" s="5"/>
      <c r="I93" s="5"/>
      <c r="J93" s="5"/>
      <c r="K93" s="5"/>
      <c r="L93" s="5"/>
    </row>
    <row r="94" spans="1:12">
      <c r="A94" s="3" t="s">
        <v>268</v>
      </c>
      <c r="B94" s="3" t="s">
        <v>17</v>
      </c>
      <c r="C94" s="3" t="s">
        <v>24</v>
      </c>
      <c r="D94" s="3" t="s">
        <v>29</v>
      </c>
      <c r="E94" s="3">
        <v>3</v>
      </c>
      <c r="F94" s="7" t="s">
        <v>328</v>
      </c>
      <c r="G94" s="5"/>
      <c r="H94" s="5"/>
      <c r="I94" s="5"/>
      <c r="J94" s="5"/>
      <c r="K94" s="5"/>
      <c r="L94" s="5"/>
    </row>
    <row r="95" spans="1:12">
      <c r="A95" s="3" t="s">
        <v>269</v>
      </c>
      <c r="B95" s="3" t="s">
        <v>17</v>
      </c>
      <c r="C95" s="3" t="s">
        <v>24</v>
      </c>
      <c r="D95" s="3" t="s">
        <v>201</v>
      </c>
      <c r="E95" s="3">
        <v>3</v>
      </c>
      <c r="F95" s="7" t="s">
        <v>328</v>
      </c>
      <c r="G95" s="5"/>
      <c r="H95" s="5"/>
      <c r="I95" s="5"/>
      <c r="J95" s="5"/>
      <c r="K95" s="5"/>
      <c r="L95" s="5"/>
    </row>
    <row r="96" spans="1:12">
      <c r="A96" s="3" t="s">
        <v>270</v>
      </c>
      <c r="B96" s="3" t="s">
        <v>17</v>
      </c>
      <c r="C96" s="3" t="s">
        <v>24</v>
      </c>
      <c r="D96" s="3" t="s">
        <v>201</v>
      </c>
      <c r="E96" s="3">
        <v>3</v>
      </c>
      <c r="F96" s="7" t="s">
        <v>328</v>
      </c>
      <c r="G96" s="5"/>
      <c r="H96" s="5"/>
      <c r="I96" s="5"/>
      <c r="J96" s="5"/>
      <c r="K96" s="5"/>
      <c r="L96" s="5"/>
    </row>
    <row r="97" spans="1:12">
      <c r="A97" s="3" t="s">
        <v>10</v>
      </c>
      <c r="B97" s="3" t="s">
        <v>17</v>
      </c>
      <c r="C97" s="3" t="s">
        <v>10</v>
      </c>
      <c r="D97" s="3" t="s">
        <v>28</v>
      </c>
      <c r="E97" s="3">
        <v>4</v>
      </c>
      <c r="F97" s="7" t="s">
        <v>322</v>
      </c>
      <c r="G97" s="5"/>
      <c r="H97" s="5"/>
      <c r="I97" s="5"/>
      <c r="J97" s="5"/>
      <c r="K97" s="5"/>
      <c r="L97" s="5"/>
    </row>
    <row r="98" spans="1:12">
      <c r="A98" s="3" t="s">
        <v>43</v>
      </c>
      <c r="B98" s="3" t="s">
        <v>17</v>
      </c>
      <c r="C98" s="3" t="s">
        <v>10</v>
      </c>
      <c r="D98" s="3" t="s">
        <v>28</v>
      </c>
      <c r="E98" s="3">
        <v>4</v>
      </c>
      <c r="F98" s="7" t="s">
        <v>322</v>
      </c>
      <c r="G98" s="5"/>
      <c r="H98" s="5"/>
      <c r="I98" s="5"/>
      <c r="J98" s="5"/>
      <c r="K98" s="5"/>
      <c r="L98" s="5"/>
    </row>
    <row r="99" spans="1:12">
      <c r="A99" s="3" t="s">
        <v>271</v>
      </c>
      <c r="B99" s="3" t="s">
        <v>17</v>
      </c>
      <c r="C99" s="3" t="s">
        <v>10</v>
      </c>
      <c r="D99" s="3" t="s">
        <v>29</v>
      </c>
      <c r="E99" s="3">
        <v>4</v>
      </c>
      <c r="F99" s="7" t="s">
        <v>322</v>
      </c>
      <c r="G99" s="5"/>
      <c r="H99" s="5"/>
      <c r="I99" s="5"/>
      <c r="J99" s="5"/>
      <c r="K99" s="5"/>
      <c r="L99" s="5"/>
    </row>
    <row r="100" spans="1:12">
      <c r="A100" s="3" t="s">
        <v>272</v>
      </c>
      <c r="B100" s="3" t="s">
        <v>17</v>
      </c>
      <c r="C100" s="3" t="s">
        <v>10</v>
      </c>
      <c r="D100" s="3" t="s">
        <v>29</v>
      </c>
      <c r="E100" s="3">
        <v>4</v>
      </c>
      <c r="F100" s="7" t="s">
        <v>322</v>
      </c>
      <c r="G100" s="5"/>
      <c r="H100" s="5"/>
      <c r="I100" s="5"/>
      <c r="J100" s="5"/>
      <c r="K100" s="5"/>
      <c r="L100" s="5"/>
    </row>
    <row r="101" spans="1:12">
      <c r="A101" s="3" t="s">
        <v>273</v>
      </c>
      <c r="B101" s="3" t="s">
        <v>17</v>
      </c>
      <c r="C101" s="3" t="s">
        <v>10</v>
      </c>
      <c r="D101" s="3" t="s">
        <v>29</v>
      </c>
      <c r="E101" s="3">
        <v>4</v>
      </c>
      <c r="F101" s="7" t="s">
        <v>322</v>
      </c>
      <c r="G101" s="5"/>
      <c r="H101" s="5"/>
      <c r="I101" s="5"/>
      <c r="J101" s="5"/>
      <c r="K101" s="5"/>
      <c r="L101" s="5"/>
    </row>
    <row r="102" spans="1:12">
      <c r="A102" s="3" t="s">
        <v>274</v>
      </c>
      <c r="B102" s="3" t="s">
        <v>17</v>
      </c>
      <c r="C102" s="3" t="s">
        <v>10</v>
      </c>
      <c r="D102" s="3" t="s">
        <v>29</v>
      </c>
      <c r="E102" s="3">
        <v>4</v>
      </c>
      <c r="F102" s="7" t="s">
        <v>322</v>
      </c>
      <c r="G102" s="5"/>
      <c r="H102" s="5"/>
      <c r="I102" s="5"/>
      <c r="J102" s="5"/>
      <c r="K102" s="5"/>
      <c r="L102" s="5"/>
    </row>
    <row r="103" spans="1:12">
      <c r="A103" s="3" t="s">
        <v>275</v>
      </c>
      <c r="B103" s="3" t="s">
        <v>17</v>
      </c>
      <c r="C103" s="3" t="s">
        <v>10</v>
      </c>
      <c r="D103" s="3" t="s">
        <v>201</v>
      </c>
      <c r="E103" s="3">
        <v>4</v>
      </c>
      <c r="F103" s="7" t="s">
        <v>322</v>
      </c>
      <c r="G103" s="5"/>
      <c r="H103" s="5"/>
      <c r="I103" s="5"/>
      <c r="J103" s="5"/>
      <c r="K103" s="5"/>
      <c r="L103" s="5"/>
    </row>
    <row r="104" spans="1:12">
      <c r="A104" s="3" t="s">
        <v>276</v>
      </c>
      <c r="B104" s="3" t="s">
        <v>17</v>
      </c>
      <c r="C104" s="3" t="s">
        <v>10</v>
      </c>
      <c r="D104" s="3" t="s">
        <v>201</v>
      </c>
      <c r="E104" s="3">
        <v>4</v>
      </c>
      <c r="F104" s="7" t="s">
        <v>322</v>
      </c>
      <c r="G104" s="5"/>
      <c r="H104" s="5"/>
      <c r="I104" s="5"/>
      <c r="J104" s="5"/>
      <c r="K104" s="5"/>
      <c r="L104" s="5"/>
    </row>
    <row r="105" spans="1:12">
      <c r="A105" s="3" t="s">
        <v>277</v>
      </c>
      <c r="B105" s="3" t="s">
        <v>17</v>
      </c>
      <c r="C105" s="3" t="s">
        <v>10</v>
      </c>
      <c r="D105" s="3" t="s">
        <v>201</v>
      </c>
      <c r="E105" s="3">
        <v>4</v>
      </c>
      <c r="F105" s="7" t="s">
        <v>322</v>
      </c>
      <c r="G105" s="5"/>
      <c r="H105" s="5"/>
      <c r="I105" s="5"/>
      <c r="J105" s="5"/>
      <c r="K105" s="5"/>
      <c r="L105" s="5"/>
    </row>
    <row r="106" spans="1:12">
      <c r="A106" s="3" t="s">
        <v>278</v>
      </c>
      <c r="B106" s="3" t="s">
        <v>17</v>
      </c>
      <c r="C106" s="3" t="s">
        <v>10</v>
      </c>
      <c r="D106" s="3" t="s">
        <v>201</v>
      </c>
      <c r="E106" s="3">
        <v>2</v>
      </c>
      <c r="F106" s="7" t="s">
        <v>331</v>
      </c>
      <c r="G106" s="5"/>
      <c r="H106" s="5"/>
      <c r="I106" s="5"/>
      <c r="J106" s="5"/>
      <c r="K106" s="5"/>
      <c r="L106" s="5"/>
    </row>
    <row r="107" spans="1:12">
      <c r="A107" s="3" t="s">
        <v>279</v>
      </c>
      <c r="B107" s="3" t="s">
        <v>17</v>
      </c>
      <c r="C107" s="3" t="s">
        <v>10</v>
      </c>
      <c r="D107" s="3" t="s">
        <v>201</v>
      </c>
      <c r="E107" s="3">
        <v>4</v>
      </c>
      <c r="F107" s="7" t="s">
        <v>322</v>
      </c>
      <c r="G107" s="5"/>
      <c r="H107" s="5"/>
      <c r="I107" s="5"/>
      <c r="J107" s="5"/>
      <c r="K107" s="5"/>
      <c r="L107" s="5"/>
    </row>
    <row r="108" spans="1:12">
      <c r="A108" s="3" t="s">
        <v>280</v>
      </c>
      <c r="B108" s="3" t="s">
        <v>17</v>
      </c>
      <c r="C108" s="3" t="s">
        <v>25</v>
      </c>
      <c r="D108" s="3" t="s">
        <v>28</v>
      </c>
      <c r="E108" s="3">
        <v>4</v>
      </c>
      <c r="F108" s="7" t="s">
        <v>322</v>
      </c>
      <c r="G108" s="5"/>
      <c r="H108" s="5"/>
      <c r="I108" s="5"/>
      <c r="J108" s="5"/>
      <c r="K108" s="5"/>
      <c r="L108" s="5"/>
    </row>
    <row r="109" spans="1:12">
      <c r="A109" s="3" t="s">
        <v>281</v>
      </c>
      <c r="B109" s="3" t="s">
        <v>17</v>
      </c>
      <c r="C109" s="3" t="s">
        <v>10</v>
      </c>
      <c r="D109" s="3" t="s">
        <v>28</v>
      </c>
      <c r="E109" s="3">
        <v>4</v>
      </c>
      <c r="F109" s="7" t="s">
        <v>322</v>
      </c>
      <c r="G109" s="5"/>
      <c r="H109" s="5"/>
      <c r="I109" s="5"/>
      <c r="J109" s="5"/>
      <c r="K109" s="5"/>
      <c r="L109" s="5"/>
    </row>
    <row r="110" spans="1:12">
      <c r="A110" s="3" t="s">
        <v>282</v>
      </c>
      <c r="B110" s="3" t="s">
        <v>17</v>
      </c>
      <c r="C110" s="3" t="s">
        <v>10</v>
      </c>
      <c r="D110" s="3" t="s">
        <v>28</v>
      </c>
      <c r="E110" s="3">
        <v>4</v>
      </c>
      <c r="F110" s="7" t="s">
        <v>322</v>
      </c>
      <c r="G110" s="5"/>
      <c r="H110" s="5"/>
      <c r="I110" s="5"/>
      <c r="J110" s="5"/>
      <c r="K110" s="5"/>
      <c r="L110" s="5"/>
    </row>
    <row r="111" spans="1:12">
      <c r="A111" s="3" t="s">
        <v>283</v>
      </c>
      <c r="B111" s="3" t="s">
        <v>17</v>
      </c>
      <c r="C111" s="3" t="s">
        <v>10</v>
      </c>
      <c r="D111" s="3" t="s">
        <v>28</v>
      </c>
      <c r="E111" s="3">
        <v>4</v>
      </c>
      <c r="F111" s="7" t="s">
        <v>322</v>
      </c>
      <c r="G111" s="5"/>
      <c r="H111" s="5"/>
      <c r="I111" s="5"/>
      <c r="J111" s="5"/>
      <c r="K111" s="5"/>
      <c r="L111" s="5"/>
    </row>
    <row r="112" spans="1:12">
      <c r="A112" s="3" t="s">
        <v>284</v>
      </c>
      <c r="B112" s="3" t="s">
        <v>17</v>
      </c>
      <c r="C112" s="3" t="s">
        <v>10</v>
      </c>
      <c r="D112" s="3" t="s">
        <v>28</v>
      </c>
      <c r="E112" s="3">
        <v>4</v>
      </c>
      <c r="F112" s="7" t="s">
        <v>322</v>
      </c>
      <c r="G112" s="5"/>
      <c r="H112" s="5"/>
      <c r="I112" s="5"/>
      <c r="J112" s="5"/>
      <c r="K112" s="5"/>
      <c r="L112" s="5"/>
    </row>
    <row r="113" spans="1:12">
      <c r="A113" s="3" t="s">
        <v>285</v>
      </c>
      <c r="B113" s="3" t="s">
        <v>17</v>
      </c>
      <c r="C113" s="3" t="s">
        <v>10</v>
      </c>
      <c r="D113" s="3" t="s">
        <v>28</v>
      </c>
      <c r="E113" s="3">
        <v>4</v>
      </c>
      <c r="F113" s="7" t="s">
        <v>322</v>
      </c>
      <c r="G113" s="5"/>
      <c r="H113" s="5"/>
      <c r="I113" s="5"/>
      <c r="J113" s="5"/>
      <c r="K113" s="5"/>
      <c r="L113" s="5"/>
    </row>
    <row r="114" spans="1:12">
      <c r="A114" s="3" t="s">
        <v>286</v>
      </c>
      <c r="B114" s="3" t="s">
        <v>17</v>
      </c>
      <c r="C114" s="3" t="s">
        <v>25</v>
      </c>
      <c r="D114" s="3" t="s">
        <v>28</v>
      </c>
      <c r="E114" s="3">
        <v>4</v>
      </c>
      <c r="F114" s="7" t="s">
        <v>322</v>
      </c>
      <c r="G114" s="5"/>
      <c r="H114" s="5"/>
      <c r="I114" s="5"/>
      <c r="J114" s="5"/>
      <c r="K114" s="5"/>
      <c r="L114" s="5"/>
    </row>
    <row r="115" spans="1:12">
      <c r="A115" s="3" t="s">
        <v>287</v>
      </c>
      <c r="B115" s="3" t="s">
        <v>17</v>
      </c>
      <c r="C115" s="3" t="s">
        <v>25</v>
      </c>
      <c r="D115" s="3" t="s">
        <v>28</v>
      </c>
      <c r="E115" s="3">
        <v>4</v>
      </c>
      <c r="F115" s="7" t="s">
        <v>322</v>
      </c>
      <c r="G115" s="5"/>
      <c r="H115" s="5"/>
      <c r="I115" s="5"/>
      <c r="J115" s="5"/>
      <c r="K115" s="5"/>
      <c r="L115" s="5"/>
    </row>
    <row r="116" spans="1:12">
      <c r="A116" s="3" t="s">
        <v>288</v>
      </c>
      <c r="B116" s="3" t="s">
        <v>17</v>
      </c>
      <c r="C116" s="3" t="s">
        <v>25</v>
      </c>
      <c r="D116" s="3" t="s">
        <v>28</v>
      </c>
      <c r="E116" s="3">
        <v>4</v>
      </c>
      <c r="F116" s="7" t="s">
        <v>322</v>
      </c>
      <c r="G116" s="5"/>
      <c r="H116" s="5"/>
      <c r="I116" s="5"/>
      <c r="J116" s="5"/>
      <c r="K116" s="5"/>
      <c r="L116" s="5"/>
    </row>
    <row r="117" spans="1:12">
      <c r="A117" s="3" t="s">
        <v>289</v>
      </c>
      <c r="B117" s="3" t="s">
        <v>17</v>
      </c>
      <c r="C117" s="3" t="s">
        <v>25</v>
      </c>
      <c r="D117" s="3" t="s">
        <v>28</v>
      </c>
      <c r="E117" s="3">
        <v>4</v>
      </c>
      <c r="F117" s="7" t="s">
        <v>322</v>
      </c>
      <c r="G117" s="5"/>
      <c r="H117" s="5"/>
      <c r="I117" s="5"/>
      <c r="J117" s="5"/>
      <c r="K117" s="5"/>
      <c r="L117" s="5"/>
    </row>
    <row r="118" spans="1:12">
      <c r="A118" s="3" t="s">
        <v>290</v>
      </c>
      <c r="B118" s="3" t="s">
        <v>17</v>
      </c>
      <c r="C118" s="3" t="s">
        <v>25</v>
      </c>
      <c r="D118" s="3" t="s">
        <v>28</v>
      </c>
      <c r="E118" s="3">
        <v>4</v>
      </c>
      <c r="F118" s="7" t="s">
        <v>322</v>
      </c>
      <c r="G118" s="5"/>
      <c r="H118" s="5"/>
      <c r="I118" s="5"/>
      <c r="J118" s="5"/>
      <c r="K118" s="5"/>
      <c r="L118" s="5"/>
    </row>
    <row r="119" spans="1:12">
      <c r="A119" s="3" t="s">
        <v>291</v>
      </c>
      <c r="B119" s="3" t="s">
        <v>17</v>
      </c>
      <c r="C119" s="3" t="s">
        <v>25</v>
      </c>
      <c r="D119" s="3" t="s">
        <v>28</v>
      </c>
      <c r="E119" s="3">
        <v>4</v>
      </c>
      <c r="F119" s="7" t="s">
        <v>322</v>
      </c>
      <c r="G119" s="5"/>
      <c r="H119" s="5"/>
      <c r="I119" s="5"/>
      <c r="J119" s="5"/>
      <c r="K119" s="5"/>
      <c r="L119" s="5"/>
    </row>
    <row r="120" spans="1:12">
      <c r="A120" s="3" t="s">
        <v>292</v>
      </c>
      <c r="B120" s="3" t="s">
        <v>17</v>
      </c>
      <c r="C120" s="3" t="s">
        <v>25</v>
      </c>
      <c r="D120" s="3" t="s">
        <v>28</v>
      </c>
      <c r="E120" s="3">
        <v>4</v>
      </c>
      <c r="F120" s="7" t="s">
        <v>322</v>
      </c>
      <c r="G120" s="5"/>
      <c r="H120" s="5"/>
      <c r="I120" s="5"/>
      <c r="J120" s="5"/>
      <c r="K120" s="5"/>
      <c r="L120" s="5"/>
    </row>
    <row r="121" spans="1:12">
      <c r="A121" s="3" t="s">
        <v>293</v>
      </c>
      <c r="B121" s="3" t="s">
        <v>17</v>
      </c>
      <c r="C121" s="3" t="s">
        <v>25</v>
      </c>
      <c r="D121" s="3" t="s">
        <v>28</v>
      </c>
      <c r="E121" s="3">
        <v>4</v>
      </c>
      <c r="F121" s="7" t="s">
        <v>322</v>
      </c>
      <c r="G121" s="5"/>
      <c r="H121" s="5"/>
      <c r="I121" s="5"/>
      <c r="J121" s="5"/>
      <c r="K121" s="5"/>
      <c r="L121" s="5"/>
    </row>
    <row r="122" spans="1:12">
      <c r="A122" s="3" t="s">
        <v>294</v>
      </c>
      <c r="B122" s="3" t="s">
        <v>17</v>
      </c>
      <c r="C122" s="3" t="s">
        <v>25</v>
      </c>
      <c r="D122" s="3" t="s">
        <v>28</v>
      </c>
      <c r="E122" s="3">
        <v>4</v>
      </c>
      <c r="F122" s="7" t="s">
        <v>322</v>
      </c>
      <c r="G122" s="5"/>
      <c r="H122" s="5"/>
      <c r="I122" s="5"/>
      <c r="J122" s="5"/>
      <c r="K122" s="5"/>
      <c r="L122" s="5"/>
    </row>
    <row r="123" spans="1:12">
      <c r="A123" s="3" t="s">
        <v>295</v>
      </c>
      <c r="B123" s="3" t="s">
        <v>17</v>
      </c>
      <c r="C123" s="3" t="s">
        <v>25</v>
      </c>
      <c r="D123" s="3" t="s">
        <v>28</v>
      </c>
      <c r="E123" s="3">
        <v>4</v>
      </c>
      <c r="F123" s="7" t="s">
        <v>322</v>
      </c>
      <c r="G123" s="5"/>
      <c r="H123" s="5"/>
      <c r="I123" s="5"/>
      <c r="J123" s="5"/>
      <c r="K123" s="5"/>
      <c r="L123" s="5"/>
    </row>
    <row r="124" spans="1:12">
      <c r="A124" s="3" t="s">
        <v>296</v>
      </c>
      <c r="B124" s="3" t="s">
        <v>17</v>
      </c>
      <c r="C124" s="3" t="s">
        <v>25</v>
      </c>
      <c r="D124" s="3" t="s">
        <v>29</v>
      </c>
      <c r="E124" s="3">
        <v>4</v>
      </c>
      <c r="F124" s="7" t="s">
        <v>322</v>
      </c>
      <c r="G124" s="5"/>
      <c r="H124" s="5"/>
      <c r="I124" s="5"/>
      <c r="J124" s="5"/>
      <c r="K124" s="5"/>
      <c r="L124" s="5"/>
    </row>
    <row r="125" spans="1:12">
      <c r="A125" s="3" t="s">
        <v>297</v>
      </c>
      <c r="B125" s="3" t="s">
        <v>17</v>
      </c>
      <c r="C125" s="3" t="s">
        <v>25</v>
      </c>
      <c r="D125" s="3" t="s">
        <v>29</v>
      </c>
      <c r="E125" s="3">
        <v>4</v>
      </c>
      <c r="F125" s="7" t="s">
        <v>322</v>
      </c>
      <c r="G125" s="5"/>
      <c r="H125" s="5"/>
      <c r="I125" s="5"/>
      <c r="J125" s="5"/>
      <c r="K125" s="5"/>
      <c r="L125" s="5"/>
    </row>
    <row r="126" spans="1:12">
      <c r="A126" s="3" t="s">
        <v>299</v>
      </c>
      <c r="B126" s="3" t="s">
        <v>17</v>
      </c>
      <c r="C126" s="3" t="s">
        <v>25</v>
      </c>
      <c r="D126" s="3" t="s">
        <v>29</v>
      </c>
      <c r="E126" s="3">
        <v>4</v>
      </c>
      <c r="F126" s="7" t="s">
        <v>322</v>
      </c>
      <c r="G126" s="5"/>
      <c r="H126" s="5"/>
      <c r="I126" s="5"/>
      <c r="J126" s="5"/>
      <c r="K126" s="5"/>
      <c r="L126" s="5"/>
    </row>
    <row r="127" spans="1:12">
      <c r="A127" s="3" t="s">
        <v>298</v>
      </c>
      <c r="B127" s="3" t="s">
        <v>17</v>
      </c>
      <c r="C127" s="3" t="s">
        <v>25</v>
      </c>
      <c r="D127" s="3" t="s">
        <v>29</v>
      </c>
      <c r="E127" s="3">
        <v>4</v>
      </c>
      <c r="F127" s="7" t="s">
        <v>322</v>
      </c>
      <c r="G127" s="5"/>
      <c r="H127" s="5"/>
      <c r="I127" s="5"/>
      <c r="J127" s="5"/>
      <c r="K127" s="5"/>
      <c r="L127" s="5"/>
    </row>
    <row r="128" spans="1:12">
      <c r="A128" s="3" t="s">
        <v>300</v>
      </c>
      <c r="B128" s="3" t="s">
        <v>17</v>
      </c>
      <c r="C128" s="3" t="s">
        <v>25</v>
      </c>
      <c r="D128" s="3" t="s">
        <v>29</v>
      </c>
      <c r="E128" s="3">
        <v>4</v>
      </c>
      <c r="F128" s="7" t="s">
        <v>322</v>
      </c>
      <c r="G128" s="5"/>
      <c r="H128" s="5"/>
      <c r="I128" s="5"/>
      <c r="J128" s="5"/>
      <c r="K128" s="5"/>
      <c r="L128" s="5"/>
    </row>
    <row r="129" spans="1:12">
      <c r="A129" s="3" t="s">
        <v>301</v>
      </c>
      <c r="B129" s="3" t="s">
        <v>17</v>
      </c>
      <c r="C129" s="3" t="s">
        <v>25</v>
      </c>
      <c r="D129" s="3" t="s">
        <v>29</v>
      </c>
      <c r="E129" s="3">
        <v>4</v>
      </c>
      <c r="F129" s="7" t="s">
        <v>322</v>
      </c>
      <c r="G129" s="5"/>
      <c r="H129" s="5"/>
      <c r="I129" s="5"/>
      <c r="J129" s="5"/>
      <c r="K129" s="5"/>
      <c r="L129" s="5"/>
    </row>
    <row r="130" spans="1:12">
      <c r="A130" s="3" t="s">
        <v>302</v>
      </c>
      <c r="B130" s="3" t="s">
        <v>17</v>
      </c>
      <c r="C130" s="3" t="s">
        <v>25</v>
      </c>
      <c r="D130" s="3" t="s">
        <v>29</v>
      </c>
      <c r="E130" s="3">
        <v>4</v>
      </c>
      <c r="F130" s="7" t="s">
        <v>322</v>
      </c>
      <c r="G130" s="5"/>
      <c r="H130" s="5"/>
      <c r="I130" s="5"/>
      <c r="J130" s="5"/>
      <c r="K130" s="5"/>
      <c r="L130" s="5"/>
    </row>
    <row r="131" spans="1:12">
      <c r="A131" s="3" t="s">
        <v>304</v>
      </c>
      <c r="B131" s="3" t="s">
        <v>17</v>
      </c>
      <c r="C131" s="3" t="s">
        <v>25</v>
      </c>
      <c r="D131" s="3" t="s">
        <v>201</v>
      </c>
      <c r="E131" s="3">
        <v>4</v>
      </c>
      <c r="F131" s="7" t="s">
        <v>322</v>
      </c>
      <c r="G131" s="5"/>
      <c r="H131" s="5"/>
      <c r="I131" s="5"/>
      <c r="J131" s="5"/>
      <c r="K131" s="5"/>
      <c r="L131" s="5"/>
    </row>
    <row r="132" spans="1:12">
      <c r="A132" s="3" t="s">
        <v>305</v>
      </c>
      <c r="B132" s="3" t="s">
        <v>17</v>
      </c>
      <c r="C132" s="3" t="s">
        <v>25</v>
      </c>
      <c r="D132" s="3" t="s">
        <v>201</v>
      </c>
      <c r="E132" s="3">
        <v>4</v>
      </c>
      <c r="F132" s="7" t="s">
        <v>322</v>
      </c>
      <c r="G132" s="5"/>
      <c r="H132" s="5"/>
      <c r="I132" s="5"/>
      <c r="J132" s="5"/>
      <c r="K132" s="5"/>
      <c r="L132" s="5"/>
    </row>
    <row r="133" spans="1:12">
      <c r="A133" s="3" t="s">
        <v>306</v>
      </c>
      <c r="B133" s="3" t="s">
        <v>17</v>
      </c>
      <c r="C133" s="3" t="s">
        <v>25</v>
      </c>
      <c r="D133" s="3" t="s">
        <v>201</v>
      </c>
      <c r="E133" s="3">
        <v>4</v>
      </c>
      <c r="F133" s="7" t="s">
        <v>322</v>
      </c>
      <c r="G133" s="5"/>
      <c r="H133" s="5"/>
      <c r="I133" s="5"/>
      <c r="J133" s="5"/>
      <c r="K133" s="5"/>
      <c r="L133" s="5"/>
    </row>
    <row r="134" spans="1:12">
      <c r="A134" s="3" t="s">
        <v>307</v>
      </c>
      <c r="B134" s="3" t="s">
        <v>17</v>
      </c>
      <c r="C134" s="3" t="s">
        <v>25</v>
      </c>
      <c r="D134" s="3" t="s">
        <v>201</v>
      </c>
      <c r="E134" s="3">
        <v>4</v>
      </c>
      <c r="F134" s="7" t="s">
        <v>322</v>
      </c>
      <c r="G134" s="5"/>
      <c r="H134" s="5"/>
      <c r="I134" s="5"/>
      <c r="J134" s="5"/>
      <c r="K134" s="5"/>
      <c r="L134" s="5"/>
    </row>
    <row r="135" spans="1:12">
      <c r="A135" s="3" t="s">
        <v>308</v>
      </c>
      <c r="B135" s="3" t="s">
        <v>17</v>
      </c>
      <c r="C135" s="3" t="s">
        <v>25</v>
      </c>
      <c r="D135" s="3" t="s">
        <v>201</v>
      </c>
      <c r="E135" s="3">
        <v>4</v>
      </c>
      <c r="F135" s="7" t="s">
        <v>322</v>
      </c>
      <c r="G135" s="5"/>
      <c r="H135" s="5"/>
      <c r="I135" s="5"/>
      <c r="J135" s="5"/>
      <c r="K135" s="5"/>
      <c r="L135" s="5"/>
    </row>
    <row r="136" spans="1:12">
      <c r="A136" s="3" t="s">
        <v>309</v>
      </c>
      <c r="B136" s="3" t="s">
        <v>17</v>
      </c>
      <c r="C136" s="3" t="s">
        <v>25</v>
      </c>
      <c r="D136" s="3" t="s">
        <v>201</v>
      </c>
      <c r="E136" s="3">
        <v>4</v>
      </c>
      <c r="F136" s="7" t="s">
        <v>322</v>
      </c>
      <c r="G136" s="5"/>
      <c r="H136" s="5"/>
      <c r="I136" s="5"/>
      <c r="J136" s="5"/>
      <c r="K136" s="5"/>
      <c r="L136" s="5"/>
    </row>
    <row r="137" spans="1:12">
      <c r="A137" s="3" t="s">
        <v>310</v>
      </c>
      <c r="B137" s="3" t="s">
        <v>17</v>
      </c>
      <c r="C137" s="3" t="s">
        <v>25</v>
      </c>
      <c r="D137" s="3" t="s">
        <v>201</v>
      </c>
      <c r="E137" s="3">
        <v>4</v>
      </c>
      <c r="F137" s="7" t="s">
        <v>322</v>
      </c>
      <c r="G137" s="5"/>
      <c r="H137" s="5"/>
      <c r="I137" s="5"/>
      <c r="J137" s="5"/>
      <c r="K137" s="5"/>
      <c r="L137" s="5"/>
    </row>
    <row r="138" spans="1:12">
      <c r="A138" s="3" t="s">
        <v>311</v>
      </c>
      <c r="B138" s="3" t="s">
        <v>17</v>
      </c>
      <c r="C138" s="3" t="s">
        <v>25</v>
      </c>
      <c r="D138" s="3" t="s">
        <v>201</v>
      </c>
      <c r="E138" s="3">
        <v>4</v>
      </c>
      <c r="F138" s="7" t="s">
        <v>322</v>
      </c>
      <c r="G138" s="5"/>
      <c r="H138" s="5"/>
      <c r="I138" s="5"/>
      <c r="J138" s="5"/>
      <c r="K138" s="5"/>
      <c r="L138" s="5"/>
    </row>
    <row r="139" spans="1:12">
      <c r="A139" s="3" t="s">
        <v>26</v>
      </c>
      <c r="B139" s="3" t="s">
        <v>17</v>
      </c>
      <c r="C139" s="3" t="s">
        <v>26</v>
      </c>
      <c r="D139" s="3" t="s">
        <v>28</v>
      </c>
      <c r="E139" s="3">
        <v>4</v>
      </c>
      <c r="F139" s="7" t="s">
        <v>322</v>
      </c>
      <c r="G139" s="5"/>
      <c r="H139" s="5"/>
      <c r="I139" s="5"/>
      <c r="J139" s="5"/>
      <c r="K139" s="5"/>
      <c r="L139" s="5"/>
    </row>
    <row r="140" spans="1:12">
      <c r="A140" s="3" t="s">
        <v>303</v>
      </c>
      <c r="B140" s="3" t="s">
        <v>17</v>
      </c>
      <c r="C140" s="3" t="s">
        <v>26</v>
      </c>
      <c r="D140" s="3" t="s">
        <v>29</v>
      </c>
      <c r="E140" s="3">
        <v>4</v>
      </c>
      <c r="F140" s="7" t="s">
        <v>322</v>
      </c>
      <c r="G140" s="5"/>
      <c r="H140" s="5"/>
      <c r="I140" s="5"/>
      <c r="J140" s="5"/>
      <c r="K140" s="5"/>
      <c r="L140" s="5"/>
    </row>
    <row r="141" spans="1:12">
      <c r="A141" s="3" t="s">
        <v>44</v>
      </c>
      <c r="B141" s="3" t="s">
        <v>17</v>
      </c>
      <c r="C141" s="3" t="s">
        <v>27</v>
      </c>
      <c r="D141" s="3" t="s">
        <v>28</v>
      </c>
      <c r="E141" s="3">
        <v>3</v>
      </c>
      <c r="F141" s="7" t="s">
        <v>328</v>
      </c>
      <c r="G141" s="5"/>
      <c r="H141" s="5"/>
      <c r="I141" s="5"/>
      <c r="J141" s="5"/>
      <c r="K141" s="5"/>
      <c r="L141" s="5"/>
    </row>
    <row r="142" spans="1:12">
      <c r="A142" s="3" t="s">
        <v>312</v>
      </c>
      <c r="B142" s="3" t="s">
        <v>17</v>
      </c>
      <c r="C142" s="3" t="s">
        <v>27</v>
      </c>
      <c r="D142" s="3" t="s">
        <v>28</v>
      </c>
      <c r="E142" s="3">
        <v>3</v>
      </c>
      <c r="F142" s="7" t="s">
        <v>328</v>
      </c>
      <c r="G142" s="5"/>
      <c r="H142" s="5"/>
      <c r="I142" s="5"/>
      <c r="J142" s="5"/>
      <c r="K142" s="5"/>
      <c r="L142" s="5"/>
    </row>
    <row r="143" spans="1:12">
      <c r="A143" s="3" t="s">
        <v>313</v>
      </c>
      <c r="B143" s="3" t="s">
        <v>17</v>
      </c>
      <c r="C143" s="3" t="s">
        <v>27</v>
      </c>
      <c r="D143" s="3" t="s">
        <v>29</v>
      </c>
      <c r="E143" s="3">
        <v>3</v>
      </c>
      <c r="F143" s="7" t="s">
        <v>328</v>
      </c>
      <c r="G143" s="5"/>
      <c r="H143" s="5"/>
      <c r="I143" s="5"/>
      <c r="J143" s="5"/>
      <c r="K143" s="5"/>
      <c r="L143" s="5"/>
    </row>
    <row r="144" spans="1:12">
      <c r="A144" s="3" t="s">
        <v>314</v>
      </c>
      <c r="B144" s="3" t="s">
        <v>17</v>
      </c>
      <c r="C144" s="3" t="s">
        <v>27</v>
      </c>
      <c r="D144" s="3" t="s">
        <v>29</v>
      </c>
      <c r="E144" s="3">
        <v>3</v>
      </c>
      <c r="F144" s="7" t="s">
        <v>328</v>
      </c>
      <c r="G144" s="5"/>
      <c r="H144" s="5"/>
      <c r="I144" s="5"/>
      <c r="J144" s="5"/>
      <c r="K144" s="5"/>
      <c r="L144" s="5"/>
    </row>
    <row r="145" spans="1:12">
      <c r="A145" s="3" t="s">
        <v>315</v>
      </c>
      <c r="B145" s="3" t="s">
        <v>17</v>
      </c>
      <c r="C145" s="3" t="s">
        <v>27</v>
      </c>
      <c r="D145" s="3" t="s">
        <v>29</v>
      </c>
      <c r="E145" s="3">
        <v>3</v>
      </c>
      <c r="F145" s="7" t="s">
        <v>328</v>
      </c>
      <c r="G145" s="5"/>
      <c r="H145" s="5"/>
      <c r="I145" s="5"/>
      <c r="J145" s="5"/>
      <c r="K145" s="5"/>
      <c r="L145" s="5"/>
    </row>
    <row r="146" spans="1:12">
      <c r="A146" s="3" t="s">
        <v>316</v>
      </c>
      <c r="B146" s="3" t="s">
        <v>17</v>
      </c>
      <c r="C146" s="3" t="s">
        <v>27</v>
      </c>
      <c r="D146" s="3" t="s">
        <v>29</v>
      </c>
      <c r="E146" s="3">
        <v>3</v>
      </c>
      <c r="F146" s="7" t="s">
        <v>328</v>
      </c>
      <c r="G146" s="5"/>
      <c r="H146" s="5"/>
      <c r="I146" s="5"/>
      <c r="J146" s="5"/>
      <c r="K146" s="5"/>
      <c r="L146" s="5"/>
    </row>
    <row r="147" spans="1:12">
      <c r="A147" s="3" t="s">
        <v>317</v>
      </c>
      <c r="B147" s="3" t="s">
        <v>17</v>
      </c>
      <c r="C147" s="3" t="s">
        <v>27</v>
      </c>
      <c r="D147" s="3" t="s">
        <v>29</v>
      </c>
      <c r="E147" s="3">
        <v>3</v>
      </c>
      <c r="F147" s="7" t="s">
        <v>328</v>
      </c>
      <c r="G147" s="5"/>
      <c r="H147" s="5"/>
      <c r="I147" s="5"/>
      <c r="J147" s="5"/>
      <c r="K147" s="5"/>
      <c r="L147" s="5"/>
    </row>
    <row r="148" spans="1:12">
      <c r="A148" s="3" t="s">
        <v>45</v>
      </c>
      <c r="B148" s="3" t="s">
        <v>17</v>
      </c>
      <c r="C148" s="3" t="s">
        <v>27</v>
      </c>
      <c r="D148" s="3" t="s">
        <v>29</v>
      </c>
      <c r="E148" s="3">
        <v>3</v>
      </c>
      <c r="F148" s="7" t="s">
        <v>328</v>
      </c>
      <c r="G148" s="5"/>
      <c r="H148" s="5"/>
      <c r="I148" s="5"/>
      <c r="J148" s="5"/>
      <c r="K148" s="5"/>
      <c r="L148" s="5"/>
    </row>
    <row r="149" spans="1:12">
      <c r="A149" s="3" t="s">
        <v>318</v>
      </c>
      <c r="B149" s="3" t="s">
        <v>17</v>
      </c>
      <c r="C149" s="3" t="s">
        <v>27</v>
      </c>
      <c r="D149" s="3" t="s">
        <v>201</v>
      </c>
      <c r="E149" s="3">
        <v>3</v>
      </c>
      <c r="F149" s="7" t="s">
        <v>328</v>
      </c>
      <c r="G149" s="5"/>
      <c r="H149" s="5"/>
      <c r="I149" s="5"/>
      <c r="J149" s="5"/>
      <c r="K149" s="5"/>
      <c r="L149" s="5"/>
    </row>
    <row r="150" spans="1:12">
      <c r="A150" s="3" t="s">
        <v>46</v>
      </c>
      <c r="B150" s="3" t="s">
        <v>17</v>
      </c>
      <c r="C150" s="3" t="s">
        <v>27</v>
      </c>
      <c r="D150" s="3" t="s">
        <v>201</v>
      </c>
      <c r="E150" s="3">
        <v>3</v>
      </c>
      <c r="F150" s="7" t="s">
        <v>328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9CC1-0A3D-45D3-9BBD-70A41DE8FA67}">
  <sheetPr>
    <tabColor theme="5" tint="0.39997558519241921"/>
    <outlinePr summaryBelow="0" summaryRight="0"/>
  </sheetPr>
  <dimension ref="A1:Z999"/>
  <sheetViews>
    <sheetView showGridLines="0" workbookViewId="0">
      <pane ySplit="2" topLeftCell="A11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158" customWidth="1"/>
    <col min="2" max="2" width="7.5" style="158" customWidth="1"/>
    <col min="3" max="3" width="0.8984375" style="158" customWidth="1"/>
    <col min="4" max="4" width="4" style="158" customWidth="1"/>
    <col min="5" max="5" width="5.8984375" style="158" customWidth="1"/>
    <col min="6" max="6" width="5.59765625" style="158" customWidth="1"/>
    <col min="7" max="7" width="11.19921875" style="158" customWidth="1"/>
    <col min="8" max="8" width="9.09765625" style="158" customWidth="1"/>
    <col min="9" max="9" width="12.69921875" style="158" customWidth="1"/>
    <col min="10" max="10" width="1.3984375" style="158" customWidth="1"/>
    <col min="11" max="11" width="1" style="158" customWidth="1"/>
    <col min="12" max="12" width="10.69921875" style="158" customWidth="1"/>
    <col min="13" max="13" width="10.09765625" style="158" customWidth="1"/>
    <col min="14" max="14" width="16.59765625" style="158" customWidth="1"/>
    <col min="15" max="15" width="8.3984375" style="158" customWidth="1"/>
    <col min="16" max="16" width="9.5" style="158" customWidth="1"/>
    <col min="17" max="17" width="1.19921875" style="158" customWidth="1"/>
    <col min="18" max="18" width="0.5" style="158" customWidth="1"/>
    <col min="19" max="26" width="0" style="158" hidden="1" customWidth="1"/>
    <col min="27" max="16384" width="11" style="158" hidden="1"/>
  </cols>
  <sheetData>
    <row r="1" spans="2:26" ht="15.6"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 spans="2:26" ht="36.6" thickBot="1">
      <c r="B2" s="720" t="s">
        <v>523</v>
      </c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157"/>
      <c r="S2" s="157"/>
      <c r="T2" s="157"/>
      <c r="U2" s="157"/>
      <c r="V2" s="157"/>
      <c r="W2" s="157"/>
      <c r="X2" s="157"/>
      <c r="Y2" s="157"/>
      <c r="Z2" s="157"/>
    </row>
    <row r="3" spans="2:26" ht="24" customHeight="1" thickBot="1">
      <c r="B3" s="159" t="s">
        <v>524</v>
      </c>
      <c r="C3" s="722" t="s">
        <v>525</v>
      </c>
      <c r="D3" s="723"/>
      <c r="E3" s="723"/>
      <c r="F3" s="723"/>
      <c r="G3" s="723"/>
      <c r="H3" s="723"/>
      <c r="I3" s="723"/>
      <c r="J3" s="724"/>
      <c r="K3" s="725" t="s">
        <v>526</v>
      </c>
      <c r="L3" s="726"/>
      <c r="M3" s="726"/>
      <c r="N3" s="726"/>
      <c r="O3" s="726"/>
      <c r="P3" s="726"/>
      <c r="Q3" s="727"/>
      <c r="R3" s="157"/>
      <c r="S3" s="157"/>
      <c r="T3" s="157"/>
      <c r="U3" s="157"/>
      <c r="V3" s="157"/>
      <c r="W3" s="157"/>
      <c r="X3" s="157"/>
      <c r="Y3" s="157"/>
      <c r="Z3" s="157"/>
    </row>
    <row r="4" spans="2:26" ht="15.6">
      <c r="B4" s="685" t="s">
        <v>527</v>
      </c>
      <c r="C4" s="160" t="s">
        <v>528</v>
      </c>
      <c r="D4" s="161"/>
      <c r="E4" s="161"/>
      <c r="F4" s="161"/>
      <c r="G4" s="161"/>
      <c r="H4" s="161"/>
      <c r="I4" s="161"/>
      <c r="J4" s="162"/>
      <c r="K4" s="163" t="s">
        <v>528</v>
      </c>
      <c r="L4" s="161"/>
      <c r="M4" s="161"/>
      <c r="N4" s="161"/>
      <c r="O4" s="161"/>
      <c r="P4" s="161"/>
      <c r="Q4" s="162"/>
      <c r="R4" s="157"/>
      <c r="S4" s="157"/>
      <c r="T4" s="157"/>
      <c r="U4" s="157"/>
      <c r="V4" s="157"/>
      <c r="W4" s="157"/>
      <c r="X4" s="157"/>
      <c r="Y4" s="157"/>
      <c r="Z4" s="157"/>
    </row>
    <row r="5" spans="2:26" ht="18.75" customHeight="1">
      <c r="B5" s="672"/>
      <c r="C5" s="164"/>
      <c r="D5" s="691" t="s">
        <v>529</v>
      </c>
      <c r="E5" s="680"/>
      <c r="F5" s="680"/>
      <c r="G5" s="679"/>
      <c r="H5" s="695" t="s">
        <v>530</v>
      </c>
      <c r="I5" s="680"/>
      <c r="J5" s="165"/>
      <c r="K5" s="166"/>
      <c r="L5" s="691" t="s">
        <v>529</v>
      </c>
      <c r="M5" s="680"/>
      <c r="N5" s="679"/>
      <c r="O5" s="695" t="s">
        <v>531</v>
      </c>
      <c r="P5" s="680"/>
      <c r="Q5" s="165"/>
      <c r="R5" s="157"/>
      <c r="S5" s="157"/>
      <c r="T5" s="157"/>
      <c r="U5" s="157"/>
      <c r="V5" s="157"/>
      <c r="W5" s="157"/>
      <c r="X5" s="157"/>
      <c r="Y5" s="157"/>
      <c r="Z5" s="157"/>
    </row>
    <row r="6" spans="2:26" ht="18.75" customHeight="1">
      <c r="B6" s="672"/>
      <c r="C6" s="164"/>
      <c r="D6" s="691" t="s">
        <v>532</v>
      </c>
      <c r="E6" s="680"/>
      <c r="F6" s="680"/>
      <c r="G6" s="679"/>
      <c r="H6" s="695" t="s">
        <v>533</v>
      </c>
      <c r="I6" s="680"/>
      <c r="J6" s="165"/>
      <c r="K6" s="166"/>
      <c r="L6" s="691" t="s">
        <v>532</v>
      </c>
      <c r="M6" s="680"/>
      <c r="N6" s="679"/>
      <c r="O6" s="695" t="s">
        <v>534</v>
      </c>
      <c r="P6" s="680"/>
      <c r="Q6" s="165"/>
      <c r="R6" s="157"/>
      <c r="S6" s="157"/>
      <c r="T6" s="157"/>
      <c r="U6" s="157"/>
      <c r="V6" s="157"/>
      <c r="W6" s="157"/>
      <c r="X6" s="157"/>
      <c r="Y6" s="157"/>
      <c r="Z6" s="157"/>
    </row>
    <row r="7" spans="2:26" ht="18.75" customHeight="1">
      <c r="B7" s="672"/>
      <c r="C7" s="164"/>
      <c r="D7" s="691" t="s">
        <v>535</v>
      </c>
      <c r="E7" s="680"/>
      <c r="F7" s="680"/>
      <c r="G7" s="679"/>
      <c r="H7" s="695" t="s">
        <v>536</v>
      </c>
      <c r="I7" s="680"/>
      <c r="J7" s="165"/>
      <c r="K7" s="166"/>
      <c r="L7" s="691" t="s">
        <v>535</v>
      </c>
      <c r="M7" s="680"/>
      <c r="N7" s="679"/>
      <c r="O7" s="695" t="s">
        <v>537</v>
      </c>
      <c r="P7" s="680"/>
      <c r="Q7" s="165"/>
      <c r="R7" s="157"/>
      <c r="S7" s="157"/>
      <c r="T7" s="157"/>
      <c r="U7" s="157"/>
      <c r="V7" s="157"/>
      <c r="W7" s="157"/>
      <c r="X7" s="157"/>
      <c r="Y7" s="157"/>
      <c r="Z7" s="157"/>
    </row>
    <row r="8" spans="2:26" ht="18.75" customHeight="1">
      <c r="B8" s="672"/>
      <c r="C8" s="164"/>
      <c r="D8" s="691" t="s">
        <v>538</v>
      </c>
      <c r="E8" s="680"/>
      <c r="F8" s="680"/>
      <c r="G8" s="679"/>
      <c r="H8" s="695" t="s">
        <v>539</v>
      </c>
      <c r="I8" s="680"/>
      <c r="J8" s="165"/>
      <c r="K8" s="166"/>
      <c r="L8" s="691" t="s">
        <v>538</v>
      </c>
      <c r="M8" s="680"/>
      <c r="N8" s="679"/>
      <c r="O8" s="695" t="s">
        <v>539</v>
      </c>
      <c r="P8" s="680"/>
      <c r="Q8" s="165"/>
      <c r="R8" s="157"/>
      <c r="S8" s="157"/>
      <c r="T8" s="157"/>
      <c r="U8" s="157"/>
      <c r="V8" s="157"/>
      <c r="W8" s="157"/>
      <c r="X8" s="157"/>
      <c r="Y8" s="157"/>
      <c r="Z8" s="157"/>
    </row>
    <row r="9" spans="2:26" ht="8.25" customHeight="1" thickBot="1">
      <c r="B9" s="673"/>
      <c r="C9" s="167"/>
      <c r="D9" s="168"/>
      <c r="E9" s="168"/>
      <c r="F9" s="168"/>
      <c r="G9" s="168"/>
      <c r="H9" s="168"/>
      <c r="I9" s="168"/>
      <c r="J9" s="169"/>
      <c r="K9" s="170"/>
      <c r="L9" s="168"/>
      <c r="M9" s="168"/>
      <c r="N9" s="168"/>
      <c r="O9" s="168"/>
      <c r="P9" s="168"/>
      <c r="Q9" s="169"/>
      <c r="R9" s="157"/>
      <c r="S9" s="157"/>
      <c r="T9" s="157"/>
      <c r="U9" s="157"/>
      <c r="V9" s="157"/>
      <c r="W9" s="157"/>
      <c r="X9" s="157"/>
      <c r="Y9" s="157"/>
      <c r="Z9" s="157"/>
    </row>
    <row r="10" spans="2:26" ht="6.75" customHeight="1">
      <c r="B10" s="685" t="s">
        <v>540</v>
      </c>
      <c r="C10" s="160"/>
      <c r="D10" s="161"/>
      <c r="E10" s="161"/>
      <c r="F10" s="161"/>
      <c r="G10" s="161"/>
      <c r="H10" s="161"/>
      <c r="I10" s="161"/>
      <c r="J10" s="162"/>
      <c r="K10" s="163"/>
      <c r="L10" s="161"/>
      <c r="M10" s="161"/>
      <c r="N10" s="161"/>
      <c r="O10" s="161"/>
      <c r="P10" s="161"/>
      <c r="Q10" s="162"/>
      <c r="R10" s="157"/>
      <c r="S10" s="157"/>
      <c r="T10" s="157"/>
      <c r="U10" s="157"/>
      <c r="V10" s="157"/>
      <c r="W10" s="157"/>
      <c r="X10" s="157"/>
      <c r="Y10" s="157"/>
      <c r="Z10" s="157"/>
    </row>
    <row r="11" spans="2:26" ht="16.5" customHeight="1">
      <c r="B11" s="672"/>
      <c r="C11" s="164"/>
      <c r="D11" s="691" t="s">
        <v>541</v>
      </c>
      <c r="E11" s="680"/>
      <c r="F11" s="680"/>
      <c r="G11" s="695" t="s">
        <v>542</v>
      </c>
      <c r="H11" s="680"/>
      <c r="I11" s="680"/>
      <c r="J11" s="165"/>
      <c r="K11" s="166"/>
      <c r="L11" s="716" t="s">
        <v>541</v>
      </c>
      <c r="M11" s="717"/>
      <c r="N11" s="718" t="s">
        <v>543</v>
      </c>
      <c r="O11" s="719"/>
      <c r="P11" s="719"/>
      <c r="Q11" s="165"/>
      <c r="R11" s="157"/>
      <c r="S11" s="157"/>
      <c r="T11" s="157"/>
      <c r="U11" s="157"/>
      <c r="V11" s="157"/>
      <c r="W11" s="157"/>
      <c r="X11" s="157"/>
      <c r="Y11" s="157"/>
      <c r="Z11" s="157"/>
    </row>
    <row r="12" spans="2:26" ht="16.5" customHeight="1">
      <c r="B12" s="672"/>
      <c r="C12" s="164"/>
      <c r="D12" s="691" t="s">
        <v>544</v>
      </c>
      <c r="E12" s="680"/>
      <c r="F12" s="680"/>
      <c r="G12" s="695" t="s">
        <v>545</v>
      </c>
      <c r="H12" s="680"/>
      <c r="I12" s="680"/>
      <c r="J12" s="165"/>
      <c r="K12" s="166"/>
      <c r="L12" s="700"/>
      <c r="M12" s="677"/>
      <c r="N12" s="694"/>
      <c r="O12" s="700"/>
      <c r="P12" s="700"/>
      <c r="Q12" s="165"/>
      <c r="R12" s="157"/>
      <c r="S12" s="157"/>
      <c r="T12" s="157"/>
      <c r="U12" s="157"/>
      <c r="V12" s="157"/>
      <c r="W12" s="157"/>
      <c r="X12" s="157"/>
      <c r="Y12" s="157"/>
      <c r="Z12" s="157"/>
    </row>
    <row r="13" spans="2:26" ht="16.5" customHeight="1">
      <c r="B13" s="672"/>
      <c r="C13" s="164"/>
      <c r="D13" s="691" t="s">
        <v>546</v>
      </c>
      <c r="E13" s="680"/>
      <c r="F13" s="680"/>
      <c r="G13" s="695" t="s">
        <v>547</v>
      </c>
      <c r="H13" s="680"/>
      <c r="I13" s="680"/>
      <c r="J13" s="165"/>
      <c r="K13" s="166"/>
      <c r="L13" s="691" t="s">
        <v>548</v>
      </c>
      <c r="M13" s="679"/>
      <c r="N13" s="695" t="s">
        <v>547</v>
      </c>
      <c r="O13" s="680"/>
      <c r="P13" s="680"/>
      <c r="Q13" s="165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2:26" ht="6.75" customHeight="1" thickBot="1">
      <c r="B14" s="673"/>
      <c r="C14" s="167"/>
      <c r="D14" s="168"/>
      <c r="E14" s="168"/>
      <c r="F14" s="168"/>
      <c r="G14" s="168"/>
      <c r="H14" s="168"/>
      <c r="I14" s="168"/>
      <c r="J14" s="169"/>
      <c r="K14" s="170"/>
      <c r="L14" s="168"/>
      <c r="M14" s="168"/>
      <c r="N14" s="168"/>
      <c r="O14" s="168"/>
      <c r="P14" s="168"/>
      <c r="Q14" s="169"/>
      <c r="R14" s="157"/>
      <c r="S14" s="157"/>
      <c r="T14" s="157"/>
      <c r="U14" s="157"/>
      <c r="V14" s="157"/>
      <c r="W14" s="157"/>
      <c r="X14" s="157"/>
      <c r="Y14" s="157"/>
      <c r="Z14" s="157"/>
    </row>
    <row r="15" spans="2:26" ht="6.75" customHeight="1">
      <c r="B15" s="685" t="s">
        <v>549</v>
      </c>
      <c r="C15" s="160"/>
      <c r="D15" s="161"/>
      <c r="E15" s="161"/>
      <c r="F15" s="161"/>
      <c r="G15" s="161"/>
      <c r="H15" s="161"/>
      <c r="I15" s="161"/>
      <c r="J15" s="162"/>
      <c r="K15" s="163"/>
      <c r="L15" s="161"/>
      <c r="M15" s="161"/>
      <c r="N15" s="161"/>
      <c r="O15" s="161"/>
      <c r="P15" s="161"/>
      <c r="Q15" s="162"/>
      <c r="R15" s="157"/>
      <c r="S15" s="157"/>
      <c r="T15" s="157"/>
      <c r="U15" s="157"/>
      <c r="V15" s="157"/>
      <c r="W15" s="157"/>
      <c r="X15" s="157"/>
      <c r="Y15" s="157"/>
      <c r="Z15" s="157"/>
    </row>
    <row r="16" spans="2:26" ht="20.25" customHeight="1">
      <c r="B16" s="672"/>
      <c r="C16" s="164"/>
      <c r="D16" s="691" t="s">
        <v>550</v>
      </c>
      <c r="E16" s="680"/>
      <c r="F16" s="680"/>
      <c r="G16" s="679"/>
      <c r="H16" s="695">
        <v>1</v>
      </c>
      <c r="I16" s="680"/>
      <c r="J16" s="165"/>
      <c r="K16" s="166"/>
      <c r="L16" s="691" t="s">
        <v>550</v>
      </c>
      <c r="M16" s="680"/>
      <c r="N16" s="679"/>
      <c r="O16" s="695" t="s">
        <v>551</v>
      </c>
      <c r="P16" s="680"/>
      <c r="Q16" s="165"/>
      <c r="R16" s="157"/>
      <c r="S16" s="157"/>
      <c r="T16" s="157"/>
      <c r="U16" s="157"/>
      <c r="V16" s="157"/>
      <c r="W16" s="157"/>
      <c r="X16" s="157"/>
      <c r="Y16" s="157"/>
      <c r="Z16" s="157"/>
    </row>
    <row r="17" spans="2:26" ht="20.25" customHeight="1">
      <c r="B17" s="672"/>
      <c r="C17" s="164"/>
      <c r="D17" s="691" t="s">
        <v>552</v>
      </c>
      <c r="E17" s="680"/>
      <c r="F17" s="680"/>
      <c r="G17" s="679"/>
      <c r="H17" s="695">
        <v>179</v>
      </c>
      <c r="I17" s="680"/>
      <c r="J17" s="165"/>
      <c r="K17" s="166"/>
      <c r="L17" s="691" t="s">
        <v>553</v>
      </c>
      <c r="M17" s="680"/>
      <c r="N17" s="679"/>
      <c r="O17" s="695" t="s">
        <v>554</v>
      </c>
      <c r="P17" s="680"/>
      <c r="Q17" s="165"/>
      <c r="R17" s="157"/>
      <c r="S17" s="157"/>
      <c r="T17" s="157"/>
      <c r="U17" s="157"/>
      <c r="V17" s="157"/>
      <c r="W17" s="157"/>
      <c r="X17" s="157"/>
      <c r="Y17" s="157"/>
      <c r="Z17" s="157"/>
    </row>
    <row r="18" spans="2:26" ht="20.25" customHeight="1">
      <c r="B18" s="672"/>
      <c r="C18" s="164"/>
      <c r="D18" s="691" t="s">
        <v>555</v>
      </c>
      <c r="E18" s="680"/>
      <c r="F18" s="680"/>
      <c r="G18" s="679"/>
      <c r="H18" s="695">
        <v>368</v>
      </c>
      <c r="I18" s="680"/>
      <c r="J18" s="165"/>
      <c r="K18" s="166"/>
      <c r="L18" s="691" t="s">
        <v>556</v>
      </c>
      <c r="M18" s="680"/>
      <c r="N18" s="679"/>
      <c r="O18" s="695" t="s">
        <v>557</v>
      </c>
      <c r="P18" s="680"/>
      <c r="Q18" s="165"/>
      <c r="R18" s="157"/>
      <c r="S18" s="157"/>
      <c r="T18" s="157"/>
      <c r="U18" s="157"/>
      <c r="V18" s="157"/>
      <c r="W18" s="157"/>
      <c r="X18" s="157"/>
      <c r="Y18" s="157"/>
      <c r="Z18" s="157"/>
    </row>
    <row r="19" spans="2:26" ht="20.25" customHeight="1">
      <c r="B19" s="672"/>
      <c r="C19" s="164"/>
      <c r="D19" s="691" t="s">
        <v>558</v>
      </c>
      <c r="E19" s="680"/>
      <c r="F19" s="680"/>
      <c r="G19" s="679"/>
      <c r="H19" s="695">
        <v>548</v>
      </c>
      <c r="I19" s="680"/>
      <c r="J19" s="165"/>
      <c r="K19" s="166"/>
      <c r="L19" s="691" t="s">
        <v>558</v>
      </c>
      <c r="M19" s="680"/>
      <c r="N19" s="679"/>
      <c r="O19" s="695" t="s">
        <v>559</v>
      </c>
      <c r="P19" s="680"/>
      <c r="Q19" s="165"/>
      <c r="R19" s="157"/>
      <c r="S19" s="157"/>
      <c r="T19" s="157"/>
      <c r="U19" s="157"/>
      <c r="V19" s="157"/>
      <c r="W19" s="157"/>
      <c r="X19" s="157"/>
      <c r="Y19" s="157"/>
      <c r="Z19" s="157"/>
    </row>
    <row r="20" spans="2:26" ht="5.25" customHeight="1" thickBot="1">
      <c r="B20" s="673"/>
      <c r="C20" s="167"/>
      <c r="D20" s="168"/>
      <c r="E20" s="168"/>
      <c r="F20" s="168"/>
      <c r="G20" s="168"/>
      <c r="H20" s="168"/>
      <c r="I20" s="168"/>
      <c r="J20" s="169"/>
      <c r="K20" s="170"/>
      <c r="L20" s="168"/>
      <c r="M20" s="168"/>
      <c r="N20" s="168"/>
      <c r="O20" s="168"/>
      <c r="P20" s="168"/>
      <c r="Q20" s="169"/>
      <c r="R20" s="157"/>
      <c r="S20" s="157"/>
      <c r="T20" s="157"/>
      <c r="U20" s="157"/>
      <c r="V20" s="157"/>
      <c r="W20" s="157"/>
      <c r="X20" s="157"/>
      <c r="Y20" s="157"/>
      <c r="Z20" s="157"/>
    </row>
    <row r="21" spans="2:26" ht="5.25" customHeight="1">
      <c r="B21" s="685" t="s">
        <v>560</v>
      </c>
      <c r="C21" s="160"/>
      <c r="D21" s="161"/>
      <c r="E21" s="161"/>
      <c r="F21" s="161"/>
      <c r="G21" s="161"/>
      <c r="H21" s="161"/>
      <c r="I21" s="161"/>
      <c r="J21" s="162"/>
      <c r="K21" s="163"/>
      <c r="L21" s="161"/>
      <c r="M21" s="161"/>
      <c r="N21" s="161"/>
      <c r="O21" s="161"/>
      <c r="P21" s="161"/>
      <c r="Q21" s="162"/>
      <c r="R21" s="157"/>
      <c r="S21" s="157"/>
      <c r="T21" s="157"/>
      <c r="U21" s="157"/>
      <c r="V21" s="157"/>
      <c r="W21" s="157"/>
      <c r="X21" s="157"/>
      <c r="Y21" s="157"/>
      <c r="Z21" s="157"/>
    </row>
    <row r="22" spans="2:26" ht="31.8" thickBot="1">
      <c r="B22" s="672"/>
      <c r="C22" s="164"/>
      <c r="D22" s="171"/>
      <c r="E22" s="172"/>
      <c r="F22" s="173" t="s">
        <v>561</v>
      </c>
      <c r="G22" s="173" t="s">
        <v>562</v>
      </c>
      <c r="H22" s="173" t="s">
        <v>563</v>
      </c>
      <c r="I22" s="174" t="s">
        <v>564</v>
      </c>
      <c r="J22" s="175"/>
      <c r="K22" s="176"/>
      <c r="L22" s="171"/>
      <c r="M22" s="173" t="s">
        <v>562</v>
      </c>
      <c r="N22" s="173" t="s">
        <v>565</v>
      </c>
      <c r="O22" s="708" t="s">
        <v>564</v>
      </c>
      <c r="P22" s="709"/>
      <c r="Q22" s="165"/>
      <c r="R22" s="157"/>
      <c r="S22" s="157"/>
      <c r="T22" s="157"/>
      <c r="U22" s="157"/>
      <c r="V22" s="157"/>
      <c r="W22" s="157"/>
      <c r="X22" s="157"/>
      <c r="Y22" s="157"/>
      <c r="Z22" s="157"/>
    </row>
    <row r="23" spans="2:26" ht="16.2" thickTop="1">
      <c r="B23" s="672"/>
      <c r="C23" s="164"/>
      <c r="D23" s="696" t="s">
        <v>562</v>
      </c>
      <c r="E23" s="710" t="s">
        <v>566</v>
      </c>
      <c r="F23" s="710" t="s">
        <v>567</v>
      </c>
      <c r="G23" s="177" t="s">
        <v>568</v>
      </c>
      <c r="H23" s="177" t="s">
        <v>569</v>
      </c>
      <c r="I23" s="698">
        <v>24</v>
      </c>
      <c r="J23" s="175"/>
      <c r="K23" s="176"/>
      <c r="L23" s="696" t="s">
        <v>570</v>
      </c>
      <c r="M23" s="178" t="s">
        <v>568</v>
      </c>
      <c r="N23" s="178" t="s">
        <v>571</v>
      </c>
      <c r="O23" s="698">
        <v>24</v>
      </c>
      <c r="P23" s="699"/>
      <c r="Q23" s="165"/>
      <c r="R23" s="157"/>
      <c r="S23" s="157"/>
      <c r="T23" s="157"/>
      <c r="U23" s="157"/>
      <c r="V23" s="157"/>
      <c r="W23" s="157"/>
      <c r="X23" s="157"/>
      <c r="Y23" s="157"/>
      <c r="Z23" s="157"/>
    </row>
    <row r="24" spans="2:26" ht="15.6">
      <c r="B24" s="672"/>
      <c r="C24" s="164"/>
      <c r="D24" s="697"/>
      <c r="E24" s="711"/>
      <c r="F24" s="711"/>
      <c r="G24" s="179" t="s">
        <v>572</v>
      </c>
      <c r="H24" s="179" t="s">
        <v>573</v>
      </c>
      <c r="I24" s="693"/>
      <c r="J24" s="175"/>
      <c r="K24" s="176"/>
      <c r="L24" s="697"/>
      <c r="M24" s="180" t="s">
        <v>572</v>
      </c>
      <c r="N24" s="180" t="s">
        <v>574</v>
      </c>
      <c r="O24" s="693"/>
      <c r="P24" s="670"/>
      <c r="Q24" s="165"/>
      <c r="R24" s="157"/>
      <c r="S24" s="157"/>
      <c r="T24" s="157"/>
      <c r="U24" s="157"/>
      <c r="V24" s="157"/>
      <c r="W24" s="157"/>
      <c r="X24" s="157"/>
      <c r="Y24" s="157"/>
      <c r="Z24" s="157"/>
    </row>
    <row r="25" spans="2:26" ht="15.6">
      <c r="B25" s="672"/>
      <c r="C25" s="164"/>
      <c r="D25" s="697"/>
      <c r="E25" s="711"/>
      <c r="F25" s="711"/>
      <c r="G25" s="179" t="s">
        <v>575</v>
      </c>
      <c r="H25" s="179" t="s">
        <v>576</v>
      </c>
      <c r="I25" s="712"/>
      <c r="J25" s="175"/>
      <c r="K25" s="176"/>
      <c r="L25" s="697"/>
      <c r="M25" s="180" t="s">
        <v>575</v>
      </c>
      <c r="N25" s="180" t="s">
        <v>577</v>
      </c>
      <c r="O25" s="694"/>
      <c r="P25" s="700"/>
      <c r="Q25" s="165"/>
      <c r="R25" s="157"/>
      <c r="S25" s="157"/>
      <c r="T25" s="157"/>
      <c r="U25" s="157"/>
      <c r="V25" s="157"/>
      <c r="W25" s="157"/>
      <c r="X25" s="157"/>
      <c r="Y25" s="157"/>
      <c r="Z25" s="157"/>
    </row>
    <row r="26" spans="2:26" ht="15.6">
      <c r="B26" s="672"/>
      <c r="C26" s="164"/>
      <c r="D26" s="697"/>
      <c r="E26" s="711"/>
      <c r="F26" s="668"/>
      <c r="G26" s="181" t="s">
        <v>578</v>
      </c>
      <c r="H26" s="181" t="s">
        <v>579</v>
      </c>
      <c r="I26" s="182">
        <v>6</v>
      </c>
      <c r="J26" s="175"/>
      <c r="K26" s="176"/>
      <c r="L26" s="697"/>
      <c r="M26" s="701" t="s">
        <v>580</v>
      </c>
      <c r="N26" s="183" t="s">
        <v>581</v>
      </c>
      <c r="O26" s="702">
        <v>6</v>
      </c>
      <c r="P26" s="703"/>
      <c r="Q26" s="165"/>
      <c r="R26" s="157"/>
      <c r="S26" s="157"/>
      <c r="T26" s="157"/>
      <c r="U26" s="157"/>
      <c r="V26" s="157"/>
      <c r="W26" s="157"/>
      <c r="X26" s="157"/>
      <c r="Y26" s="157"/>
      <c r="Z26" s="157"/>
    </row>
    <row r="27" spans="2:26" ht="46.8">
      <c r="B27" s="672"/>
      <c r="C27" s="164"/>
      <c r="D27" s="697"/>
      <c r="E27" s="711"/>
      <c r="F27" s="701" t="s">
        <v>582</v>
      </c>
      <c r="G27" s="183" t="s">
        <v>580</v>
      </c>
      <c r="H27" s="183" t="s">
        <v>583</v>
      </c>
      <c r="I27" s="704">
        <v>12</v>
      </c>
      <c r="J27" s="175"/>
      <c r="K27" s="176"/>
      <c r="L27" s="697"/>
      <c r="M27" s="668"/>
      <c r="N27" s="181" t="s">
        <v>584</v>
      </c>
      <c r="O27" s="705">
        <v>12</v>
      </c>
      <c r="P27" s="706"/>
      <c r="Q27" s="165"/>
      <c r="R27" s="157"/>
      <c r="S27" s="157"/>
      <c r="T27" s="157"/>
      <c r="U27" s="157"/>
      <c r="V27" s="157"/>
      <c r="W27" s="157"/>
      <c r="X27" s="157"/>
      <c r="Y27" s="157"/>
      <c r="Z27" s="157"/>
    </row>
    <row r="28" spans="2:26" ht="31.2">
      <c r="B28" s="672"/>
      <c r="C28" s="164"/>
      <c r="D28" s="697"/>
      <c r="E28" s="711"/>
      <c r="F28" s="668"/>
      <c r="G28" s="181" t="s">
        <v>585</v>
      </c>
      <c r="H28" s="181" t="s">
        <v>586</v>
      </c>
      <c r="I28" s="694"/>
      <c r="J28" s="175"/>
      <c r="K28" s="176"/>
      <c r="L28" s="697"/>
      <c r="M28" s="180" t="s">
        <v>585</v>
      </c>
      <c r="N28" s="180" t="s">
        <v>587</v>
      </c>
      <c r="O28" s="694"/>
      <c r="P28" s="700"/>
      <c r="Q28" s="165"/>
      <c r="R28" s="157"/>
      <c r="S28" s="157"/>
      <c r="T28" s="157"/>
      <c r="U28" s="157"/>
      <c r="V28" s="157"/>
      <c r="W28" s="157"/>
      <c r="X28" s="157"/>
      <c r="Y28" s="157"/>
      <c r="Z28" s="157"/>
    </row>
    <row r="29" spans="2:26" ht="15.6">
      <c r="B29" s="672"/>
      <c r="C29" s="164"/>
      <c r="D29" s="697"/>
      <c r="E29" s="711"/>
      <c r="F29" s="701" t="s">
        <v>588</v>
      </c>
      <c r="G29" s="183" t="s">
        <v>589</v>
      </c>
      <c r="H29" s="184"/>
      <c r="I29" s="185">
        <v>8</v>
      </c>
      <c r="J29" s="175"/>
      <c r="K29" s="176"/>
      <c r="L29" s="697"/>
      <c r="M29" s="180" t="s">
        <v>589</v>
      </c>
      <c r="N29" s="186"/>
      <c r="O29" s="707">
        <v>8</v>
      </c>
      <c r="P29" s="680"/>
      <c r="Q29" s="165"/>
      <c r="R29" s="157"/>
      <c r="S29" s="157"/>
      <c r="T29" s="157"/>
      <c r="U29" s="157"/>
      <c r="V29" s="157"/>
      <c r="W29" s="157"/>
      <c r="X29" s="157"/>
      <c r="Y29" s="157"/>
      <c r="Z29" s="157"/>
    </row>
    <row r="30" spans="2:26" ht="15.6">
      <c r="B30" s="672"/>
      <c r="C30" s="164"/>
      <c r="D30" s="697"/>
      <c r="E30" s="711"/>
      <c r="F30" s="668"/>
      <c r="G30" s="181" t="s">
        <v>590</v>
      </c>
      <c r="H30" s="187"/>
      <c r="I30" s="182">
        <v>6</v>
      </c>
      <c r="J30" s="175"/>
      <c r="K30" s="176"/>
      <c r="L30" s="697"/>
      <c r="M30" s="180" t="s">
        <v>590</v>
      </c>
      <c r="N30" s="186"/>
      <c r="O30" s="707">
        <v>6</v>
      </c>
      <c r="P30" s="680"/>
      <c r="Q30" s="165"/>
      <c r="R30" s="157"/>
      <c r="S30" s="157"/>
      <c r="T30" s="157"/>
      <c r="U30" s="157"/>
      <c r="V30" s="157"/>
      <c r="W30" s="157"/>
      <c r="X30" s="157"/>
      <c r="Y30" s="157"/>
      <c r="Z30" s="157"/>
    </row>
    <row r="31" spans="2:26" ht="62.4">
      <c r="B31" s="672"/>
      <c r="C31" s="164"/>
      <c r="D31" s="697"/>
      <c r="E31" s="711"/>
      <c r="F31" s="180" t="s">
        <v>591</v>
      </c>
      <c r="G31" s="180" t="s">
        <v>592</v>
      </c>
      <c r="H31" s="186"/>
      <c r="I31" s="188">
        <v>10</v>
      </c>
      <c r="J31" s="175"/>
      <c r="K31" s="176"/>
      <c r="L31" s="697"/>
      <c r="M31" s="180" t="s">
        <v>593</v>
      </c>
      <c r="N31" s="186"/>
      <c r="O31" s="707">
        <v>8</v>
      </c>
      <c r="P31" s="680"/>
      <c r="Q31" s="165"/>
      <c r="R31" s="157"/>
      <c r="S31" s="157"/>
      <c r="T31" s="157"/>
      <c r="U31" s="157"/>
      <c r="V31" s="157"/>
      <c r="W31" s="157"/>
      <c r="X31" s="157"/>
      <c r="Y31" s="157"/>
      <c r="Z31" s="157"/>
    </row>
    <row r="32" spans="2:26" ht="18.75" customHeight="1">
      <c r="B32" s="672"/>
      <c r="C32" s="164"/>
      <c r="D32" s="697"/>
      <c r="E32" s="668"/>
      <c r="F32" s="715" t="s">
        <v>558</v>
      </c>
      <c r="G32" s="680"/>
      <c r="H32" s="679"/>
      <c r="I32" s="189">
        <v>66</v>
      </c>
      <c r="J32" s="175"/>
      <c r="K32" s="176"/>
      <c r="L32" s="677"/>
      <c r="M32" s="715" t="s">
        <v>558</v>
      </c>
      <c r="N32" s="679"/>
      <c r="O32" s="688">
        <v>64</v>
      </c>
      <c r="P32" s="680"/>
      <c r="Q32" s="165"/>
      <c r="R32" s="157"/>
      <c r="S32" s="157"/>
      <c r="T32" s="157"/>
      <c r="U32" s="157"/>
      <c r="V32" s="157"/>
      <c r="W32" s="157"/>
      <c r="X32" s="157"/>
      <c r="Y32" s="157"/>
      <c r="Z32" s="157"/>
    </row>
    <row r="33" spans="2:26" ht="35.25" customHeight="1">
      <c r="B33" s="672"/>
      <c r="C33" s="164"/>
      <c r="D33" s="677"/>
      <c r="E33" s="190" t="s">
        <v>594</v>
      </c>
      <c r="F33" s="715" t="s">
        <v>595</v>
      </c>
      <c r="G33" s="680"/>
      <c r="H33" s="679"/>
      <c r="I33" s="189">
        <v>86</v>
      </c>
      <c r="J33" s="175"/>
      <c r="K33" s="176"/>
      <c r="L33" s="191" t="s">
        <v>596</v>
      </c>
      <c r="M33" s="715" t="s">
        <v>597</v>
      </c>
      <c r="N33" s="679"/>
      <c r="O33" s="688">
        <v>80</v>
      </c>
      <c r="P33" s="680"/>
      <c r="Q33" s="165"/>
      <c r="R33" s="157"/>
      <c r="S33" s="157"/>
      <c r="T33" s="157"/>
      <c r="U33" s="157"/>
      <c r="V33" s="157"/>
      <c r="W33" s="157"/>
      <c r="X33" s="157"/>
      <c r="Y33" s="157"/>
      <c r="Z33" s="157"/>
    </row>
    <row r="34" spans="2:26" ht="21.75" customHeight="1">
      <c r="B34" s="672"/>
      <c r="C34" s="164"/>
      <c r="D34" s="713" t="s">
        <v>535</v>
      </c>
      <c r="E34" s="680"/>
      <c r="F34" s="680"/>
      <c r="G34" s="680"/>
      <c r="H34" s="679"/>
      <c r="I34" s="192">
        <v>22</v>
      </c>
      <c r="J34" s="175"/>
      <c r="K34" s="176"/>
      <c r="L34" s="713" t="s">
        <v>535</v>
      </c>
      <c r="M34" s="680"/>
      <c r="N34" s="679"/>
      <c r="O34" s="714">
        <v>30</v>
      </c>
      <c r="P34" s="680"/>
      <c r="Q34" s="165"/>
      <c r="R34" s="157"/>
      <c r="S34" s="157"/>
      <c r="T34" s="157"/>
      <c r="U34" s="157"/>
      <c r="V34" s="157"/>
      <c r="W34" s="157"/>
      <c r="X34" s="157"/>
      <c r="Y34" s="157"/>
      <c r="Z34" s="157"/>
    </row>
    <row r="35" spans="2:26" ht="24" customHeight="1">
      <c r="B35" s="672"/>
      <c r="C35" s="164"/>
      <c r="D35" s="713" t="s">
        <v>538</v>
      </c>
      <c r="E35" s="680"/>
      <c r="F35" s="680"/>
      <c r="G35" s="680"/>
      <c r="H35" s="679"/>
      <c r="I35" s="192">
        <v>18</v>
      </c>
      <c r="J35" s="175"/>
      <c r="K35" s="176"/>
      <c r="L35" s="713" t="s">
        <v>538</v>
      </c>
      <c r="M35" s="680"/>
      <c r="N35" s="679"/>
      <c r="O35" s="714">
        <v>18</v>
      </c>
      <c r="P35" s="680"/>
      <c r="Q35" s="165"/>
      <c r="R35" s="157"/>
      <c r="S35" s="157"/>
      <c r="T35" s="157"/>
      <c r="U35" s="157"/>
      <c r="V35" s="157"/>
      <c r="W35" s="157"/>
      <c r="X35" s="157"/>
      <c r="Y35" s="157"/>
      <c r="Z35" s="157"/>
    </row>
    <row r="36" spans="2:26" ht="15.6">
      <c r="B36" s="672"/>
      <c r="C36" s="164"/>
      <c r="D36" s="687" t="s">
        <v>598</v>
      </c>
      <c r="E36" s="680"/>
      <c r="F36" s="680"/>
      <c r="G36" s="680"/>
      <c r="H36" s="679"/>
      <c r="I36" s="189">
        <v>192</v>
      </c>
      <c r="J36" s="175"/>
      <c r="K36" s="176"/>
      <c r="L36" s="687" t="s">
        <v>598</v>
      </c>
      <c r="M36" s="680"/>
      <c r="N36" s="679"/>
      <c r="O36" s="688">
        <v>192</v>
      </c>
      <c r="P36" s="680"/>
      <c r="Q36" s="165"/>
      <c r="R36" s="157"/>
      <c r="S36" s="157"/>
      <c r="T36" s="157"/>
      <c r="U36" s="157"/>
      <c r="V36" s="157"/>
      <c r="W36" s="157"/>
      <c r="X36" s="157"/>
      <c r="Y36" s="157"/>
      <c r="Z36" s="157"/>
    </row>
    <row r="37" spans="2:26" ht="5.25" customHeight="1" thickBot="1">
      <c r="B37" s="673"/>
      <c r="C37" s="167"/>
      <c r="D37" s="168"/>
      <c r="E37" s="168"/>
      <c r="F37" s="168"/>
      <c r="G37" s="168"/>
      <c r="H37" s="168"/>
      <c r="I37" s="168"/>
      <c r="J37" s="169"/>
      <c r="K37" s="170"/>
      <c r="L37" s="168"/>
      <c r="M37" s="168"/>
      <c r="N37" s="168"/>
      <c r="O37" s="168"/>
      <c r="P37" s="168"/>
      <c r="Q37" s="169"/>
      <c r="R37" s="157"/>
      <c r="S37" s="157"/>
      <c r="T37" s="157"/>
      <c r="U37" s="157"/>
      <c r="V37" s="157"/>
      <c r="W37" s="157"/>
      <c r="X37" s="157"/>
      <c r="Y37" s="157"/>
      <c r="Z37" s="157"/>
    </row>
    <row r="38" spans="2:26" ht="5.25" customHeight="1">
      <c r="B38" s="685" t="s">
        <v>599</v>
      </c>
      <c r="C38" s="160"/>
      <c r="D38" s="161"/>
      <c r="E38" s="161"/>
      <c r="F38" s="161"/>
      <c r="G38" s="161"/>
      <c r="H38" s="161"/>
      <c r="I38" s="161"/>
      <c r="J38" s="162"/>
      <c r="K38" s="163"/>
      <c r="L38" s="161"/>
      <c r="M38" s="161"/>
      <c r="N38" s="161"/>
      <c r="O38" s="161"/>
      <c r="P38" s="161"/>
      <c r="Q38" s="162"/>
      <c r="R38" s="157"/>
      <c r="S38" s="157"/>
      <c r="T38" s="157"/>
      <c r="U38" s="157"/>
      <c r="V38" s="157"/>
      <c r="W38" s="157"/>
      <c r="X38" s="157"/>
      <c r="Y38" s="157"/>
      <c r="Z38" s="157"/>
    </row>
    <row r="39" spans="2:26" ht="15.6">
      <c r="B39" s="672"/>
      <c r="C39" s="164" t="s">
        <v>600</v>
      </c>
      <c r="D39" s="157"/>
      <c r="E39" s="157"/>
      <c r="F39" s="157"/>
      <c r="G39" s="157"/>
      <c r="H39" s="157"/>
      <c r="I39" s="157"/>
      <c r="J39" s="165"/>
      <c r="K39" s="166"/>
      <c r="L39" s="157" t="s">
        <v>601</v>
      </c>
      <c r="M39" s="157"/>
      <c r="N39" s="157"/>
      <c r="O39" s="157"/>
      <c r="P39" s="157"/>
      <c r="Q39" s="165"/>
      <c r="R39" s="157"/>
      <c r="S39" s="157"/>
      <c r="T39" s="157"/>
      <c r="U39" s="157"/>
      <c r="V39" s="157"/>
      <c r="W39" s="157"/>
      <c r="X39" s="157"/>
      <c r="Y39" s="157"/>
      <c r="Z39" s="157"/>
    </row>
    <row r="40" spans="2:26" ht="15.6">
      <c r="B40" s="672"/>
      <c r="C40" s="164" t="s">
        <v>602</v>
      </c>
      <c r="D40" s="157"/>
      <c r="E40" s="157"/>
      <c r="F40" s="157"/>
      <c r="G40" s="157"/>
      <c r="H40" s="157"/>
      <c r="I40" s="157"/>
      <c r="J40" s="165"/>
      <c r="K40" s="166"/>
      <c r="L40" s="157" t="s">
        <v>603</v>
      </c>
      <c r="M40" s="157"/>
      <c r="N40" s="157"/>
      <c r="O40" s="157"/>
      <c r="P40" s="157"/>
      <c r="Q40" s="165"/>
      <c r="R40" s="157"/>
      <c r="S40" s="157"/>
      <c r="T40" s="157"/>
      <c r="U40" s="157"/>
      <c r="V40" s="157"/>
      <c r="W40" s="157"/>
      <c r="X40" s="157"/>
      <c r="Y40" s="157"/>
      <c r="Z40" s="157"/>
    </row>
    <row r="41" spans="2:26" ht="5.25" customHeight="1" thickBot="1">
      <c r="B41" s="673"/>
      <c r="C41" s="167"/>
      <c r="D41" s="168"/>
      <c r="E41" s="168"/>
      <c r="F41" s="168"/>
      <c r="G41" s="168"/>
      <c r="H41" s="168"/>
      <c r="I41" s="168"/>
      <c r="J41" s="169"/>
      <c r="K41" s="170"/>
      <c r="L41" s="168"/>
      <c r="M41" s="168"/>
      <c r="N41" s="168"/>
      <c r="O41" s="168"/>
      <c r="P41" s="168"/>
      <c r="Q41" s="169"/>
      <c r="R41" s="157"/>
      <c r="S41" s="157"/>
      <c r="T41" s="157"/>
      <c r="U41" s="157"/>
      <c r="V41" s="157"/>
      <c r="W41" s="157"/>
      <c r="X41" s="157"/>
      <c r="Y41" s="157"/>
      <c r="Z41" s="157"/>
    </row>
    <row r="42" spans="2:26" ht="5.25" customHeight="1">
      <c r="B42" s="685" t="s">
        <v>604</v>
      </c>
      <c r="C42" s="160"/>
      <c r="D42" s="161"/>
      <c r="E42" s="161"/>
      <c r="F42" s="161"/>
      <c r="G42" s="161"/>
      <c r="H42" s="161"/>
      <c r="I42" s="161"/>
      <c r="J42" s="162"/>
      <c r="K42" s="163"/>
      <c r="L42" s="161"/>
      <c r="M42" s="161"/>
      <c r="N42" s="161"/>
      <c r="O42" s="161"/>
      <c r="P42" s="161"/>
      <c r="Q42" s="162"/>
      <c r="R42" s="157"/>
      <c r="S42" s="157"/>
      <c r="T42" s="157"/>
      <c r="U42" s="157"/>
      <c r="V42" s="157"/>
      <c r="W42" s="157"/>
      <c r="X42" s="157"/>
      <c r="Y42" s="157"/>
      <c r="Z42" s="157"/>
    </row>
    <row r="43" spans="2:26" ht="15.6">
      <c r="B43" s="672"/>
      <c r="C43" s="164"/>
      <c r="D43" s="157" t="s">
        <v>605</v>
      </c>
      <c r="E43" s="157"/>
      <c r="F43" s="157"/>
      <c r="G43" s="157"/>
      <c r="H43" s="157"/>
      <c r="I43" s="157"/>
      <c r="J43" s="165"/>
      <c r="K43" s="166"/>
      <c r="L43" s="157" t="s">
        <v>606</v>
      </c>
      <c r="M43" s="157"/>
      <c r="N43" s="157"/>
      <c r="O43" s="157"/>
      <c r="P43" s="157"/>
      <c r="Q43" s="165"/>
      <c r="R43" s="157"/>
      <c r="S43" s="157"/>
      <c r="T43" s="157"/>
      <c r="U43" s="157"/>
      <c r="V43" s="157"/>
      <c r="W43" s="157"/>
      <c r="X43" s="157"/>
      <c r="Y43" s="157"/>
      <c r="Z43" s="157"/>
    </row>
    <row r="44" spans="2:26" ht="15.6">
      <c r="B44" s="672"/>
      <c r="C44" s="164"/>
      <c r="D44" s="157" t="s">
        <v>607</v>
      </c>
      <c r="E44" s="193"/>
      <c r="F44" s="193"/>
      <c r="G44" s="193"/>
      <c r="H44" s="193"/>
      <c r="I44" s="193"/>
      <c r="J44" s="165"/>
      <c r="K44" s="166"/>
      <c r="L44" s="157"/>
      <c r="M44" s="157"/>
      <c r="N44" s="157"/>
      <c r="O44" s="157"/>
      <c r="P44" s="157"/>
      <c r="Q44" s="165"/>
      <c r="R44" s="157"/>
      <c r="S44" s="157"/>
      <c r="T44" s="157"/>
      <c r="U44" s="157"/>
      <c r="V44" s="157"/>
      <c r="W44" s="157"/>
      <c r="X44" s="157"/>
      <c r="Y44" s="157"/>
      <c r="Z44" s="157"/>
    </row>
    <row r="45" spans="2:26" ht="15.6">
      <c r="B45" s="672"/>
      <c r="C45" s="164"/>
      <c r="D45" s="689" t="s">
        <v>524</v>
      </c>
      <c r="E45" s="680"/>
      <c r="F45" s="679"/>
      <c r="G45" s="690" t="s">
        <v>608</v>
      </c>
      <c r="H45" s="679"/>
      <c r="I45" s="194" t="s">
        <v>609</v>
      </c>
      <c r="J45" s="165"/>
      <c r="K45" s="166"/>
      <c r="L45" s="689" t="s">
        <v>524</v>
      </c>
      <c r="M45" s="679"/>
      <c r="N45" s="690" t="s">
        <v>608</v>
      </c>
      <c r="O45" s="679"/>
      <c r="P45" s="194" t="s">
        <v>610</v>
      </c>
      <c r="Q45" s="165"/>
      <c r="R45" s="157"/>
      <c r="S45" s="157"/>
      <c r="T45" s="157"/>
      <c r="U45" s="157"/>
      <c r="V45" s="157"/>
      <c r="W45" s="157"/>
      <c r="X45" s="157"/>
      <c r="Y45" s="157"/>
      <c r="Z45" s="157"/>
    </row>
    <row r="46" spans="2:26" ht="38.25" customHeight="1">
      <c r="B46" s="672"/>
      <c r="C46" s="164"/>
      <c r="D46" s="691" t="s">
        <v>611</v>
      </c>
      <c r="E46" s="679"/>
      <c r="F46" s="195">
        <v>1</v>
      </c>
      <c r="G46" s="684" t="s">
        <v>612</v>
      </c>
      <c r="H46" s="679"/>
      <c r="I46" s="692">
        <v>86</v>
      </c>
      <c r="J46" s="165"/>
      <c r="K46" s="166"/>
      <c r="L46" s="196" t="s">
        <v>611</v>
      </c>
      <c r="M46" s="195">
        <v>3</v>
      </c>
      <c r="N46" s="684" t="s">
        <v>613</v>
      </c>
      <c r="O46" s="679"/>
      <c r="P46" s="692">
        <v>80</v>
      </c>
      <c r="Q46" s="165"/>
      <c r="R46" s="157"/>
      <c r="S46" s="157"/>
      <c r="T46" s="157"/>
      <c r="U46" s="157"/>
      <c r="V46" s="157"/>
      <c r="W46" s="157"/>
      <c r="X46" s="157"/>
      <c r="Y46" s="157"/>
      <c r="Z46" s="157"/>
    </row>
    <row r="47" spans="2:26" ht="16.5" customHeight="1">
      <c r="B47" s="672"/>
      <c r="C47" s="164"/>
      <c r="D47" s="691" t="s">
        <v>614</v>
      </c>
      <c r="E47" s="679"/>
      <c r="F47" s="195">
        <v>179</v>
      </c>
      <c r="G47" s="695" t="s">
        <v>597</v>
      </c>
      <c r="H47" s="679"/>
      <c r="I47" s="693"/>
      <c r="J47" s="165"/>
      <c r="K47" s="166"/>
      <c r="L47" s="196" t="s">
        <v>615</v>
      </c>
      <c r="M47" s="195">
        <v>216</v>
      </c>
      <c r="N47" s="695" t="s">
        <v>597</v>
      </c>
      <c r="O47" s="679"/>
      <c r="P47" s="693"/>
      <c r="Q47" s="165"/>
      <c r="R47" s="157"/>
      <c r="S47" s="157"/>
      <c r="T47" s="157"/>
      <c r="U47" s="157"/>
      <c r="V47" s="157"/>
      <c r="W47" s="157"/>
      <c r="X47" s="157"/>
      <c r="Y47" s="157"/>
      <c r="Z47" s="157"/>
    </row>
    <row r="48" spans="2:26" ht="16.5" customHeight="1">
      <c r="B48" s="672"/>
      <c r="C48" s="164"/>
      <c r="D48" s="691" t="s">
        <v>616</v>
      </c>
      <c r="E48" s="679"/>
      <c r="F48" s="195">
        <v>368</v>
      </c>
      <c r="G48" s="695" t="s">
        <v>597</v>
      </c>
      <c r="H48" s="679"/>
      <c r="I48" s="694"/>
      <c r="J48" s="165"/>
      <c r="K48" s="166"/>
      <c r="L48" s="196" t="s">
        <v>617</v>
      </c>
      <c r="M48" s="195">
        <v>309</v>
      </c>
      <c r="N48" s="695" t="s">
        <v>597</v>
      </c>
      <c r="O48" s="679"/>
      <c r="P48" s="694"/>
      <c r="Q48" s="165"/>
      <c r="R48" s="157"/>
      <c r="S48" s="157"/>
      <c r="T48" s="157"/>
      <c r="U48" s="157"/>
      <c r="V48" s="157"/>
      <c r="W48" s="157"/>
      <c r="X48" s="157"/>
      <c r="Y48" s="157"/>
      <c r="Z48" s="157"/>
    </row>
    <row r="49" spans="2:26" ht="5.25" customHeight="1" thickBot="1">
      <c r="B49" s="673"/>
      <c r="C49" s="167"/>
      <c r="D49" s="168"/>
      <c r="E49" s="168"/>
      <c r="F49" s="168"/>
      <c r="G49" s="168"/>
      <c r="H49" s="168"/>
      <c r="I49" s="168"/>
      <c r="J49" s="169"/>
      <c r="K49" s="170"/>
      <c r="L49" s="168"/>
      <c r="M49" s="168"/>
      <c r="N49" s="168"/>
      <c r="O49" s="168"/>
      <c r="P49" s="168"/>
      <c r="Q49" s="169"/>
      <c r="R49" s="157"/>
      <c r="S49" s="157"/>
      <c r="T49" s="157"/>
      <c r="U49" s="157"/>
      <c r="V49" s="157"/>
      <c r="W49" s="157"/>
      <c r="X49" s="157"/>
      <c r="Y49" s="157"/>
      <c r="Z49" s="157"/>
    </row>
    <row r="50" spans="2:26" ht="5.25" customHeight="1">
      <c r="B50" s="685" t="s">
        <v>618</v>
      </c>
      <c r="C50" s="160"/>
      <c r="D50" s="161"/>
      <c r="E50" s="161"/>
      <c r="F50" s="161"/>
      <c r="G50" s="161"/>
      <c r="H50" s="161"/>
      <c r="I50" s="161"/>
      <c r="J50" s="162"/>
      <c r="K50" s="163"/>
      <c r="L50" s="161"/>
      <c r="M50" s="161"/>
      <c r="N50" s="161"/>
      <c r="O50" s="161"/>
      <c r="P50" s="161"/>
      <c r="Q50" s="162"/>
      <c r="R50" s="157"/>
      <c r="S50" s="157"/>
      <c r="T50" s="157"/>
      <c r="U50" s="157"/>
      <c r="V50" s="157"/>
      <c r="W50" s="157"/>
      <c r="X50" s="157"/>
      <c r="Y50" s="157"/>
      <c r="Z50" s="157"/>
    </row>
    <row r="51" spans="2:26" ht="26.4">
      <c r="B51" s="672"/>
      <c r="C51" s="164"/>
      <c r="D51" s="686" t="s">
        <v>524</v>
      </c>
      <c r="E51" s="680"/>
      <c r="F51" s="679"/>
      <c r="G51" s="197" t="s">
        <v>619</v>
      </c>
      <c r="H51" s="197" t="s">
        <v>620</v>
      </c>
      <c r="I51" s="198" t="s">
        <v>621</v>
      </c>
      <c r="J51" s="175"/>
      <c r="K51" s="176"/>
      <c r="L51" s="686" t="s">
        <v>524</v>
      </c>
      <c r="M51" s="679"/>
      <c r="N51" s="197" t="s">
        <v>619</v>
      </c>
      <c r="O51" s="197" t="s">
        <v>620</v>
      </c>
      <c r="P51" s="198" t="s">
        <v>622</v>
      </c>
      <c r="Q51" s="165"/>
      <c r="R51" s="157"/>
      <c r="S51" s="157"/>
      <c r="T51" s="157"/>
      <c r="U51" s="157"/>
      <c r="V51" s="157"/>
      <c r="W51" s="157"/>
      <c r="X51" s="157"/>
      <c r="Y51" s="157"/>
      <c r="Z51" s="157"/>
    </row>
    <row r="52" spans="2:26" ht="15.6">
      <c r="B52" s="672"/>
      <c r="C52" s="164"/>
      <c r="D52" s="683" t="s">
        <v>623</v>
      </c>
      <c r="E52" s="680"/>
      <c r="F52" s="679"/>
      <c r="G52" s="199">
        <v>8</v>
      </c>
      <c r="H52" s="199">
        <v>-2</v>
      </c>
      <c r="I52" s="200" t="s">
        <v>624</v>
      </c>
      <c r="J52" s="175"/>
      <c r="K52" s="176"/>
      <c r="L52" s="683" t="s">
        <v>623</v>
      </c>
      <c r="M52" s="679"/>
      <c r="N52" s="199">
        <v>4</v>
      </c>
      <c r="O52" s="199">
        <v>-1</v>
      </c>
      <c r="P52" s="200" t="s">
        <v>625</v>
      </c>
      <c r="Q52" s="165"/>
      <c r="R52" s="157"/>
      <c r="S52" s="157"/>
      <c r="T52" s="157"/>
      <c r="U52" s="157"/>
      <c r="V52" s="157"/>
      <c r="W52" s="157"/>
      <c r="X52" s="157"/>
      <c r="Y52" s="157"/>
      <c r="Z52" s="157"/>
    </row>
    <row r="53" spans="2:26" ht="27.75" customHeight="1">
      <c r="B53" s="672"/>
      <c r="C53" s="164"/>
      <c r="D53" s="683" t="s">
        <v>626</v>
      </c>
      <c r="E53" s="680"/>
      <c r="F53" s="679"/>
      <c r="G53" s="199">
        <v>6</v>
      </c>
      <c r="H53" s="201"/>
      <c r="I53" s="200" t="s">
        <v>627</v>
      </c>
      <c r="J53" s="175"/>
      <c r="K53" s="176"/>
      <c r="L53" s="683" t="s">
        <v>628</v>
      </c>
      <c r="M53" s="679"/>
      <c r="N53" s="199">
        <v>3</v>
      </c>
      <c r="O53" s="201"/>
      <c r="P53" s="200">
        <v>3</v>
      </c>
      <c r="Q53" s="165"/>
      <c r="R53" s="157"/>
      <c r="S53" s="157"/>
      <c r="T53" s="157"/>
      <c r="U53" s="157"/>
      <c r="V53" s="157"/>
      <c r="W53" s="157"/>
      <c r="X53" s="157"/>
      <c r="Y53" s="157"/>
      <c r="Z53" s="157"/>
    </row>
    <row r="54" spans="2:26" ht="15.6">
      <c r="B54" s="672"/>
      <c r="C54" s="164"/>
      <c r="D54" s="683" t="s">
        <v>629</v>
      </c>
      <c r="E54" s="680"/>
      <c r="F54" s="679"/>
      <c r="G54" s="199">
        <v>5</v>
      </c>
      <c r="H54" s="199" t="s">
        <v>630</v>
      </c>
      <c r="I54" s="200" t="s">
        <v>631</v>
      </c>
      <c r="J54" s="175"/>
      <c r="K54" s="176"/>
      <c r="L54" s="683" t="s">
        <v>632</v>
      </c>
      <c r="M54" s="679"/>
      <c r="N54" s="199">
        <v>4</v>
      </c>
      <c r="O54" s="199" t="s">
        <v>633</v>
      </c>
      <c r="P54" s="200" t="s">
        <v>634</v>
      </c>
      <c r="Q54" s="165"/>
      <c r="R54" s="157"/>
      <c r="S54" s="157"/>
      <c r="T54" s="157"/>
      <c r="U54" s="157"/>
      <c r="V54" s="157"/>
      <c r="W54" s="157"/>
      <c r="X54" s="157"/>
      <c r="Y54" s="157"/>
      <c r="Z54" s="157"/>
    </row>
    <row r="55" spans="2:26" ht="15.6">
      <c r="B55" s="672"/>
      <c r="C55" s="164"/>
      <c r="D55" s="683" t="s">
        <v>635</v>
      </c>
      <c r="E55" s="680"/>
      <c r="F55" s="679"/>
      <c r="G55" s="199">
        <v>5</v>
      </c>
      <c r="H55" s="199" t="s">
        <v>636</v>
      </c>
      <c r="I55" s="200" t="s">
        <v>637</v>
      </c>
      <c r="J55" s="175"/>
      <c r="K55" s="176"/>
      <c r="L55" s="683" t="s">
        <v>638</v>
      </c>
      <c r="M55" s="679"/>
      <c r="N55" s="199">
        <v>3</v>
      </c>
      <c r="O55" s="199" t="s">
        <v>633</v>
      </c>
      <c r="P55" s="200" t="s">
        <v>639</v>
      </c>
      <c r="Q55" s="165"/>
      <c r="R55" s="157"/>
      <c r="S55" s="157"/>
      <c r="T55" s="157"/>
      <c r="U55" s="157"/>
      <c r="V55" s="157"/>
      <c r="W55" s="157"/>
      <c r="X55" s="157"/>
      <c r="Y55" s="157"/>
      <c r="Z55" s="157"/>
    </row>
    <row r="56" spans="2:26" ht="15.6">
      <c r="B56" s="672"/>
      <c r="C56" s="164"/>
      <c r="D56" s="683" t="s">
        <v>640</v>
      </c>
      <c r="E56" s="680"/>
      <c r="F56" s="679"/>
      <c r="G56" s="199">
        <v>5</v>
      </c>
      <c r="H56" s="199" t="s">
        <v>636</v>
      </c>
      <c r="I56" s="200" t="s">
        <v>637</v>
      </c>
      <c r="J56" s="175"/>
      <c r="K56" s="176"/>
      <c r="L56" s="683" t="s">
        <v>548</v>
      </c>
      <c r="M56" s="679"/>
      <c r="N56" s="684" t="s">
        <v>641</v>
      </c>
      <c r="O56" s="680"/>
      <c r="P56" s="680"/>
      <c r="Q56" s="165"/>
      <c r="R56" s="157"/>
      <c r="S56" s="157"/>
      <c r="T56" s="157"/>
      <c r="U56" s="157"/>
      <c r="V56" s="157"/>
      <c r="W56" s="157"/>
      <c r="X56" s="157"/>
      <c r="Y56" s="157"/>
      <c r="Z56" s="157"/>
    </row>
    <row r="57" spans="2:26" ht="15.6">
      <c r="B57" s="672"/>
      <c r="C57" s="164"/>
      <c r="D57" s="683" t="s">
        <v>546</v>
      </c>
      <c r="E57" s="680"/>
      <c r="F57" s="679"/>
      <c r="G57" s="684" t="s">
        <v>641</v>
      </c>
      <c r="H57" s="680"/>
      <c r="I57" s="680"/>
      <c r="J57" s="175"/>
      <c r="K57" s="176"/>
      <c r="L57" s="202"/>
      <c r="M57" s="157"/>
      <c r="N57" s="157"/>
      <c r="O57" s="157"/>
      <c r="P57" s="157"/>
      <c r="Q57" s="165"/>
      <c r="R57" s="157"/>
      <c r="S57" s="157"/>
      <c r="T57" s="157"/>
      <c r="U57" s="157"/>
      <c r="V57" s="157"/>
      <c r="W57" s="157"/>
      <c r="X57" s="157"/>
      <c r="Y57" s="157"/>
      <c r="Z57" s="157"/>
    </row>
    <row r="58" spans="2:26" ht="15.6">
      <c r="B58" s="672"/>
      <c r="C58" s="164"/>
      <c r="D58" s="157"/>
      <c r="E58" s="157"/>
      <c r="F58" s="157"/>
      <c r="G58" s="157"/>
      <c r="H58" s="157"/>
      <c r="I58" s="157"/>
      <c r="J58" s="165"/>
      <c r="K58" s="166"/>
      <c r="L58" s="157"/>
      <c r="M58" s="157"/>
      <c r="N58" s="157"/>
      <c r="O58" s="157"/>
      <c r="P58" s="157"/>
      <c r="Q58" s="165"/>
      <c r="R58" s="157"/>
      <c r="S58" s="157"/>
      <c r="T58" s="157"/>
      <c r="U58" s="157"/>
      <c r="V58" s="157"/>
      <c r="W58" s="157"/>
      <c r="X58" s="157"/>
      <c r="Y58" s="157"/>
      <c r="Z58" s="157"/>
    </row>
    <row r="59" spans="2:26" ht="33.75" customHeight="1">
      <c r="B59" s="672"/>
      <c r="C59" s="164"/>
      <c r="D59" s="669" t="s">
        <v>642</v>
      </c>
      <c r="E59" s="670"/>
      <c r="F59" s="670"/>
      <c r="G59" s="670"/>
      <c r="H59" s="670"/>
      <c r="I59" s="670"/>
      <c r="J59" s="165"/>
      <c r="K59" s="166"/>
      <c r="L59" s="669" t="s">
        <v>643</v>
      </c>
      <c r="M59" s="669"/>
      <c r="N59" s="669"/>
      <c r="O59" s="669"/>
      <c r="P59" s="669"/>
      <c r="Q59" s="165"/>
      <c r="R59" s="157"/>
      <c r="S59" s="157"/>
      <c r="T59" s="157"/>
      <c r="U59" s="157"/>
      <c r="V59" s="157"/>
      <c r="W59" s="157"/>
      <c r="X59" s="157"/>
      <c r="Y59" s="157"/>
      <c r="Z59" s="157"/>
    </row>
    <row r="60" spans="2:26" ht="5.25" customHeight="1" thickBot="1">
      <c r="B60" s="673"/>
      <c r="C60" s="167"/>
      <c r="D60" s="168"/>
      <c r="E60" s="168"/>
      <c r="F60" s="168"/>
      <c r="G60" s="168"/>
      <c r="H60" s="168"/>
      <c r="I60" s="168"/>
      <c r="J60" s="169"/>
      <c r="K60" s="170"/>
      <c r="L60" s="168"/>
      <c r="M60" s="168"/>
      <c r="N60" s="168"/>
      <c r="O60" s="168"/>
      <c r="P60" s="168"/>
      <c r="Q60" s="169"/>
      <c r="R60" s="157"/>
      <c r="S60" s="157"/>
      <c r="T60" s="157"/>
      <c r="U60" s="157"/>
      <c r="V60" s="157"/>
      <c r="W60" s="157"/>
      <c r="X60" s="157"/>
      <c r="Y60" s="157"/>
      <c r="Z60" s="157"/>
    </row>
    <row r="61" spans="2:26" ht="5.25" customHeight="1">
      <c r="B61" s="674" t="s">
        <v>644</v>
      </c>
      <c r="C61" s="164"/>
      <c r="D61" s="157"/>
      <c r="E61" s="157"/>
      <c r="F61" s="157"/>
      <c r="G61" s="157"/>
      <c r="H61" s="157"/>
      <c r="I61" s="157"/>
      <c r="J61" s="157"/>
      <c r="K61" s="163"/>
      <c r="L61" s="161"/>
      <c r="M61" s="161"/>
      <c r="N61" s="161"/>
      <c r="O61" s="161"/>
      <c r="P61" s="161"/>
      <c r="Q61" s="162"/>
      <c r="R61" s="157"/>
      <c r="S61" s="157"/>
      <c r="T61" s="157"/>
      <c r="U61" s="157"/>
      <c r="V61" s="157"/>
      <c r="W61" s="157"/>
      <c r="X61" s="157"/>
      <c r="Y61" s="157"/>
      <c r="Z61" s="157"/>
    </row>
    <row r="62" spans="2:26" ht="15.6">
      <c r="B62" s="675"/>
      <c r="C62" s="164"/>
      <c r="D62" s="157"/>
      <c r="E62" s="157"/>
      <c r="F62" s="157"/>
      <c r="G62" s="157"/>
      <c r="H62" s="157"/>
      <c r="I62" s="157"/>
      <c r="J62" s="157"/>
      <c r="K62" s="166"/>
      <c r="L62" s="157" t="s">
        <v>645</v>
      </c>
      <c r="M62" s="157"/>
      <c r="N62" s="157"/>
      <c r="O62" s="157"/>
      <c r="P62" s="157"/>
      <c r="Q62" s="165"/>
      <c r="R62" s="157"/>
      <c r="S62" s="157"/>
      <c r="T62" s="157"/>
      <c r="U62" s="157"/>
      <c r="V62" s="157"/>
      <c r="W62" s="157"/>
      <c r="X62" s="157"/>
      <c r="Y62" s="157"/>
      <c r="Z62" s="157"/>
    </row>
    <row r="63" spans="2:26" ht="15.6">
      <c r="B63" s="675"/>
      <c r="C63" s="164"/>
      <c r="D63" s="157"/>
      <c r="E63" s="157"/>
      <c r="F63" s="157"/>
      <c r="G63" s="157"/>
      <c r="H63" s="157"/>
      <c r="I63" s="157"/>
      <c r="J63" s="157"/>
      <c r="K63" s="166"/>
      <c r="L63" s="157" t="s">
        <v>646</v>
      </c>
      <c r="M63" s="157"/>
      <c r="N63" s="157"/>
      <c r="O63" s="157"/>
      <c r="P63" s="157"/>
      <c r="Q63" s="165"/>
      <c r="R63" s="157"/>
      <c r="S63" s="157"/>
      <c r="T63" s="157"/>
      <c r="U63" s="157"/>
      <c r="V63" s="157"/>
      <c r="W63" s="157"/>
      <c r="X63" s="157"/>
      <c r="Y63" s="157"/>
      <c r="Z63" s="157"/>
    </row>
    <row r="64" spans="2:26" ht="15.6">
      <c r="B64" s="675"/>
      <c r="C64" s="164"/>
      <c r="D64" s="157"/>
      <c r="E64" s="157"/>
      <c r="F64" s="157"/>
      <c r="G64" s="157"/>
      <c r="H64" s="157"/>
      <c r="I64" s="157"/>
      <c r="J64" s="157"/>
      <c r="K64" s="166"/>
      <c r="L64" s="676" t="s">
        <v>524</v>
      </c>
      <c r="M64" s="678" t="s">
        <v>647</v>
      </c>
      <c r="N64" s="679"/>
      <c r="O64" s="678" t="s">
        <v>648</v>
      </c>
      <c r="P64" s="680"/>
      <c r="Q64" s="165"/>
      <c r="R64" s="157"/>
      <c r="S64" s="157"/>
      <c r="T64" s="157"/>
      <c r="U64" s="157"/>
      <c r="V64" s="157"/>
      <c r="W64" s="157"/>
      <c r="X64" s="157"/>
      <c r="Y64" s="157"/>
      <c r="Z64" s="157"/>
    </row>
    <row r="65" spans="2:26" ht="15.6">
      <c r="B65" s="675"/>
      <c r="C65" s="164"/>
      <c r="D65" s="157"/>
      <c r="E65" s="157"/>
      <c r="F65" s="157"/>
      <c r="G65" s="157"/>
      <c r="H65" s="157"/>
      <c r="I65" s="157"/>
      <c r="J65" s="157"/>
      <c r="K65" s="166"/>
      <c r="L65" s="677"/>
      <c r="M65" s="195" t="s">
        <v>0</v>
      </c>
      <c r="N65" s="195" t="s">
        <v>649</v>
      </c>
      <c r="O65" s="195" t="s">
        <v>0</v>
      </c>
      <c r="P65" s="203" t="s">
        <v>649</v>
      </c>
      <c r="Q65" s="165"/>
      <c r="R65" s="157"/>
      <c r="S65" s="157"/>
      <c r="T65" s="157"/>
      <c r="U65" s="157"/>
      <c r="V65" s="157"/>
      <c r="W65" s="157"/>
      <c r="X65" s="157"/>
      <c r="Y65" s="157"/>
      <c r="Z65" s="157"/>
    </row>
    <row r="66" spans="2:26" ht="15.6">
      <c r="B66" s="675"/>
      <c r="C66" s="164"/>
      <c r="D66" s="157"/>
      <c r="E66" s="157"/>
      <c r="F66" s="157"/>
      <c r="G66" s="157"/>
      <c r="H66" s="157"/>
      <c r="I66" s="157"/>
      <c r="J66" s="157"/>
      <c r="K66" s="166"/>
      <c r="L66" s="204" t="s">
        <v>650</v>
      </c>
      <c r="M66" s="205">
        <v>2</v>
      </c>
      <c r="N66" s="205">
        <v>2</v>
      </c>
      <c r="O66" s="205">
        <v>4</v>
      </c>
      <c r="P66" s="194">
        <v>0</v>
      </c>
      <c r="Q66" s="165"/>
      <c r="R66" s="157"/>
      <c r="S66" s="157"/>
      <c r="T66" s="157"/>
      <c r="U66" s="157"/>
      <c r="V66" s="157"/>
      <c r="W66" s="157"/>
      <c r="X66" s="157"/>
      <c r="Y66" s="157"/>
      <c r="Z66" s="157"/>
    </row>
    <row r="67" spans="2:26" ht="15.6">
      <c r="B67" s="675"/>
      <c r="C67" s="164"/>
      <c r="D67" s="157"/>
      <c r="E67" s="157"/>
      <c r="F67" s="157"/>
      <c r="G67" s="157"/>
      <c r="H67" s="157"/>
      <c r="I67" s="157"/>
      <c r="J67" s="157"/>
      <c r="K67" s="166"/>
      <c r="L67" s="204" t="s">
        <v>651</v>
      </c>
      <c r="M67" s="205">
        <v>2</v>
      </c>
      <c r="N67" s="205">
        <v>2</v>
      </c>
      <c r="O67" s="205">
        <v>0</v>
      </c>
      <c r="P67" s="194">
        <v>4</v>
      </c>
      <c r="Q67" s="165"/>
      <c r="R67" s="157"/>
      <c r="S67" s="157"/>
      <c r="T67" s="157"/>
      <c r="U67" s="157"/>
      <c r="V67" s="157"/>
      <c r="W67" s="157"/>
      <c r="X67" s="157"/>
      <c r="Y67" s="157"/>
      <c r="Z67" s="157"/>
    </row>
    <row r="68" spans="2:26" ht="15.6">
      <c r="B68" s="675"/>
      <c r="C68" s="164"/>
      <c r="D68" s="157"/>
      <c r="E68" s="157"/>
      <c r="F68" s="157"/>
      <c r="G68" s="157"/>
      <c r="H68" s="157"/>
      <c r="I68" s="157"/>
      <c r="J68" s="157"/>
      <c r="K68" s="166"/>
      <c r="L68" s="204" t="s">
        <v>652</v>
      </c>
      <c r="M68" s="205">
        <v>2</v>
      </c>
      <c r="N68" s="205">
        <v>2</v>
      </c>
      <c r="O68" s="205">
        <v>4</v>
      </c>
      <c r="P68" s="194">
        <v>0</v>
      </c>
      <c r="Q68" s="165"/>
      <c r="R68" s="157"/>
      <c r="S68" s="157"/>
      <c r="T68" s="157"/>
      <c r="U68" s="157"/>
      <c r="V68" s="157"/>
      <c r="W68" s="157"/>
      <c r="X68" s="157"/>
      <c r="Y68" s="157"/>
      <c r="Z68" s="157"/>
    </row>
    <row r="69" spans="2:26" ht="15.6">
      <c r="B69" s="675"/>
      <c r="C69" s="164"/>
      <c r="D69" s="157"/>
      <c r="E69" s="157"/>
      <c r="F69" s="157"/>
      <c r="G69" s="157"/>
      <c r="H69" s="157"/>
      <c r="I69" s="157"/>
      <c r="J69" s="157"/>
      <c r="K69" s="166"/>
      <c r="L69" s="157" t="s">
        <v>653</v>
      </c>
      <c r="M69" s="157"/>
      <c r="N69" s="157"/>
      <c r="O69" s="157"/>
      <c r="P69" s="157"/>
      <c r="Q69" s="165"/>
      <c r="R69" s="157"/>
      <c r="S69" s="157"/>
      <c r="T69" s="157"/>
      <c r="U69" s="157"/>
      <c r="V69" s="157"/>
      <c r="W69" s="157"/>
      <c r="X69" s="157"/>
      <c r="Y69" s="157"/>
      <c r="Z69" s="157"/>
    </row>
    <row r="70" spans="2:26" ht="15.6">
      <c r="B70" s="675"/>
      <c r="C70" s="164"/>
      <c r="D70" s="157"/>
      <c r="E70" s="157"/>
      <c r="F70" s="157"/>
      <c r="G70" s="157"/>
      <c r="H70" s="157"/>
      <c r="I70" s="157"/>
      <c r="J70" s="157"/>
      <c r="K70" s="166"/>
      <c r="L70" s="676" t="s">
        <v>524</v>
      </c>
      <c r="M70" s="678" t="s">
        <v>647</v>
      </c>
      <c r="N70" s="679"/>
      <c r="O70" s="678" t="s">
        <v>648</v>
      </c>
      <c r="P70" s="680"/>
      <c r="Q70" s="165"/>
      <c r="R70" s="157"/>
      <c r="S70" s="157"/>
      <c r="T70" s="157"/>
      <c r="U70" s="157"/>
      <c r="V70" s="157"/>
      <c r="W70" s="157"/>
      <c r="X70" s="157"/>
      <c r="Y70" s="157"/>
      <c r="Z70" s="157"/>
    </row>
    <row r="71" spans="2:26" ht="15.6">
      <c r="B71" s="675"/>
      <c r="C71" s="164"/>
      <c r="D71" s="157"/>
      <c r="E71" s="157"/>
      <c r="F71" s="157"/>
      <c r="G71" s="157"/>
      <c r="H71" s="157"/>
      <c r="I71" s="157"/>
      <c r="J71" s="157"/>
      <c r="K71" s="166"/>
      <c r="L71" s="677"/>
      <c r="M71" s="195" t="s">
        <v>0</v>
      </c>
      <c r="N71" s="195" t="s">
        <v>649</v>
      </c>
      <c r="O71" s="195" t="s">
        <v>0</v>
      </c>
      <c r="P71" s="203" t="s">
        <v>649</v>
      </c>
      <c r="Q71" s="165"/>
      <c r="R71" s="157"/>
      <c r="S71" s="157"/>
      <c r="T71" s="157"/>
      <c r="U71" s="157"/>
      <c r="V71" s="157"/>
      <c r="W71" s="157"/>
      <c r="X71" s="157"/>
      <c r="Y71" s="157"/>
      <c r="Z71" s="157"/>
    </row>
    <row r="72" spans="2:26" ht="15.6">
      <c r="B72" s="675"/>
      <c r="C72" s="164"/>
      <c r="D72" s="157"/>
      <c r="E72" s="157"/>
      <c r="F72" s="157"/>
      <c r="G72" s="157"/>
      <c r="H72" s="157"/>
      <c r="I72" s="157"/>
      <c r="J72" s="157"/>
      <c r="K72" s="166"/>
      <c r="L72" s="204" t="s">
        <v>611</v>
      </c>
      <c r="M72" s="205">
        <v>1</v>
      </c>
      <c r="N72" s="205">
        <v>1</v>
      </c>
      <c r="O72" s="205">
        <v>2</v>
      </c>
      <c r="P72" s="194">
        <v>0</v>
      </c>
      <c r="Q72" s="165"/>
      <c r="R72" s="157"/>
      <c r="S72" s="157"/>
      <c r="T72" s="157"/>
      <c r="U72" s="157"/>
      <c r="V72" s="157"/>
      <c r="W72" s="157"/>
      <c r="X72" s="157"/>
      <c r="Y72" s="157"/>
      <c r="Z72" s="157"/>
    </row>
    <row r="73" spans="2:26" ht="15.6">
      <c r="B73" s="675"/>
      <c r="C73" s="164"/>
      <c r="D73" s="157"/>
      <c r="E73" s="157"/>
      <c r="F73" s="157"/>
      <c r="G73" s="157"/>
      <c r="H73" s="157"/>
      <c r="I73" s="157"/>
      <c r="J73" s="157"/>
      <c r="K73" s="166"/>
      <c r="L73" s="204" t="s">
        <v>615</v>
      </c>
      <c r="M73" s="205">
        <v>2</v>
      </c>
      <c r="N73" s="205">
        <v>2</v>
      </c>
      <c r="O73" s="205">
        <v>0</v>
      </c>
      <c r="P73" s="194">
        <v>4</v>
      </c>
      <c r="Q73" s="165"/>
      <c r="R73" s="157"/>
      <c r="S73" s="157"/>
      <c r="T73" s="157"/>
      <c r="U73" s="157"/>
      <c r="V73" s="157"/>
      <c r="W73" s="157"/>
      <c r="X73" s="157"/>
      <c r="Y73" s="157"/>
      <c r="Z73" s="157"/>
    </row>
    <row r="74" spans="2:26" ht="15.6">
      <c r="B74" s="675"/>
      <c r="C74" s="164"/>
      <c r="D74" s="157"/>
      <c r="E74" s="157"/>
      <c r="F74" s="157"/>
      <c r="G74" s="157"/>
      <c r="H74" s="157"/>
      <c r="I74" s="157"/>
      <c r="J74" s="157"/>
      <c r="K74" s="166"/>
      <c r="L74" s="681" t="s">
        <v>654</v>
      </c>
      <c r="M74" s="667" t="s">
        <v>655</v>
      </c>
      <c r="N74" s="667" t="s">
        <v>655</v>
      </c>
      <c r="O74" s="206">
        <v>8</v>
      </c>
      <c r="P74" s="207">
        <v>0</v>
      </c>
      <c r="Q74" s="165"/>
      <c r="R74" s="157"/>
      <c r="S74" s="157"/>
      <c r="T74" s="157"/>
      <c r="U74" s="157"/>
      <c r="V74" s="157"/>
      <c r="W74" s="157"/>
      <c r="X74" s="157"/>
      <c r="Y74" s="157"/>
      <c r="Z74" s="157"/>
    </row>
    <row r="75" spans="2:26" ht="15.6">
      <c r="B75" s="675"/>
      <c r="C75" s="164"/>
      <c r="D75" s="157"/>
      <c r="E75" s="157"/>
      <c r="F75" s="157"/>
      <c r="G75" s="157"/>
      <c r="H75" s="157"/>
      <c r="I75" s="157"/>
      <c r="J75" s="157"/>
      <c r="K75" s="166"/>
      <c r="L75" s="682"/>
      <c r="M75" s="668"/>
      <c r="N75" s="668"/>
      <c r="O75" s="206">
        <v>4</v>
      </c>
      <c r="P75" s="207">
        <v>4</v>
      </c>
      <c r="Q75" s="165"/>
      <c r="R75" s="157"/>
      <c r="S75" s="157"/>
      <c r="T75" s="157"/>
      <c r="U75" s="157"/>
      <c r="V75" s="157"/>
      <c r="W75" s="157"/>
      <c r="X75" s="157"/>
      <c r="Y75" s="157"/>
      <c r="Z75" s="157"/>
    </row>
    <row r="76" spans="2:26" ht="33.75" customHeight="1">
      <c r="B76" s="675"/>
      <c r="C76" s="164"/>
      <c r="D76" s="157"/>
      <c r="E76" s="157"/>
      <c r="F76" s="157"/>
      <c r="G76" s="157"/>
      <c r="H76" s="157"/>
      <c r="I76" s="157"/>
      <c r="J76" s="157"/>
      <c r="K76" s="166"/>
      <c r="L76" s="669" t="s">
        <v>656</v>
      </c>
      <c r="M76" s="670"/>
      <c r="N76" s="670"/>
      <c r="O76" s="670"/>
      <c r="P76" s="670"/>
      <c r="Q76" s="165"/>
      <c r="R76" s="157"/>
      <c r="S76" s="157"/>
      <c r="T76" s="157"/>
      <c r="U76" s="157"/>
      <c r="V76" s="157"/>
      <c r="W76" s="157"/>
      <c r="X76" s="157"/>
      <c r="Y76" s="157"/>
      <c r="Z76" s="157"/>
    </row>
    <row r="77" spans="2:26" ht="5.25" customHeight="1">
      <c r="B77" s="675"/>
      <c r="C77" s="208"/>
      <c r="D77" s="209"/>
      <c r="E77" s="209"/>
      <c r="F77" s="209"/>
      <c r="G77" s="209"/>
      <c r="H77" s="209"/>
      <c r="I77" s="209"/>
      <c r="J77" s="209"/>
      <c r="K77" s="210"/>
      <c r="L77" s="209"/>
      <c r="M77" s="209"/>
      <c r="N77" s="209"/>
      <c r="O77" s="209"/>
      <c r="P77" s="209"/>
      <c r="Q77" s="211"/>
      <c r="R77" s="157"/>
      <c r="S77" s="157"/>
      <c r="T77" s="157"/>
      <c r="U77" s="157"/>
      <c r="V77" s="157"/>
      <c r="W77" s="157"/>
      <c r="X77" s="157"/>
      <c r="Y77" s="157"/>
      <c r="Z77" s="157"/>
    </row>
    <row r="78" spans="2:26" ht="5.25" customHeight="1">
      <c r="B78" s="671" t="s">
        <v>657</v>
      </c>
      <c r="C78" s="212"/>
      <c r="D78" s="213"/>
      <c r="E78" s="213"/>
      <c r="F78" s="213"/>
      <c r="G78" s="213"/>
      <c r="H78" s="213"/>
      <c r="I78" s="213"/>
      <c r="J78" s="213"/>
      <c r="K78" s="214"/>
      <c r="L78" s="213"/>
      <c r="M78" s="213"/>
      <c r="N78" s="213"/>
      <c r="O78" s="213"/>
      <c r="P78" s="213"/>
      <c r="Q78" s="215"/>
      <c r="R78" s="157"/>
      <c r="S78" s="157"/>
      <c r="T78" s="157"/>
      <c r="U78" s="157"/>
      <c r="V78" s="157"/>
      <c r="W78" s="157"/>
      <c r="X78" s="157"/>
      <c r="Y78" s="157"/>
      <c r="Z78" s="157"/>
    </row>
    <row r="79" spans="2:26" ht="15.6">
      <c r="B79" s="672"/>
      <c r="C79" s="164"/>
      <c r="D79" s="157" t="s">
        <v>658</v>
      </c>
      <c r="E79" s="157"/>
      <c r="F79" s="157"/>
      <c r="G79" s="157"/>
      <c r="H79" s="157"/>
      <c r="I79" s="157"/>
      <c r="J79" s="157"/>
      <c r="K79" s="166"/>
      <c r="L79" s="157" t="s">
        <v>659</v>
      </c>
      <c r="M79" s="157"/>
      <c r="N79" s="157"/>
      <c r="O79" s="157"/>
      <c r="P79" s="157"/>
      <c r="Q79" s="165"/>
      <c r="R79" s="157"/>
      <c r="S79" s="157"/>
      <c r="T79" s="157"/>
      <c r="U79" s="157"/>
      <c r="V79" s="157"/>
      <c r="W79" s="157"/>
      <c r="X79" s="157"/>
      <c r="Y79" s="157"/>
      <c r="Z79" s="157"/>
    </row>
    <row r="80" spans="2:26" ht="15.6">
      <c r="B80" s="672"/>
      <c r="C80" s="164"/>
      <c r="D80" s="157"/>
      <c r="E80" s="157"/>
      <c r="F80" s="157"/>
      <c r="G80" s="157"/>
      <c r="H80" s="157"/>
      <c r="I80" s="157"/>
      <c r="J80" s="157"/>
      <c r="K80" s="166"/>
      <c r="L80" s="157" t="s">
        <v>660</v>
      </c>
      <c r="M80" s="157"/>
      <c r="N80" s="157"/>
      <c r="O80" s="157"/>
      <c r="P80" s="157"/>
      <c r="Q80" s="165"/>
      <c r="R80" s="157"/>
      <c r="S80" s="157"/>
      <c r="T80" s="157"/>
      <c r="U80" s="157"/>
      <c r="V80" s="157"/>
      <c r="W80" s="157"/>
      <c r="X80" s="157"/>
      <c r="Y80" s="157"/>
      <c r="Z80" s="157"/>
    </row>
    <row r="81" spans="2:26" ht="5.25" customHeight="1" thickBot="1">
      <c r="B81" s="673"/>
      <c r="C81" s="167"/>
      <c r="D81" s="168"/>
      <c r="E81" s="168"/>
      <c r="F81" s="168"/>
      <c r="G81" s="168"/>
      <c r="H81" s="168"/>
      <c r="I81" s="168"/>
      <c r="J81" s="168"/>
      <c r="K81" s="170"/>
      <c r="L81" s="168"/>
      <c r="M81" s="168"/>
      <c r="N81" s="168"/>
      <c r="O81" s="168"/>
      <c r="P81" s="168"/>
      <c r="Q81" s="169"/>
      <c r="R81" s="157"/>
      <c r="S81" s="157"/>
      <c r="T81" s="157"/>
      <c r="U81" s="157"/>
      <c r="V81" s="157"/>
      <c r="W81" s="157"/>
      <c r="X81" s="157"/>
      <c r="Y81" s="157"/>
      <c r="Z81" s="157"/>
    </row>
    <row r="82" spans="2:26" ht="4.5" customHeight="1"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 spans="2:26" ht="15.6" hidden="1"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 spans="2:26" ht="15.6" hidden="1"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 spans="2:26" ht="15.6" hidden="1"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 spans="2:26" ht="15.6" hidden="1"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 spans="2:26" ht="15.6" hidden="1"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 spans="2:26" ht="15.6" hidden="1"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 spans="2:26" ht="15.6" hidden="1"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 spans="2:26" ht="15.6" hidden="1"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 spans="2:26" ht="15.6" hidden="1"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 spans="2:26" ht="15.6" hidden="1"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 spans="2:26" ht="15.6" hidden="1"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 spans="2:26" ht="15.6" hidden="1"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 spans="2:26" ht="15.6" hidden="1"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 spans="2:26" ht="15.6" hidden="1"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 spans="2:26" ht="15.6" hidden="1"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 spans="2:26" ht="15.6" hidden="1"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 spans="2:26" ht="15.6" hidden="1"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 spans="2:26" ht="15.6" hidden="1"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 spans="2:26" ht="15.6" hidden="1"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 spans="2:26" ht="15.6" hidden="1"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 spans="2:26" ht="15.6" hidden="1"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 spans="2:26" ht="15.6" hidden="1"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 spans="2:26" ht="15.6" hidden="1"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 spans="2:26" ht="15.6" hidden="1"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 spans="2:26" ht="15.6" hidden="1"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 spans="2:26" ht="15.6" hidden="1"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 spans="2:26" ht="15.6" hidden="1"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 spans="2:26" ht="15.6" hidden="1"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 spans="2:26" ht="15.6" hidden="1"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 spans="2:26" ht="15.6" hidden="1"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 spans="2:26" ht="15.6" hidden="1"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 spans="2:26" ht="15.6" hidden="1"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 spans="2:26" ht="15.6" hidden="1"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 spans="2:26" ht="15.6" hidden="1"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 spans="2:26" ht="15.6" hidden="1"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 spans="2:26" ht="15.6" hidden="1"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 spans="2:26" ht="15.6" hidden="1"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 spans="2:26" ht="15.6" hidden="1"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 spans="2:26" ht="15.6" hidden="1"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 spans="2:26" ht="15.6" hidden="1"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 spans="2:26" ht="15.6" hidden="1"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 spans="2:26" ht="15.6" hidden="1"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 spans="2:26" ht="15.6" hidden="1"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 spans="2:26" ht="15.6" hidden="1"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 spans="2:26" ht="15.6" hidden="1"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 spans="2:26" ht="15.6" hidden="1"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 spans="2:26" ht="15.6" hidden="1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 spans="2:26" ht="15.6" hidden="1"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 spans="2:26" ht="15.6" hidden="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 spans="2:26" ht="15.6" hidden="1"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 spans="2:26" ht="15.6" hidden="1"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 spans="2:26" ht="15.6" hidden="1"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 spans="2:26" ht="15.6" hidden="1"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 spans="2:26" ht="15.6" hidden="1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 spans="2:26" ht="15.6" hidden="1"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 spans="2:26" ht="15.6" hidden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 spans="2:26" ht="15.6" hidden="1"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 spans="2:26" ht="15.6" hidden="1"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 spans="2:26" ht="15.6" hidden="1"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 spans="2:26" ht="15.6" hidden="1"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 spans="2:26" ht="15.6" hidden="1"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 spans="2:26" ht="15.6" hidden="1"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 spans="2:26" ht="15.6" hidden="1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 spans="2:26" ht="15.6" hidden="1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 spans="2:26" ht="15.6" hidden="1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 spans="2:26" ht="15.6" hidden="1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 spans="2:26" ht="15.6" hidden="1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 spans="2:26" ht="15.6" hidden="1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 spans="2:26" ht="15.6" hidden="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 spans="2:26" ht="15.6" hidden="1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 spans="2:26" ht="15.6" hidden="1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 spans="2:26" ht="15.6" hidden="1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 spans="2:26" ht="15.6" hidden="1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 spans="2:26" ht="15.6" hidden="1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 spans="2:26" ht="15.6" hidden="1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 spans="2:26" ht="15.6" hidden="1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 spans="2:26" ht="15.6" hidden="1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 spans="2:26" ht="15.6" hidden="1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 spans="2:26" ht="15.6" hidden="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 spans="2:26" ht="15.6" hidden="1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 spans="2:26" ht="15.6" hidden="1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 spans="2:26" ht="15.6" hidden="1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 spans="2:26" ht="15.6" hidden="1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 spans="2:26" ht="15.6" hidden="1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 spans="2:26" ht="15.6" hidden="1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 spans="2:26" ht="15.6" hidden="1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 spans="2:26" ht="15.6" hidden="1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 spans="2:26" ht="15.6" hidden="1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 spans="2:26" ht="15.6" hidden="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 spans="2:26" ht="15.6" hidden="1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 spans="2:26" ht="15.6" hidden="1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 spans="2:26" ht="15.6" hidden="1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 spans="2:26" ht="15.6" hidden="1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 spans="2:26" ht="15.6" hidden="1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 spans="2:26" ht="15.6" hidden="1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 spans="2:26" ht="15.6" hidden="1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 spans="2:26" ht="15.6" hidden="1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 spans="2:26" ht="15.6" hidden="1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 spans="2:26" ht="15.6" hidden="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 spans="2:26" ht="15.6" hidden="1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 spans="2:26" ht="15.6" hidden="1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 spans="2:26" ht="15.6" hidden="1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 spans="2:26" ht="15.6" hidden="1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 spans="2:26" ht="15.6" hidden="1"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 spans="2:26" ht="15.6" hidden="1"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 spans="2:26" ht="15.6" hidden="1"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 spans="2:26" ht="15.6" hidden="1"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 spans="2:26" ht="15.6" hidden="1"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 spans="2:26" ht="15.6" hidden="1"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 spans="2:26" ht="15.6" hidden="1"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 spans="2:26" ht="15.6" hidden="1"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 spans="2:26" ht="15.6" hidden="1"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 spans="2:26" ht="15.6" hidden="1"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 spans="2:26" ht="15.6" hidden="1"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 spans="2:26" ht="15.6" hidden="1"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 spans="2:26" ht="15.6" hidden="1"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 spans="2:26" ht="15.6" hidden="1"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 spans="2:26" ht="15.6" hidden="1"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 spans="2:26" ht="15.6" hidden="1"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 spans="2:26" ht="15.6" hidden="1"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 spans="2:26" ht="15.6" hidden="1"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 spans="2:26" ht="15.6" hidden="1"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 spans="2:26" ht="15.6" hidden="1"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 spans="2:26" ht="15.6" hidden="1"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 spans="2:26" ht="15.6" hidden="1"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 spans="2:26" ht="15.6" hidden="1"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 spans="2:26" ht="15.6" hidden="1"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 spans="2:26" ht="15.6" hidden="1"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 spans="2:26" ht="15.6" hidden="1"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 spans="2:26" ht="15.6" hidden="1"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 spans="2:26" ht="15.6" hidden="1"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 spans="2:26" ht="15.6" hidden="1"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 spans="2:26" ht="15.6" hidden="1"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 spans="2:26" ht="15.6" hidden="1"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 spans="2:26" ht="15.6" hidden="1"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 spans="2:26" ht="15.6" hidden="1"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 spans="2:26" ht="15.6" hidden="1"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 spans="2:26" ht="15.6" hidden="1"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 spans="2:26" ht="15.6" hidden="1"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 spans="2:26" ht="15.6" hidden="1"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 spans="2:26" ht="15.6" hidden="1"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 spans="2:26" ht="15.6" hidden="1"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 spans="2:26" ht="15.6" hidden="1"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 spans="2:26" ht="15.6" hidden="1"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 spans="2:26" ht="15.6" hidden="1"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 spans="2:26" ht="15.6" hidden="1"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 spans="2:26" ht="15.6" hidden="1"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 spans="2:26" ht="15.6" hidden="1"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 spans="2:26" ht="15.6" hidden="1"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 spans="2:26" ht="15.6" hidden="1"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 spans="2:26" ht="15.6" hidden="1"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 spans="2:26" ht="15.6" hidden="1"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 spans="2:26" ht="15.6" hidden="1"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 spans="2:26" ht="15.6" hidden="1"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 spans="2:26" ht="15.6" hidden="1"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 spans="2:26" ht="15.6" hidden="1"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 spans="2:26" ht="15.6" hidden="1"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 spans="2:26" ht="15.6" hidden="1"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 spans="2:26" ht="15.6" hidden="1"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 spans="2:26" ht="15.6" hidden="1"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 spans="2:26" ht="15.6" hidden="1"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 spans="2:26" ht="15.6" hidden="1"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 spans="2:26" ht="15.6" hidden="1"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 spans="2:26" ht="15.6" hidden="1"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 spans="2:26" ht="15.6" hidden="1"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 spans="2:26" ht="15.6" hidden="1"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 spans="2:26" ht="15.6" hidden="1"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 spans="2:26" ht="15.6" hidden="1"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 spans="2:26" ht="15.6" hidden="1"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 spans="2:26" ht="15.6" hidden="1"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 spans="2:26" ht="15.6" hidden="1"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 spans="2:26" ht="15.6" hidden="1"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 spans="2:26" ht="15.6" hidden="1"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 spans="2:26" ht="15.6" hidden="1"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 spans="2:26" ht="15.6" hidden="1"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 spans="2:26" ht="15.6" hidden="1"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 spans="2:26" ht="15.6" hidden="1"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 spans="2:26" ht="15.6" hidden="1"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 spans="2:26" ht="15.6" hidden="1"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 spans="2:26" ht="15.6" hidden="1"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 spans="2:26" ht="15.6" hidden="1"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 spans="2:26" ht="15.6" hidden="1"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 spans="2:26" ht="15.6" hidden="1"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 spans="2:26" ht="15.6" hidden="1"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 spans="2:26" ht="15.6" hidden="1"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 spans="2:26" ht="15.6" hidden="1"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 spans="2:26" ht="15.6" hidden="1"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 spans="2:26" ht="15.6" hidden="1"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 spans="2:26" ht="15.6" hidden="1"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 spans="2:26" ht="15.6" hidden="1"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 spans="2:26" ht="15.6" hidden="1"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 spans="2:26" ht="15.6" hidden="1"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 spans="2:26" ht="15.6" hidden="1"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 spans="2:26" ht="15.6" hidden="1"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 spans="2:26" ht="15.6" hidden="1"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 spans="2:26" ht="15.6" hidden="1"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 spans="2:26" ht="15.6" hidden="1"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 spans="2:26" ht="15.6" hidden="1"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 spans="2:26" ht="15.6" hidden="1"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 spans="2:26" ht="15.6" hidden="1"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 spans="2:26" ht="15.6" hidden="1"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 spans="2:26" ht="15.6" hidden="1"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 spans="2:26" ht="15.6" hidden="1"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 spans="2:26" ht="15.6" hidden="1"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 spans="2:26" ht="15.6" hidden="1"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 spans="2:26" ht="15.6" hidden="1"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 spans="2:26" ht="15.6" hidden="1"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 spans="2:26" ht="15.6" hidden="1"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 spans="2:26" ht="15.6" hidden="1"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 spans="2:26" ht="15.6" hidden="1"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 spans="2:26" ht="15.6" hidden="1"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 spans="2:26" ht="15.6" hidden="1"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 spans="2:26" ht="15.6" hidden="1"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 spans="2:26" ht="15.6" hidden="1"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 spans="2:26" ht="15.6" hidden="1"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 spans="2:26" ht="15.6" hidden="1"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 spans="2:26" ht="15.6" hidden="1"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 spans="2:26" ht="15.6" hidden="1"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 spans="2:26" ht="15.6" hidden="1"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 spans="2:26" ht="15.6" hidden="1"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 spans="2:26" ht="15.6" hidden="1"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 spans="2:26" ht="15.6" hidden="1"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 spans="2:26" ht="15.6" hidden="1"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 spans="2:26" ht="15.6" hidden="1"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 spans="2:26" ht="15.6" hidden="1"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 spans="2:26" ht="15.6" hidden="1"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 spans="2:26" ht="15.6" hidden="1"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 spans="2:26" ht="15.6" hidden="1"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 spans="2:26" ht="15.6" hidden="1"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 spans="2:26" ht="15.6" hidden="1"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 spans="2:26" ht="15.6" hidden="1"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 spans="2:26" ht="15.6" hidden="1"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 spans="2:26" ht="15.6" hidden="1"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 spans="2:26" ht="15.6" hidden="1"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 spans="2:26" ht="15.6" hidden="1"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 spans="2:26" ht="15.6" hidden="1"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 spans="2:26" ht="15.6" hidden="1"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 spans="2:26" ht="15.6" hidden="1"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 spans="2:26" ht="15.6" hidden="1"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 spans="2:26" ht="15.6" hidden="1"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 spans="2:26" ht="15.6" hidden="1"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 spans="2:26" ht="15.6" hidden="1"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 spans="2:26" ht="15.6" hidden="1"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 spans="2:26" ht="15.6" hidden="1"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 spans="2:26" ht="15.6" hidden="1"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 spans="2:26" ht="15.6" hidden="1"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 spans="2:26" ht="15.6" hidden="1"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 spans="2:26" ht="15.6" hidden="1"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 spans="2:26" ht="15.6" hidden="1"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 spans="2:26" ht="15.6" hidden="1"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 spans="2:26" ht="15.6" hidden="1"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 spans="2:26" ht="15.6" hidden="1"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 spans="2:26" ht="15.6" hidden="1"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 spans="2:26" ht="15.6" hidden="1"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 spans="2:26" ht="15.6" hidden="1"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 spans="2:26" ht="15.6" hidden="1"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 spans="2:26" ht="15.6" hidden="1"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 spans="2:26" ht="15.6" hidden="1"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 spans="2:26" ht="15.6" hidden="1"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 spans="2:26" ht="15.6" hidden="1"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 spans="2:26" ht="15.6" hidden="1"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 spans="2:26" ht="15.6" hidden="1"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 spans="2:26" ht="15.6" hidden="1"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 spans="2:26" ht="15.6" hidden="1"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 spans="2:26" ht="15.6" hidden="1"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 spans="2:26" ht="15.6" hidden="1"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 spans="2:26" ht="15.6" hidden="1"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 spans="2:26" ht="15.6" hidden="1"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 spans="2:26" ht="15.6" hidden="1"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 spans="2:26" ht="15.6" hidden="1"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 spans="2:26" ht="15.6" hidden="1"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 spans="2:26" ht="15.6" hidden="1"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 spans="2:26" ht="15.6" hidden="1"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 spans="2:26" ht="15.6" hidden="1"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 spans="2:26" ht="15.6" hidden="1"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 spans="2:26" ht="15.6" hidden="1"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 spans="2:26" ht="15.6" hidden="1"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 spans="2:26" ht="15.6" hidden="1"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 spans="2:26" ht="15.6" hidden="1"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 spans="2:26" ht="15.6" hidden="1"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 spans="2:26" ht="15.6" hidden="1"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 spans="2:26" ht="15.6" hidden="1"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 spans="2:26" ht="15.6" hidden="1"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 spans="2:26" ht="15.6" hidden="1"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 spans="2:26" ht="15.6" hidden="1"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 spans="2:26" ht="15.6" hidden="1"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 spans="2:26" ht="15.6" hidden="1"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 spans="2:26" ht="15.6" hidden="1"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 spans="2:26" ht="15.6" hidden="1"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 spans="2:26" ht="15.6" hidden="1"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 spans="2:26" ht="15.6" hidden="1"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 spans="2:26" ht="15.6" hidden="1"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 spans="2:26" ht="15.6" hidden="1"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 spans="2:26" ht="15.6" hidden="1"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 spans="2:26" ht="15.6" hidden="1"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 spans="2:26" ht="15.6" hidden="1"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 spans="2:26" ht="15.6" hidden="1"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 spans="2:26" ht="15.6" hidden="1"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 spans="2:26" ht="15.6" hidden="1"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 spans="2:26" ht="15.6" hidden="1"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 spans="2:26" ht="15.6" hidden="1"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 spans="2:26" ht="15.6" hidden="1"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 spans="2:26" ht="15.6" hidden="1"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 spans="2:26" ht="15.6" hidden="1"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 spans="2:26" ht="15.6" hidden="1"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 spans="2:26" ht="15.6" hidden="1"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 spans="2:26" ht="15.6" hidden="1"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 spans="2:26" ht="15.6" hidden="1"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 spans="2:26" ht="15.6" hidden="1"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 spans="2:26" ht="15.6" hidden="1"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 spans="2:26" ht="15.6" hidden="1"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 spans="2:26" ht="15.6" hidden="1"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 spans="2:26" ht="15.6" hidden="1"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 spans="2:26" ht="15.6" hidden="1"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 spans="2:26" ht="15.6" hidden="1"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 spans="2:26" ht="15.6" hidden="1"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 spans="2:26" ht="15.6" hidden="1"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 spans="2:26" ht="15.6" hidden="1"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 spans="2:26" ht="15.6" hidden="1"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 spans="2:26" ht="15.6" hidden="1"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 spans="2:26" ht="15.6" hidden="1"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 spans="2:26" ht="15.6" hidden="1"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 spans="2:26" ht="15.6" hidden="1"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 spans="2:26" ht="15.6" hidden="1"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 spans="2:26" ht="15.6" hidden="1"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 spans="2:26" ht="15.6" hidden="1"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 spans="2:26" ht="15.6" hidden="1"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 spans="2:26" ht="15.6" hidden="1"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 spans="2:26" ht="15.6" hidden="1"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 spans="2:26" ht="15.6" hidden="1"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 spans="2:26" ht="15.6" hidden="1"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 spans="2:26" ht="15.6" hidden="1"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 spans="2:26" ht="15.6" hidden="1"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 spans="2:26" ht="15.6" hidden="1"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 spans="2:26" ht="15.6" hidden="1"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 spans="2:26" ht="15.6" hidden="1"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 spans="2:26" ht="15.6" hidden="1"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 spans="2:26" ht="15.6" hidden="1"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 spans="2:26" ht="15.6" hidden="1"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 spans="2:26" ht="15.6" hidden="1"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 spans="2:26" ht="15.6" hidden="1"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 spans="2:26" ht="15.6" hidden="1"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 spans="2:26" ht="15.6" hidden="1"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 spans="2:26" ht="15.6" hidden="1"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 spans="2:26" ht="15.6" hidden="1"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 spans="2:26" ht="15.6" hidden="1"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 spans="2:26" ht="15.6" hidden="1"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 spans="2:26" ht="15.6" hidden="1"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 spans="2:26" ht="15.6" hidden="1"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 spans="2:26" ht="15.6" hidden="1"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 spans="2:26" ht="15.6" hidden="1"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 spans="2:26" ht="15.6" hidden="1"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 spans="2:26" ht="15.6" hidden="1"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 spans="2:26" ht="15.6" hidden="1"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 spans="2:26" ht="15.6" hidden="1"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 spans="2:26" ht="15.6" hidden="1"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 spans="2:26" ht="15.6" hidden="1"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 spans="2:26" ht="15.6" hidden="1"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 spans="2:26" ht="15.6" hidden="1"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 spans="2:26" ht="15.6" hidden="1"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 spans="2:26" ht="15.6" hidden="1"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 spans="2:26" ht="15.6" hidden="1"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 spans="2:26" ht="15.6" hidden="1"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 spans="2:26" ht="15.6" hidden="1"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 spans="2:26" ht="15.6" hidden="1"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 spans="2:26" ht="15.6" hidden="1"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 spans="2:26" ht="15.6" hidden="1"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 spans="2:26" ht="15.6" hidden="1"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 spans="2:26" ht="15.6" hidden="1"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 spans="2:26" ht="15.6" hidden="1"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 spans="2:26" ht="15.6" hidden="1"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 spans="2:26" ht="15.6" hidden="1"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 spans="2:26" ht="15.6" hidden="1"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 spans="2:26" ht="15.6" hidden="1"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 spans="2:26" ht="15.6" hidden="1"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 spans="2:26" ht="15.6" hidden="1"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 spans="2:26" ht="15.6" hidden="1"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 spans="2:26" ht="15.6" hidden="1"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 spans="2:26" ht="15.6" hidden="1"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 spans="2:26" ht="15.6" hidden="1"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 spans="2:26" ht="15.6" hidden="1"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 spans="2:26" ht="15.6" hidden="1"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 spans="2:26" ht="15.6" hidden="1"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 spans="2:26" ht="15.6" hidden="1"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 spans="2:26" ht="15.6" hidden="1"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 spans="2:26" ht="15.6" hidden="1"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 spans="2:26" ht="15.6" hidden="1"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 spans="2:26" ht="15.6" hidden="1"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 spans="2:26" ht="15.6" hidden="1"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 spans="2:26" ht="15.6" hidden="1"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 spans="2:26" ht="15.6" hidden="1"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 spans="2:26" ht="15.6" hidden="1"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 spans="2:26" ht="15.6" hidden="1"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 spans="2:26" ht="15.6" hidden="1"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 spans="2:26" ht="15.6" hidden="1"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 spans="2:26" ht="15.6" hidden="1"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 spans="2:26" ht="15.6" hidden="1"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 spans="2:26" ht="15.6" hidden="1"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 spans="2:26" ht="15.6" hidden="1"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 spans="2:26" ht="15.6" hidden="1"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 spans="2:26" ht="15.6" hidden="1"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 spans="2:26" ht="15.6" hidden="1"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 spans="2:26" ht="15.6" hidden="1"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 spans="2:26" ht="15.6" hidden="1"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 spans="2:26" ht="15.6" hidden="1"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 spans="2:26" ht="15.6" hidden="1"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 spans="2:26" ht="15.6" hidden="1"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 spans="2:26" ht="15.6" hidden="1"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 spans="2:26" ht="15.6" hidden="1"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 spans="2:26" ht="15.6" hidden="1"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 spans="2:26" ht="15.6" hidden="1"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 spans="2:26" ht="15.6" hidden="1"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 spans="2:26" ht="15.6" hidden="1"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 spans="2:26" ht="15.6" hidden="1"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 spans="2:26" ht="15.6" hidden="1"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 spans="2:26" ht="15.6" hidden="1"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 spans="2:26" ht="15.6" hidden="1"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 spans="2:26" ht="15.6" hidden="1"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 spans="2:26" ht="15.6" hidden="1"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 spans="2:26" ht="15.6" hidden="1"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 spans="2:26" ht="15.6" hidden="1"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 spans="2:26" ht="15.6" hidden="1"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 spans="2:26" ht="15.6" hidden="1"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 spans="2:26" ht="15.6" hidden="1"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 spans="2:26" ht="15.6" hidden="1"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 spans="2:26" ht="15.6" hidden="1"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 spans="2:26" ht="15.6" hidden="1"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 spans="2:26" ht="15.6" hidden="1"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 spans="2:26" ht="15.6" hidden="1"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 spans="2:26" ht="15.6" hidden="1"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 spans="2:26" ht="15.6" hidden="1"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 spans="2:26" ht="15.6" hidden="1"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 spans="2:26" ht="15.6" hidden="1"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 spans="2:26" ht="15.6" hidden="1"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 spans="2:26" ht="15.6" hidden="1"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 spans="2:26" ht="15.6" hidden="1"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 spans="2:26" ht="15.6" hidden="1"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 spans="2:26" ht="15.6" hidden="1"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 spans="2:26" ht="15.6" hidden="1"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 spans="2:26" ht="15.6" hidden="1"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 spans="2:26" ht="15.6" hidden="1"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 spans="2:26" ht="15.6" hidden="1"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 spans="2:26" ht="15.6" hidden="1"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 spans="2:26" ht="15.6" hidden="1"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 spans="2:26" ht="15.6" hidden="1"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 spans="2:26" ht="15.6" hidden="1"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 spans="2:26" ht="15.6" hidden="1"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 spans="2:26" ht="15.6" hidden="1"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 spans="2:26" ht="15.6" hidden="1"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 spans="2:26" ht="15.6" hidden="1"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 spans="2:26" ht="15.6" hidden="1"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 spans="2:26" ht="15.6" hidden="1"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 spans="2:26" ht="15.6" hidden="1"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 spans="2:26" ht="15.6" hidden="1"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 spans="2:26" ht="15.6" hidden="1"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 spans="2:26" ht="15.6" hidden="1"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 spans="2:26" ht="15.6" hidden="1"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 spans="2:26" ht="15.6" hidden="1"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 spans="2:26" ht="15.6" hidden="1"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 spans="2:26" ht="15.6" hidden="1"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 spans="2:26" ht="15.6" hidden="1"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 spans="2:26" ht="15.6" hidden="1"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 spans="2:26" ht="15.6" hidden="1"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 spans="2:26" ht="15.6" hidden="1"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 spans="2:26" ht="15.6" hidden="1"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 spans="2:26" ht="15.6" hidden="1"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 spans="2:26" ht="15.6" hidden="1"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 spans="2:26" ht="15.6" hidden="1"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 spans="2:26" ht="15.6" hidden="1"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 spans="2:26" ht="15.6" hidden="1"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 spans="2:26" ht="15.6" hidden="1"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 spans="2:26" ht="15.6" hidden="1"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 spans="2:26" ht="15.6" hidden="1"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 spans="2:26" ht="15.6" hidden="1"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 spans="2:26" ht="15.6" hidden="1"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 spans="2:26" ht="15.6" hidden="1"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 spans="2:26" ht="15.6" hidden="1"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 spans="2:26" ht="15.6" hidden="1"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 spans="2:26" ht="15.6" hidden="1"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 spans="2:26" ht="15.6" hidden="1"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 spans="2:26" ht="15.6" hidden="1"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 spans="2:26" ht="15.6" hidden="1"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 spans="2:26" ht="15.6" hidden="1"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 spans="2:26" ht="15.6" hidden="1"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 spans="2:26" ht="15.6" hidden="1"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 spans="2:26" ht="15.6" hidden="1"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 spans="2:26" ht="15.6" hidden="1"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 spans="2:26" ht="15.6" hidden="1"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 spans="2:26" ht="15.6" hidden="1"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 spans="2:26" ht="15.6" hidden="1"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 spans="2:26" ht="15.6" hidden="1"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 spans="2:26" ht="15.6" hidden="1"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 spans="2:26" ht="15.6" hidden="1"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 spans="2:26" ht="15.6" hidden="1"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 spans="2:26" ht="15.6" hidden="1"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 spans="2:26" ht="15.6" hidden="1"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 spans="2:26" ht="15.6" hidden="1"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 spans="2:26" ht="15.6" hidden="1"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 spans="2:26" ht="15.6" hidden="1"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 spans="2:26" ht="15.6" hidden="1"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 spans="2:26" ht="15.6" hidden="1"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 spans="2:26" ht="15.6" hidden="1"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 spans="2:26" ht="15.6" hidden="1"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 spans="2:26" ht="15.6" hidden="1"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 spans="2:26" ht="15.6" hidden="1"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 spans="2:26" ht="15.6" hidden="1"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 spans="2:26" ht="15.6" hidden="1"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 spans="2:26" ht="15.6" hidden="1"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 spans="2:26" ht="15.6" hidden="1"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 spans="2:26" ht="15.6" hidden="1"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 spans="2:26" ht="15.6" hidden="1"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 spans="2:26" ht="15.6" hidden="1"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 spans="2:26" ht="15.6" hidden="1"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 spans="2:26" ht="15.6" hidden="1"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 spans="2:26" ht="15.6" hidden="1"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 spans="2:26" ht="15.6" hidden="1"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 spans="2:26" ht="15.6" hidden="1"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 spans="2:26" ht="15.6" hidden="1"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 spans="2:26" ht="15.6" hidden="1"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 spans="2:26" ht="15.6" hidden="1"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 spans="2:26" ht="15.6" hidden="1"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 spans="2:26" ht="15.6" hidden="1"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 spans="2:26" ht="15.6" hidden="1"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 spans="2:26" ht="15.6" hidden="1"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 spans="2:26" ht="15.6" hidden="1"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 spans="2:26" ht="15.6" hidden="1"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 spans="2:26" ht="15.6" hidden="1"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 spans="2:26" ht="15.6" hidden="1"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 spans="2:26" ht="15.6" hidden="1"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 spans="2:26" ht="15.6" hidden="1"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 spans="2:26" ht="15.6" hidden="1"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 spans="2:26" ht="15.6" hidden="1"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 spans="2:26" ht="15.6" hidden="1"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 spans="2:26" ht="15.6" hidden="1"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 spans="2:26" ht="15.6" hidden="1"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 spans="2:26" ht="15.6" hidden="1"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 spans="2:26" ht="15.6" hidden="1"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 spans="2:26" ht="15.6" hidden="1"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 spans="2:26" ht="15.6" hidden="1"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 spans="2:26" ht="15.6" hidden="1"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 spans="2:26" ht="15.6" hidden="1"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 spans="2:26" ht="15.6" hidden="1"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 spans="2:26" ht="15.6" hidden="1"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 spans="2:26" ht="15.6" hidden="1"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 spans="2:26" ht="15.6" hidden="1"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 spans="2:26" ht="15.6" hidden="1"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 spans="2:26" ht="15.6" hidden="1"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 spans="2:26" ht="15.6" hidden="1"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 spans="2:26" ht="15.6" hidden="1"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 spans="2:26" ht="15.6" hidden="1"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 spans="2:26" ht="15.6" hidden="1"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 spans="2:26" ht="15.6" hidden="1"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 spans="2:26" ht="15.6" hidden="1"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 spans="2:26" ht="15.6" hidden="1"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 spans="2:26" ht="15.6" hidden="1"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 spans="2:26" ht="15.6" hidden="1"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 spans="2:26" ht="15.6" hidden="1"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 spans="2:26" ht="15.6" hidden="1"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 spans="2:26" ht="15.6" hidden="1"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 spans="2:26" ht="15.6" hidden="1"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 spans="2:26" ht="15.6" hidden="1"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 spans="2:26" ht="15.6" hidden="1"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 spans="2:26" ht="15.6" hidden="1"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 spans="2:26" ht="15.6" hidden="1"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 spans="2:26" ht="15.6" hidden="1"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 spans="2:26" ht="15.6" hidden="1"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 spans="2:26" ht="15.6" hidden="1"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 spans="2:26" ht="15.6" hidden="1"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 spans="2:26" ht="15.6" hidden="1"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 spans="2:26" ht="15.6" hidden="1"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 spans="2:26" ht="15.6" hidden="1"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 spans="2:26" ht="15.6" hidden="1"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 spans="2:26" ht="15.6" hidden="1"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 spans="2:26" ht="15.6" hidden="1"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 spans="2:26" ht="15.6" hidden="1"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 spans="2:26" ht="15.6" hidden="1"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 spans="2:26" ht="15.6" hidden="1"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 spans="2:26" ht="15.6" hidden="1"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 spans="2:26" ht="15.6" hidden="1"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 spans="2:26" ht="15.6" hidden="1"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 spans="2:26" ht="15.6" hidden="1"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 spans="2:26" ht="15.6" hidden="1"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 spans="2:26" ht="15.6" hidden="1"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 spans="2:26" ht="15.6" hidden="1"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 spans="2:26" ht="15.6" hidden="1"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 spans="2:26" ht="15.6" hidden="1"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 spans="2:26" ht="15.6" hidden="1"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 spans="2:26" ht="15.6" hidden="1"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 spans="2:26" ht="15.6" hidden="1"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 spans="2:26" ht="15.6" hidden="1"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 spans="2:26" ht="15.6" hidden="1"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 spans="2:26" ht="15.6" hidden="1"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 spans="2:26" ht="15.6" hidden="1"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 spans="2:26" ht="15.6" hidden="1"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 spans="2:26" ht="15.6" hidden="1"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 spans="2:26" ht="15.6" hidden="1"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 spans="2:26" ht="15.6" hidden="1"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 spans="2:26" ht="15.6" hidden="1"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 spans="2:26" ht="15.6" hidden="1"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 spans="2:26" ht="15.6" hidden="1"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 spans="2:26" ht="15.6" hidden="1"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 spans="2:26" ht="15.6" hidden="1"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 spans="2:26" ht="15.6" hidden="1"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 spans="2:26" ht="15.6" hidden="1"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 spans="2:26" ht="15.6" hidden="1"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 spans="2:26" ht="15.6" hidden="1"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 spans="2:26" ht="15.6" hidden="1"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 spans="2:26" ht="15.6" hidden="1"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 spans="2:26" ht="15.6" hidden="1"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 spans="2:26" ht="15.6" hidden="1"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 spans="2:26" ht="15.6" hidden="1"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 spans="2:26" ht="15.6" hidden="1"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 spans="2:26" ht="15.6" hidden="1"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 spans="2:26" ht="15.6" hidden="1"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 spans="2:26" ht="15.6" hidden="1"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 spans="2:26" ht="15.6" hidden="1"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 spans="2:26" ht="15.6" hidden="1"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 spans="2:26" ht="15.6" hidden="1"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 spans="2:26" ht="15.6" hidden="1"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 spans="2:26" ht="15.6" hidden="1"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 spans="2:26" ht="15.6" hidden="1"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 spans="2:26" ht="15.6" hidden="1"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 spans="2:26" ht="15.6" hidden="1"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 spans="2:26" ht="15.6" hidden="1"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 spans="2:26" ht="15.6" hidden="1"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 spans="2:26" ht="15.6" hidden="1"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 spans="2:26" ht="15.6" hidden="1"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 spans="2:26" ht="15.6" hidden="1"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 spans="2:26" ht="15.6" hidden="1"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 spans="2:26" ht="15.6" hidden="1"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 spans="2:26" ht="15.6" hidden="1"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 spans="2:26" ht="15.6" hidden="1"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 spans="2:26" ht="15.6" hidden="1"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 spans="2:26" ht="15.6" hidden="1"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 spans="2:26" ht="15.6" hidden="1"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 spans="2:26" ht="15.6" hidden="1"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 spans="2:26" ht="15.6" hidden="1"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 spans="2:26" ht="15.6" hidden="1"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 spans="2:26" ht="15.6" hidden="1"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 spans="2:26" ht="15.6" hidden="1"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 spans="2:26" ht="15.6" hidden="1"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 spans="2:26" ht="15.6" hidden="1"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 spans="2:26" ht="15.6" hidden="1"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 spans="2:26" ht="15.6" hidden="1"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 spans="2:26" ht="15.6" hidden="1"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 spans="2:26" ht="15.6" hidden="1"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 spans="2:26" ht="15.6" hidden="1"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 spans="2:26" ht="15.6" hidden="1"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 spans="2:26" ht="15.6" hidden="1"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 spans="2:26" ht="15.6" hidden="1"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 spans="2:26" ht="15.6" hidden="1"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 spans="2:26" ht="15.6" hidden="1"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 spans="2:26" ht="15.6" hidden="1"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 spans="2:26" ht="15.6" hidden="1"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 spans="2:26" ht="15.6" hidden="1"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 spans="2:26" ht="15.6" hidden="1"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 spans="2:26" ht="15.6" hidden="1"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 spans="2:26" ht="15.6" hidden="1"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 spans="2:26" ht="15.6" hidden="1"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 spans="2:26" ht="15.6" hidden="1"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 spans="2:26" ht="15.6" hidden="1"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 spans="2:26" ht="15.6" hidden="1"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 spans="2:26" ht="15.6" hidden="1"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 spans="2:26" ht="15.6" hidden="1"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 spans="2:26" ht="15.6" hidden="1"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 spans="2:26" ht="15.6" hidden="1"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 spans="2:26" ht="15.6" hidden="1"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 spans="2:26" ht="15.6" hidden="1"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 spans="2:26" ht="15.6" hidden="1"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 spans="2:26" ht="15.6" hidden="1"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 spans="2:26" ht="15.6" hidden="1"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 spans="2:26" ht="15.6" hidden="1"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 spans="2:26" ht="15.6" hidden="1"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 spans="2:26" ht="15.6" hidden="1"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 spans="2:26" ht="15.6" hidden="1"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 spans="2:26" ht="15.6" hidden="1"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 spans="2:26" ht="15.6" hidden="1"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 spans="2:26" ht="15.6" hidden="1"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 spans="2:26" ht="15.6" hidden="1"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 spans="2:26" ht="15.6" hidden="1"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 spans="2:26" ht="15.6" hidden="1"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 spans="2:26" ht="15.6" hidden="1"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 spans="2:26" ht="15.6" hidden="1"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 spans="2:26" ht="15.6" hidden="1"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 spans="2:26" ht="15.6" hidden="1"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 spans="2:26" ht="15.6" hidden="1"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 spans="2:26" ht="15.6" hidden="1"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 spans="2:26" ht="15.6" hidden="1"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 spans="2:26" ht="15.6" hidden="1"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 spans="2:26" ht="15.6" hidden="1"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 spans="2:26" ht="15.6" hidden="1"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 spans="2:26" ht="15.6" hidden="1"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 spans="2:26" ht="15.6" hidden="1"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 spans="2:26" ht="15.6" hidden="1"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 spans="2:26" ht="15.6" hidden="1"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 spans="2:26" ht="15.6" hidden="1"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 spans="2:26" ht="15.6" hidden="1"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 spans="2:26" ht="15.6" hidden="1"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 spans="2:26" ht="15.6" hidden="1"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 spans="2:26" ht="15.6" hidden="1"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 spans="2:26" ht="15.6" hidden="1"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 spans="2:26" ht="15.6" hidden="1"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 spans="2:26" ht="15.6" hidden="1"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 spans="2:26" ht="15.6" hidden="1"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 spans="2:26" ht="15.6" hidden="1"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 spans="2:26" ht="15.6" hidden="1"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 spans="2:26" ht="15.6" hidden="1"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 spans="2:26" ht="15.6" hidden="1"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 spans="2:26" ht="15.6" hidden="1"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 spans="2:26" ht="15.6" hidden="1"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 spans="2:26" ht="15.6" hidden="1"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 spans="2:26" ht="15.6" hidden="1"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 spans="2:26" ht="15.6" hidden="1"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 spans="2:26" ht="15.6" hidden="1"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 spans="2:26" ht="15.6" hidden="1"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 spans="2:26" ht="15.6" hidden="1"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 spans="2:26" ht="15.6" hidden="1"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 spans="2:26" ht="15.6" hidden="1"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 spans="2:26" ht="15.6" hidden="1"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 spans="2:26" ht="15.6" hidden="1"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 spans="2:26" ht="15.6" hidden="1"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 spans="2:26" ht="15.6" hidden="1"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 spans="2:26" ht="15.6" hidden="1"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 spans="2:26" ht="15.6" hidden="1"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 spans="2:26" ht="15.6" hidden="1"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 spans="2:26" ht="15.6" hidden="1"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 spans="2:26" ht="15.6" hidden="1"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 spans="2:26" ht="15.6" hidden="1"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 spans="2:26" ht="15.6" hidden="1"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 spans="2:26" ht="15.6" hidden="1"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 spans="2:26" ht="15.6" hidden="1"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 spans="2:26" ht="15.6" hidden="1"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 spans="2:26" ht="15.6" hidden="1"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 spans="2:26" ht="15.6" hidden="1"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 spans="2:26" ht="15.6" hidden="1"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 spans="2:26" ht="15.6" hidden="1"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 spans="2:26" ht="15.6" hidden="1"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 spans="2:26" ht="15.6" hidden="1"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 spans="2:26" ht="15.6" hidden="1"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 spans="2:26" ht="15.6" hidden="1"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 spans="2:26" ht="15.6" hidden="1"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 spans="2:26" ht="15.6" hidden="1"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 spans="2:26" ht="15.6" hidden="1"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 spans="2:26" ht="15.6" hidden="1"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 spans="2:26" ht="15.6" hidden="1"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 spans="2:26" ht="15.6" hidden="1"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 spans="2:26" ht="15.6" hidden="1"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 spans="2:26" ht="15.6" hidden="1"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 spans="2:26" ht="15.6" hidden="1"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 spans="2:26" ht="15.6" hidden="1"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 spans="2:26" ht="15.6" hidden="1"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 spans="2:26" ht="15.6" hidden="1"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 spans="2:26" ht="15.6" hidden="1"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 spans="2:26" ht="15.6" hidden="1"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 spans="2:26" ht="15.6" hidden="1"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 spans="2:26" ht="15.6" hidden="1"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 spans="2:26" ht="15.6" hidden="1"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 spans="2:26" ht="15.6" hidden="1"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 spans="2:26" ht="15.6" hidden="1"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 spans="2:26" ht="15.6" hidden="1"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 spans="2:26" ht="15.6" hidden="1"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 spans="2:26" ht="15.6" hidden="1"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 spans="2:26" ht="15.6" hidden="1"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 spans="2:26" ht="15.6" hidden="1"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 spans="2:26" ht="15.6" hidden="1"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 spans="2:26" ht="15.6" hidden="1"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 spans="2:26" ht="15.6" hidden="1"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 spans="2:26" ht="15.6" hidden="1"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 spans="2:26" ht="15.6" hidden="1"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 spans="2:26" ht="15.6" hidden="1"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 spans="2:26" ht="15.6" hidden="1"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 spans="2:26" ht="15.6" hidden="1"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 spans="2:26" ht="15.6" hidden="1"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 spans="2:26" ht="15.6" hidden="1"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 spans="2:26" ht="15.6" hidden="1"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 spans="2:26" ht="15.6" hidden="1"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 spans="2:26" ht="15.6" hidden="1"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 spans="2:26" ht="15.6" hidden="1"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 spans="2:26" ht="15.6" hidden="1"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 spans="2:26" ht="15.6" hidden="1"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 spans="2:26" ht="15.6" hidden="1"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 spans="2:26" ht="15.6" hidden="1"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 spans="2:26" ht="15.6" hidden="1"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 spans="2:26" ht="15.6" hidden="1"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 spans="2:26" ht="15.6" hidden="1"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 spans="2:26" ht="15.6" hidden="1"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 spans="2:26" ht="15.6" hidden="1"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 spans="2:26" ht="15.6" hidden="1"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 spans="2:26" ht="15.6" hidden="1"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 spans="2:26" ht="15.6" hidden="1"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 spans="2:26" ht="15.6" hidden="1"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 spans="2:26" ht="15.6" hidden="1"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 spans="2:26" ht="15.6" hidden="1"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 spans="2:26" ht="15.6" hidden="1"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 spans="2:26" ht="15.6" hidden="1"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 spans="2:26" ht="15.6" hidden="1"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 spans="2:26" ht="15.6" hidden="1"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 spans="2:26" ht="15.6" hidden="1"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 spans="2:26" ht="15.6" hidden="1"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 spans="2:26" ht="15.6" hidden="1"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 spans="2:26" ht="15.6" hidden="1"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 spans="2:26" ht="15.6" hidden="1"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 spans="2:26" ht="15.6" hidden="1"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 spans="2:26" ht="15.6" hidden="1"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 spans="2:26" ht="15.6" hidden="1"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 spans="2:26" ht="15.6" hidden="1"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 spans="2:26" ht="15.6" hidden="1"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 spans="2:26" ht="15.6" hidden="1"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 spans="2:26" ht="15.6" hidden="1"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 spans="2:26" ht="15.6" hidden="1"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 spans="2:26" ht="15.6" hidden="1"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 spans="2:26" ht="15.6" hidden="1"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 spans="2:26" ht="15.6" hidden="1"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 spans="2:26" ht="15.6" hidden="1"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 spans="2:26" ht="15.6" hidden="1"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 spans="2:26" ht="15.6" hidden="1"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 spans="2:26" ht="15.6" hidden="1"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 spans="2:26" ht="15.6" hidden="1"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 spans="2:26" ht="15.6" hidden="1"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 spans="2:26" ht="15.6" hidden="1"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 spans="2:26" ht="15.6" hidden="1"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 spans="2:26" ht="15.6" hidden="1"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 spans="2:26" ht="15.6" hidden="1"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 spans="2:26" ht="15.6" hidden="1"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 spans="2:26" ht="15.6" hidden="1"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 spans="2:26" ht="15.6" hidden="1"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 spans="2:26" ht="15.6" hidden="1"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 spans="2:26" ht="15.6" hidden="1"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 spans="2:26" ht="15.6" hidden="1"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 spans="2:26" ht="15.6" hidden="1"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 spans="2:26" ht="15.6" hidden="1"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 spans="2:26" ht="15.6" hidden="1"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 spans="2:26" ht="15.6" hidden="1"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 spans="2:26" ht="15.6" hidden="1"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 spans="2:26" ht="15.6" hidden="1"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 spans="2:26" ht="15.6" hidden="1"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 spans="2:26" ht="15.6" hidden="1"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 spans="2:26" ht="15.6" hidden="1"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 spans="2:26" ht="15.6" hidden="1"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 spans="2:26" ht="15.6" hidden="1"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 spans="2:26" ht="15.6" hidden="1"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 spans="2:26" ht="15.6" hidden="1"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 spans="2:26" ht="15.6" hidden="1"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 spans="2:26" ht="15.6" hidden="1"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 spans="2:26" ht="15.6" hidden="1"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 spans="2:26" ht="15.6" hidden="1"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 spans="2:26" ht="15.6" hidden="1"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 spans="2:26" ht="15.6" hidden="1"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 spans="2:26" ht="15.6" hidden="1"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 spans="2:26" ht="15.6" hidden="1"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 spans="2:26" ht="15.6" hidden="1"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 spans="2:26" ht="15.6" hidden="1"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 spans="2:26" ht="15.6" hidden="1"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 spans="2:26" ht="15.6" hidden="1"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 spans="2:26" ht="15.6" hidden="1"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 spans="2:26" ht="15.6" hidden="1"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 spans="2:26" ht="15.6" hidden="1"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 spans="2:26" ht="15.6" hidden="1"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 spans="2:26" ht="15.6" hidden="1"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 spans="2:26" ht="15.6" hidden="1"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 spans="2:26" ht="15.6" hidden="1"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 spans="2:26" ht="15.6" hidden="1"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 spans="2:26" ht="15.6" hidden="1"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 spans="2:26" ht="15.6" hidden="1"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 spans="2:26" ht="15.6" hidden="1"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 spans="2:26" ht="15.6" hidden="1"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 spans="2:26" ht="15.6" hidden="1"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 spans="2:26" ht="15.6" hidden="1"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 spans="2:26" ht="15.6" hidden="1"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 spans="2:26" ht="15.6" hidden="1"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 spans="2:26" ht="15.6" hidden="1"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 spans="2:26" ht="15.6" hidden="1"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 spans="2:26" ht="15.6" hidden="1"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 spans="2:26" ht="15.6" hidden="1"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 spans="2:26" ht="15.6" hidden="1"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 spans="2:26" ht="15.6" hidden="1"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 spans="2:26" ht="15.6" hidden="1"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 spans="2:26" ht="15.6" hidden="1"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 spans="2:26" ht="15.6" hidden="1"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 spans="2:26" ht="15.6" hidden="1"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 spans="2:26" ht="15.6" hidden="1"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 spans="2:26" ht="15.6" hidden="1"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 spans="2:26" ht="15.6" hidden="1"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 spans="2:26" ht="15.6" hidden="1"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 spans="2:26" ht="15.6" hidden="1"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 spans="2:26" ht="15.6" hidden="1"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 spans="2:26" ht="15.6" hidden="1"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 spans="2:26" ht="15.6" hidden="1"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 spans="2:26" ht="15.6" hidden="1"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 spans="2:26" ht="15.6" hidden="1"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 spans="2:26" ht="15.6" hidden="1"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 spans="2:26" ht="15.6" hidden="1"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 spans="2:26" ht="15.6" hidden="1"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 spans="2:26" ht="15.6" hidden="1"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 spans="2:26" ht="15.6" hidden="1"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 spans="2:26" ht="15.6" hidden="1"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 spans="2:26" ht="15.6" hidden="1"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 spans="2:26" ht="15.6" hidden="1"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 spans="2:26" ht="15.6" hidden="1"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 spans="2:26" ht="15.6" hidden="1"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 spans="2:26" ht="15.6" hidden="1"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 spans="2:26" ht="15.6" hidden="1"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 spans="2:26" ht="15.6" hidden="1"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 spans="2:26" ht="15.6" hidden="1"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 spans="2:26" ht="15.6" hidden="1"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 spans="2:26" ht="15.6" hidden="1"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 spans="2:26" ht="15.6" hidden="1"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 spans="2:26" ht="15.6" hidden="1"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 spans="2:26" ht="15.6" hidden="1"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 spans="2:26" ht="15.6" hidden="1"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 spans="2:26" ht="15.6" hidden="1"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 spans="2:26" ht="15.6" hidden="1"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 spans="2:26" ht="15.6" hidden="1"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 spans="2:26" ht="15.6" hidden="1"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 spans="2:26" ht="15.6" hidden="1"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 spans="2:26" ht="15.6" hidden="1"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 spans="2:26" ht="15.6" hidden="1"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6</vt:i4>
      </vt:variant>
    </vt:vector>
  </HeadingPairs>
  <TitlesOfParts>
    <vt:vector size="14" baseType="lpstr">
      <vt:lpstr>교육과정편제표(반려동물과)</vt:lpstr>
      <vt:lpstr>교육과정편제표(스마트팜과)</vt:lpstr>
      <vt:lpstr>교육과정편제표(바이오식품과)</vt:lpstr>
      <vt:lpstr>실무과목 능력단위(반려동물과)</vt:lpstr>
      <vt:lpstr>실무과목 능력단위(스마트팜과)</vt:lpstr>
      <vt:lpstr>실무과목 능력단위(바이오식품과)</vt:lpstr>
      <vt:lpstr>삭제금지</vt:lpstr>
      <vt:lpstr>(참고1) 편성 기준🔐</vt:lpstr>
      <vt:lpstr>'교육과정편제표(바이오식품과)'!Print_Area</vt:lpstr>
      <vt:lpstr>'교육과정편제표(반려동물과)'!Print_Area</vt:lpstr>
      <vt:lpstr>'교육과정편제표(스마트팜과)'!Print_Area</vt:lpstr>
      <vt:lpstr>'실무과목 능력단위(바이오식품과)'!Print_Area</vt:lpstr>
      <vt:lpstr>'실무과목 능력단위(반려동물과)'!Print_Area</vt:lpstr>
      <vt:lpstr>'실무과목 능력단위(스마트팜과)'!Print_Area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2026-10-21T03:11:40Z</cp:lastPrinted>
  <dcterms:created xsi:type="dcterms:W3CDTF">2020-03-04T02:26:59Z</dcterms:created>
  <dcterms:modified xsi:type="dcterms:W3CDTF">2026-10-22T12:34:11Z</dcterms:modified>
</cp:coreProperties>
</file>