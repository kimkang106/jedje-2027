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641E56-AD0F-41FF-95E3-5535A628B74F}" xr6:coauthVersionLast="36" xr6:coauthVersionMax="47" xr10:uidLastSave="{00000000-0000-0000-0000-000000000000}"/>
  <bookViews>
    <workbookView xWindow="0" yWindow="0" windowWidth="30720" windowHeight="9648" tabRatio="795" xr2:uid="{00000000-000D-0000-FFFF-FFFF00000000}"/>
  </bookViews>
  <sheets>
    <sheet name="교육과정편제표(반도체융합과)" sheetId="8" r:id="rId1"/>
    <sheet name="실무과목 능력단위(반도체융합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'교육과정편제표(반도체융합과)'!$M$3:$P$4</definedName>
    <definedName name="_xlnm._FilterDatabase" localSheetId="2" hidden="1">삭제금지!$A$1:$F$151</definedName>
    <definedName name="_xlnm._FilterDatabase" localSheetId="1" hidden="1">'실무과목 능력단위(반도체융합과)'!#REF!</definedName>
    <definedName name="_xlnm.Print_Area" localSheetId="0">'교육과정편제표(반도체융합과)'!$A$1:$AE$69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8" i="14" l="1"/>
  <c r="U23" i="14"/>
  <c r="U28" i="14"/>
  <c r="U33" i="14"/>
  <c r="U38" i="14"/>
  <c r="U43" i="14"/>
  <c r="U48" i="14"/>
  <c r="U51" i="14"/>
  <c r="U56" i="14"/>
  <c r="U60" i="14"/>
  <c r="T60" i="14"/>
  <c r="T59" i="14"/>
  <c r="T58" i="14"/>
  <c r="T57" i="14"/>
  <c r="T56" i="14"/>
  <c r="T55" i="14"/>
  <c r="T54" i="14"/>
  <c r="T53" i="14"/>
  <c r="T52" i="14"/>
  <c r="T51" i="14"/>
  <c r="T50" i="14"/>
  <c r="T49" i="14"/>
  <c r="T48" i="14"/>
  <c r="T43" i="14"/>
  <c r="T38" i="14"/>
  <c r="T47" i="14"/>
  <c r="T46" i="14"/>
  <c r="T45" i="14"/>
  <c r="T44" i="14"/>
  <c r="T42" i="14"/>
  <c r="T41" i="14"/>
  <c r="T40" i="14"/>
  <c r="T39" i="14"/>
  <c r="T37" i="14"/>
  <c r="T36" i="14"/>
  <c r="T35" i="14"/>
  <c r="T34" i="14"/>
  <c r="T28" i="14"/>
  <c r="T33" i="14"/>
  <c r="T32" i="14"/>
  <c r="T31" i="14"/>
  <c r="T30" i="14"/>
  <c r="T29" i="14"/>
  <c r="T27" i="14"/>
  <c r="T26" i="14"/>
  <c r="T25" i="14"/>
  <c r="T24" i="14"/>
  <c r="T23" i="14"/>
  <c r="T22" i="14"/>
  <c r="T21" i="14"/>
  <c r="T20" i="14"/>
  <c r="T19" i="14"/>
  <c r="F60" i="14"/>
  <c r="F56" i="14"/>
  <c r="F51" i="14"/>
  <c r="F48" i="14"/>
  <c r="F43" i="14"/>
  <c r="F38" i="14"/>
  <c r="F33" i="14"/>
  <c r="F28" i="14"/>
  <c r="F23" i="14"/>
  <c r="F18" i="14"/>
  <c r="F13" i="14"/>
  <c r="T17" i="14" l="1"/>
  <c r="T15" i="14"/>
  <c r="T14" i="14"/>
  <c r="T16" i="14" s="1"/>
  <c r="T18" i="14" s="1"/>
  <c r="T9" i="14"/>
  <c r="T10" i="14"/>
  <c r="T12" i="14"/>
  <c r="S59" i="8"/>
  <c r="H36" i="8"/>
  <c r="J36" i="8"/>
  <c r="W59" i="8"/>
  <c r="J59" i="8"/>
  <c r="W51" i="8"/>
  <c r="W47" i="8"/>
  <c r="W46" i="8"/>
  <c r="W49" i="8"/>
  <c r="W48" i="8"/>
  <c r="W44" i="8"/>
  <c r="W37" i="8"/>
  <c r="S67" i="8" l="1"/>
  <c r="O67" i="8"/>
  <c r="K67" i="8"/>
  <c r="W66" i="8"/>
  <c r="Y66" i="8" s="1"/>
  <c r="W65" i="8"/>
  <c r="AA66" i="8" s="1"/>
  <c r="Y62" i="8"/>
  <c r="W62" i="8"/>
  <c r="M59" i="8"/>
  <c r="K59" i="8"/>
  <c r="W50" i="8"/>
  <c r="Y59" i="8" s="1"/>
  <c r="W45" i="8"/>
  <c r="W43" i="8"/>
  <c r="W42" i="8"/>
  <c r="W41" i="8"/>
  <c r="W40" i="8"/>
  <c r="W39" i="8"/>
  <c r="Y36" i="8"/>
  <c r="U36" i="8"/>
  <c r="S36" i="8"/>
  <c r="Q36" i="8"/>
  <c r="O36" i="8"/>
  <c r="M36" i="8"/>
  <c r="K36" i="8"/>
  <c r="W32" i="8"/>
  <c r="W30" i="8"/>
  <c r="W29" i="8"/>
  <c r="W28" i="8"/>
  <c r="W27" i="8"/>
  <c r="W26" i="8"/>
  <c r="J26" i="8"/>
  <c r="W25" i="8"/>
  <c r="J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O61" i="8" l="1"/>
  <c r="X20" i="8"/>
  <c r="X25" i="8"/>
  <c r="X15" i="8"/>
  <c r="M61" i="8"/>
  <c r="W67" i="8"/>
  <c r="Q61" i="8"/>
  <c r="U61" i="8"/>
  <c r="X22" i="8"/>
  <c r="S61" i="8"/>
  <c r="X12" i="8"/>
  <c r="J61" i="8"/>
  <c r="X9" i="8"/>
  <c r="AA68" i="8"/>
  <c r="Y61" i="8"/>
  <c r="W36" i="8"/>
  <c r="AA36" i="8" s="1"/>
  <c r="X18" i="8"/>
  <c r="K61" i="8"/>
  <c r="W61" i="8" l="1"/>
  <c r="AA63" i="8" s="1"/>
  <c r="H13" i="14"/>
  <c r="I13" i="14"/>
  <c r="J13" i="14"/>
  <c r="K13" i="14"/>
  <c r="L13" i="14"/>
  <c r="M13" i="14"/>
  <c r="N13" i="14"/>
  <c r="O13" i="14"/>
  <c r="P13" i="14"/>
  <c r="R13" i="14"/>
  <c r="Q13" i="14" l="1"/>
  <c r="S13" i="14"/>
  <c r="T13" i="14"/>
  <c r="U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9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9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<sst xmlns="http://schemas.openxmlformats.org/spreadsheetml/2006/main" count="1479" uniqueCount="655">
  <si>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</si>
  <si>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</si>
  <si>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</si>
  <si>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</si>
  <si>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</si>
  <si>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</si>
  <si>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</si>
  <si>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</si>
  <si>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</si>
  <si>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</si>
  <si>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</si>
  <si>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</si>
  <si>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</si>
  <si>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</si>
  <si>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</si>
  <si>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</si>
  <si>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</si>
  <si>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</si>
  <si>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</si>
  <si>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</si>
  <si>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</si>
  <si>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</si>
  <si>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</si>
  <si>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</si>
  <si>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</si>
  <si>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</si>
  <si>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</si>
  <si>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</si>
  <si>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</si>
  <si>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</si>
  <si>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</si>
  <si>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</si>
  <si>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</si>
  <si>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</si>
  <si>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</si>
  <si>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</si>
  <si>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</si>
  <si>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</si>
  <si>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</si>
  <si>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</si>
  <si>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</si>
  <si>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</si>
  <si>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</si>
  <si>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</si>
  <si>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</si>
  <si>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</si>
  <si>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</si>
  <si>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</si>
  <si>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</si>
  <si>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</si>
  <si>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</si>
  <si>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</si>
  <si>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</si>
  <si>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</si>
  <si>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</si>
  <si>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</si>
  <si>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</si>
  <si>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</si>
  <si>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</si>
  <si>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</si>
  <si>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</si>
  <si>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</si>
  <si>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</si>
  <si>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</si>
  <si>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</si>
  <si>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</si>
  <si>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</si>
  <si>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</si>
  <si>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</si>
  <si>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</si>
  <si>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</si>
  <si>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</si>
  <si>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</si>
  <si>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</si>
  <si>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</si>
  <si>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</si>
  <si>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</si>
  <si>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</si>
  <si>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</si>
  <si>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</si>
  <si>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</si>
  <si>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</si>
  <si>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</si>
  <si>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</si>
  <si>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</si>
  <si>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</si>
  <si>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</si>
  <si>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</si>
  <si>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</si>
  <si>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</si>
  <si>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</si>
  <si>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</si>
  <si>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</si>
  <si>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</si>
  <si>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</si>
  <si>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</si>
  <si>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</si>
  <si>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</si>
  <si>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</si>
  <si>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</si>
  <si>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</si>
  <si>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</si>
  <si>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</si>
  <si>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</si>
  <si>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</si>
  <si>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</si>
  <si>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</si>
  <si>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</si>
  <si>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</si>
  <si>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</si>
  <si>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</si>
  <si>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</si>
  <si>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</si>
  <si>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</si>
  <si>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</si>
  <si>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</si>
  <si>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</si>
  <si>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</si>
  <si>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</si>
  <si>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</si>
  <si>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</si>
  <si>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</si>
  <si>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</si>
  <si>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</si>
  <si>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</si>
  <si>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</si>
  <si>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</si>
  <si>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</si>
  <si>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</si>
  <si>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</si>
  <si>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</si>
  <si>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</si>
  <si>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</si>
  <si>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</si>
  <si>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</si>
  <si>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</si>
  <si>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</si>
  <si>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</si>
  <si>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</si>
  <si>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</si>
  <si>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</si>
  <si>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</si>
  <si>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</si>
  <si>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</si>
  <si>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</si>
  <si>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</si>
  <si>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</si>
  <si>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</si>
  <si>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</si>
  <si>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</si>
  <si>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</si>
  <si>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</si>
  <si>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</si>
  <si>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</si>
  <si>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</si>
  <si>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</si>
  <si>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</si>
  <si>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</si>
  <si>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</si>
  <si>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</si>
  <si>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</si>
  <si>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</si>
  <si>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</si>
  <si>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</si>
  <si>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</si>
  <si>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</si>
  <si>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</si>
  <si>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</si>
  <si>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</si>
  <si>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</si>
  <si>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</si>
  <si>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</si>
  <si>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</si>
  <si>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</si>
  <si>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</si>
  <si>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</si>
  <si>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</si>
  <si>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</si>
  <si>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</si>
  <si>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</si>
  <si>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</si>
  <si>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</si>
  <si>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</si>
  <si>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</si>
  <si>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</si>
  <si>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</si>
  <si>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</si>
  <si>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</si>
  <si>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</si>
  <si>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</si>
  <si>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</si>
  <si>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</si>
  <si>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</si>
  <si>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</si>
  <si>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</si>
  <si>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</si>
  <si>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</si>
  <si>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</si>
  <si>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</si>
  <si>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</si>
  <si>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</si>
  <si>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</si>
  <si>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</si>
  <si>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</si>
  <si>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</si>
  <si>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</si>
  <si>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</si>
  <si>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</si>
  <si>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</si>
  <si>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</si>
  <si>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</si>
  <si>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</si>
  <si>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</si>
  <si>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</si>
  <si>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</si>
  <si>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</si>
  <si>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</si>
  <si>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</si>
  <si>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</si>
  <si>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</si>
  <si>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</si>
  <si>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</si>
  <si>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</si>
  <si>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</si>
  <si>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</si>
  <si>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</si>
  <si>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</si>
  <si>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</si>
  <si>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</si>
  <si>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</si>
  <si>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</si>
  <si>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</si>
  <si>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</si>
  <si>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</si>
  <si>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</si>
  <si>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</si>
  <si>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</si>
  <si>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</si>
  <si>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</si>
  <si>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</si>
  <si>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</si>
  <si>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</si>
  <si>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</si>
  <si>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</si>
  <si>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</si>
  <si>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</si>
  <si>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</si>
  <si>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</si>
  <si>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</si>
  <si>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</si>
  <si>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</si>
  <si>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</si>
  <si>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</si>
  <si>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</si>
  <si>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</si>
  <si>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</si>
  <si>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</si>
  <si>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</si>
  <si>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</si>
  <si>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</si>
  <si>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</si>
  <si>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</si>
  <si>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</si>
  <si>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</si>
  <si>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</si>
  <si>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</si>
  <si>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</si>
  <si>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</si>
  <si>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</si>
  <si>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</si>
  <si>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</si>
  <si>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</si>
  <si>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</si>
  <si>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</si>
  <si>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</si>
  <si>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</si>
  <si>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</si>
  <si>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</si>
  <si>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</si>
  <si>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</si>
  <si>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</si>
  <si>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</si>
  <si>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</si>
  <si>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</si>
  <si>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</si>
  <si>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</si>
  <si>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</si>
  <si>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</si>
  <si>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</si>
  <si>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</si>
  <si>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</si>
  <si>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</si>
  <si>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</si>
  <si>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</si>
  <si>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</si>
  <si>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</si>
  <si>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</si>
  <si>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</si>
  <si>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</si>
  <si>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</si>
  <si>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</si>
  <si>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</si>
  <si>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</si>
  <si>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</si>
  <si>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</si>
  <si>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</si>
  <si>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</si>
  <si>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</si>
  <si>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</si>
  <si>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</si>
  <si>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</si>
  <si>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</si>
  <si>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</si>
  <si>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</si>
  <si>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</si>
  <si>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</si>
  <si>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</si>
  <si>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</si>
  <si>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</si>
  <si>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</si>
  <si>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</si>
  <si>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</si>
  <si>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</si>
  <si>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</si>
  <si>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</si>
  <si>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</si>
  <si>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</si>
  <si>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</si>
  <si>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</si>
  <si>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</si>
  <si>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</si>
  <si>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</si>
  <si>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</si>
  <si>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</si>
  <si>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</si>
  <si>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</si>
  <si>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</si>
  <si>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</si>
  <si>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</si>
  <si>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</si>
  <si>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</si>
  <si>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</si>
  <si>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</si>
  <si>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</si>
  <si>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</si>
  <si>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</si>
  <si>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</si>
  <si>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</si>
  <si>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</si>
  <si>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</si>
  <si>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</si>
  <si>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</si>
  <si>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기후변화와 환경생태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</si>
  <si>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</si>
  <si>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</si>
  <si>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</si>
  <si>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</si>
  <si>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</si>
  <si>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</si>
  <si>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</si>
  <si>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</si>
  <si>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</si>
  <si>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</si>
  <si>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</si>
  <si>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</si>
  <si>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</si>
  <si>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</si>
  <si>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</si>
  <si>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</si>
  <si>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</si>
  <si>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</si>
  <si>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</si>
  <si>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</si>
  <si>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</si>
  <si>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</si>
  <si>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</si>
  <si>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</si>
  <si>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</si>
  <si>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</si>
  <si>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</si>
  <si>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</si>
  <si>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</si>
  <si>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</si>
  <si>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</si>
  <si>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</si>
  <si>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</si>
  <si>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</si>
  <si>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</si>
  <si>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</si>
  <si>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</si>
  <si>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</si>
  <si>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</si>
  <si>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</si>
  <si>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</si>
  <si>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</si>
  <si>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</si>
  <si>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</si>
  <si>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</si>
  <si>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</si>
  <si>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</si>
  <si>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</si>
  <si>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</si>
  <si>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</si>
  <si>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</si>
  <si>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</si>
  <si>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</si>
  <si>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</si>
  <si>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</si>
  <si>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</si>
  <si>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</si>
  <si>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</si>
  <si>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</si>
  <si>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</si>
  <si>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</si>
  <si>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</si>
  <si>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</si>
  <si>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</si>
  <si>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</si>
  <si>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</si>
  <si>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</si>
  <si>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</si>
  <si>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</si>
  <si>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</si>
  <si>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</si>
  <si>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</si>
  <si>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</si>
  <si>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</si>
  <si>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</si>
  <si>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</si>
  <si>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</si>
  <si>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</si>
  <si>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</si>
  <si>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</si>
  <si>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</si>
  <si>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</si>
  <si>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</si>
  <si>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</si>
  <si>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</si>
  <si>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</si>
  <si>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</si>
  <si>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</si>
  <si>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</si>
  <si>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</si>
  <si>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</si>
  <si>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</si>
  <si>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</si>
  <si>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</si>
  <si>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</si>
  <si>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</si>
  <si>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</si>
  <si>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</si>
  <si>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</si>
  <si>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</si>
  <si>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</si>
  <si>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</si>
  <si>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</si>
  <si>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</si>
  <si>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</si>
  <si>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</si>
  <si>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</si>
  <si>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</si>
  <si>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</si>
  <si>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</si>
  <si>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</si>
  <si>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</si>
  <si>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</si>
  <si>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</si>
  <si>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</si>
  <si>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</si>
  <si>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</si>
  <si>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</si>
  <si>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</si>
  <si>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</si>
  <si>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</si>
  <si>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</si>
  <si>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</si>
  <si>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</si>
  <si>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</si>
  <si>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</si>
  <si>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</si>
  <si>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</si>
  <si>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</si>
  <si>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</si>
  <si>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</si>
  <si>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</si>
  <si>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</si>
  <si>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</si>
  <si>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</si>
  <si>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</si>
  <si>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</si>
  <si>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</si>
  <si>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</si>
  <si>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</si>
  <si>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</si>
  <si>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</si>
  <si>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</si>
  <si>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</si>
  <si>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</si>
  <si>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</si>
  <si>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</si>
  <si>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</si>
  <si>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</si>
  <si>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</si>
  <si>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</si>
  <si>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</si>
  <si>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</si>
  <si>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</si>
  <si>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</si>
  <si>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</si>
  <si>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</si>
  <si>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</si>
  <si>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</si>
  <si>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</si>
  <si>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</si>
  <si>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</si>
  <si>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</si>
  <si>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</si>
  <si>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</si>
  <si>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</si>
  <si>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</si>
  <si>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</si>
  <si>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</si>
  <si>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충남반도체마이스터고등학교</t>
    <phoneticPr fontId="9" type="noConversion"/>
  </si>
  <si>
    <t>이현주</t>
    <phoneticPr fontId="9" type="noConversion"/>
  </si>
  <si>
    <t>404-0001</t>
    <phoneticPr fontId="9" type="noConversion"/>
  </si>
  <si>
    <t>404-0019</t>
    <phoneticPr fontId="9" type="noConversion"/>
  </si>
  <si>
    <t>하호정</t>
    <phoneticPr fontId="9" type="noConversion"/>
  </si>
  <si>
    <t>반도체융합과</t>
    <phoneticPr fontId="9" type="noConversion"/>
  </si>
  <si>
    <t>전자과</t>
  </si>
  <si>
    <t>반도체 공정장비 설계 생산원
반도체 공정장비 유지 보수원
반도체 제품 제조기계 조작원</t>
    <phoneticPr fontId="9" type="noConversion"/>
  </si>
  <si>
    <t>운동과건강</t>
    <phoneticPr fontId="9" type="noConversion"/>
  </si>
  <si>
    <t>음악</t>
    <phoneticPr fontId="9" type="noConversion"/>
  </si>
  <si>
    <t>일반선택</t>
    <phoneticPr fontId="9" type="noConversion"/>
  </si>
  <si>
    <t>일본어</t>
    <phoneticPr fontId="9" type="noConversion"/>
  </si>
  <si>
    <t>2~4</t>
    <phoneticPr fontId="9" type="noConversion"/>
  </si>
  <si>
    <t>성공적인 직업생활</t>
    <phoneticPr fontId="9" type="noConversion"/>
  </si>
  <si>
    <t>노동인권과 산업 안전 보건</t>
    <phoneticPr fontId="9" type="noConversion"/>
  </si>
  <si>
    <t>전기전자일반</t>
    <phoneticPr fontId="5" type="noConversion"/>
  </si>
  <si>
    <t>프로그래밍</t>
    <phoneticPr fontId="9" type="noConversion"/>
  </si>
  <si>
    <t>전기·전자</t>
    <phoneticPr fontId="9" type="noConversion"/>
  </si>
  <si>
    <t>전공일반</t>
    <phoneticPr fontId="9" type="noConversion"/>
  </si>
  <si>
    <t>전자 회로</t>
    <phoneticPr fontId="9" type="noConversion"/>
  </si>
  <si>
    <t>자동화 설비</t>
    <phoneticPr fontId="9" type="noConversion"/>
  </si>
  <si>
    <t>전기 회로</t>
    <phoneticPr fontId="9" type="noConversion"/>
  </si>
  <si>
    <t>디지털 논리 회로</t>
    <phoneticPr fontId="5" type="noConversion"/>
  </si>
  <si>
    <t>반도체 기초</t>
    <phoneticPr fontId="9" type="noConversion"/>
  </si>
  <si>
    <t>전공실무</t>
    <phoneticPr fontId="9" type="noConversion"/>
  </si>
  <si>
    <t>스마트기기 제작 프로젝트</t>
    <phoneticPr fontId="9" type="noConversion"/>
  </si>
  <si>
    <t>IOT 프로젝트 실무</t>
    <phoneticPr fontId="9" type="noConversion"/>
  </si>
  <si>
    <t>프로젝트 실무</t>
    <phoneticPr fontId="9" type="noConversion"/>
  </si>
  <si>
    <t>반도체 장비 유지 보수</t>
    <phoneticPr fontId="9" type="noConversion"/>
  </si>
  <si>
    <t>반도체 공정 기술</t>
    <phoneticPr fontId="9" type="noConversion"/>
  </si>
  <si>
    <t>반도체 장비 코스</t>
    <phoneticPr fontId="9" type="noConversion"/>
  </si>
  <si>
    <t>반도체 제조 코스</t>
    <phoneticPr fontId="9" type="noConversion"/>
  </si>
  <si>
    <t>반도체 장비</t>
    <phoneticPr fontId="9" type="noConversion"/>
  </si>
  <si>
    <t>반도체 장비 기구 조립</t>
    <phoneticPr fontId="9" type="noConversion"/>
  </si>
  <si>
    <t>반도체 장비 전장 제어</t>
    <phoneticPr fontId="9" type="noConversion"/>
  </si>
  <si>
    <t>반도체 장비 시스템 제작</t>
    <phoneticPr fontId="9" type="noConversion"/>
  </si>
  <si>
    <t>반도체 설계</t>
    <phoneticPr fontId="9" type="noConversion"/>
  </si>
  <si>
    <t>반도체 공정 프로세스 실무</t>
    <phoneticPr fontId="9" type="noConversion"/>
  </si>
  <si>
    <t>반도체 공정 장비 운영</t>
    <phoneticPr fontId="9" type="noConversion"/>
  </si>
  <si>
    <t>반도체 검사</t>
    <phoneticPr fontId="9" type="noConversion"/>
  </si>
  <si>
    <t xml:space="preserve">2D도면작업  </t>
    <phoneticPr fontId="9" type="noConversion"/>
  </si>
  <si>
    <t>기구 설계</t>
    <phoneticPr fontId="9" type="noConversion"/>
  </si>
  <si>
    <t>반도체 장비 유틸리티 기구설계</t>
    <phoneticPr fontId="9" type="noConversion"/>
  </si>
  <si>
    <t>조립도면작성</t>
    <phoneticPr fontId="9" type="noConversion"/>
  </si>
  <si>
    <t>1501020111_16v3</t>
    <phoneticPr fontId="9" type="noConversion"/>
  </si>
  <si>
    <t>1903040204_22v2</t>
    <phoneticPr fontId="9" type="noConversion"/>
  </si>
  <si>
    <t>1903060303_18v2</t>
    <phoneticPr fontId="9" type="noConversion"/>
  </si>
  <si>
    <t>1503010112_16v4</t>
    <phoneticPr fontId="9" type="noConversion"/>
  </si>
  <si>
    <t>반도체 장비 기구 조립</t>
    <phoneticPr fontId="9" type="noConversion"/>
  </si>
  <si>
    <t>반도체 장비 기구조립</t>
  </si>
  <si>
    <t>배선설비 설계</t>
  </si>
  <si>
    <t>전장품 조립</t>
  </si>
  <si>
    <t>시퀀스 회로 제어 운영</t>
  </si>
  <si>
    <t>1903060322_19v3</t>
  </si>
  <si>
    <t>1901060104_16v3</t>
  </si>
  <si>
    <t>1901080214_16v2</t>
  </si>
  <si>
    <t>1901080411_20v3</t>
  </si>
  <si>
    <t>반도체 장비 전장 제어</t>
    <phoneticPr fontId="9" type="noConversion"/>
  </si>
  <si>
    <t>프로그램로직제어(PLC)기본 운영</t>
  </si>
  <si>
    <t>센서 활용 기술</t>
  </si>
  <si>
    <t xml:space="preserve">3D형상모델링작업 </t>
    <phoneticPr fontId="9" type="noConversion"/>
  </si>
  <si>
    <t>반도체 장비 안전관리</t>
    <phoneticPr fontId="9" type="noConversion"/>
  </si>
  <si>
    <t>1503010204_14v3</t>
    <phoneticPr fontId="9" type="noConversion"/>
  </si>
  <si>
    <t>1901080412_20v3</t>
    <phoneticPr fontId="9" type="noConversion"/>
  </si>
  <si>
    <t>1501020113_16v3</t>
    <phoneticPr fontId="9" type="noConversion"/>
  </si>
  <si>
    <t>1903060329_19v1</t>
    <phoneticPr fontId="9" type="noConversion"/>
  </si>
  <si>
    <t>내용영역 합계</t>
    <phoneticPr fontId="9" type="noConversion"/>
  </si>
  <si>
    <t>반도체 장비 시스템 제작</t>
    <phoneticPr fontId="9" type="noConversion"/>
  </si>
  <si>
    <t>반도체 장비 컨셉설계</t>
    <phoneticPr fontId="9" type="noConversion"/>
  </si>
  <si>
    <t>전기전자장치조립</t>
    <phoneticPr fontId="9" type="noConversion"/>
  </si>
  <si>
    <t>프로그램로직제어(PLC)확장모듈 운영</t>
    <phoneticPr fontId="9" type="noConversion"/>
  </si>
  <si>
    <t>통합시스템 제작</t>
    <phoneticPr fontId="9" type="noConversion"/>
  </si>
  <si>
    <t>1903060301_23v3</t>
    <phoneticPr fontId="9" type="noConversion"/>
  </si>
  <si>
    <t>1503010119_16v4</t>
    <phoneticPr fontId="9" type="noConversion"/>
  </si>
  <si>
    <t>1901080413_20v3</t>
    <phoneticPr fontId="9" type="noConversion"/>
  </si>
  <si>
    <t>1901080217_16v2</t>
    <phoneticPr fontId="9" type="noConversion"/>
  </si>
  <si>
    <t>반도체 설계</t>
    <phoneticPr fontId="9" type="noConversion"/>
  </si>
  <si>
    <t>반도체 공정 프로세스 실무</t>
    <phoneticPr fontId="9" type="noConversion"/>
  </si>
  <si>
    <t>반도체 공정 장비 운용</t>
    <phoneticPr fontId="9" type="noConversion"/>
  </si>
  <si>
    <t>반도체 검사</t>
    <phoneticPr fontId="9" type="noConversion"/>
  </si>
  <si>
    <t>하드웨어 기능별 설계</t>
    <phoneticPr fontId="9" type="noConversion"/>
  </si>
  <si>
    <t>반도체 장비 보드설계</t>
    <phoneticPr fontId="9" type="noConversion"/>
  </si>
  <si>
    <t>아날로그 회로 시스템 설계</t>
    <phoneticPr fontId="9" type="noConversion"/>
  </si>
  <si>
    <t>디지털 회로 설계</t>
    <phoneticPr fontId="9" type="noConversion"/>
  </si>
  <si>
    <t>1903060314_18v2</t>
    <phoneticPr fontId="9" type="noConversion"/>
  </si>
  <si>
    <t xml:space="preserve">1903010304_21v3 </t>
    <phoneticPr fontId="9" type="noConversion"/>
  </si>
  <si>
    <t>1903060120_23v5</t>
    <phoneticPr fontId="9" type="noConversion"/>
  </si>
  <si>
    <t>1903060104_23v5</t>
    <phoneticPr fontId="9" type="noConversion"/>
  </si>
  <si>
    <t>반도체용 패키지 재료 제조</t>
    <phoneticPr fontId="9" type="noConversion"/>
  </si>
  <si>
    <t>제어시스템 안전관리</t>
    <phoneticPr fontId="9" type="noConversion"/>
  </si>
  <si>
    <t>기계하드웨어 유지관리</t>
    <phoneticPr fontId="9" type="noConversion"/>
  </si>
  <si>
    <t>제품 성능결정</t>
    <phoneticPr fontId="9" type="noConversion"/>
  </si>
  <si>
    <t>1903060406_20v2</t>
    <phoneticPr fontId="9" type="noConversion"/>
  </si>
  <si>
    <t>1901080410_14v2</t>
    <phoneticPr fontId="9" type="noConversion"/>
  </si>
  <si>
    <t>1503010309_14v3</t>
    <phoneticPr fontId="9" type="noConversion"/>
  </si>
  <si>
    <t>1903020111_16v1</t>
    <phoneticPr fontId="9" type="noConversion"/>
  </si>
  <si>
    <t>반도체 패키징 전공정장비 운영</t>
    <phoneticPr fontId="9" type="noConversion"/>
  </si>
  <si>
    <t>반도체 장비 공정성능 평가</t>
    <phoneticPr fontId="9" type="noConversion"/>
  </si>
  <si>
    <t xml:space="preserve">반도체 재료 생산관리 </t>
    <phoneticPr fontId="9" type="noConversion"/>
  </si>
  <si>
    <t>전자부품 공정관리</t>
    <phoneticPr fontId="9" type="noConversion"/>
  </si>
  <si>
    <t>1903060213_19v4</t>
    <phoneticPr fontId="9" type="noConversion"/>
  </si>
  <si>
    <t>1903060319_18v2</t>
    <phoneticPr fontId="9" type="noConversion"/>
  </si>
  <si>
    <t>1903060409_23v3</t>
    <phoneticPr fontId="9" type="noConversion"/>
  </si>
  <si>
    <t>1902020205_16v3</t>
    <phoneticPr fontId="9" type="noConversion"/>
  </si>
  <si>
    <t>반도체 품질관리</t>
    <phoneticPr fontId="9" type="noConversion"/>
  </si>
  <si>
    <t>반도체 제품 기능·성능 검증</t>
    <phoneticPr fontId="9" type="noConversion"/>
  </si>
  <si>
    <t>반도체 재료 품질관리</t>
    <phoneticPr fontId="9" type="noConversion"/>
  </si>
  <si>
    <t>하드웨어 측정분석</t>
    <phoneticPr fontId="9" type="noConversion"/>
  </si>
  <si>
    <t>1903060209_24v5</t>
    <phoneticPr fontId="9" type="noConversion"/>
  </si>
  <si>
    <t>1903060109_23v4</t>
    <phoneticPr fontId="9" type="noConversion"/>
  </si>
  <si>
    <t>1903060410_23v3</t>
    <phoneticPr fontId="9" type="noConversion"/>
  </si>
  <si>
    <t>1903040114_21v1</t>
    <phoneticPr fontId="9" type="noConversion"/>
  </si>
  <si>
    <t>기구 프로젝트 계획 수립</t>
    <phoneticPr fontId="9" type="noConversion"/>
  </si>
  <si>
    <t>제품출력</t>
    <phoneticPr fontId="9" type="noConversion"/>
  </si>
  <si>
    <t>1903010402_14v2</t>
    <phoneticPr fontId="9" type="noConversion"/>
  </si>
  <si>
    <t>1903110209_17v2</t>
    <phoneticPr fontId="9" type="noConversion"/>
  </si>
  <si>
    <t>IoT 디바이스 기획</t>
    <phoneticPr fontId="9" type="noConversion"/>
  </si>
  <si>
    <t>스마트 디바이스 연동</t>
    <phoneticPr fontId="9" type="noConversion"/>
  </si>
  <si>
    <t>IoT 네트워크 기획</t>
    <phoneticPr fontId="9" type="noConversion"/>
  </si>
  <si>
    <t>IoT 네트워크 운영 ·관리</t>
    <phoneticPr fontId="9" type="noConversion"/>
  </si>
  <si>
    <t>2001010604_19V2</t>
    <phoneticPr fontId="9" type="noConversion"/>
  </si>
  <si>
    <t>2001021207_19V1</t>
    <phoneticPr fontId="9" type="noConversion"/>
  </si>
  <si>
    <t>2001010605_19V2</t>
    <phoneticPr fontId="9" type="noConversion"/>
  </si>
  <si>
    <t>2001030504_21V1</t>
    <phoneticPr fontId="9" type="noConversion"/>
  </si>
  <si>
    <t>데이터 입출력 구현</t>
    <phoneticPr fontId="9" type="noConversion"/>
  </si>
  <si>
    <t>통합 구현</t>
    <phoneticPr fontId="9" type="noConversion"/>
  </si>
  <si>
    <t>인터페이스 구현</t>
    <phoneticPr fontId="9" type="noConversion"/>
  </si>
  <si>
    <t>2001020205_23v6</t>
    <phoneticPr fontId="9" type="noConversion"/>
  </si>
  <si>
    <t>2001020206_23v6</t>
    <phoneticPr fontId="9" type="noConversion"/>
  </si>
  <si>
    <t>2001020212_23v6</t>
    <phoneticPr fontId="9" type="noConversion"/>
  </si>
  <si>
    <t>스마트기기 제작 프로젝트</t>
    <phoneticPr fontId="9" type="noConversion"/>
  </si>
  <si>
    <t>IoT 프로젝트 실무</t>
    <phoneticPr fontId="9" type="noConversion"/>
  </si>
  <si>
    <t>프로젝트 실무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</si>
</sst>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0" fillId="0" borderId="0"/>
  </cellStyleXfs>
  <cellXfs count="5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19" xfId="0" applyFont="1" applyBorder="1" applyAlignment="1">
      <alignment vertical="center"/>
    </xf>
    <xf numFmtId="0" fontId="13" fillId="10" borderId="93" xfId="6" applyFont="1" applyFill="1" applyBorder="1" applyAlignment="1" applyProtection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4" fillId="3" borderId="54" xfId="3" applyFont="1" applyBorder="1" applyAlignment="1" applyProtection="1">
      <alignment horizontal="center" vertical="center"/>
      <protection locked="0"/>
    </xf>
    <xf numFmtId="0" fontId="35" fillId="9" borderId="14" xfId="7" applyNumberFormat="1" applyFont="1" applyFill="1" applyBorder="1" applyAlignment="1" applyProtection="1">
      <alignment horizontal="center" vertical="center" shrinkToFit="1"/>
    </xf>
    <xf numFmtId="176" fontId="35" fillId="9" borderId="14" xfId="7" applyNumberFormat="1" applyFont="1" applyFill="1" applyBorder="1" applyAlignment="1" applyProtection="1">
      <alignment horizontal="center" vertical="center" shrinkToFit="1"/>
    </xf>
    <xf numFmtId="0" fontId="27" fillId="11" borderId="95" xfId="7" applyFont="1" applyFill="1" applyBorder="1" applyAlignment="1" applyProtection="1">
      <alignment horizontal="center" vertical="center" wrapText="1"/>
    </xf>
    <xf numFmtId="0" fontId="35" fillId="9" borderId="94" xfId="7" applyNumberFormat="1" applyFont="1" applyFill="1" applyBorder="1" applyAlignment="1" applyProtection="1">
      <alignment horizontal="center" vertical="center" shrinkToFit="1"/>
    </xf>
    <xf numFmtId="176" fontId="35" fillId="9" borderId="94" xfId="7" applyNumberFormat="1" applyFont="1" applyFill="1" applyBorder="1" applyAlignment="1" applyProtection="1">
      <alignment horizontal="center" vertical="center" shrinkToFit="1"/>
    </xf>
    <xf numFmtId="176" fontId="34" fillId="16" borderId="95" xfId="7" applyNumberFormat="1" applyFont="1" applyFill="1" applyBorder="1" applyAlignment="1" applyProtection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35" fillId="9" borderId="110" xfId="7" applyNumberFormat="1" applyFont="1" applyFill="1" applyBorder="1" applyAlignment="1" applyProtection="1">
      <alignment horizontal="center" vertical="center" shrinkToFit="1"/>
    </xf>
    <xf numFmtId="176" fontId="35" fillId="9" borderId="11" xfId="7" applyNumberFormat="1" applyFont="1" applyFill="1" applyBorder="1" applyAlignment="1" applyProtection="1">
      <alignment horizontal="center" vertical="center" shrinkToFit="1"/>
    </xf>
    <xf numFmtId="0" fontId="35" fillId="9" borderId="11" xfId="7" applyNumberFormat="1" applyFont="1" applyFill="1" applyBorder="1" applyAlignment="1" applyProtection="1">
      <alignment horizontal="center" vertical="center" shrinkToFit="1"/>
    </xf>
    <xf numFmtId="0" fontId="35" fillId="9" borderId="108" xfId="7" applyNumberFormat="1" applyFont="1" applyFill="1" applyBorder="1" applyAlignment="1" applyProtection="1">
      <alignment horizontal="center" vertical="center" shrinkToFit="1"/>
    </xf>
    <xf numFmtId="0" fontId="35" fillId="9" borderId="117" xfId="7" applyNumberFormat="1" applyFont="1" applyFill="1" applyBorder="1" applyAlignment="1" applyProtection="1">
      <alignment horizontal="center" vertical="center" shrinkToFit="1"/>
    </xf>
    <xf numFmtId="0" fontId="35" fillId="9" borderId="114" xfId="7" applyNumberFormat="1" applyFont="1" applyFill="1" applyBorder="1" applyAlignment="1" applyProtection="1">
      <alignment horizontal="center" vertical="center" shrinkToFit="1"/>
    </xf>
    <xf numFmtId="176" fontId="34" fillId="16" borderId="30" xfId="7" applyNumberFormat="1" applyFont="1" applyFill="1" applyBorder="1" applyAlignment="1" applyProtection="1">
      <alignment horizontal="center" vertical="center" shrinkToFit="1"/>
    </xf>
    <xf numFmtId="0" fontId="34" fillId="16" borderId="30" xfId="7" applyNumberFormat="1" applyFont="1" applyFill="1" applyBorder="1" applyAlignment="1" applyProtection="1">
      <alignment horizontal="center" vertical="center" shrinkToFit="1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35" fillId="0" borderId="94" xfId="7" applyNumberFormat="1" applyFont="1" applyFill="1" applyBorder="1" applyAlignment="1" applyProtection="1">
      <alignment horizontal="center" vertical="center" shrinkToFit="1"/>
    </xf>
    <xf numFmtId="0" fontId="35" fillId="0" borderId="114" xfId="7" applyNumberFormat="1" applyFont="1" applyFill="1" applyBorder="1" applyAlignment="1" applyProtection="1">
      <alignment horizontal="center" vertical="center" shrinkToFit="1"/>
    </xf>
    <xf numFmtId="0" fontId="35" fillId="0" borderId="116" xfId="7" applyNumberFormat="1" applyFont="1" applyFill="1" applyBorder="1" applyAlignment="1" applyProtection="1">
      <alignment horizontal="center" vertical="center" shrinkToFit="1"/>
    </xf>
    <xf numFmtId="0" fontId="35" fillId="0" borderId="109" xfId="7" applyNumberFormat="1" applyFont="1" applyFill="1" applyBorder="1" applyAlignment="1" applyProtection="1">
      <alignment horizontal="center" vertical="center" shrinkToFit="1"/>
    </xf>
    <xf numFmtId="0" fontId="35" fillId="0" borderId="115" xfId="7" applyNumberFormat="1" applyFont="1" applyFill="1" applyBorder="1" applyAlignment="1" applyProtection="1">
      <alignment horizontal="center" vertical="center" shrinkToFit="1"/>
    </xf>
    <xf numFmtId="0" fontId="12" fillId="12" borderId="118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2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97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1" xfId="4" applyFont="1" applyFill="1" applyBorder="1" applyAlignment="1" applyProtection="1">
      <alignment horizontal="center" vertical="center" wrapText="1"/>
    </xf>
    <xf numFmtId="0" fontId="21" fillId="0" borderId="128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9" borderId="129" xfId="16" applyFont="1" applyFill="1" applyBorder="1" applyAlignment="1">
      <alignment horizontal="center" vertical="center"/>
    </xf>
    <xf numFmtId="0" fontId="33" fillId="0" borderId="130" xfId="16" applyFont="1" applyBorder="1" applyAlignment="1">
      <alignment vertical="center"/>
    </xf>
    <xf numFmtId="0" fontId="33" fillId="0" borderId="26" xfId="16" applyFont="1" applyBorder="1" applyAlignment="1">
      <alignment vertical="center"/>
    </xf>
    <xf numFmtId="0" fontId="33" fillId="0" borderId="23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32" xfId="16" applyFont="1" applyBorder="1" applyAlignment="1">
      <alignment vertical="center"/>
    </xf>
    <xf numFmtId="0" fontId="33" fillId="0" borderId="19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37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20" xfId="16" applyFont="1" applyBorder="1" applyAlignment="1">
      <alignment vertical="center"/>
    </xf>
    <xf numFmtId="0" fontId="33" fillId="0" borderId="18" xfId="16" applyFont="1" applyBorder="1" applyAlignment="1">
      <alignment vertical="center"/>
    </xf>
    <xf numFmtId="0" fontId="33" fillId="21" borderId="143" xfId="16" applyFont="1" applyFill="1" applyBorder="1" applyAlignment="1">
      <alignment horizontal="center" vertical="center" wrapText="1"/>
    </xf>
    <xf numFmtId="0" fontId="33" fillId="21" borderId="144" xfId="16" applyFont="1" applyFill="1" applyBorder="1" applyAlignment="1">
      <alignment horizontal="center" vertical="center" wrapText="1"/>
    </xf>
    <xf numFmtId="0" fontId="46" fillId="21" borderId="144" xfId="16" applyFont="1" applyFill="1" applyBorder="1" applyAlignment="1">
      <alignment horizontal="center" vertical="center" wrapText="1"/>
    </xf>
    <xf numFmtId="0" fontId="46" fillId="21" borderId="145" xfId="16" applyFont="1" applyFill="1" applyBorder="1" applyAlignment="1">
      <alignment horizontal="center" vertical="center" wrapText="1"/>
    </xf>
    <xf numFmtId="0" fontId="33" fillId="0" borderId="19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7" fillId="0" borderId="149" xfId="16" applyFont="1" applyBorder="1" applyAlignment="1">
      <alignment horizontal="center" vertical="center" wrapText="1"/>
    </xf>
    <xf numFmtId="0" fontId="47" fillId="0" borderId="151" xfId="16" applyFont="1" applyBorder="1" applyAlignment="1">
      <alignment horizontal="center" vertical="center" wrapText="1"/>
    </xf>
    <xf numFmtId="0" fontId="47" fillId="0" borderId="155" xfId="16" applyFont="1" applyBorder="1" applyAlignment="1">
      <alignment horizontal="center" vertical="center" wrapText="1"/>
    </xf>
    <xf numFmtId="0" fontId="47" fillId="0" borderId="156" xfId="16" applyFont="1" applyBorder="1" applyAlignment="1">
      <alignment horizontal="center" vertical="center" wrapText="1"/>
    </xf>
    <xf numFmtId="0" fontId="47" fillId="0" borderId="159" xfId="16" applyFont="1" applyBorder="1" applyAlignment="1">
      <alignment horizontal="center" vertical="center" wrapText="1"/>
    </xf>
    <xf numFmtId="0" fontId="47" fillId="0" borderId="160" xfId="16" applyFont="1" applyBorder="1" applyAlignment="1">
      <alignment horizontal="center" vertical="center" wrapText="1"/>
    </xf>
    <xf numFmtId="0" fontId="47" fillId="0" borderId="162" xfId="16" applyFont="1" applyBorder="1" applyAlignment="1">
      <alignment horizontal="center" vertical="center" wrapText="1"/>
    </xf>
    <xf numFmtId="0" fontId="33" fillId="0" borderId="162" xfId="16" applyFont="1" applyBorder="1" applyAlignment="1">
      <alignment horizontal="center" vertical="center" wrapText="1"/>
    </xf>
    <xf numFmtId="0" fontId="47" fillId="0" borderId="163" xfId="16" applyFont="1" applyBorder="1" applyAlignment="1">
      <alignment horizontal="center" vertical="center" wrapText="1"/>
    </xf>
    <xf numFmtId="0" fontId="33" fillId="0" borderId="156" xfId="16" applyFont="1" applyBorder="1" applyAlignment="1">
      <alignment horizontal="center" vertical="center" wrapText="1"/>
    </xf>
    <xf numFmtId="0" fontId="33" fillId="0" borderId="159" xfId="16" applyFont="1" applyBorder="1" applyAlignment="1">
      <alignment horizontal="center" vertical="center" wrapText="1"/>
    </xf>
    <xf numFmtId="0" fontId="47" fillId="0" borderId="135" xfId="16" applyFont="1" applyBorder="1" applyAlignment="1">
      <alignment horizontal="center" vertical="center" wrapText="1"/>
    </xf>
    <xf numFmtId="0" fontId="49" fillId="21" borderId="135" xfId="16" applyFont="1" applyFill="1" applyBorder="1" applyAlignment="1">
      <alignment horizontal="center" vertical="center" wrapText="1"/>
    </xf>
    <xf numFmtId="0" fontId="50" fillId="0" borderId="156" xfId="16" applyFont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49" fillId="0" borderId="135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51" fillId="0" borderId="0" xfId="16" applyFont="1" applyBorder="1" applyAlignment="1">
      <alignment horizontal="center" vertical="center"/>
    </xf>
    <xf numFmtId="0" fontId="45" fillId="0" borderId="135" xfId="16" applyFont="1" applyBorder="1" applyAlignment="1">
      <alignment horizontal="center" vertical="center"/>
    </xf>
    <xf numFmtId="0" fontId="45" fillId="20" borderId="156" xfId="16" applyFont="1" applyFill="1" applyBorder="1" applyAlignment="1">
      <alignment horizontal="center" vertical="center"/>
    </xf>
    <xf numFmtId="0" fontId="45" fillId="20" borderId="134" xfId="16" applyFont="1" applyFill="1" applyBorder="1" applyAlignment="1">
      <alignment horizontal="center" vertical="center" wrapText="1"/>
    </xf>
    <xf numFmtId="0" fontId="51" fillId="0" borderId="156" xfId="16" applyFont="1" applyBorder="1" applyAlignment="1">
      <alignment horizontal="center" vertical="center" wrapText="1"/>
    </xf>
    <xf numFmtId="0" fontId="51" fillId="0" borderId="135" xfId="16" applyFont="1" applyBorder="1" applyAlignment="1">
      <alignment horizontal="center" vertical="center" wrapText="1"/>
    </xf>
    <xf numFmtId="0" fontId="45" fillId="0" borderId="156" xfId="16" applyFont="1" applyBorder="1" applyAlignment="1">
      <alignment horizontal="center" vertical="center" wrapText="1"/>
    </xf>
    <xf numFmtId="0" fontId="45" fillId="0" borderId="135" xfId="16" applyFont="1" applyBorder="1" applyAlignment="1">
      <alignment horizontal="center" vertical="center" wrapText="1"/>
    </xf>
    <xf numFmtId="0" fontId="33" fillId="0" borderId="156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5" fillId="20" borderId="135" xfId="16" applyFont="1" applyFill="1" applyBorder="1" applyAlignment="1">
      <alignment horizontal="center" vertical="center"/>
    </xf>
    <xf numFmtId="0" fontId="45" fillId="0" borderId="134" xfId="16" applyFont="1" applyBorder="1" applyAlignment="1">
      <alignment horizontal="center" vertical="center"/>
    </xf>
    <xf numFmtId="0" fontId="45" fillId="0" borderId="156" xfId="16" applyFont="1" applyBorder="1" applyAlignment="1">
      <alignment horizontal="center" vertical="center"/>
    </xf>
    <xf numFmtId="0" fontId="52" fillId="0" borderId="156" xfId="16" applyFont="1" applyBorder="1" applyAlignment="1">
      <alignment horizontal="center" vertical="center"/>
    </xf>
    <xf numFmtId="0" fontId="52" fillId="0" borderId="135" xfId="16" applyFont="1" applyBorder="1" applyAlignment="1">
      <alignment horizontal="center" vertical="center"/>
    </xf>
    <xf numFmtId="0" fontId="33" fillId="0" borderId="142" xfId="16" applyFont="1" applyBorder="1" applyAlignment="1">
      <alignment vertical="center"/>
    </xf>
    <xf numFmtId="0" fontId="33" fillId="0" borderId="140" xfId="16" applyFont="1" applyBorder="1" applyAlignment="1">
      <alignment vertical="center"/>
    </xf>
    <xf numFmtId="0" fontId="33" fillId="0" borderId="167" xfId="16" applyFont="1" applyBorder="1" applyAlignment="1">
      <alignment vertical="center"/>
    </xf>
    <xf numFmtId="0" fontId="33" fillId="0" borderId="168" xfId="16" applyFont="1" applyBorder="1" applyAlignment="1">
      <alignment vertical="center"/>
    </xf>
    <xf numFmtId="0" fontId="33" fillId="0" borderId="113" xfId="16" applyFont="1" applyBorder="1" applyAlignment="1">
      <alignment vertical="center"/>
    </xf>
    <xf numFmtId="0" fontId="33" fillId="0" borderId="138" xfId="16" applyFont="1" applyBorder="1" applyAlignment="1">
      <alignment vertical="center"/>
    </xf>
    <xf numFmtId="0" fontId="33" fillId="0" borderId="170" xfId="16" applyFont="1" applyBorder="1" applyAlignment="1">
      <alignment vertical="center"/>
    </xf>
    <xf numFmtId="0" fontId="33" fillId="0" borderId="171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34" fillId="16" borderId="95" xfId="7" applyNumberFormat="1" applyFont="1" applyFill="1" applyBorder="1" applyAlignment="1" applyProtection="1">
      <alignment horizontal="center" vertical="center" shrinkToFi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173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0" fillId="0" borderId="29" xfId="0" applyFont="1" applyBorder="1" applyAlignment="1" applyProtection="1">
      <alignment horizontal="center" vertical="center"/>
      <protection locked="0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18" xfId="0" applyNumberFormat="1" applyFont="1" applyFill="1" applyBorder="1" applyAlignment="1">
      <alignment horizontal="center" vertical="center" wrapText="1"/>
    </xf>
    <xf numFmtId="176" fontId="13" fillId="15" borderId="20" xfId="0" applyNumberFormat="1" applyFont="1" applyFill="1" applyBorder="1" applyAlignment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12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22" fillId="13" borderId="22" xfId="0" applyFont="1" applyFill="1" applyBorder="1" applyAlignment="1" applyProtection="1">
      <alignment horizontal="center" vertical="center"/>
      <protection locked="0"/>
    </xf>
    <xf numFmtId="0" fontId="22" fillId="13" borderId="27" xfId="0" applyFont="1" applyFill="1" applyBorder="1" applyAlignment="1" applyProtection="1">
      <alignment horizontal="center" vertical="center"/>
      <protection locked="0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127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36" fillId="15" borderId="13" xfId="4" applyFont="1" applyFill="1" applyBorder="1" applyAlignment="1" applyProtection="1">
      <alignment horizontal="center" vertical="center" wrapText="1"/>
    </xf>
    <xf numFmtId="0" fontId="36" fillId="15" borderId="16" xfId="4" applyFont="1" applyFill="1" applyBorder="1" applyAlignment="1" applyProtection="1">
      <alignment horizontal="center" vertical="center" wrapText="1"/>
    </xf>
    <xf numFmtId="0" fontId="36" fillId="15" borderId="78" xfId="4" applyFont="1" applyFill="1" applyBorder="1" applyAlignment="1" applyProtection="1">
      <alignment horizontal="center" vertical="center" wrapText="1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3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19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6" borderId="31" xfId="4" applyFont="1" applyFill="1" applyBorder="1" applyAlignment="1" applyProtection="1">
      <alignment horizontal="center" vertical="center" wrapText="1"/>
    </xf>
    <xf numFmtId="0" fontId="37" fillId="15" borderId="13" xfId="0" applyFont="1" applyFill="1" applyBorder="1" applyAlignment="1">
      <alignment horizontal="center" vertical="center" wrapText="1"/>
    </xf>
    <xf numFmtId="0" fontId="37" fillId="15" borderId="16" xfId="0" applyFont="1" applyFill="1" applyBorder="1" applyAlignment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 applyProtection="1">
      <alignment horizontal="center" vertical="center"/>
      <protection locked="0"/>
    </xf>
    <xf numFmtId="0" fontId="21" fillId="0" borderId="107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36" fillId="0" borderId="15" xfId="0" applyFont="1" applyBorder="1" applyAlignment="1" applyProtection="1">
      <alignment horizontal="center" vertical="center" wrapText="1"/>
      <protection locked="0"/>
    </xf>
    <xf numFmtId="0" fontId="36" fillId="0" borderId="21" xfId="0" applyFont="1" applyBorder="1" applyAlignment="1" applyProtection="1">
      <alignment horizontal="center" vertical="center" wrapText="1"/>
      <protection locked="0"/>
    </xf>
    <xf numFmtId="0" fontId="36" fillId="0" borderId="2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4" fillId="3" borderId="35" xfId="3" applyFont="1" applyBorder="1" applyAlignment="1" applyProtection="1">
      <alignment horizontal="center" vertical="center"/>
      <protection locked="0"/>
    </xf>
    <xf numFmtId="0" fontId="24" fillId="3" borderId="71" xfId="3" applyFont="1" applyBorder="1" applyAlignment="1" applyProtection="1">
      <alignment horizontal="center" vertical="center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3" fillId="15" borderId="101" xfId="5" applyFont="1" applyFill="1" applyBorder="1" applyAlignment="1" applyProtection="1">
      <alignment horizontal="center" vertical="center" wrapText="1"/>
    </xf>
    <xf numFmtId="0" fontId="13" fillId="15" borderId="102" xfId="5" applyFont="1" applyFill="1" applyBorder="1" applyAlignment="1" applyProtection="1">
      <alignment horizontal="center" vertical="center" wrapText="1"/>
    </xf>
    <xf numFmtId="0" fontId="34" fillId="16" borderId="7" xfId="7" applyNumberFormat="1" applyFont="1" applyFill="1" applyBorder="1" applyAlignment="1" applyProtection="1">
      <alignment horizontal="center" vertical="center" shrinkToFit="1"/>
    </xf>
    <xf numFmtId="0" fontId="34" fillId="16" borderId="17" xfId="7" applyNumberFormat="1" applyFont="1" applyFill="1" applyBorder="1" applyAlignment="1" applyProtection="1">
      <alignment horizontal="center" vertical="center" shrinkToFit="1"/>
    </xf>
    <xf numFmtId="0" fontId="17" fillId="11" borderId="94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14" xfId="7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8" borderId="82" xfId="0" applyFont="1" applyFill="1" applyBorder="1" applyAlignment="1">
      <alignment horizontal="center" vertical="center"/>
    </xf>
    <xf numFmtId="0" fontId="25" fillId="8" borderId="89" xfId="0" applyFont="1" applyFill="1" applyBorder="1" applyAlignment="1">
      <alignment horizontal="center" vertical="center"/>
    </xf>
    <xf numFmtId="0" fontId="25" fillId="8" borderId="90" xfId="0" applyFont="1" applyFill="1" applyBorder="1" applyAlignment="1">
      <alignment horizontal="center" vertical="center"/>
    </xf>
    <xf numFmtId="0" fontId="25" fillId="8" borderId="55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34" fillId="16" borderId="95" xfId="7" applyNumberFormat="1" applyFont="1" applyFill="1" applyBorder="1" applyAlignment="1" applyProtection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7" fillId="11" borderId="94" xfId="7" applyFont="1" applyFill="1" applyBorder="1" applyAlignment="1">
      <alignment horizontal="center" vertical="center"/>
    </xf>
    <xf numFmtId="0" fontId="26" fillId="11" borderId="28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/>
    </xf>
    <xf numFmtId="0" fontId="26" fillId="11" borderId="29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0" fontId="26" fillId="11" borderId="94" xfId="7" applyFont="1" applyFill="1" applyBorder="1" applyAlignment="1">
      <alignment horizontal="center" vertical="center" wrapText="1"/>
    </xf>
    <xf numFmtId="0" fontId="26" fillId="11" borderId="14" xfId="7" applyFont="1" applyFill="1" applyBorder="1" applyAlignment="1">
      <alignment horizontal="center" vertical="center"/>
    </xf>
    <xf numFmtId="0" fontId="26" fillId="11" borderId="95" xfId="7" applyFont="1" applyFill="1" applyBorder="1" applyAlignment="1">
      <alignment horizontal="center" vertical="center"/>
    </xf>
    <xf numFmtId="0" fontId="53" fillId="0" borderId="161" xfId="16" applyFont="1" applyBorder="1" applyAlignment="1">
      <alignment horizontal="center" vertical="center"/>
    </xf>
    <xf numFmtId="0" fontId="38" fillId="0" borderId="158" xfId="16" applyFont="1" applyBorder="1"/>
    <xf numFmtId="0" fontId="33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3" fillId="19" borderId="169" xfId="16" applyFont="1" applyFill="1" applyBorder="1" applyAlignment="1">
      <alignment horizontal="center" vertical="center" wrapText="1"/>
    </xf>
    <xf numFmtId="0" fontId="38" fillId="0" borderId="131" xfId="16" applyFont="1" applyBorder="1"/>
    <xf numFmtId="0" fontId="38" fillId="0" borderId="136" xfId="16" applyFont="1" applyBorder="1"/>
    <xf numFmtId="0" fontId="33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1" fillId="20" borderId="139" xfId="16" applyFont="1" applyFill="1" applyBorder="1" applyAlignment="1">
      <alignment horizontal="center" vertical="center"/>
    </xf>
    <xf numFmtId="0" fontId="38" fillId="0" borderId="141" xfId="16" applyFont="1" applyBorder="1"/>
    <xf numFmtId="0" fontId="51" fillId="20" borderId="135" xfId="16" applyFont="1" applyFill="1" applyBorder="1" applyAlignment="1">
      <alignment horizontal="center" vertical="center"/>
    </xf>
    <xf numFmtId="0" fontId="38" fillId="0" borderId="134" xfId="16" applyFont="1" applyBorder="1"/>
    <xf numFmtId="0" fontId="38" fillId="0" borderId="133" xfId="16" applyFont="1" applyBorder="1"/>
    <xf numFmtId="0" fontId="52" fillId="0" borderId="139" xfId="16" applyFont="1" applyBorder="1" applyAlignment="1">
      <alignment horizontal="center" vertical="center"/>
    </xf>
    <xf numFmtId="0" fontId="54" fillId="0" borderId="141" xfId="16" applyFont="1" applyBorder="1"/>
    <xf numFmtId="0" fontId="45" fillId="20" borderId="133" xfId="16" applyFont="1" applyFill="1" applyBorder="1" applyAlignment="1">
      <alignment horizontal="center" vertical="center" wrapText="1"/>
    </xf>
    <xf numFmtId="0" fontId="45" fillId="0" borderId="135" xfId="16" applyFont="1" applyBorder="1" applyAlignment="1">
      <alignment horizontal="center" vertical="center" wrapText="1"/>
    </xf>
    <xf numFmtId="0" fontId="33" fillId="19" borderId="129" xfId="16" applyFont="1" applyFill="1" applyBorder="1" applyAlignment="1">
      <alignment horizontal="center" vertical="center" wrapText="1"/>
    </xf>
    <xf numFmtId="0" fontId="51" fillId="20" borderId="133" xfId="16" applyFont="1" applyFill="1" applyBorder="1" applyAlignment="1">
      <alignment horizontal="center" vertical="center" wrapText="1"/>
    </xf>
    <xf numFmtId="0" fontId="47" fillId="21" borderId="133" xfId="16" applyFont="1" applyFill="1" applyBorder="1" applyAlignment="1">
      <alignment horizontal="center" vertical="center" wrapText="1"/>
    </xf>
    <xf numFmtId="0" fontId="49" fillId="21" borderId="135" xfId="16" applyFont="1" applyFill="1" applyBorder="1" applyAlignment="1">
      <alignment horizontal="center" vertical="center" wrapText="1"/>
    </xf>
    <xf numFmtId="0" fontId="51" fillId="20" borderId="133" xfId="16" applyFont="1" applyFill="1" applyBorder="1" applyAlignment="1">
      <alignment horizontal="center" vertical="center"/>
    </xf>
    <xf numFmtId="0" fontId="51" fillId="0" borderId="135" xfId="16" applyFont="1" applyBorder="1" applyAlignment="1">
      <alignment horizontal="center" vertical="center"/>
    </xf>
    <xf numFmtId="0" fontId="45" fillId="20" borderId="133" xfId="16" applyFont="1" applyFill="1" applyBorder="1" applyAlignment="1">
      <alignment horizontal="center" vertical="center"/>
    </xf>
    <xf numFmtId="0" fontId="45" fillId="0" borderId="113" xfId="16" applyFont="1" applyBorder="1" applyAlignment="1">
      <alignment horizontal="center" vertical="center"/>
    </xf>
    <xf numFmtId="0" fontId="38" fillId="0" borderId="132" xfId="16" applyFont="1" applyBorder="1"/>
    <xf numFmtId="0" fontId="38" fillId="0" borderId="142" xfId="16" applyFont="1" applyBorder="1"/>
    <xf numFmtId="0" fontId="45" fillId="0" borderId="135" xfId="16" applyFont="1" applyBorder="1" applyAlignment="1">
      <alignment horizontal="center" vertical="center"/>
    </xf>
    <xf numFmtId="0" fontId="47" fillId="0" borderId="147" xfId="16" applyFont="1" applyBorder="1" applyAlignment="1">
      <alignment horizontal="center" vertical="center" wrapText="1"/>
    </xf>
    <xf numFmtId="0" fontId="38" fillId="0" borderId="153" xfId="16" applyFont="1" applyBorder="1"/>
    <xf numFmtId="0" fontId="47" fillId="0" borderId="150" xfId="16" applyFont="1" applyBorder="1" applyAlignment="1">
      <alignment horizontal="center" vertical="center" wrapText="1"/>
    </xf>
    <xf numFmtId="0" fontId="38" fillId="0" borderId="152" xfId="16" applyFont="1" applyBorder="1"/>
    <xf numFmtId="0" fontId="38" fillId="0" borderId="140" xfId="16" applyFont="1" applyBorder="1"/>
    <xf numFmtId="0" fontId="47" fillId="0" borderId="161" xfId="16" applyFont="1" applyBorder="1" applyAlignment="1">
      <alignment horizontal="center" vertical="center" wrapText="1"/>
    </xf>
    <xf numFmtId="0" fontId="47" fillId="0" borderId="163" xfId="16" applyFont="1" applyBorder="1" applyAlignment="1">
      <alignment horizontal="center" vertical="center" wrapText="1"/>
    </xf>
    <xf numFmtId="0" fontId="38" fillId="0" borderId="164" xfId="16" applyFont="1" applyBorder="1"/>
    <xf numFmtId="0" fontId="47" fillId="0" borderId="113" xfId="16" applyFont="1" applyBorder="1" applyAlignment="1">
      <alignment horizontal="center" vertical="center" wrapText="1"/>
    </xf>
    <xf numFmtId="0" fontId="47" fillId="0" borderId="165" xfId="16" applyFont="1" applyBorder="1" applyAlignment="1">
      <alignment horizontal="center" vertical="center" wrapText="1"/>
    </xf>
    <xf numFmtId="0" fontId="38" fillId="0" borderId="166" xfId="16" applyFont="1" applyBorder="1"/>
    <xf numFmtId="0" fontId="47" fillId="0" borderId="135" xfId="16" applyFont="1" applyBorder="1" applyAlignment="1">
      <alignment horizontal="center" vertical="center" wrapText="1"/>
    </xf>
    <xf numFmtId="0" fontId="46" fillId="21" borderId="145" xfId="16" applyFont="1" applyFill="1" applyBorder="1" applyAlignment="1">
      <alignment horizontal="center" vertical="center" wrapText="1"/>
    </xf>
    <xf numFmtId="0" fontId="38" fillId="0" borderId="146" xfId="16" applyFont="1" applyBorder="1"/>
    <xf numFmtId="0" fontId="47" fillId="0" borderId="148" xfId="16" applyFont="1" applyBorder="1" applyAlignment="1">
      <alignment horizontal="center" vertical="center" wrapText="1"/>
    </xf>
    <xf numFmtId="0" fontId="38" fillId="0" borderId="154" xfId="16" applyFont="1" applyBorder="1"/>
    <xf numFmtId="0" fontId="38" fillId="0" borderId="157" xfId="16" applyFont="1" applyBorder="1"/>
    <xf numFmtId="0" fontId="47" fillId="0" borderId="133" xfId="16" applyFont="1" applyBorder="1" applyAlignment="1">
      <alignment horizontal="center" vertical="center" wrapText="1"/>
    </xf>
    <xf numFmtId="0" fontId="49" fillId="0" borderId="135" xfId="16" applyFont="1" applyBorder="1" applyAlignment="1">
      <alignment horizontal="center" vertical="center" wrapText="1"/>
    </xf>
    <xf numFmtId="0" fontId="47" fillId="21" borderId="135" xfId="16" applyFont="1" applyFill="1" applyBorder="1" applyAlignment="1">
      <alignment horizontal="center" vertical="center" wrapText="1"/>
    </xf>
    <xf numFmtId="0" fontId="45" fillId="20" borderId="138" xfId="16" applyFont="1" applyFill="1" applyBorder="1" applyAlignment="1">
      <alignment horizontal="center" vertical="center"/>
    </xf>
    <xf numFmtId="0" fontId="38" fillId="0" borderId="139" xfId="16" applyFont="1" applyBorder="1"/>
    <xf numFmtId="0" fontId="45" fillId="0" borderId="113" xfId="16" applyFont="1" applyBorder="1" applyAlignment="1">
      <alignment horizontal="center" vertical="center" wrapText="1"/>
    </xf>
    <xf numFmtId="0" fontId="38" fillId="0" borderId="138" xfId="16" applyFont="1" applyBorder="1"/>
    <xf numFmtId="0" fontId="41" fillId="0" borderId="0" xfId="16" applyFont="1" applyAlignment="1">
      <alignment horizontal="center" vertical="center"/>
    </xf>
    <xf numFmtId="0" fontId="43" fillId="0" borderId="0" xfId="16" applyFont="1" applyAlignment="1"/>
    <xf numFmtId="0" fontId="44" fillId="0" borderId="130" xfId="16" applyFont="1" applyBorder="1" applyAlignment="1">
      <alignment horizontal="center" vertical="center"/>
    </xf>
    <xf numFmtId="0" fontId="38" fillId="0" borderId="26" xfId="16" applyFont="1" applyBorder="1"/>
    <xf numFmtId="0" fontId="38" fillId="0" borderId="23" xfId="16" applyFont="1" applyBorder="1"/>
    <xf numFmtId="0" fontId="44" fillId="8" borderId="4" xfId="16" applyFont="1" applyFill="1" applyBorder="1" applyAlignment="1">
      <alignment horizontal="center" vertical="center"/>
    </xf>
    <xf numFmtId="0" fontId="38" fillId="8" borderId="26" xfId="16" applyFont="1" applyFill="1" applyBorder="1"/>
    <xf numFmtId="0" fontId="38" fillId="8" borderId="23" xfId="16" applyFont="1" applyFill="1" applyBorder="1"/>
    <xf numFmtId="176" fontId="35" fillId="0" borderId="94" xfId="0" applyNumberFormat="1" applyFont="1" applyBorder="1" applyAlignment="1">
      <alignment horizontal="right" vertical="center"/>
    </xf>
    <xf numFmtId="176" fontId="35" fillId="0" borderId="28" xfId="0" applyNumberFormat="1" applyFont="1" applyBorder="1" applyAlignment="1">
      <alignment horizontal="right" vertical="center"/>
    </xf>
    <xf numFmtId="176" fontId="35" fillId="0" borderId="11" xfId="0" applyNumberFormat="1" applyFont="1" applyBorder="1" applyAlignment="1">
      <alignment horizontal="right" vertical="center"/>
    </xf>
    <xf numFmtId="176" fontId="35" fillId="0" borderId="104" xfId="0" applyNumberFormat="1" applyFont="1" applyBorder="1" applyAlignment="1">
      <alignment horizontal="right" vertical="center"/>
    </xf>
    <xf numFmtId="176" fontId="35" fillId="0" borderId="14" xfId="0" applyNumberFormat="1" applyFont="1" applyBorder="1" applyAlignment="1">
      <alignment horizontal="right" vertical="center"/>
    </xf>
    <xf numFmtId="176" fontId="35" fillId="0" borderId="10" xfId="0" applyNumberFormat="1" applyFont="1" applyBorder="1" applyAlignment="1">
      <alignment horizontal="right" vertical="center"/>
    </xf>
    <xf numFmtId="176" fontId="34" fillId="16" borderId="95" xfId="0" applyNumberFormat="1" applyFont="1" applyFill="1" applyBorder="1" applyAlignment="1">
      <alignment horizontal="right" vertical="center"/>
    </xf>
    <xf numFmtId="176" fontId="34" fillId="16" borderId="29" xfId="0" applyNumberFormat="1" applyFont="1" applyFill="1" applyBorder="1" applyAlignment="1">
      <alignment horizontal="right" vertical="center"/>
    </xf>
    <xf numFmtId="0" fontId="35" fillId="18" borderId="113" xfId="0" applyFont="1" applyFill="1" applyBorder="1" applyAlignment="1">
      <alignment horizontal="center" vertical="center" shrinkToFit="1"/>
    </xf>
    <xf numFmtId="176" fontId="34" fillId="16" borderId="30" xfId="0" applyNumberFormat="1" applyFont="1" applyFill="1" applyBorder="1" applyAlignment="1">
      <alignment horizontal="right" vertical="center"/>
    </xf>
    <xf numFmtId="176" fontId="34" fillId="16" borderId="106" xfId="0" applyNumberFormat="1" applyFont="1" applyFill="1" applyBorder="1" applyAlignment="1">
      <alignment horizontal="right" vertical="center"/>
    </xf>
    <xf numFmtId="176" fontId="35" fillId="18" borderId="11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34" fillId="9" borderId="96" xfId="7" applyFont="1" applyFill="1" applyBorder="1" applyAlignment="1" applyProtection="1">
      <alignment horizontal="center" vertical="center" wrapText="1"/>
    </xf>
    <xf numFmtId="176" fontId="34" fillId="9" borderId="111" xfId="7" applyNumberFormat="1" applyFont="1" applyFill="1" applyBorder="1" applyAlignment="1" applyProtection="1">
      <alignment horizontal="center" vertical="center" wrapText="1"/>
    </xf>
    <xf numFmtId="176" fontId="35" fillId="0" borderId="94" xfId="0" applyNumberFormat="1" applyFont="1" applyBorder="1">
      <alignment vertical="center"/>
    </xf>
    <xf numFmtId="176" fontId="35" fillId="0" borderId="28" xfId="0" applyNumberFormat="1" applyFont="1" applyBorder="1">
      <alignment vertical="center"/>
    </xf>
    <xf numFmtId="0" fontId="34" fillId="9" borderId="24" xfId="7" applyFont="1" applyFill="1" applyBorder="1" applyAlignment="1" applyProtection="1">
      <alignment horizontal="center" vertical="center" wrapText="1"/>
    </xf>
    <xf numFmtId="176" fontId="34" fillId="9" borderId="9" xfId="7" applyNumberFormat="1" applyFont="1" applyFill="1" applyBorder="1" applyAlignment="1" applyProtection="1">
      <alignment horizontal="center" vertical="center" wrapText="1"/>
    </xf>
    <xf numFmtId="176" fontId="35" fillId="0" borderId="14" xfId="0" applyNumberFormat="1" applyFont="1" applyBorder="1">
      <alignment vertical="center"/>
    </xf>
    <xf numFmtId="176" fontId="35" fillId="0" borderId="10" xfId="0" applyNumberFormat="1" applyFont="1" applyBorder="1">
      <alignment vertical="center"/>
    </xf>
    <xf numFmtId="176" fontId="35" fillId="0" borderId="11" xfId="0" applyNumberFormat="1" applyFont="1" applyBorder="1">
      <alignment vertical="center"/>
    </xf>
    <xf numFmtId="176" fontId="35" fillId="0" borderId="104" xfId="0" applyNumberFormat="1" applyFont="1" applyBorder="1">
      <alignment vertical="center"/>
    </xf>
    <xf numFmtId="0" fontId="34" fillId="9" borderId="25" xfId="7" applyFont="1" applyFill="1" applyBorder="1" applyAlignment="1" applyProtection="1">
      <alignment horizontal="center" vertical="center" wrapText="1"/>
    </xf>
    <xf numFmtId="176" fontId="34" fillId="9" borderId="112" xfId="7" applyNumberFormat="1" applyFont="1" applyFill="1" applyBorder="1" applyAlignment="1" applyProtection="1">
      <alignment horizontal="center" vertical="center" wrapText="1"/>
    </xf>
    <xf numFmtId="176" fontId="34" fillId="16" borderId="95" xfId="7" applyNumberFormat="1" applyFont="1" applyFill="1" applyBorder="1" applyAlignment="1" applyProtection="1">
      <alignment horizontal="right" vertical="center" shrinkToFit="1"/>
    </xf>
    <xf numFmtId="0" fontId="34" fillId="9" borderId="5" xfId="7" applyFont="1" applyFill="1" applyBorder="1" applyAlignment="1" applyProtection="1">
      <alignment horizontal="center" vertical="center" wrapText="1"/>
    </xf>
    <xf numFmtId="176" fontId="34" fillId="9" borderId="94" xfId="7" applyNumberFormat="1" applyFont="1" applyFill="1" applyBorder="1" applyAlignment="1" applyProtection="1">
      <alignment horizontal="center" vertical="center" wrapText="1"/>
    </xf>
    <xf numFmtId="0" fontId="34" fillId="9" borderId="103" xfId="7" applyFont="1" applyFill="1" applyBorder="1" applyAlignment="1" applyProtection="1">
      <alignment horizontal="center" vertical="center" wrapText="1"/>
    </xf>
    <xf numFmtId="176" fontId="34" fillId="9" borderId="11" xfId="7" applyNumberFormat="1" applyFont="1" applyFill="1" applyBorder="1" applyAlignment="1" applyProtection="1">
      <alignment horizontal="center" vertical="center" wrapText="1"/>
    </xf>
    <xf numFmtId="0" fontId="34" fillId="9" borderId="12" xfId="7" applyFont="1" applyFill="1" applyBorder="1" applyAlignment="1" applyProtection="1">
      <alignment horizontal="center" vertical="center" wrapText="1"/>
    </xf>
    <xf numFmtId="0" fontId="34" fillId="9" borderId="14" xfId="7" applyFont="1" applyFill="1" applyBorder="1" applyAlignment="1" applyProtection="1">
      <alignment horizontal="center" vertical="center" wrapText="1"/>
    </xf>
    <xf numFmtId="0" fontId="34" fillId="9" borderId="8" xfId="7" applyFont="1" applyFill="1" applyBorder="1" applyAlignment="1" applyProtection="1">
      <alignment horizontal="center" vertical="center" wrapText="1"/>
    </xf>
    <xf numFmtId="0" fontId="34" fillId="9" borderId="95" xfId="7" applyFont="1" applyFill="1" applyBorder="1" applyAlignment="1" applyProtection="1">
      <alignment horizontal="center" vertical="center" wrapText="1"/>
    </xf>
    <xf numFmtId="0" fontId="34" fillId="9" borderId="111" xfId="7" applyFont="1" applyFill="1" applyBorder="1" applyAlignment="1" applyProtection="1">
      <alignment horizontal="center" vertical="center" wrapText="1"/>
    </xf>
    <xf numFmtId="0" fontId="34" fillId="9" borderId="9" xfId="7" applyFont="1" applyFill="1" applyBorder="1" applyAlignment="1" applyProtection="1">
      <alignment horizontal="center" vertical="center" wrapText="1"/>
    </xf>
    <xf numFmtId="0" fontId="34" fillId="9" borderId="112" xfId="7" applyFont="1" applyFill="1" applyBorder="1" applyAlignment="1" applyProtection="1">
      <alignment horizontal="center" vertical="center" wrapText="1"/>
    </xf>
    <xf numFmtId="0" fontId="34" fillId="9" borderId="105" xfId="7" applyFont="1" applyFill="1" applyBorder="1" applyAlignment="1" applyProtection="1">
      <alignment horizontal="center" vertical="center" wrapText="1"/>
    </xf>
    <xf numFmtId="0" fontId="34" fillId="9" borderId="30" xfId="7" applyFont="1" applyFill="1" applyBorder="1" applyAlignment="1" applyProtection="1">
      <alignment horizontal="center" vertical="center" wrapText="1"/>
    </xf>
    <xf numFmtId="0" fontId="35" fillId="0" borderId="94" xfId="0" applyFont="1" applyBorder="1" applyAlignment="1">
      <alignment horizontal="left" vertical="center" shrinkToFit="1"/>
    </xf>
    <xf numFmtId="0" fontId="35" fillId="0" borderId="115" xfId="0" applyFont="1" applyBorder="1" applyAlignment="1">
      <alignment horizontal="center" vertical="center" shrinkToFit="1"/>
    </xf>
    <xf numFmtId="0" fontId="35" fillId="0" borderId="14" xfId="0" applyFont="1" applyBorder="1" applyAlignment="1">
      <alignment horizontal="left" vertical="center" shrinkToFit="1"/>
    </xf>
    <xf numFmtId="0" fontId="35" fillId="0" borderId="116" xfId="0" applyFont="1" applyBorder="1" applyAlignment="1">
      <alignment horizontal="center" vertical="center" shrinkToFit="1"/>
    </xf>
    <xf numFmtId="0" fontId="20" fillId="0" borderId="94" xfId="0" applyFont="1" applyBorder="1" applyAlignment="1">
      <alignment horizontal="left" vertical="center" shrinkToFit="1"/>
    </xf>
    <xf numFmtId="0" fontId="20" fillId="0" borderId="14" xfId="0" applyFont="1" applyBorder="1" applyAlignment="1">
      <alignment horizontal="left" vertical="center" shrinkToFit="1"/>
    </xf>
    <xf numFmtId="0" fontId="56" fillId="0" borderId="94" xfId="0" applyFont="1" applyBorder="1" applyAlignment="1">
      <alignment horizontal="center" vertical="center"/>
    </xf>
    <xf numFmtId="0" fontId="0" fillId="0" borderId="91" xfId="0" applyFont="1" applyBorder="1" applyAlignment="1">
      <alignment horizontal="center" vertical="center" shrinkToFit="1"/>
    </xf>
    <xf numFmtId="0" fontId="0" fillId="0" borderId="80" xfId="0" applyFont="1" applyBorder="1" applyAlignment="1">
      <alignment horizontal="center" vertical="center" shrinkToFit="1"/>
    </xf>
    <xf numFmtId="0" fontId="0" fillId="0" borderId="17" xfId="0" applyFont="1" applyBorder="1" applyAlignment="1">
      <alignment horizontal="center" vertical="center" shrinkToFit="1"/>
    </xf>
    <xf numFmtId="0" fontId="21" fillId="0" borderId="47" xfId="4" applyFont="1" applyFill="1" applyBorder="1" applyAlignment="1" applyProtection="1">
      <alignment horizontal="center" vertical="center" wrapText="1"/>
      <protection locked="0"/>
    </xf>
    <xf numFmtId="0" fontId="21" fillId="0" borderId="58" xfId="4" applyFont="1" applyFill="1" applyBorder="1" applyAlignment="1" applyProtection="1">
      <alignment horizontal="center" vertical="center" wrapText="1"/>
      <protection locked="0"/>
    </xf>
    <xf numFmtId="0" fontId="21" fillId="0" borderId="48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54" xfId="4" applyFont="1" applyFill="1" applyBorder="1" applyAlignment="1" applyProtection="1">
      <alignment horizontal="center" vertical="center" wrapTex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0" borderId="18" xfId="4" applyFont="1" applyFill="1" applyBorder="1" applyAlignment="1" applyProtection="1">
      <alignment horizontal="center" vertical="center" wrapText="1"/>
      <protection locked="0"/>
    </xf>
    <xf numFmtId="0" fontId="21" fillId="0" borderId="20" xfId="4" applyFont="1" applyFill="1" applyBorder="1" applyAlignment="1" applyProtection="1">
      <alignment horizontal="center" vertical="center" wrapText="1"/>
      <protection locked="0"/>
    </xf>
    <xf numFmtId="0" fontId="0" fillId="0" borderId="48" xfId="0" applyFont="1" applyBorder="1" applyAlignment="1" applyProtection="1">
      <alignment horizontal="center" vertical="center"/>
      <protection locked="0"/>
    </xf>
    <xf numFmtId="0" fontId="0" fillId="0" borderId="52" xfId="0" applyFont="1" applyBorder="1" applyAlignment="1" applyProtection="1">
      <alignment horizontal="center" vertical="center"/>
      <protection locked="0"/>
    </xf>
    <xf numFmtId="0" fontId="21" fillId="0" borderId="47" xfId="0" applyFont="1" applyBorder="1" applyAlignment="1" applyProtection="1">
      <alignment horizontal="center" vertical="center" wrapText="1"/>
      <protection locked="0"/>
    </xf>
    <xf numFmtId="0" fontId="21" fillId="0" borderId="58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101" xfId="2" applyFont="1" applyBorder="1" applyAlignment="1" applyProtection="1">
      <alignment horizontal="center" vertical="center" wrapText="1"/>
      <protection locked="0"/>
    </xf>
    <xf numFmtId="0" fontId="21" fillId="0" borderId="102" xfId="2" applyFont="1" applyBorder="1" applyAlignment="1" applyProtection="1">
      <alignment horizontal="center" vertical="center" wrapText="1"/>
      <protection locked="0"/>
    </xf>
    <xf numFmtId="0" fontId="21" fillId="0" borderId="48" xfId="2" applyFont="1" applyBorder="1" applyAlignment="1" applyProtection="1">
      <alignment horizontal="center" vertical="center" wrapText="1"/>
      <protection locked="0"/>
    </xf>
    <xf numFmtId="0" fontId="21" fillId="0" borderId="52" xfId="2" applyFont="1" applyBorder="1" applyAlignment="1" applyProtection="1">
      <alignment horizontal="center" vertical="center" wrapText="1"/>
      <protection locked="0"/>
    </xf>
    <xf numFmtId="0" fontId="21" fillId="0" borderId="48" xfId="0" applyFont="1" applyFill="1" applyBorder="1" applyAlignment="1" applyProtection="1">
      <alignment horizontal="center" vertical="center" shrinkToFit="1"/>
      <protection locked="0"/>
    </xf>
    <xf numFmtId="0" fontId="21" fillId="0" borderId="52" xfId="0" applyFont="1" applyFill="1" applyBorder="1" applyAlignment="1" applyProtection="1">
      <alignment horizontal="center" vertical="center" shrinkToFit="1"/>
      <protection locked="0"/>
    </xf>
    <xf numFmtId="0" fontId="21" fillId="0" borderId="48" xfId="0" applyFont="1" applyBorder="1" applyAlignment="1" applyProtection="1">
      <alignment horizontal="center" vertical="center" shrinkToFit="1"/>
      <protection locked="0"/>
    </xf>
    <xf numFmtId="0" fontId="21" fillId="0" borderId="52" xfId="0" applyFont="1" applyBorder="1" applyAlignment="1" applyProtection="1">
      <alignment horizontal="center" vertical="center" shrinkToFit="1"/>
      <protection locked="0"/>
    </xf>
    <xf numFmtId="0" fontId="21" fillId="0" borderId="47" xfId="0" applyFont="1" applyBorder="1" applyAlignment="1" applyProtection="1">
      <alignment horizontal="center" vertical="center" shrinkToFit="1"/>
      <protection locked="0"/>
    </xf>
    <xf numFmtId="0" fontId="21" fillId="0" borderId="58" xfId="0" applyFont="1" applyBorder="1" applyAlignment="1" applyProtection="1">
      <alignment horizontal="center" vertical="center" shrinkToFit="1"/>
      <protection locked="0"/>
    </xf>
    <xf numFmtId="0" fontId="21" fillId="0" borderId="54" xfId="0" applyFont="1" applyBorder="1" applyAlignment="1" applyProtection="1">
      <alignment horizontal="center" vertical="center" shrinkToFit="1"/>
      <protection locked="0"/>
    </xf>
    <xf numFmtId="0" fontId="21" fillId="0" borderId="51" xfId="0" applyFont="1" applyBorder="1" applyAlignment="1" applyProtection="1">
      <alignment horizontal="center" vertical="center" shrinkToFit="1"/>
      <protection locked="0"/>
    </xf>
    <xf numFmtId="0" fontId="21" fillId="0" borderId="101" xfId="0" applyFont="1" applyBorder="1" applyAlignment="1" applyProtection="1">
      <alignment horizontal="center" vertical="center" shrinkToFit="1"/>
      <protection locked="0"/>
    </xf>
    <xf numFmtId="0" fontId="21" fillId="0" borderId="102" xfId="0" applyFont="1" applyBorder="1" applyAlignment="1" applyProtection="1">
      <alignment horizontal="center" vertical="center" shrinkToFi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69" xfId="4" applyFont="1" applyFill="1" applyBorder="1" applyAlignment="1" applyProtection="1">
      <alignment horizontal="center" vertical="center" wrapText="1"/>
      <protection locked="0"/>
    </xf>
    <xf numFmtId="0" fontId="21" fillId="0" borderId="119" xfId="4" applyFont="1" applyFill="1" applyBorder="1" applyAlignment="1" applyProtection="1">
      <alignment horizontal="center" vertical="center" wrapText="1"/>
      <protection locked="0"/>
    </xf>
    <xf numFmtId="0" fontId="21" fillId="0" borderId="120" xfId="4" applyFont="1" applyFill="1" applyBorder="1" applyAlignment="1" applyProtection="1">
      <alignment horizontal="center" vertical="center" wrapText="1"/>
      <protection locked="0"/>
    </xf>
    <xf numFmtId="0" fontId="21" fillId="0" borderId="34" xfId="4" applyFont="1" applyFill="1" applyBorder="1" applyAlignment="1" applyProtection="1">
      <alignment horizontal="center" vertical="center" wrapText="1"/>
      <protection locked="0"/>
    </xf>
    <xf numFmtId="0" fontId="21" fillId="0" borderId="33" xfId="4" applyFont="1" applyFill="1" applyBorder="1" applyAlignment="1" applyProtection="1">
      <alignment horizontal="center" vertical="center" wrapText="1"/>
      <protection locked="0"/>
    </xf>
    <xf numFmtId="0" fontId="21" fillId="0" borderId="121" xfId="4" applyFont="1" applyFill="1" applyBorder="1" applyAlignment="1" applyProtection="1">
      <alignment horizontal="center" vertical="center" wrapText="1"/>
      <protection locked="0"/>
    </xf>
    <xf numFmtId="0" fontId="21" fillId="0" borderId="122" xfId="4" applyFont="1" applyFill="1" applyBorder="1" applyAlignment="1" applyProtection="1">
      <alignment horizontal="center" vertical="center" wrapText="1"/>
      <protection locked="0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123" xfId="4" applyFont="1" applyFill="1" applyBorder="1" applyAlignment="1" applyProtection="1">
      <alignment horizontal="center" vertical="center" wrapText="1"/>
      <protection locked="0"/>
    </xf>
    <xf numFmtId="0" fontId="21" fillId="0" borderId="124" xfId="4" applyFont="1" applyFill="1" applyBorder="1" applyAlignment="1" applyProtection="1">
      <alignment horizontal="center" vertical="center" wrapText="1"/>
      <protection locked="0"/>
    </xf>
    <xf numFmtId="0" fontId="21" fillId="0" borderId="125" xfId="4" applyFont="1" applyFill="1" applyBorder="1" applyAlignment="1" applyProtection="1">
      <alignment horizontal="center" vertical="center" wrapText="1"/>
      <protection locked="0"/>
    </xf>
    <xf numFmtId="0" fontId="21" fillId="0" borderId="4" xfId="4" applyFont="1" applyFill="1" applyBorder="1" applyAlignment="1" applyProtection="1">
      <alignment horizontal="center" vertical="center" wrapText="1"/>
      <protection locked="0"/>
    </xf>
    <xf numFmtId="0" fontId="21" fillId="0" borderId="66" xfId="4" applyFont="1" applyFill="1" applyBorder="1" applyAlignment="1" applyProtection="1">
      <alignment horizontal="center" vertical="center" wrapText="1"/>
      <protection locked="0"/>
    </xf>
    <xf numFmtId="0" fontId="21" fillId="0" borderId="65" xfId="4" applyFont="1" applyFill="1" applyBorder="1" applyAlignment="1" applyProtection="1">
      <alignment horizontal="center" vertical="center" wrapText="1"/>
      <protection locked="0"/>
    </xf>
    <xf numFmtId="0" fontId="21" fillId="0" borderId="126" xfId="4" applyFont="1" applyFill="1" applyBorder="1" applyAlignment="1" applyProtection="1">
      <alignment horizontal="center" vertical="center" wrapText="1"/>
      <protection locked="0"/>
    </xf>
    <xf numFmtId="0" fontId="21" fillId="0" borderId="127" xfId="4" applyFont="1" applyFill="1" applyBorder="1" applyAlignment="1" applyProtection="1">
      <alignment horizontal="center" vertical="center" wrapText="1"/>
      <protection locked="0"/>
    </xf>
    <xf numFmtId="0" fontId="21" fillId="0" borderId="23" xfId="4" applyFont="1" applyFill="1" applyBorder="1" applyAlignment="1" applyProtection="1">
      <alignment horizontal="center" vertical="center" wrapText="1"/>
      <protection locked="0"/>
    </xf>
    <xf numFmtId="0" fontId="21" fillId="10" borderId="55" xfId="6" applyFont="1" applyFill="1" applyBorder="1" applyAlignment="1" applyProtection="1">
      <alignment horizontal="center" vertical="center" wrapText="1"/>
    </xf>
    <xf numFmtId="0" fontId="21" fillId="10" borderId="56" xfId="6" applyFont="1" applyFill="1" applyBorder="1" applyAlignment="1" applyProtection="1">
      <alignment horizontal="center" vertical="center" wrapText="1"/>
    </xf>
    <xf numFmtId="0" fontId="21" fillId="10" borderId="62" xfId="6" applyFont="1" applyFill="1" applyBorder="1" applyAlignment="1" applyProtection="1">
      <alignment horizontal="center" vertical="center" wrapText="1"/>
    </xf>
    <xf numFmtId="0" fontId="21" fillId="10" borderId="81" xfId="6" applyFont="1" applyFill="1" applyBorder="1" applyAlignment="1" applyProtection="1">
      <alignment horizontal="center" vertical="center" wrapText="1"/>
    </xf>
    <xf numFmtId="0" fontId="21" fillId="10" borderId="85" xfId="6" applyFont="1" applyFill="1" applyBorder="1" applyAlignment="1" applyProtection="1">
      <alignment horizontal="center" vertical="center" wrapText="1"/>
    </xf>
    <xf numFmtId="0" fontId="21" fillId="10" borderId="63" xfId="6" applyFont="1" applyFill="1" applyBorder="1" applyAlignment="1" applyProtection="1">
      <alignment horizontal="center" vertical="center" wrapText="1"/>
    </xf>
    <xf numFmtId="0" fontId="21" fillId="10" borderId="57" xfId="6" applyFont="1" applyFill="1" applyBorder="1" applyAlignment="1" applyProtection="1">
      <alignment horizontal="center" vertical="center" wrapText="1"/>
    </xf>
    <xf numFmtId="0" fontId="21" fillId="0" borderId="59" xfId="4" applyFont="1" applyFill="1" applyBorder="1" applyAlignment="1" applyProtection="1">
      <alignment horizontal="center" vertical="center" wrapText="1"/>
      <protection locked="0"/>
    </xf>
    <xf numFmtId="0" fontId="21" fillId="0" borderId="61" xfId="4" applyFont="1" applyFill="1" applyBorder="1" applyAlignment="1" applyProtection="1">
      <alignment horizontal="center" vertical="center" wrapText="1"/>
      <protection locked="0"/>
    </xf>
    <xf numFmtId="0" fontId="21" fillId="0" borderId="88" xfId="4" applyFont="1" applyFill="1" applyBorder="1" applyAlignment="1" applyProtection="1">
      <alignment horizontal="center" vertical="center" wrapText="1"/>
      <protection locked="0"/>
    </xf>
    <xf numFmtId="0" fontId="21" fillId="0" borderId="79" xfId="4" applyFont="1" applyFill="1" applyBorder="1" applyAlignment="1" applyProtection="1">
      <alignment horizontal="center" vertical="center" wrapText="1"/>
      <protection locked="0"/>
    </xf>
    <xf numFmtId="0" fontId="21" fillId="0" borderId="101" xfId="4" applyFont="1" applyFill="1" applyBorder="1" applyAlignment="1" applyProtection="1">
      <alignment horizontal="center" vertical="center" wrapText="1"/>
      <protection locked="0"/>
    </xf>
    <xf numFmtId="0" fontId="21" fillId="0" borderId="175" xfId="4" applyFont="1" applyFill="1" applyBorder="1" applyAlignment="1" applyProtection="1">
      <alignment horizontal="center" vertical="center" wrapText="1"/>
      <protection locked="0"/>
    </xf>
    <xf numFmtId="0" fontId="21" fillId="0" borderId="176" xfId="4" applyFont="1" applyFill="1" applyBorder="1" applyAlignment="1" applyProtection="1">
      <alignment horizontal="center" vertical="center" wrapText="1"/>
      <protection locked="0"/>
    </xf>
    <xf numFmtId="0" fontId="21" fillId="0" borderId="177" xfId="4" applyFont="1" applyFill="1" applyBorder="1" applyAlignment="1" applyProtection="1">
      <alignment horizontal="center" vertical="center" wrapText="1"/>
      <protection locked="0"/>
    </xf>
    <xf numFmtId="0" fontId="21" fillId="0" borderId="178" xfId="4" applyFont="1" applyFill="1" applyBorder="1" applyAlignment="1" applyProtection="1">
      <alignment horizontal="center" vertical="center" wrapText="1"/>
      <protection locked="0"/>
    </xf>
    <xf numFmtId="0" fontId="21" fillId="0" borderId="179" xfId="4" applyFont="1" applyFill="1" applyBorder="1" applyAlignment="1" applyProtection="1">
      <alignment horizontal="center" vertical="center" wrapText="1"/>
      <protection locked="0"/>
    </xf>
    <xf numFmtId="0" fontId="21" fillId="0" borderId="102" xfId="4" applyFont="1" applyFill="1" applyBorder="1" applyAlignment="1" applyProtection="1">
      <alignment horizontal="center" vertical="center" wrapText="1"/>
      <protection locked="0"/>
    </xf>
    <xf numFmtId="0" fontId="21" fillId="0" borderId="68" xfId="4" applyFont="1" applyFill="1" applyBorder="1" applyAlignment="1" applyProtection="1">
      <alignment horizontal="center" vertical="center" wrapText="1"/>
      <protection locked="0"/>
    </xf>
    <xf numFmtId="0" fontId="21" fillId="9" borderId="48" xfId="4" applyFont="1" applyFill="1" applyBorder="1" applyAlignment="1" applyProtection="1">
      <alignment horizontal="center" vertical="center" wrapText="1"/>
      <protection locked="0"/>
    </xf>
    <xf numFmtId="0" fontId="21" fillId="9" borderId="34" xfId="4" applyFont="1" applyFill="1" applyBorder="1" applyAlignment="1" applyProtection="1">
      <alignment horizontal="center" vertical="center" wrapText="1"/>
      <protection locked="0"/>
    </xf>
    <xf numFmtId="0" fontId="21" fillId="9" borderId="48" xfId="4" applyFont="1" applyFill="1" applyBorder="1" applyAlignment="1" applyProtection="1">
      <alignment horizontal="center" vertical="center" wrapText="1"/>
      <protection locked="0"/>
    </xf>
    <xf numFmtId="0" fontId="21" fillId="9" borderId="34" xfId="4" applyFont="1" applyFill="1" applyBorder="1" applyAlignment="1" applyProtection="1">
      <alignment horizontal="center" vertical="center" wrapText="1"/>
      <protection locked="0"/>
    </xf>
    <xf numFmtId="0" fontId="21" fillId="0" borderId="77" xfId="4" applyFont="1" applyFill="1" applyBorder="1" applyAlignment="1" applyProtection="1">
      <alignment horizontal="center" vertical="center" wrapText="1"/>
      <protection locked="0"/>
    </xf>
    <xf numFmtId="0" fontId="21" fillId="0" borderId="3" xfId="4" applyFont="1" applyFill="1" applyBorder="1" applyAlignment="1" applyProtection="1">
      <alignment horizontal="center" vertical="center" wrapText="1"/>
      <protection locked="0"/>
    </xf>
    <xf numFmtId="0" fontId="21" fillId="15" borderId="39" xfId="4" applyFont="1" applyFill="1" applyBorder="1" applyAlignment="1" applyProtection="1">
      <alignment horizontal="center" vertical="center" wrapText="1"/>
    </xf>
    <xf numFmtId="0" fontId="21" fillId="0" borderId="40" xfId="4" applyFont="1" applyFill="1" applyBorder="1" applyAlignment="1" applyProtection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72" xfId="4" applyFont="1" applyFill="1" applyBorder="1" applyAlignment="1" applyProtection="1">
      <alignment horizontal="center" vertical="center" wrapText="1"/>
    </xf>
    <xf numFmtId="0" fontId="21" fillId="0" borderId="53" xfId="4" applyFont="1" applyFill="1" applyBorder="1" applyAlignment="1" applyProtection="1">
      <alignment horizontal="center" vertical="center" wrapText="1"/>
    </xf>
    <xf numFmtId="0" fontId="21" fillId="15" borderId="60" xfId="4" applyFont="1" applyFill="1" applyBorder="1" applyAlignment="1" applyProtection="1">
      <alignment horizontal="center" vertical="center" wrapText="1"/>
    </xf>
    <xf numFmtId="0" fontId="21" fillId="15" borderId="67" xfId="4" applyFont="1" applyFill="1" applyBorder="1" applyAlignment="1" applyProtection="1">
      <alignment horizontal="center" vertical="center" wrapText="1"/>
    </xf>
    <xf numFmtId="0" fontId="21" fillId="0" borderId="99" xfId="4" applyFont="1" applyFill="1" applyBorder="1" applyAlignment="1" applyProtection="1">
      <alignment horizontal="center" vertical="center" wrapText="1"/>
    </xf>
    <xf numFmtId="0" fontId="21" fillId="15" borderId="100" xfId="4" applyFont="1" applyFill="1" applyBorder="1" applyAlignment="1" applyProtection="1">
      <alignment horizontal="center" vertical="center" wrapText="1"/>
    </xf>
    <xf numFmtId="0" fontId="21" fillId="0" borderId="32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2" xfId="4" applyFont="1" applyFill="1" applyBorder="1" applyAlignment="1" applyProtection="1">
      <alignment horizontal="center" vertical="center" wrapText="1"/>
    </xf>
    <xf numFmtId="0" fontId="21" fillId="0" borderId="40" xfId="4" applyFont="1" applyFill="1" applyBorder="1" applyAlignment="1" applyProtection="1">
      <alignment vertical="center" wrapText="1"/>
    </xf>
    <xf numFmtId="0" fontId="21" fillId="0" borderId="32" xfId="4" applyFont="1" applyFill="1" applyBorder="1" applyAlignment="1" applyProtection="1">
      <alignment vertical="center" wrapText="1"/>
    </xf>
    <xf numFmtId="0" fontId="21" fillId="15" borderId="44" xfId="4" applyFont="1" applyFill="1" applyBorder="1" applyAlignment="1" applyProtection="1">
      <alignment horizontal="center" vertical="center" wrapText="1"/>
    </xf>
    <xf numFmtId="0" fontId="21" fillId="0" borderId="45" xfId="4" applyFont="1" applyFill="1" applyBorder="1" applyAlignment="1" applyProtection="1">
      <alignment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1" fillId="0" borderId="99" xfId="4" applyFont="1" applyFill="1" applyBorder="1" applyAlignment="1" applyProtection="1">
      <alignment vertical="center" wrapText="1"/>
    </xf>
    <xf numFmtId="0" fontId="21" fillId="0" borderId="53" xfId="4" applyFont="1" applyFill="1" applyBorder="1" applyAlignment="1" applyProtection="1">
      <alignment vertical="center" wrapText="1"/>
    </xf>
    <xf numFmtId="0" fontId="0" fillId="0" borderId="12" xfId="0" applyBorder="1" applyAlignment="1" applyProtection="1">
      <alignment horizontal="center" vertical="center" shrinkToFit="1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33867</xdr:colOff>
      <xdr:row>7</xdr:row>
      <xdr:rowOff>33867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367" y="22034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0"/>
  <sheetViews>
    <sheetView tabSelected="1" view="pageBreakPreview" zoomScaleNormal="100" zoomScaleSheetLayoutView="100" workbookViewId="0">
      <pane ySplit="8" topLeftCell="A42" activePane="bottomLeft" state="frozen"/>
      <selection pane="bottomLeft" activeCell="AD62" sqref="AD6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325" t="s">
        <v>521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6"/>
      <c r="V2" s="327" t="s">
        <v>130</v>
      </c>
      <c r="W2" s="328"/>
      <c r="X2" s="323">
        <v>2027</v>
      </c>
      <c r="Y2" s="324"/>
      <c r="AA2" s="329" t="s">
        <v>143</v>
      </c>
      <c r="AB2" s="19" t="s">
        <v>144</v>
      </c>
      <c r="AC2" s="46" t="s">
        <v>151</v>
      </c>
      <c r="AD2" s="20" t="s">
        <v>145</v>
      </c>
    </row>
    <row r="3" spans="2:30" ht="18" thickBot="1">
      <c r="B3" s="306" t="s">
        <v>365</v>
      </c>
      <c r="C3" s="308" t="s">
        <v>53</v>
      </c>
      <c r="D3" s="309"/>
      <c r="E3" s="309"/>
      <c r="F3" s="308" t="s">
        <v>64</v>
      </c>
      <c r="G3" s="312"/>
      <c r="H3" s="308" t="s">
        <v>54</v>
      </c>
      <c r="I3" s="309"/>
      <c r="J3" s="309"/>
      <c r="K3" s="308" t="s">
        <v>55</v>
      </c>
      <c r="L3" s="309"/>
      <c r="M3" s="309"/>
      <c r="N3" s="309"/>
      <c r="O3" s="312"/>
      <c r="P3" s="314" t="s">
        <v>56</v>
      </c>
      <c r="Q3" s="315"/>
      <c r="R3" s="315"/>
      <c r="S3" s="315"/>
      <c r="T3" s="315"/>
      <c r="U3" s="315"/>
      <c r="V3" s="315"/>
      <c r="W3" s="315"/>
      <c r="X3" s="315"/>
      <c r="Y3" s="316"/>
      <c r="AA3" s="330"/>
      <c r="AB3" s="21" t="s">
        <v>146</v>
      </c>
      <c r="AC3" s="53" t="s">
        <v>523</v>
      </c>
      <c r="AD3" s="22" t="s">
        <v>524</v>
      </c>
    </row>
    <row r="4" spans="2:30" ht="18" thickBot="1">
      <c r="B4" s="307"/>
      <c r="C4" s="310"/>
      <c r="D4" s="311"/>
      <c r="E4" s="311"/>
      <c r="F4" s="310"/>
      <c r="G4" s="313"/>
      <c r="H4" s="310"/>
      <c r="I4" s="311"/>
      <c r="J4" s="311"/>
      <c r="K4" s="310"/>
      <c r="L4" s="311"/>
      <c r="M4" s="311"/>
      <c r="N4" s="311"/>
      <c r="O4" s="313"/>
      <c r="P4" s="314" t="s">
        <v>127</v>
      </c>
      <c r="Q4" s="315"/>
      <c r="R4" s="315"/>
      <c r="S4" s="315"/>
      <c r="T4" s="314" t="s">
        <v>61</v>
      </c>
      <c r="U4" s="315"/>
      <c r="V4" s="316"/>
      <c r="W4" s="315" t="s">
        <v>128</v>
      </c>
      <c r="X4" s="315"/>
      <c r="Y4" s="316"/>
      <c r="AA4" s="330"/>
      <c r="AB4" s="23" t="s">
        <v>147</v>
      </c>
      <c r="AC4" s="54" t="s">
        <v>526</v>
      </c>
      <c r="AD4" s="22" t="s">
        <v>525</v>
      </c>
    </row>
    <row r="5" spans="2:30" ht="26.25" customHeight="1" thickBot="1">
      <c r="B5" s="87" t="s">
        <v>519</v>
      </c>
      <c r="C5" s="272" t="s">
        <v>522</v>
      </c>
      <c r="D5" s="273"/>
      <c r="E5" s="274"/>
      <c r="F5" s="272" t="s">
        <v>154</v>
      </c>
      <c r="G5" s="275"/>
      <c r="H5" s="276" t="s">
        <v>528</v>
      </c>
      <c r="I5" s="273"/>
      <c r="J5" s="274"/>
      <c r="K5" s="272"/>
      <c r="L5" s="273"/>
      <c r="M5" s="273"/>
      <c r="N5" s="273"/>
      <c r="O5" s="275"/>
      <c r="P5" s="276" t="s">
        <v>527</v>
      </c>
      <c r="Q5" s="273"/>
      <c r="R5" s="273"/>
      <c r="S5" s="274"/>
      <c r="T5" s="272" t="s">
        <v>34</v>
      </c>
      <c r="U5" s="273"/>
      <c r="V5" s="274"/>
      <c r="W5" s="277" t="s">
        <v>529</v>
      </c>
      <c r="X5" s="278"/>
      <c r="Y5" s="279"/>
      <c r="AA5" s="331"/>
      <c r="AB5" s="159" t="s">
        <v>148</v>
      </c>
      <c r="AC5" s="160" t="s">
        <v>526</v>
      </c>
      <c r="AD5" s="161" t="s">
        <v>525</v>
      </c>
    </row>
    <row r="6" spans="2:30" ht="15.75" customHeight="1" thickBot="1">
      <c r="U6" s="280"/>
      <c r="V6" s="280"/>
      <c r="W6" s="280"/>
      <c r="X6" s="280"/>
      <c r="Y6" s="280"/>
    </row>
    <row r="7" spans="2:30" s="10" customFormat="1" ht="22.5" customHeight="1">
      <c r="B7" s="281" t="s">
        <v>2</v>
      </c>
      <c r="C7" s="282"/>
      <c r="D7" s="285" t="s">
        <v>120</v>
      </c>
      <c r="E7" s="287" t="s">
        <v>57</v>
      </c>
      <c r="F7" s="288"/>
      <c r="G7" s="289"/>
      <c r="H7" s="290" t="s">
        <v>133</v>
      </c>
      <c r="I7" s="293" t="s">
        <v>134</v>
      </c>
      <c r="J7" s="297" t="s">
        <v>135</v>
      </c>
      <c r="K7" s="292" t="s">
        <v>58</v>
      </c>
      <c r="L7" s="293"/>
      <c r="M7" s="293"/>
      <c r="N7" s="294"/>
      <c r="O7" s="295" t="s">
        <v>59</v>
      </c>
      <c r="P7" s="293"/>
      <c r="Q7" s="293"/>
      <c r="R7" s="294"/>
      <c r="S7" s="292" t="s">
        <v>60</v>
      </c>
      <c r="T7" s="293"/>
      <c r="U7" s="293"/>
      <c r="V7" s="296"/>
      <c r="W7" s="290" t="s">
        <v>136</v>
      </c>
      <c r="X7" s="297"/>
      <c r="Y7" s="289" t="s">
        <v>137</v>
      </c>
      <c r="Z7" s="9"/>
    </row>
    <row r="8" spans="2:30" s="10" customFormat="1" ht="22.5" customHeight="1" thickBot="1">
      <c r="B8" s="283"/>
      <c r="C8" s="284"/>
      <c r="D8" s="286"/>
      <c r="E8" s="24" t="s">
        <v>18</v>
      </c>
      <c r="F8" s="300" t="s">
        <v>19</v>
      </c>
      <c r="G8" s="301"/>
      <c r="H8" s="291"/>
      <c r="I8" s="303"/>
      <c r="J8" s="298"/>
      <c r="K8" s="302" t="s">
        <v>0</v>
      </c>
      <c r="L8" s="303"/>
      <c r="M8" s="303" t="s">
        <v>62</v>
      </c>
      <c r="N8" s="304"/>
      <c r="O8" s="305" t="s">
        <v>0</v>
      </c>
      <c r="P8" s="303"/>
      <c r="Q8" s="303" t="s">
        <v>62</v>
      </c>
      <c r="R8" s="304"/>
      <c r="S8" s="302" t="s">
        <v>0</v>
      </c>
      <c r="T8" s="303"/>
      <c r="U8" s="303" t="s">
        <v>62</v>
      </c>
      <c r="V8" s="332"/>
      <c r="W8" s="291"/>
      <c r="X8" s="298"/>
      <c r="Y8" s="299"/>
      <c r="AA8" s="177" t="s">
        <v>505</v>
      </c>
      <c r="AB8" s="177"/>
      <c r="AC8" s="177"/>
      <c r="AD8" s="177"/>
    </row>
    <row r="9" spans="2:30" ht="16.5" customHeight="1" thickBot="1">
      <c r="B9" s="317" t="s">
        <v>338</v>
      </c>
      <c r="C9" s="318"/>
      <c r="D9" s="258" t="s">
        <v>21</v>
      </c>
      <c r="E9" s="55" t="s">
        <v>12</v>
      </c>
      <c r="F9" s="483" t="s">
        <v>202</v>
      </c>
      <c r="G9" s="484"/>
      <c r="H9" s="56">
        <v>4</v>
      </c>
      <c r="I9" s="57" t="s">
        <v>339</v>
      </c>
      <c r="J9" s="58">
        <v>3</v>
      </c>
      <c r="K9" s="483"/>
      <c r="L9" s="511"/>
      <c r="M9" s="512"/>
      <c r="N9" s="513"/>
      <c r="O9" s="514">
        <v>3</v>
      </c>
      <c r="P9" s="511"/>
      <c r="Q9" s="512"/>
      <c r="R9" s="513"/>
      <c r="S9" s="514"/>
      <c r="T9" s="511"/>
      <c r="U9" s="512"/>
      <c r="V9" s="484"/>
      <c r="W9" s="59">
        <f>SUM(K9:V9)</f>
        <v>3</v>
      </c>
      <c r="X9" s="269">
        <f>SUM(W9:W11)</f>
        <v>9</v>
      </c>
      <c r="Y9" s="262">
        <v>24</v>
      </c>
      <c r="AA9" s="148" t="s">
        <v>506</v>
      </c>
      <c r="AB9" s="149" t="s">
        <v>512</v>
      </c>
      <c r="AC9" s="149" t="s">
        <v>513</v>
      </c>
      <c r="AD9" s="150" t="s">
        <v>514</v>
      </c>
    </row>
    <row r="10" spans="2:30" ht="18" thickBot="1">
      <c r="B10" s="319"/>
      <c r="C10" s="320"/>
      <c r="D10" s="259"/>
      <c r="E10" s="60" t="s">
        <v>12</v>
      </c>
      <c r="F10" s="485" t="s">
        <v>203</v>
      </c>
      <c r="G10" s="486"/>
      <c r="H10" s="61">
        <v>4</v>
      </c>
      <c r="I10" s="62" t="s">
        <v>339</v>
      </c>
      <c r="J10" s="63">
        <v>3</v>
      </c>
      <c r="K10" s="485"/>
      <c r="L10" s="515"/>
      <c r="M10" s="516"/>
      <c r="N10" s="517"/>
      <c r="O10" s="518"/>
      <c r="P10" s="515"/>
      <c r="Q10" s="516">
        <v>3</v>
      </c>
      <c r="R10" s="517"/>
      <c r="S10" s="518"/>
      <c r="T10" s="515"/>
      <c r="U10" s="516"/>
      <c r="V10" s="486"/>
      <c r="W10" s="64">
        <f t="shared" ref="W10:W24" si="0">SUM(K10:V10)</f>
        <v>3</v>
      </c>
      <c r="X10" s="270"/>
      <c r="Y10" s="262"/>
      <c r="AA10" s="151" t="s">
        <v>507</v>
      </c>
      <c r="AB10" s="152">
        <v>4</v>
      </c>
      <c r="AC10" s="152">
        <v>-1</v>
      </c>
      <c r="AD10" s="22" t="s">
        <v>515</v>
      </c>
    </row>
    <row r="11" spans="2:30" ht="18" thickBot="1">
      <c r="B11" s="319"/>
      <c r="C11" s="320"/>
      <c r="D11" s="265"/>
      <c r="E11" s="65" t="s">
        <v>340</v>
      </c>
      <c r="F11" s="487" t="s">
        <v>341</v>
      </c>
      <c r="G11" s="488"/>
      <c r="H11" s="66">
        <v>3</v>
      </c>
      <c r="I11" s="67" t="s">
        <v>342</v>
      </c>
      <c r="J11" s="68">
        <v>3</v>
      </c>
      <c r="K11" s="487"/>
      <c r="L11" s="519"/>
      <c r="M11" s="520"/>
      <c r="N11" s="521"/>
      <c r="O11" s="522"/>
      <c r="P11" s="519"/>
      <c r="Q11" s="520"/>
      <c r="R11" s="521"/>
      <c r="S11" s="522">
        <v>3</v>
      </c>
      <c r="T11" s="519"/>
      <c r="U11" s="520"/>
      <c r="V11" s="488"/>
      <c r="W11" s="64">
        <f t="shared" si="0"/>
        <v>3</v>
      </c>
      <c r="X11" s="270"/>
      <c r="Y11" s="262"/>
      <c r="AA11" s="151" t="s">
        <v>508</v>
      </c>
      <c r="AB11" s="152">
        <v>3</v>
      </c>
      <c r="AC11" s="152"/>
      <c r="AD11" s="22">
        <v>3</v>
      </c>
    </row>
    <row r="12" spans="2:30" ht="18" thickBot="1">
      <c r="B12" s="319"/>
      <c r="C12" s="320"/>
      <c r="D12" s="258" t="s">
        <v>5</v>
      </c>
      <c r="E12" s="55" t="s">
        <v>12</v>
      </c>
      <c r="F12" s="483" t="s">
        <v>214</v>
      </c>
      <c r="G12" s="484"/>
      <c r="H12" s="56">
        <v>4</v>
      </c>
      <c r="I12" s="57" t="s">
        <v>339</v>
      </c>
      <c r="J12" s="58">
        <v>3</v>
      </c>
      <c r="K12" s="483"/>
      <c r="L12" s="511"/>
      <c r="M12" s="512">
        <v>3</v>
      </c>
      <c r="N12" s="513"/>
      <c r="O12" s="514"/>
      <c r="P12" s="511"/>
      <c r="Q12" s="512"/>
      <c r="R12" s="513"/>
      <c r="S12" s="514"/>
      <c r="T12" s="511"/>
      <c r="U12" s="512"/>
      <c r="V12" s="484"/>
      <c r="W12" s="59">
        <f t="shared" si="0"/>
        <v>3</v>
      </c>
      <c r="X12" s="269">
        <f t="shared" ref="X12" si="1">SUM(W12:W14)</f>
        <v>9</v>
      </c>
      <c r="Y12" s="262"/>
      <c r="AA12" s="151" t="s">
        <v>509</v>
      </c>
      <c r="AB12" s="152">
        <v>4</v>
      </c>
      <c r="AC12" s="152" t="s">
        <v>518</v>
      </c>
      <c r="AD12" s="22" t="s">
        <v>516</v>
      </c>
    </row>
    <row r="13" spans="2:30" ht="18" thickBot="1">
      <c r="B13" s="319"/>
      <c r="C13" s="320"/>
      <c r="D13" s="259"/>
      <c r="E13" s="60" t="s">
        <v>12</v>
      </c>
      <c r="F13" s="485" t="s">
        <v>216</v>
      </c>
      <c r="G13" s="486"/>
      <c r="H13" s="61">
        <v>4</v>
      </c>
      <c r="I13" s="62" t="s">
        <v>339</v>
      </c>
      <c r="J13" s="63">
        <v>3</v>
      </c>
      <c r="K13" s="485"/>
      <c r="L13" s="515"/>
      <c r="M13" s="516"/>
      <c r="N13" s="517"/>
      <c r="O13" s="518">
        <v>3</v>
      </c>
      <c r="P13" s="515"/>
      <c r="Q13" s="516"/>
      <c r="R13" s="517"/>
      <c r="S13" s="518"/>
      <c r="T13" s="515"/>
      <c r="U13" s="516"/>
      <c r="V13" s="486"/>
      <c r="W13" s="64">
        <f t="shared" si="0"/>
        <v>3</v>
      </c>
      <c r="X13" s="270"/>
      <c r="Y13" s="262"/>
      <c r="AA13" s="573" t="s">
        <v>510</v>
      </c>
      <c r="AB13" s="152">
        <v>3</v>
      </c>
      <c r="AC13" s="152" t="s">
        <v>518</v>
      </c>
      <c r="AD13" s="22" t="s">
        <v>517</v>
      </c>
    </row>
    <row r="14" spans="2:30" ht="18" thickBot="1">
      <c r="B14" s="319"/>
      <c r="C14" s="320"/>
      <c r="D14" s="265"/>
      <c r="E14" s="65" t="s">
        <v>340</v>
      </c>
      <c r="F14" s="487" t="s">
        <v>343</v>
      </c>
      <c r="G14" s="488"/>
      <c r="H14" s="66">
        <v>4</v>
      </c>
      <c r="I14" s="67" t="s">
        <v>342</v>
      </c>
      <c r="J14" s="68">
        <v>3</v>
      </c>
      <c r="K14" s="487"/>
      <c r="L14" s="519"/>
      <c r="M14" s="520"/>
      <c r="N14" s="521"/>
      <c r="O14" s="522"/>
      <c r="P14" s="519"/>
      <c r="Q14" s="520">
        <v>3</v>
      </c>
      <c r="R14" s="521"/>
      <c r="S14" s="522"/>
      <c r="T14" s="519"/>
      <c r="U14" s="520"/>
      <c r="V14" s="488"/>
      <c r="W14" s="64">
        <f t="shared" si="0"/>
        <v>3</v>
      </c>
      <c r="X14" s="270"/>
      <c r="Y14" s="262"/>
      <c r="AA14" s="153" t="s">
        <v>511</v>
      </c>
      <c r="AB14" s="175" t="s">
        <v>520</v>
      </c>
      <c r="AC14" s="175"/>
      <c r="AD14" s="176"/>
    </row>
    <row r="15" spans="2:30" ht="18" thickBot="1">
      <c r="B15" s="319"/>
      <c r="C15" s="320"/>
      <c r="D15" s="258" t="s">
        <v>6</v>
      </c>
      <c r="E15" s="55" t="s">
        <v>12</v>
      </c>
      <c r="F15" s="483" t="s">
        <v>344</v>
      </c>
      <c r="G15" s="484"/>
      <c r="H15" s="56">
        <v>4</v>
      </c>
      <c r="I15" s="57" t="s">
        <v>339</v>
      </c>
      <c r="J15" s="58">
        <v>3</v>
      </c>
      <c r="K15" s="483">
        <v>3</v>
      </c>
      <c r="L15" s="511"/>
      <c r="M15" s="512"/>
      <c r="N15" s="513"/>
      <c r="O15" s="514"/>
      <c r="P15" s="511"/>
      <c r="Q15" s="512"/>
      <c r="R15" s="513"/>
      <c r="S15" s="514"/>
      <c r="T15" s="511"/>
      <c r="U15" s="512"/>
      <c r="V15" s="484"/>
      <c r="W15" s="59">
        <f t="shared" si="0"/>
        <v>3</v>
      </c>
      <c r="X15" s="269">
        <f t="shared" ref="X15" si="2">SUM(W15:W17)</f>
        <v>9</v>
      </c>
      <c r="Y15" s="262"/>
    </row>
    <row r="16" spans="2:30" ht="18" thickBot="1">
      <c r="B16" s="319"/>
      <c r="C16" s="320"/>
      <c r="D16" s="259"/>
      <c r="E16" s="60" t="s">
        <v>12</v>
      </c>
      <c r="F16" s="485" t="s">
        <v>227</v>
      </c>
      <c r="G16" s="486"/>
      <c r="H16" s="61">
        <v>4</v>
      </c>
      <c r="I16" s="62" t="s">
        <v>339</v>
      </c>
      <c r="J16" s="63">
        <v>3</v>
      </c>
      <c r="K16" s="485"/>
      <c r="L16" s="515"/>
      <c r="M16" s="516">
        <v>3</v>
      </c>
      <c r="N16" s="517"/>
      <c r="O16" s="518"/>
      <c r="P16" s="515"/>
      <c r="Q16" s="516"/>
      <c r="R16" s="517"/>
      <c r="S16" s="518"/>
      <c r="T16" s="515"/>
      <c r="U16" s="516"/>
      <c r="V16" s="486"/>
      <c r="W16" s="64">
        <f t="shared" si="0"/>
        <v>3</v>
      </c>
      <c r="X16" s="270"/>
      <c r="Y16" s="262"/>
    </row>
    <row r="17" spans="2:29" ht="18" thickBot="1">
      <c r="B17" s="319"/>
      <c r="C17" s="320"/>
      <c r="D17" s="265"/>
      <c r="E17" s="69" t="s">
        <v>340</v>
      </c>
      <c r="F17" s="487" t="s">
        <v>345</v>
      </c>
      <c r="G17" s="488"/>
      <c r="H17" s="66">
        <v>4</v>
      </c>
      <c r="I17" s="67" t="s">
        <v>342</v>
      </c>
      <c r="J17" s="68">
        <v>3</v>
      </c>
      <c r="K17" s="487"/>
      <c r="L17" s="519"/>
      <c r="M17" s="520"/>
      <c r="N17" s="521"/>
      <c r="O17" s="522">
        <v>3</v>
      </c>
      <c r="P17" s="519"/>
      <c r="Q17" s="520"/>
      <c r="R17" s="521"/>
      <c r="S17" s="522"/>
      <c r="T17" s="519"/>
      <c r="U17" s="520"/>
      <c r="V17" s="488"/>
      <c r="W17" s="64">
        <f t="shared" si="0"/>
        <v>3</v>
      </c>
      <c r="X17" s="270"/>
      <c r="Y17" s="262"/>
    </row>
    <row r="18" spans="2:29" ht="18" thickBot="1">
      <c r="B18" s="319"/>
      <c r="C18" s="320"/>
      <c r="D18" s="258" t="s">
        <v>346</v>
      </c>
      <c r="E18" s="55" t="s">
        <v>12</v>
      </c>
      <c r="F18" s="483" t="s">
        <v>235</v>
      </c>
      <c r="G18" s="484"/>
      <c r="H18" s="56">
        <v>3</v>
      </c>
      <c r="I18" s="70" t="s">
        <v>347</v>
      </c>
      <c r="J18" s="58">
        <v>3</v>
      </c>
      <c r="K18" s="523">
        <v>3</v>
      </c>
      <c r="L18" s="524"/>
      <c r="M18" s="525"/>
      <c r="N18" s="526"/>
      <c r="O18" s="527"/>
      <c r="P18" s="524"/>
      <c r="Q18" s="525"/>
      <c r="R18" s="526"/>
      <c r="S18" s="527"/>
      <c r="T18" s="524"/>
      <c r="U18" s="525"/>
      <c r="V18" s="528"/>
      <c r="W18" s="59">
        <f t="shared" si="0"/>
        <v>3</v>
      </c>
      <c r="X18" s="269">
        <f>SUM(W18:W19)</f>
        <v>6</v>
      </c>
      <c r="Y18" s="262">
        <v>6</v>
      </c>
    </row>
    <row r="19" spans="2:29" ht="18" thickBot="1">
      <c r="B19" s="319"/>
      <c r="C19" s="320"/>
      <c r="D19" s="259"/>
      <c r="E19" s="71" t="s">
        <v>12</v>
      </c>
      <c r="F19" s="489" t="s">
        <v>348</v>
      </c>
      <c r="G19" s="490"/>
      <c r="H19" s="72">
        <v>3</v>
      </c>
      <c r="I19" s="73" t="s">
        <v>347</v>
      </c>
      <c r="J19" s="74">
        <v>3</v>
      </c>
      <c r="K19" s="487"/>
      <c r="L19" s="519"/>
      <c r="M19" s="520">
        <v>3</v>
      </c>
      <c r="N19" s="521"/>
      <c r="O19" s="522"/>
      <c r="P19" s="519"/>
      <c r="Q19" s="520"/>
      <c r="R19" s="521"/>
      <c r="S19" s="522"/>
      <c r="T19" s="519"/>
      <c r="U19" s="520"/>
      <c r="V19" s="488"/>
      <c r="W19" s="75">
        <f t="shared" si="0"/>
        <v>3</v>
      </c>
      <c r="X19" s="271"/>
      <c r="Y19" s="262"/>
      <c r="AA19" s="183"/>
      <c r="AB19" s="183"/>
      <c r="AC19" s="47"/>
    </row>
    <row r="20" spans="2:29" ht="18" thickBot="1">
      <c r="B20" s="319"/>
      <c r="C20" s="320"/>
      <c r="D20" s="259"/>
      <c r="E20" s="55" t="s">
        <v>12</v>
      </c>
      <c r="F20" s="483" t="s">
        <v>238</v>
      </c>
      <c r="G20" s="484"/>
      <c r="H20" s="56">
        <v>4</v>
      </c>
      <c r="I20" s="70" t="s">
        <v>339</v>
      </c>
      <c r="J20" s="58">
        <v>3</v>
      </c>
      <c r="K20" s="483"/>
      <c r="L20" s="511"/>
      <c r="M20" s="512"/>
      <c r="N20" s="513"/>
      <c r="O20" s="514">
        <v>3</v>
      </c>
      <c r="P20" s="511"/>
      <c r="Q20" s="512"/>
      <c r="R20" s="513"/>
      <c r="S20" s="514"/>
      <c r="T20" s="511"/>
      <c r="U20" s="512"/>
      <c r="V20" s="484"/>
      <c r="W20" s="59">
        <f t="shared" si="0"/>
        <v>3</v>
      </c>
      <c r="X20" s="269">
        <f>SUM(W20:W21)</f>
        <v>6</v>
      </c>
      <c r="Y20" s="262">
        <v>12</v>
      </c>
    </row>
    <row r="21" spans="2:29" ht="18" thickBot="1">
      <c r="B21" s="319"/>
      <c r="C21" s="320"/>
      <c r="D21" s="265"/>
      <c r="E21" s="69" t="s">
        <v>12</v>
      </c>
      <c r="F21" s="487" t="s">
        <v>349</v>
      </c>
      <c r="G21" s="488"/>
      <c r="H21" s="66">
        <v>4</v>
      </c>
      <c r="I21" s="67" t="s">
        <v>339</v>
      </c>
      <c r="J21" s="68">
        <v>3</v>
      </c>
      <c r="K21" s="487"/>
      <c r="L21" s="519"/>
      <c r="M21" s="520"/>
      <c r="N21" s="521"/>
      <c r="O21" s="522"/>
      <c r="P21" s="519"/>
      <c r="Q21" s="520">
        <v>3</v>
      </c>
      <c r="R21" s="521"/>
      <c r="S21" s="522"/>
      <c r="T21" s="519"/>
      <c r="U21" s="520"/>
      <c r="V21" s="488"/>
      <c r="W21" s="75">
        <f t="shared" si="0"/>
        <v>3</v>
      </c>
      <c r="X21" s="271"/>
      <c r="Y21" s="262"/>
    </row>
    <row r="22" spans="2:29" ht="18" thickBot="1">
      <c r="B22" s="319"/>
      <c r="C22" s="320"/>
      <c r="D22" s="258" t="s">
        <v>26</v>
      </c>
      <c r="E22" s="55" t="s">
        <v>12</v>
      </c>
      <c r="F22" s="483" t="s">
        <v>256</v>
      </c>
      <c r="G22" s="484"/>
      <c r="H22" s="56">
        <v>4</v>
      </c>
      <c r="I22" s="70" t="s">
        <v>339</v>
      </c>
      <c r="J22" s="58">
        <v>3</v>
      </c>
      <c r="K22" s="483">
        <v>3</v>
      </c>
      <c r="L22" s="511"/>
      <c r="M22" s="512"/>
      <c r="N22" s="513"/>
      <c r="O22" s="514"/>
      <c r="P22" s="511"/>
      <c r="Q22" s="512"/>
      <c r="R22" s="513"/>
      <c r="S22" s="514"/>
      <c r="T22" s="511"/>
      <c r="U22" s="512"/>
      <c r="V22" s="484"/>
      <c r="W22" s="59">
        <f t="shared" si="0"/>
        <v>3</v>
      </c>
      <c r="X22" s="318">
        <f>SUM(W22:W24)</f>
        <v>9</v>
      </c>
      <c r="Y22" s="262"/>
    </row>
    <row r="23" spans="2:29" ht="18" thickBot="1">
      <c r="B23" s="319"/>
      <c r="C23" s="320"/>
      <c r="D23" s="259"/>
      <c r="E23" s="60" t="s">
        <v>12</v>
      </c>
      <c r="F23" s="485" t="s">
        <v>350</v>
      </c>
      <c r="G23" s="486"/>
      <c r="H23" s="61">
        <v>4</v>
      </c>
      <c r="I23" s="62" t="s">
        <v>339</v>
      </c>
      <c r="J23" s="63">
        <v>3</v>
      </c>
      <c r="K23" s="485"/>
      <c r="L23" s="515"/>
      <c r="M23" s="516">
        <v>3</v>
      </c>
      <c r="N23" s="517"/>
      <c r="O23" s="518"/>
      <c r="P23" s="515"/>
      <c r="Q23" s="516"/>
      <c r="R23" s="517"/>
      <c r="S23" s="518"/>
      <c r="T23" s="515"/>
      <c r="U23" s="516"/>
      <c r="V23" s="486"/>
      <c r="W23" s="64">
        <f t="shared" si="0"/>
        <v>3</v>
      </c>
      <c r="X23" s="320"/>
      <c r="Y23" s="262"/>
    </row>
    <row r="24" spans="2:29" ht="18" thickBot="1">
      <c r="B24" s="319"/>
      <c r="C24" s="320"/>
      <c r="D24" s="265"/>
      <c r="E24" s="69" t="s">
        <v>351</v>
      </c>
      <c r="F24" s="487" t="s">
        <v>352</v>
      </c>
      <c r="G24" s="488"/>
      <c r="H24" s="66">
        <v>4</v>
      </c>
      <c r="I24" s="67" t="s">
        <v>342</v>
      </c>
      <c r="J24" s="68">
        <v>3</v>
      </c>
      <c r="K24" s="487"/>
      <c r="L24" s="519"/>
      <c r="M24" s="520"/>
      <c r="N24" s="521"/>
      <c r="O24" s="522"/>
      <c r="P24" s="519"/>
      <c r="Q24" s="520">
        <v>3</v>
      </c>
      <c r="R24" s="521"/>
      <c r="S24" s="522"/>
      <c r="T24" s="519"/>
      <c r="U24" s="520"/>
      <c r="V24" s="488"/>
      <c r="W24" s="75">
        <f t="shared" si="0"/>
        <v>3</v>
      </c>
      <c r="X24" s="322"/>
      <c r="Y24" s="262"/>
    </row>
    <row r="25" spans="2:29" ht="16.5" customHeight="1" thickBot="1">
      <c r="B25" s="319"/>
      <c r="C25" s="320"/>
      <c r="D25" s="258" t="s">
        <v>8</v>
      </c>
      <c r="E25" s="55" t="s">
        <v>353</v>
      </c>
      <c r="F25" s="483" t="s">
        <v>354</v>
      </c>
      <c r="G25" s="484"/>
      <c r="H25" s="56">
        <v>3</v>
      </c>
      <c r="I25" s="70" t="s">
        <v>355</v>
      </c>
      <c r="J25" s="58">
        <f t="shared" ref="J25:J26" si="3">SUM(K25:V25)</f>
        <v>2</v>
      </c>
      <c r="K25" s="483">
        <v>2</v>
      </c>
      <c r="L25" s="511"/>
      <c r="M25" s="512"/>
      <c r="N25" s="513"/>
      <c r="O25" s="514"/>
      <c r="P25" s="511"/>
      <c r="Q25" s="512"/>
      <c r="R25" s="513"/>
      <c r="S25" s="514"/>
      <c r="T25" s="511"/>
      <c r="U25" s="512"/>
      <c r="V25" s="484"/>
      <c r="W25" s="59">
        <f>SUM(K25:V25)</f>
        <v>2</v>
      </c>
      <c r="X25" s="266">
        <f>SUM(W25:W29)</f>
        <v>9</v>
      </c>
      <c r="Y25" s="262">
        <v>8</v>
      </c>
    </row>
    <row r="26" spans="2:29" ht="18" thickBot="1">
      <c r="B26" s="319"/>
      <c r="C26" s="320"/>
      <c r="D26" s="259"/>
      <c r="E26" s="60" t="s">
        <v>353</v>
      </c>
      <c r="F26" s="485" t="s">
        <v>356</v>
      </c>
      <c r="G26" s="486"/>
      <c r="H26" s="61">
        <v>3</v>
      </c>
      <c r="I26" s="62" t="s">
        <v>355</v>
      </c>
      <c r="J26" s="63">
        <f t="shared" si="3"/>
        <v>2</v>
      </c>
      <c r="K26" s="485"/>
      <c r="L26" s="515"/>
      <c r="M26" s="516">
        <v>2</v>
      </c>
      <c r="N26" s="517"/>
      <c r="O26" s="518"/>
      <c r="P26" s="515"/>
      <c r="Q26" s="516"/>
      <c r="R26" s="517"/>
      <c r="S26" s="518"/>
      <c r="T26" s="515"/>
      <c r="U26" s="516"/>
      <c r="V26" s="486"/>
      <c r="W26" s="64">
        <f t="shared" ref="W26:W29" si="4">SUM(K26:V26)</f>
        <v>2</v>
      </c>
      <c r="X26" s="267"/>
      <c r="Y26" s="262"/>
    </row>
    <row r="27" spans="2:29" ht="18" thickBot="1">
      <c r="B27" s="319"/>
      <c r="C27" s="320"/>
      <c r="D27" s="259"/>
      <c r="E27" s="60" t="s">
        <v>351</v>
      </c>
      <c r="F27" s="485" t="s">
        <v>530</v>
      </c>
      <c r="G27" s="486"/>
      <c r="H27" s="61">
        <v>3</v>
      </c>
      <c r="I27" s="62" t="s">
        <v>355</v>
      </c>
      <c r="J27" s="63">
        <v>2</v>
      </c>
      <c r="K27" s="485"/>
      <c r="L27" s="515"/>
      <c r="M27" s="516"/>
      <c r="N27" s="517"/>
      <c r="O27" s="518">
        <v>2</v>
      </c>
      <c r="P27" s="515"/>
      <c r="Q27" s="516"/>
      <c r="R27" s="517"/>
      <c r="S27" s="518"/>
      <c r="T27" s="515"/>
      <c r="U27" s="516"/>
      <c r="V27" s="486"/>
      <c r="W27" s="64">
        <f t="shared" si="4"/>
        <v>2</v>
      </c>
      <c r="X27" s="267"/>
      <c r="Y27" s="262"/>
    </row>
    <row r="28" spans="2:29" ht="18" thickBot="1">
      <c r="B28" s="319"/>
      <c r="C28" s="320"/>
      <c r="D28" s="259"/>
      <c r="E28" s="60" t="s">
        <v>351</v>
      </c>
      <c r="F28" s="485" t="s">
        <v>357</v>
      </c>
      <c r="G28" s="486"/>
      <c r="H28" s="61">
        <v>3</v>
      </c>
      <c r="I28" s="62" t="s">
        <v>355</v>
      </c>
      <c r="J28" s="63">
        <v>2</v>
      </c>
      <c r="K28" s="485"/>
      <c r="L28" s="515"/>
      <c r="M28" s="516"/>
      <c r="N28" s="517"/>
      <c r="O28" s="518"/>
      <c r="P28" s="515"/>
      <c r="Q28" s="516">
        <v>2</v>
      </c>
      <c r="R28" s="517"/>
      <c r="S28" s="518"/>
      <c r="T28" s="515"/>
      <c r="U28" s="516"/>
      <c r="V28" s="486"/>
      <c r="W28" s="64">
        <f t="shared" si="4"/>
        <v>2</v>
      </c>
      <c r="X28" s="267"/>
      <c r="Y28" s="262"/>
    </row>
    <row r="29" spans="2:29" ht="18" thickBot="1">
      <c r="B29" s="319"/>
      <c r="C29" s="320"/>
      <c r="D29" s="265"/>
      <c r="E29" s="69" t="s">
        <v>340</v>
      </c>
      <c r="F29" s="487" t="s">
        <v>373</v>
      </c>
      <c r="G29" s="488"/>
      <c r="H29" s="66">
        <v>3</v>
      </c>
      <c r="I29" s="67" t="s">
        <v>358</v>
      </c>
      <c r="J29" s="68">
        <v>1</v>
      </c>
      <c r="K29" s="487"/>
      <c r="L29" s="519"/>
      <c r="M29" s="520"/>
      <c r="N29" s="521"/>
      <c r="O29" s="522"/>
      <c r="P29" s="519"/>
      <c r="Q29" s="520"/>
      <c r="R29" s="521"/>
      <c r="S29" s="522">
        <v>1</v>
      </c>
      <c r="T29" s="519"/>
      <c r="U29" s="520"/>
      <c r="V29" s="488"/>
      <c r="W29" s="75">
        <f t="shared" si="4"/>
        <v>1</v>
      </c>
      <c r="X29" s="268"/>
      <c r="Y29" s="262"/>
    </row>
    <row r="30" spans="2:29" ht="18" thickBot="1">
      <c r="B30" s="319"/>
      <c r="C30" s="320"/>
      <c r="D30" s="258" t="s">
        <v>28</v>
      </c>
      <c r="E30" s="55" t="s">
        <v>353</v>
      </c>
      <c r="F30" s="483" t="s">
        <v>531</v>
      </c>
      <c r="G30" s="484"/>
      <c r="H30" s="56">
        <v>3</v>
      </c>
      <c r="I30" s="76" t="s">
        <v>355</v>
      </c>
      <c r="J30" s="58">
        <v>3</v>
      </c>
      <c r="K30" s="483"/>
      <c r="L30" s="511"/>
      <c r="M30" s="512">
        <v>3</v>
      </c>
      <c r="N30" s="513"/>
      <c r="O30" s="514"/>
      <c r="P30" s="511"/>
      <c r="Q30" s="512"/>
      <c r="R30" s="513"/>
      <c r="S30" s="514"/>
      <c r="T30" s="511"/>
      <c r="U30" s="512"/>
      <c r="V30" s="484"/>
      <c r="W30" s="171">
        <f>SUM(K30:V31)</f>
        <v>6</v>
      </c>
      <c r="X30" s="172"/>
      <c r="Y30" s="262">
        <v>6</v>
      </c>
    </row>
    <row r="31" spans="2:29" ht="18" thickBot="1">
      <c r="B31" s="319"/>
      <c r="C31" s="320"/>
      <c r="D31" s="259"/>
      <c r="E31" s="65" t="s">
        <v>353</v>
      </c>
      <c r="F31" s="485" t="s">
        <v>282</v>
      </c>
      <c r="G31" s="486"/>
      <c r="H31" s="61">
        <v>3</v>
      </c>
      <c r="I31" s="62" t="s">
        <v>355</v>
      </c>
      <c r="J31" s="63">
        <v>3</v>
      </c>
      <c r="K31" s="485"/>
      <c r="L31" s="515"/>
      <c r="M31" s="516"/>
      <c r="N31" s="517"/>
      <c r="O31" s="518">
        <v>3</v>
      </c>
      <c r="P31" s="515"/>
      <c r="Q31" s="516"/>
      <c r="R31" s="517"/>
      <c r="S31" s="518"/>
      <c r="T31" s="515"/>
      <c r="U31" s="516"/>
      <c r="V31" s="486"/>
      <c r="W31" s="260"/>
      <c r="X31" s="261"/>
      <c r="Y31" s="262"/>
    </row>
    <row r="32" spans="2:29" ht="16.5" customHeight="1" thickBot="1">
      <c r="B32" s="319"/>
      <c r="C32" s="320"/>
      <c r="D32" s="263" t="s">
        <v>359</v>
      </c>
      <c r="E32" s="55" t="s">
        <v>340</v>
      </c>
      <c r="F32" s="483" t="s">
        <v>51</v>
      </c>
      <c r="G32" s="484"/>
      <c r="H32" s="56">
        <v>3</v>
      </c>
      <c r="I32" s="70" t="s">
        <v>355</v>
      </c>
      <c r="J32" s="58">
        <v>2</v>
      </c>
      <c r="K32" s="483">
        <v>2</v>
      </c>
      <c r="L32" s="511"/>
      <c r="M32" s="512"/>
      <c r="N32" s="513"/>
      <c r="O32" s="514"/>
      <c r="P32" s="511"/>
      <c r="Q32" s="512"/>
      <c r="R32" s="513"/>
      <c r="S32" s="514"/>
      <c r="T32" s="511"/>
      <c r="U32" s="512"/>
      <c r="V32" s="484"/>
      <c r="W32" s="171">
        <f>SUM(K32:V35)</f>
        <v>10</v>
      </c>
      <c r="X32" s="172"/>
      <c r="Y32" s="262">
        <v>8</v>
      </c>
    </row>
    <row r="33" spans="2:28" ht="16.5" customHeight="1" thickBot="1">
      <c r="B33" s="319"/>
      <c r="C33" s="320"/>
      <c r="D33" s="264"/>
      <c r="E33" s="65" t="s">
        <v>353</v>
      </c>
      <c r="F33" s="485" t="s">
        <v>50</v>
      </c>
      <c r="G33" s="486"/>
      <c r="H33" s="61">
        <v>3</v>
      </c>
      <c r="I33" s="62" t="s">
        <v>355</v>
      </c>
      <c r="J33" s="63">
        <v>2</v>
      </c>
      <c r="K33" s="485">
        <v>2</v>
      </c>
      <c r="L33" s="515"/>
      <c r="M33" s="516"/>
      <c r="N33" s="517"/>
      <c r="O33" s="518"/>
      <c r="P33" s="515"/>
      <c r="Q33" s="516"/>
      <c r="R33" s="517"/>
      <c r="S33" s="518"/>
      <c r="T33" s="515"/>
      <c r="U33" s="516"/>
      <c r="V33" s="486"/>
      <c r="W33" s="260"/>
      <c r="X33" s="261"/>
      <c r="Y33" s="262"/>
    </row>
    <row r="34" spans="2:28" ht="16.5" customHeight="1" thickBot="1">
      <c r="B34" s="319"/>
      <c r="C34" s="320"/>
      <c r="D34" s="264"/>
      <c r="E34" s="65" t="s">
        <v>532</v>
      </c>
      <c r="F34" s="485" t="s">
        <v>533</v>
      </c>
      <c r="G34" s="486"/>
      <c r="H34" s="155">
        <v>3</v>
      </c>
      <c r="I34" s="156" t="s">
        <v>534</v>
      </c>
      <c r="J34" s="157">
        <v>3</v>
      </c>
      <c r="K34" s="485"/>
      <c r="L34" s="515"/>
      <c r="M34" s="516"/>
      <c r="N34" s="517"/>
      <c r="O34" s="518">
        <v>3</v>
      </c>
      <c r="P34" s="515"/>
      <c r="Q34" s="516"/>
      <c r="R34" s="517"/>
      <c r="S34" s="518"/>
      <c r="T34" s="515"/>
      <c r="U34" s="516"/>
      <c r="V34" s="486"/>
      <c r="W34" s="260"/>
      <c r="X34" s="261"/>
      <c r="Y34" s="262"/>
    </row>
    <row r="35" spans="2:28" ht="18" thickBot="1">
      <c r="B35" s="321"/>
      <c r="C35" s="322"/>
      <c r="D35" s="264"/>
      <c r="E35" s="65" t="s">
        <v>340</v>
      </c>
      <c r="F35" s="487" t="s">
        <v>309</v>
      </c>
      <c r="G35" s="488"/>
      <c r="H35" s="66">
        <v>3</v>
      </c>
      <c r="I35" s="67" t="s">
        <v>355</v>
      </c>
      <c r="J35" s="68">
        <v>3</v>
      </c>
      <c r="K35" s="487"/>
      <c r="L35" s="519"/>
      <c r="M35" s="520"/>
      <c r="N35" s="521"/>
      <c r="O35" s="518"/>
      <c r="P35" s="515"/>
      <c r="Q35" s="516">
        <v>3</v>
      </c>
      <c r="R35" s="517"/>
      <c r="S35" s="518"/>
      <c r="T35" s="515"/>
      <c r="U35" s="516"/>
      <c r="V35" s="486"/>
      <c r="W35" s="260"/>
      <c r="X35" s="261"/>
      <c r="Y35" s="262"/>
    </row>
    <row r="36" spans="2:28" ht="24.75" customHeight="1" thickBot="1">
      <c r="B36" s="178" t="s">
        <v>366</v>
      </c>
      <c r="C36" s="179"/>
      <c r="D36" s="179"/>
      <c r="E36" s="179"/>
      <c r="F36" s="179"/>
      <c r="G36" s="180"/>
      <c r="H36" s="50">
        <f>SUM(H9:H35)</f>
        <v>94</v>
      </c>
      <c r="I36" s="18"/>
      <c r="J36" s="51">
        <f>SUM(J9:J35)</f>
        <v>73</v>
      </c>
      <c r="K36" s="529">
        <f>SUM(K9:L35)</f>
        <v>15</v>
      </c>
      <c r="L36" s="530"/>
      <c r="M36" s="530">
        <f>SUM(M9:N35)</f>
        <v>17</v>
      </c>
      <c r="N36" s="531"/>
      <c r="O36" s="532">
        <f>SUM(O9:P35)</f>
        <v>20</v>
      </c>
      <c r="P36" s="530"/>
      <c r="Q36" s="530">
        <f>SUM(Q9:R35)</f>
        <v>17</v>
      </c>
      <c r="R36" s="533"/>
      <c r="S36" s="534">
        <f>SUM(S9:T35)</f>
        <v>4</v>
      </c>
      <c r="T36" s="530"/>
      <c r="U36" s="530">
        <f>SUM(U9:V35)</f>
        <v>0</v>
      </c>
      <c r="V36" s="535"/>
      <c r="W36" s="178">
        <f>SUM(K36:V36)</f>
        <v>73</v>
      </c>
      <c r="X36" s="204"/>
      <c r="Y36" s="51">
        <f>SUM(Y9:Y35)</f>
        <v>64</v>
      </c>
      <c r="AA36" s="197" t="b">
        <f>W36&gt;=Y36</f>
        <v>1</v>
      </c>
      <c r="AB36" s="198"/>
    </row>
    <row r="37" spans="2:28" ht="17.25" customHeight="1">
      <c r="B37" s="254" t="s">
        <v>360</v>
      </c>
      <c r="C37" s="255"/>
      <c r="D37" s="167" t="s">
        <v>361</v>
      </c>
      <c r="E37" s="168"/>
      <c r="F37" s="493" t="s">
        <v>535</v>
      </c>
      <c r="G37" s="494"/>
      <c r="H37" s="554"/>
      <c r="I37" s="555"/>
      <c r="J37" s="556">
        <v>2</v>
      </c>
      <c r="K37" s="483"/>
      <c r="L37" s="511"/>
      <c r="M37" s="512"/>
      <c r="N37" s="513"/>
      <c r="O37" s="514"/>
      <c r="P37" s="511"/>
      <c r="Q37" s="512"/>
      <c r="R37" s="513"/>
      <c r="S37" s="514">
        <v>2</v>
      </c>
      <c r="T37" s="511"/>
      <c r="U37" s="512"/>
      <c r="V37" s="484"/>
      <c r="W37" s="171">
        <f>SUM(K37:V38)</f>
        <v>4</v>
      </c>
      <c r="X37" s="172"/>
      <c r="Y37" s="210">
        <v>80</v>
      </c>
    </row>
    <row r="38" spans="2:28" ht="17.25" customHeight="1" thickBot="1">
      <c r="B38" s="256"/>
      <c r="C38" s="257"/>
      <c r="D38" s="169"/>
      <c r="E38" s="170"/>
      <c r="F38" s="495" t="s">
        <v>536</v>
      </c>
      <c r="G38" s="496"/>
      <c r="H38" s="557"/>
      <c r="I38" s="558"/>
      <c r="J38" s="559">
        <v>2</v>
      </c>
      <c r="K38" s="489"/>
      <c r="L38" s="536"/>
      <c r="M38" s="537"/>
      <c r="N38" s="538"/>
      <c r="O38" s="539"/>
      <c r="P38" s="536"/>
      <c r="Q38" s="537"/>
      <c r="R38" s="538"/>
      <c r="S38" s="539"/>
      <c r="T38" s="536"/>
      <c r="U38" s="537">
        <v>2</v>
      </c>
      <c r="V38" s="490"/>
      <c r="W38" s="173"/>
      <c r="X38" s="174"/>
      <c r="Y38" s="233"/>
    </row>
    <row r="39" spans="2:28" ht="17.25" customHeight="1">
      <c r="B39" s="256"/>
      <c r="C39" s="257"/>
      <c r="D39" s="80" t="s">
        <v>154</v>
      </c>
      <c r="E39" s="84" t="s">
        <v>362</v>
      </c>
      <c r="F39" s="497" t="s">
        <v>544</v>
      </c>
      <c r="G39" s="498"/>
      <c r="H39" s="560"/>
      <c r="I39" s="561"/>
      <c r="J39" s="562">
        <v>4</v>
      </c>
      <c r="K39" s="540">
        <v>4</v>
      </c>
      <c r="L39" s="541"/>
      <c r="M39" s="542"/>
      <c r="N39" s="543"/>
      <c r="O39" s="544"/>
      <c r="P39" s="541"/>
      <c r="Q39" s="542"/>
      <c r="R39" s="545"/>
      <c r="S39" s="543"/>
      <c r="T39" s="541"/>
      <c r="U39" s="542"/>
      <c r="V39" s="546"/>
      <c r="W39" s="333">
        <f t="shared" ref="W39:W50" si="5">SUM(K39:V39)</f>
        <v>4</v>
      </c>
      <c r="X39" s="334"/>
      <c r="Y39" s="233"/>
    </row>
    <row r="40" spans="2:28" ht="17.25" customHeight="1">
      <c r="B40" s="256"/>
      <c r="C40" s="257"/>
      <c r="D40" s="77" t="s">
        <v>154</v>
      </c>
      <c r="E40" s="78" t="s">
        <v>362</v>
      </c>
      <c r="F40" s="499" t="s">
        <v>537</v>
      </c>
      <c r="G40" s="500"/>
      <c r="H40" s="560"/>
      <c r="I40" s="561"/>
      <c r="J40" s="562">
        <v>4</v>
      </c>
      <c r="K40" s="485">
        <v>4</v>
      </c>
      <c r="L40" s="515"/>
      <c r="M40" s="516"/>
      <c r="N40" s="517"/>
      <c r="O40" s="518"/>
      <c r="P40" s="515"/>
      <c r="Q40" s="516"/>
      <c r="R40" s="517"/>
      <c r="S40" s="518"/>
      <c r="T40" s="515"/>
      <c r="U40" s="516"/>
      <c r="V40" s="486"/>
      <c r="W40" s="162">
        <f t="shared" si="5"/>
        <v>4</v>
      </c>
      <c r="X40" s="163"/>
      <c r="Y40" s="233"/>
    </row>
    <row r="41" spans="2:28" ht="17.25" customHeight="1">
      <c r="B41" s="256"/>
      <c r="C41" s="257"/>
      <c r="D41" s="77" t="s">
        <v>154</v>
      </c>
      <c r="E41" s="78" t="s">
        <v>362</v>
      </c>
      <c r="F41" s="499" t="s">
        <v>543</v>
      </c>
      <c r="G41" s="500"/>
      <c r="H41" s="560"/>
      <c r="I41" s="561"/>
      <c r="J41" s="562">
        <v>3</v>
      </c>
      <c r="K41" s="485">
        <v>3</v>
      </c>
      <c r="L41" s="515"/>
      <c r="M41" s="516"/>
      <c r="N41" s="517"/>
      <c r="O41" s="518"/>
      <c r="P41" s="515"/>
      <c r="Q41" s="516"/>
      <c r="R41" s="517"/>
      <c r="S41" s="518"/>
      <c r="T41" s="515"/>
      <c r="U41" s="516"/>
      <c r="V41" s="486"/>
      <c r="W41" s="162">
        <f t="shared" si="5"/>
        <v>3</v>
      </c>
      <c r="X41" s="163"/>
      <c r="Y41" s="233"/>
    </row>
    <row r="42" spans="2:28" ht="17.25" customHeight="1">
      <c r="B42" s="256"/>
      <c r="C42" s="257"/>
      <c r="D42" s="77" t="s">
        <v>539</v>
      </c>
      <c r="E42" s="78" t="s">
        <v>540</v>
      </c>
      <c r="F42" s="501" t="s">
        <v>538</v>
      </c>
      <c r="G42" s="502"/>
      <c r="H42" s="560"/>
      <c r="I42" s="561"/>
      <c r="J42" s="562">
        <v>4</v>
      </c>
      <c r="K42" s="485">
        <v>4</v>
      </c>
      <c r="L42" s="515"/>
      <c r="M42" s="516"/>
      <c r="N42" s="517"/>
      <c r="O42" s="518"/>
      <c r="P42" s="515"/>
      <c r="Q42" s="516"/>
      <c r="R42" s="517"/>
      <c r="S42" s="518"/>
      <c r="T42" s="515"/>
      <c r="U42" s="516"/>
      <c r="V42" s="486"/>
      <c r="W42" s="162">
        <f t="shared" si="5"/>
        <v>4</v>
      </c>
      <c r="X42" s="163"/>
      <c r="Y42" s="233"/>
    </row>
    <row r="43" spans="2:28" ht="17.25" customHeight="1">
      <c r="B43" s="256"/>
      <c r="C43" s="257"/>
      <c r="D43" s="77" t="s">
        <v>154</v>
      </c>
      <c r="E43" s="78" t="s">
        <v>540</v>
      </c>
      <c r="F43" s="501" t="s">
        <v>542</v>
      </c>
      <c r="G43" s="502"/>
      <c r="H43" s="560"/>
      <c r="I43" s="561"/>
      <c r="J43" s="562">
        <v>4</v>
      </c>
      <c r="K43" s="485"/>
      <c r="L43" s="515"/>
      <c r="M43" s="516">
        <v>4</v>
      </c>
      <c r="N43" s="547"/>
      <c r="O43" s="518"/>
      <c r="P43" s="515"/>
      <c r="Q43" s="516"/>
      <c r="R43" s="517"/>
      <c r="S43" s="547"/>
      <c r="T43" s="515"/>
      <c r="U43" s="516"/>
      <c r="V43" s="486"/>
      <c r="W43" s="162">
        <f t="shared" si="5"/>
        <v>4</v>
      </c>
      <c r="X43" s="163"/>
      <c r="Y43" s="233"/>
    </row>
    <row r="44" spans="2:28" ht="17.25" customHeight="1">
      <c r="B44" s="256"/>
      <c r="C44" s="257"/>
      <c r="D44" s="79" t="s">
        <v>539</v>
      </c>
      <c r="E44" s="78" t="s">
        <v>540</v>
      </c>
      <c r="F44" s="501" t="s">
        <v>541</v>
      </c>
      <c r="G44" s="502"/>
      <c r="H44" s="560"/>
      <c r="I44" s="563"/>
      <c r="J44" s="564">
        <v>3</v>
      </c>
      <c r="K44" s="485"/>
      <c r="L44" s="515"/>
      <c r="M44" s="516">
        <v>3</v>
      </c>
      <c r="N44" s="517"/>
      <c r="O44" s="518"/>
      <c r="P44" s="515"/>
      <c r="Q44" s="516"/>
      <c r="R44" s="517"/>
      <c r="S44" s="518"/>
      <c r="T44" s="515"/>
      <c r="U44" s="516"/>
      <c r="V44" s="486"/>
      <c r="W44" s="162">
        <f t="shared" si="5"/>
        <v>3</v>
      </c>
      <c r="X44" s="163"/>
      <c r="Y44" s="233"/>
    </row>
    <row r="45" spans="2:28" ht="16.5" customHeight="1">
      <c r="B45" s="256"/>
      <c r="C45" s="257"/>
      <c r="D45" s="80" t="s">
        <v>71</v>
      </c>
      <c r="E45" s="78" t="s">
        <v>362</v>
      </c>
      <c r="F45" s="503" t="s">
        <v>545</v>
      </c>
      <c r="G45" s="504"/>
      <c r="H45" s="565"/>
      <c r="I45" s="563"/>
      <c r="J45" s="564">
        <v>3</v>
      </c>
      <c r="K45" s="548"/>
      <c r="L45" s="549"/>
      <c r="M45" s="516">
        <v>3</v>
      </c>
      <c r="N45" s="547"/>
      <c r="O45" s="518"/>
      <c r="P45" s="515"/>
      <c r="Q45" s="516"/>
      <c r="R45" s="517"/>
      <c r="S45" s="547"/>
      <c r="T45" s="515"/>
      <c r="U45" s="516"/>
      <c r="V45" s="486"/>
      <c r="W45" s="162">
        <f t="shared" si="5"/>
        <v>3</v>
      </c>
      <c r="X45" s="163"/>
      <c r="Y45" s="233"/>
    </row>
    <row r="46" spans="2:28" ht="16.5" customHeight="1">
      <c r="B46" s="256"/>
      <c r="C46" s="257"/>
      <c r="D46" s="80"/>
      <c r="E46" s="78" t="s">
        <v>540</v>
      </c>
      <c r="F46" s="491" t="s">
        <v>550</v>
      </c>
      <c r="G46" s="492"/>
      <c r="H46" s="565"/>
      <c r="I46" s="563"/>
      <c r="J46" s="564">
        <v>4</v>
      </c>
      <c r="K46" s="550"/>
      <c r="L46" s="551"/>
      <c r="M46" s="516"/>
      <c r="N46" s="517"/>
      <c r="O46" s="518">
        <v>4</v>
      </c>
      <c r="P46" s="515"/>
      <c r="Q46" s="516"/>
      <c r="R46" s="517"/>
      <c r="S46" s="518"/>
      <c r="T46" s="515"/>
      <c r="U46" s="516"/>
      <c r="V46" s="486"/>
      <c r="W46" s="162">
        <f>SUM(K46:V46)</f>
        <v>4</v>
      </c>
      <c r="X46" s="163"/>
      <c r="Y46" s="233"/>
    </row>
    <row r="47" spans="2:28" ht="16.5" customHeight="1">
      <c r="B47" s="256"/>
      <c r="C47" s="257"/>
      <c r="D47" s="80"/>
      <c r="E47" s="78" t="s">
        <v>540</v>
      </c>
      <c r="F47" s="503" t="s">
        <v>551</v>
      </c>
      <c r="G47" s="504"/>
      <c r="H47" s="565"/>
      <c r="I47" s="563"/>
      <c r="J47" s="564">
        <v>6</v>
      </c>
      <c r="K47" s="550"/>
      <c r="L47" s="551"/>
      <c r="M47" s="516"/>
      <c r="N47" s="517"/>
      <c r="O47" s="518"/>
      <c r="P47" s="515"/>
      <c r="Q47" s="516">
        <v>6</v>
      </c>
      <c r="R47" s="517"/>
      <c r="S47" s="518"/>
      <c r="T47" s="515"/>
      <c r="U47" s="516"/>
      <c r="V47" s="486"/>
      <c r="W47" s="162">
        <f>SUM(L47:V47)</f>
        <v>6</v>
      </c>
      <c r="X47" s="163"/>
      <c r="Y47" s="233"/>
    </row>
    <row r="48" spans="2:28" ht="16.5" customHeight="1">
      <c r="B48" s="256"/>
      <c r="C48" s="257"/>
      <c r="D48" s="80" t="s">
        <v>154</v>
      </c>
      <c r="E48" s="78" t="s">
        <v>546</v>
      </c>
      <c r="F48" s="503" t="s">
        <v>547</v>
      </c>
      <c r="G48" s="504"/>
      <c r="H48" s="565"/>
      <c r="I48" s="563"/>
      <c r="J48" s="564">
        <v>3</v>
      </c>
      <c r="K48" s="550"/>
      <c r="L48" s="551"/>
      <c r="M48" s="516">
        <v>3</v>
      </c>
      <c r="N48" s="517"/>
      <c r="O48" s="518"/>
      <c r="P48" s="515"/>
      <c r="Q48" s="516"/>
      <c r="R48" s="517"/>
      <c r="S48" s="518"/>
      <c r="T48" s="515"/>
      <c r="U48" s="516"/>
      <c r="V48" s="486"/>
      <c r="W48" s="162">
        <f>SUM(L48:V48)</f>
        <v>3</v>
      </c>
      <c r="X48" s="163"/>
      <c r="Y48" s="233"/>
    </row>
    <row r="49" spans="2:29" ht="16.5" customHeight="1">
      <c r="B49" s="256"/>
      <c r="C49" s="257"/>
      <c r="D49" s="80" t="s">
        <v>154</v>
      </c>
      <c r="E49" s="78" t="s">
        <v>546</v>
      </c>
      <c r="F49" s="503" t="s">
        <v>548</v>
      </c>
      <c r="G49" s="504"/>
      <c r="H49" s="565"/>
      <c r="I49" s="563"/>
      <c r="J49" s="564">
        <v>6</v>
      </c>
      <c r="K49" s="550"/>
      <c r="L49" s="551"/>
      <c r="M49" s="516"/>
      <c r="N49" s="517"/>
      <c r="O49" s="518">
        <v>3</v>
      </c>
      <c r="P49" s="515"/>
      <c r="Q49" s="516">
        <v>3</v>
      </c>
      <c r="R49" s="517"/>
      <c r="S49" s="518"/>
      <c r="T49" s="515"/>
      <c r="U49" s="516"/>
      <c r="V49" s="486"/>
      <c r="W49" s="162">
        <f>SUM(L49:V49)</f>
        <v>6</v>
      </c>
      <c r="X49" s="163"/>
      <c r="Y49" s="233"/>
    </row>
    <row r="50" spans="2:29" ht="16.5" customHeight="1" thickBot="1">
      <c r="B50" s="256"/>
      <c r="C50" s="257"/>
      <c r="D50" s="79" t="s">
        <v>154</v>
      </c>
      <c r="E50" s="78" t="s">
        <v>363</v>
      </c>
      <c r="F50" s="503" t="s">
        <v>549</v>
      </c>
      <c r="G50" s="504"/>
      <c r="H50" s="565"/>
      <c r="I50" s="563"/>
      <c r="J50" s="564">
        <v>7</v>
      </c>
      <c r="K50" s="548"/>
      <c r="L50" s="549"/>
      <c r="M50" s="516"/>
      <c r="N50" s="547"/>
      <c r="O50" s="518"/>
      <c r="P50" s="515"/>
      <c r="Q50" s="516"/>
      <c r="R50" s="517"/>
      <c r="S50" s="547">
        <v>3</v>
      </c>
      <c r="T50" s="515"/>
      <c r="U50" s="516">
        <v>4</v>
      </c>
      <c r="V50" s="486"/>
      <c r="W50" s="162">
        <f t="shared" si="5"/>
        <v>7</v>
      </c>
      <c r="X50" s="163"/>
      <c r="Y50" s="233"/>
    </row>
    <row r="51" spans="2:29" ht="20.25" customHeight="1">
      <c r="B51" s="251" t="s">
        <v>153</v>
      </c>
      <c r="C51" s="164" t="s">
        <v>552</v>
      </c>
      <c r="D51" s="81" t="s">
        <v>71</v>
      </c>
      <c r="E51" s="82" t="s">
        <v>363</v>
      </c>
      <c r="F51" s="505" t="s">
        <v>554</v>
      </c>
      <c r="G51" s="506"/>
      <c r="H51" s="554"/>
      <c r="I51" s="566"/>
      <c r="J51" s="556">
        <v>7</v>
      </c>
      <c r="K51" s="483"/>
      <c r="L51" s="511"/>
      <c r="M51" s="512"/>
      <c r="N51" s="552"/>
      <c r="O51" s="514">
        <v>3</v>
      </c>
      <c r="P51" s="511"/>
      <c r="Q51" s="512">
        <v>4</v>
      </c>
      <c r="R51" s="513"/>
      <c r="S51" s="552"/>
      <c r="T51" s="511"/>
      <c r="U51" s="525"/>
      <c r="V51" s="528"/>
      <c r="W51" s="171">
        <f>SUM(K51:V54)</f>
        <v>52</v>
      </c>
      <c r="X51" s="172"/>
      <c r="Y51" s="233"/>
    </row>
    <row r="52" spans="2:29" ht="20.25" customHeight="1">
      <c r="B52" s="252"/>
      <c r="C52" s="165"/>
      <c r="D52" s="80" t="s">
        <v>154</v>
      </c>
      <c r="E52" s="84" t="s">
        <v>546</v>
      </c>
      <c r="F52" s="503" t="s">
        <v>555</v>
      </c>
      <c r="G52" s="504"/>
      <c r="H52" s="565"/>
      <c r="I52" s="567"/>
      <c r="J52" s="564">
        <v>15</v>
      </c>
      <c r="K52" s="485"/>
      <c r="L52" s="515"/>
      <c r="M52" s="516"/>
      <c r="N52" s="517"/>
      <c r="O52" s="518"/>
      <c r="P52" s="515"/>
      <c r="Q52" s="516"/>
      <c r="R52" s="517"/>
      <c r="S52" s="518">
        <v>7</v>
      </c>
      <c r="T52" s="515"/>
      <c r="U52" s="542">
        <v>8</v>
      </c>
      <c r="V52" s="546"/>
      <c r="W52" s="260"/>
      <c r="X52" s="261"/>
      <c r="Y52" s="233"/>
    </row>
    <row r="53" spans="2:29" ht="20.25" customHeight="1">
      <c r="B53" s="252"/>
      <c r="C53" s="165"/>
      <c r="D53" s="80" t="s">
        <v>154</v>
      </c>
      <c r="E53" s="84" t="s">
        <v>546</v>
      </c>
      <c r="F53" s="503" t="s">
        <v>556</v>
      </c>
      <c r="G53" s="504"/>
      <c r="H53" s="565"/>
      <c r="I53" s="567"/>
      <c r="J53" s="564">
        <v>15</v>
      </c>
      <c r="K53" s="485"/>
      <c r="L53" s="515"/>
      <c r="M53" s="516"/>
      <c r="N53" s="517"/>
      <c r="O53" s="518"/>
      <c r="P53" s="515"/>
      <c r="Q53" s="516"/>
      <c r="R53" s="517"/>
      <c r="S53" s="518">
        <v>7</v>
      </c>
      <c r="T53" s="515"/>
      <c r="U53" s="516">
        <v>8</v>
      </c>
      <c r="V53" s="486"/>
      <c r="W53" s="260"/>
      <c r="X53" s="261"/>
      <c r="Y53" s="233"/>
    </row>
    <row r="54" spans="2:29" ht="20.25" customHeight="1" thickBot="1">
      <c r="B54" s="252"/>
      <c r="C54" s="165"/>
      <c r="D54" s="80" t="s">
        <v>154</v>
      </c>
      <c r="E54" s="158" t="s">
        <v>546</v>
      </c>
      <c r="F54" s="507" t="s">
        <v>557</v>
      </c>
      <c r="G54" s="508"/>
      <c r="H54" s="568"/>
      <c r="I54" s="569"/>
      <c r="J54" s="570">
        <v>15</v>
      </c>
      <c r="K54" s="487"/>
      <c r="L54" s="519"/>
      <c r="M54" s="520"/>
      <c r="N54" s="521"/>
      <c r="O54" s="522"/>
      <c r="P54" s="519"/>
      <c r="Q54" s="520"/>
      <c r="R54" s="521"/>
      <c r="S54" s="522">
        <v>7</v>
      </c>
      <c r="T54" s="519"/>
      <c r="U54" s="520">
        <v>8</v>
      </c>
      <c r="V54" s="488"/>
      <c r="W54" s="260"/>
      <c r="X54" s="261"/>
      <c r="Y54" s="233"/>
    </row>
    <row r="55" spans="2:29" ht="20.25" customHeight="1">
      <c r="B55" s="252"/>
      <c r="C55" s="165" t="s">
        <v>553</v>
      </c>
      <c r="D55" s="80" t="s">
        <v>154</v>
      </c>
      <c r="E55" s="84" t="s">
        <v>546</v>
      </c>
      <c r="F55" s="509" t="s">
        <v>558</v>
      </c>
      <c r="G55" s="510"/>
      <c r="H55" s="560"/>
      <c r="I55" s="571"/>
      <c r="J55" s="562">
        <v>7</v>
      </c>
      <c r="K55" s="540"/>
      <c r="L55" s="541"/>
      <c r="M55" s="542"/>
      <c r="N55" s="545"/>
      <c r="O55" s="544">
        <v>3</v>
      </c>
      <c r="P55" s="541"/>
      <c r="Q55" s="542">
        <v>4</v>
      </c>
      <c r="R55" s="545"/>
      <c r="S55" s="544"/>
      <c r="T55" s="541"/>
      <c r="U55" s="542"/>
      <c r="V55" s="546"/>
      <c r="W55" s="260"/>
      <c r="X55" s="261"/>
      <c r="Y55" s="233"/>
    </row>
    <row r="56" spans="2:29" ht="20.25" customHeight="1">
      <c r="B56" s="252"/>
      <c r="C56" s="165"/>
      <c r="D56" s="80" t="s">
        <v>154</v>
      </c>
      <c r="E56" s="84" t="s">
        <v>546</v>
      </c>
      <c r="F56" s="503" t="s">
        <v>559</v>
      </c>
      <c r="G56" s="504"/>
      <c r="H56" s="565"/>
      <c r="I56" s="567"/>
      <c r="J56" s="564">
        <v>15</v>
      </c>
      <c r="K56" s="485"/>
      <c r="L56" s="515"/>
      <c r="M56" s="516"/>
      <c r="N56" s="517"/>
      <c r="O56" s="518"/>
      <c r="P56" s="515"/>
      <c r="Q56" s="516"/>
      <c r="R56" s="517"/>
      <c r="S56" s="518">
        <v>7</v>
      </c>
      <c r="T56" s="515"/>
      <c r="U56" s="516">
        <v>8</v>
      </c>
      <c r="V56" s="486"/>
      <c r="W56" s="260"/>
      <c r="X56" s="261"/>
      <c r="Y56" s="233"/>
    </row>
    <row r="57" spans="2:29" ht="20.25" customHeight="1">
      <c r="B57" s="252"/>
      <c r="C57" s="165"/>
      <c r="D57" s="80" t="s">
        <v>154</v>
      </c>
      <c r="E57" s="84" t="s">
        <v>546</v>
      </c>
      <c r="F57" s="503" t="s">
        <v>560</v>
      </c>
      <c r="G57" s="504"/>
      <c r="H57" s="565"/>
      <c r="I57" s="567"/>
      <c r="J57" s="564">
        <v>15</v>
      </c>
      <c r="K57" s="485"/>
      <c r="L57" s="515"/>
      <c r="M57" s="516"/>
      <c r="N57" s="517"/>
      <c r="O57" s="518"/>
      <c r="P57" s="515"/>
      <c r="Q57" s="516"/>
      <c r="R57" s="517"/>
      <c r="S57" s="518">
        <v>7</v>
      </c>
      <c r="T57" s="515"/>
      <c r="U57" s="516">
        <v>8</v>
      </c>
      <c r="V57" s="486"/>
      <c r="W57" s="260"/>
      <c r="X57" s="261"/>
      <c r="Y57" s="233"/>
    </row>
    <row r="58" spans="2:29" ht="20.25" customHeight="1" thickBot="1">
      <c r="B58" s="253"/>
      <c r="C58" s="166"/>
      <c r="D58" s="83" t="s">
        <v>154</v>
      </c>
      <c r="E58" s="78" t="s">
        <v>363</v>
      </c>
      <c r="F58" s="507" t="s">
        <v>561</v>
      </c>
      <c r="G58" s="508"/>
      <c r="H58" s="568"/>
      <c r="I58" s="572"/>
      <c r="J58" s="559">
        <v>15</v>
      </c>
      <c r="K58" s="489"/>
      <c r="L58" s="536"/>
      <c r="M58" s="537"/>
      <c r="N58" s="553"/>
      <c r="O58" s="539"/>
      <c r="P58" s="536"/>
      <c r="Q58" s="537"/>
      <c r="R58" s="538"/>
      <c r="S58" s="553">
        <v>7</v>
      </c>
      <c r="T58" s="536"/>
      <c r="U58" s="537">
        <v>8</v>
      </c>
      <c r="V58" s="490"/>
      <c r="W58" s="173"/>
      <c r="X58" s="174"/>
      <c r="Y58" s="233"/>
    </row>
    <row r="59" spans="2:29" ht="24.75" customHeight="1">
      <c r="B59" s="206" t="s">
        <v>367</v>
      </c>
      <c r="C59" s="235"/>
      <c r="D59" s="235"/>
      <c r="E59" s="235"/>
      <c r="F59" s="235"/>
      <c r="G59" s="207"/>
      <c r="H59" s="237"/>
      <c r="I59" s="239"/>
      <c r="J59" s="241">
        <f>SUM(J37:J54)</f>
        <v>107</v>
      </c>
      <c r="K59" s="206">
        <f>SUM(K37:L58)</f>
        <v>15</v>
      </c>
      <c r="L59" s="243"/>
      <c r="M59" s="245">
        <f>SUM(M37:N58)</f>
        <v>13</v>
      </c>
      <c r="N59" s="235"/>
      <c r="O59" s="247">
        <v>10</v>
      </c>
      <c r="P59" s="243"/>
      <c r="Q59" s="245">
        <v>13</v>
      </c>
      <c r="R59" s="249"/>
      <c r="S59" s="235">
        <f>SUM(S37:T54)</f>
        <v>26</v>
      </c>
      <c r="T59" s="243"/>
      <c r="U59" s="245">
        <v>30</v>
      </c>
      <c r="V59" s="207"/>
      <c r="W59" s="206">
        <f>SUM(W37:X58)</f>
        <v>107</v>
      </c>
      <c r="X59" s="207"/>
      <c r="Y59" s="210">
        <f>SUM(Y37:Y58)</f>
        <v>80</v>
      </c>
      <c r="AC59" s="47"/>
    </row>
    <row r="60" spans="2:29" ht="18" thickBot="1">
      <c r="B60" s="208"/>
      <c r="C60" s="236"/>
      <c r="D60" s="236"/>
      <c r="E60" s="236"/>
      <c r="F60" s="236"/>
      <c r="G60" s="209"/>
      <c r="H60" s="238"/>
      <c r="I60" s="240"/>
      <c r="J60" s="242"/>
      <c r="K60" s="208"/>
      <c r="L60" s="244"/>
      <c r="M60" s="246"/>
      <c r="N60" s="236"/>
      <c r="O60" s="248"/>
      <c r="P60" s="244"/>
      <c r="Q60" s="246"/>
      <c r="R60" s="250"/>
      <c r="S60" s="236"/>
      <c r="T60" s="244"/>
      <c r="U60" s="246"/>
      <c r="V60" s="209"/>
      <c r="W60" s="208"/>
      <c r="X60" s="209"/>
      <c r="Y60" s="211"/>
      <c r="AC60" s="85"/>
    </row>
    <row r="61" spans="2:29" ht="17.25" customHeight="1" thickBot="1">
      <c r="B61" s="178"/>
      <c r="C61" s="179"/>
      <c r="D61" s="179"/>
      <c r="E61" s="179"/>
      <c r="F61" s="179"/>
      <c r="G61" s="180"/>
      <c r="H61" s="48"/>
      <c r="I61" s="49"/>
      <c r="J61" s="51">
        <f>SUM(J36,J59)</f>
        <v>180</v>
      </c>
      <c r="K61" s="178">
        <f>SUM(K36,K59)</f>
        <v>30</v>
      </c>
      <c r="L61" s="204"/>
      <c r="M61" s="205">
        <f>SUM(M36,M59)</f>
        <v>30</v>
      </c>
      <c r="N61" s="181"/>
      <c r="O61" s="182">
        <f>SUM(O36,O59)</f>
        <v>30</v>
      </c>
      <c r="P61" s="204"/>
      <c r="Q61" s="205">
        <f>SUM(Q36,Q59)</f>
        <v>30</v>
      </c>
      <c r="R61" s="181"/>
      <c r="S61" s="182">
        <f>SUM(S36,S59)</f>
        <v>30</v>
      </c>
      <c r="T61" s="204"/>
      <c r="U61" s="205">
        <f>SUM(U36,U59)</f>
        <v>30</v>
      </c>
      <c r="V61" s="180"/>
      <c r="W61" s="178">
        <f>SUM(K61:V61)</f>
        <v>180</v>
      </c>
      <c r="X61" s="180"/>
      <c r="Y61" s="11">
        <f>Y59+Y36</f>
        <v>144</v>
      </c>
      <c r="AA61" s="183" t="s">
        <v>155</v>
      </c>
      <c r="AB61" s="183"/>
    </row>
    <row r="62" spans="2:29" ht="18.75" customHeight="1" thickBot="1">
      <c r="B62" s="213" t="s">
        <v>368</v>
      </c>
      <c r="C62" s="214"/>
      <c r="D62" s="214"/>
      <c r="E62" s="215"/>
      <c r="F62" s="222" t="s">
        <v>364</v>
      </c>
      <c r="G62" s="223"/>
      <c r="H62" s="223"/>
      <c r="I62" s="223"/>
      <c r="J62" s="224"/>
      <c r="K62" s="225">
        <v>16</v>
      </c>
      <c r="L62" s="226"/>
      <c r="M62" s="227">
        <v>16</v>
      </c>
      <c r="N62" s="228"/>
      <c r="O62" s="229">
        <v>16</v>
      </c>
      <c r="P62" s="226"/>
      <c r="Q62" s="227">
        <v>16</v>
      </c>
      <c r="R62" s="228"/>
      <c r="S62" s="229">
        <v>16</v>
      </c>
      <c r="T62" s="226"/>
      <c r="U62" s="227">
        <v>16</v>
      </c>
      <c r="V62" s="230"/>
      <c r="W62" s="213">
        <f>SUM(K62:V64)</f>
        <v>288</v>
      </c>
      <c r="X62" s="215"/>
      <c r="Y62" s="210">
        <f>Y65*16</f>
        <v>288</v>
      </c>
      <c r="AA62" s="212"/>
      <c r="AB62" s="212"/>
    </row>
    <row r="63" spans="2:29" ht="17.25" customHeight="1" thickBot="1">
      <c r="B63" s="216"/>
      <c r="C63" s="217"/>
      <c r="D63" s="217"/>
      <c r="E63" s="218"/>
      <c r="F63" s="199" t="s">
        <v>63</v>
      </c>
      <c r="G63" s="200"/>
      <c r="H63" s="200"/>
      <c r="I63" s="200"/>
      <c r="J63" s="201"/>
      <c r="K63" s="202">
        <v>16</v>
      </c>
      <c r="L63" s="194"/>
      <c r="M63" s="195">
        <v>16</v>
      </c>
      <c r="N63" s="203"/>
      <c r="O63" s="193">
        <v>16</v>
      </c>
      <c r="P63" s="194"/>
      <c r="Q63" s="195">
        <v>16</v>
      </c>
      <c r="R63" s="203"/>
      <c r="S63" s="193">
        <v>16</v>
      </c>
      <c r="T63" s="194"/>
      <c r="U63" s="195">
        <v>16</v>
      </c>
      <c r="V63" s="196"/>
      <c r="W63" s="216"/>
      <c r="X63" s="218"/>
      <c r="Y63" s="233"/>
      <c r="AA63" s="197" t="b">
        <f>W61&gt;=Y61</f>
        <v>1</v>
      </c>
      <c r="AB63" s="198"/>
    </row>
    <row r="64" spans="2:29" ht="17.25" customHeight="1">
      <c r="B64" s="216"/>
      <c r="C64" s="217"/>
      <c r="D64" s="217"/>
      <c r="E64" s="218"/>
      <c r="F64" s="199" t="s">
        <v>11</v>
      </c>
      <c r="G64" s="200"/>
      <c r="H64" s="200"/>
      <c r="I64" s="200"/>
      <c r="J64" s="201"/>
      <c r="K64" s="202">
        <v>16</v>
      </c>
      <c r="L64" s="194"/>
      <c r="M64" s="195">
        <v>16</v>
      </c>
      <c r="N64" s="203"/>
      <c r="O64" s="193">
        <v>16</v>
      </c>
      <c r="P64" s="194"/>
      <c r="Q64" s="195">
        <v>16</v>
      </c>
      <c r="R64" s="203"/>
      <c r="S64" s="193">
        <v>16</v>
      </c>
      <c r="T64" s="194"/>
      <c r="U64" s="195">
        <v>16</v>
      </c>
      <c r="V64" s="196"/>
      <c r="W64" s="231"/>
      <c r="X64" s="232"/>
      <c r="Y64" s="234"/>
    </row>
    <row r="65" spans="2:28" ht="17.25" customHeight="1" thickBot="1">
      <c r="B65" s="219"/>
      <c r="C65" s="220"/>
      <c r="D65" s="220"/>
      <c r="E65" s="221"/>
      <c r="F65" s="184" t="s">
        <v>149</v>
      </c>
      <c r="G65" s="185"/>
      <c r="H65" s="185"/>
      <c r="I65" s="185"/>
      <c r="J65" s="186"/>
      <c r="K65" s="187">
        <v>3</v>
      </c>
      <c r="L65" s="188"/>
      <c r="M65" s="189">
        <v>3</v>
      </c>
      <c r="N65" s="190"/>
      <c r="O65" s="191">
        <v>3</v>
      </c>
      <c r="P65" s="188"/>
      <c r="Q65" s="189">
        <v>3</v>
      </c>
      <c r="R65" s="190"/>
      <c r="S65" s="191">
        <v>3</v>
      </c>
      <c r="T65" s="188"/>
      <c r="U65" s="189">
        <v>3</v>
      </c>
      <c r="V65" s="192"/>
      <c r="W65" s="184">
        <f>SUM(K65:V65)</f>
        <v>18</v>
      </c>
      <c r="X65" s="186"/>
      <c r="Y65" s="86">
        <v>18</v>
      </c>
      <c r="AA65" s="183" t="s">
        <v>156</v>
      </c>
      <c r="AB65" s="183"/>
    </row>
    <row r="66" spans="2:28" ht="17.25" customHeight="1" thickBot="1">
      <c r="B66" s="178"/>
      <c r="C66" s="179"/>
      <c r="D66" s="179"/>
      <c r="E66" s="179"/>
      <c r="F66" s="179"/>
      <c r="G66" s="179"/>
      <c r="H66" s="179"/>
      <c r="I66" s="179"/>
      <c r="J66" s="180"/>
      <c r="K66" s="178">
        <v>33</v>
      </c>
      <c r="L66" s="204"/>
      <c r="M66" s="205">
        <v>33</v>
      </c>
      <c r="N66" s="181"/>
      <c r="O66" s="182">
        <v>33</v>
      </c>
      <c r="P66" s="204"/>
      <c r="Q66" s="205">
        <v>33</v>
      </c>
      <c r="R66" s="181"/>
      <c r="S66" s="182">
        <v>33</v>
      </c>
      <c r="T66" s="204"/>
      <c r="U66" s="205">
        <v>33</v>
      </c>
      <c r="V66" s="180"/>
      <c r="W66" s="178">
        <f>SUM(K66:V66)</f>
        <v>198</v>
      </c>
      <c r="X66" s="180"/>
      <c r="Y66" s="52">
        <f>W66</f>
        <v>198</v>
      </c>
      <c r="AA66" s="197" t="b">
        <f>W65&gt;=Y65</f>
        <v>1</v>
      </c>
      <c r="AB66" s="198"/>
    </row>
    <row r="67" spans="2:28" ht="17.25" customHeight="1" thickBot="1">
      <c r="B67" s="178"/>
      <c r="C67" s="179"/>
      <c r="D67" s="179"/>
      <c r="E67" s="179"/>
      <c r="F67" s="179"/>
      <c r="G67" s="179"/>
      <c r="H67" s="179"/>
      <c r="I67" s="179"/>
      <c r="J67" s="180"/>
      <c r="K67" s="178">
        <f>SUM(K66:N66)</f>
        <v>66</v>
      </c>
      <c r="L67" s="179"/>
      <c r="M67" s="179"/>
      <c r="N67" s="181"/>
      <c r="O67" s="182">
        <f>SUM(O66:R66)</f>
        <v>66</v>
      </c>
      <c r="P67" s="179"/>
      <c r="Q67" s="179"/>
      <c r="R67" s="181"/>
      <c r="S67" s="182">
        <f>SUM(S66:V66)</f>
        <v>66</v>
      </c>
      <c r="T67" s="179"/>
      <c r="U67" s="179"/>
      <c r="V67" s="180"/>
      <c r="W67" s="178">
        <f>SUM(K67:V67)</f>
        <v>198</v>
      </c>
      <c r="X67" s="180"/>
      <c r="Y67" s="11"/>
      <c r="AA67" s="183" t="s">
        <v>152</v>
      </c>
      <c r="AB67" s="183"/>
    </row>
    <row r="68" spans="2:28" ht="17.25" customHeight="1" thickBot="1">
      <c r="AA68" s="197" t="b">
        <f>W66&gt;=Y66</f>
        <v>1</v>
      </c>
      <c r="AB68" s="198"/>
    </row>
    <row r="69" spans="2:28" ht="17.25" customHeight="1"/>
    <row r="70" spans="2:28" ht="17.25" customHeight="1"/>
    <row r="71" spans="2:28" ht="17.25" customHeight="1"/>
    <row r="73" spans="2:28" ht="24.9" customHeight="1"/>
    <row r="74" spans="2:28" ht="24.9" customHeight="1"/>
    <row r="75" spans="2:28" ht="32.25" customHeight="1"/>
    <row r="76" spans="2:28" ht="24.9" customHeight="1"/>
    <row r="78" spans="2:28" ht="16.5" customHeight="1"/>
    <row r="79" spans="2:28" ht="17.2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244.5" customHeight="1"/>
  </sheetData>
  <mergeCells count="505">
    <mergeCell ref="S43:T43"/>
    <mergeCell ref="S39:T39"/>
    <mergeCell ref="U35:V35"/>
    <mergeCell ref="U36:V36"/>
    <mergeCell ref="W36:X36"/>
    <mergeCell ref="W41:X41"/>
    <mergeCell ref="W39:X39"/>
    <mergeCell ref="Q39:R39"/>
    <mergeCell ref="Q36:R36"/>
    <mergeCell ref="S36:T36"/>
    <mergeCell ref="W45:X45"/>
    <mergeCell ref="Q44:R44"/>
    <mergeCell ref="Q45:R45"/>
    <mergeCell ref="Y25:Y29"/>
    <mergeCell ref="M32:N32"/>
    <mergeCell ref="M33:N33"/>
    <mergeCell ref="O35:P35"/>
    <mergeCell ref="M36:N36"/>
    <mergeCell ref="O36:P36"/>
    <mergeCell ref="O33:P33"/>
    <mergeCell ref="M35:N35"/>
    <mergeCell ref="M37:N37"/>
    <mergeCell ref="O37:P37"/>
    <mergeCell ref="M39:N39"/>
    <mergeCell ref="Q37:R37"/>
    <mergeCell ref="S37:T37"/>
    <mergeCell ref="U37:V37"/>
    <mergeCell ref="U39:V39"/>
    <mergeCell ref="O32:P32"/>
    <mergeCell ref="U42:V42"/>
    <mergeCell ref="W42:X42"/>
    <mergeCell ref="W40:X40"/>
    <mergeCell ref="Q40:R40"/>
    <mergeCell ref="Q41:R41"/>
    <mergeCell ref="S8:T8"/>
    <mergeCell ref="U8:V8"/>
    <mergeCell ref="Q10:R10"/>
    <mergeCell ref="S10:T10"/>
    <mergeCell ref="U10:V10"/>
    <mergeCell ref="U30:V30"/>
    <mergeCell ref="U43:V43"/>
    <mergeCell ref="M40:N40"/>
    <mergeCell ref="M41:N41"/>
    <mergeCell ref="O40:P40"/>
    <mergeCell ref="O41:P41"/>
    <mergeCell ref="S40:T40"/>
    <mergeCell ref="U40:V40"/>
    <mergeCell ref="M11:N11"/>
    <mergeCell ref="O11:P11"/>
    <mergeCell ref="Q11:R11"/>
    <mergeCell ref="S11:T11"/>
    <mergeCell ref="U11:V11"/>
    <mergeCell ref="O39:P39"/>
    <mergeCell ref="Q35:R35"/>
    <mergeCell ref="S35:T35"/>
    <mergeCell ref="S41:T41"/>
    <mergeCell ref="U41:V41"/>
    <mergeCell ref="Q43:R43"/>
    <mergeCell ref="X2:Y2"/>
    <mergeCell ref="B2:U2"/>
    <mergeCell ref="V2:W2"/>
    <mergeCell ref="AA2:AA5"/>
    <mergeCell ref="S45:T45"/>
    <mergeCell ref="U44:V44"/>
    <mergeCell ref="W44:X44"/>
    <mergeCell ref="U45:V45"/>
    <mergeCell ref="W43:X43"/>
    <mergeCell ref="M42:N42"/>
    <mergeCell ref="O42:P42"/>
    <mergeCell ref="M43:N43"/>
    <mergeCell ref="O43:P43"/>
    <mergeCell ref="Q42:R42"/>
    <mergeCell ref="S42:T42"/>
    <mergeCell ref="Q32:R32"/>
    <mergeCell ref="Q33:R33"/>
    <mergeCell ref="S32:T32"/>
    <mergeCell ref="S33:T33"/>
    <mergeCell ref="U32:V32"/>
    <mergeCell ref="U33:V33"/>
    <mergeCell ref="U13:V13"/>
    <mergeCell ref="M10:N10"/>
    <mergeCell ref="O10:P10"/>
    <mergeCell ref="Y18:Y19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Y9:Y17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M9:N9"/>
    <mergeCell ref="Y20:Y24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M24:N24"/>
    <mergeCell ref="O24:P24"/>
    <mergeCell ref="Q24:R24"/>
    <mergeCell ref="S24:T24"/>
    <mergeCell ref="U24:V24"/>
    <mergeCell ref="S22:T22"/>
    <mergeCell ref="U22:V22"/>
    <mergeCell ref="S23:T23"/>
    <mergeCell ref="U23:V23"/>
    <mergeCell ref="X22:X24"/>
    <mergeCell ref="M22:N22"/>
    <mergeCell ref="O22:P22"/>
    <mergeCell ref="Q22:R22"/>
    <mergeCell ref="Q19:R19"/>
    <mergeCell ref="F11:G11"/>
    <mergeCell ref="K11:L11"/>
    <mergeCell ref="D12:D14"/>
    <mergeCell ref="F12:G12"/>
    <mergeCell ref="K12:L12"/>
    <mergeCell ref="D15:D17"/>
    <mergeCell ref="F15:G15"/>
    <mergeCell ref="K15:L15"/>
    <mergeCell ref="D22:D24"/>
    <mergeCell ref="F22:G22"/>
    <mergeCell ref="K22:L22"/>
    <mergeCell ref="U56:V56"/>
    <mergeCell ref="M57:N57"/>
    <mergeCell ref="U58:V58"/>
    <mergeCell ref="Q57:R57"/>
    <mergeCell ref="S57:T57"/>
    <mergeCell ref="M31:N31"/>
    <mergeCell ref="M25:N25"/>
    <mergeCell ref="O25:P25"/>
    <mergeCell ref="Q25:R25"/>
    <mergeCell ref="S25:T25"/>
    <mergeCell ref="U25:V25"/>
    <mergeCell ref="M26:N26"/>
    <mergeCell ref="O26:P26"/>
    <mergeCell ref="Q26:R26"/>
    <mergeCell ref="S26:T26"/>
    <mergeCell ref="U26:V26"/>
    <mergeCell ref="M29:N29"/>
    <mergeCell ref="O29:P29"/>
    <mergeCell ref="Q29:R29"/>
    <mergeCell ref="S29:T29"/>
    <mergeCell ref="U29:V29"/>
    <mergeCell ref="M28:N28"/>
    <mergeCell ref="O28:P28"/>
    <mergeCell ref="Q28:R28"/>
    <mergeCell ref="U51:V51"/>
    <mergeCell ref="S52:T52"/>
    <mergeCell ref="U52:V52"/>
    <mergeCell ref="O55:P55"/>
    <mergeCell ref="O54:P54"/>
    <mergeCell ref="Q54:R54"/>
    <mergeCell ref="S54:T54"/>
    <mergeCell ref="U54:V54"/>
    <mergeCell ref="O52:P52"/>
    <mergeCell ref="Q52:R52"/>
    <mergeCell ref="S53:T53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X12:X14"/>
    <mergeCell ref="F13:G13"/>
    <mergeCell ref="K13:L13"/>
    <mergeCell ref="F14:G14"/>
    <mergeCell ref="K14:L14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X15:X17"/>
    <mergeCell ref="F16:G16"/>
    <mergeCell ref="K16:L16"/>
    <mergeCell ref="F17:G17"/>
    <mergeCell ref="K17:L17"/>
    <mergeCell ref="D18:D21"/>
    <mergeCell ref="F18:G18"/>
    <mergeCell ref="K18:L18"/>
    <mergeCell ref="X18:X19"/>
    <mergeCell ref="F19:G19"/>
    <mergeCell ref="K19:L19"/>
    <mergeCell ref="F20:G20"/>
    <mergeCell ref="K20:L20"/>
    <mergeCell ref="X20:X21"/>
    <mergeCell ref="F21:G21"/>
    <mergeCell ref="K21:L21"/>
    <mergeCell ref="U19:V19"/>
    <mergeCell ref="M19:N19"/>
    <mergeCell ref="O19:P19"/>
    <mergeCell ref="S19:T19"/>
    <mergeCell ref="F23:G23"/>
    <mergeCell ref="K23:L23"/>
    <mergeCell ref="F24:G24"/>
    <mergeCell ref="K24:L24"/>
    <mergeCell ref="D25:D29"/>
    <mergeCell ref="F25:G25"/>
    <mergeCell ref="K25:L25"/>
    <mergeCell ref="X25:X29"/>
    <mergeCell ref="F26:G26"/>
    <mergeCell ref="K26:L26"/>
    <mergeCell ref="F27:G27"/>
    <mergeCell ref="K27:L27"/>
    <mergeCell ref="F28:G28"/>
    <mergeCell ref="K28:L28"/>
    <mergeCell ref="F29:G29"/>
    <mergeCell ref="K29:L29"/>
    <mergeCell ref="O27:P27"/>
    <mergeCell ref="Q27:R27"/>
    <mergeCell ref="S27:T27"/>
    <mergeCell ref="U27:V27"/>
    <mergeCell ref="S28:T28"/>
    <mergeCell ref="U28:V28"/>
    <mergeCell ref="M27:N27"/>
    <mergeCell ref="M23:N23"/>
    <mergeCell ref="D30:D31"/>
    <mergeCell ref="F30:G30"/>
    <mergeCell ref="K30:L30"/>
    <mergeCell ref="W30:X31"/>
    <mergeCell ref="Y30:Y31"/>
    <mergeCell ref="F31:G31"/>
    <mergeCell ref="K31:L31"/>
    <mergeCell ref="D32:D35"/>
    <mergeCell ref="F32:G32"/>
    <mergeCell ref="K32:L32"/>
    <mergeCell ref="W32:X35"/>
    <mergeCell ref="Y32:Y35"/>
    <mergeCell ref="F33:G33"/>
    <mergeCell ref="K33:L33"/>
    <mergeCell ref="F35:G35"/>
    <mergeCell ref="K35:L35"/>
    <mergeCell ref="O31:P31"/>
    <mergeCell ref="Q31:R31"/>
    <mergeCell ref="S31:T31"/>
    <mergeCell ref="U31:V31"/>
    <mergeCell ref="M30:N30"/>
    <mergeCell ref="O30:P30"/>
    <mergeCell ref="Q30:R30"/>
    <mergeCell ref="S30:T30"/>
    <mergeCell ref="AA36:AB36"/>
    <mergeCell ref="B37:C50"/>
    <mergeCell ref="F37:G37"/>
    <mergeCell ref="K37:L37"/>
    <mergeCell ref="Y37:Y58"/>
    <mergeCell ref="F39:G39"/>
    <mergeCell ref="K39:L39"/>
    <mergeCell ref="F40:G40"/>
    <mergeCell ref="K40:L40"/>
    <mergeCell ref="F41:G41"/>
    <mergeCell ref="K41:L41"/>
    <mergeCell ref="F42:G42"/>
    <mergeCell ref="K42:L42"/>
    <mergeCell ref="F43:G43"/>
    <mergeCell ref="K43:L43"/>
    <mergeCell ref="F44:G44"/>
    <mergeCell ref="K44:L44"/>
    <mergeCell ref="F45:G45"/>
    <mergeCell ref="K45:L45"/>
    <mergeCell ref="F50:G50"/>
    <mergeCell ref="K50:L50"/>
    <mergeCell ref="M50:N50"/>
    <mergeCell ref="S55:T55"/>
    <mergeCell ref="U55:V55"/>
    <mergeCell ref="B51:B58"/>
    <mergeCell ref="F51:G51"/>
    <mergeCell ref="K51:L51"/>
    <mergeCell ref="M51:N51"/>
    <mergeCell ref="O51:P51"/>
    <mergeCell ref="Q51:R51"/>
    <mergeCell ref="F58:G58"/>
    <mergeCell ref="K58:L58"/>
    <mergeCell ref="M58:N58"/>
    <mergeCell ref="O58:P58"/>
    <mergeCell ref="Q58:R58"/>
    <mergeCell ref="U59:V60"/>
    <mergeCell ref="F54:G54"/>
    <mergeCell ref="F55:G55"/>
    <mergeCell ref="F56:G56"/>
    <mergeCell ref="F53:G53"/>
    <mergeCell ref="U53:V53"/>
    <mergeCell ref="K54:L54"/>
    <mergeCell ref="K55:L55"/>
    <mergeCell ref="K56:L56"/>
    <mergeCell ref="K53:L53"/>
    <mergeCell ref="M53:N53"/>
    <mergeCell ref="O53:P53"/>
    <mergeCell ref="Q53:R53"/>
    <mergeCell ref="F57:G57"/>
    <mergeCell ref="K57:L57"/>
    <mergeCell ref="M55:N55"/>
    <mergeCell ref="Q55:R55"/>
    <mergeCell ref="O57:P57"/>
    <mergeCell ref="M56:N56"/>
    <mergeCell ref="O56:P56"/>
    <mergeCell ref="Q56:R56"/>
    <mergeCell ref="M54:N54"/>
    <mergeCell ref="S58:T58"/>
    <mergeCell ref="S56:T56"/>
    <mergeCell ref="B59:G60"/>
    <mergeCell ref="H59:H60"/>
    <mergeCell ref="I59:I60"/>
    <mergeCell ref="J59:J60"/>
    <mergeCell ref="K59:L60"/>
    <mergeCell ref="M59:N60"/>
    <mergeCell ref="O59:P60"/>
    <mergeCell ref="Q59:R60"/>
    <mergeCell ref="S59:T60"/>
    <mergeCell ref="W59:X60"/>
    <mergeCell ref="Y59:Y60"/>
    <mergeCell ref="W61:X61"/>
    <mergeCell ref="AA61:AB62"/>
    <mergeCell ref="B62:E65"/>
    <mergeCell ref="F62:J62"/>
    <mergeCell ref="K62:L62"/>
    <mergeCell ref="M62:N62"/>
    <mergeCell ref="O62:P62"/>
    <mergeCell ref="Q62:R62"/>
    <mergeCell ref="S62:T62"/>
    <mergeCell ref="U62:V62"/>
    <mergeCell ref="W62:X64"/>
    <mergeCell ref="Y62:Y64"/>
    <mergeCell ref="F63:J63"/>
    <mergeCell ref="K63:L63"/>
    <mergeCell ref="M63:N63"/>
    <mergeCell ref="O63:P63"/>
    <mergeCell ref="Q63:R63"/>
    <mergeCell ref="O64:P64"/>
    <mergeCell ref="Q64:R64"/>
    <mergeCell ref="S64:T64"/>
    <mergeCell ref="U64:V64"/>
    <mergeCell ref="B61:G61"/>
    <mergeCell ref="M61:N61"/>
    <mergeCell ref="O61:P61"/>
    <mergeCell ref="Q61:R61"/>
    <mergeCell ref="S61:T61"/>
    <mergeCell ref="U61:V61"/>
    <mergeCell ref="AA68:AB68"/>
    <mergeCell ref="B66:J66"/>
    <mergeCell ref="K66:L66"/>
    <mergeCell ref="M66:N66"/>
    <mergeCell ref="O66:P66"/>
    <mergeCell ref="Q66:R66"/>
    <mergeCell ref="S66:T66"/>
    <mergeCell ref="U66:V66"/>
    <mergeCell ref="W66:X66"/>
    <mergeCell ref="AA66:AB66"/>
    <mergeCell ref="AB14:AD14"/>
    <mergeCell ref="AA8:AD8"/>
    <mergeCell ref="B67:J67"/>
    <mergeCell ref="K67:N67"/>
    <mergeCell ref="O67:R67"/>
    <mergeCell ref="S67:V67"/>
    <mergeCell ref="W67:X67"/>
    <mergeCell ref="AA67:AB67"/>
    <mergeCell ref="F65:J65"/>
    <mergeCell ref="K65:L65"/>
    <mergeCell ref="M65:N65"/>
    <mergeCell ref="O65:P65"/>
    <mergeCell ref="Q65:R65"/>
    <mergeCell ref="S65:T65"/>
    <mergeCell ref="U65:V65"/>
    <mergeCell ref="W65:X65"/>
    <mergeCell ref="AA65:AB65"/>
    <mergeCell ref="S63:T63"/>
    <mergeCell ref="U63:V63"/>
    <mergeCell ref="AA63:AB63"/>
    <mergeCell ref="F64:J64"/>
    <mergeCell ref="K64:L64"/>
    <mergeCell ref="M64:N64"/>
    <mergeCell ref="K61:L61"/>
    <mergeCell ref="F34:G34"/>
    <mergeCell ref="K34:L34"/>
    <mergeCell ref="M34:N34"/>
    <mergeCell ref="O34:P34"/>
    <mergeCell ref="Q34:R34"/>
    <mergeCell ref="S34:T34"/>
    <mergeCell ref="U34:V34"/>
    <mergeCell ref="F38:G38"/>
    <mergeCell ref="K38:L38"/>
    <mergeCell ref="M38:N38"/>
    <mergeCell ref="O38:P38"/>
    <mergeCell ref="Q38:R38"/>
    <mergeCell ref="S38:T38"/>
    <mergeCell ref="U38:V38"/>
    <mergeCell ref="B36:G36"/>
    <mergeCell ref="K36:L36"/>
    <mergeCell ref="B9:C35"/>
    <mergeCell ref="D9:D11"/>
    <mergeCell ref="F9:G9"/>
    <mergeCell ref="K9:L9"/>
    <mergeCell ref="F10:G10"/>
    <mergeCell ref="K10:L10"/>
    <mergeCell ref="O23:P23"/>
    <mergeCell ref="Q23:R23"/>
    <mergeCell ref="D37:E38"/>
    <mergeCell ref="W37:X38"/>
    <mergeCell ref="F48:G48"/>
    <mergeCell ref="F49:G49"/>
    <mergeCell ref="M48:N48"/>
    <mergeCell ref="M49:N49"/>
    <mergeCell ref="O48:P48"/>
    <mergeCell ref="O49:P49"/>
    <mergeCell ref="Q48:R48"/>
    <mergeCell ref="Q49:R49"/>
    <mergeCell ref="S48:T48"/>
    <mergeCell ref="S49:T49"/>
    <mergeCell ref="U48:V48"/>
    <mergeCell ref="U49:V49"/>
    <mergeCell ref="S44:T44"/>
    <mergeCell ref="O44:P44"/>
    <mergeCell ref="M44:N44"/>
    <mergeCell ref="W48:X48"/>
    <mergeCell ref="W49:X49"/>
    <mergeCell ref="F46:G46"/>
    <mergeCell ref="F47:G47"/>
    <mergeCell ref="M46:N46"/>
    <mergeCell ref="M45:N45"/>
    <mergeCell ref="O45:P45"/>
    <mergeCell ref="W46:X46"/>
    <mergeCell ref="W47:X47"/>
    <mergeCell ref="C51:C54"/>
    <mergeCell ref="C55:C58"/>
    <mergeCell ref="U57:V57"/>
    <mergeCell ref="M47:N47"/>
    <mergeCell ref="O46:P46"/>
    <mergeCell ref="O47:P47"/>
    <mergeCell ref="Q46:R46"/>
    <mergeCell ref="Q47:R47"/>
    <mergeCell ref="S46:T46"/>
    <mergeCell ref="S47:T47"/>
    <mergeCell ref="U46:V46"/>
    <mergeCell ref="U47:V47"/>
    <mergeCell ref="F52:G52"/>
    <mergeCell ref="K52:L52"/>
    <mergeCell ref="M52:N52"/>
    <mergeCell ref="O50:P50"/>
    <mergeCell ref="Q50:R50"/>
    <mergeCell ref="S50:T50"/>
    <mergeCell ref="U50:V50"/>
    <mergeCell ref="W50:X50"/>
    <mergeCell ref="S51:T51"/>
    <mergeCell ref="W51:X58"/>
  </mergeCells>
  <phoneticPr fontId="9" type="noConversion"/>
  <conditionalFormatting sqref="AA36:AB36 AC60 AA63:AB63 AA66:AB66 AA68:AB68">
    <cfRule type="containsText" dxfId="0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9" max="16383" man="1"/>
  </rowBreaks>
  <ignoredErrors>
    <ignoredError sqref="W39:W46 W50 J59 K67 O67 S67" formulaRange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60"/>
  <sheetViews>
    <sheetView showGridLines="0" view="pageBreakPreview" topLeftCell="A10" zoomScale="90" zoomScaleNormal="85" zoomScaleSheetLayoutView="90" workbookViewId="0">
      <selection activeCell="AA17" sqref="AA17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341" t="s">
        <v>150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</row>
    <row r="3" spans="2:33" ht="27" customHeight="1" thickBot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42" t="s">
        <v>129</v>
      </c>
      <c r="O3" s="343"/>
      <c r="P3" s="344"/>
      <c r="Q3" s="342" t="s">
        <v>127</v>
      </c>
      <c r="R3" s="343"/>
      <c r="S3" s="344"/>
      <c r="T3" s="345" t="s">
        <v>130</v>
      </c>
      <c r="U3" s="346"/>
    </row>
    <row r="4" spans="2:33" ht="27" customHeight="1" thickBot="1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480" t="s">
        <v>522</v>
      </c>
      <c r="O4" s="481"/>
      <c r="P4" s="482"/>
      <c r="Q4" s="347" t="s">
        <v>527</v>
      </c>
      <c r="R4" s="348"/>
      <c r="S4" s="349"/>
      <c r="T4" s="350">
        <v>2027</v>
      </c>
      <c r="U4" s="351"/>
    </row>
    <row r="5" spans="2:33" ht="24" customHeight="1" thickBot="1">
      <c r="B5" s="352"/>
      <c r="C5" s="352"/>
    </row>
    <row r="6" spans="2:33" ht="20.25" customHeight="1">
      <c r="B6" s="353" t="s">
        <v>13</v>
      </c>
      <c r="C6" s="356" t="s">
        <v>140</v>
      </c>
      <c r="D6" s="337" t="s">
        <v>14</v>
      </c>
      <c r="E6" s="337" t="s">
        <v>15</v>
      </c>
      <c r="F6" s="337" t="s">
        <v>141</v>
      </c>
      <c r="G6" s="337" t="s">
        <v>142</v>
      </c>
      <c r="H6" s="363" t="s">
        <v>58</v>
      </c>
      <c r="I6" s="363"/>
      <c r="J6" s="363"/>
      <c r="K6" s="363"/>
      <c r="L6" s="363" t="s">
        <v>59</v>
      </c>
      <c r="M6" s="363"/>
      <c r="N6" s="363"/>
      <c r="O6" s="363"/>
      <c r="P6" s="363" t="s">
        <v>60</v>
      </c>
      <c r="Q6" s="363"/>
      <c r="R6" s="363"/>
      <c r="S6" s="363"/>
      <c r="T6" s="370" t="s">
        <v>139</v>
      </c>
      <c r="U6" s="364" t="s">
        <v>126</v>
      </c>
      <c r="W6" s="367" t="s">
        <v>131</v>
      </c>
      <c r="X6" s="368"/>
      <c r="Y6" s="368"/>
      <c r="Z6" s="368"/>
      <c r="AA6" s="368"/>
      <c r="AB6" s="368"/>
      <c r="AC6" s="368"/>
      <c r="AD6" s="368"/>
      <c r="AE6" s="368"/>
      <c r="AF6" s="369"/>
      <c r="AG6" s="13"/>
    </row>
    <row r="7" spans="2:33" ht="16.5" customHeight="1">
      <c r="B7" s="354"/>
      <c r="C7" s="357"/>
      <c r="D7" s="338"/>
      <c r="E7" s="338"/>
      <c r="F7" s="338"/>
      <c r="G7" s="338"/>
      <c r="H7" s="340" t="s">
        <v>124</v>
      </c>
      <c r="I7" s="340"/>
      <c r="J7" s="340" t="s">
        <v>62</v>
      </c>
      <c r="K7" s="340"/>
      <c r="L7" s="340" t="s">
        <v>124</v>
      </c>
      <c r="M7" s="340"/>
      <c r="N7" s="340" t="s">
        <v>62</v>
      </c>
      <c r="O7" s="340"/>
      <c r="P7" s="340" t="s">
        <v>124</v>
      </c>
      <c r="Q7" s="340"/>
      <c r="R7" s="340" t="s">
        <v>62</v>
      </c>
      <c r="S7" s="340"/>
      <c r="T7" s="371"/>
      <c r="U7" s="365"/>
      <c r="W7" s="360" t="s">
        <v>132</v>
      </c>
      <c r="X7" s="361"/>
      <c r="Y7" s="361"/>
      <c r="Z7" s="361"/>
      <c r="AA7" s="361"/>
      <c r="AB7" s="361"/>
      <c r="AC7" s="361"/>
      <c r="AD7" s="361"/>
      <c r="AE7" s="361"/>
      <c r="AF7" s="362"/>
      <c r="AG7" s="13"/>
    </row>
    <row r="8" spans="2:33" ht="17.25" customHeight="1" thickBot="1">
      <c r="B8" s="355"/>
      <c r="C8" s="358"/>
      <c r="D8" s="339"/>
      <c r="E8" s="339"/>
      <c r="F8" s="339"/>
      <c r="G8" s="339"/>
      <c r="H8" s="27" t="s">
        <v>138</v>
      </c>
      <c r="I8" s="27" t="s">
        <v>125</v>
      </c>
      <c r="J8" s="27" t="s">
        <v>138</v>
      </c>
      <c r="K8" s="27" t="s">
        <v>125</v>
      </c>
      <c r="L8" s="27" t="s">
        <v>138</v>
      </c>
      <c r="M8" s="27" t="s">
        <v>125</v>
      </c>
      <c r="N8" s="27" t="s">
        <v>138</v>
      </c>
      <c r="O8" s="27" t="s">
        <v>125</v>
      </c>
      <c r="P8" s="27" t="s">
        <v>138</v>
      </c>
      <c r="Q8" s="27" t="s">
        <v>125</v>
      </c>
      <c r="R8" s="27" t="s">
        <v>138</v>
      </c>
      <c r="S8" s="27" t="s">
        <v>125</v>
      </c>
      <c r="T8" s="372"/>
      <c r="U8" s="366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47" t="s">
        <v>554</v>
      </c>
      <c r="C9" s="448">
        <v>7</v>
      </c>
      <c r="D9" s="28" t="s">
        <v>562</v>
      </c>
      <c r="E9" s="28" t="s">
        <v>566</v>
      </c>
      <c r="F9" s="28">
        <v>16</v>
      </c>
      <c r="G9" s="28">
        <v>3</v>
      </c>
      <c r="H9" s="29"/>
      <c r="I9" s="29"/>
      <c r="J9" s="29"/>
      <c r="K9" s="29"/>
      <c r="L9" s="29">
        <v>1</v>
      </c>
      <c r="M9" s="29"/>
      <c r="N9" s="29"/>
      <c r="O9" s="29"/>
      <c r="P9" s="29"/>
      <c r="Q9" s="29"/>
      <c r="R9" s="29"/>
      <c r="S9" s="29"/>
      <c r="T9" s="449">
        <f>SUM(H9,J9,L9,N9,P9,R9)</f>
        <v>1</v>
      </c>
      <c r="U9" s="450"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51"/>
      <c r="C10" s="452"/>
      <c r="D10" s="25" t="s">
        <v>563</v>
      </c>
      <c r="E10" s="34" t="s">
        <v>567</v>
      </c>
      <c r="F10" s="25">
        <v>32</v>
      </c>
      <c r="G10" s="25">
        <v>2</v>
      </c>
      <c r="H10" s="26"/>
      <c r="I10" s="26"/>
      <c r="J10" s="26"/>
      <c r="K10" s="26"/>
      <c r="L10" s="26">
        <v>2</v>
      </c>
      <c r="M10" s="26"/>
      <c r="N10" s="26"/>
      <c r="O10" s="26"/>
      <c r="P10" s="26"/>
      <c r="Q10" s="26"/>
      <c r="R10" s="26"/>
      <c r="S10" s="26"/>
      <c r="T10" s="453">
        <f t="shared" ref="T10" si="0">SUM(H10,J10,L10,N10,P10,R10)</f>
        <v>2</v>
      </c>
      <c r="U10" s="454"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51"/>
      <c r="C11" s="452"/>
      <c r="D11" s="34" t="s">
        <v>564</v>
      </c>
      <c r="E11" s="25" t="s">
        <v>568</v>
      </c>
      <c r="F11" s="34">
        <v>32</v>
      </c>
      <c r="G11" s="34">
        <v>2</v>
      </c>
      <c r="H11" s="33"/>
      <c r="I11" s="33"/>
      <c r="J11" s="33"/>
      <c r="K11" s="33"/>
      <c r="L11" s="33"/>
      <c r="M11" s="33"/>
      <c r="N11" s="33">
        <v>2</v>
      </c>
      <c r="O11" s="33"/>
      <c r="P11" s="33"/>
      <c r="Q11" s="33"/>
      <c r="R11" s="33"/>
      <c r="S11" s="33"/>
      <c r="T11" s="455">
        <v>2</v>
      </c>
      <c r="U11" s="456">
        <v>32</v>
      </c>
    </row>
    <row r="12" spans="2:33">
      <c r="B12" s="451"/>
      <c r="C12" s="452"/>
      <c r="D12" s="34" t="s">
        <v>565</v>
      </c>
      <c r="E12" s="34" t="s">
        <v>569</v>
      </c>
      <c r="F12" s="34">
        <v>32</v>
      </c>
      <c r="G12" s="34">
        <v>4</v>
      </c>
      <c r="H12" s="33"/>
      <c r="I12" s="33"/>
      <c r="J12" s="33"/>
      <c r="K12" s="33"/>
      <c r="L12" s="33"/>
      <c r="M12" s="33"/>
      <c r="N12" s="33">
        <v>2</v>
      </c>
      <c r="O12" s="33"/>
      <c r="P12" s="33"/>
      <c r="Q12" s="33"/>
      <c r="R12" s="33"/>
      <c r="S12" s="33"/>
      <c r="T12" s="455">
        <f t="shared" ref="T12:U12" si="1">SUM(H12,J12,L12,N12,P12,R12)</f>
        <v>2</v>
      </c>
      <c r="U12" s="456">
        <v>32</v>
      </c>
    </row>
    <row r="13" spans="2:33" ht="18" thickBot="1">
      <c r="B13" s="457"/>
      <c r="C13" s="458"/>
      <c r="D13" s="359" t="s">
        <v>16</v>
      </c>
      <c r="E13" s="359"/>
      <c r="F13" s="154">
        <f>SUM(F9:F12)</f>
        <v>112</v>
      </c>
      <c r="G13" s="154"/>
      <c r="H13" s="30">
        <f>SUM(H11:H12)</f>
        <v>0</v>
      </c>
      <c r="I13" s="30">
        <f>SUM(I11:I12)</f>
        <v>0</v>
      </c>
      <c r="J13" s="30">
        <f>SUM(J11:J12)</f>
        <v>0</v>
      </c>
      <c r="K13" s="30">
        <f>SUM(K11:K12)</f>
        <v>0</v>
      </c>
      <c r="L13" s="30">
        <f t="shared" ref="L13:U13" si="2">SUM(L9:L12)</f>
        <v>3</v>
      </c>
      <c r="M13" s="30">
        <f t="shared" si="2"/>
        <v>0</v>
      </c>
      <c r="N13" s="30">
        <f t="shared" si="2"/>
        <v>4</v>
      </c>
      <c r="O13" s="30">
        <f t="shared" si="2"/>
        <v>0</v>
      </c>
      <c r="P13" s="30">
        <f t="shared" si="2"/>
        <v>0</v>
      </c>
      <c r="Q13" s="30">
        <f t="shared" si="2"/>
        <v>0</v>
      </c>
      <c r="R13" s="30">
        <f t="shared" si="2"/>
        <v>0</v>
      </c>
      <c r="S13" s="30">
        <f t="shared" si="2"/>
        <v>0</v>
      </c>
      <c r="T13" s="459">
        <f t="shared" si="2"/>
        <v>7</v>
      </c>
      <c r="U13" s="459">
        <f t="shared" si="2"/>
        <v>112</v>
      </c>
    </row>
    <row r="14" spans="2:33">
      <c r="B14" s="460" t="s">
        <v>570</v>
      </c>
      <c r="C14" s="461">
        <v>18</v>
      </c>
      <c r="D14" s="473" t="s">
        <v>571</v>
      </c>
      <c r="E14" s="474" t="s">
        <v>575</v>
      </c>
      <c r="F14" s="28">
        <v>48</v>
      </c>
      <c r="G14" s="28">
        <v>3</v>
      </c>
      <c r="H14" s="29"/>
      <c r="I14" s="29"/>
      <c r="J14" s="29"/>
      <c r="K14" s="29"/>
      <c r="L14" s="29"/>
      <c r="M14" s="29"/>
      <c r="N14" s="29"/>
      <c r="O14" s="29"/>
      <c r="P14" s="29">
        <v>3</v>
      </c>
      <c r="Q14" s="29"/>
      <c r="R14" s="29"/>
      <c r="S14" s="29"/>
      <c r="T14" s="434">
        <f>SUM(P14:S14)</f>
        <v>3</v>
      </c>
      <c r="U14" s="435">
        <v>48</v>
      </c>
      <c r="W14" s="40"/>
    </row>
    <row r="15" spans="2:33">
      <c r="B15" s="462"/>
      <c r="C15" s="463"/>
      <c r="D15" s="475" t="s">
        <v>572</v>
      </c>
      <c r="E15" s="476" t="s">
        <v>576</v>
      </c>
      <c r="F15" s="34">
        <v>64</v>
      </c>
      <c r="G15" s="34">
        <v>3</v>
      </c>
      <c r="H15" s="33"/>
      <c r="I15" s="33"/>
      <c r="J15" s="33"/>
      <c r="K15" s="33"/>
      <c r="L15" s="33"/>
      <c r="M15" s="33"/>
      <c r="N15" s="33"/>
      <c r="O15" s="33"/>
      <c r="P15" s="33">
        <v>4</v>
      </c>
      <c r="Q15" s="33"/>
      <c r="R15" s="33"/>
      <c r="S15" s="26"/>
      <c r="T15" s="436">
        <f>SUM(P15:S15)</f>
        <v>4</v>
      </c>
      <c r="U15" s="437">
        <v>64</v>
      </c>
    </row>
    <row r="16" spans="2:33">
      <c r="B16" s="462"/>
      <c r="C16" s="463"/>
      <c r="D16" s="475" t="s">
        <v>573</v>
      </c>
      <c r="E16" s="476" t="s">
        <v>577</v>
      </c>
      <c r="F16" s="34">
        <v>64</v>
      </c>
      <c r="G16" s="34">
        <v>2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>
        <v>4</v>
      </c>
      <c r="S16" s="26"/>
      <c r="T16" s="436">
        <f>SUM(T14:T15)</f>
        <v>7</v>
      </c>
      <c r="U16" s="437">
        <v>64</v>
      </c>
    </row>
    <row r="17" spans="2:23">
      <c r="B17" s="464"/>
      <c r="C17" s="465"/>
      <c r="D17" s="475" t="s">
        <v>574</v>
      </c>
      <c r="E17" s="476" t="s">
        <v>578</v>
      </c>
      <c r="F17" s="25">
        <v>64</v>
      </c>
      <c r="G17" s="25">
        <v>3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>
        <v>4</v>
      </c>
      <c r="S17" s="26"/>
      <c r="T17" s="438">
        <f>SUM(R17:S17)</f>
        <v>4</v>
      </c>
      <c r="U17" s="439">
        <v>64</v>
      </c>
    </row>
    <row r="18" spans="2:23" ht="18" thickBot="1">
      <c r="B18" s="466"/>
      <c r="C18" s="467"/>
      <c r="D18" s="359" t="s">
        <v>588</v>
      </c>
      <c r="E18" s="359"/>
      <c r="F18" s="154">
        <f>SUM(F14:F17)</f>
        <v>240</v>
      </c>
      <c r="G18" s="154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440">
        <f>SUM(T14:T17)</f>
        <v>18</v>
      </c>
      <c r="U18" s="441">
        <f>SUM(U14:U17)</f>
        <v>240</v>
      </c>
    </row>
    <row r="19" spans="2:23">
      <c r="B19" s="447" t="s">
        <v>579</v>
      </c>
      <c r="C19" s="448">
        <v>18</v>
      </c>
      <c r="D19" s="477" t="s">
        <v>580</v>
      </c>
      <c r="E19" s="28" t="s">
        <v>585</v>
      </c>
      <c r="F19" s="28">
        <v>48</v>
      </c>
      <c r="G19" s="28">
        <v>3</v>
      </c>
      <c r="H19" s="29"/>
      <c r="I19" s="29"/>
      <c r="J19" s="29"/>
      <c r="K19" s="29"/>
      <c r="L19" s="29"/>
      <c r="M19" s="29"/>
      <c r="N19" s="29"/>
      <c r="O19" s="29"/>
      <c r="P19" s="29">
        <v>3</v>
      </c>
      <c r="Q19" s="29"/>
      <c r="R19" s="29"/>
      <c r="S19" s="29"/>
      <c r="T19" s="434">
        <f>SUM(P19:S19)</f>
        <v>3</v>
      </c>
      <c r="U19" s="435">
        <v>48</v>
      </c>
      <c r="W19" s="40"/>
    </row>
    <row r="20" spans="2:23">
      <c r="B20" s="451"/>
      <c r="C20" s="452"/>
      <c r="D20" s="478" t="s">
        <v>581</v>
      </c>
      <c r="E20" s="34" t="s">
        <v>584</v>
      </c>
      <c r="F20" s="34">
        <v>64</v>
      </c>
      <c r="G20" s="34">
        <v>3</v>
      </c>
      <c r="H20" s="33"/>
      <c r="I20" s="33"/>
      <c r="J20" s="33"/>
      <c r="K20" s="33"/>
      <c r="L20" s="33"/>
      <c r="M20" s="33"/>
      <c r="N20" s="33"/>
      <c r="O20" s="33"/>
      <c r="P20" s="33">
        <v>4</v>
      </c>
      <c r="Q20" s="33"/>
      <c r="R20" s="33"/>
      <c r="S20" s="26"/>
      <c r="T20" s="436">
        <f>SUM(P20:S20)</f>
        <v>4</v>
      </c>
      <c r="U20" s="437">
        <v>64</v>
      </c>
    </row>
    <row r="21" spans="2:23">
      <c r="B21" s="451"/>
      <c r="C21" s="452"/>
      <c r="D21" s="25" t="s">
        <v>582</v>
      </c>
      <c r="E21" s="34" t="s">
        <v>586</v>
      </c>
      <c r="F21" s="34">
        <v>64</v>
      </c>
      <c r="G21" s="34">
        <v>3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>
        <v>4</v>
      </c>
      <c r="S21" s="26"/>
      <c r="T21" s="436">
        <f>SUM(T19:T20)</f>
        <v>7</v>
      </c>
      <c r="U21" s="437">
        <v>64</v>
      </c>
    </row>
    <row r="22" spans="2:23">
      <c r="B22" s="451"/>
      <c r="C22" s="452"/>
      <c r="D22" s="25" t="s">
        <v>583</v>
      </c>
      <c r="E22" s="25" t="s">
        <v>587</v>
      </c>
      <c r="F22" s="25">
        <v>64</v>
      </c>
      <c r="G22" s="25">
        <v>1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>
        <v>4</v>
      </c>
      <c r="S22" s="26"/>
      <c r="T22" s="438">
        <f>SUM(R22:S22)</f>
        <v>4</v>
      </c>
      <c r="U22" s="439">
        <v>64</v>
      </c>
    </row>
    <row r="23" spans="2:23" ht="18" thickBot="1">
      <c r="B23" s="457"/>
      <c r="C23" s="458"/>
      <c r="D23" s="335" t="s">
        <v>588</v>
      </c>
      <c r="E23" s="336"/>
      <c r="F23" s="154">
        <f>SUM(F19:F22)</f>
        <v>240</v>
      </c>
      <c r="G23" s="154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440">
        <f>SUM(T19:T22)</f>
        <v>18</v>
      </c>
      <c r="U23" s="441">
        <f>SUM(U19:U22)</f>
        <v>240</v>
      </c>
    </row>
    <row r="24" spans="2:23">
      <c r="B24" s="447" t="s">
        <v>589</v>
      </c>
      <c r="C24" s="448">
        <v>18</v>
      </c>
      <c r="D24" s="28" t="s">
        <v>590</v>
      </c>
      <c r="E24" s="28" t="s">
        <v>594</v>
      </c>
      <c r="F24" s="28">
        <v>48</v>
      </c>
      <c r="G24" s="28">
        <v>3</v>
      </c>
      <c r="H24" s="29"/>
      <c r="I24" s="29"/>
      <c r="J24" s="29"/>
      <c r="K24" s="29"/>
      <c r="L24" s="29"/>
      <c r="M24" s="29"/>
      <c r="N24" s="29"/>
      <c r="O24" s="29"/>
      <c r="P24" s="29">
        <v>3</v>
      </c>
      <c r="Q24" s="29"/>
      <c r="R24" s="29"/>
      <c r="S24" s="29"/>
      <c r="T24" s="434">
        <f>SUM(P24:S24)</f>
        <v>3</v>
      </c>
      <c r="U24" s="435">
        <v>48</v>
      </c>
      <c r="W24" s="40"/>
    </row>
    <row r="25" spans="2:23">
      <c r="B25" s="451"/>
      <c r="C25" s="452"/>
      <c r="D25" s="34" t="s">
        <v>591</v>
      </c>
      <c r="E25" s="34" t="s">
        <v>595</v>
      </c>
      <c r="F25" s="34">
        <v>64</v>
      </c>
      <c r="G25" s="34">
        <v>4</v>
      </c>
      <c r="H25" s="33"/>
      <c r="I25" s="33"/>
      <c r="J25" s="33"/>
      <c r="K25" s="33"/>
      <c r="L25" s="33"/>
      <c r="M25" s="33"/>
      <c r="N25" s="33"/>
      <c r="O25" s="33"/>
      <c r="P25" s="33">
        <v>4</v>
      </c>
      <c r="Q25" s="33"/>
      <c r="R25" s="33"/>
      <c r="S25" s="26"/>
      <c r="T25" s="436">
        <f>SUM(P25:S25)</f>
        <v>4</v>
      </c>
      <c r="U25" s="437">
        <v>64</v>
      </c>
    </row>
    <row r="26" spans="2:23">
      <c r="B26" s="451"/>
      <c r="C26" s="452"/>
      <c r="D26" s="34" t="s">
        <v>592</v>
      </c>
      <c r="E26" s="34" t="s">
        <v>596</v>
      </c>
      <c r="F26" s="34">
        <v>64</v>
      </c>
      <c r="G26" s="34">
        <v>3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>
        <v>4</v>
      </c>
      <c r="S26" s="26"/>
      <c r="T26" s="436">
        <f>SUM(T24:T25)</f>
        <v>7</v>
      </c>
      <c r="U26" s="437">
        <v>64</v>
      </c>
    </row>
    <row r="27" spans="2:23">
      <c r="B27" s="451"/>
      <c r="C27" s="452"/>
      <c r="D27" s="25" t="s">
        <v>593</v>
      </c>
      <c r="E27" s="25" t="s">
        <v>597</v>
      </c>
      <c r="F27" s="25">
        <v>64</v>
      </c>
      <c r="G27" s="25">
        <v>2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>
        <v>4</v>
      </c>
      <c r="S27" s="26"/>
      <c r="T27" s="438">
        <f>SUM(R27:S27)</f>
        <v>4</v>
      </c>
      <c r="U27" s="439">
        <v>64</v>
      </c>
    </row>
    <row r="28" spans="2:23" ht="18" thickBot="1">
      <c r="B28" s="457"/>
      <c r="C28" s="458"/>
      <c r="D28" s="335" t="s">
        <v>588</v>
      </c>
      <c r="E28" s="336"/>
      <c r="F28" s="154">
        <f>SUM(F24:F27)</f>
        <v>240</v>
      </c>
      <c r="G28" s="154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440">
        <f>SUM(T24:T27)</f>
        <v>18</v>
      </c>
      <c r="U28" s="441">
        <f>SUM(U24:U27)</f>
        <v>240</v>
      </c>
    </row>
    <row r="29" spans="2:23">
      <c r="B29" s="460" t="s">
        <v>598</v>
      </c>
      <c r="C29" s="461">
        <v>7</v>
      </c>
      <c r="D29" s="28" t="s">
        <v>602</v>
      </c>
      <c r="E29" s="479" t="s">
        <v>607</v>
      </c>
      <c r="F29" s="28">
        <v>16</v>
      </c>
      <c r="G29" s="28">
        <v>3</v>
      </c>
      <c r="H29" s="29"/>
      <c r="I29" s="29"/>
      <c r="J29" s="29"/>
      <c r="K29" s="29"/>
      <c r="L29" s="29">
        <v>1</v>
      </c>
      <c r="M29" s="29"/>
      <c r="N29" s="29"/>
      <c r="O29" s="29"/>
      <c r="P29" s="29"/>
      <c r="Q29" s="29"/>
      <c r="R29" s="29"/>
      <c r="S29" s="29"/>
      <c r="T29" s="434">
        <f>SUM(L29:S29)</f>
        <v>1</v>
      </c>
      <c r="U29" s="435">
        <v>16</v>
      </c>
      <c r="W29" s="40"/>
    </row>
    <row r="30" spans="2:23">
      <c r="B30" s="462"/>
      <c r="C30" s="463"/>
      <c r="D30" s="34" t="s">
        <v>603</v>
      </c>
      <c r="E30" s="34" t="s">
        <v>606</v>
      </c>
      <c r="F30" s="34">
        <v>32</v>
      </c>
      <c r="G30" s="34">
        <v>2</v>
      </c>
      <c r="H30" s="33"/>
      <c r="I30" s="33"/>
      <c r="J30" s="33"/>
      <c r="K30" s="33"/>
      <c r="L30" s="26">
        <v>2</v>
      </c>
      <c r="M30" s="26"/>
      <c r="N30" s="26"/>
      <c r="O30" s="33"/>
      <c r="P30" s="33"/>
      <c r="Q30" s="33"/>
      <c r="R30" s="33"/>
      <c r="S30" s="26"/>
      <c r="T30" s="436">
        <f>SUM(L30:S30)</f>
        <v>2</v>
      </c>
      <c r="U30" s="437">
        <v>32</v>
      </c>
    </row>
    <row r="31" spans="2:23">
      <c r="B31" s="462"/>
      <c r="C31" s="463"/>
      <c r="D31" s="34" t="s">
        <v>604</v>
      </c>
      <c r="E31" s="34" t="s">
        <v>608</v>
      </c>
      <c r="F31" s="34">
        <v>32</v>
      </c>
      <c r="G31" s="34">
        <v>5</v>
      </c>
      <c r="H31" s="33"/>
      <c r="I31" s="33"/>
      <c r="J31" s="33"/>
      <c r="K31" s="33"/>
      <c r="L31" s="33"/>
      <c r="M31" s="33"/>
      <c r="N31" s="33">
        <v>2</v>
      </c>
      <c r="O31" s="33"/>
      <c r="P31" s="33"/>
      <c r="Q31" s="33"/>
      <c r="R31" s="33"/>
      <c r="S31" s="26"/>
      <c r="T31" s="436">
        <f>SUM(L31:Q31)</f>
        <v>2</v>
      </c>
      <c r="U31" s="437">
        <v>32</v>
      </c>
    </row>
    <row r="32" spans="2:23">
      <c r="B32" s="464"/>
      <c r="C32" s="465"/>
      <c r="D32" s="25" t="s">
        <v>605</v>
      </c>
      <c r="E32" s="25" t="s">
        <v>609</v>
      </c>
      <c r="F32" s="25">
        <v>32</v>
      </c>
      <c r="G32" s="25">
        <v>5</v>
      </c>
      <c r="H32" s="26"/>
      <c r="I32" s="26"/>
      <c r="J32" s="26"/>
      <c r="K32" s="26"/>
      <c r="L32" s="33"/>
      <c r="M32" s="33"/>
      <c r="N32" s="33">
        <v>2</v>
      </c>
      <c r="O32" s="26"/>
      <c r="P32" s="26"/>
      <c r="Q32" s="26"/>
      <c r="R32" s="26"/>
      <c r="S32" s="26"/>
      <c r="T32" s="438">
        <f>SUM(L32:N32)</f>
        <v>2</v>
      </c>
      <c r="U32" s="439">
        <v>32</v>
      </c>
    </row>
    <row r="33" spans="2:23" ht="18" thickBot="1">
      <c r="B33" s="466"/>
      <c r="C33" s="467"/>
      <c r="D33" s="359" t="s">
        <v>588</v>
      </c>
      <c r="E33" s="359"/>
      <c r="F33" s="154">
        <f>SUM(F29:F32)</f>
        <v>112</v>
      </c>
      <c r="G33" s="154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440">
        <f>SUM(T29:T32)</f>
        <v>7</v>
      </c>
      <c r="U33" s="441">
        <f>SUM(U29:U32)</f>
        <v>112</v>
      </c>
    </row>
    <row r="34" spans="2:23">
      <c r="B34" s="447" t="s">
        <v>599</v>
      </c>
      <c r="C34" s="448">
        <v>18</v>
      </c>
      <c r="D34" s="28" t="s">
        <v>610</v>
      </c>
      <c r="E34" s="28" t="s">
        <v>614</v>
      </c>
      <c r="F34" s="28">
        <v>48</v>
      </c>
      <c r="G34" s="28">
        <v>2</v>
      </c>
      <c r="H34" s="29"/>
      <c r="I34" s="29"/>
      <c r="J34" s="29"/>
      <c r="K34" s="29"/>
      <c r="L34" s="29"/>
      <c r="M34" s="29"/>
      <c r="N34" s="29"/>
      <c r="O34" s="29"/>
      <c r="P34" s="29">
        <v>3</v>
      </c>
      <c r="Q34" s="29"/>
      <c r="R34" s="29"/>
      <c r="S34" s="29"/>
      <c r="T34" s="434">
        <f>SUM(P34:S34)</f>
        <v>3</v>
      </c>
      <c r="U34" s="435">
        <v>48</v>
      </c>
      <c r="W34" s="40"/>
    </row>
    <row r="35" spans="2:23">
      <c r="B35" s="451"/>
      <c r="C35" s="452"/>
      <c r="D35" s="34" t="s">
        <v>611</v>
      </c>
      <c r="E35" s="34" t="s">
        <v>615</v>
      </c>
      <c r="F35" s="34">
        <v>64</v>
      </c>
      <c r="G35" s="34">
        <v>2</v>
      </c>
      <c r="H35" s="33"/>
      <c r="I35" s="33"/>
      <c r="J35" s="33"/>
      <c r="K35" s="33"/>
      <c r="L35" s="33"/>
      <c r="M35" s="33"/>
      <c r="N35" s="33"/>
      <c r="O35" s="33"/>
      <c r="P35" s="33">
        <v>4</v>
      </c>
      <c r="Q35" s="33"/>
      <c r="R35" s="33"/>
      <c r="S35" s="26"/>
      <c r="T35" s="436">
        <f>SUM(P35:S35)</f>
        <v>4</v>
      </c>
      <c r="U35" s="437">
        <v>64</v>
      </c>
    </row>
    <row r="36" spans="2:23">
      <c r="B36" s="451"/>
      <c r="C36" s="452"/>
      <c r="D36" s="34" t="s">
        <v>612</v>
      </c>
      <c r="E36" s="34" t="s">
        <v>616</v>
      </c>
      <c r="F36" s="34">
        <v>64</v>
      </c>
      <c r="G36" s="34">
        <v>3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>
        <v>4</v>
      </c>
      <c r="S36" s="26"/>
      <c r="T36" s="436">
        <f>SUM(T34:T35)</f>
        <v>7</v>
      </c>
      <c r="U36" s="437">
        <v>64</v>
      </c>
    </row>
    <row r="37" spans="2:23">
      <c r="B37" s="451"/>
      <c r="C37" s="452"/>
      <c r="D37" s="25" t="s">
        <v>613</v>
      </c>
      <c r="E37" s="25" t="s">
        <v>617</v>
      </c>
      <c r="F37" s="25">
        <v>64</v>
      </c>
      <c r="G37" s="25">
        <v>1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>
        <v>4</v>
      </c>
      <c r="S37" s="26"/>
      <c r="T37" s="438">
        <f>SUM(R37:S37)</f>
        <v>4</v>
      </c>
      <c r="U37" s="439">
        <v>64</v>
      </c>
    </row>
    <row r="38" spans="2:23" ht="18" thickBot="1">
      <c r="B38" s="457"/>
      <c r="C38" s="458"/>
      <c r="D38" s="335" t="s">
        <v>588</v>
      </c>
      <c r="E38" s="336"/>
      <c r="F38" s="154">
        <f>SUM(F34:F37)</f>
        <v>240</v>
      </c>
      <c r="G38" s="154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440">
        <f>SUM(T34:T37)</f>
        <v>18</v>
      </c>
      <c r="U38" s="441">
        <f>SUM(U34:U37)</f>
        <v>240</v>
      </c>
    </row>
    <row r="39" spans="2:23">
      <c r="B39" s="447" t="s">
        <v>600</v>
      </c>
      <c r="C39" s="448">
        <v>18</v>
      </c>
      <c r="D39" s="28" t="s">
        <v>618</v>
      </c>
      <c r="E39" s="28" t="s">
        <v>622</v>
      </c>
      <c r="F39" s="28">
        <v>48</v>
      </c>
      <c r="G39" s="28">
        <v>4</v>
      </c>
      <c r="H39" s="29"/>
      <c r="I39" s="29"/>
      <c r="J39" s="29"/>
      <c r="K39" s="29"/>
      <c r="L39" s="29"/>
      <c r="M39" s="29"/>
      <c r="N39" s="29"/>
      <c r="O39" s="29"/>
      <c r="P39" s="29">
        <v>3</v>
      </c>
      <c r="Q39" s="29"/>
      <c r="R39" s="29"/>
      <c r="S39" s="29"/>
      <c r="T39" s="434">
        <f>SUM(P39:S39)</f>
        <v>3</v>
      </c>
      <c r="U39" s="435">
        <v>48</v>
      </c>
      <c r="W39" s="40"/>
    </row>
    <row r="40" spans="2:23">
      <c r="B40" s="451"/>
      <c r="C40" s="452"/>
      <c r="D40" s="34" t="s">
        <v>619</v>
      </c>
      <c r="E40" s="34" t="s">
        <v>623</v>
      </c>
      <c r="F40" s="34">
        <v>64</v>
      </c>
      <c r="G40" s="34">
        <v>2</v>
      </c>
      <c r="H40" s="33"/>
      <c r="I40" s="33"/>
      <c r="J40" s="33"/>
      <c r="K40" s="33"/>
      <c r="L40" s="33"/>
      <c r="M40" s="33"/>
      <c r="N40" s="33"/>
      <c r="O40" s="33"/>
      <c r="P40" s="33">
        <v>4</v>
      </c>
      <c r="Q40" s="33"/>
      <c r="R40" s="33"/>
      <c r="S40" s="26"/>
      <c r="T40" s="436">
        <f>SUM(P40:S40)</f>
        <v>4</v>
      </c>
      <c r="U40" s="437">
        <v>64</v>
      </c>
    </row>
    <row r="41" spans="2:23">
      <c r="B41" s="451"/>
      <c r="C41" s="452"/>
      <c r="D41" s="34" t="s">
        <v>620</v>
      </c>
      <c r="E41" s="34" t="s">
        <v>624</v>
      </c>
      <c r="F41" s="34">
        <v>64</v>
      </c>
      <c r="G41" s="34">
        <v>3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>
        <v>4</v>
      </c>
      <c r="S41" s="26"/>
      <c r="T41" s="436">
        <f>SUM(P41:S41)</f>
        <v>4</v>
      </c>
      <c r="U41" s="437">
        <v>64</v>
      </c>
    </row>
    <row r="42" spans="2:23">
      <c r="B42" s="451"/>
      <c r="C42" s="452"/>
      <c r="D42" s="25" t="s">
        <v>621</v>
      </c>
      <c r="E42" s="25" t="s">
        <v>625</v>
      </c>
      <c r="F42" s="25">
        <v>64</v>
      </c>
      <c r="G42" s="25">
        <v>3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>
        <v>4</v>
      </c>
      <c r="S42" s="26"/>
      <c r="T42" s="438">
        <f>SUM(P42:S42)</f>
        <v>4</v>
      </c>
      <c r="U42" s="439">
        <v>64</v>
      </c>
    </row>
    <row r="43" spans="2:23" ht="18" thickBot="1">
      <c r="B43" s="457"/>
      <c r="C43" s="458"/>
      <c r="D43" s="335" t="s">
        <v>588</v>
      </c>
      <c r="E43" s="336"/>
      <c r="F43" s="154">
        <f>SUM(F39:F42)</f>
        <v>240</v>
      </c>
      <c r="G43" s="154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440">
        <f>SUM(T39:T42)</f>
        <v>15</v>
      </c>
      <c r="U43" s="441">
        <f>SUM(U39:U42)</f>
        <v>240</v>
      </c>
    </row>
    <row r="44" spans="2:23">
      <c r="B44" s="447" t="s">
        <v>601</v>
      </c>
      <c r="C44" s="448">
        <v>18</v>
      </c>
      <c r="D44" s="28" t="s">
        <v>626</v>
      </c>
      <c r="E44" s="28" t="s">
        <v>630</v>
      </c>
      <c r="F44" s="28">
        <v>48</v>
      </c>
      <c r="G44" s="28">
        <v>5</v>
      </c>
      <c r="H44" s="29"/>
      <c r="I44" s="29"/>
      <c r="J44" s="29"/>
      <c r="K44" s="29"/>
      <c r="L44" s="29"/>
      <c r="M44" s="29"/>
      <c r="N44" s="29"/>
      <c r="O44" s="29"/>
      <c r="P44" s="29">
        <v>3</v>
      </c>
      <c r="Q44" s="29"/>
      <c r="R44" s="29"/>
      <c r="S44" s="29"/>
      <c r="T44" s="434">
        <f>SUM(P44:R44)</f>
        <v>3</v>
      </c>
      <c r="U44" s="435">
        <v>48</v>
      </c>
      <c r="W44" s="40"/>
    </row>
    <row r="45" spans="2:23">
      <c r="B45" s="451"/>
      <c r="C45" s="452"/>
      <c r="D45" s="34" t="s">
        <v>627</v>
      </c>
      <c r="E45" s="34" t="s">
        <v>631</v>
      </c>
      <c r="F45" s="34">
        <v>64</v>
      </c>
      <c r="G45" s="34">
        <v>4</v>
      </c>
      <c r="H45" s="33"/>
      <c r="I45" s="33"/>
      <c r="J45" s="33"/>
      <c r="K45" s="33"/>
      <c r="L45" s="33"/>
      <c r="M45" s="33"/>
      <c r="N45" s="33"/>
      <c r="O45" s="33"/>
      <c r="P45" s="33">
        <v>4</v>
      </c>
      <c r="Q45" s="33"/>
      <c r="R45" s="33"/>
      <c r="S45" s="26"/>
      <c r="T45" s="436">
        <f>SUM(P45:S45)</f>
        <v>4</v>
      </c>
      <c r="U45" s="437">
        <v>64</v>
      </c>
    </row>
    <row r="46" spans="2:23">
      <c r="B46" s="451"/>
      <c r="C46" s="452"/>
      <c r="D46" s="34" t="s">
        <v>628</v>
      </c>
      <c r="E46" s="34" t="s">
        <v>632</v>
      </c>
      <c r="F46" s="34">
        <v>64</v>
      </c>
      <c r="G46" s="34">
        <v>3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>
        <v>4</v>
      </c>
      <c r="S46" s="26"/>
      <c r="T46" s="436">
        <f>SUM(N46:S46)</f>
        <v>4</v>
      </c>
      <c r="U46" s="437">
        <v>64</v>
      </c>
    </row>
    <row r="47" spans="2:23">
      <c r="B47" s="451"/>
      <c r="C47" s="452"/>
      <c r="D47" s="25" t="s">
        <v>629</v>
      </c>
      <c r="E47" s="25" t="s">
        <v>633</v>
      </c>
      <c r="F47" s="25">
        <v>64</v>
      </c>
      <c r="G47" s="25">
        <v>1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>
        <v>4</v>
      </c>
      <c r="S47" s="26"/>
      <c r="T47" s="438">
        <f>SUM(O47:R47)</f>
        <v>4</v>
      </c>
      <c r="U47" s="439">
        <v>64</v>
      </c>
    </row>
    <row r="48" spans="2:23" ht="18" thickBot="1">
      <c r="B48" s="457"/>
      <c r="C48" s="458"/>
      <c r="D48" s="335" t="s">
        <v>588</v>
      </c>
      <c r="E48" s="336"/>
      <c r="F48" s="154">
        <f>SUM(F44:F47)</f>
        <v>240</v>
      </c>
      <c r="G48" s="154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440">
        <f>SUM(T44:T47)</f>
        <v>15</v>
      </c>
      <c r="U48" s="441">
        <f>SUM(U44:U47)</f>
        <v>240</v>
      </c>
    </row>
    <row r="49" spans="2:21">
      <c r="B49" s="447" t="s">
        <v>652</v>
      </c>
      <c r="C49" s="468">
        <v>3</v>
      </c>
      <c r="D49" s="37" t="s">
        <v>634</v>
      </c>
      <c r="E49" s="34" t="s">
        <v>636</v>
      </c>
      <c r="F49" s="34">
        <v>16</v>
      </c>
      <c r="G49" s="34">
        <v>2</v>
      </c>
      <c r="H49" s="33"/>
      <c r="I49" s="33"/>
      <c r="J49" s="33">
        <v>1</v>
      </c>
      <c r="K49" s="33"/>
      <c r="L49" s="33"/>
      <c r="M49" s="33"/>
      <c r="N49" s="33"/>
      <c r="O49" s="33"/>
      <c r="P49" s="33"/>
      <c r="Q49" s="33"/>
      <c r="R49" s="33"/>
      <c r="S49" s="33"/>
      <c r="T49" s="436">
        <f>SUM(J49:S49)</f>
        <v>1</v>
      </c>
      <c r="U49" s="437">
        <v>16</v>
      </c>
    </row>
    <row r="50" spans="2:21">
      <c r="B50" s="451"/>
      <c r="C50" s="469"/>
      <c r="D50" s="37" t="s">
        <v>635</v>
      </c>
      <c r="E50" s="442" t="s">
        <v>637</v>
      </c>
      <c r="F50" s="34">
        <v>32</v>
      </c>
      <c r="G50" s="34">
        <v>2</v>
      </c>
      <c r="H50" s="33"/>
      <c r="I50" s="33"/>
      <c r="J50" s="33">
        <v>2</v>
      </c>
      <c r="K50" s="33"/>
      <c r="L50" s="33"/>
      <c r="M50" s="33"/>
      <c r="N50" s="33"/>
      <c r="O50" s="33"/>
      <c r="P50" s="33"/>
      <c r="Q50" s="33"/>
      <c r="R50" s="33"/>
      <c r="S50" s="26"/>
      <c r="T50" s="436">
        <f>SUM(J50:S50)</f>
        <v>2</v>
      </c>
      <c r="U50" s="437">
        <v>32</v>
      </c>
    </row>
    <row r="51" spans="2:21" ht="18" thickBot="1">
      <c r="B51" s="457"/>
      <c r="C51" s="470"/>
      <c r="D51" s="335" t="s">
        <v>588</v>
      </c>
      <c r="E51" s="336"/>
      <c r="F51" s="39">
        <f>SUM(F49:F50)</f>
        <v>48</v>
      </c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443">
        <f>SUM(T49:T50)</f>
        <v>3</v>
      </c>
      <c r="U51" s="444">
        <f>SUM(U49:U50)</f>
        <v>48</v>
      </c>
    </row>
    <row r="52" spans="2:21">
      <c r="B52" s="460" t="s">
        <v>653</v>
      </c>
      <c r="C52" s="461">
        <v>6</v>
      </c>
      <c r="D52" s="45" t="s">
        <v>638</v>
      </c>
      <c r="E52" s="28" t="s">
        <v>642</v>
      </c>
      <c r="F52" s="28">
        <v>16</v>
      </c>
      <c r="G52" s="41">
        <v>2</v>
      </c>
      <c r="H52" s="29"/>
      <c r="I52" s="29"/>
      <c r="J52" s="29"/>
      <c r="K52" s="29"/>
      <c r="L52" s="29">
        <v>1</v>
      </c>
      <c r="M52" s="29"/>
      <c r="N52" s="29"/>
      <c r="O52" s="29"/>
      <c r="P52" s="29"/>
      <c r="Q52" s="29"/>
      <c r="R52" s="29"/>
      <c r="S52" s="29"/>
      <c r="T52" s="434">
        <f>SUM(L52:S52)</f>
        <v>1</v>
      </c>
      <c r="U52" s="435">
        <v>16</v>
      </c>
    </row>
    <row r="53" spans="2:21">
      <c r="B53" s="464"/>
      <c r="C53" s="465"/>
      <c r="D53" s="42" t="s">
        <v>639</v>
      </c>
      <c r="E53" s="34" t="s">
        <v>643</v>
      </c>
      <c r="F53" s="34">
        <v>32</v>
      </c>
      <c r="G53" s="34">
        <v>1</v>
      </c>
      <c r="H53" s="33"/>
      <c r="I53" s="33"/>
      <c r="J53" s="33"/>
      <c r="K53" s="33"/>
      <c r="L53" s="33">
        <v>2</v>
      </c>
      <c r="M53" s="33"/>
      <c r="N53" s="33"/>
      <c r="O53" s="33"/>
      <c r="P53" s="33"/>
      <c r="Q53" s="33"/>
      <c r="R53" s="33"/>
      <c r="S53" s="33"/>
      <c r="T53" s="436">
        <f>SUM(L53:S53)</f>
        <v>2</v>
      </c>
      <c r="U53" s="437">
        <v>32</v>
      </c>
    </row>
    <row r="54" spans="2:21">
      <c r="B54" s="464"/>
      <c r="C54" s="465"/>
      <c r="D54" s="43" t="s">
        <v>640</v>
      </c>
      <c r="E54" s="25" t="s">
        <v>644</v>
      </c>
      <c r="F54" s="25">
        <v>16</v>
      </c>
      <c r="G54" s="25">
        <v>2</v>
      </c>
      <c r="H54" s="26"/>
      <c r="I54" s="26"/>
      <c r="J54" s="26"/>
      <c r="K54" s="26"/>
      <c r="L54" s="26"/>
      <c r="M54" s="26"/>
      <c r="N54" s="26">
        <v>1</v>
      </c>
      <c r="O54" s="26"/>
      <c r="P54" s="26"/>
      <c r="Q54" s="26"/>
      <c r="R54" s="26"/>
      <c r="S54" s="26"/>
      <c r="T54" s="438">
        <f>SUM(H54:Q54)</f>
        <v>1</v>
      </c>
      <c r="U54" s="439">
        <v>16</v>
      </c>
    </row>
    <row r="55" spans="2:21">
      <c r="B55" s="464"/>
      <c r="C55" s="465"/>
      <c r="D55" s="446" t="s">
        <v>641</v>
      </c>
      <c r="E55" s="25" t="s">
        <v>645</v>
      </c>
      <c r="F55" s="25">
        <v>32</v>
      </c>
      <c r="G55" s="25">
        <v>1</v>
      </c>
      <c r="H55" s="26"/>
      <c r="I55" s="26"/>
      <c r="J55" s="26"/>
      <c r="K55" s="26"/>
      <c r="L55" s="26"/>
      <c r="M55" s="26"/>
      <c r="N55" s="26">
        <v>2</v>
      </c>
      <c r="O55" s="26"/>
      <c r="P55" s="26"/>
      <c r="Q55" s="26"/>
      <c r="R55" s="26"/>
      <c r="S55" s="26"/>
      <c r="T55" s="438">
        <f>SUM(I55:Q55)</f>
        <v>2</v>
      </c>
      <c r="U55" s="439">
        <v>32</v>
      </c>
    </row>
    <row r="56" spans="2:21" ht="18" thickBot="1">
      <c r="B56" s="466"/>
      <c r="C56" s="467"/>
      <c r="D56" s="336" t="s">
        <v>588</v>
      </c>
      <c r="E56" s="359"/>
      <c r="F56" s="154">
        <f>SUM(F52:F55)</f>
        <v>96</v>
      </c>
      <c r="G56" s="154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440">
        <f>SUM(T52:T55)</f>
        <v>6</v>
      </c>
      <c r="U56" s="441">
        <f>SUM(U52:U55)</f>
        <v>96</v>
      </c>
    </row>
    <row r="57" spans="2:21">
      <c r="B57" s="462" t="s">
        <v>654</v>
      </c>
      <c r="C57" s="463">
        <v>7</v>
      </c>
      <c r="D57" s="43" t="s">
        <v>646</v>
      </c>
      <c r="E57" s="35" t="s">
        <v>649</v>
      </c>
      <c r="F57" s="25">
        <v>48</v>
      </c>
      <c r="G57" s="34">
        <v>6</v>
      </c>
      <c r="H57" s="33"/>
      <c r="I57" s="33"/>
      <c r="J57" s="33"/>
      <c r="K57" s="33"/>
      <c r="L57" s="33"/>
      <c r="M57" s="33"/>
      <c r="N57" s="33"/>
      <c r="O57" s="33"/>
      <c r="P57" s="445">
        <v>3</v>
      </c>
      <c r="Q57" s="445"/>
      <c r="R57" s="445"/>
      <c r="S57" s="445"/>
      <c r="T57" s="436">
        <f>SUM(P57:S57)</f>
        <v>3</v>
      </c>
      <c r="U57" s="437">
        <v>48</v>
      </c>
    </row>
    <row r="58" spans="2:21">
      <c r="B58" s="462"/>
      <c r="C58" s="463"/>
      <c r="D58" s="42" t="s">
        <v>647</v>
      </c>
      <c r="E58" s="36" t="s">
        <v>650</v>
      </c>
      <c r="F58" s="34">
        <v>32</v>
      </c>
      <c r="G58" s="34">
        <v>6</v>
      </c>
      <c r="H58" s="33"/>
      <c r="I58" s="33"/>
      <c r="J58" s="33"/>
      <c r="K58" s="33"/>
      <c r="L58" s="33"/>
      <c r="M58" s="33"/>
      <c r="N58" s="33"/>
      <c r="O58" s="33"/>
      <c r="P58" s="445"/>
      <c r="Q58" s="445"/>
      <c r="R58" s="445">
        <v>2</v>
      </c>
      <c r="S58" s="445"/>
      <c r="T58" s="436">
        <f>SUM(R58:S58)</f>
        <v>2</v>
      </c>
      <c r="U58" s="437">
        <v>32</v>
      </c>
    </row>
    <row r="59" spans="2:21">
      <c r="B59" s="471"/>
      <c r="C59" s="472"/>
      <c r="D59" s="44" t="s">
        <v>648</v>
      </c>
      <c r="E59" s="32" t="s">
        <v>651</v>
      </c>
      <c r="F59" s="25">
        <v>32</v>
      </c>
      <c r="G59" s="34">
        <v>6</v>
      </c>
      <c r="H59" s="33"/>
      <c r="I59" s="33"/>
      <c r="J59" s="33"/>
      <c r="K59" s="33"/>
      <c r="L59" s="33"/>
      <c r="M59" s="33"/>
      <c r="N59" s="33"/>
      <c r="O59" s="33"/>
      <c r="P59" s="445"/>
      <c r="Q59" s="445"/>
      <c r="R59" s="445">
        <v>2</v>
      </c>
      <c r="S59" s="445"/>
      <c r="T59" s="436">
        <f>SUM(P59:R59)</f>
        <v>2</v>
      </c>
      <c r="U59" s="437">
        <v>32</v>
      </c>
    </row>
    <row r="60" spans="2:21" ht="18" thickBot="1">
      <c r="B60" s="466"/>
      <c r="C60" s="467"/>
      <c r="D60" s="359" t="s">
        <v>588</v>
      </c>
      <c r="E60" s="359"/>
      <c r="F60" s="154">
        <f>SUM(F57:F59)</f>
        <v>112</v>
      </c>
      <c r="G60" s="154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440">
        <f>SUM(T57:T59)</f>
        <v>7</v>
      </c>
      <c r="U60" s="441">
        <f>SUM(U57:U59)</f>
        <v>112</v>
      </c>
    </row>
  </sheetData>
  <mergeCells count="60">
    <mergeCell ref="D28:E28"/>
    <mergeCell ref="D38:E38"/>
    <mergeCell ref="D43:E43"/>
    <mergeCell ref="D48:E48"/>
    <mergeCell ref="B57:B60"/>
    <mergeCell ref="C57:C60"/>
    <mergeCell ref="D60:E60"/>
    <mergeCell ref="B52:B56"/>
    <mergeCell ref="C52:C56"/>
    <mergeCell ref="D56:E56"/>
    <mergeCell ref="C24:C28"/>
    <mergeCell ref="B24:B28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D23:E23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  <mergeCell ref="D51:E51"/>
    <mergeCell ref="C49:C51"/>
    <mergeCell ref="B49:B51"/>
    <mergeCell ref="F6:F8"/>
    <mergeCell ref="R7:S7"/>
    <mergeCell ref="B29:B33"/>
    <mergeCell ref="C29:C33"/>
    <mergeCell ref="D33:E33"/>
    <mergeCell ref="D13:E13"/>
    <mergeCell ref="B9:B13"/>
    <mergeCell ref="C9:C13"/>
    <mergeCell ref="B14:B18"/>
    <mergeCell ref="C14:C18"/>
    <mergeCell ref="D18:E18"/>
    <mergeCell ref="B19:B23"/>
    <mergeCell ref="C19:C23"/>
    <mergeCell ref="B34:B38"/>
    <mergeCell ref="C34:C38"/>
    <mergeCell ref="B39:B43"/>
    <mergeCell ref="C39:C43"/>
    <mergeCell ref="B44:B48"/>
    <mergeCell ref="C44:C4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28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202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339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203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339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205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342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206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342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342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342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208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342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342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17</v>
      </c>
      <c r="C10" s="3" t="s">
        <v>21</v>
      </c>
      <c r="D10" s="3" t="s">
        <v>213</v>
      </c>
      <c r="E10" s="3">
        <v>4</v>
      </c>
      <c r="F10" s="7" t="s">
        <v>342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211</v>
      </c>
      <c r="B11" s="3" t="s">
        <v>17</v>
      </c>
      <c r="C11" s="3" t="s">
        <v>21</v>
      </c>
      <c r="D11" s="3" t="s">
        <v>213</v>
      </c>
      <c r="E11" s="3">
        <v>4</v>
      </c>
      <c r="F11" s="7" t="s">
        <v>342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212</v>
      </c>
      <c r="B12" s="3" t="s">
        <v>17</v>
      </c>
      <c r="C12" s="3" t="s">
        <v>21</v>
      </c>
      <c r="D12" s="3" t="s">
        <v>213</v>
      </c>
      <c r="E12" s="3">
        <v>4</v>
      </c>
      <c r="F12" s="7" t="s">
        <v>342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214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339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339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217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342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342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342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342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342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342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342</v>
      </c>
      <c r="G21" s="5"/>
      <c r="J21" s="3" t="s">
        <v>98</v>
      </c>
      <c r="K21" s="3" t="s">
        <v>98</v>
      </c>
      <c r="L21" s="5"/>
    </row>
    <row r="22" spans="1:12">
      <c r="A22" s="3" t="s">
        <v>222</v>
      </c>
      <c r="B22" s="3" t="s">
        <v>17</v>
      </c>
      <c r="C22" s="3" t="s">
        <v>5</v>
      </c>
      <c r="D22" s="3" t="s">
        <v>223</v>
      </c>
      <c r="E22" s="3">
        <v>4</v>
      </c>
      <c r="F22" s="7" t="s">
        <v>342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17</v>
      </c>
      <c r="C23" s="3" t="s">
        <v>5</v>
      </c>
      <c r="D23" s="3" t="s">
        <v>213</v>
      </c>
      <c r="E23" s="3">
        <v>4</v>
      </c>
      <c r="F23" s="7" t="s">
        <v>342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17</v>
      </c>
      <c r="C24" s="3" t="s">
        <v>5</v>
      </c>
      <c r="D24" s="3" t="s">
        <v>213</v>
      </c>
      <c r="E24" s="3">
        <v>4</v>
      </c>
      <c r="F24" s="7" t="s">
        <v>342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17</v>
      </c>
      <c r="C25" s="3" t="s">
        <v>5</v>
      </c>
      <c r="D25" s="3" t="s">
        <v>213</v>
      </c>
      <c r="E25" s="3">
        <v>4</v>
      </c>
      <c r="F25" s="7" t="s">
        <v>342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339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227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342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342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342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342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342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228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342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229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342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230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342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17</v>
      </c>
      <c r="C35" s="3" t="s">
        <v>6</v>
      </c>
      <c r="D35" s="3" t="s">
        <v>223</v>
      </c>
      <c r="E35" s="3">
        <v>4</v>
      </c>
      <c r="F35" s="7" t="s">
        <v>342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17</v>
      </c>
      <c r="C36" s="3" t="s">
        <v>6</v>
      </c>
      <c r="D36" s="3" t="s">
        <v>213</v>
      </c>
      <c r="E36" s="3">
        <v>4</v>
      </c>
      <c r="F36" s="7" t="s">
        <v>342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233</v>
      </c>
      <c r="B37" s="3" t="s">
        <v>17</v>
      </c>
      <c r="C37" s="3" t="s">
        <v>6</v>
      </c>
      <c r="D37" s="3" t="s">
        <v>213</v>
      </c>
      <c r="E37" s="3">
        <v>4</v>
      </c>
      <c r="F37" s="7" t="s">
        <v>342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234</v>
      </c>
      <c r="B38" s="3" t="s">
        <v>17</v>
      </c>
      <c r="C38" s="3" t="s">
        <v>6</v>
      </c>
      <c r="D38" s="3" t="s">
        <v>213</v>
      </c>
      <c r="E38" s="3">
        <v>4</v>
      </c>
      <c r="F38" s="7" t="s">
        <v>342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235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370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236</v>
      </c>
      <c r="B40" s="3" t="s">
        <v>17</v>
      </c>
      <c r="C40" s="3" t="s">
        <v>7</v>
      </c>
      <c r="D40" s="3" t="s">
        <v>237</v>
      </c>
      <c r="E40" s="3">
        <v>3</v>
      </c>
      <c r="F40" s="7" t="s">
        <v>370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339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239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17</v>
      </c>
      <c r="C43" s="3" t="s">
        <v>25</v>
      </c>
      <c r="D43" s="3" t="s">
        <v>255</v>
      </c>
      <c r="E43" s="3">
        <v>4</v>
      </c>
      <c r="F43" s="7" t="s">
        <v>342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17</v>
      </c>
      <c r="C44" s="3" t="s">
        <v>25</v>
      </c>
      <c r="D44" s="3" t="s">
        <v>255</v>
      </c>
      <c r="E44" s="3">
        <v>4</v>
      </c>
      <c r="F44" s="7" t="s">
        <v>342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253</v>
      </c>
      <c r="B45" s="3" t="s">
        <v>17</v>
      </c>
      <c r="C45" s="3" t="s">
        <v>25</v>
      </c>
      <c r="D45" s="3" t="s">
        <v>255</v>
      </c>
      <c r="E45" s="3">
        <v>4</v>
      </c>
      <c r="F45" s="7" t="s">
        <v>342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342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240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342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241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342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242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342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342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342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342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342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342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342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213</v>
      </c>
      <c r="E56" s="3">
        <v>4</v>
      </c>
      <c r="F56" s="7" t="s">
        <v>342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213</v>
      </c>
      <c r="E57" s="3">
        <v>4</v>
      </c>
      <c r="F57" s="7" t="s">
        <v>342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17</v>
      </c>
      <c r="C58" s="3" t="s">
        <v>25</v>
      </c>
      <c r="D58" s="3" t="s">
        <v>213</v>
      </c>
      <c r="E58" s="3">
        <v>4</v>
      </c>
      <c r="F58" s="7" t="s">
        <v>342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17</v>
      </c>
      <c r="C59" s="3" t="s">
        <v>25</v>
      </c>
      <c r="D59" s="3" t="s">
        <v>213</v>
      </c>
      <c r="E59" s="3">
        <v>4</v>
      </c>
      <c r="F59" s="7" t="s">
        <v>342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17</v>
      </c>
      <c r="C60" s="3" t="s">
        <v>25</v>
      </c>
      <c r="D60" s="3" t="s">
        <v>213</v>
      </c>
      <c r="E60" s="3">
        <v>4</v>
      </c>
      <c r="F60" s="7" t="s">
        <v>342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17</v>
      </c>
      <c r="C61" s="3" t="s">
        <v>25</v>
      </c>
      <c r="D61" s="3" t="s">
        <v>213</v>
      </c>
      <c r="E61" s="3">
        <v>4</v>
      </c>
      <c r="F61" s="7" t="s">
        <v>342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17</v>
      </c>
      <c r="C63" s="3" t="s">
        <v>26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342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342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342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342</v>
      </c>
      <c r="G69" s="5"/>
      <c r="H69" s="5"/>
      <c r="I69" s="5"/>
      <c r="L69" s="5"/>
    </row>
    <row r="70" spans="1:12">
      <c r="A70" s="3" t="s">
        <v>264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342</v>
      </c>
      <c r="G70" s="5"/>
      <c r="H70" s="5"/>
      <c r="I70" s="5"/>
      <c r="L70" s="5"/>
    </row>
    <row r="71" spans="1:12">
      <c r="A71" s="3" t="s">
        <v>265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342</v>
      </c>
      <c r="G71" s="5"/>
      <c r="H71" s="5"/>
      <c r="I71" s="5"/>
      <c r="L71" s="5"/>
    </row>
    <row r="72" spans="1:12">
      <c r="A72" s="3" t="s">
        <v>266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342</v>
      </c>
      <c r="G72" s="5"/>
      <c r="H72" s="5"/>
      <c r="I72" s="5"/>
      <c r="L72" s="5"/>
    </row>
    <row r="73" spans="1:12">
      <c r="A73" s="3" t="s">
        <v>267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342</v>
      </c>
      <c r="G73" s="5"/>
      <c r="H73" s="5"/>
      <c r="I73" s="5"/>
      <c r="L73" s="5"/>
    </row>
    <row r="74" spans="1:12">
      <c r="A74" s="3" t="s">
        <v>268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342</v>
      </c>
      <c r="G74" s="5"/>
      <c r="H74" s="5"/>
      <c r="I74" s="5"/>
      <c r="L74" s="5"/>
    </row>
    <row r="75" spans="1:12">
      <c r="A75" s="3" t="s">
        <v>269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342</v>
      </c>
      <c r="G75" s="5"/>
      <c r="H75" s="5"/>
      <c r="I75" s="5"/>
      <c r="L75" s="5"/>
    </row>
    <row r="76" spans="1:12">
      <c r="A76" s="3" t="s">
        <v>270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342</v>
      </c>
      <c r="G76" s="5"/>
      <c r="H76" s="5"/>
      <c r="I76" s="5"/>
      <c r="L76" s="5"/>
    </row>
    <row r="77" spans="1:12">
      <c r="A77" s="3" t="s">
        <v>271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342</v>
      </c>
      <c r="G77" s="5"/>
      <c r="H77" s="5"/>
      <c r="I77" s="5"/>
      <c r="L77" s="5"/>
    </row>
    <row r="78" spans="1:12">
      <c r="A78" s="3" t="s">
        <v>272</v>
      </c>
      <c r="B78" s="3" t="s">
        <v>17</v>
      </c>
      <c r="C78" s="3" t="s">
        <v>26</v>
      </c>
      <c r="D78" s="3" t="s">
        <v>275</v>
      </c>
      <c r="E78" s="3">
        <v>4</v>
      </c>
      <c r="F78" s="7" t="s">
        <v>342</v>
      </c>
      <c r="G78" s="5"/>
      <c r="H78" s="5"/>
      <c r="I78" s="5"/>
      <c r="L78" s="5"/>
    </row>
    <row r="79" spans="1:12">
      <c r="A79" s="3" t="s">
        <v>273</v>
      </c>
      <c r="B79" s="3" t="s">
        <v>17</v>
      </c>
      <c r="C79" s="3" t="s">
        <v>26</v>
      </c>
      <c r="D79" s="3" t="s">
        <v>213</v>
      </c>
      <c r="E79" s="3">
        <v>4</v>
      </c>
      <c r="F79" s="7" t="s">
        <v>342</v>
      </c>
      <c r="G79" s="5"/>
      <c r="H79" s="5"/>
      <c r="I79" s="5"/>
      <c r="L79" s="5"/>
    </row>
    <row r="80" spans="1:12">
      <c r="A80" s="3" t="s">
        <v>274</v>
      </c>
      <c r="B80" s="3" t="s">
        <v>17</v>
      </c>
      <c r="C80" s="3" t="s">
        <v>26</v>
      </c>
      <c r="D80" s="3" t="s">
        <v>213</v>
      </c>
      <c r="E80" s="3">
        <v>4</v>
      </c>
      <c r="F80" s="7" t="s">
        <v>342</v>
      </c>
      <c r="G80" s="5"/>
      <c r="H80" s="5"/>
      <c r="I80" s="5"/>
      <c r="L80" s="5"/>
    </row>
    <row r="81" spans="1:12">
      <c r="A81" s="3" t="s">
        <v>276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355</v>
      </c>
      <c r="G81" s="5"/>
      <c r="H81" s="5"/>
      <c r="I81" s="5"/>
      <c r="L81" s="5"/>
    </row>
    <row r="82" spans="1:12">
      <c r="A82" s="3" t="s">
        <v>277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355</v>
      </c>
      <c r="G82" s="5"/>
      <c r="H82" s="5"/>
      <c r="I82" s="5"/>
      <c r="L82" s="5"/>
    </row>
    <row r="83" spans="1:12">
      <c r="A83" s="3" t="s">
        <v>278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355</v>
      </c>
      <c r="G83" s="5"/>
      <c r="H83" s="5"/>
      <c r="I83" s="5"/>
      <c r="L83" s="5"/>
    </row>
    <row r="84" spans="1:12">
      <c r="A84" s="3" t="s">
        <v>279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355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358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17</v>
      </c>
      <c r="C86" s="3" t="s">
        <v>8</v>
      </c>
      <c r="D86" s="3" t="s">
        <v>213</v>
      </c>
      <c r="E86" s="3">
        <v>3</v>
      </c>
      <c r="F86" s="7" t="s">
        <v>355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17</v>
      </c>
      <c r="C87" s="3" t="s">
        <v>8</v>
      </c>
      <c r="D87" s="3" t="s">
        <v>213</v>
      </c>
      <c r="E87" s="3">
        <v>2</v>
      </c>
      <c r="F87" s="7" t="s">
        <v>358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355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355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355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17</v>
      </c>
      <c r="C91" s="3" t="s">
        <v>28</v>
      </c>
      <c r="D91" s="3" t="s">
        <v>223</v>
      </c>
      <c r="E91" s="3">
        <v>3</v>
      </c>
      <c r="F91" s="7" t="s">
        <v>355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17</v>
      </c>
      <c r="C92" s="3" t="s">
        <v>28</v>
      </c>
      <c r="D92" s="3" t="s">
        <v>223</v>
      </c>
      <c r="E92" s="3">
        <v>3</v>
      </c>
      <c r="F92" s="7" t="s">
        <v>355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17</v>
      </c>
      <c r="C93" s="3" t="s">
        <v>28</v>
      </c>
      <c r="D93" s="3" t="s">
        <v>223</v>
      </c>
      <c r="E93" s="3">
        <v>3</v>
      </c>
      <c r="F93" s="7" t="s">
        <v>355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17</v>
      </c>
      <c r="C94" s="3" t="s">
        <v>28</v>
      </c>
      <c r="D94" s="3" t="s">
        <v>223</v>
      </c>
      <c r="E94" s="3">
        <v>3</v>
      </c>
      <c r="F94" s="7" t="s">
        <v>355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17</v>
      </c>
      <c r="C95" s="3" t="s">
        <v>28</v>
      </c>
      <c r="D95" s="3" t="s">
        <v>213</v>
      </c>
      <c r="E95" s="3">
        <v>3</v>
      </c>
      <c r="F95" s="7" t="s">
        <v>355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17</v>
      </c>
      <c r="C96" s="3" t="s">
        <v>28</v>
      </c>
      <c r="D96" s="3" t="s">
        <v>213</v>
      </c>
      <c r="E96" s="3">
        <v>3</v>
      </c>
      <c r="F96" s="7" t="s">
        <v>355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342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342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17</v>
      </c>
      <c r="C99" s="3" t="s">
        <v>10</v>
      </c>
      <c r="D99" s="3" t="s">
        <v>223</v>
      </c>
      <c r="E99" s="3">
        <v>4</v>
      </c>
      <c r="F99" s="7" t="s">
        <v>342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342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342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342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17</v>
      </c>
      <c r="C103" s="3" t="s">
        <v>10</v>
      </c>
      <c r="D103" s="3" t="s">
        <v>213</v>
      </c>
      <c r="E103" s="3">
        <v>4</v>
      </c>
      <c r="F103" s="7" t="s">
        <v>342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17</v>
      </c>
      <c r="C104" s="3" t="s">
        <v>10</v>
      </c>
      <c r="D104" s="3" t="s">
        <v>213</v>
      </c>
      <c r="E104" s="3">
        <v>4</v>
      </c>
      <c r="F104" s="7" t="s">
        <v>342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17</v>
      </c>
      <c r="C105" s="3" t="s">
        <v>10</v>
      </c>
      <c r="D105" s="3" t="s">
        <v>213</v>
      </c>
      <c r="E105" s="3">
        <v>4</v>
      </c>
      <c r="F105" s="7" t="s">
        <v>342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17</v>
      </c>
      <c r="C106" s="3" t="s">
        <v>10</v>
      </c>
      <c r="D106" s="3" t="s">
        <v>213</v>
      </c>
      <c r="E106" s="3">
        <v>2</v>
      </c>
      <c r="F106" s="7" t="s">
        <v>358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17</v>
      </c>
      <c r="C107" s="3" t="s">
        <v>10</v>
      </c>
      <c r="D107" s="3" t="s">
        <v>213</v>
      </c>
      <c r="E107" s="3">
        <v>4</v>
      </c>
      <c r="F107" s="7" t="s">
        <v>342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342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342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342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342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342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342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342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342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342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342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342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342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342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342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342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342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342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342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342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342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342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342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342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17</v>
      </c>
      <c r="C131" s="3" t="s">
        <v>30</v>
      </c>
      <c r="D131" s="3" t="s">
        <v>213</v>
      </c>
      <c r="E131" s="3">
        <v>4</v>
      </c>
      <c r="F131" s="7" t="s">
        <v>342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17</v>
      </c>
      <c r="C132" s="3" t="s">
        <v>30</v>
      </c>
      <c r="D132" s="3" t="s">
        <v>213</v>
      </c>
      <c r="E132" s="3">
        <v>4</v>
      </c>
      <c r="F132" s="7" t="s">
        <v>342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17</v>
      </c>
      <c r="C133" s="3" t="s">
        <v>30</v>
      </c>
      <c r="D133" s="3" t="s">
        <v>213</v>
      </c>
      <c r="E133" s="3">
        <v>4</v>
      </c>
      <c r="F133" s="7" t="s">
        <v>342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17</v>
      </c>
      <c r="C134" s="3" t="s">
        <v>30</v>
      </c>
      <c r="D134" s="3" t="s">
        <v>213</v>
      </c>
      <c r="E134" s="3">
        <v>4</v>
      </c>
      <c r="F134" s="7" t="s">
        <v>342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17</v>
      </c>
      <c r="C135" s="3" t="s">
        <v>30</v>
      </c>
      <c r="D135" s="3" t="s">
        <v>213</v>
      </c>
      <c r="E135" s="3">
        <v>4</v>
      </c>
      <c r="F135" s="7" t="s">
        <v>342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17</v>
      </c>
      <c r="C136" s="3" t="s">
        <v>30</v>
      </c>
      <c r="D136" s="3" t="s">
        <v>213</v>
      </c>
      <c r="E136" s="3">
        <v>4</v>
      </c>
      <c r="F136" s="7" t="s">
        <v>342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17</v>
      </c>
      <c r="C137" s="3" t="s">
        <v>30</v>
      </c>
      <c r="D137" s="3" t="s">
        <v>213</v>
      </c>
      <c r="E137" s="3">
        <v>4</v>
      </c>
      <c r="F137" s="7" t="s">
        <v>342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17</v>
      </c>
      <c r="C138" s="3" t="s">
        <v>30</v>
      </c>
      <c r="D138" s="3" t="s">
        <v>213</v>
      </c>
      <c r="E138" s="3">
        <v>4</v>
      </c>
      <c r="F138" s="7" t="s">
        <v>342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17</v>
      </c>
      <c r="C139" s="3" t="s">
        <v>321</v>
      </c>
      <c r="D139" s="3" t="s">
        <v>255</v>
      </c>
      <c r="E139" s="3">
        <v>4</v>
      </c>
      <c r="F139" s="7" t="s">
        <v>342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342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355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355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355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355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355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355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355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355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17</v>
      </c>
      <c r="C149" s="3" t="s">
        <v>32</v>
      </c>
      <c r="D149" s="3" t="s">
        <v>275</v>
      </c>
      <c r="E149" s="3">
        <v>3</v>
      </c>
      <c r="F149" s="7" t="s">
        <v>355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213</v>
      </c>
      <c r="E150" s="3">
        <v>3</v>
      </c>
      <c r="F150" s="7" t="s">
        <v>355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6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89" customWidth="1"/>
    <col min="2" max="2" width="7.5" style="89" customWidth="1"/>
    <col min="3" max="3" width="0.8984375" style="89" customWidth="1"/>
    <col min="4" max="4" width="4" style="89" customWidth="1"/>
    <col min="5" max="5" width="5.8984375" style="89" customWidth="1"/>
    <col min="6" max="6" width="5.59765625" style="89" customWidth="1"/>
    <col min="7" max="7" width="11.19921875" style="89" customWidth="1"/>
    <col min="8" max="8" width="9.09765625" style="89" customWidth="1"/>
    <col min="9" max="9" width="12.69921875" style="89" customWidth="1"/>
    <col min="10" max="10" width="1.3984375" style="89" customWidth="1"/>
    <col min="11" max="11" width="1" style="89" customWidth="1"/>
    <col min="12" max="12" width="10.69921875" style="89" customWidth="1"/>
    <col min="13" max="13" width="10.09765625" style="89" customWidth="1"/>
    <col min="14" max="14" width="16.59765625" style="89" customWidth="1"/>
    <col min="15" max="15" width="8.3984375" style="89" customWidth="1"/>
    <col min="16" max="16" width="9.5" style="89" customWidth="1"/>
    <col min="17" max="17" width="1.19921875" style="89" customWidth="1"/>
    <col min="18" max="18" width="0.5" style="89" customWidth="1"/>
    <col min="19" max="26" width="0" style="89" hidden="1" customWidth="1"/>
    <col min="27" max="16384" width="11" style="89" hidden="1"/>
  </cols>
  <sheetData>
    <row r="1" spans="2:26" ht="15.6"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2:26" ht="36.6" thickBot="1">
      <c r="B2" s="426" t="s">
        <v>374</v>
      </c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88"/>
      <c r="S2" s="88"/>
      <c r="T2" s="88"/>
      <c r="U2" s="88"/>
      <c r="V2" s="88"/>
      <c r="W2" s="88"/>
      <c r="X2" s="88"/>
      <c r="Y2" s="88"/>
      <c r="Z2" s="88"/>
    </row>
    <row r="3" spans="2:26" ht="24" customHeight="1" thickBot="1">
      <c r="B3" s="90" t="s">
        <v>375</v>
      </c>
      <c r="C3" s="428" t="s">
        <v>376</v>
      </c>
      <c r="D3" s="429"/>
      <c r="E3" s="429"/>
      <c r="F3" s="429"/>
      <c r="G3" s="429"/>
      <c r="H3" s="429"/>
      <c r="I3" s="429"/>
      <c r="J3" s="430"/>
      <c r="K3" s="431" t="s">
        <v>377</v>
      </c>
      <c r="L3" s="432"/>
      <c r="M3" s="432"/>
      <c r="N3" s="432"/>
      <c r="O3" s="432"/>
      <c r="P3" s="432"/>
      <c r="Q3" s="433"/>
      <c r="R3" s="88"/>
      <c r="S3" s="88"/>
      <c r="T3" s="88"/>
      <c r="U3" s="88"/>
      <c r="V3" s="88"/>
      <c r="W3" s="88"/>
      <c r="X3" s="88"/>
      <c r="Y3" s="88"/>
      <c r="Z3" s="88"/>
    </row>
    <row r="4" spans="2:26" ht="15.6">
      <c r="B4" s="391" t="s">
        <v>378</v>
      </c>
      <c r="C4" s="91" t="s">
        <v>379</v>
      </c>
      <c r="D4" s="92"/>
      <c r="E4" s="92"/>
      <c r="F4" s="92"/>
      <c r="G4" s="92"/>
      <c r="H4" s="92"/>
      <c r="I4" s="92"/>
      <c r="J4" s="93"/>
      <c r="K4" s="94" t="s">
        <v>379</v>
      </c>
      <c r="L4" s="92"/>
      <c r="M4" s="92"/>
      <c r="N4" s="92"/>
      <c r="O4" s="92"/>
      <c r="P4" s="92"/>
      <c r="Q4" s="93"/>
      <c r="R4" s="88"/>
      <c r="S4" s="88"/>
      <c r="T4" s="88"/>
      <c r="U4" s="88"/>
      <c r="V4" s="88"/>
      <c r="W4" s="88"/>
      <c r="X4" s="88"/>
      <c r="Y4" s="88"/>
      <c r="Z4" s="88"/>
    </row>
    <row r="5" spans="2:26" ht="18.75" customHeight="1">
      <c r="B5" s="378"/>
      <c r="C5" s="95"/>
      <c r="D5" s="397" t="s">
        <v>380</v>
      </c>
      <c r="E5" s="386"/>
      <c r="F5" s="386"/>
      <c r="G5" s="385"/>
      <c r="H5" s="401" t="s">
        <v>381</v>
      </c>
      <c r="I5" s="386"/>
      <c r="J5" s="96"/>
      <c r="K5" s="97"/>
      <c r="L5" s="397" t="s">
        <v>380</v>
      </c>
      <c r="M5" s="386"/>
      <c r="N5" s="385"/>
      <c r="O5" s="401" t="s">
        <v>382</v>
      </c>
      <c r="P5" s="386"/>
      <c r="Q5" s="96"/>
      <c r="R5" s="88"/>
      <c r="S5" s="88"/>
      <c r="T5" s="88"/>
      <c r="U5" s="88"/>
      <c r="V5" s="88"/>
      <c r="W5" s="88"/>
      <c r="X5" s="88"/>
      <c r="Y5" s="88"/>
      <c r="Z5" s="88"/>
    </row>
    <row r="6" spans="2:26" ht="18.75" customHeight="1">
      <c r="B6" s="378"/>
      <c r="C6" s="95"/>
      <c r="D6" s="397" t="s">
        <v>383</v>
      </c>
      <c r="E6" s="386"/>
      <c r="F6" s="386"/>
      <c r="G6" s="385"/>
      <c r="H6" s="401" t="s">
        <v>384</v>
      </c>
      <c r="I6" s="386"/>
      <c r="J6" s="96"/>
      <c r="K6" s="97"/>
      <c r="L6" s="397" t="s">
        <v>383</v>
      </c>
      <c r="M6" s="386"/>
      <c r="N6" s="385"/>
      <c r="O6" s="401" t="s">
        <v>385</v>
      </c>
      <c r="P6" s="386"/>
      <c r="Q6" s="96"/>
      <c r="R6" s="88"/>
      <c r="S6" s="88"/>
      <c r="T6" s="88"/>
      <c r="U6" s="88"/>
      <c r="V6" s="88"/>
      <c r="W6" s="88"/>
      <c r="X6" s="88"/>
      <c r="Y6" s="88"/>
      <c r="Z6" s="88"/>
    </row>
    <row r="7" spans="2:26" ht="18.75" customHeight="1">
      <c r="B7" s="378"/>
      <c r="C7" s="95"/>
      <c r="D7" s="397" t="s">
        <v>386</v>
      </c>
      <c r="E7" s="386"/>
      <c r="F7" s="386"/>
      <c r="G7" s="385"/>
      <c r="H7" s="401" t="s">
        <v>387</v>
      </c>
      <c r="I7" s="386"/>
      <c r="J7" s="96"/>
      <c r="K7" s="97"/>
      <c r="L7" s="397" t="s">
        <v>386</v>
      </c>
      <c r="M7" s="386"/>
      <c r="N7" s="385"/>
      <c r="O7" s="401" t="s">
        <v>388</v>
      </c>
      <c r="P7" s="386"/>
      <c r="Q7" s="96"/>
      <c r="R7" s="88"/>
      <c r="S7" s="88"/>
      <c r="T7" s="88"/>
      <c r="U7" s="88"/>
      <c r="V7" s="88"/>
      <c r="W7" s="88"/>
      <c r="X7" s="88"/>
      <c r="Y7" s="88"/>
      <c r="Z7" s="88"/>
    </row>
    <row r="8" spans="2:26" ht="18.75" customHeight="1">
      <c r="B8" s="378"/>
      <c r="C8" s="95"/>
      <c r="D8" s="397" t="s">
        <v>389</v>
      </c>
      <c r="E8" s="386"/>
      <c r="F8" s="386"/>
      <c r="G8" s="385"/>
      <c r="H8" s="401" t="s">
        <v>390</v>
      </c>
      <c r="I8" s="386"/>
      <c r="J8" s="96"/>
      <c r="K8" s="97"/>
      <c r="L8" s="397" t="s">
        <v>389</v>
      </c>
      <c r="M8" s="386"/>
      <c r="N8" s="385"/>
      <c r="O8" s="401" t="s">
        <v>390</v>
      </c>
      <c r="P8" s="386"/>
      <c r="Q8" s="96"/>
      <c r="R8" s="88"/>
      <c r="S8" s="88"/>
      <c r="T8" s="88"/>
      <c r="U8" s="88"/>
      <c r="V8" s="88"/>
      <c r="W8" s="88"/>
      <c r="X8" s="88"/>
      <c r="Y8" s="88"/>
      <c r="Z8" s="88"/>
    </row>
    <row r="9" spans="2:26" ht="8.25" customHeight="1" thickBot="1">
      <c r="B9" s="379"/>
      <c r="C9" s="98"/>
      <c r="D9" s="99"/>
      <c r="E9" s="99"/>
      <c r="F9" s="99"/>
      <c r="G9" s="99"/>
      <c r="H9" s="99"/>
      <c r="I9" s="99"/>
      <c r="J9" s="100"/>
      <c r="K9" s="101"/>
      <c r="L9" s="99"/>
      <c r="M9" s="99"/>
      <c r="N9" s="99"/>
      <c r="O9" s="99"/>
      <c r="P9" s="99"/>
      <c r="Q9" s="100"/>
      <c r="R9" s="88"/>
      <c r="S9" s="88"/>
      <c r="T9" s="88"/>
      <c r="U9" s="88"/>
      <c r="V9" s="88"/>
      <c r="W9" s="88"/>
      <c r="X9" s="88"/>
      <c r="Y9" s="88"/>
      <c r="Z9" s="88"/>
    </row>
    <row r="10" spans="2:26" ht="6.75" customHeight="1">
      <c r="B10" s="391" t="s">
        <v>391</v>
      </c>
      <c r="C10" s="91"/>
      <c r="D10" s="92"/>
      <c r="E10" s="92"/>
      <c r="F10" s="92"/>
      <c r="G10" s="92"/>
      <c r="H10" s="92"/>
      <c r="I10" s="92"/>
      <c r="J10" s="93"/>
      <c r="K10" s="94"/>
      <c r="L10" s="92"/>
      <c r="M10" s="92"/>
      <c r="N10" s="92"/>
      <c r="O10" s="92"/>
      <c r="P10" s="92"/>
      <c r="Q10" s="93"/>
      <c r="R10" s="88"/>
      <c r="S10" s="88"/>
      <c r="T10" s="88"/>
      <c r="U10" s="88"/>
      <c r="V10" s="88"/>
      <c r="W10" s="88"/>
      <c r="X10" s="88"/>
      <c r="Y10" s="88"/>
      <c r="Z10" s="88"/>
    </row>
    <row r="11" spans="2:26" ht="16.5" customHeight="1">
      <c r="B11" s="378"/>
      <c r="C11" s="95"/>
      <c r="D11" s="397" t="s">
        <v>322</v>
      </c>
      <c r="E11" s="386"/>
      <c r="F11" s="386"/>
      <c r="G11" s="401" t="s">
        <v>392</v>
      </c>
      <c r="H11" s="386"/>
      <c r="I11" s="386"/>
      <c r="J11" s="96"/>
      <c r="K11" s="97"/>
      <c r="L11" s="422" t="s">
        <v>322</v>
      </c>
      <c r="M11" s="423"/>
      <c r="N11" s="424" t="s">
        <v>393</v>
      </c>
      <c r="O11" s="425"/>
      <c r="P11" s="425"/>
      <c r="Q11" s="96"/>
      <c r="R11" s="88"/>
      <c r="S11" s="88"/>
      <c r="T11" s="88"/>
      <c r="U11" s="88"/>
      <c r="V11" s="88"/>
      <c r="W11" s="88"/>
      <c r="X11" s="88"/>
      <c r="Y11" s="88"/>
      <c r="Z11" s="88"/>
    </row>
    <row r="12" spans="2:26" ht="16.5" customHeight="1">
      <c r="B12" s="378"/>
      <c r="C12" s="95"/>
      <c r="D12" s="397" t="s">
        <v>394</v>
      </c>
      <c r="E12" s="386"/>
      <c r="F12" s="386"/>
      <c r="G12" s="401" t="s">
        <v>395</v>
      </c>
      <c r="H12" s="386"/>
      <c r="I12" s="386"/>
      <c r="J12" s="96"/>
      <c r="K12" s="97"/>
      <c r="L12" s="406"/>
      <c r="M12" s="383"/>
      <c r="N12" s="400"/>
      <c r="O12" s="406"/>
      <c r="P12" s="406"/>
      <c r="Q12" s="96"/>
      <c r="R12" s="88"/>
      <c r="S12" s="88"/>
      <c r="T12" s="88"/>
      <c r="U12" s="88"/>
      <c r="V12" s="88"/>
      <c r="W12" s="88"/>
      <c r="X12" s="88"/>
      <c r="Y12" s="88"/>
      <c r="Z12" s="88"/>
    </row>
    <row r="13" spans="2:26" ht="16.5" customHeight="1">
      <c r="B13" s="378"/>
      <c r="C13" s="95"/>
      <c r="D13" s="397" t="s">
        <v>396</v>
      </c>
      <c r="E13" s="386"/>
      <c r="F13" s="386"/>
      <c r="G13" s="401" t="s">
        <v>397</v>
      </c>
      <c r="H13" s="386"/>
      <c r="I13" s="386"/>
      <c r="J13" s="96"/>
      <c r="K13" s="97"/>
      <c r="L13" s="397" t="s">
        <v>398</v>
      </c>
      <c r="M13" s="385"/>
      <c r="N13" s="401" t="s">
        <v>397</v>
      </c>
      <c r="O13" s="386"/>
      <c r="P13" s="386"/>
      <c r="Q13" s="96"/>
      <c r="R13" s="88"/>
      <c r="S13" s="88"/>
      <c r="T13" s="88"/>
      <c r="U13" s="88"/>
      <c r="V13" s="88"/>
      <c r="W13" s="88"/>
      <c r="X13" s="88"/>
      <c r="Y13" s="88"/>
      <c r="Z13" s="88"/>
    </row>
    <row r="14" spans="2:26" ht="6.75" customHeight="1" thickBot="1">
      <c r="B14" s="379"/>
      <c r="C14" s="98"/>
      <c r="D14" s="99"/>
      <c r="E14" s="99"/>
      <c r="F14" s="99"/>
      <c r="G14" s="99"/>
      <c r="H14" s="99"/>
      <c r="I14" s="99"/>
      <c r="J14" s="100"/>
      <c r="K14" s="101"/>
      <c r="L14" s="99"/>
      <c r="M14" s="99"/>
      <c r="N14" s="99"/>
      <c r="O14" s="99"/>
      <c r="P14" s="99"/>
      <c r="Q14" s="100"/>
      <c r="R14" s="88"/>
      <c r="S14" s="88"/>
      <c r="T14" s="88"/>
      <c r="U14" s="88"/>
      <c r="V14" s="88"/>
      <c r="W14" s="88"/>
      <c r="X14" s="88"/>
      <c r="Y14" s="88"/>
      <c r="Z14" s="88"/>
    </row>
    <row r="15" spans="2:26" ht="6.75" customHeight="1">
      <c r="B15" s="391" t="s">
        <v>399</v>
      </c>
      <c r="C15" s="91"/>
      <c r="D15" s="92"/>
      <c r="E15" s="92"/>
      <c r="F15" s="92"/>
      <c r="G15" s="92"/>
      <c r="H15" s="92"/>
      <c r="I15" s="92"/>
      <c r="J15" s="93"/>
      <c r="K15" s="94"/>
      <c r="L15" s="92"/>
      <c r="M15" s="92"/>
      <c r="N15" s="92"/>
      <c r="O15" s="92"/>
      <c r="P15" s="92"/>
      <c r="Q15" s="93"/>
      <c r="R15" s="88"/>
      <c r="S15" s="88"/>
      <c r="T15" s="88"/>
      <c r="U15" s="88"/>
      <c r="V15" s="88"/>
      <c r="W15" s="88"/>
      <c r="X15" s="88"/>
      <c r="Y15" s="88"/>
      <c r="Z15" s="88"/>
    </row>
    <row r="16" spans="2:26" ht="20.25" customHeight="1">
      <c r="B16" s="378"/>
      <c r="C16" s="95"/>
      <c r="D16" s="397" t="s">
        <v>400</v>
      </c>
      <c r="E16" s="386"/>
      <c r="F16" s="386"/>
      <c r="G16" s="385"/>
      <c r="H16" s="401">
        <v>1</v>
      </c>
      <c r="I16" s="386"/>
      <c r="J16" s="96"/>
      <c r="K16" s="97"/>
      <c r="L16" s="397" t="s">
        <v>400</v>
      </c>
      <c r="M16" s="386"/>
      <c r="N16" s="385"/>
      <c r="O16" s="401" t="s">
        <v>401</v>
      </c>
      <c r="P16" s="386"/>
      <c r="Q16" s="96"/>
      <c r="R16" s="88"/>
      <c r="S16" s="88"/>
      <c r="T16" s="88"/>
      <c r="U16" s="88"/>
      <c r="V16" s="88"/>
      <c r="W16" s="88"/>
      <c r="X16" s="88"/>
      <c r="Y16" s="88"/>
      <c r="Z16" s="88"/>
    </row>
    <row r="17" spans="2:26" ht="20.25" customHeight="1">
      <c r="B17" s="378"/>
      <c r="C17" s="95"/>
      <c r="D17" s="397" t="s">
        <v>402</v>
      </c>
      <c r="E17" s="386"/>
      <c r="F17" s="386"/>
      <c r="G17" s="385"/>
      <c r="H17" s="401">
        <v>179</v>
      </c>
      <c r="I17" s="386"/>
      <c r="J17" s="96"/>
      <c r="K17" s="97"/>
      <c r="L17" s="397" t="s">
        <v>403</v>
      </c>
      <c r="M17" s="386"/>
      <c r="N17" s="385"/>
      <c r="O17" s="401" t="s">
        <v>404</v>
      </c>
      <c r="P17" s="386"/>
      <c r="Q17" s="96"/>
      <c r="R17" s="88"/>
      <c r="S17" s="88"/>
      <c r="T17" s="88"/>
      <c r="U17" s="88"/>
      <c r="V17" s="88"/>
      <c r="W17" s="88"/>
      <c r="X17" s="88"/>
      <c r="Y17" s="88"/>
      <c r="Z17" s="88"/>
    </row>
    <row r="18" spans="2:26" ht="20.25" customHeight="1">
      <c r="B18" s="378"/>
      <c r="C18" s="95"/>
      <c r="D18" s="397" t="s">
        <v>405</v>
      </c>
      <c r="E18" s="386"/>
      <c r="F18" s="386"/>
      <c r="G18" s="385"/>
      <c r="H18" s="401">
        <v>368</v>
      </c>
      <c r="I18" s="386"/>
      <c r="J18" s="96"/>
      <c r="K18" s="97"/>
      <c r="L18" s="397" t="s">
        <v>406</v>
      </c>
      <c r="M18" s="386"/>
      <c r="N18" s="385"/>
      <c r="O18" s="401" t="s">
        <v>407</v>
      </c>
      <c r="P18" s="386"/>
      <c r="Q18" s="96"/>
      <c r="R18" s="88"/>
      <c r="S18" s="88"/>
      <c r="T18" s="88"/>
      <c r="U18" s="88"/>
      <c r="V18" s="88"/>
      <c r="W18" s="88"/>
      <c r="X18" s="88"/>
      <c r="Y18" s="88"/>
      <c r="Z18" s="88"/>
    </row>
    <row r="19" spans="2:26" ht="20.25" customHeight="1">
      <c r="B19" s="378"/>
      <c r="C19" s="95"/>
      <c r="D19" s="397" t="s">
        <v>408</v>
      </c>
      <c r="E19" s="386"/>
      <c r="F19" s="386"/>
      <c r="G19" s="385"/>
      <c r="H19" s="401">
        <v>548</v>
      </c>
      <c r="I19" s="386"/>
      <c r="J19" s="96"/>
      <c r="K19" s="97"/>
      <c r="L19" s="397" t="s">
        <v>408</v>
      </c>
      <c r="M19" s="386"/>
      <c r="N19" s="385"/>
      <c r="O19" s="401" t="s">
        <v>409</v>
      </c>
      <c r="P19" s="386"/>
      <c r="Q19" s="96"/>
      <c r="R19" s="88"/>
      <c r="S19" s="88"/>
      <c r="T19" s="88"/>
      <c r="U19" s="88"/>
      <c r="V19" s="88"/>
      <c r="W19" s="88"/>
      <c r="X19" s="88"/>
      <c r="Y19" s="88"/>
      <c r="Z19" s="88"/>
    </row>
    <row r="20" spans="2:26" ht="5.25" customHeight="1" thickBot="1">
      <c r="B20" s="379"/>
      <c r="C20" s="98"/>
      <c r="D20" s="99"/>
      <c r="E20" s="99"/>
      <c r="F20" s="99"/>
      <c r="G20" s="99"/>
      <c r="H20" s="99"/>
      <c r="I20" s="99"/>
      <c r="J20" s="100"/>
      <c r="K20" s="101"/>
      <c r="L20" s="99"/>
      <c r="M20" s="99"/>
      <c r="N20" s="99"/>
      <c r="O20" s="99"/>
      <c r="P20" s="99"/>
      <c r="Q20" s="100"/>
      <c r="R20" s="88"/>
      <c r="S20" s="88"/>
      <c r="T20" s="88"/>
      <c r="U20" s="88"/>
      <c r="V20" s="88"/>
      <c r="W20" s="88"/>
      <c r="X20" s="88"/>
      <c r="Y20" s="88"/>
      <c r="Z20" s="88"/>
    </row>
    <row r="21" spans="2:26" ht="5.25" customHeight="1">
      <c r="B21" s="391" t="s">
        <v>410</v>
      </c>
      <c r="C21" s="91"/>
      <c r="D21" s="92"/>
      <c r="E21" s="92"/>
      <c r="F21" s="92"/>
      <c r="G21" s="92"/>
      <c r="H21" s="92"/>
      <c r="I21" s="92"/>
      <c r="J21" s="93"/>
      <c r="K21" s="94"/>
      <c r="L21" s="92"/>
      <c r="M21" s="92"/>
      <c r="N21" s="92"/>
      <c r="O21" s="92"/>
      <c r="P21" s="92"/>
      <c r="Q21" s="93"/>
      <c r="R21" s="88"/>
      <c r="S21" s="88"/>
      <c r="T21" s="88"/>
      <c r="U21" s="88"/>
      <c r="V21" s="88"/>
      <c r="W21" s="88"/>
      <c r="X21" s="88"/>
      <c r="Y21" s="88"/>
      <c r="Z21" s="88"/>
    </row>
    <row r="22" spans="2:26" ht="31.8" thickBot="1">
      <c r="B22" s="378"/>
      <c r="C22" s="95"/>
      <c r="D22" s="102"/>
      <c r="E22" s="103"/>
      <c r="F22" s="104" t="s">
        <v>411</v>
      </c>
      <c r="G22" s="104" t="s">
        <v>412</v>
      </c>
      <c r="H22" s="104" t="s">
        <v>413</v>
      </c>
      <c r="I22" s="105" t="s">
        <v>414</v>
      </c>
      <c r="J22" s="106"/>
      <c r="K22" s="107"/>
      <c r="L22" s="102"/>
      <c r="M22" s="104" t="s">
        <v>412</v>
      </c>
      <c r="N22" s="104" t="s">
        <v>415</v>
      </c>
      <c r="O22" s="414" t="s">
        <v>414</v>
      </c>
      <c r="P22" s="415"/>
      <c r="Q22" s="96"/>
      <c r="R22" s="88"/>
      <c r="S22" s="88"/>
      <c r="T22" s="88"/>
      <c r="U22" s="88"/>
      <c r="V22" s="88"/>
      <c r="W22" s="88"/>
      <c r="X22" s="88"/>
      <c r="Y22" s="88"/>
      <c r="Z22" s="88"/>
    </row>
    <row r="23" spans="2:26" ht="16.2" thickTop="1">
      <c r="B23" s="378"/>
      <c r="C23" s="95"/>
      <c r="D23" s="402" t="s">
        <v>412</v>
      </c>
      <c r="E23" s="416" t="s">
        <v>416</v>
      </c>
      <c r="F23" s="416" t="s">
        <v>417</v>
      </c>
      <c r="G23" s="108" t="s">
        <v>418</v>
      </c>
      <c r="H23" s="108" t="s">
        <v>419</v>
      </c>
      <c r="I23" s="404">
        <v>24</v>
      </c>
      <c r="J23" s="106"/>
      <c r="K23" s="107"/>
      <c r="L23" s="402" t="s">
        <v>420</v>
      </c>
      <c r="M23" s="109" t="s">
        <v>418</v>
      </c>
      <c r="N23" s="109" t="s">
        <v>421</v>
      </c>
      <c r="O23" s="404">
        <v>24</v>
      </c>
      <c r="P23" s="405"/>
      <c r="Q23" s="96"/>
      <c r="R23" s="88"/>
      <c r="S23" s="88"/>
      <c r="T23" s="88"/>
      <c r="U23" s="88"/>
      <c r="V23" s="88"/>
      <c r="W23" s="88"/>
      <c r="X23" s="88"/>
      <c r="Y23" s="88"/>
      <c r="Z23" s="88"/>
    </row>
    <row r="24" spans="2:26" ht="15.6">
      <c r="B24" s="378"/>
      <c r="C24" s="95"/>
      <c r="D24" s="403"/>
      <c r="E24" s="417"/>
      <c r="F24" s="417"/>
      <c r="G24" s="110" t="s">
        <v>422</v>
      </c>
      <c r="H24" s="110" t="s">
        <v>423</v>
      </c>
      <c r="I24" s="399"/>
      <c r="J24" s="106"/>
      <c r="K24" s="107"/>
      <c r="L24" s="403"/>
      <c r="M24" s="111" t="s">
        <v>422</v>
      </c>
      <c r="N24" s="111" t="s">
        <v>424</v>
      </c>
      <c r="O24" s="399"/>
      <c r="P24" s="376"/>
      <c r="Q24" s="96"/>
      <c r="R24" s="88"/>
      <c r="S24" s="88"/>
      <c r="T24" s="88"/>
      <c r="U24" s="88"/>
      <c r="V24" s="88"/>
      <c r="W24" s="88"/>
      <c r="X24" s="88"/>
      <c r="Y24" s="88"/>
      <c r="Z24" s="88"/>
    </row>
    <row r="25" spans="2:26" ht="15.6">
      <c r="B25" s="378"/>
      <c r="C25" s="95"/>
      <c r="D25" s="403"/>
      <c r="E25" s="417"/>
      <c r="F25" s="417"/>
      <c r="G25" s="110" t="s">
        <v>425</v>
      </c>
      <c r="H25" s="110" t="s">
        <v>426</v>
      </c>
      <c r="I25" s="418"/>
      <c r="J25" s="106"/>
      <c r="K25" s="107"/>
      <c r="L25" s="403"/>
      <c r="M25" s="111" t="s">
        <v>425</v>
      </c>
      <c r="N25" s="111" t="s">
        <v>427</v>
      </c>
      <c r="O25" s="400"/>
      <c r="P25" s="406"/>
      <c r="Q25" s="96"/>
      <c r="R25" s="88"/>
      <c r="S25" s="88"/>
      <c r="T25" s="88"/>
      <c r="U25" s="88"/>
      <c r="V25" s="88"/>
      <c r="W25" s="88"/>
      <c r="X25" s="88"/>
      <c r="Y25" s="88"/>
      <c r="Z25" s="88"/>
    </row>
    <row r="26" spans="2:26" ht="15.6">
      <c r="B26" s="378"/>
      <c r="C26" s="95"/>
      <c r="D26" s="403"/>
      <c r="E26" s="417"/>
      <c r="F26" s="374"/>
      <c r="G26" s="112" t="s">
        <v>428</v>
      </c>
      <c r="H26" s="112" t="s">
        <v>429</v>
      </c>
      <c r="I26" s="113">
        <v>6</v>
      </c>
      <c r="J26" s="106"/>
      <c r="K26" s="107"/>
      <c r="L26" s="403"/>
      <c r="M26" s="407" t="s">
        <v>430</v>
      </c>
      <c r="N26" s="114" t="s">
        <v>431</v>
      </c>
      <c r="O26" s="408">
        <v>6</v>
      </c>
      <c r="P26" s="409"/>
      <c r="Q26" s="96"/>
      <c r="R26" s="88"/>
      <c r="S26" s="88"/>
      <c r="T26" s="88"/>
      <c r="U26" s="88"/>
      <c r="V26" s="88"/>
      <c r="W26" s="88"/>
      <c r="X26" s="88"/>
      <c r="Y26" s="88"/>
      <c r="Z26" s="88"/>
    </row>
    <row r="27" spans="2:26" ht="46.8">
      <c r="B27" s="378"/>
      <c r="C27" s="95"/>
      <c r="D27" s="403"/>
      <c r="E27" s="417"/>
      <c r="F27" s="407" t="s">
        <v>432</v>
      </c>
      <c r="G27" s="114" t="s">
        <v>430</v>
      </c>
      <c r="H27" s="114" t="s">
        <v>433</v>
      </c>
      <c r="I27" s="410">
        <v>12</v>
      </c>
      <c r="J27" s="106"/>
      <c r="K27" s="107"/>
      <c r="L27" s="403"/>
      <c r="M27" s="374"/>
      <c r="N27" s="112" t="s">
        <v>434</v>
      </c>
      <c r="O27" s="411">
        <v>12</v>
      </c>
      <c r="P27" s="412"/>
      <c r="Q27" s="96"/>
      <c r="R27" s="88"/>
      <c r="S27" s="88"/>
      <c r="T27" s="88"/>
      <c r="U27" s="88"/>
      <c r="V27" s="88"/>
      <c r="W27" s="88"/>
      <c r="X27" s="88"/>
      <c r="Y27" s="88"/>
      <c r="Z27" s="88"/>
    </row>
    <row r="28" spans="2:26" ht="31.2">
      <c r="B28" s="378"/>
      <c r="C28" s="95"/>
      <c r="D28" s="403"/>
      <c r="E28" s="417"/>
      <c r="F28" s="374"/>
      <c r="G28" s="112" t="s">
        <v>435</v>
      </c>
      <c r="H28" s="112" t="s">
        <v>436</v>
      </c>
      <c r="I28" s="400"/>
      <c r="J28" s="106"/>
      <c r="K28" s="107"/>
      <c r="L28" s="403"/>
      <c r="M28" s="111" t="s">
        <v>435</v>
      </c>
      <c r="N28" s="111" t="s">
        <v>437</v>
      </c>
      <c r="O28" s="400"/>
      <c r="P28" s="406"/>
      <c r="Q28" s="96"/>
      <c r="R28" s="88"/>
      <c r="S28" s="88"/>
      <c r="T28" s="88"/>
      <c r="U28" s="88"/>
      <c r="V28" s="88"/>
      <c r="W28" s="88"/>
      <c r="X28" s="88"/>
      <c r="Y28" s="88"/>
      <c r="Z28" s="88"/>
    </row>
    <row r="29" spans="2:26" ht="15.6">
      <c r="B29" s="378"/>
      <c r="C29" s="95"/>
      <c r="D29" s="403"/>
      <c r="E29" s="417"/>
      <c r="F29" s="407" t="s">
        <v>438</v>
      </c>
      <c r="G29" s="114" t="s">
        <v>439</v>
      </c>
      <c r="H29" s="115"/>
      <c r="I29" s="116">
        <v>8</v>
      </c>
      <c r="J29" s="106"/>
      <c r="K29" s="107"/>
      <c r="L29" s="403"/>
      <c r="M29" s="111" t="s">
        <v>439</v>
      </c>
      <c r="N29" s="117"/>
      <c r="O29" s="413">
        <v>8</v>
      </c>
      <c r="P29" s="386"/>
      <c r="Q29" s="96"/>
      <c r="R29" s="88"/>
      <c r="S29" s="88"/>
      <c r="T29" s="88"/>
      <c r="U29" s="88"/>
      <c r="V29" s="88"/>
      <c r="W29" s="88"/>
      <c r="X29" s="88"/>
      <c r="Y29" s="88"/>
      <c r="Z29" s="88"/>
    </row>
    <row r="30" spans="2:26" ht="15.6">
      <c r="B30" s="378"/>
      <c r="C30" s="95"/>
      <c r="D30" s="403"/>
      <c r="E30" s="417"/>
      <c r="F30" s="374"/>
      <c r="G30" s="112" t="s">
        <v>440</v>
      </c>
      <c r="H30" s="118"/>
      <c r="I30" s="113">
        <v>6</v>
      </c>
      <c r="J30" s="106"/>
      <c r="K30" s="107"/>
      <c r="L30" s="403"/>
      <c r="M30" s="111" t="s">
        <v>440</v>
      </c>
      <c r="N30" s="117"/>
      <c r="O30" s="413">
        <v>6</v>
      </c>
      <c r="P30" s="386"/>
      <c r="Q30" s="96"/>
      <c r="R30" s="88"/>
      <c r="S30" s="88"/>
      <c r="T30" s="88"/>
      <c r="U30" s="88"/>
      <c r="V30" s="88"/>
      <c r="W30" s="88"/>
      <c r="X30" s="88"/>
      <c r="Y30" s="88"/>
      <c r="Z30" s="88"/>
    </row>
    <row r="31" spans="2:26" ht="62.4">
      <c r="B31" s="378"/>
      <c r="C31" s="95"/>
      <c r="D31" s="403"/>
      <c r="E31" s="417"/>
      <c r="F31" s="111" t="s">
        <v>441</v>
      </c>
      <c r="G31" s="111" t="s">
        <v>442</v>
      </c>
      <c r="H31" s="117"/>
      <c r="I31" s="119">
        <v>10</v>
      </c>
      <c r="J31" s="106"/>
      <c r="K31" s="107"/>
      <c r="L31" s="403"/>
      <c r="M31" s="111" t="s">
        <v>443</v>
      </c>
      <c r="N31" s="117"/>
      <c r="O31" s="413">
        <v>8</v>
      </c>
      <c r="P31" s="386"/>
      <c r="Q31" s="96"/>
      <c r="R31" s="88"/>
      <c r="S31" s="88"/>
      <c r="T31" s="88"/>
      <c r="U31" s="88"/>
      <c r="V31" s="88"/>
      <c r="W31" s="88"/>
      <c r="X31" s="88"/>
      <c r="Y31" s="88"/>
      <c r="Z31" s="88"/>
    </row>
    <row r="32" spans="2:26" ht="18.75" customHeight="1">
      <c r="B32" s="378"/>
      <c r="C32" s="95"/>
      <c r="D32" s="403"/>
      <c r="E32" s="374"/>
      <c r="F32" s="421" t="s">
        <v>408</v>
      </c>
      <c r="G32" s="386"/>
      <c r="H32" s="385"/>
      <c r="I32" s="120">
        <v>66</v>
      </c>
      <c r="J32" s="106"/>
      <c r="K32" s="107"/>
      <c r="L32" s="383"/>
      <c r="M32" s="421" t="s">
        <v>408</v>
      </c>
      <c r="N32" s="385"/>
      <c r="O32" s="394">
        <v>64</v>
      </c>
      <c r="P32" s="386"/>
      <c r="Q32" s="96"/>
      <c r="R32" s="88"/>
      <c r="S32" s="88"/>
      <c r="T32" s="88"/>
      <c r="U32" s="88"/>
      <c r="V32" s="88"/>
      <c r="W32" s="88"/>
      <c r="X32" s="88"/>
      <c r="Y32" s="88"/>
      <c r="Z32" s="88"/>
    </row>
    <row r="33" spans="2:26" ht="35.25" customHeight="1">
      <c r="B33" s="378"/>
      <c r="C33" s="95"/>
      <c r="D33" s="383"/>
      <c r="E33" s="121" t="s">
        <v>444</v>
      </c>
      <c r="F33" s="421" t="s">
        <v>445</v>
      </c>
      <c r="G33" s="386"/>
      <c r="H33" s="385"/>
      <c r="I33" s="120">
        <v>86</v>
      </c>
      <c r="J33" s="106"/>
      <c r="K33" s="107"/>
      <c r="L33" s="122" t="s">
        <v>446</v>
      </c>
      <c r="M33" s="421" t="s">
        <v>447</v>
      </c>
      <c r="N33" s="385"/>
      <c r="O33" s="394">
        <v>80</v>
      </c>
      <c r="P33" s="386"/>
      <c r="Q33" s="96"/>
      <c r="R33" s="88"/>
      <c r="S33" s="88"/>
      <c r="T33" s="88"/>
      <c r="U33" s="88"/>
      <c r="V33" s="88"/>
      <c r="W33" s="88"/>
      <c r="X33" s="88"/>
      <c r="Y33" s="88"/>
      <c r="Z33" s="88"/>
    </row>
    <row r="34" spans="2:26" ht="21.75" customHeight="1">
      <c r="B34" s="378"/>
      <c r="C34" s="95"/>
      <c r="D34" s="419" t="s">
        <v>386</v>
      </c>
      <c r="E34" s="386"/>
      <c r="F34" s="386"/>
      <c r="G34" s="386"/>
      <c r="H34" s="385"/>
      <c r="I34" s="123">
        <v>22</v>
      </c>
      <c r="J34" s="106"/>
      <c r="K34" s="107"/>
      <c r="L34" s="419" t="s">
        <v>386</v>
      </c>
      <c r="M34" s="386"/>
      <c r="N34" s="385"/>
      <c r="O34" s="420">
        <v>30</v>
      </c>
      <c r="P34" s="386"/>
      <c r="Q34" s="96"/>
      <c r="R34" s="88"/>
      <c r="S34" s="88"/>
      <c r="T34" s="88"/>
      <c r="U34" s="88"/>
      <c r="V34" s="88"/>
      <c r="W34" s="88"/>
      <c r="X34" s="88"/>
      <c r="Y34" s="88"/>
      <c r="Z34" s="88"/>
    </row>
    <row r="35" spans="2:26" ht="24" customHeight="1">
      <c r="B35" s="378"/>
      <c r="C35" s="95"/>
      <c r="D35" s="419" t="s">
        <v>389</v>
      </c>
      <c r="E35" s="386"/>
      <c r="F35" s="386"/>
      <c r="G35" s="386"/>
      <c r="H35" s="385"/>
      <c r="I35" s="123">
        <v>18</v>
      </c>
      <c r="J35" s="106"/>
      <c r="K35" s="107"/>
      <c r="L35" s="419" t="s">
        <v>389</v>
      </c>
      <c r="M35" s="386"/>
      <c r="N35" s="385"/>
      <c r="O35" s="420">
        <v>18</v>
      </c>
      <c r="P35" s="386"/>
      <c r="Q35" s="96"/>
      <c r="R35" s="88"/>
      <c r="S35" s="88"/>
      <c r="T35" s="88"/>
      <c r="U35" s="88"/>
      <c r="V35" s="88"/>
      <c r="W35" s="88"/>
      <c r="X35" s="88"/>
      <c r="Y35" s="88"/>
      <c r="Z35" s="88"/>
    </row>
    <row r="36" spans="2:26" ht="15.6">
      <c r="B36" s="378"/>
      <c r="C36" s="95"/>
      <c r="D36" s="393" t="s">
        <v>448</v>
      </c>
      <c r="E36" s="386"/>
      <c r="F36" s="386"/>
      <c r="G36" s="386"/>
      <c r="H36" s="385"/>
      <c r="I36" s="120">
        <v>192</v>
      </c>
      <c r="J36" s="106"/>
      <c r="K36" s="107"/>
      <c r="L36" s="393" t="s">
        <v>448</v>
      </c>
      <c r="M36" s="386"/>
      <c r="N36" s="385"/>
      <c r="O36" s="394">
        <v>192</v>
      </c>
      <c r="P36" s="386"/>
      <c r="Q36" s="96"/>
      <c r="R36" s="88"/>
      <c r="S36" s="88"/>
      <c r="T36" s="88"/>
      <c r="U36" s="88"/>
      <c r="V36" s="88"/>
      <c r="W36" s="88"/>
      <c r="X36" s="88"/>
      <c r="Y36" s="88"/>
      <c r="Z36" s="88"/>
    </row>
    <row r="37" spans="2:26" ht="5.25" customHeight="1" thickBot="1">
      <c r="B37" s="379"/>
      <c r="C37" s="98"/>
      <c r="D37" s="99"/>
      <c r="E37" s="99"/>
      <c r="F37" s="99"/>
      <c r="G37" s="99"/>
      <c r="H37" s="99"/>
      <c r="I37" s="99"/>
      <c r="J37" s="100"/>
      <c r="K37" s="101"/>
      <c r="L37" s="99"/>
      <c r="M37" s="99"/>
      <c r="N37" s="99"/>
      <c r="O37" s="99"/>
      <c r="P37" s="99"/>
      <c r="Q37" s="100"/>
      <c r="R37" s="88"/>
      <c r="S37" s="88"/>
      <c r="T37" s="88"/>
      <c r="U37" s="88"/>
      <c r="V37" s="88"/>
      <c r="W37" s="88"/>
      <c r="X37" s="88"/>
      <c r="Y37" s="88"/>
      <c r="Z37" s="88"/>
    </row>
    <row r="38" spans="2:26" ht="5.25" customHeight="1">
      <c r="B38" s="391" t="s">
        <v>449</v>
      </c>
      <c r="C38" s="91"/>
      <c r="D38" s="92"/>
      <c r="E38" s="92"/>
      <c r="F38" s="92"/>
      <c r="G38" s="92"/>
      <c r="H38" s="92"/>
      <c r="I38" s="92"/>
      <c r="J38" s="93"/>
      <c r="K38" s="94"/>
      <c r="L38" s="92"/>
      <c r="M38" s="92"/>
      <c r="N38" s="92"/>
      <c r="O38" s="92"/>
      <c r="P38" s="92"/>
      <c r="Q38" s="93"/>
      <c r="R38" s="88"/>
      <c r="S38" s="88"/>
      <c r="T38" s="88"/>
      <c r="U38" s="88"/>
      <c r="V38" s="88"/>
      <c r="W38" s="88"/>
      <c r="X38" s="88"/>
      <c r="Y38" s="88"/>
      <c r="Z38" s="88"/>
    </row>
    <row r="39" spans="2:26" ht="15.6">
      <c r="B39" s="378"/>
      <c r="C39" s="95" t="s">
        <v>450</v>
      </c>
      <c r="D39" s="124"/>
      <c r="E39" s="124"/>
      <c r="F39" s="124"/>
      <c r="G39" s="124"/>
      <c r="H39" s="124"/>
      <c r="I39" s="124"/>
      <c r="J39" s="96"/>
      <c r="K39" s="97"/>
      <c r="L39" s="124" t="s">
        <v>451</v>
      </c>
      <c r="M39" s="124"/>
      <c r="N39" s="124"/>
      <c r="O39" s="124"/>
      <c r="P39" s="124"/>
      <c r="Q39" s="96"/>
      <c r="R39" s="88"/>
      <c r="S39" s="88"/>
      <c r="T39" s="88"/>
      <c r="U39" s="88"/>
      <c r="V39" s="88"/>
      <c r="W39" s="88"/>
      <c r="X39" s="88"/>
      <c r="Y39" s="88"/>
      <c r="Z39" s="88"/>
    </row>
    <row r="40" spans="2:26" ht="15.6">
      <c r="B40" s="378"/>
      <c r="C40" s="95" t="s">
        <v>452</v>
      </c>
      <c r="D40" s="124"/>
      <c r="E40" s="124"/>
      <c r="F40" s="124"/>
      <c r="G40" s="124"/>
      <c r="H40" s="124"/>
      <c r="I40" s="124"/>
      <c r="J40" s="96"/>
      <c r="K40" s="97"/>
      <c r="L40" s="124" t="s">
        <v>453</v>
      </c>
      <c r="M40" s="124"/>
      <c r="N40" s="124"/>
      <c r="O40" s="124"/>
      <c r="P40" s="124"/>
      <c r="Q40" s="96"/>
      <c r="R40" s="88"/>
      <c r="S40" s="88"/>
      <c r="T40" s="88"/>
      <c r="U40" s="88"/>
      <c r="V40" s="88"/>
      <c r="W40" s="88"/>
      <c r="X40" s="88"/>
      <c r="Y40" s="88"/>
      <c r="Z40" s="88"/>
    </row>
    <row r="41" spans="2:26" ht="5.25" customHeight="1" thickBot="1">
      <c r="B41" s="379"/>
      <c r="C41" s="98"/>
      <c r="D41" s="99"/>
      <c r="E41" s="99"/>
      <c r="F41" s="99"/>
      <c r="G41" s="99"/>
      <c r="H41" s="99"/>
      <c r="I41" s="99"/>
      <c r="J41" s="100"/>
      <c r="K41" s="101"/>
      <c r="L41" s="99"/>
      <c r="M41" s="99"/>
      <c r="N41" s="99"/>
      <c r="O41" s="99"/>
      <c r="P41" s="99"/>
      <c r="Q41" s="100"/>
      <c r="R41" s="88"/>
      <c r="S41" s="88"/>
      <c r="T41" s="88"/>
      <c r="U41" s="88"/>
      <c r="V41" s="88"/>
      <c r="W41" s="88"/>
      <c r="X41" s="88"/>
      <c r="Y41" s="88"/>
      <c r="Z41" s="88"/>
    </row>
    <row r="42" spans="2:26" ht="5.25" customHeight="1">
      <c r="B42" s="391" t="s">
        <v>454</v>
      </c>
      <c r="C42" s="91"/>
      <c r="D42" s="92"/>
      <c r="E42" s="92"/>
      <c r="F42" s="92"/>
      <c r="G42" s="92"/>
      <c r="H42" s="92"/>
      <c r="I42" s="92"/>
      <c r="J42" s="93"/>
      <c r="K42" s="94"/>
      <c r="L42" s="92"/>
      <c r="M42" s="92"/>
      <c r="N42" s="92"/>
      <c r="O42" s="92"/>
      <c r="P42" s="92"/>
      <c r="Q42" s="93"/>
      <c r="R42" s="88"/>
      <c r="S42" s="88"/>
      <c r="T42" s="88"/>
      <c r="U42" s="88"/>
      <c r="V42" s="88"/>
      <c r="W42" s="88"/>
      <c r="X42" s="88"/>
      <c r="Y42" s="88"/>
      <c r="Z42" s="88"/>
    </row>
    <row r="43" spans="2:26" ht="15.6">
      <c r="B43" s="378"/>
      <c r="C43" s="95"/>
      <c r="D43" s="124" t="s">
        <v>455</v>
      </c>
      <c r="E43" s="124"/>
      <c r="F43" s="124"/>
      <c r="G43" s="124"/>
      <c r="H43" s="124"/>
      <c r="I43" s="124"/>
      <c r="J43" s="96"/>
      <c r="K43" s="97"/>
      <c r="L43" s="124" t="s">
        <v>456</v>
      </c>
      <c r="M43" s="124"/>
      <c r="N43" s="124"/>
      <c r="O43" s="124"/>
      <c r="P43" s="124"/>
      <c r="Q43" s="96"/>
      <c r="R43" s="88"/>
      <c r="S43" s="88"/>
      <c r="T43" s="88"/>
      <c r="U43" s="88"/>
      <c r="V43" s="88"/>
      <c r="W43" s="88"/>
      <c r="X43" s="88"/>
      <c r="Y43" s="88"/>
      <c r="Z43" s="88"/>
    </row>
    <row r="44" spans="2:26" ht="15.6">
      <c r="B44" s="378"/>
      <c r="C44" s="95"/>
      <c r="D44" s="124" t="s">
        <v>457</v>
      </c>
      <c r="E44" s="125"/>
      <c r="F44" s="125"/>
      <c r="G44" s="125"/>
      <c r="H44" s="125"/>
      <c r="I44" s="125"/>
      <c r="J44" s="96"/>
      <c r="K44" s="97"/>
      <c r="L44" s="124"/>
      <c r="M44" s="124"/>
      <c r="N44" s="124"/>
      <c r="O44" s="124"/>
      <c r="P44" s="124"/>
      <c r="Q44" s="96"/>
      <c r="R44" s="88"/>
      <c r="S44" s="88"/>
      <c r="T44" s="88"/>
      <c r="U44" s="88"/>
      <c r="V44" s="88"/>
      <c r="W44" s="88"/>
      <c r="X44" s="88"/>
      <c r="Y44" s="88"/>
      <c r="Z44" s="88"/>
    </row>
    <row r="45" spans="2:26" ht="15.6">
      <c r="B45" s="378"/>
      <c r="C45" s="95"/>
      <c r="D45" s="395" t="s">
        <v>375</v>
      </c>
      <c r="E45" s="386"/>
      <c r="F45" s="385"/>
      <c r="G45" s="396" t="s">
        <v>458</v>
      </c>
      <c r="H45" s="385"/>
      <c r="I45" s="126" t="s">
        <v>459</v>
      </c>
      <c r="J45" s="96"/>
      <c r="K45" s="97"/>
      <c r="L45" s="395" t="s">
        <v>375</v>
      </c>
      <c r="M45" s="385"/>
      <c r="N45" s="396" t="s">
        <v>458</v>
      </c>
      <c r="O45" s="385"/>
      <c r="P45" s="126" t="s">
        <v>460</v>
      </c>
      <c r="Q45" s="96"/>
      <c r="R45" s="88"/>
      <c r="S45" s="88"/>
      <c r="T45" s="88"/>
      <c r="U45" s="88"/>
      <c r="V45" s="88"/>
      <c r="W45" s="88"/>
      <c r="X45" s="88"/>
      <c r="Y45" s="88"/>
      <c r="Z45" s="88"/>
    </row>
    <row r="46" spans="2:26" ht="38.25" customHeight="1">
      <c r="B46" s="378"/>
      <c r="C46" s="95"/>
      <c r="D46" s="397" t="s">
        <v>461</v>
      </c>
      <c r="E46" s="385"/>
      <c r="F46" s="127">
        <v>1</v>
      </c>
      <c r="G46" s="390" t="s">
        <v>462</v>
      </c>
      <c r="H46" s="385"/>
      <c r="I46" s="398">
        <v>86</v>
      </c>
      <c r="J46" s="96"/>
      <c r="K46" s="97"/>
      <c r="L46" s="128" t="s">
        <v>461</v>
      </c>
      <c r="M46" s="127">
        <v>3</v>
      </c>
      <c r="N46" s="390" t="s">
        <v>463</v>
      </c>
      <c r="O46" s="385"/>
      <c r="P46" s="398">
        <v>80</v>
      </c>
      <c r="Q46" s="96"/>
      <c r="R46" s="88"/>
      <c r="S46" s="88"/>
      <c r="T46" s="88"/>
      <c r="U46" s="88"/>
      <c r="V46" s="88"/>
      <c r="W46" s="88"/>
      <c r="X46" s="88"/>
      <c r="Y46" s="88"/>
      <c r="Z46" s="88"/>
    </row>
    <row r="47" spans="2:26" ht="16.5" customHeight="1">
      <c r="B47" s="378"/>
      <c r="C47" s="95"/>
      <c r="D47" s="397" t="s">
        <v>464</v>
      </c>
      <c r="E47" s="385"/>
      <c r="F47" s="127">
        <v>179</v>
      </c>
      <c r="G47" s="401" t="s">
        <v>447</v>
      </c>
      <c r="H47" s="385"/>
      <c r="I47" s="399"/>
      <c r="J47" s="96"/>
      <c r="K47" s="97"/>
      <c r="L47" s="128" t="s">
        <v>465</v>
      </c>
      <c r="M47" s="127">
        <v>216</v>
      </c>
      <c r="N47" s="401" t="s">
        <v>447</v>
      </c>
      <c r="O47" s="385"/>
      <c r="P47" s="399"/>
      <c r="Q47" s="96"/>
      <c r="R47" s="88"/>
      <c r="S47" s="88"/>
      <c r="T47" s="88"/>
      <c r="U47" s="88"/>
      <c r="V47" s="88"/>
      <c r="W47" s="88"/>
      <c r="X47" s="88"/>
      <c r="Y47" s="88"/>
      <c r="Z47" s="88"/>
    </row>
    <row r="48" spans="2:26" ht="16.5" customHeight="1">
      <c r="B48" s="378"/>
      <c r="C48" s="95"/>
      <c r="D48" s="397" t="s">
        <v>466</v>
      </c>
      <c r="E48" s="385"/>
      <c r="F48" s="127">
        <v>368</v>
      </c>
      <c r="G48" s="401" t="s">
        <v>447</v>
      </c>
      <c r="H48" s="385"/>
      <c r="I48" s="400"/>
      <c r="J48" s="96"/>
      <c r="K48" s="97"/>
      <c r="L48" s="128" t="s">
        <v>467</v>
      </c>
      <c r="M48" s="127">
        <v>309</v>
      </c>
      <c r="N48" s="401" t="s">
        <v>447</v>
      </c>
      <c r="O48" s="385"/>
      <c r="P48" s="400"/>
      <c r="Q48" s="96"/>
      <c r="R48" s="88"/>
      <c r="S48" s="88"/>
      <c r="T48" s="88"/>
      <c r="U48" s="88"/>
      <c r="V48" s="88"/>
      <c r="W48" s="88"/>
      <c r="X48" s="88"/>
      <c r="Y48" s="88"/>
      <c r="Z48" s="88"/>
    </row>
    <row r="49" spans="2:26" ht="5.25" customHeight="1" thickBot="1">
      <c r="B49" s="379"/>
      <c r="C49" s="98"/>
      <c r="D49" s="99"/>
      <c r="E49" s="99"/>
      <c r="F49" s="99"/>
      <c r="G49" s="99"/>
      <c r="H49" s="99"/>
      <c r="I49" s="99"/>
      <c r="J49" s="100"/>
      <c r="K49" s="101"/>
      <c r="L49" s="99"/>
      <c r="M49" s="99"/>
      <c r="N49" s="99"/>
      <c r="O49" s="99"/>
      <c r="P49" s="99"/>
      <c r="Q49" s="100"/>
      <c r="R49" s="88"/>
      <c r="S49" s="88"/>
      <c r="T49" s="88"/>
      <c r="U49" s="88"/>
      <c r="V49" s="88"/>
      <c r="W49" s="88"/>
      <c r="X49" s="88"/>
      <c r="Y49" s="88"/>
      <c r="Z49" s="88"/>
    </row>
    <row r="50" spans="2:26" ht="5.25" customHeight="1">
      <c r="B50" s="391" t="s">
        <v>468</v>
      </c>
      <c r="C50" s="91"/>
      <c r="D50" s="92"/>
      <c r="E50" s="92"/>
      <c r="F50" s="92"/>
      <c r="G50" s="92"/>
      <c r="H50" s="92"/>
      <c r="I50" s="92"/>
      <c r="J50" s="93"/>
      <c r="K50" s="94"/>
      <c r="L50" s="92"/>
      <c r="M50" s="92"/>
      <c r="N50" s="92"/>
      <c r="O50" s="92"/>
      <c r="P50" s="92"/>
      <c r="Q50" s="93"/>
      <c r="R50" s="88"/>
      <c r="S50" s="88"/>
      <c r="T50" s="88"/>
      <c r="U50" s="88"/>
      <c r="V50" s="88"/>
      <c r="W50" s="88"/>
      <c r="X50" s="88"/>
      <c r="Y50" s="88"/>
      <c r="Z50" s="88"/>
    </row>
    <row r="51" spans="2:26" ht="26.4">
      <c r="B51" s="378"/>
      <c r="C51" s="95"/>
      <c r="D51" s="392" t="s">
        <v>375</v>
      </c>
      <c r="E51" s="386"/>
      <c r="F51" s="385"/>
      <c r="G51" s="129" t="s">
        <v>469</v>
      </c>
      <c r="H51" s="129" t="s">
        <v>470</v>
      </c>
      <c r="I51" s="130" t="s">
        <v>471</v>
      </c>
      <c r="J51" s="106"/>
      <c r="K51" s="107"/>
      <c r="L51" s="392" t="s">
        <v>375</v>
      </c>
      <c r="M51" s="385"/>
      <c r="N51" s="129" t="s">
        <v>469</v>
      </c>
      <c r="O51" s="129" t="s">
        <v>470</v>
      </c>
      <c r="P51" s="130" t="s">
        <v>472</v>
      </c>
      <c r="Q51" s="96"/>
      <c r="R51" s="88"/>
      <c r="S51" s="88"/>
      <c r="T51" s="88"/>
      <c r="U51" s="88"/>
      <c r="V51" s="88"/>
      <c r="W51" s="88"/>
      <c r="X51" s="88"/>
      <c r="Y51" s="88"/>
      <c r="Z51" s="88"/>
    </row>
    <row r="52" spans="2:26" ht="15.6">
      <c r="B52" s="378"/>
      <c r="C52" s="95"/>
      <c r="D52" s="389" t="s">
        <v>473</v>
      </c>
      <c r="E52" s="386"/>
      <c r="F52" s="385"/>
      <c r="G52" s="131">
        <v>8</v>
      </c>
      <c r="H52" s="131">
        <v>-2</v>
      </c>
      <c r="I52" s="132" t="s">
        <v>474</v>
      </c>
      <c r="J52" s="106"/>
      <c r="K52" s="107"/>
      <c r="L52" s="389" t="s">
        <v>473</v>
      </c>
      <c r="M52" s="385"/>
      <c r="N52" s="131">
        <v>4</v>
      </c>
      <c r="O52" s="131">
        <v>-1</v>
      </c>
      <c r="P52" s="132" t="s">
        <v>369</v>
      </c>
      <c r="Q52" s="96"/>
      <c r="R52" s="88"/>
      <c r="S52" s="88"/>
      <c r="T52" s="88"/>
      <c r="U52" s="88"/>
      <c r="V52" s="88"/>
      <c r="W52" s="88"/>
      <c r="X52" s="88"/>
      <c r="Y52" s="88"/>
      <c r="Z52" s="88"/>
    </row>
    <row r="53" spans="2:26" ht="27.75" customHeight="1">
      <c r="B53" s="378"/>
      <c r="C53" s="95"/>
      <c r="D53" s="389" t="s">
        <v>475</v>
      </c>
      <c r="E53" s="386"/>
      <c r="F53" s="385"/>
      <c r="G53" s="131">
        <v>6</v>
      </c>
      <c r="H53" s="133"/>
      <c r="I53" s="132" t="s">
        <v>476</v>
      </c>
      <c r="J53" s="106"/>
      <c r="K53" s="107"/>
      <c r="L53" s="389" t="s">
        <v>477</v>
      </c>
      <c r="M53" s="385"/>
      <c r="N53" s="131">
        <v>3</v>
      </c>
      <c r="O53" s="133"/>
      <c r="P53" s="132">
        <v>3</v>
      </c>
      <c r="Q53" s="96"/>
      <c r="R53" s="88"/>
      <c r="S53" s="88"/>
      <c r="T53" s="88"/>
      <c r="U53" s="88"/>
      <c r="V53" s="88"/>
      <c r="W53" s="88"/>
      <c r="X53" s="88"/>
      <c r="Y53" s="88"/>
      <c r="Z53" s="88"/>
    </row>
    <row r="54" spans="2:26" ht="15.6">
      <c r="B54" s="378"/>
      <c r="C54" s="95"/>
      <c r="D54" s="389" t="s">
        <v>478</v>
      </c>
      <c r="E54" s="386"/>
      <c r="F54" s="385"/>
      <c r="G54" s="131">
        <v>5</v>
      </c>
      <c r="H54" s="131" t="s">
        <v>479</v>
      </c>
      <c r="I54" s="132" t="s">
        <v>480</v>
      </c>
      <c r="J54" s="106"/>
      <c r="K54" s="107"/>
      <c r="L54" s="389" t="s">
        <v>481</v>
      </c>
      <c r="M54" s="385"/>
      <c r="N54" s="131">
        <v>4</v>
      </c>
      <c r="O54" s="131" t="s">
        <v>482</v>
      </c>
      <c r="P54" s="132" t="s">
        <v>371</v>
      </c>
      <c r="Q54" s="96"/>
      <c r="R54" s="88"/>
      <c r="S54" s="88"/>
      <c r="T54" s="88"/>
      <c r="U54" s="88"/>
      <c r="V54" s="88"/>
      <c r="W54" s="88"/>
      <c r="X54" s="88"/>
      <c r="Y54" s="88"/>
      <c r="Z54" s="88"/>
    </row>
    <row r="55" spans="2:26" ht="15.6">
      <c r="B55" s="378"/>
      <c r="C55" s="95"/>
      <c r="D55" s="389" t="s">
        <v>483</v>
      </c>
      <c r="E55" s="386"/>
      <c r="F55" s="385"/>
      <c r="G55" s="131">
        <v>5</v>
      </c>
      <c r="H55" s="131" t="s">
        <v>484</v>
      </c>
      <c r="I55" s="132" t="s">
        <v>485</v>
      </c>
      <c r="J55" s="106"/>
      <c r="K55" s="107"/>
      <c r="L55" s="389" t="s">
        <v>486</v>
      </c>
      <c r="M55" s="385"/>
      <c r="N55" s="131">
        <v>3</v>
      </c>
      <c r="O55" s="131" t="s">
        <v>482</v>
      </c>
      <c r="P55" s="132" t="s">
        <v>372</v>
      </c>
      <c r="Q55" s="96"/>
      <c r="R55" s="88"/>
      <c r="S55" s="88"/>
      <c r="T55" s="88"/>
      <c r="U55" s="88"/>
      <c r="V55" s="88"/>
      <c r="W55" s="88"/>
      <c r="X55" s="88"/>
      <c r="Y55" s="88"/>
      <c r="Z55" s="88"/>
    </row>
    <row r="56" spans="2:26" ht="15.6">
      <c r="B56" s="378"/>
      <c r="C56" s="95"/>
      <c r="D56" s="389" t="s">
        <v>487</v>
      </c>
      <c r="E56" s="386"/>
      <c r="F56" s="385"/>
      <c r="G56" s="131">
        <v>5</v>
      </c>
      <c r="H56" s="131" t="s">
        <v>484</v>
      </c>
      <c r="I56" s="132" t="s">
        <v>485</v>
      </c>
      <c r="J56" s="106"/>
      <c r="K56" s="107"/>
      <c r="L56" s="389" t="s">
        <v>398</v>
      </c>
      <c r="M56" s="385"/>
      <c r="N56" s="390" t="s">
        <v>488</v>
      </c>
      <c r="O56" s="386"/>
      <c r="P56" s="386"/>
      <c r="Q56" s="96"/>
      <c r="R56" s="88"/>
      <c r="S56" s="88"/>
      <c r="T56" s="88"/>
      <c r="U56" s="88"/>
      <c r="V56" s="88"/>
      <c r="W56" s="88"/>
      <c r="X56" s="88"/>
      <c r="Y56" s="88"/>
      <c r="Z56" s="88"/>
    </row>
    <row r="57" spans="2:26" ht="15.6">
      <c r="B57" s="378"/>
      <c r="C57" s="95"/>
      <c r="D57" s="389" t="s">
        <v>396</v>
      </c>
      <c r="E57" s="386"/>
      <c r="F57" s="385"/>
      <c r="G57" s="390" t="s">
        <v>488</v>
      </c>
      <c r="H57" s="386"/>
      <c r="I57" s="386"/>
      <c r="J57" s="106"/>
      <c r="K57" s="107"/>
      <c r="L57" s="134"/>
      <c r="M57" s="124"/>
      <c r="N57" s="124"/>
      <c r="O57" s="124"/>
      <c r="P57" s="124"/>
      <c r="Q57" s="96"/>
      <c r="R57" s="88"/>
      <c r="S57" s="88"/>
      <c r="T57" s="88"/>
      <c r="U57" s="88"/>
      <c r="V57" s="88"/>
      <c r="W57" s="88"/>
      <c r="X57" s="88"/>
      <c r="Y57" s="88"/>
      <c r="Z57" s="88"/>
    </row>
    <row r="58" spans="2:26" ht="15.6">
      <c r="B58" s="378"/>
      <c r="C58" s="95"/>
      <c r="D58" s="124"/>
      <c r="E58" s="124"/>
      <c r="F58" s="124"/>
      <c r="G58" s="124"/>
      <c r="H58" s="124"/>
      <c r="I58" s="124"/>
      <c r="J58" s="96"/>
      <c r="K58" s="97"/>
      <c r="L58" s="124"/>
      <c r="M58" s="124"/>
      <c r="N58" s="124"/>
      <c r="O58" s="124"/>
      <c r="P58" s="124"/>
      <c r="Q58" s="96"/>
      <c r="R58" s="88"/>
      <c r="S58" s="88"/>
      <c r="T58" s="88"/>
      <c r="U58" s="88"/>
      <c r="V58" s="88"/>
      <c r="W58" s="88"/>
      <c r="X58" s="88"/>
      <c r="Y58" s="88"/>
      <c r="Z58" s="88"/>
    </row>
    <row r="59" spans="2:26" ht="33.75" customHeight="1">
      <c r="B59" s="378"/>
      <c r="C59" s="95"/>
      <c r="D59" s="375" t="s">
        <v>489</v>
      </c>
      <c r="E59" s="376"/>
      <c r="F59" s="376"/>
      <c r="G59" s="376"/>
      <c r="H59" s="376"/>
      <c r="I59" s="376"/>
      <c r="J59" s="96"/>
      <c r="K59" s="97"/>
      <c r="L59" s="375" t="s">
        <v>490</v>
      </c>
      <c r="M59" s="375"/>
      <c r="N59" s="375"/>
      <c r="O59" s="375"/>
      <c r="P59" s="375"/>
      <c r="Q59" s="96"/>
      <c r="R59" s="88"/>
      <c r="S59" s="88"/>
      <c r="T59" s="88"/>
      <c r="U59" s="88"/>
      <c r="V59" s="88"/>
      <c r="W59" s="88"/>
      <c r="X59" s="88"/>
      <c r="Y59" s="88"/>
      <c r="Z59" s="88"/>
    </row>
    <row r="60" spans="2:26" ht="5.25" customHeight="1" thickBot="1">
      <c r="B60" s="379"/>
      <c r="C60" s="98"/>
      <c r="D60" s="99"/>
      <c r="E60" s="99"/>
      <c r="F60" s="99"/>
      <c r="G60" s="99"/>
      <c r="H60" s="99"/>
      <c r="I60" s="99"/>
      <c r="J60" s="100"/>
      <c r="K60" s="101"/>
      <c r="L60" s="99"/>
      <c r="M60" s="99"/>
      <c r="N60" s="99"/>
      <c r="O60" s="99"/>
      <c r="P60" s="99"/>
      <c r="Q60" s="100"/>
      <c r="R60" s="88"/>
      <c r="S60" s="88"/>
      <c r="T60" s="88"/>
      <c r="U60" s="88"/>
      <c r="V60" s="88"/>
      <c r="W60" s="88"/>
      <c r="X60" s="88"/>
      <c r="Y60" s="88"/>
      <c r="Z60" s="88"/>
    </row>
    <row r="61" spans="2:26" ht="5.25" customHeight="1">
      <c r="B61" s="380" t="s">
        <v>491</v>
      </c>
      <c r="C61" s="95"/>
      <c r="D61" s="124"/>
      <c r="E61" s="124"/>
      <c r="F61" s="124"/>
      <c r="G61" s="124"/>
      <c r="H61" s="124"/>
      <c r="I61" s="124"/>
      <c r="J61" s="124"/>
      <c r="K61" s="94"/>
      <c r="L61" s="92"/>
      <c r="M61" s="92"/>
      <c r="N61" s="92"/>
      <c r="O61" s="92"/>
      <c r="P61" s="92"/>
      <c r="Q61" s="93"/>
      <c r="R61" s="88"/>
      <c r="S61" s="88"/>
      <c r="T61" s="88"/>
      <c r="U61" s="88"/>
      <c r="V61" s="88"/>
      <c r="W61" s="88"/>
      <c r="X61" s="88"/>
      <c r="Y61" s="88"/>
      <c r="Z61" s="88"/>
    </row>
    <row r="62" spans="2:26" ht="15.6">
      <c r="B62" s="381"/>
      <c r="C62" s="95"/>
      <c r="D62" s="124"/>
      <c r="E62" s="124"/>
      <c r="F62" s="124"/>
      <c r="G62" s="124"/>
      <c r="H62" s="124"/>
      <c r="I62" s="124"/>
      <c r="J62" s="124"/>
      <c r="K62" s="97"/>
      <c r="L62" s="124" t="s">
        <v>492</v>
      </c>
      <c r="M62" s="124"/>
      <c r="N62" s="124"/>
      <c r="O62" s="124"/>
      <c r="P62" s="124"/>
      <c r="Q62" s="96"/>
      <c r="R62" s="88"/>
      <c r="S62" s="88"/>
      <c r="T62" s="88"/>
      <c r="U62" s="88"/>
      <c r="V62" s="88"/>
      <c r="W62" s="88"/>
      <c r="X62" s="88"/>
      <c r="Y62" s="88"/>
      <c r="Z62" s="88"/>
    </row>
    <row r="63" spans="2:26" ht="15.6">
      <c r="B63" s="381"/>
      <c r="C63" s="95"/>
      <c r="D63" s="124"/>
      <c r="E63" s="124"/>
      <c r="F63" s="124"/>
      <c r="G63" s="124"/>
      <c r="H63" s="124"/>
      <c r="I63" s="124"/>
      <c r="J63" s="124"/>
      <c r="K63" s="97"/>
      <c r="L63" s="124" t="s">
        <v>493</v>
      </c>
      <c r="M63" s="124"/>
      <c r="N63" s="124"/>
      <c r="O63" s="124"/>
      <c r="P63" s="124"/>
      <c r="Q63" s="96"/>
      <c r="R63" s="88"/>
      <c r="S63" s="88"/>
      <c r="T63" s="88"/>
      <c r="U63" s="88"/>
      <c r="V63" s="88"/>
      <c r="W63" s="88"/>
      <c r="X63" s="88"/>
      <c r="Y63" s="88"/>
      <c r="Z63" s="88"/>
    </row>
    <row r="64" spans="2:26" ht="15.6">
      <c r="B64" s="381"/>
      <c r="C64" s="95"/>
      <c r="D64" s="124"/>
      <c r="E64" s="124"/>
      <c r="F64" s="124"/>
      <c r="G64" s="124"/>
      <c r="H64" s="124"/>
      <c r="I64" s="124"/>
      <c r="J64" s="124"/>
      <c r="K64" s="97"/>
      <c r="L64" s="382" t="s">
        <v>375</v>
      </c>
      <c r="M64" s="384" t="s">
        <v>494</v>
      </c>
      <c r="N64" s="385"/>
      <c r="O64" s="384" t="s">
        <v>495</v>
      </c>
      <c r="P64" s="386"/>
      <c r="Q64" s="96"/>
      <c r="R64" s="88"/>
      <c r="S64" s="88"/>
      <c r="T64" s="88"/>
      <c r="U64" s="88"/>
      <c r="V64" s="88"/>
      <c r="W64" s="88"/>
      <c r="X64" s="88"/>
      <c r="Y64" s="88"/>
      <c r="Z64" s="88"/>
    </row>
    <row r="65" spans="2:26" ht="15.6">
      <c r="B65" s="381"/>
      <c r="C65" s="95"/>
      <c r="D65" s="124"/>
      <c r="E65" s="124"/>
      <c r="F65" s="124"/>
      <c r="G65" s="124"/>
      <c r="H65" s="124"/>
      <c r="I65" s="124"/>
      <c r="J65" s="124"/>
      <c r="K65" s="97"/>
      <c r="L65" s="383"/>
      <c r="M65" s="127" t="s">
        <v>0</v>
      </c>
      <c r="N65" s="127" t="s">
        <v>496</v>
      </c>
      <c r="O65" s="127" t="s">
        <v>0</v>
      </c>
      <c r="P65" s="135" t="s">
        <v>496</v>
      </c>
      <c r="Q65" s="96"/>
      <c r="R65" s="88"/>
      <c r="S65" s="88"/>
      <c r="T65" s="88"/>
      <c r="U65" s="88"/>
      <c r="V65" s="88"/>
      <c r="W65" s="88"/>
      <c r="X65" s="88"/>
      <c r="Y65" s="88"/>
      <c r="Z65" s="88"/>
    </row>
    <row r="66" spans="2:26" ht="15.6">
      <c r="B66" s="381"/>
      <c r="C66" s="95"/>
      <c r="D66" s="124"/>
      <c r="E66" s="124"/>
      <c r="F66" s="124"/>
      <c r="G66" s="124"/>
      <c r="H66" s="124"/>
      <c r="I66" s="124"/>
      <c r="J66" s="124"/>
      <c r="K66" s="97"/>
      <c r="L66" s="136" t="s">
        <v>201</v>
      </c>
      <c r="M66" s="137">
        <v>2</v>
      </c>
      <c r="N66" s="137">
        <v>2</v>
      </c>
      <c r="O66" s="137">
        <v>4</v>
      </c>
      <c r="P66" s="126">
        <v>0</v>
      </c>
      <c r="Q66" s="96"/>
      <c r="R66" s="88"/>
      <c r="S66" s="88"/>
      <c r="T66" s="88"/>
      <c r="U66" s="88"/>
      <c r="V66" s="88"/>
      <c r="W66" s="88"/>
      <c r="X66" s="88"/>
      <c r="Y66" s="88"/>
      <c r="Z66" s="88"/>
    </row>
    <row r="67" spans="2:26" ht="15.6">
      <c r="B67" s="381"/>
      <c r="C67" s="95"/>
      <c r="D67" s="124"/>
      <c r="E67" s="124"/>
      <c r="F67" s="124"/>
      <c r="G67" s="124"/>
      <c r="H67" s="124"/>
      <c r="I67" s="124"/>
      <c r="J67" s="124"/>
      <c r="K67" s="97"/>
      <c r="L67" s="136" t="s">
        <v>215</v>
      </c>
      <c r="M67" s="137">
        <v>2</v>
      </c>
      <c r="N67" s="137">
        <v>2</v>
      </c>
      <c r="O67" s="137">
        <v>0</v>
      </c>
      <c r="P67" s="126">
        <v>4</v>
      </c>
      <c r="Q67" s="96"/>
      <c r="R67" s="88"/>
      <c r="S67" s="88"/>
      <c r="T67" s="88"/>
      <c r="U67" s="88"/>
      <c r="V67" s="88"/>
      <c r="W67" s="88"/>
      <c r="X67" s="88"/>
      <c r="Y67" s="88"/>
      <c r="Z67" s="88"/>
    </row>
    <row r="68" spans="2:26" ht="15.6">
      <c r="B68" s="381"/>
      <c r="C68" s="95"/>
      <c r="D68" s="124"/>
      <c r="E68" s="124"/>
      <c r="F68" s="124"/>
      <c r="G68" s="124"/>
      <c r="H68" s="124"/>
      <c r="I68" s="124"/>
      <c r="J68" s="124"/>
      <c r="K68" s="97"/>
      <c r="L68" s="136" t="s">
        <v>204</v>
      </c>
      <c r="M68" s="137">
        <v>2</v>
      </c>
      <c r="N68" s="137">
        <v>2</v>
      </c>
      <c r="O68" s="137">
        <v>4</v>
      </c>
      <c r="P68" s="126">
        <v>0</v>
      </c>
      <c r="Q68" s="96"/>
      <c r="R68" s="88"/>
      <c r="S68" s="88"/>
      <c r="T68" s="88"/>
      <c r="U68" s="88"/>
      <c r="V68" s="88"/>
      <c r="W68" s="88"/>
      <c r="X68" s="88"/>
      <c r="Y68" s="88"/>
      <c r="Z68" s="88"/>
    </row>
    <row r="69" spans="2:26" ht="15.6">
      <c r="B69" s="381"/>
      <c r="C69" s="95"/>
      <c r="D69" s="124"/>
      <c r="E69" s="124"/>
      <c r="F69" s="124"/>
      <c r="G69" s="124"/>
      <c r="H69" s="124"/>
      <c r="I69" s="124"/>
      <c r="J69" s="124"/>
      <c r="K69" s="97"/>
      <c r="L69" s="124" t="s">
        <v>497</v>
      </c>
      <c r="M69" s="124"/>
      <c r="N69" s="124"/>
      <c r="O69" s="124"/>
      <c r="P69" s="124"/>
      <c r="Q69" s="96"/>
      <c r="R69" s="88"/>
      <c r="S69" s="88"/>
      <c r="T69" s="88"/>
      <c r="U69" s="88"/>
      <c r="V69" s="88"/>
      <c r="W69" s="88"/>
      <c r="X69" s="88"/>
      <c r="Y69" s="88"/>
      <c r="Z69" s="88"/>
    </row>
    <row r="70" spans="2:26" ht="15.6">
      <c r="B70" s="381"/>
      <c r="C70" s="95"/>
      <c r="D70" s="124"/>
      <c r="E70" s="124"/>
      <c r="F70" s="124"/>
      <c r="G70" s="124"/>
      <c r="H70" s="124"/>
      <c r="I70" s="124"/>
      <c r="J70" s="124"/>
      <c r="K70" s="97"/>
      <c r="L70" s="382" t="s">
        <v>375</v>
      </c>
      <c r="M70" s="384" t="s">
        <v>494</v>
      </c>
      <c r="N70" s="385"/>
      <c r="O70" s="384" t="s">
        <v>495</v>
      </c>
      <c r="P70" s="386"/>
      <c r="Q70" s="96"/>
      <c r="R70" s="88"/>
      <c r="S70" s="88"/>
      <c r="T70" s="88"/>
      <c r="U70" s="88"/>
      <c r="V70" s="88"/>
      <c r="W70" s="88"/>
      <c r="X70" s="88"/>
      <c r="Y70" s="88"/>
      <c r="Z70" s="88"/>
    </row>
    <row r="71" spans="2:26" ht="15.6">
      <c r="B71" s="381"/>
      <c r="C71" s="95"/>
      <c r="D71" s="124"/>
      <c r="E71" s="124"/>
      <c r="F71" s="124"/>
      <c r="G71" s="124"/>
      <c r="H71" s="124"/>
      <c r="I71" s="124"/>
      <c r="J71" s="124"/>
      <c r="K71" s="97"/>
      <c r="L71" s="383"/>
      <c r="M71" s="127" t="s">
        <v>0</v>
      </c>
      <c r="N71" s="127" t="s">
        <v>496</v>
      </c>
      <c r="O71" s="127" t="s">
        <v>0</v>
      </c>
      <c r="P71" s="135" t="s">
        <v>496</v>
      </c>
      <c r="Q71" s="96"/>
      <c r="R71" s="88"/>
      <c r="S71" s="88"/>
      <c r="T71" s="88"/>
      <c r="U71" s="88"/>
      <c r="V71" s="88"/>
      <c r="W71" s="88"/>
      <c r="X71" s="88"/>
      <c r="Y71" s="88"/>
      <c r="Z71" s="88"/>
    </row>
    <row r="72" spans="2:26" ht="15.6">
      <c r="B72" s="381"/>
      <c r="C72" s="95"/>
      <c r="D72" s="124"/>
      <c r="E72" s="124"/>
      <c r="F72" s="124"/>
      <c r="G72" s="124"/>
      <c r="H72" s="124"/>
      <c r="I72" s="124"/>
      <c r="J72" s="124"/>
      <c r="K72" s="97"/>
      <c r="L72" s="136" t="s">
        <v>461</v>
      </c>
      <c r="M72" s="137">
        <v>1</v>
      </c>
      <c r="N72" s="137">
        <v>1</v>
      </c>
      <c r="O72" s="137">
        <v>2</v>
      </c>
      <c r="P72" s="126">
        <v>0</v>
      </c>
      <c r="Q72" s="96"/>
      <c r="R72" s="88"/>
      <c r="S72" s="88"/>
      <c r="T72" s="88"/>
      <c r="U72" s="88"/>
      <c r="V72" s="88"/>
      <c r="W72" s="88"/>
      <c r="X72" s="88"/>
      <c r="Y72" s="88"/>
      <c r="Z72" s="88"/>
    </row>
    <row r="73" spans="2:26" ht="15.6">
      <c r="B73" s="381"/>
      <c r="C73" s="95"/>
      <c r="D73" s="124"/>
      <c r="E73" s="124"/>
      <c r="F73" s="124"/>
      <c r="G73" s="124"/>
      <c r="H73" s="124"/>
      <c r="I73" s="124"/>
      <c r="J73" s="124"/>
      <c r="K73" s="97"/>
      <c r="L73" s="136" t="s">
        <v>465</v>
      </c>
      <c r="M73" s="137">
        <v>2</v>
      </c>
      <c r="N73" s="137">
        <v>2</v>
      </c>
      <c r="O73" s="137">
        <v>0</v>
      </c>
      <c r="P73" s="126">
        <v>4</v>
      </c>
      <c r="Q73" s="96"/>
      <c r="R73" s="88"/>
      <c r="S73" s="88"/>
      <c r="T73" s="88"/>
      <c r="U73" s="88"/>
      <c r="V73" s="88"/>
      <c r="W73" s="88"/>
      <c r="X73" s="88"/>
      <c r="Y73" s="88"/>
      <c r="Z73" s="88"/>
    </row>
    <row r="74" spans="2:26" ht="15.6">
      <c r="B74" s="381"/>
      <c r="C74" s="95"/>
      <c r="D74" s="124"/>
      <c r="E74" s="124"/>
      <c r="F74" s="124"/>
      <c r="G74" s="124"/>
      <c r="H74" s="124"/>
      <c r="I74" s="124"/>
      <c r="J74" s="124"/>
      <c r="K74" s="97"/>
      <c r="L74" s="387" t="s">
        <v>498</v>
      </c>
      <c r="M74" s="373" t="s">
        <v>499</v>
      </c>
      <c r="N74" s="373" t="s">
        <v>499</v>
      </c>
      <c r="O74" s="138">
        <v>8</v>
      </c>
      <c r="P74" s="139">
        <v>0</v>
      </c>
      <c r="Q74" s="96"/>
      <c r="R74" s="88"/>
      <c r="S74" s="88"/>
      <c r="T74" s="88"/>
      <c r="U74" s="88"/>
      <c r="V74" s="88"/>
      <c r="W74" s="88"/>
      <c r="X74" s="88"/>
      <c r="Y74" s="88"/>
      <c r="Z74" s="88"/>
    </row>
    <row r="75" spans="2:26" ht="15.6">
      <c r="B75" s="381"/>
      <c r="C75" s="95"/>
      <c r="D75" s="124"/>
      <c r="E75" s="124"/>
      <c r="F75" s="124"/>
      <c r="G75" s="124"/>
      <c r="H75" s="124"/>
      <c r="I75" s="124"/>
      <c r="J75" s="124"/>
      <c r="K75" s="97"/>
      <c r="L75" s="388"/>
      <c r="M75" s="374"/>
      <c r="N75" s="374"/>
      <c r="O75" s="138">
        <v>4</v>
      </c>
      <c r="P75" s="139">
        <v>4</v>
      </c>
      <c r="Q75" s="96"/>
      <c r="R75" s="88"/>
      <c r="S75" s="88"/>
      <c r="T75" s="88"/>
      <c r="U75" s="88"/>
      <c r="V75" s="88"/>
      <c r="W75" s="88"/>
      <c r="X75" s="88"/>
      <c r="Y75" s="88"/>
      <c r="Z75" s="88"/>
    </row>
    <row r="76" spans="2:26" ht="33.75" customHeight="1">
      <c r="B76" s="381"/>
      <c r="C76" s="95"/>
      <c r="D76" s="124"/>
      <c r="E76" s="124"/>
      <c r="F76" s="124"/>
      <c r="G76" s="124"/>
      <c r="H76" s="124"/>
      <c r="I76" s="124"/>
      <c r="J76" s="124"/>
      <c r="K76" s="97"/>
      <c r="L76" s="375" t="s">
        <v>500</v>
      </c>
      <c r="M76" s="376"/>
      <c r="N76" s="376"/>
      <c r="O76" s="376"/>
      <c r="P76" s="376"/>
      <c r="Q76" s="96"/>
      <c r="R76" s="88"/>
      <c r="S76" s="88"/>
      <c r="T76" s="88"/>
      <c r="U76" s="88"/>
      <c r="V76" s="88"/>
      <c r="W76" s="88"/>
      <c r="X76" s="88"/>
      <c r="Y76" s="88"/>
      <c r="Z76" s="88"/>
    </row>
    <row r="77" spans="2:26" ht="5.25" customHeight="1">
      <c r="B77" s="381"/>
      <c r="C77" s="140"/>
      <c r="D77" s="141"/>
      <c r="E77" s="141"/>
      <c r="F77" s="141"/>
      <c r="G77" s="141"/>
      <c r="H77" s="141"/>
      <c r="I77" s="141"/>
      <c r="J77" s="141"/>
      <c r="K77" s="142"/>
      <c r="L77" s="141"/>
      <c r="M77" s="141"/>
      <c r="N77" s="141"/>
      <c r="O77" s="141"/>
      <c r="P77" s="141"/>
      <c r="Q77" s="143"/>
      <c r="R77" s="88"/>
      <c r="S77" s="88"/>
      <c r="T77" s="88"/>
      <c r="U77" s="88"/>
      <c r="V77" s="88"/>
      <c r="W77" s="88"/>
      <c r="X77" s="88"/>
      <c r="Y77" s="88"/>
      <c r="Z77" s="88"/>
    </row>
    <row r="78" spans="2:26" ht="5.25" customHeight="1">
      <c r="B78" s="377" t="s">
        <v>501</v>
      </c>
      <c r="C78" s="144"/>
      <c r="D78" s="145"/>
      <c r="E78" s="145"/>
      <c r="F78" s="145"/>
      <c r="G78" s="145"/>
      <c r="H78" s="145"/>
      <c r="I78" s="145"/>
      <c r="J78" s="145"/>
      <c r="K78" s="146"/>
      <c r="L78" s="145"/>
      <c r="M78" s="145"/>
      <c r="N78" s="145"/>
      <c r="O78" s="145"/>
      <c r="P78" s="145"/>
      <c r="Q78" s="147"/>
      <c r="R78" s="88"/>
      <c r="S78" s="88"/>
      <c r="T78" s="88"/>
      <c r="U78" s="88"/>
      <c r="V78" s="88"/>
      <c r="W78" s="88"/>
      <c r="X78" s="88"/>
      <c r="Y78" s="88"/>
      <c r="Z78" s="88"/>
    </row>
    <row r="79" spans="2:26" ht="15.6">
      <c r="B79" s="378"/>
      <c r="C79" s="95"/>
      <c r="D79" s="124" t="s">
        <v>502</v>
      </c>
      <c r="E79" s="124"/>
      <c r="F79" s="124"/>
      <c r="G79" s="124"/>
      <c r="H79" s="124"/>
      <c r="I79" s="124"/>
      <c r="J79" s="124"/>
      <c r="K79" s="97"/>
      <c r="L79" s="124" t="s">
        <v>503</v>
      </c>
      <c r="M79" s="124"/>
      <c r="N79" s="124"/>
      <c r="O79" s="124"/>
      <c r="P79" s="124"/>
      <c r="Q79" s="96"/>
      <c r="R79" s="88"/>
      <c r="S79" s="88"/>
      <c r="T79" s="88"/>
      <c r="U79" s="88"/>
      <c r="V79" s="88"/>
      <c r="W79" s="88"/>
      <c r="X79" s="88"/>
      <c r="Y79" s="88"/>
      <c r="Z79" s="88"/>
    </row>
    <row r="80" spans="2:26" ht="15.6">
      <c r="B80" s="378"/>
      <c r="C80" s="95"/>
      <c r="D80" s="124"/>
      <c r="E80" s="124"/>
      <c r="F80" s="124"/>
      <c r="G80" s="124"/>
      <c r="H80" s="124"/>
      <c r="I80" s="124"/>
      <c r="J80" s="124"/>
      <c r="K80" s="97"/>
      <c r="L80" s="124" t="s">
        <v>504</v>
      </c>
      <c r="M80" s="124"/>
      <c r="N80" s="124"/>
      <c r="O80" s="124"/>
      <c r="P80" s="124"/>
      <c r="Q80" s="96"/>
      <c r="R80" s="88"/>
      <c r="S80" s="88"/>
      <c r="T80" s="88"/>
      <c r="U80" s="88"/>
      <c r="V80" s="88"/>
      <c r="W80" s="88"/>
      <c r="X80" s="88"/>
      <c r="Y80" s="88"/>
      <c r="Z80" s="88"/>
    </row>
    <row r="81" spans="2:26" ht="5.25" customHeight="1" thickBot="1">
      <c r="B81" s="379"/>
      <c r="C81" s="98"/>
      <c r="D81" s="99"/>
      <c r="E81" s="99"/>
      <c r="F81" s="99"/>
      <c r="G81" s="99"/>
      <c r="H81" s="99"/>
      <c r="I81" s="99"/>
      <c r="J81" s="99"/>
      <c r="K81" s="101"/>
      <c r="L81" s="99"/>
      <c r="M81" s="99"/>
      <c r="N81" s="99"/>
      <c r="O81" s="99"/>
      <c r="P81" s="99"/>
      <c r="Q81" s="100"/>
      <c r="R81" s="88"/>
      <c r="S81" s="88"/>
      <c r="T81" s="88"/>
      <c r="U81" s="88"/>
      <c r="V81" s="88"/>
      <c r="W81" s="88"/>
      <c r="X81" s="88"/>
      <c r="Y81" s="88"/>
      <c r="Z81" s="88"/>
    </row>
    <row r="82" spans="2:26" ht="4.5" customHeight="1"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2:26" ht="15.6" hidden="1"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2:26" ht="15.6" hidden="1"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2:26" ht="15.6" hidden="1"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2:26" ht="15.6" hidden="1"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2:26" ht="15.6" hidden="1"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2:26" ht="15.6" hidden="1"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2:26" ht="15.6" hidden="1"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2:26" ht="15.6" hidden="1"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2:26" ht="15.6" hidden="1"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2:26" ht="15.6" hidden="1"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2:26" ht="15.6" hidden="1"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2:26" ht="15.6" hidden="1"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2:26" ht="15.6" hidden="1"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2:26" ht="15.6" hidden="1"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2:26" ht="15.6" hidden="1"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2:26" ht="15.6" hidden="1"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2:26" ht="15.6" hidden="1"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2:26" ht="15.6" hidden="1"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2:26" ht="15.6" hidden="1"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2:26" ht="15.6" hidden="1"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2:26" ht="15.6" hidden="1"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2:26" ht="15.6" hidden="1"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2:26" ht="15.6" hidden="1"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2:26" ht="15.6" hidden="1"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2:26" ht="15.6" hidden="1"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2:26" ht="15.6" hidden="1"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2:26" ht="15.6" hidden="1"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2:26" ht="15.6" hidden="1"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2:26" ht="15.6" hidden="1"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2:26" ht="15.6" hidden="1"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2:26" ht="15.6" hidden="1"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2:26" ht="15.6" hidden="1"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2:26" ht="15.6" hidden="1"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2:26" ht="15.6" hidden="1"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2:26" ht="15.6" hidden="1"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2:26" ht="15.6" hidden="1"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2:26" ht="15.6" hidden="1"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2:26" ht="15.6" hidden="1"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2:26" ht="15.6" hidden="1"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2:26" ht="15.6" hidden="1"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2:26" ht="15.6" hidden="1"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2:26" ht="15.6" hidden="1"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2:26" ht="15.6" hidden="1"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2:26" ht="15.6" hidden="1"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2:26" ht="15.6" hidden="1"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2:26" ht="15.6" hidden="1"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2:26" ht="15.6" hidden="1"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2:26" ht="15.6" hidden="1"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2:26" ht="15.6" hidden="1"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2:26" ht="15.6" hidden="1"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2:26" ht="15.6" hidden="1"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2:26" ht="15.6" hidden="1"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2:26" ht="15.6" hidden="1"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2:26" ht="15.6" hidden="1"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2:26" ht="15.6" hidden="1"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2:26" ht="15.6" hidden="1"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2:26" ht="15.6" hidden="1"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2:26" ht="15.6" hidden="1"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2:26" ht="15.6" hidden="1"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2:26" ht="15.6" hidden="1"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2:26" ht="15.6" hidden="1"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2:26" ht="15.6" hidden="1"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2:26" ht="15.6" hidden="1"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2:26" ht="15.6" hidden="1"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2:26" ht="15.6" hidden="1"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2:26" ht="15.6" hidden="1"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2:26" ht="15.6" hidden="1"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2:26" ht="15.6" hidden="1"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2:26" ht="15.6" hidden="1"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2:26" ht="15.6" hidden="1"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2:26" ht="15.6" hidden="1"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2:26" ht="15.6" hidden="1"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2:26" ht="15.6" hidden="1"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2:26" ht="15.6" hidden="1"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2:26" ht="15.6" hidden="1"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2:26" ht="15.6" hidden="1"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2:26" ht="15.6" hidden="1"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2:26" ht="15.6" hidden="1"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2:26" ht="15.6" hidden="1"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2:26" ht="15.6" hidden="1"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2:26" ht="15.6" hidden="1"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2:26" ht="15.6" hidden="1"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2:26" ht="15.6" hidden="1"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2:26" ht="15.6" hidden="1"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2:26" ht="15.6" hidden="1"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2:26" ht="15.6" hidden="1"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2:26" ht="15.6" hidden="1"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2:26" ht="15.6" hidden="1"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2:26" ht="15.6" hidden="1"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2:26" ht="15.6" hidden="1"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2:26" ht="15.6" hidden="1"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2:26" ht="15.6" hidden="1"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2:26" ht="15.6" hidden="1"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2:26" ht="15.6" hidden="1"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2:26" ht="15.6" hidden="1"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2:26" ht="15.6" hidden="1"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2:26" ht="15.6" hidden="1"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2:26" ht="15.6" hidden="1"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2:26" ht="15.6" hidden="1"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2:26" ht="15.6" hidden="1"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2:26" ht="15.6" hidden="1"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2:26" ht="15.6" hidden="1"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2:26" ht="15.6" hidden="1"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2:26" ht="15.6" hidden="1"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2:26" ht="15.6" hidden="1"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2:26" ht="15.6" hidden="1"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2:26" ht="15.6" hidden="1"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2:26" ht="15.6" hidden="1"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2:26" ht="15.6" hidden="1"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2:26" ht="15.6" hidden="1"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2:26" ht="15.6" hidden="1"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2:26" ht="15.6" hidden="1"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2:26" ht="15.6" hidden="1"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2:26" ht="15.6" hidden="1"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2:26" ht="15.6" hidden="1"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2:26" ht="15.6" hidden="1"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2:26" ht="15.6" hidden="1"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2:26" ht="15.6" hidden="1"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2:26" ht="15.6" hidden="1"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2:26" ht="15.6" hidden="1"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2:26" ht="15.6" hidden="1"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2:26" ht="15.6" hidden="1"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2:26" ht="15.6" hidden="1"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2:26" ht="15.6" hidden="1"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2:26" ht="15.6" hidden="1"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2:26" ht="15.6" hidden="1"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2:26" ht="15.6" hidden="1"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2:26" ht="15.6" hidden="1"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2:26" ht="15.6" hidden="1"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2:26" ht="15.6" hidden="1"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2:26" ht="15.6" hidden="1"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2:26" ht="15.6" hidden="1"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2:26" ht="15.6" hidden="1"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2:26" ht="15.6" hidden="1"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2:26" ht="15.6" hidden="1"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2:26" ht="15.6" hidden="1"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2:26" ht="15.6" hidden="1"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2:26" ht="15.6" hidden="1"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2:26" ht="15.6" hidden="1"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2:26" ht="15.6" hidden="1"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2:26" ht="15.6" hidden="1"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2:26" ht="15.6" hidden="1"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2:26" ht="15.6" hidden="1"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2:26" ht="15.6" hidden="1"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2:26" ht="15.6" hidden="1"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2:26" ht="15.6" hidden="1"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2:26" ht="15.6" hidden="1"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2:26" ht="15.6" hidden="1"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2:26" ht="15.6" hidden="1"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2:26" ht="15.6" hidden="1"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2:26" ht="15.6" hidden="1"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2:26" ht="15.6" hidden="1"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2:26" ht="15.6" hidden="1"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2:26" ht="15.6" hidden="1"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2:26" ht="15.6" hidden="1"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2:26" ht="15.6" hidden="1"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2:26" ht="15.6" hidden="1"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2:26" ht="15.6" hidden="1"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2:26" ht="15.6" hidden="1"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2:26" ht="15.6" hidden="1"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2:26" ht="15.6" hidden="1"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2:26" ht="15.6" hidden="1"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2:26" ht="15.6" hidden="1"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2:26" ht="15.6" hidden="1"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2:26" ht="15.6" hidden="1"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2:26" ht="15.6" hidden="1"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2:26" ht="15.6" hidden="1"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2:26" ht="15.6" hidden="1"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2:26" ht="15.6" hidden="1"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2:26" ht="15.6" hidden="1"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2:26" ht="15.6" hidden="1"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2:26" ht="15.6" hidden="1"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2:26" ht="15.6" hidden="1"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2:26" ht="15.6" hidden="1"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2:26" ht="15.6" hidden="1"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2:26" ht="15.6" hidden="1"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2:26" ht="15.6" hidden="1"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2:26" ht="15.6" hidden="1"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2:26" ht="15.6" hidden="1"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2:26" ht="15.6" hidden="1"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2:26" ht="15.6" hidden="1"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2:26" ht="15.6" hidden="1"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2:26" ht="15.6" hidden="1"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2:26" ht="15.6" hidden="1"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2:26" ht="15.6" hidden="1"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2:26" ht="15.6" hidden="1"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2:26" ht="15.6" hidden="1"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2:26" ht="15.6" hidden="1"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2:26" ht="15.6" hidden="1"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2:26" ht="15.6" hidden="1"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2:26" ht="15.6" hidden="1"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2:26" ht="15.6" hidden="1"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2:26" ht="15.6" hidden="1"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2:26" ht="15.6" hidden="1"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2:26" ht="15.6" hidden="1"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2:26" ht="15.6" hidden="1"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2:26" ht="15.6" hidden="1"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2:26" ht="15.6" hidden="1"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2:26" ht="15.6" hidden="1"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2:26" ht="15.6" hidden="1"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2:26" ht="15.6" hidden="1"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2:26" ht="15.6" hidden="1"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2:26" ht="15.6" hidden="1"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2:26" ht="15.6" hidden="1"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2:26" ht="15.6" hidden="1"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2:26" ht="15.6" hidden="1"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2:26" ht="15.6" hidden="1"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2:26" ht="15.6" hidden="1"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2:26" ht="15.6" hidden="1"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2:26" ht="15.6" hidden="1"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2:26" ht="15.6" hidden="1"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2:26" ht="15.6" hidden="1"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2:26" ht="15.6" hidden="1"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2:26" ht="15.6" hidden="1"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2:26" ht="15.6" hidden="1"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2:26" ht="15.6" hidden="1"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2:26" ht="15.6" hidden="1"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2:26" ht="15.6" hidden="1"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2:26" ht="15.6" hidden="1"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2:26" ht="15.6" hidden="1"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2:26" ht="15.6" hidden="1"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2:26" ht="15.6" hidden="1"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2:26" ht="15.6" hidden="1"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2:26" ht="15.6" hidden="1"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2:26" ht="15.6" hidden="1"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2:26" ht="15.6" hidden="1"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2:26" ht="15.6" hidden="1"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2:26" ht="15.6" hidden="1"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2:26" ht="15.6" hidden="1"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2:26" ht="15.6" hidden="1"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2:26" ht="15.6" hidden="1"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2:26" ht="15.6" hidden="1"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2:26" ht="15.6" hidden="1"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2:26" ht="15.6" hidden="1"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2:26" ht="15.6" hidden="1"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2:26" ht="15.6" hidden="1"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2:26" ht="15.6" hidden="1"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2:26" ht="15.6" hidden="1"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2:26" ht="15.6" hidden="1"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2:26" ht="15.6" hidden="1"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2:26" ht="15.6" hidden="1"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2:26" ht="15.6" hidden="1"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2:26" ht="15.6" hidden="1"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2:26" ht="15.6" hidden="1"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2:26" ht="15.6" hidden="1"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2:26" ht="15.6" hidden="1"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2:26" ht="15.6" hidden="1"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2:26" ht="15.6" hidden="1"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2:26" ht="15.6" hidden="1"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2:26" ht="15.6" hidden="1"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2:26" ht="15.6" hidden="1"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2:26" ht="15.6" hidden="1"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2:26" ht="15.6" hidden="1"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2:26" ht="15.6" hidden="1"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2:26" ht="15.6" hidden="1"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2:26" ht="15.6" hidden="1"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2:26" ht="15.6" hidden="1"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2:26" ht="15.6" hidden="1"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2:26" ht="15.6" hidden="1"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2:26" ht="15.6" hidden="1"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2:26" ht="15.6" hidden="1"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2:26" ht="15.6" hidden="1"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2:26" ht="15.6" hidden="1"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2:26" ht="15.6" hidden="1"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2:26" ht="15.6" hidden="1"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2:26" ht="15.6" hidden="1"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2:26" ht="15.6" hidden="1"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2:26" ht="15.6" hidden="1"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2:26" ht="15.6" hidden="1"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2:26" ht="15.6" hidden="1"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2:26" ht="15.6" hidden="1"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2:26" ht="15.6" hidden="1"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2:26" ht="15.6" hidden="1"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2:26" ht="15.6" hidden="1"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2:26" ht="15.6" hidden="1"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2:26" ht="15.6" hidden="1"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2:26" ht="15.6" hidden="1"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2:26" ht="15.6" hidden="1"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2:26" ht="15.6" hidden="1"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2:26" ht="15.6" hidden="1"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2:26" ht="15.6" hidden="1"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2:26" ht="15.6" hidden="1"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2:26" ht="15.6" hidden="1"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2:26" ht="15.6" hidden="1"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2:26" ht="15.6" hidden="1"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2:26" ht="15.6" hidden="1"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2:26" ht="15.6" hidden="1"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2:26" ht="15.6" hidden="1"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2:26" ht="15.6" hidden="1"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2:26" ht="15.6" hidden="1"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2:26" ht="15.6" hidden="1"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2:26" ht="15.6" hidden="1"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2:26" ht="15.6" hidden="1"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2:26" ht="15.6" hidden="1"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2:26" ht="15.6" hidden="1"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2:26" ht="15.6" hidden="1"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2:26" ht="15.6" hidden="1"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2:26" ht="15.6" hidden="1"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2:26" ht="15.6" hidden="1"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2:26" ht="15.6" hidden="1"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2:26" ht="15.6" hidden="1"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2:26" ht="15.6" hidden="1"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2:26" ht="15.6" hidden="1"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2:26" ht="15.6" hidden="1"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2:26" ht="15.6" hidden="1"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2:26" ht="15.6" hidden="1"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2:26" ht="15.6" hidden="1"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2:26" ht="15.6" hidden="1"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2:26" ht="15.6" hidden="1"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2:26" ht="15.6" hidden="1"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2:26" ht="15.6" hidden="1"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2:26" ht="15.6" hidden="1"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2:26" ht="15.6" hidden="1"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2:26" ht="15.6" hidden="1"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2:26" ht="15.6" hidden="1"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2:26" ht="15.6" hidden="1"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2:26" ht="15.6" hidden="1"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2:26" ht="15.6" hidden="1"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2:26" ht="15.6" hidden="1"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2:26" ht="15.6" hidden="1"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2:26" ht="15.6" hidden="1"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2:26" ht="15.6" hidden="1"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2:26" ht="15.6" hidden="1"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2:26" ht="15.6" hidden="1"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2:26" ht="15.6" hidden="1"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2:26" ht="15.6" hidden="1"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2:26" ht="15.6" hidden="1"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2:26" ht="15.6" hidden="1"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2:26" ht="15.6" hidden="1"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2:26" ht="15.6" hidden="1"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2:26" ht="15.6" hidden="1"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2:26" ht="15.6" hidden="1"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2:26" ht="15.6" hidden="1"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2:26" ht="15.6" hidden="1"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2:26" ht="15.6" hidden="1"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2:26" ht="15.6" hidden="1"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2:26" ht="15.6" hidden="1"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2:26" ht="15.6" hidden="1"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2:26" ht="15.6" hidden="1"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2:26" ht="15.6" hidden="1"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2:26" ht="15.6" hidden="1"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2:26" ht="15.6" hidden="1"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2:26" ht="15.6" hidden="1"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2:26" ht="15.6" hidden="1"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2:26" ht="15.6" hidden="1"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2:26" ht="15.6" hidden="1"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2:26" ht="15.6" hidden="1"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2:26" ht="15.6" hidden="1"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2:26" ht="15.6" hidden="1"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2:26" ht="15.6" hidden="1"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2:26" ht="15.6" hidden="1"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2:26" ht="15.6" hidden="1"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2:26" ht="15.6" hidden="1"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2:26" ht="15.6" hidden="1"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2:26" ht="15.6" hidden="1"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2:26" ht="15.6" hidden="1"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2:26" ht="15.6" hidden="1"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2:26" ht="15.6" hidden="1"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2:26" ht="15.6" hidden="1"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2:26" ht="15.6" hidden="1"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2:26" ht="15.6" hidden="1"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2:26" ht="15.6" hidden="1"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2:26" ht="15.6" hidden="1"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2:26" ht="15.6" hidden="1"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2:26" ht="15.6" hidden="1"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2:26" ht="15.6" hidden="1"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2:26" ht="15.6" hidden="1"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2:26" ht="15.6" hidden="1"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2:26" ht="15.6" hidden="1"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2:26" ht="15.6" hidden="1"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2:26" ht="15.6" hidden="1"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2:26" ht="15.6" hidden="1"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2:26" ht="15.6" hidden="1"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2:26" ht="15.6" hidden="1"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2:26" ht="15.6" hidden="1"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2:26" ht="15.6" hidden="1"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2:26" ht="15.6" hidden="1"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2:26" ht="15.6" hidden="1"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2:26" ht="15.6" hidden="1"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2:26" ht="15.6" hidden="1"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2:26" ht="15.6" hidden="1"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2:26" ht="15.6" hidden="1"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2:26" ht="15.6" hidden="1"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2:26" ht="15.6" hidden="1"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2:26" ht="15.6" hidden="1"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2:26" ht="15.6" hidden="1"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2:26" ht="15.6" hidden="1"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2:26" ht="15.6" hidden="1"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2:26" ht="15.6" hidden="1"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2:26" ht="15.6" hidden="1"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2:26" ht="15.6" hidden="1"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2:26" ht="15.6" hidden="1"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2:26" ht="15.6" hidden="1"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2:26" ht="15.6" hidden="1"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2:26" ht="15.6" hidden="1"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2:26" ht="15.6" hidden="1"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2:26" ht="15.6" hidden="1"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2:26" ht="15.6" hidden="1"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2:26" ht="15.6" hidden="1"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2:26" ht="15.6" hidden="1"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2:26" ht="15.6" hidden="1"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2:26" ht="15.6" hidden="1"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2:26" ht="15.6" hidden="1"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2:26" ht="15.6" hidden="1"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2:26" ht="15.6" hidden="1"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2:26" ht="15.6" hidden="1"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2:26" ht="15.6" hidden="1"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2:26" ht="15.6" hidden="1"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2:26" ht="15.6" hidden="1"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2:26" ht="15.6" hidden="1"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2:26" ht="15.6" hidden="1"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2:26" ht="15.6" hidden="1"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2:26" ht="15.6" hidden="1"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2:26" ht="15.6" hidden="1"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2:26" ht="15.6" hidden="1"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2:26" ht="15.6" hidden="1"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2:26" ht="15.6" hidden="1"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2:26" ht="15.6" hidden="1"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2:26" ht="15.6" hidden="1"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2:26" ht="15.6" hidden="1"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2:26" ht="15.6" hidden="1"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2:26" ht="15.6" hidden="1"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2:26" ht="15.6" hidden="1"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2:26" ht="15.6" hidden="1"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2:26" ht="15.6" hidden="1"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2:26" ht="15.6" hidden="1"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2:26" ht="15.6" hidden="1"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2:26" ht="15.6" hidden="1"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2:26" ht="15.6" hidden="1"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2:26" ht="15.6" hidden="1"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2:26" ht="15.6" hidden="1"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2:26" ht="15.6" hidden="1"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2:26" ht="15.6" hidden="1"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2:26" ht="15.6" hidden="1"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2:26" ht="15.6" hidden="1"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2:26" ht="15.6" hidden="1"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2:26" ht="15.6" hidden="1"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2:26" ht="15.6" hidden="1"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2:26" ht="15.6" hidden="1"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2:26" ht="15.6" hidden="1"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2:26" ht="15.6" hidden="1"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2:26" ht="15.6" hidden="1"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2:26" ht="15.6" hidden="1"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2:26" ht="15.6" hidden="1"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2:26" ht="15.6" hidden="1"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2:26" ht="15.6" hidden="1"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2:26" ht="15.6" hidden="1"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2:26" ht="15.6" hidden="1"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2:26" ht="15.6" hidden="1"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2:26" ht="15.6" hidden="1"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2:26" ht="15.6" hidden="1"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2:26" ht="15.6" hidden="1"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2:26" ht="15.6" hidden="1"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2:26" ht="15.6" hidden="1"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2:26" ht="15.6" hidden="1"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2:26" ht="15.6" hidden="1"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2:26" ht="15.6" hidden="1"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2:26" ht="15.6" hidden="1"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2:26" ht="15.6" hidden="1"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2:26" ht="15.6" hidden="1"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2:26" ht="15.6" hidden="1"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2:26" ht="15.6" hidden="1"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2:26" ht="15.6" hidden="1"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2:26" ht="15.6" hidden="1"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2:26" ht="15.6" hidden="1"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2:26" ht="15.6" hidden="1"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2:26" ht="15.6" hidden="1"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2:26" ht="15.6" hidden="1"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2:26" ht="15.6" hidden="1"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2:26" ht="15.6" hidden="1"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2:26" ht="15.6" hidden="1"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2:26" ht="15.6" hidden="1"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2:26" ht="15.6" hidden="1"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2:26" ht="15.6" hidden="1"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2:26" ht="15.6" hidden="1"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2:26" ht="15.6" hidden="1"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2:26" ht="15.6" hidden="1"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2:26" ht="15.6" hidden="1"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2:26" ht="15.6" hidden="1"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2:26" ht="15.6" hidden="1"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2:26" ht="15.6" hidden="1"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2:26" ht="15.6" hidden="1"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2:26" ht="15.6" hidden="1"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2:26" ht="15.6" hidden="1"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2:26" ht="15.6" hidden="1"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2:26" ht="15.6" hidden="1"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2:26" ht="15.6" hidden="1"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2:26" ht="15.6" hidden="1"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2:26" ht="15.6" hidden="1"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2:26" ht="15.6" hidden="1"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2:26" ht="15.6" hidden="1"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2:26" ht="15.6" hidden="1"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2:26" ht="15.6" hidden="1"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2:26" ht="15.6" hidden="1"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2:26" ht="15.6" hidden="1"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2:26" ht="15.6" hidden="1"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2:26" ht="15.6" hidden="1"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2:26" ht="15.6" hidden="1"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2:26" ht="15.6" hidden="1"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2:26" ht="15.6" hidden="1"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2:26" ht="15.6" hidden="1"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2:26" ht="15.6" hidden="1"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2:26" ht="15.6" hidden="1"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2:26" ht="15.6" hidden="1"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2:26" ht="15.6" hidden="1"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2:26" ht="15.6" hidden="1"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2:26" ht="15.6" hidden="1"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2:26" ht="15.6" hidden="1"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2:26" ht="15.6" hidden="1"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2:26" ht="15.6" hidden="1"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2:26" ht="15.6" hidden="1"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2:26" ht="15.6" hidden="1"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2:26" ht="15.6" hidden="1"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2:26" ht="15.6" hidden="1"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2:26" ht="15.6" hidden="1"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2:26" ht="15.6" hidden="1"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2:26" ht="15.6" hidden="1"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2:26" ht="15.6" hidden="1"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2:26" ht="15.6" hidden="1"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2:26" ht="15.6" hidden="1"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2:26" ht="15.6" hidden="1"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2:26" ht="15.6" hidden="1"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2:26" ht="15.6" hidden="1"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2:26" ht="15.6" hidden="1"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2:26" ht="15.6" hidden="1"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2:26" ht="15.6" hidden="1"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2:26" ht="15.6" hidden="1"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2:26" ht="15.6" hidden="1"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2:26" ht="15.6" hidden="1"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2:26" ht="15.6" hidden="1"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2:26" ht="15.6" hidden="1"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2:26" ht="15.6" hidden="1"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2:26" ht="15.6" hidden="1"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2:26" ht="15.6" hidden="1"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2:26" ht="15.6" hidden="1"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2:26" ht="15.6" hidden="1"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2:26" ht="15.6" hidden="1"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2:26" ht="15.6" hidden="1"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2:26" ht="15.6" hidden="1"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2:26" ht="15.6" hidden="1"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2:26" ht="15.6" hidden="1"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2:26" ht="15.6" hidden="1"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2:26" ht="15.6" hidden="1"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2:26" ht="15.6" hidden="1"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2:26" ht="15.6" hidden="1"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2:26" ht="15.6" hidden="1"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2:26" ht="15.6" hidden="1"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2:26" ht="15.6" hidden="1"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2:26" ht="15.6" hidden="1"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2:26" ht="15.6" hidden="1"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2:26" ht="15.6" hidden="1"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2:26" ht="15.6" hidden="1"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2:26" ht="15.6" hidden="1"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2:26" ht="15.6" hidden="1"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2:26" ht="15.6" hidden="1"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2:26" ht="15.6" hidden="1"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2:26" ht="15.6" hidden="1"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2:26" ht="15.6" hidden="1"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2:26" ht="15.6" hidden="1"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2:26" ht="15.6" hidden="1"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2:26" ht="15.6" hidden="1"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2:26" ht="15.6" hidden="1"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2:26" ht="15.6" hidden="1"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2:26" ht="15.6" hidden="1"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2:26" ht="15.6" hidden="1"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2:26" ht="15.6" hidden="1"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2:26" ht="15.6" hidden="1"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2:26" ht="15.6" hidden="1"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2:26" ht="15.6" hidden="1"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2:26" ht="15.6" hidden="1"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2:26" ht="15.6" hidden="1"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2:26" ht="15.6" hidden="1"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2:26" ht="15.6" hidden="1"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2:26" ht="15.6" hidden="1"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2:26" ht="15.6" hidden="1"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2:26" ht="15.6" hidden="1"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2:26" ht="15.6" hidden="1"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2:26" ht="15.6" hidden="1"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2:26" ht="15.6" hidden="1"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2:26" ht="15.6" hidden="1"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2:26" ht="15.6" hidden="1"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2:26" ht="15.6" hidden="1"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2:26" ht="15.6" hidden="1"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2:26" ht="15.6" hidden="1"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2:26" ht="15.6" hidden="1"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2:26" ht="15.6" hidden="1"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2:26" ht="15.6" hidden="1"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2:26" ht="15.6" hidden="1"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2:26" ht="15.6" hidden="1"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2:26" ht="15.6" hidden="1"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2:26" ht="15.6" hidden="1"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2:26" ht="15.6" hidden="1"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2:26" ht="15.6" hidden="1"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2:26" ht="15.6" hidden="1"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2:26" ht="15.6" hidden="1"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2:26" ht="15.6" hidden="1"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2:26" ht="15.6" hidden="1"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2:26" ht="15.6" hidden="1"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2:26" ht="15.6" hidden="1"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2:26" ht="15.6" hidden="1"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2:26" ht="15.6" hidden="1"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2:26" ht="15.6" hidden="1"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2:26" ht="15.6" hidden="1"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2:26" ht="15.6" hidden="1"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2:26" ht="15.6" hidden="1"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2:26" ht="15.6" hidden="1"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2:26" ht="15.6" hidden="1"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2:26" ht="15.6" hidden="1"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2:26" ht="15.6" hidden="1"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2:26" ht="15.6" hidden="1"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2:26" ht="15.6" hidden="1"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2:26" ht="15.6" hidden="1"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2:26" ht="15.6" hidden="1"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2:26" ht="15.6" hidden="1"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2:26" ht="15.6" hidden="1"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2:26" ht="15.6" hidden="1"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2:26" ht="15.6" hidden="1"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2:26" ht="15.6" hidden="1"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2:26" ht="15.6" hidden="1"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2:26" ht="15.6" hidden="1"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2:26" ht="15.6" hidden="1"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2:26" ht="15.6" hidden="1"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2:26" ht="15.6" hidden="1"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2:26" ht="15.6" hidden="1"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2:26" ht="15.6" hidden="1"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2:26" ht="15.6" hidden="1"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2:26" ht="15.6" hidden="1"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2:26" ht="15.6" hidden="1"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2:26" ht="15.6" hidden="1"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2:26" ht="15.6" hidden="1"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2:26" ht="15.6" hidden="1"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2:26" ht="15.6" hidden="1"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2:26" ht="15.6" hidden="1"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2:26" ht="15.6" hidden="1"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2:26" ht="15.6" hidden="1"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2:26" ht="15.6" hidden="1"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2:26" ht="15.6" hidden="1"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2:26" ht="15.6" hidden="1"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2:26" ht="15.6" hidden="1"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2:26" ht="15.6" hidden="1"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2:26" ht="15.6" hidden="1"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2:26" ht="15.6" hidden="1"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2:26" ht="15.6" hidden="1"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2:26" ht="15.6" hidden="1"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2:26" ht="15.6" hidden="1"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2:26" ht="15.6" hidden="1"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2:26" ht="15.6" hidden="1"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2:26" ht="15.6" hidden="1"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2:26" ht="15.6" hidden="1"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2:26" ht="15.6" hidden="1"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2:26" ht="15.6" hidden="1"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2:26" ht="15.6" hidden="1"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2:26" ht="15.6" hidden="1"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2:26" ht="15.6" hidden="1"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2:26" ht="15.6" hidden="1"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2:26" ht="15.6" hidden="1"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2:26" ht="15.6" hidden="1"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2:26" ht="15.6" hidden="1"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2:26" ht="15.6" hidden="1"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2:26" ht="15.6" hidden="1"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2:26" ht="15.6" hidden="1"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2:26" ht="15.6" hidden="1"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2:26" ht="15.6" hidden="1"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2:26" ht="15.6" hidden="1"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2:26" ht="15.6" hidden="1"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2:26" ht="15.6" hidden="1"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2:26" ht="15.6" hidden="1"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2:26" ht="15.6" hidden="1"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2:26" ht="15.6" hidden="1"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2:26" ht="15.6" hidden="1"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2:26" ht="15.6" hidden="1"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2:26" ht="15.6" hidden="1"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2:26" ht="15.6" hidden="1"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2:26" ht="15.6" hidden="1"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2:26" ht="15.6" hidden="1"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2:26" ht="15.6" hidden="1"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2:26" ht="15.6" hidden="1"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2:26" ht="15.6" hidden="1"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2:26" ht="15.6" hidden="1"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2:26" ht="15.6" hidden="1"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2:26" ht="15.6" hidden="1"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2:26" ht="15.6" hidden="1"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2:26" ht="15.6" hidden="1"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2:26" ht="15.6" hidden="1"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2:26" ht="15.6" hidden="1"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2:26" ht="15.6" hidden="1"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2:26" ht="15.6" hidden="1"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2:26" ht="15.6" hidden="1"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2:26" ht="15.6" hidden="1"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2:26" ht="15.6" hidden="1"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2:26" ht="15.6" hidden="1"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2:26" ht="15.6" hidden="1"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2:26" ht="15.6" hidden="1"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2:26" ht="15.6" hidden="1"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2:26" ht="15.6" hidden="1"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2:26" ht="15.6" hidden="1"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2:26" ht="15.6" hidden="1"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2:26" ht="15.6" hidden="1"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2:26" ht="15.6" hidden="1"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2:26" ht="15.6" hidden="1"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2:26" ht="15.6" hidden="1"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2:26" ht="15.6" hidden="1"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2:26" ht="15.6" hidden="1"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2:26" ht="15.6" hidden="1"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2:26" ht="15.6" hidden="1"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2:26" ht="15.6" hidden="1"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2:26" ht="15.6" hidden="1"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2:26" ht="15.6" hidden="1"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2:26" ht="15.6" hidden="1"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2:26" ht="15.6" hidden="1"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2:26" ht="15.6" hidden="1"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2:26" ht="15.6" hidden="1"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2:26" ht="15.6" hidden="1"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2:26" ht="15.6" hidden="1"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2:26" ht="15.6" hidden="1"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2:26" ht="15.6" hidden="1"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2:26" ht="15.6" hidden="1"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2:26" ht="15.6" hidden="1"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2:26" ht="15.6" hidden="1"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2:26" ht="15.6" hidden="1"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2:26" ht="15.6" hidden="1"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2:26" ht="15.6" hidden="1"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2:26" ht="15.6" hidden="1"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2:26" ht="15.6" hidden="1"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2:26" ht="15.6" hidden="1"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2:26" ht="15.6" hidden="1"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2:26" ht="15.6" hidden="1"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2:26" ht="15.6" hidden="1"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2:26" ht="15.6" hidden="1"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2:26" ht="15.6" hidden="1"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2:26" ht="15.6" hidden="1"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2:26" ht="15.6" hidden="1"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2:26" ht="15.6" hidden="1"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2:26" ht="15.6" hidden="1"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2:26" ht="15.6" hidden="1"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2:26" ht="15.6" hidden="1"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2:26" ht="15.6" hidden="1"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2:26" ht="15.6" hidden="1"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2:26" ht="15.6" hidden="1"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2:26" ht="15.6" hidden="1"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2:26" ht="15.6" hidden="1"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2:26" ht="15.6" hidden="1"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2:26" ht="15.6" hidden="1"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2:26" ht="15.6" hidden="1"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2:26" ht="15.6" hidden="1"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2:26" ht="15.6" hidden="1"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2:26" ht="15.6" hidden="1"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2:26" ht="15.6" hidden="1"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2:26" ht="15.6" hidden="1"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2:26" ht="15.6" hidden="1"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2:26" ht="15.6" hidden="1"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2:26" ht="15.6" hidden="1"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2:26" ht="15.6" hidden="1"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2:26" ht="15.6" hidden="1"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2:26" ht="15.6" hidden="1"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2:26" ht="15.6" hidden="1"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2:26" ht="15.6" hidden="1"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2:26" ht="15.6" hidden="1"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2:26" ht="15.6" hidden="1"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2:26" ht="15.6" hidden="1"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2:26" ht="15.6" hidden="1"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2:26" ht="15.6" hidden="1"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2:26" ht="15.6" hidden="1"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2:26" ht="15.6" hidden="1"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2:26" ht="15.6" hidden="1"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2:26" ht="15.6" hidden="1"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2:26" ht="15.6" hidden="1"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2:26" ht="15.6" hidden="1"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2:26" ht="15.6" hidden="1"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2:26" ht="15.6" hidden="1"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2:26" ht="15.6" hidden="1"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2:26" ht="15.6" hidden="1"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2:26" ht="15.6" hidden="1"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2:26" ht="15.6" hidden="1"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2:26" ht="15.6" hidden="1"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2:26" ht="15.6" hidden="1"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2:26" ht="15.6" hidden="1"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2:26" ht="15.6" hidden="1"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2:26" ht="15.6" hidden="1"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2:26" ht="15.6" hidden="1"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2:26" ht="15.6" hidden="1"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2:26" ht="15.6" hidden="1"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2:26" ht="15.6" hidden="1"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2:26" ht="15.6" hidden="1"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2:26" ht="15.6" hidden="1"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2:26" ht="15.6" hidden="1"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2:26" ht="15.6" hidden="1"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2:26" ht="15.6" hidden="1"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2:26" ht="15.6" hidden="1"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2:26" ht="15.6" hidden="1"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2:26" ht="15.6" hidden="1"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2:26" ht="15.6" hidden="1"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2:26" ht="15.6" hidden="1"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2:26" ht="15.6" hidden="1"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2:26" ht="15.6" hidden="1"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2:26" ht="15.6" hidden="1"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2:26" ht="15.6" hidden="1"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2:26" ht="15.6" hidden="1"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2:26" ht="15.6" hidden="1"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2:26" ht="15.6" hidden="1"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2:26" ht="15.6" hidden="1"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2:26" ht="15.6" hidden="1"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2:26" ht="15.6" hidden="1"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2:26" ht="15.6" hidden="1"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2:26" ht="15.6" hidden="1"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2:26" ht="15.6" hidden="1"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2:26" ht="15.6" hidden="1"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2:26" ht="15.6" hidden="1"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2:26" ht="15.6" hidden="1"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2:26" ht="15.6" hidden="1"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2:26" ht="15.6" hidden="1"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2:26" ht="15.6" hidden="1"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2:26" ht="15.6" hidden="1"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2:26" ht="15.6" hidden="1"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2:26" ht="15.6" hidden="1"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2:26" ht="15.6" hidden="1"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2:26" ht="15.6" hidden="1"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2:26" ht="15.6" hidden="1"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2:26" ht="15.6" hidden="1"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2:26" ht="15.6" hidden="1"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2:26" ht="15.6" hidden="1"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2:26" ht="15.6" hidden="1"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2:26" ht="15.6" hidden="1"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2:26" ht="15.6" hidden="1"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2:26" ht="15.6" hidden="1"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2:26" ht="15.6" hidden="1"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2:26" ht="15.6" hidden="1"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2:26" ht="15.6" hidden="1"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2:26" ht="15.6" hidden="1"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2:26" ht="15.6" hidden="1"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2:26" ht="15.6" hidden="1"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2:26" ht="15.6" hidden="1"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2:26" ht="15.6" hidden="1"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2:26" ht="15.6" hidden="1"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2:26" ht="15.6" hidden="1"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2:26" ht="15.6" hidden="1"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2:26" ht="15.6" hidden="1"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2:26" ht="15.6" hidden="1"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2:26" ht="15.6" hidden="1"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2:26" ht="15.6" hidden="1"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2:26" ht="15.6" hidden="1"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2:26" ht="15.6" hidden="1"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2:26" ht="15.6" hidden="1"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2:26" ht="15.6" hidden="1"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2:26" ht="15.6" hidden="1"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2:26" ht="15.6" hidden="1"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2:26" ht="15.6" hidden="1"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2:26" ht="15.6" hidden="1"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2:26" ht="15.6" hidden="1"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2:26" ht="15.6" hidden="1"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2:26" ht="15.6" hidden="1"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2:26" ht="15.6" hidden="1"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2:26" ht="15.6" hidden="1"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2:26" ht="15.6" hidden="1"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2:26" ht="15.6" hidden="1"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2:26" ht="15.6" hidden="1"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2:26" ht="15.6" hidden="1"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2:26" ht="15.6" hidden="1"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2:26" ht="15.6" hidden="1"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2:26" ht="15.6" hidden="1"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2:26" ht="15.6" hidden="1"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2:26" ht="15.6" hidden="1"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2:26" ht="15.6" hidden="1"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2:26" ht="15.6" hidden="1"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2:26" ht="15.6" hidden="1"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2:26" ht="15.6" hidden="1"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2:26" ht="15.6" hidden="1"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2:26" ht="15.6" hidden="1"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2:26" ht="15.6" hidden="1"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2:26" ht="15.6" hidden="1"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2:26" ht="15.6" hidden="1"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2:26" ht="15.6" hidden="1"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2:26" ht="15.6" hidden="1"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2:26" ht="15.6" hidden="1"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2:26" ht="15.6" hidden="1"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2:26" ht="15.6" hidden="1"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2:26" ht="15.6" hidden="1"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2:26" ht="15.6" hidden="1"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2:26" ht="15.6" hidden="1"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2:26" ht="15.6" hidden="1"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2:26" ht="15.6" hidden="1"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2:26" ht="15.6" hidden="1"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2:26" ht="15.6" hidden="1"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2:26" ht="15.6" hidden="1"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2:26" ht="15.6" hidden="1"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2:26" ht="15.6" hidden="1"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2:26" ht="15.6" hidden="1"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2:26" ht="15.6" hidden="1"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2:26" ht="15.6" hidden="1"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2:26" ht="15.6" hidden="1"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2:26" ht="15.6" hidden="1"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2:26" ht="15.6" hidden="1"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2:26" ht="15.6" hidden="1"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2:26" ht="15.6" hidden="1"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2:26" ht="15.6" hidden="1"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2:26" ht="15.6" hidden="1"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2:26" ht="15.6" hidden="1"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2:26" ht="15.6" hidden="1"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2:26" ht="15.6" hidden="1"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2:26" ht="15.6" hidden="1"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2:26" ht="15.6" hidden="1"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2:26" ht="15.6" hidden="1"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2:26" ht="15.6" hidden="1"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2:26" ht="15.6" hidden="1"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2:26" ht="15.6" hidden="1"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2:26" ht="15.6" hidden="1"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2:26" ht="15.6" hidden="1"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2:26" ht="15.6" hidden="1"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2:26" ht="15.6" hidden="1"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2:26" ht="15.6" hidden="1"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2:26" ht="15.6" hidden="1"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2:26" ht="15.6" hidden="1"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2:26" ht="15.6" hidden="1"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2:26" ht="15.6" hidden="1"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2:26" ht="15.6" hidden="1"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2:26" ht="15.6" hidden="1"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2:26" ht="15.6" hidden="1"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교육과정편제표(반도체융합과)</vt:lpstr>
      <vt:lpstr>실무과목 능력단위(반도체융합과)</vt:lpstr>
      <vt:lpstr>삭제금지</vt:lpstr>
      <vt:lpstr>(참고1) 편성 기준🔐</vt:lpstr>
      <vt:lpstr>'교육과정편제표(반도체융합과)'!Print_Area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공용계정</cp:lastModifiedBy>
  <cp:lastPrinted>2021-10-27T23:58:37Z</cp:lastPrinted>
  <dcterms:created xsi:type="dcterms:W3CDTF">2020-03-04T02:26:59Z</dcterms:created>
  <dcterms:modified xsi:type="dcterms:W3CDTF">2026-10-06T06:32:34Z</dcterms:modified>
</cp:coreProperties>
</file>