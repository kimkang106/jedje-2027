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★부여전자고\2026\업무\2026\1. 교육과정\편제\엑셀파일\"/>
    </mc:Choice>
  </mc:AlternateContent>
  <xr:revisionPtr revIDLastSave="0" documentId="13_ncr:1_{0D1B47A2-A092-4AE7-9526-204313C1D7B4}" xr6:coauthVersionLast="47" xr6:coauthVersionMax="47" xr10:uidLastSave="{00000000-0000-0000-0000-000000000000}"/>
  <bookViews>
    <workbookView xWindow="28680" yWindow="-120" windowWidth="29040" windowHeight="15720" xr2:uid="{7B062AAC-0FC3-4028-BC47-6EDE1279F9C2}"/>
  </bookViews>
  <sheets>
    <sheet name="2027입학(전자)" sheetId="2" r:id="rId1"/>
    <sheet name="2027입학(전자)_실무과목능력단위" sheetId="3" r:id="rId2"/>
    <sheet name="2027입학(전기)" sheetId="4" r:id="rId3"/>
    <sheet name="2027입학(전기)_실무과목능력단위" sheetId="5" r:id="rId4"/>
  </sheets>
  <definedNames>
    <definedName name="_xlnm._FilterDatabase" localSheetId="2" hidden="1">'2027입학(전기)'!$M$3:$P$4</definedName>
    <definedName name="_xlnm._FilterDatabase" localSheetId="3" hidden="1">'2027입학(전기)_실무과목능력단위'!#REF!</definedName>
    <definedName name="_xlnm._FilterDatabase" localSheetId="0" hidden="1">'2027입학(전자)'!$M$3:$P$4</definedName>
    <definedName name="_xlnm._FilterDatabase" localSheetId="1" hidden="1">'2027입학(전자)_실무과목능력단위'!#REF!</definedName>
    <definedName name="_xlnm.Print_Area" localSheetId="2">'2027입학(전기)'!$A$1:$AF$68</definedName>
    <definedName name="_xlnm.Print_Area" localSheetId="0">'2027입학(전자)'!$A$1:$AF$68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0" i="4" l="1"/>
  <c r="G9" i="5" l="1"/>
  <c r="S9" i="5" s="1"/>
  <c r="S16" i="5" s="1"/>
  <c r="I9" i="5"/>
  <c r="M9" i="5"/>
  <c r="R9" i="5"/>
  <c r="G10" i="5"/>
  <c r="S10" i="5" s="1"/>
  <c r="I10" i="5"/>
  <c r="K10" i="5"/>
  <c r="K16" i="5" s="1"/>
  <c r="R10" i="5"/>
  <c r="K11" i="5"/>
  <c r="R11" i="5"/>
  <c r="S11" i="5"/>
  <c r="K12" i="5"/>
  <c r="R12" i="5"/>
  <c r="R16" i="5" s="1"/>
  <c r="S12" i="5"/>
  <c r="M13" i="5"/>
  <c r="S13" i="5" s="1"/>
  <c r="R13" i="5"/>
  <c r="K14" i="5"/>
  <c r="R14" i="5"/>
  <c r="S14" i="5"/>
  <c r="K15" i="5"/>
  <c r="S15" i="5" s="1"/>
  <c r="R15" i="5"/>
  <c r="F16" i="5"/>
  <c r="G16" i="5"/>
  <c r="H16" i="5"/>
  <c r="I16" i="5"/>
  <c r="J16" i="5"/>
  <c r="L16" i="5"/>
  <c r="M16" i="5"/>
  <c r="N16" i="5"/>
  <c r="O16" i="5"/>
  <c r="P16" i="5"/>
  <c r="Q16" i="5"/>
  <c r="M17" i="5"/>
  <c r="S17" i="5" s="1"/>
  <c r="S20" i="5" s="1"/>
  <c r="R17" i="5"/>
  <c r="R20" i="5" s="1"/>
  <c r="M18" i="5"/>
  <c r="R18" i="5"/>
  <c r="S18" i="5"/>
  <c r="M19" i="5"/>
  <c r="R19" i="5"/>
  <c r="S19" i="5"/>
  <c r="L20" i="5"/>
  <c r="G21" i="5"/>
  <c r="I21" i="5"/>
  <c r="R21" i="5"/>
  <c r="R25" i="5" s="1"/>
  <c r="S21" i="5"/>
  <c r="G22" i="5"/>
  <c r="S22" i="5" s="1"/>
  <c r="I22" i="5"/>
  <c r="R22" i="5"/>
  <c r="R23" i="5"/>
  <c r="S23" i="5"/>
  <c r="R24" i="5"/>
  <c r="S24" i="5"/>
  <c r="F25" i="5"/>
  <c r="G25" i="5"/>
  <c r="H25" i="5"/>
  <c r="I25" i="5"/>
  <c r="J25" i="5"/>
  <c r="K25" i="5"/>
  <c r="L25" i="5"/>
  <c r="M25" i="5"/>
  <c r="N25" i="5"/>
  <c r="O25" i="5"/>
  <c r="P25" i="5"/>
  <c r="Q25" i="5"/>
  <c r="R26" i="5"/>
  <c r="R28" i="5" s="1"/>
  <c r="S26" i="5"/>
  <c r="S28" i="5" s="1"/>
  <c r="R27" i="5"/>
  <c r="S27" i="5"/>
  <c r="L28" i="5"/>
  <c r="M28" i="5"/>
  <c r="O29" i="5"/>
  <c r="S29" i="5" s="1"/>
  <c r="R29" i="5"/>
  <c r="R34" i="5" s="1"/>
  <c r="O30" i="5"/>
  <c r="S30" i="5" s="1"/>
  <c r="R30" i="5"/>
  <c r="Q31" i="5"/>
  <c r="R31" i="5"/>
  <c r="S31" i="5"/>
  <c r="Q32" i="5"/>
  <c r="Q34" i="5" s="1"/>
  <c r="R32" i="5"/>
  <c r="Q33" i="5"/>
  <c r="R33" i="5"/>
  <c r="S33" i="5"/>
  <c r="N34" i="5"/>
  <c r="O34" i="5"/>
  <c r="P34" i="5"/>
  <c r="O35" i="5"/>
  <c r="R35" i="5"/>
  <c r="S35" i="5"/>
  <c r="O36" i="5"/>
  <c r="S36" i="5" s="1"/>
  <c r="S39" i="5" s="1"/>
  <c r="R36" i="5"/>
  <c r="R39" i="5" s="1"/>
  <c r="Q37" i="5"/>
  <c r="R37" i="5"/>
  <c r="S37" i="5"/>
  <c r="Q38" i="5"/>
  <c r="R38" i="5"/>
  <c r="S38" i="5"/>
  <c r="L39" i="5"/>
  <c r="M39" i="5"/>
  <c r="N39" i="5"/>
  <c r="P39" i="5"/>
  <c r="Q39" i="5"/>
  <c r="O40" i="5"/>
  <c r="S40" i="5" s="1"/>
  <c r="R40" i="5"/>
  <c r="R45" i="5" s="1"/>
  <c r="O41" i="5"/>
  <c r="R41" i="5"/>
  <c r="S41" i="5"/>
  <c r="Q42" i="5"/>
  <c r="Q45" i="5" s="1"/>
  <c r="R42" i="5"/>
  <c r="S42" i="5"/>
  <c r="Q43" i="5"/>
  <c r="S43" i="5" s="1"/>
  <c r="R43" i="5"/>
  <c r="Q44" i="5"/>
  <c r="R44" i="5"/>
  <c r="S44" i="5"/>
  <c r="L45" i="5"/>
  <c r="M45" i="5"/>
  <c r="N45" i="5"/>
  <c r="P45" i="5"/>
  <c r="O46" i="5"/>
  <c r="S46" i="5" s="1"/>
  <c r="R46" i="5"/>
  <c r="R50" i="5" s="1"/>
  <c r="O47" i="5"/>
  <c r="R47" i="5"/>
  <c r="S47" i="5"/>
  <c r="Q48" i="5"/>
  <c r="R48" i="5"/>
  <c r="S48" i="5"/>
  <c r="Q49" i="5"/>
  <c r="S49" i="5" s="1"/>
  <c r="R49" i="5"/>
  <c r="N50" i="5"/>
  <c r="P50" i="5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J29" i="4"/>
  <c r="W29" i="4"/>
  <c r="J30" i="4"/>
  <c r="W30" i="4"/>
  <c r="W31" i="4"/>
  <c r="W32" i="4"/>
  <c r="W33" i="4"/>
  <c r="W34" i="4"/>
  <c r="W38" i="4"/>
  <c r="H42" i="4"/>
  <c r="K42" i="4"/>
  <c r="K60" i="4" s="1"/>
  <c r="M42" i="4"/>
  <c r="O42" i="4"/>
  <c r="Q42" i="4"/>
  <c r="S42" i="4"/>
  <c r="U42" i="4"/>
  <c r="Y42" i="4"/>
  <c r="W43" i="4"/>
  <c r="W45" i="4"/>
  <c r="W46" i="4"/>
  <c r="W47" i="4"/>
  <c r="W48" i="4"/>
  <c r="W49" i="4"/>
  <c r="W54" i="4"/>
  <c r="H58" i="4"/>
  <c r="H60" i="4" s="1"/>
  <c r="I58" i="4"/>
  <c r="I60" i="4" s="1"/>
  <c r="J58" i="4"/>
  <c r="K58" i="4"/>
  <c r="M58" i="4"/>
  <c r="O58" i="4"/>
  <c r="Q58" i="4"/>
  <c r="S58" i="4"/>
  <c r="S60" i="4" s="1"/>
  <c r="U58" i="4"/>
  <c r="U60" i="4" s="1"/>
  <c r="Y58" i="4"/>
  <c r="O60" i="4"/>
  <c r="W61" i="4"/>
  <c r="Y61" i="4"/>
  <c r="W64" i="4"/>
  <c r="AB65" i="4" s="1"/>
  <c r="W65" i="4"/>
  <c r="Y65" i="4" s="1"/>
  <c r="AB67" i="4" s="1"/>
  <c r="K66" i="4"/>
  <c r="O66" i="4"/>
  <c r="S66" i="4"/>
  <c r="G9" i="3"/>
  <c r="I9" i="3"/>
  <c r="S9" i="3" s="1"/>
  <c r="M9" i="3"/>
  <c r="M16" i="3" s="1"/>
  <c r="R9" i="3"/>
  <c r="R16" i="3" s="1"/>
  <c r="G10" i="3"/>
  <c r="I10" i="3"/>
  <c r="S10" i="3" s="1"/>
  <c r="K10" i="3"/>
  <c r="K16" i="3" s="1"/>
  <c r="R10" i="3"/>
  <c r="K11" i="3"/>
  <c r="R11" i="3"/>
  <c r="S11" i="3"/>
  <c r="K12" i="3"/>
  <c r="R12" i="3"/>
  <c r="S12" i="3"/>
  <c r="M13" i="3"/>
  <c r="R13" i="3"/>
  <c r="S13" i="3"/>
  <c r="K14" i="3"/>
  <c r="S14" i="3" s="1"/>
  <c r="R14" i="3"/>
  <c r="K15" i="3"/>
  <c r="S15" i="3" s="1"/>
  <c r="R15" i="3"/>
  <c r="F16" i="3"/>
  <c r="G16" i="3"/>
  <c r="H16" i="3"/>
  <c r="I16" i="3"/>
  <c r="J16" i="3"/>
  <c r="L16" i="3"/>
  <c r="N16" i="3"/>
  <c r="O16" i="3"/>
  <c r="P16" i="3"/>
  <c r="Q16" i="3"/>
  <c r="M17" i="3"/>
  <c r="S17" i="3" s="1"/>
  <c r="S20" i="3" s="1"/>
  <c r="R17" i="3"/>
  <c r="M18" i="3"/>
  <c r="R18" i="3"/>
  <c r="R20" i="3" s="1"/>
  <c r="S18" i="3"/>
  <c r="M19" i="3"/>
  <c r="R19" i="3"/>
  <c r="S19" i="3"/>
  <c r="L20" i="3"/>
  <c r="G21" i="3"/>
  <c r="I21" i="3"/>
  <c r="R21" i="3"/>
  <c r="R25" i="3" s="1"/>
  <c r="S21" i="3"/>
  <c r="S25" i="3" s="1"/>
  <c r="G22" i="3"/>
  <c r="I22" i="3"/>
  <c r="R22" i="3"/>
  <c r="S22" i="3"/>
  <c r="R23" i="3"/>
  <c r="S23" i="3"/>
  <c r="R24" i="3"/>
  <c r="S24" i="3"/>
  <c r="F25" i="3"/>
  <c r="G25" i="3"/>
  <c r="H25" i="3"/>
  <c r="I25" i="3"/>
  <c r="J25" i="3"/>
  <c r="K25" i="3"/>
  <c r="L25" i="3"/>
  <c r="M25" i="3"/>
  <c r="N25" i="3"/>
  <c r="O25" i="3"/>
  <c r="P25" i="3"/>
  <c r="Q25" i="3"/>
  <c r="R26" i="3"/>
  <c r="R28" i="3" s="1"/>
  <c r="S26" i="3"/>
  <c r="S28" i="3" s="1"/>
  <c r="R27" i="3"/>
  <c r="S27" i="3"/>
  <c r="L28" i="3"/>
  <c r="M28" i="3"/>
  <c r="O29" i="3"/>
  <c r="S29" i="3" s="1"/>
  <c r="R29" i="3"/>
  <c r="O30" i="3"/>
  <c r="O34" i="3" s="1"/>
  <c r="R30" i="3"/>
  <c r="S30" i="3"/>
  <c r="Q31" i="3"/>
  <c r="R31" i="3"/>
  <c r="S31" i="3"/>
  <c r="Q32" i="3"/>
  <c r="S32" i="3" s="1"/>
  <c r="R32" i="3"/>
  <c r="Q33" i="3"/>
  <c r="R33" i="3"/>
  <c r="S33" i="3"/>
  <c r="N34" i="3"/>
  <c r="P34" i="3"/>
  <c r="O35" i="3"/>
  <c r="O39" i="3" s="1"/>
  <c r="R35" i="3"/>
  <c r="O36" i="3"/>
  <c r="S36" i="3" s="1"/>
  <c r="R36" i="3"/>
  <c r="R39" i="3" s="1"/>
  <c r="Q37" i="3"/>
  <c r="R37" i="3"/>
  <c r="S37" i="3"/>
  <c r="Q38" i="3"/>
  <c r="R38" i="3"/>
  <c r="S38" i="3"/>
  <c r="L39" i="3"/>
  <c r="M39" i="3"/>
  <c r="N39" i="3"/>
  <c r="P39" i="3"/>
  <c r="O40" i="3"/>
  <c r="S40" i="3" s="1"/>
  <c r="R40" i="3"/>
  <c r="R45" i="3" s="1"/>
  <c r="O41" i="3"/>
  <c r="R41" i="3"/>
  <c r="S41" i="3"/>
  <c r="Q42" i="3"/>
  <c r="Q45" i="3" s="1"/>
  <c r="R42" i="3"/>
  <c r="S42" i="3"/>
  <c r="Q43" i="3"/>
  <c r="S43" i="3" s="1"/>
  <c r="R43" i="3"/>
  <c r="Q44" i="3"/>
  <c r="R44" i="3"/>
  <c r="S44" i="3"/>
  <c r="L45" i="3"/>
  <c r="M45" i="3"/>
  <c r="N45" i="3"/>
  <c r="P45" i="3"/>
  <c r="O46" i="3"/>
  <c r="R46" i="3"/>
  <c r="R50" i="3" s="1"/>
  <c r="S46" i="3"/>
  <c r="O47" i="3"/>
  <c r="R47" i="3"/>
  <c r="S47" i="3"/>
  <c r="Q48" i="3"/>
  <c r="Q50" i="3" s="1"/>
  <c r="R48" i="3"/>
  <c r="Q49" i="3"/>
  <c r="S49" i="3" s="1"/>
  <c r="R49" i="3"/>
  <c r="N50" i="3"/>
  <c r="O50" i="3"/>
  <c r="P50" i="3"/>
  <c r="W9" i="2"/>
  <c r="W10" i="2"/>
  <c r="X9" i="2" s="1"/>
  <c r="W11" i="2"/>
  <c r="W12" i="2"/>
  <c r="W13" i="2"/>
  <c r="W14" i="2"/>
  <c r="W15" i="2"/>
  <c r="W16" i="2"/>
  <c r="W17" i="2"/>
  <c r="W18" i="2"/>
  <c r="W19" i="2"/>
  <c r="W20" i="2"/>
  <c r="W21" i="2"/>
  <c r="W22" i="2"/>
  <c r="X21" i="2" s="1"/>
  <c r="W23" i="2"/>
  <c r="X23" i="2" s="1"/>
  <c r="W24" i="2"/>
  <c r="W25" i="2"/>
  <c r="W26" i="2"/>
  <c r="W27" i="2"/>
  <c r="W28" i="2"/>
  <c r="J29" i="2"/>
  <c r="J42" i="2" s="1"/>
  <c r="W29" i="2"/>
  <c r="J30" i="2"/>
  <c r="W30" i="2"/>
  <c r="W31" i="2"/>
  <c r="W32" i="2"/>
  <c r="W33" i="2"/>
  <c r="W34" i="2"/>
  <c r="W38" i="2"/>
  <c r="H42" i="2"/>
  <c r="K42" i="2"/>
  <c r="K60" i="2" s="1"/>
  <c r="M42" i="2"/>
  <c r="O42" i="2"/>
  <c r="Q42" i="2"/>
  <c r="Q60" i="2" s="1"/>
  <c r="S42" i="2"/>
  <c r="S60" i="2" s="1"/>
  <c r="U42" i="2"/>
  <c r="Y42" i="2"/>
  <c r="W43" i="2"/>
  <c r="W45" i="2"/>
  <c r="W46" i="2"/>
  <c r="W47" i="2"/>
  <c r="W48" i="2"/>
  <c r="W49" i="2"/>
  <c r="W50" i="2"/>
  <c r="W54" i="2"/>
  <c r="H58" i="2"/>
  <c r="I58" i="2"/>
  <c r="I60" i="2" s="1"/>
  <c r="J58" i="2"/>
  <c r="K58" i="2"/>
  <c r="W58" i="2" s="1"/>
  <c r="M58" i="2"/>
  <c r="O58" i="2"/>
  <c r="Q58" i="2"/>
  <c r="S58" i="2"/>
  <c r="U58" i="2"/>
  <c r="U60" i="2" s="1"/>
  <c r="Y58" i="2"/>
  <c r="Y60" i="2" s="1"/>
  <c r="W61" i="2"/>
  <c r="Y61" i="2"/>
  <c r="W64" i="2"/>
  <c r="AB65" i="2" s="1"/>
  <c r="W65" i="2"/>
  <c r="Y65" i="2" s="1"/>
  <c r="K66" i="2"/>
  <c r="O66" i="2"/>
  <c r="W66" i="2" s="1"/>
  <c r="S66" i="2"/>
  <c r="H60" i="2" l="1"/>
  <c r="X13" i="2"/>
  <c r="AB67" i="2"/>
  <c r="X25" i="2"/>
  <c r="O60" i="2"/>
  <c r="X29" i="2"/>
  <c r="X17" i="2"/>
  <c r="W42" i="2"/>
  <c r="AB42" i="2" s="1"/>
  <c r="J42" i="4"/>
  <c r="J60" i="4" s="1"/>
  <c r="X13" i="4"/>
  <c r="W66" i="4"/>
  <c r="X23" i="4"/>
  <c r="W58" i="4"/>
  <c r="Y60" i="4"/>
  <c r="Q60" i="4"/>
  <c r="X29" i="4"/>
  <c r="X25" i="4"/>
  <c r="X17" i="4"/>
  <c r="X9" i="4"/>
  <c r="X21" i="4"/>
  <c r="W42" i="4"/>
  <c r="AB42" i="4" s="1"/>
  <c r="Q34" i="3"/>
  <c r="R34" i="3"/>
  <c r="J60" i="2"/>
  <c r="S45" i="5"/>
  <c r="S50" i="5"/>
  <c r="S25" i="5"/>
  <c r="Q50" i="5"/>
  <c r="O50" i="5"/>
  <c r="O39" i="5"/>
  <c r="O45" i="5"/>
  <c r="S32" i="5"/>
  <c r="S34" i="5" s="1"/>
  <c r="M20" i="5"/>
  <c r="M60" i="4"/>
  <c r="S16" i="3"/>
  <c r="S34" i="3"/>
  <c r="S45" i="3"/>
  <c r="S48" i="3"/>
  <c r="S50" i="3" s="1"/>
  <c r="S35" i="3"/>
  <c r="S39" i="3" s="1"/>
  <c r="M20" i="3"/>
  <c r="O45" i="3"/>
  <c r="M60" i="2"/>
  <c r="W60" i="2" l="1"/>
  <c r="AB62" i="2" s="1"/>
  <c r="W60" i="4"/>
  <c r="AB6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3" authorId="0" shapeId="0" xr:uid="{A2FCE553-03CC-4F06-AABE-43ED21683D88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3" authorId="0" shapeId="0" xr:uid="{A3499DB4-75E0-4A7A-A70F-F8E3B4237AF5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<sst xmlns="http://schemas.openxmlformats.org/spreadsheetml/2006/main" count="714" uniqueCount="278">
  <si>
    <t>최소학점수</t>
    <phoneticPr fontId="5" type="noConversion"/>
  </si>
  <si>
    <t>창체최소학점</t>
  </si>
  <si>
    <t>학기별 이수학점</t>
    <phoneticPr fontId="5" type="noConversion"/>
  </si>
  <si>
    <t>진로활동</t>
    <phoneticPr fontId="5" type="noConversion"/>
  </si>
  <si>
    <t>동아리활동</t>
    <phoneticPr fontId="5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</si>
  <si>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5" type="noConversion"/>
  </si>
  <si>
    <t>창의적체험활동</t>
    <phoneticPr fontId="5" type="noConversion"/>
  </si>
  <si>
    <t>교과최소학점</t>
  </si>
  <si>
    <t>총이수 합계</t>
    <phoneticPr fontId="5" type="noConversion"/>
  </si>
  <si>
    <t>전공실무</t>
    <phoneticPr fontId="5" type="noConversion"/>
  </si>
  <si>
    <t>전기·전자</t>
  </si>
  <si>
    <t>세부전공2</t>
    <phoneticPr fontId="5" type="noConversion"/>
  </si>
  <si>
    <t>세부전공1</t>
    <phoneticPr fontId="5" type="noConversion"/>
  </si>
  <si>
    <t>세부   전공   선택
(택1)</t>
    <phoneticPr fontId="5" type="noConversion"/>
  </si>
  <si>
    <t>기계</t>
    <phoneticPr fontId="5" type="noConversion"/>
  </si>
  <si>
    <t>심화코스2</t>
    <phoneticPr fontId="5" type="noConversion"/>
  </si>
  <si>
    <t>외선공사</t>
    <phoneticPr fontId="5" type="noConversion"/>
  </si>
  <si>
    <t>전기·전자</t>
    <phoneticPr fontId="5" type="noConversion"/>
  </si>
  <si>
    <t>내선공사</t>
    <phoneticPr fontId="5" type="noConversion"/>
  </si>
  <si>
    <t>심화코스1</t>
    <phoneticPr fontId="5" type="noConversion"/>
  </si>
  <si>
    <t>전공
선택
(택1)</t>
    <phoneticPr fontId="5" type="noConversion"/>
  </si>
  <si>
    <t>전공일반</t>
    <phoneticPr fontId="5" type="noConversion"/>
  </si>
  <si>
    <t>노동 인권과 산업 안전 보건</t>
    <phoneticPr fontId="5" type="noConversion"/>
  </si>
  <si>
    <t>전문공통</t>
    <phoneticPr fontId="5" type="noConversion"/>
  </si>
  <si>
    <t>전문</t>
    <phoneticPr fontId="5" type="noConversion"/>
  </si>
  <si>
    <t>합계</t>
    <phoneticPr fontId="5" type="noConversion"/>
  </si>
  <si>
    <t>정보</t>
    <phoneticPr fontId="5" type="noConversion"/>
  </si>
  <si>
    <t>2~4</t>
    <phoneticPr fontId="5" type="noConversion"/>
  </si>
  <si>
    <t>프로그래밍</t>
    <phoneticPr fontId="5" type="noConversion"/>
  </si>
  <si>
    <t>일반선택</t>
    <phoneticPr fontId="5" type="noConversion"/>
  </si>
  <si>
    <t>기술가정</t>
    <phoneticPr fontId="5" type="noConversion"/>
  </si>
  <si>
    <t>3~5</t>
    <phoneticPr fontId="5" type="noConversion"/>
  </si>
  <si>
    <t>디지털 논리회로</t>
    <phoneticPr fontId="5" type="noConversion"/>
  </si>
  <si>
    <t>생애 설계와 자립</t>
    <phoneticPr fontId="5" type="noConversion"/>
  </si>
  <si>
    <t>융합선택</t>
    <phoneticPr fontId="5" type="noConversion"/>
  </si>
  <si>
    <t>교양</t>
    <phoneticPr fontId="5" type="noConversion"/>
  </si>
  <si>
    <t>보건</t>
    <phoneticPr fontId="5" type="noConversion"/>
  </si>
  <si>
    <t>기술·가정/정보/제2외국어/한문/교양</t>
    <phoneticPr fontId="5" type="noConversion"/>
  </si>
  <si>
    <t>음악과 미디어</t>
    <phoneticPr fontId="5" type="noConversion"/>
  </si>
  <si>
    <t>음악 연주와 창작</t>
    <phoneticPr fontId="5" type="noConversion"/>
  </si>
  <si>
    <t>진로선택</t>
    <phoneticPr fontId="5" type="noConversion"/>
  </si>
  <si>
    <t>음악 감상과 비평</t>
    <phoneticPr fontId="5" type="noConversion"/>
  </si>
  <si>
    <t>음악</t>
    <phoneticPr fontId="5" type="noConversion"/>
  </si>
  <si>
    <t>예술</t>
    <phoneticPr fontId="5" type="noConversion"/>
  </si>
  <si>
    <t>1~2</t>
    <phoneticPr fontId="5" type="noConversion"/>
  </si>
  <si>
    <t>스포츠 생활2</t>
    <phoneticPr fontId="5" type="noConversion"/>
  </si>
  <si>
    <t>스포츠 생활1</t>
    <phoneticPr fontId="5" type="noConversion"/>
  </si>
  <si>
    <t>체육2</t>
    <phoneticPr fontId="5" type="noConversion"/>
  </si>
  <si>
    <t>체육1</t>
    <phoneticPr fontId="5" type="noConversion"/>
  </si>
  <si>
    <t>체육</t>
    <phoneticPr fontId="5" type="noConversion"/>
  </si>
  <si>
    <t>과학의 역사와 문화</t>
    <phoneticPr fontId="5" type="noConversion"/>
  </si>
  <si>
    <t>물리학</t>
    <phoneticPr fontId="5" type="noConversion"/>
  </si>
  <si>
    <t>3~4</t>
    <phoneticPr fontId="5" type="noConversion"/>
  </si>
  <si>
    <t>통합과학2</t>
    <phoneticPr fontId="5" type="noConversion"/>
  </si>
  <si>
    <t>공통</t>
    <phoneticPr fontId="5" type="noConversion"/>
  </si>
  <si>
    <t>통합과학1</t>
    <phoneticPr fontId="5" type="noConversion"/>
  </si>
  <si>
    <t>과학</t>
    <phoneticPr fontId="5" type="noConversion"/>
  </si>
  <si>
    <t>통합사회2</t>
    <phoneticPr fontId="5" type="noConversion"/>
  </si>
  <si>
    <t>통합사회1</t>
    <phoneticPr fontId="5" type="noConversion"/>
  </si>
  <si>
    <t>3~</t>
    <phoneticPr fontId="5" type="noConversion"/>
  </si>
  <si>
    <t>한국사2</t>
    <phoneticPr fontId="5" type="noConversion"/>
  </si>
  <si>
    <t>한국사1</t>
    <phoneticPr fontId="5" type="noConversion"/>
  </si>
  <si>
    <t>사회(역사/도덕 포함)</t>
    <phoneticPr fontId="5" type="noConversion"/>
  </si>
  <si>
    <t>영미 문학 읽기</t>
    <phoneticPr fontId="5" type="noConversion"/>
  </si>
  <si>
    <t>직무 영어</t>
    <phoneticPr fontId="5" type="noConversion"/>
  </si>
  <si>
    <t>공통영어2</t>
    <phoneticPr fontId="5" type="noConversion"/>
  </si>
  <si>
    <t>공통영어1</t>
    <phoneticPr fontId="5" type="noConversion"/>
  </si>
  <si>
    <t>영어</t>
    <phoneticPr fontId="5" type="noConversion"/>
  </si>
  <si>
    <t>경제 수학</t>
    <phoneticPr fontId="5" type="noConversion"/>
  </si>
  <si>
    <t>학교장</t>
    <phoneticPr fontId="5" type="noConversion"/>
  </si>
  <si>
    <t>전문교과</t>
    <phoneticPr fontId="5" type="noConversion"/>
  </si>
  <si>
    <t>직무 수학</t>
    <phoneticPr fontId="5" type="noConversion"/>
  </si>
  <si>
    <t>±1</t>
    <phoneticPr fontId="5" type="noConversion"/>
  </si>
  <si>
    <t>체육, 예술, 교양 교과군</t>
    <phoneticPr fontId="5" type="noConversion"/>
  </si>
  <si>
    <t>공통수학2</t>
    <phoneticPr fontId="5" type="noConversion"/>
  </si>
  <si>
    <t>선택과목</t>
    <phoneticPr fontId="5" type="noConversion"/>
  </si>
  <si>
    <t>공통수학1</t>
    <phoneticPr fontId="5" type="noConversion"/>
  </si>
  <si>
    <t>수학</t>
    <phoneticPr fontId="5" type="noConversion"/>
  </si>
  <si>
    <t>언어생활 탐구</t>
    <phoneticPr fontId="5" type="noConversion"/>
  </si>
  <si>
    <t>한국사 1,2</t>
    <phoneticPr fontId="5" type="noConversion"/>
  </si>
  <si>
    <t>직무 의사소통</t>
    <phoneticPr fontId="5" type="noConversion"/>
  </si>
  <si>
    <t>공통과목</t>
    <phoneticPr fontId="5" type="noConversion"/>
  </si>
  <si>
    <t>공통국어2</t>
    <phoneticPr fontId="5" type="noConversion"/>
  </si>
  <si>
    <t>편성가능 학점</t>
    <phoneticPr fontId="5" type="noConversion"/>
  </si>
  <si>
    <t>증감</t>
    <phoneticPr fontId="5" type="noConversion"/>
  </si>
  <si>
    <t>기준학점</t>
    <phoneticPr fontId="5" type="noConversion"/>
  </si>
  <si>
    <t>구분</t>
    <phoneticPr fontId="5" type="noConversion"/>
  </si>
  <si>
    <t>공통국어1</t>
    <phoneticPr fontId="5" type="noConversion"/>
  </si>
  <si>
    <t>국어</t>
    <phoneticPr fontId="5" type="noConversion"/>
  </si>
  <si>
    <t>보통</t>
    <phoneticPr fontId="14" type="noConversion"/>
  </si>
  <si>
    <t>이수학점 편성 범위</t>
    <phoneticPr fontId="5" type="noConversion"/>
  </si>
  <si>
    <t>2학기</t>
    <phoneticPr fontId="5" type="noConversion"/>
  </si>
  <si>
    <t>1학기</t>
  </si>
  <si>
    <t>과목명</t>
    <phoneticPr fontId="5" type="noConversion"/>
  </si>
  <si>
    <t>비고       (대체과목)</t>
    <phoneticPr fontId="5" type="noConversion"/>
  </si>
  <si>
    <t>필수
이수
학점</t>
    <phoneticPr fontId="14" type="noConversion"/>
  </si>
  <si>
    <t>이수
학점</t>
    <phoneticPr fontId="14" type="noConversion"/>
  </si>
  <si>
    <t>3학년</t>
    <phoneticPr fontId="5" type="noConversion"/>
  </si>
  <si>
    <t>2학년</t>
    <phoneticPr fontId="5" type="noConversion"/>
  </si>
  <si>
    <t>1학년</t>
    <phoneticPr fontId="5" type="noConversion"/>
  </si>
  <si>
    <t>운영
학점</t>
    <phoneticPr fontId="14" type="noConversion"/>
  </si>
  <si>
    <t>운영
가능
학점</t>
    <phoneticPr fontId="5" type="noConversion"/>
  </si>
  <si>
    <t>기준 
학점</t>
    <phoneticPr fontId="14" type="noConversion"/>
  </si>
  <si>
    <t>과목</t>
    <phoneticPr fontId="5" type="noConversion"/>
  </si>
  <si>
    <t>교과(군)</t>
    <phoneticPr fontId="14" type="noConversion"/>
  </si>
  <si>
    <t>교과영역</t>
    <phoneticPr fontId="14" type="noConversion"/>
  </si>
  <si>
    <t>070-4268-6043</t>
    <phoneticPr fontId="5" type="noConversion"/>
  </si>
  <si>
    <t>이지선</t>
    <phoneticPr fontId="5" type="noConversion"/>
  </si>
  <si>
    <t>교육과정담당</t>
    <phoneticPr fontId="5" type="noConversion"/>
  </si>
  <si>
    <t>과정평가형</t>
    <phoneticPr fontId="5" type="noConversion"/>
  </si>
  <si>
    <t>전자과</t>
    <phoneticPr fontId="5" type="noConversion"/>
  </si>
  <si>
    <t>전자과</t>
  </si>
  <si>
    <t>부여전자고등학교</t>
    <phoneticPr fontId="5" type="noConversion"/>
  </si>
  <si>
    <t>충남</t>
  </si>
  <si>
    <t>070-4268-6041</t>
    <phoneticPr fontId="5" type="noConversion"/>
  </si>
  <si>
    <t>엄윤호</t>
    <phoneticPr fontId="5" type="noConversion"/>
  </si>
  <si>
    <t>교육과정부장</t>
    <phoneticPr fontId="5" type="noConversion"/>
  </si>
  <si>
    <t>인력양성유형</t>
    <phoneticPr fontId="5" type="noConversion"/>
  </si>
  <si>
    <t>과정</t>
    <phoneticPr fontId="5" type="noConversion"/>
  </si>
  <si>
    <t>학과명</t>
    <phoneticPr fontId="5" type="noConversion"/>
  </si>
  <si>
    <t>070-4268-6040</t>
    <phoneticPr fontId="5" type="noConversion"/>
  </si>
  <si>
    <t>교감</t>
    <phoneticPr fontId="5" type="noConversion"/>
  </si>
  <si>
    <t>학과</t>
    <phoneticPr fontId="1" type="noConversion"/>
  </si>
  <si>
    <t>기준학과2</t>
    <phoneticPr fontId="5" type="noConversion"/>
  </si>
  <si>
    <t>기준학과1</t>
    <phoneticPr fontId="1" type="noConversion"/>
  </si>
  <si>
    <t>교과군</t>
    <phoneticPr fontId="1" type="noConversion"/>
  </si>
  <si>
    <t>학교명</t>
    <phoneticPr fontId="1" type="noConversion"/>
  </si>
  <si>
    <t>시도명</t>
    <phoneticPr fontId="5" type="noConversion"/>
  </si>
  <si>
    <t>내선번호</t>
    <phoneticPr fontId="5" type="noConversion"/>
  </si>
  <si>
    <t>성명</t>
    <phoneticPr fontId="5" type="noConversion"/>
  </si>
  <si>
    <t>직</t>
    <phoneticPr fontId="5" type="noConversion"/>
  </si>
  <si>
    <t>담당자
연락처</t>
    <phoneticPr fontId="5" type="noConversion"/>
  </si>
  <si>
    <t>입학년도</t>
    <phoneticPr fontId="5" type="noConversion"/>
  </si>
  <si>
    <t>내용영역 합계</t>
    <phoneticPr fontId="5" type="noConversion"/>
  </si>
  <si>
    <t>1901080312_16v3</t>
    <phoneticPr fontId="5" type="noConversion"/>
  </si>
  <si>
    <t>현장제어반 유지정비</t>
    <phoneticPr fontId="5" type="noConversion"/>
  </si>
  <si>
    <t>1901080309_22v4</t>
    <phoneticPr fontId="5" type="noConversion"/>
  </si>
  <si>
    <t>자동제어시스템 유지정비</t>
    <phoneticPr fontId="5" type="noConversion"/>
  </si>
  <si>
    <t>1901080307_14v2</t>
    <phoneticPr fontId="5" type="noConversion"/>
  </si>
  <si>
    <t>구동장치 유지정비</t>
    <phoneticPr fontId="5" type="noConversion"/>
  </si>
  <si>
    <t>1901080302_14v2</t>
    <phoneticPr fontId="5" type="noConversion"/>
  </si>
  <si>
    <t>자동제어대상 설비확인</t>
    <phoneticPr fontId="5" type="noConversion"/>
  </si>
  <si>
    <t>자동제어시스템유지정비</t>
    <phoneticPr fontId="5" type="noConversion"/>
  </si>
  <si>
    <t>1901080219_16v2</t>
    <phoneticPr fontId="5" type="noConversion"/>
  </si>
  <si>
    <t>품질검사</t>
    <phoneticPr fontId="5" type="noConversion"/>
  </si>
  <si>
    <t>소프트웨어 작성</t>
    <phoneticPr fontId="5" type="noConversion"/>
  </si>
  <si>
    <t>1901080215_16v2</t>
    <phoneticPr fontId="5" type="noConversion"/>
  </si>
  <si>
    <t>하드웨어 제작</t>
    <phoneticPr fontId="5" type="noConversion"/>
  </si>
  <si>
    <t>1901080214_16v2</t>
    <phoneticPr fontId="5" type="noConversion"/>
  </si>
  <si>
    <t>전장품조립</t>
    <phoneticPr fontId="5" type="noConversion"/>
  </si>
  <si>
    <t>1901080213_16v2</t>
    <phoneticPr fontId="5" type="noConversion"/>
  </si>
  <si>
    <t>부품조립</t>
    <phoneticPr fontId="5" type="noConversion"/>
  </si>
  <si>
    <t>자동제어기기제작</t>
    <phoneticPr fontId="5" type="noConversion"/>
  </si>
  <si>
    <t>1903010309_14v2</t>
    <phoneticPr fontId="5" type="noConversion"/>
  </si>
  <si>
    <t>하드웨어 완성품 검증</t>
    <phoneticPr fontId="5" type="noConversion"/>
  </si>
  <si>
    <t>1903010308_21v4</t>
    <phoneticPr fontId="5" type="noConversion"/>
  </si>
  <si>
    <t>하드웨어 성능구현</t>
    <phoneticPr fontId="5" type="noConversion"/>
  </si>
  <si>
    <t>1903010306_16v3</t>
    <phoneticPr fontId="5" type="noConversion"/>
  </si>
  <si>
    <t>하드웨어 부품선정</t>
    <phoneticPr fontId="5" type="noConversion"/>
  </si>
  <si>
    <t>1903010305_14v2</t>
    <phoneticPr fontId="5" type="noConversion"/>
  </si>
  <si>
    <t>하드웨어 기초회로설계</t>
    <phoneticPr fontId="5" type="noConversion"/>
  </si>
  <si>
    <t>가전기기하드웨어개발</t>
    <phoneticPr fontId="5" type="noConversion"/>
  </si>
  <si>
    <t>1903020310_14v1</t>
    <phoneticPr fontId="5" type="noConversion"/>
  </si>
  <si>
    <t>소프트웨어 사후관리</t>
    <phoneticPr fontId="5" type="noConversion"/>
  </si>
  <si>
    <t>1903020307_17v2</t>
  </si>
  <si>
    <t>프로그램 테스트</t>
    <phoneticPr fontId="5" type="noConversion"/>
  </si>
  <si>
    <t>1903020304_17v2</t>
  </si>
  <si>
    <t>펌웨어 개발</t>
    <phoneticPr fontId="5" type="noConversion"/>
  </si>
  <si>
    <t>1903020303_17v2</t>
  </si>
  <si>
    <t>시스템 소프트웨어 설계</t>
    <phoneticPr fontId="5" type="noConversion"/>
  </si>
  <si>
    <t>1903020302_14v1</t>
  </si>
  <si>
    <t>타깃 시스템 분석</t>
    <phoneticPr fontId="5" type="noConversion"/>
  </si>
  <si>
    <t>산업용 전자기기 소프트웨어  개발</t>
    <phoneticPr fontId="5" type="noConversion"/>
  </si>
  <si>
    <t>1503010215_16v4</t>
    <phoneticPr fontId="5" type="noConversion"/>
  </si>
  <si>
    <t>공기압 제어</t>
    <phoneticPr fontId="5" type="noConversion"/>
  </si>
  <si>
    <t>1503010210_14v3</t>
    <phoneticPr fontId="5" type="noConversion"/>
  </si>
  <si>
    <t>PLC 제어 기본 모듈 프로그램 개발</t>
    <phoneticPr fontId="5" type="noConversion"/>
  </si>
  <si>
    <t>기계소프트웨어개발</t>
  </si>
  <si>
    <t>1503010116_16v4</t>
  </si>
  <si>
    <t>공기압장치조립</t>
    <phoneticPr fontId="5" type="noConversion"/>
  </si>
  <si>
    <t>1503010112_16v4</t>
    <phoneticPr fontId="5" type="noConversion"/>
  </si>
  <si>
    <t>조립도면작성</t>
    <phoneticPr fontId="5" type="noConversion"/>
  </si>
  <si>
    <t>1503010111_16v4</t>
  </si>
  <si>
    <t>조립도면해독</t>
    <phoneticPr fontId="5" type="noConversion"/>
  </si>
  <si>
    <t>1503010106_16v4</t>
  </si>
  <si>
    <t>기계부품조립</t>
    <phoneticPr fontId="5" type="noConversion"/>
  </si>
  <si>
    <t>기계수동    조립</t>
    <phoneticPr fontId="5" type="noConversion"/>
  </si>
  <si>
    <t>1901070402_22v1</t>
    <phoneticPr fontId="5" type="noConversion"/>
  </si>
  <si>
    <t>전기공사문서관리</t>
    <phoneticPr fontId="5" type="noConversion"/>
  </si>
  <si>
    <t>1901070311_22v2</t>
    <phoneticPr fontId="5" type="noConversion"/>
  </si>
  <si>
    <t>개폐장치정밀유지보수공사</t>
    <phoneticPr fontId="5" type="noConversion"/>
  </si>
  <si>
    <t>1901070212_22v4</t>
    <phoneticPr fontId="5" type="noConversion"/>
  </si>
  <si>
    <t>가공배전선로공사</t>
    <phoneticPr fontId="5" type="noConversion"/>
  </si>
  <si>
    <t>1901070128_22v4</t>
    <phoneticPr fontId="5" type="noConversion"/>
  </si>
  <si>
    <t>접지설비공사</t>
    <phoneticPr fontId="5" type="noConversion"/>
  </si>
  <si>
    <t>1901070127_22v4</t>
    <phoneticPr fontId="5" type="noConversion"/>
  </si>
  <si>
    <t>수변전설비공사</t>
    <phoneticPr fontId="5" type="noConversion"/>
  </si>
  <si>
    <t>1901070122_22v4</t>
    <phoneticPr fontId="5" type="noConversion"/>
  </si>
  <si>
    <t>동력설비공사</t>
    <phoneticPr fontId="5" type="noConversion"/>
  </si>
  <si>
    <t>1901070119_22v4</t>
    <phoneticPr fontId="5" type="noConversion"/>
  </si>
  <si>
    <t>옥내조명공사</t>
    <phoneticPr fontId="5" type="noConversion"/>
  </si>
  <si>
    <t>1901070117_22v4</t>
    <phoneticPr fontId="5" type="noConversion"/>
  </si>
  <si>
    <t>배선공사</t>
    <phoneticPr fontId="5" type="noConversion"/>
  </si>
  <si>
    <t>1901070116_22v4</t>
    <phoneticPr fontId="5" type="noConversion"/>
  </si>
  <si>
    <t>배관공사</t>
    <phoneticPr fontId="5" type="noConversion"/>
  </si>
  <si>
    <t>1901070114_22v4</t>
  </si>
  <si>
    <t>내선공사 견적</t>
    <phoneticPr fontId="5" type="noConversion"/>
  </si>
  <si>
    <t>이수시간</t>
    <phoneticPr fontId="5" type="noConversion"/>
  </si>
  <si>
    <t>이수학점</t>
    <phoneticPr fontId="5" type="noConversion"/>
  </si>
  <si>
    <t>1. 능력단위명과 능력단위 코드는 정확하게 입력해주시기 바랍니다.</t>
    <phoneticPr fontId="5" type="noConversion"/>
  </si>
  <si>
    <t>1학기</t>
    <phoneticPr fontId="5" type="noConversion"/>
  </si>
  <si>
    <t>유의사항</t>
    <phoneticPr fontId="5" type="noConversion"/>
  </si>
  <si>
    <t>이수시간 
합계</t>
    <phoneticPr fontId="5" type="noConversion"/>
  </si>
  <si>
    <t>이수학점 
합계</t>
    <phoneticPr fontId="5" type="noConversion"/>
  </si>
  <si>
    <t>능력단위코드</t>
  </si>
  <si>
    <t>내용영역(능력단위)</t>
  </si>
  <si>
    <t>운영
학점</t>
    <phoneticPr fontId="5" type="noConversion"/>
  </si>
  <si>
    <t>실무과목</t>
    <phoneticPr fontId="5" type="noConversion"/>
  </si>
  <si>
    <t>학교명</t>
    <phoneticPr fontId="5" type="noConversion"/>
  </si>
  <si>
    <t>실무과목 능력단위 편성표</t>
    <phoneticPr fontId="5" type="noConversion"/>
  </si>
  <si>
    <t>자동제어시스템운영</t>
    <phoneticPr fontId="5" type="noConversion"/>
  </si>
  <si>
    <t>과정평가형</t>
  </si>
  <si>
    <t>전기과</t>
    <phoneticPr fontId="5" type="noConversion"/>
  </si>
  <si>
    <t>전기과</t>
  </si>
  <si>
    <t>1903030308_23v2</t>
    <phoneticPr fontId="5" type="noConversion"/>
  </si>
  <si>
    <t>작업자 안전관리</t>
    <phoneticPr fontId="5" type="noConversion"/>
  </si>
  <si>
    <t>1903030307_23v2</t>
    <phoneticPr fontId="5" type="noConversion"/>
  </si>
  <si>
    <t>변압기 유지보수</t>
    <phoneticPr fontId="5" type="noConversion"/>
  </si>
  <si>
    <t>1903030310_14v1</t>
    <phoneticPr fontId="5" type="noConversion"/>
  </si>
  <si>
    <t>전동기 유지보수</t>
    <phoneticPr fontId="5" type="noConversion"/>
  </si>
  <si>
    <t>1903030302_17v2</t>
    <phoneticPr fontId="5" type="noConversion"/>
  </si>
  <si>
    <t>발전기 유지보수</t>
    <phoneticPr fontId="5" type="noConversion"/>
  </si>
  <si>
    <t>전기기기유지보수</t>
    <phoneticPr fontId="5" type="noConversion"/>
  </si>
  <si>
    <t>1901050211_16v3</t>
    <phoneticPr fontId="5" type="noConversion"/>
  </si>
  <si>
    <t>전기기기 일반시험</t>
    <phoneticPr fontId="5" type="noConversion"/>
  </si>
  <si>
    <t>1901050208_16v3</t>
  </si>
  <si>
    <t>전기기기 완제품조립</t>
    <phoneticPr fontId="5" type="noConversion"/>
  </si>
  <si>
    <t>1901050206_14v2</t>
    <phoneticPr fontId="5" type="noConversion"/>
  </si>
  <si>
    <t>전기기기 회로부조립</t>
    <phoneticPr fontId="5" type="noConversion"/>
  </si>
  <si>
    <t>1901050203_14v2</t>
    <phoneticPr fontId="5" type="noConversion"/>
  </si>
  <si>
    <t>전기기기 권선작업</t>
    <phoneticPr fontId="5" type="noConversion"/>
  </si>
  <si>
    <t>1901050201_14v2</t>
    <phoneticPr fontId="5" type="noConversion"/>
  </si>
  <si>
    <t>전기기기 제작준비</t>
    <phoneticPr fontId="5" type="noConversion"/>
  </si>
  <si>
    <t>전기기기제작</t>
    <phoneticPr fontId="5" type="noConversion"/>
  </si>
  <si>
    <t>1901080406_14v2</t>
    <phoneticPr fontId="5" type="noConversion"/>
  </si>
  <si>
    <t>HMI 운영</t>
    <phoneticPr fontId="5" type="noConversion"/>
  </si>
  <si>
    <t>1901080404_14v2</t>
    <phoneticPr fontId="5" type="noConversion"/>
  </si>
  <si>
    <t>현장제어기기운영</t>
    <phoneticPr fontId="5" type="noConversion"/>
  </si>
  <si>
    <t>1901080401_14v2</t>
    <phoneticPr fontId="5" type="noConversion"/>
  </si>
  <si>
    <t>제어원리응용</t>
    <phoneticPr fontId="5" type="noConversion"/>
  </si>
  <si>
    <t>1901080412_20v3</t>
    <phoneticPr fontId="5" type="noConversion"/>
  </si>
  <si>
    <t>프로그램로직제어(PLC)기본운영</t>
    <phoneticPr fontId="5" type="noConversion"/>
  </si>
  <si>
    <t>1901080411_20v3</t>
    <phoneticPr fontId="5" type="noConversion"/>
  </si>
  <si>
    <t>시퀀스회로제어운영</t>
    <phoneticPr fontId="5" type="noConversion"/>
  </si>
  <si>
    <t>2027학년도 교육과정 편제 및 학점배당표(마이스터고/특성화고)</t>
    <phoneticPr fontId="5" type="noConversion"/>
  </si>
  <si>
    <t>전기·전자 일반</t>
    <phoneticPr fontId="1" type="noConversion"/>
  </si>
  <si>
    <t>자동화 설비</t>
    <phoneticPr fontId="1" type="noConversion"/>
  </si>
  <si>
    <t>전기 회로</t>
    <phoneticPr fontId="5" type="noConversion"/>
  </si>
  <si>
    <t>전자 회로</t>
    <phoneticPr fontId="5" type="noConversion"/>
  </si>
  <si>
    <t>전자 제어</t>
    <phoneticPr fontId="5" type="noConversion"/>
  </si>
  <si>
    <t>내선 공사</t>
    <phoneticPr fontId="5" type="noConversion"/>
  </si>
  <si>
    <t>외선 공사</t>
    <phoneticPr fontId="5" type="noConversion"/>
  </si>
  <si>
    <t>기계 수동 조립</t>
    <phoneticPr fontId="5" type="noConversion"/>
  </si>
  <si>
    <t>기계 소프트웨어 개발</t>
    <phoneticPr fontId="5" type="noConversion"/>
  </si>
  <si>
    <t>산업용 전자 기기 소프트웨어 개발</t>
    <phoneticPr fontId="5" type="noConversion"/>
  </si>
  <si>
    <t>가전 기기 하드웨어 개발</t>
    <phoneticPr fontId="5" type="noConversion"/>
  </si>
  <si>
    <t>자동 제어 기기 제작</t>
    <phoneticPr fontId="5" type="noConversion"/>
  </si>
  <si>
    <t>자동 제어 시스템 유지 정비</t>
    <phoneticPr fontId="5" type="noConversion"/>
  </si>
  <si>
    <t>성공적인 직업 생활</t>
    <phoneticPr fontId="5" type="noConversion"/>
  </si>
  <si>
    <t>전기 기기</t>
    <phoneticPr fontId="5" type="noConversion"/>
  </si>
  <si>
    <t>전기 설비</t>
    <phoneticPr fontId="5" type="noConversion"/>
  </si>
  <si>
    <t>자동 제어 시스템 운영</t>
    <phoneticPr fontId="5" type="noConversion"/>
  </si>
  <si>
    <t>전기 기기 제작</t>
    <phoneticPr fontId="5" type="noConversion"/>
  </si>
  <si>
    <t>전기 기기 유지 보수</t>
    <phoneticPr fontId="5" type="noConversion"/>
  </si>
  <si>
    <t>전자기기 소프트웨어 및 하드웨어 유지보수원 / 전기전자 설비 유지 보수원</t>
    <phoneticPr fontId="5" type="noConversion"/>
  </si>
  <si>
    <t>자동제어시스템 제작 및 유지보수원 / 전기 기기 제작 및 유지 보수원</t>
    <phoneticPr fontId="5" type="noConversion"/>
  </si>
  <si>
    <t>이윤영</t>
    <phoneticPr fontId="5" type="noConversion"/>
  </si>
  <si>
    <t>스포츠 문화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</si>
</sst>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0&quot;&quot;;&quot;&quot;;&quot;&quot;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0F1F8"/>
        <bgColor indexed="64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indexed="64"/>
      </patternFill>
    </fill>
  </fills>
  <borders count="13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2" borderId="1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496">
    <xf numFmtId="0" fontId="0" fillId="0" borderId="0" xfId="0">
      <alignment vertical="center"/>
    </xf>
    <xf numFmtId="0" fontId="2" fillId="0" borderId="0" xfId="1" applyProtection="1">
      <alignment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2" fillId="0" borderId="4" xfId="1" applyBorder="1" applyAlignment="1" applyProtection="1">
      <alignment horizontal="center" vertical="center"/>
      <protection locked="0"/>
    </xf>
    <xf numFmtId="0" fontId="7" fillId="5" borderId="2" xfId="2" applyFont="1" applyFill="1" applyBorder="1" applyAlignment="1" applyProtection="1">
      <alignment horizontal="center" vertical="center" wrapText="1"/>
    </xf>
    <xf numFmtId="0" fontId="2" fillId="0" borderId="8" xfId="1" applyBorder="1" applyAlignment="1" applyProtection="1">
      <alignment horizontal="center" vertical="center"/>
      <protection locked="0"/>
    </xf>
    <xf numFmtId="0" fontId="7" fillId="5" borderId="9" xfId="2" applyFont="1" applyFill="1" applyBorder="1" applyAlignment="1" applyProtection="1">
      <alignment horizontal="center" vertical="center" wrapText="1"/>
    </xf>
    <xf numFmtId="0" fontId="7" fillId="5" borderId="12" xfId="2" applyFont="1" applyFill="1" applyBorder="1" applyAlignment="1" applyProtection="1">
      <alignment horizontal="center" vertical="center" wrapText="1"/>
    </xf>
    <xf numFmtId="0" fontId="7" fillId="7" borderId="45" xfId="3" applyFont="1" applyFill="1" applyBorder="1" applyAlignment="1" applyProtection="1">
      <alignment horizontal="center" vertical="center" wrapText="1"/>
    </xf>
    <xf numFmtId="0" fontId="7" fillId="7" borderId="46" xfId="3" applyFont="1" applyFill="1" applyBorder="1" applyAlignment="1" applyProtection="1">
      <alignment horizontal="center" vertical="center" wrapText="1"/>
    </xf>
    <xf numFmtId="0" fontId="7" fillId="7" borderId="47" xfId="3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10" fillId="8" borderId="62" xfId="2" applyFont="1" applyFill="1" applyBorder="1" applyAlignment="1" applyProtection="1">
      <alignment horizontal="center" vertical="center" wrapText="1"/>
    </xf>
    <xf numFmtId="0" fontId="11" fillId="8" borderId="64" xfId="2" applyFont="1" applyFill="1" applyBorder="1" applyAlignment="1" applyProtection="1">
      <alignment horizontal="center" vertical="center" wrapText="1"/>
    </xf>
    <xf numFmtId="0" fontId="7" fillId="8" borderId="65" xfId="2" applyFont="1" applyFill="1" applyBorder="1" applyAlignment="1" applyProtection="1">
      <alignment horizontal="center" vertical="center" wrapText="1"/>
    </xf>
    <xf numFmtId="0" fontId="12" fillId="8" borderId="65" xfId="2" applyFont="1" applyFill="1" applyBorder="1" applyAlignment="1" applyProtection="1">
      <alignment horizontal="center" vertical="center" shrinkToFit="1"/>
    </xf>
    <xf numFmtId="0" fontId="10" fillId="8" borderId="70" xfId="2" applyFont="1" applyFill="1" applyBorder="1" applyAlignment="1" applyProtection="1">
      <alignment horizontal="center" vertical="center" wrapText="1"/>
    </xf>
    <xf numFmtId="0" fontId="12" fillId="8" borderId="65" xfId="2" applyFont="1" applyFill="1" applyBorder="1" applyAlignment="1" applyProtection="1">
      <alignment horizontal="center" vertical="center" wrapText="1"/>
    </xf>
    <xf numFmtId="0" fontId="7" fillId="8" borderId="8" xfId="2" applyFont="1" applyFill="1" applyBorder="1" applyAlignment="1" applyProtection="1">
      <alignment horizontal="center" vertical="center" shrinkToFit="1"/>
    </xf>
    <xf numFmtId="0" fontId="10" fillId="8" borderId="77" xfId="2" applyFont="1" applyFill="1" applyBorder="1" applyAlignment="1" applyProtection="1">
      <alignment horizontal="center" vertical="center" wrapText="1"/>
    </xf>
    <xf numFmtId="0" fontId="11" fillId="8" borderId="79" xfId="2" applyFont="1" applyFill="1" applyBorder="1" applyAlignment="1" applyProtection="1">
      <alignment horizontal="center" vertical="center" wrapText="1"/>
    </xf>
    <xf numFmtId="0" fontId="7" fillId="8" borderId="8" xfId="2" applyFont="1" applyFill="1" applyBorder="1" applyAlignment="1" applyProtection="1">
      <alignment horizontal="center" vertical="center" wrapText="1"/>
    </xf>
    <xf numFmtId="0" fontId="7" fillId="8" borderId="65" xfId="2" applyFont="1" applyFill="1" applyBorder="1" applyAlignment="1" applyProtection="1">
      <alignment horizontal="center" vertical="center" shrinkToFit="1"/>
    </xf>
    <xf numFmtId="0" fontId="10" fillId="8" borderId="59" xfId="2" applyFont="1" applyFill="1" applyBorder="1" applyAlignment="1" applyProtection="1">
      <alignment horizontal="center" vertical="center" wrapText="1"/>
    </xf>
    <xf numFmtId="0" fontId="11" fillId="8" borderId="81" xfId="2" applyFont="1" applyFill="1" applyBorder="1" applyAlignment="1" applyProtection="1">
      <alignment horizontal="center" vertical="center" wrapText="1"/>
    </xf>
    <xf numFmtId="0" fontId="7" fillId="8" borderId="82" xfId="2" applyFont="1" applyFill="1" applyBorder="1" applyAlignment="1" applyProtection="1">
      <alignment horizontal="center" vertical="center" wrapText="1"/>
    </xf>
    <xf numFmtId="0" fontId="11" fillId="8" borderId="83" xfId="2" applyFont="1" applyFill="1" applyBorder="1" applyAlignment="1" applyProtection="1">
      <alignment horizontal="center" vertical="center" wrapText="1"/>
    </xf>
    <xf numFmtId="0" fontId="7" fillId="8" borderId="23" xfId="2" applyFont="1" applyFill="1" applyBorder="1" applyAlignment="1" applyProtection="1">
      <alignment horizontal="center" vertical="center" wrapText="1"/>
    </xf>
    <xf numFmtId="0" fontId="7" fillId="8" borderId="84" xfId="2" applyFont="1" applyFill="1" applyBorder="1" applyAlignment="1" applyProtection="1">
      <alignment horizontal="center" vertical="center" shrinkToFit="1"/>
    </xf>
    <xf numFmtId="0" fontId="11" fillId="8" borderId="86" xfId="2" applyFont="1" applyFill="1" applyBorder="1" applyAlignment="1" applyProtection="1">
      <alignment horizontal="center" vertical="center" wrapText="1"/>
    </xf>
    <xf numFmtId="0" fontId="7" fillId="8" borderId="72" xfId="2" applyFont="1" applyFill="1" applyBorder="1" applyAlignment="1" applyProtection="1">
      <alignment horizontal="center" vertical="center" shrinkToFit="1"/>
    </xf>
    <xf numFmtId="0" fontId="7" fillId="8" borderId="35" xfId="2" applyFont="1" applyFill="1" applyBorder="1" applyAlignment="1" applyProtection="1">
      <alignment horizontal="center" vertical="center" shrinkToFit="1"/>
    </xf>
    <xf numFmtId="0" fontId="11" fillId="0" borderId="71" xfId="2" applyFont="1" applyFill="1" applyBorder="1" applyAlignment="1" applyProtection="1">
      <alignment horizontal="center" vertical="center" wrapText="1"/>
    </xf>
    <xf numFmtId="0" fontId="11" fillId="8" borderId="87" xfId="2" applyFont="1" applyFill="1" applyBorder="1" applyAlignment="1" applyProtection="1">
      <alignment horizontal="center" vertical="center" wrapText="1"/>
    </xf>
    <xf numFmtId="0" fontId="10" fillId="8" borderId="88" xfId="2" applyFont="1" applyFill="1" applyBorder="1" applyAlignment="1" applyProtection="1">
      <alignment horizontal="center" vertical="center" wrapText="1"/>
    </xf>
    <xf numFmtId="0" fontId="11" fillId="0" borderId="89" xfId="2" applyFont="1" applyFill="1" applyBorder="1" applyAlignment="1" applyProtection="1">
      <alignment horizontal="center" vertical="center" wrapText="1"/>
    </xf>
    <xf numFmtId="0" fontId="11" fillId="0" borderId="63" xfId="2" applyFont="1" applyFill="1" applyBorder="1" applyAlignment="1" applyProtection="1">
      <alignment horizontal="center" vertical="center" wrapText="1"/>
    </xf>
    <xf numFmtId="0" fontId="11" fillId="0" borderId="60" xfId="2" applyFont="1" applyFill="1" applyBorder="1" applyAlignment="1" applyProtection="1">
      <alignment horizontal="center" vertical="center" wrapText="1"/>
    </xf>
    <xf numFmtId="0" fontId="7" fillId="7" borderId="93" xfId="3" applyFont="1" applyFill="1" applyBorder="1" applyAlignment="1" applyProtection="1">
      <alignment horizontal="center" vertical="center" wrapText="1"/>
    </xf>
    <xf numFmtId="0" fontId="7" fillId="7" borderId="11" xfId="3" applyFont="1" applyFill="1" applyBorder="1" applyAlignment="1" applyProtection="1">
      <alignment horizontal="center" vertical="center" wrapText="1"/>
    </xf>
    <xf numFmtId="0" fontId="7" fillId="8" borderId="62" xfId="2" applyFont="1" applyFill="1" applyBorder="1" applyAlignment="1" applyProtection="1">
      <alignment horizontal="center" vertical="center" wrapText="1"/>
    </xf>
    <xf numFmtId="0" fontId="7" fillId="8" borderId="63" xfId="2" applyFont="1" applyFill="1" applyBorder="1" applyAlignment="1" applyProtection="1">
      <alignment horizontal="center" vertical="center" wrapText="1"/>
    </xf>
    <xf numFmtId="0" fontId="7" fillId="8" borderId="83" xfId="2" applyFont="1" applyFill="1" applyBorder="1" applyAlignment="1" applyProtection="1">
      <alignment horizontal="center" vertical="center" wrapText="1"/>
    </xf>
    <xf numFmtId="176" fontId="7" fillId="8" borderId="23" xfId="1" applyNumberFormat="1" applyFont="1" applyFill="1" applyBorder="1" applyAlignment="1">
      <alignment horizontal="center" vertical="center" wrapText="1"/>
    </xf>
    <xf numFmtId="0" fontId="7" fillId="8" borderId="70" xfId="2" applyFont="1" applyFill="1" applyBorder="1" applyAlignment="1" applyProtection="1">
      <alignment horizontal="center" vertical="center" wrapText="1"/>
    </xf>
    <xf numFmtId="0" fontId="7" fillId="8" borderId="71" xfId="2" applyFont="1" applyFill="1" applyBorder="1" applyAlignment="1" applyProtection="1">
      <alignment horizontal="center" vertical="center" wrapText="1"/>
    </xf>
    <xf numFmtId="0" fontId="7" fillId="8" borderId="64" xfId="2" applyFont="1" applyFill="1" applyBorder="1" applyAlignment="1" applyProtection="1">
      <alignment horizontal="center" vertical="center" wrapText="1"/>
    </xf>
    <xf numFmtId="0" fontId="7" fillId="8" borderId="88" xfId="2" applyFont="1" applyFill="1" applyBorder="1" applyAlignment="1" applyProtection="1">
      <alignment horizontal="center" vertical="center" wrapText="1"/>
    </xf>
    <xf numFmtId="0" fontId="7" fillId="8" borderId="89" xfId="2" applyFont="1" applyFill="1" applyBorder="1" applyAlignment="1" applyProtection="1">
      <alignment horizontal="center" vertical="center" wrapText="1"/>
    </xf>
    <xf numFmtId="0" fontId="7" fillId="8" borderId="87" xfId="2" applyFont="1" applyFill="1" applyBorder="1" applyAlignment="1" applyProtection="1">
      <alignment horizontal="center" vertical="center" wrapText="1"/>
    </xf>
    <xf numFmtId="0" fontId="7" fillId="8" borderId="95" xfId="2" applyFont="1" applyFill="1" applyBorder="1" applyAlignment="1" applyProtection="1">
      <alignment horizontal="center" vertical="center" wrapText="1"/>
    </xf>
    <xf numFmtId="0" fontId="7" fillId="8" borderId="96" xfId="2" applyFont="1" applyFill="1" applyBorder="1" applyAlignment="1" applyProtection="1">
      <alignment horizontal="center" vertical="center" wrapText="1"/>
    </xf>
    <xf numFmtId="0" fontId="7" fillId="8" borderId="81" xfId="2" applyFont="1" applyFill="1" applyBorder="1" applyAlignment="1" applyProtection="1">
      <alignment horizontal="center" vertical="center" wrapText="1"/>
    </xf>
    <xf numFmtId="176" fontId="7" fillId="8" borderId="82" xfId="1" applyNumberFormat="1" applyFont="1" applyFill="1" applyBorder="1" applyAlignment="1">
      <alignment horizontal="center" vertical="center" wrapText="1"/>
    </xf>
    <xf numFmtId="0" fontId="7" fillId="8" borderId="78" xfId="2" applyFont="1" applyFill="1" applyBorder="1" applyAlignment="1" applyProtection="1">
      <alignment horizontal="center" vertical="center" wrapText="1"/>
    </xf>
    <xf numFmtId="0" fontId="7" fillId="8" borderId="83" xfId="4" applyFont="1" applyFill="1" applyBorder="1" applyAlignment="1" applyProtection="1">
      <alignment horizontal="center" vertical="center" wrapText="1"/>
    </xf>
    <xf numFmtId="176" fontId="7" fillId="8" borderId="84" xfId="1" applyNumberFormat="1" applyFont="1" applyFill="1" applyBorder="1" applyAlignment="1">
      <alignment horizontal="center" vertical="center" wrapText="1"/>
    </xf>
    <xf numFmtId="0" fontId="7" fillId="8" borderId="64" xfId="4" applyFont="1" applyFill="1" applyBorder="1" applyAlignment="1" applyProtection="1">
      <alignment horizontal="center" vertical="center" wrapText="1"/>
    </xf>
    <xf numFmtId="176" fontId="7" fillId="8" borderId="65" xfId="1" applyNumberFormat="1" applyFont="1" applyFill="1" applyBorder="1" applyAlignment="1">
      <alignment horizontal="center" vertical="center" wrapText="1"/>
    </xf>
    <xf numFmtId="0" fontId="7" fillId="8" borderId="81" xfId="4" applyFont="1" applyFill="1" applyBorder="1" applyAlignment="1" applyProtection="1">
      <alignment horizontal="center" vertical="center" wrapText="1"/>
    </xf>
    <xf numFmtId="0" fontId="7" fillId="8" borderId="79" xfId="2" applyFont="1" applyFill="1" applyBorder="1" applyAlignment="1" applyProtection="1">
      <alignment horizontal="center" vertical="center" wrapText="1"/>
    </xf>
    <xf numFmtId="0" fontId="7" fillId="8" borderId="86" xfId="4" applyFont="1" applyFill="1" applyBorder="1" applyAlignment="1" applyProtection="1">
      <alignment horizontal="center" vertical="center" wrapText="1"/>
    </xf>
    <xf numFmtId="0" fontId="7" fillId="8" borderId="77" xfId="2" applyFont="1" applyFill="1" applyBorder="1" applyAlignment="1" applyProtection="1">
      <alignment horizontal="center" vertical="center" wrapText="1"/>
    </xf>
    <xf numFmtId="176" fontId="7" fillId="8" borderId="72" xfId="1" applyNumberFormat="1" applyFont="1" applyFill="1" applyBorder="1" applyAlignment="1">
      <alignment horizontal="center" vertical="center" wrapText="1"/>
    </xf>
    <xf numFmtId="0" fontId="7" fillId="8" borderId="52" xfId="2" applyFont="1" applyFill="1" applyBorder="1" applyAlignment="1" applyProtection="1">
      <alignment horizontal="center" vertical="center" wrapText="1"/>
    </xf>
    <xf numFmtId="0" fontId="7" fillId="8" borderId="53" xfId="2" applyFont="1" applyFill="1" applyBorder="1" applyAlignment="1" applyProtection="1">
      <alignment horizontal="center" vertical="center" wrapText="1"/>
    </xf>
    <xf numFmtId="0" fontId="7" fillId="8" borderId="54" xfId="2" applyFont="1" applyFill="1" applyBorder="1" applyAlignment="1" applyProtection="1">
      <alignment horizontal="center" vertical="center" wrapText="1"/>
    </xf>
    <xf numFmtId="176" fontId="7" fillId="8" borderId="4" xfId="1" applyNumberFormat="1" applyFont="1" applyFill="1" applyBorder="1" applyAlignment="1">
      <alignment horizontal="center" vertical="center" wrapText="1"/>
    </xf>
    <xf numFmtId="0" fontId="7" fillId="8" borderId="87" xfId="4" applyFont="1" applyFill="1" applyBorder="1" applyAlignment="1" applyProtection="1">
      <alignment horizontal="center" vertical="center" wrapText="1"/>
    </xf>
    <xf numFmtId="0" fontId="7" fillId="8" borderId="60" xfId="2" applyFont="1" applyFill="1" applyBorder="1" applyAlignment="1" applyProtection="1">
      <alignment horizontal="center" vertical="center" wrapText="1"/>
    </xf>
    <xf numFmtId="0" fontId="7" fillId="8" borderId="101" xfId="2" applyFont="1" applyFill="1" applyBorder="1" applyAlignment="1" applyProtection="1">
      <alignment horizontal="center" vertical="center" wrapText="1"/>
    </xf>
    <xf numFmtId="0" fontId="2" fillId="0" borderId="102" xfId="1" applyBorder="1" applyAlignment="1" applyProtection="1">
      <alignment horizontal="center" vertical="center"/>
      <protection locked="0"/>
    </xf>
    <xf numFmtId="0" fontId="2" fillId="0" borderId="103" xfId="1" applyBorder="1" applyAlignment="1" applyProtection="1">
      <alignment horizontal="center" vertical="center"/>
      <protection locked="0"/>
    </xf>
    <xf numFmtId="0" fontId="7" fillId="8" borderId="86" xfId="2" applyFont="1" applyFill="1" applyBorder="1" applyAlignment="1" applyProtection="1">
      <alignment horizontal="center" vertical="center" wrapText="1"/>
    </xf>
    <xf numFmtId="0" fontId="2" fillId="0" borderId="105" xfId="1" applyBorder="1" applyAlignment="1" applyProtection="1">
      <alignment horizontal="center" vertical="center"/>
      <protection locked="0"/>
    </xf>
    <xf numFmtId="0" fontId="2" fillId="0" borderId="106" xfId="1" applyBorder="1" applyAlignment="1" applyProtection="1">
      <alignment horizontal="center" vertical="center"/>
      <protection locked="0"/>
    </xf>
    <xf numFmtId="0" fontId="2" fillId="0" borderId="35" xfId="1" applyBorder="1" applyAlignment="1" applyProtection="1">
      <alignment horizontal="center" vertical="center"/>
      <protection locked="0"/>
    </xf>
    <xf numFmtId="0" fontId="15" fillId="0" borderId="0" xfId="1" applyFont="1" applyProtection="1">
      <alignment vertical="center"/>
      <protection locked="0"/>
    </xf>
    <xf numFmtId="0" fontId="19" fillId="10" borderId="14" xfId="5" applyFont="1" applyBorder="1" applyAlignment="1" applyProtection="1">
      <alignment horizontal="center" vertical="center"/>
      <protection locked="0"/>
    </xf>
    <xf numFmtId="0" fontId="2" fillId="0" borderId="98" xfId="1" applyBorder="1" applyAlignment="1" applyProtection="1">
      <alignment horizontal="center" vertical="center"/>
      <protection locked="0"/>
    </xf>
    <xf numFmtId="0" fontId="4" fillId="0" borderId="112" xfId="1" applyFont="1" applyBorder="1" applyAlignment="1" applyProtection="1">
      <alignment horizontal="center" vertical="center"/>
      <protection locked="0"/>
    </xf>
    <xf numFmtId="0" fontId="12" fillId="0" borderId="114" xfId="1" applyFont="1" applyBorder="1" applyAlignment="1" applyProtection="1">
      <alignment horizontal="center" vertical="center"/>
      <protection locked="0"/>
    </xf>
    <xf numFmtId="0" fontId="4" fillId="0" borderId="115" xfId="1" applyFont="1" applyBorder="1" applyAlignment="1" applyProtection="1">
      <alignment horizontal="center" vertical="center" shrinkToFit="1"/>
      <protection locked="0"/>
    </xf>
    <xf numFmtId="0" fontId="4" fillId="12" borderId="103" xfId="1" applyFont="1" applyFill="1" applyBorder="1" applyAlignment="1" applyProtection="1">
      <alignment horizontal="center" vertical="center" shrinkToFit="1"/>
      <protection locked="0"/>
    </xf>
    <xf numFmtId="0" fontId="4" fillId="0" borderId="115" xfId="1" applyFont="1" applyBorder="1" applyAlignment="1" applyProtection="1">
      <alignment horizontal="center" vertical="center"/>
      <protection locked="0"/>
    </xf>
    <xf numFmtId="0" fontId="4" fillId="12" borderId="103" xfId="1" applyFont="1" applyFill="1" applyBorder="1" applyAlignment="1" applyProtection="1">
      <alignment horizontal="center" vertical="center"/>
      <protection locked="0"/>
    </xf>
    <xf numFmtId="0" fontId="4" fillId="12" borderId="105" xfId="1" applyFont="1" applyFill="1" applyBorder="1" applyAlignment="1" applyProtection="1">
      <alignment horizontal="center" vertical="center"/>
      <protection locked="0"/>
    </xf>
    <xf numFmtId="0" fontId="4" fillId="12" borderId="117" xfId="1" applyFont="1" applyFill="1" applyBorder="1" applyAlignment="1" applyProtection="1">
      <alignment horizontal="center" vertical="center"/>
      <protection locked="0"/>
    </xf>
    <xf numFmtId="0" fontId="4" fillId="12" borderId="106" xfId="1" applyFont="1" applyFill="1" applyBorder="1" applyAlignment="1" applyProtection="1">
      <alignment horizontal="center" vertical="center"/>
      <protection locked="0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176" fontId="4" fillId="15" borderId="98" xfId="1" applyNumberFormat="1" applyFont="1" applyFill="1" applyBorder="1" applyAlignment="1">
      <alignment horizontal="right" vertical="center"/>
    </xf>
    <xf numFmtId="176" fontId="4" fillId="15" borderId="99" xfId="1" applyNumberFormat="1" applyFont="1" applyFill="1" applyBorder="1" applyAlignment="1">
      <alignment horizontal="right" vertical="center"/>
    </xf>
    <xf numFmtId="176" fontId="24" fillId="15" borderId="99" xfId="6" applyNumberFormat="1" applyFont="1" applyFill="1" applyBorder="1" applyAlignment="1">
      <alignment horizontal="center" vertical="center" shrinkToFit="1"/>
    </xf>
    <xf numFmtId="176" fontId="2" fillId="0" borderId="102" xfId="1" applyNumberFormat="1" applyBorder="1" applyAlignment="1">
      <alignment horizontal="right" vertical="center"/>
    </xf>
    <xf numFmtId="176" fontId="2" fillId="0" borderId="103" xfId="1" applyNumberFormat="1" applyBorder="1" applyAlignment="1">
      <alignment horizontal="right" vertical="center"/>
    </xf>
    <xf numFmtId="176" fontId="26" fillId="16" borderId="103" xfId="6" applyNumberFormat="1" applyFont="1" applyFill="1" applyBorder="1" applyAlignment="1">
      <alignment horizontal="center" vertical="center" shrinkToFit="1"/>
    </xf>
    <xf numFmtId="0" fontId="26" fillId="16" borderId="103" xfId="6" applyFont="1" applyFill="1" applyBorder="1" applyAlignment="1">
      <alignment horizontal="center" vertical="center" shrinkToFit="1"/>
    </xf>
    <xf numFmtId="0" fontId="26" fillId="0" borderId="104" xfId="6" applyFont="1" applyBorder="1" applyAlignment="1">
      <alignment horizontal="center" vertical="center" shrinkToFit="1"/>
    </xf>
    <xf numFmtId="176" fontId="2" fillId="0" borderId="121" xfId="1" applyNumberFormat="1" applyBorder="1" applyAlignment="1">
      <alignment horizontal="right" vertical="center"/>
    </xf>
    <xf numFmtId="176" fontId="2" fillId="0" borderId="122" xfId="1" applyNumberFormat="1" applyBorder="1" applyAlignment="1">
      <alignment horizontal="right" vertical="center"/>
    </xf>
    <xf numFmtId="176" fontId="26" fillId="16" borderId="122" xfId="6" applyNumberFormat="1" applyFont="1" applyFill="1" applyBorder="1" applyAlignment="1">
      <alignment horizontal="center" vertical="center" shrinkToFit="1"/>
    </xf>
    <xf numFmtId="0" fontId="27" fillId="0" borderId="103" xfId="1" applyFont="1" applyBorder="1" applyAlignment="1">
      <alignment horizontal="center" vertical="center"/>
    </xf>
    <xf numFmtId="0" fontId="26" fillId="0" borderId="123" xfId="6" applyFont="1" applyBorder="1" applyAlignment="1">
      <alignment horizontal="center" vertical="center" shrinkToFit="1"/>
    </xf>
    <xf numFmtId="176" fontId="2" fillId="0" borderId="105" xfId="1" applyNumberFormat="1" applyBorder="1" applyAlignment="1">
      <alignment horizontal="right" vertical="center"/>
    </xf>
    <xf numFmtId="176" fontId="2" fillId="0" borderId="106" xfId="1" applyNumberFormat="1" applyBorder="1" applyAlignment="1">
      <alignment horizontal="right" vertical="center"/>
    </xf>
    <xf numFmtId="176" fontId="26" fillId="16" borderId="106" xfId="6" applyNumberFormat="1" applyFont="1" applyFill="1" applyBorder="1" applyAlignment="1">
      <alignment horizontal="center" vertical="center" shrinkToFit="1"/>
    </xf>
    <xf numFmtId="0" fontId="27" fillId="0" borderId="124" xfId="1" applyFont="1" applyBorder="1" applyAlignment="1">
      <alignment horizontal="center" vertical="center"/>
    </xf>
    <xf numFmtId="0" fontId="26" fillId="0" borderId="107" xfId="6" applyFont="1" applyBorder="1" applyAlignment="1">
      <alignment horizontal="center" vertical="center" shrinkToFit="1"/>
    </xf>
    <xf numFmtId="176" fontId="2" fillId="0" borderId="126" xfId="1" applyNumberFormat="1" applyBorder="1" applyAlignment="1">
      <alignment horizontal="right" vertical="center"/>
    </xf>
    <xf numFmtId="176" fontId="2" fillId="0" borderId="127" xfId="1" applyNumberFormat="1" applyBorder="1" applyAlignment="1">
      <alignment horizontal="right" vertical="center"/>
    </xf>
    <xf numFmtId="176" fontId="26" fillId="16" borderId="127" xfId="6" applyNumberFormat="1" applyFont="1" applyFill="1" applyBorder="1" applyAlignment="1">
      <alignment horizontal="center" vertical="center" shrinkToFit="1"/>
    </xf>
    <xf numFmtId="0" fontId="26" fillId="16" borderId="127" xfId="6" applyFont="1" applyFill="1" applyBorder="1" applyAlignment="1">
      <alignment horizontal="center" vertical="center" shrinkToFit="1"/>
    </xf>
    <xf numFmtId="0" fontId="26" fillId="0" borderId="128" xfId="6" applyFont="1" applyBorder="1" applyAlignment="1">
      <alignment horizontal="center" vertical="center" shrinkToFit="1"/>
    </xf>
    <xf numFmtId="0" fontId="27" fillId="0" borderId="0" xfId="1" applyFont="1" applyAlignment="1">
      <alignment horizontal="center" vertical="center"/>
    </xf>
    <xf numFmtId="0" fontId="26" fillId="16" borderId="106" xfId="6" applyFont="1" applyFill="1" applyBorder="1" applyAlignment="1">
      <alignment horizontal="center" vertical="center" shrinkToFit="1"/>
    </xf>
    <xf numFmtId="0" fontId="2" fillId="0" borderId="34" xfId="1" applyBorder="1" applyAlignment="1">
      <alignment horizontal="center" vertical="center"/>
    </xf>
    <xf numFmtId="176" fontId="2" fillId="0" borderId="115" xfId="1" applyNumberFormat="1" applyBorder="1" applyAlignment="1">
      <alignment horizontal="right" vertical="center"/>
    </xf>
    <xf numFmtId="0" fontId="2" fillId="0" borderId="103" xfId="1" applyBorder="1" applyAlignment="1">
      <alignment horizontal="center" vertical="center"/>
    </xf>
    <xf numFmtId="0" fontId="2" fillId="0" borderId="122" xfId="1" applyBorder="1" applyAlignment="1">
      <alignment horizontal="center" vertical="center"/>
    </xf>
    <xf numFmtId="176" fontId="26" fillId="16" borderId="115" xfId="6" applyNumberFormat="1" applyFont="1" applyFill="1" applyBorder="1" applyAlignment="1">
      <alignment horizontal="center" vertical="center" shrinkToFit="1"/>
    </xf>
    <xf numFmtId="0" fontId="27" fillId="0" borderId="127" xfId="1" applyFont="1" applyBorder="1" applyAlignment="1">
      <alignment horizontal="center" vertical="center"/>
    </xf>
    <xf numFmtId="176" fontId="2" fillId="0" borderId="130" xfId="1" applyNumberFormat="1" applyBorder="1" applyAlignment="1">
      <alignment horizontal="right" vertical="center"/>
    </xf>
    <xf numFmtId="176" fontId="2" fillId="0" borderId="131" xfId="1" applyNumberFormat="1" applyBorder="1" applyAlignment="1">
      <alignment horizontal="right" vertical="center"/>
    </xf>
    <xf numFmtId="176" fontId="26" fillId="16" borderId="131" xfId="6" applyNumberFormat="1" applyFont="1" applyFill="1" applyBorder="1" applyAlignment="1">
      <alignment horizontal="center" vertical="center" shrinkToFit="1"/>
    </xf>
    <xf numFmtId="176" fontId="28" fillId="15" borderId="99" xfId="6" applyNumberFormat="1" applyFont="1" applyFill="1" applyBorder="1" applyAlignment="1">
      <alignment horizontal="center" vertical="center" shrinkToFit="1"/>
    </xf>
    <xf numFmtId="176" fontId="29" fillId="17" borderId="127" xfId="1" applyNumberFormat="1" applyFont="1" applyFill="1" applyBorder="1" applyAlignment="1">
      <alignment horizontal="center" vertical="center" shrinkToFit="1"/>
    </xf>
    <xf numFmtId="176" fontId="29" fillId="17" borderId="103" xfId="1" applyNumberFormat="1" applyFont="1" applyFill="1" applyBorder="1" applyAlignment="1">
      <alignment horizontal="center" vertical="center" shrinkToFit="1"/>
    </xf>
    <xf numFmtId="176" fontId="29" fillId="17" borderId="122" xfId="1" applyNumberFormat="1" applyFont="1" applyFill="1" applyBorder="1" applyAlignment="1">
      <alignment horizontal="center" vertical="center" shrinkToFit="1"/>
    </xf>
    <xf numFmtId="0" fontId="27" fillId="0" borderId="122" xfId="1" applyFont="1" applyBorder="1" applyAlignment="1">
      <alignment horizontal="center" vertical="center"/>
    </xf>
    <xf numFmtId="0" fontId="26" fillId="16" borderId="122" xfId="6" applyFont="1" applyFill="1" applyBorder="1" applyAlignment="1">
      <alignment horizontal="center" vertical="center" shrinkToFit="1"/>
    </xf>
    <xf numFmtId="176" fontId="28" fillId="15" borderId="99" xfId="6" applyNumberFormat="1" applyFont="1" applyFill="1" applyBorder="1" applyAlignment="1">
      <alignment horizontal="right" vertical="center" shrinkToFit="1"/>
    </xf>
    <xf numFmtId="176" fontId="30" fillId="0" borderId="121" xfId="1" applyNumberFormat="1" applyFont="1" applyBorder="1">
      <alignment vertical="center"/>
    </xf>
    <xf numFmtId="176" fontId="30" fillId="0" borderId="122" xfId="1" applyNumberFormat="1" applyFont="1" applyBorder="1">
      <alignment vertical="center"/>
    </xf>
    <xf numFmtId="176" fontId="31" fillId="16" borderId="122" xfId="6" applyNumberFormat="1" applyFont="1" applyFill="1" applyBorder="1" applyAlignment="1">
      <alignment horizontal="center" vertical="center" shrinkToFit="1"/>
    </xf>
    <xf numFmtId="176" fontId="31" fillId="16" borderId="123" xfId="6" applyNumberFormat="1" applyFont="1" applyFill="1" applyBorder="1" applyAlignment="1">
      <alignment horizontal="center" vertical="center" shrinkToFit="1"/>
    </xf>
    <xf numFmtId="0" fontId="30" fillId="0" borderId="103" xfId="1" applyFont="1" applyBorder="1" applyAlignment="1">
      <alignment horizontal="center" vertical="center"/>
    </xf>
    <xf numFmtId="0" fontId="31" fillId="16" borderId="134" xfId="6" applyFont="1" applyFill="1" applyBorder="1" applyAlignment="1">
      <alignment horizontal="center" vertical="center" shrinkToFit="1"/>
    </xf>
    <xf numFmtId="176" fontId="30" fillId="0" borderId="102" xfId="1" applyNumberFormat="1" applyFont="1" applyBorder="1">
      <alignment vertical="center"/>
    </xf>
    <xf numFmtId="176" fontId="30" fillId="0" borderId="103" xfId="1" applyNumberFormat="1" applyFont="1" applyBorder="1">
      <alignment vertical="center"/>
    </xf>
    <xf numFmtId="176" fontId="31" fillId="16" borderId="103" xfId="6" applyNumberFormat="1" applyFont="1" applyFill="1" applyBorder="1" applyAlignment="1">
      <alignment horizontal="center" vertical="center" shrinkToFit="1"/>
    </xf>
    <xf numFmtId="176" fontId="31" fillId="16" borderId="104" xfId="6" applyNumberFormat="1" applyFont="1" applyFill="1" applyBorder="1" applyAlignment="1">
      <alignment horizontal="center" vertical="center" shrinkToFit="1"/>
    </xf>
    <xf numFmtId="0" fontId="31" fillId="16" borderId="115" xfId="6" applyFont="1" applyFill="1" applyBorder="1" applyAlignment="1">
      <alignment horizontal="center" vertical="center" shrinkToFit="1"/>
    </xf>
    <xf numFmtId="176" fontId="30" fillId="0" borderId="105" xfId="1" applyNumberFormat="1" applyFont="1" applyBorder="1">
      <alignment vertical="center"/>
    </xf>
    <xf numFmtId="176" fontId="30" fillId="0" borderId="106" xfId="1" applyNumberFormat="1" applyFont="1" applyBorder="1">
      <alignment vertical="center"/>
    </xf>
    <xf numFmtId="176" fontId="31" fillId="16" borderId="106" xfId="6" applyNumberFormat="1" applyFont="1" applyFill="1" applyBorder="1" applyAlignment="1">
      <alignment horizontal="center" vertical="center" shrinkToFit="1"/>
    </xf>
    <xf numFmtId="176" fontId="31" fillId="16" borderId="107" xfId="6" applyNumberFormat="1" applyFont="1" applyFill="1" applyBorder="1" applyAlignment="1">
      <alignment horizontal="center" vertical="center" shrinkToFit="1"/>
    </xf>
    <xf numFmtId="0" fontId="30" fillId="0" borderId="122" xfId="1" applyFont="1" applyBorder="1" applyAlignment="1">
      <alignment horizontal="center" vertical="center"/>
    </xf>
    <xf numFmtId="0" fontId="31" fillId="16" borderId="0" xfId="6" applyFont="1" applyFill="1" applyAlignment="1">
      <alignment horizontal="center" vertical="center" shrinkToFit="1"/>
    </xf>
    <xf numFmtId="0" fontId="26" fillId="16" borderId="131" xfId="6" applyFont="1" applyFill="1" applyBorder="1" applyAlignment="1">
      <alignment horizontal="center" vertical="center" shrinkToFit="1"/>
    </xf>
    <xf numFmtId="0" fontId="2" fillId="0" borderId="34" xfId="1" applyBorder="1">
      <alignment vertical="center"/>
    </xf>
    <xf numFmtId="176" fontId="28" fillId="15" borderId="112" xfId="6" applyNumberFormat="1" applyFont="1" applyFill="1" applyBorder="1" applyAlignment="1">
      <alignment horizontal="right" vertical="center" shrinkToFit="1"/>
    </xf>
    <xf numFmtId="176" fontId="30" fillId="0" borderId="115" xfId="1" applyNumberFormat="1" applyFont="1" applyBorder="1">
      <alignment vertical="center"/>
    </xf>
    <xf numFmtId="176" fontId="30" fillId="0" borderId="131" xfId="1" applyNumberFormat="1" applyFont="1" applyBorder="1">
      <alignment vertical="center"/>
    </xf>
    <xf numFmtId="176" fontId="31" fillId="16" borderId="131" xfId="6" applyNumberFormat="1" applyFont="1" applyFill="1" applyBorder="1" applyAlignment="1">
      <alignment horizontal="center" vertical="center" shrinkToFit="1"/>
    </xf>
    <xf numFmtId="176" fontId="31" fillId="16" borderId="135" xfId="6" applyNumberFormat="1" applyFont="1" applyFill="1" applyBorder="1" applyAlignment="1">
      <alignment horizontal="center" vertical="center" shrinkToFit="1"/>
    </xf>
    <xf numFmtId="0" fontId="31" fillId="16" borderId="136" xfId="6" applyFont="1" applyFill="1" applyBorder="1" applyAlignment="1">
      <alignment horizontal="center" vertical="center" shrinkToFit="1"/>
    </xf>
    <xf numFmtId="0" fontId="31" fillId="16" borderId="103" xfId="6" applyFont="1" applyFill="1" applyBorder="1" applyAlignment="1">
      <alignment horizontal="center" vertical="center" shrinkToFit="1"/>
    </xf>
    <xf numFmtId="0" fontId="32" fillId="0" borderId="0" xfId="1" applyFont="1">
      <alignment vertical="center"/>
    </xf>
    <xf numFmtId="0" fontId="32" fillId="0" borderId="33" xfId="1" applyFont="1" applyBorder="1">
      <alignment vertical="center"/>
    </xf>
    <xf numFmtId="0" fontId="32" fillId="0" borderId="34" xfId="1" applyFont="1" applyBorder="1">
      <alignment vertical="center"/>
    </xf>
    <xf numFmtId="0" fontId="31" fillId="16" borderId="117" xfId="6" applyFont="1" applyFill="1" applyBorder="1" applyAlignment="1">
      <alignment horizontal="center" vertical="center" shrinkToFit="1"/>
    </xf>
    <xf numFmtId="0" fontId="32" fillId="0" borderId="33" xfId="1" applyFont="1" applyBorder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2" fillId="0" borderId="34" xfId="1" applyFont="1" applyBorder="1" applyAlignment="1">
      <alignment horizontal="left" vertical="center"/>
    </xf>
    <xf numFmtId="0" fontId="34" fillId="18" borderId="99" xfId="6" applyFont="1" applyFill="1" applyBorder="1" applyAlignment="1">
      <alignment horizontal="center" vertical="center" wrapText="1"/>
    </xf>
    <xf numFmtId="0" fontId="3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1" fillId="0" borderId="71" xfId="2" applyFont="1" applyFill="1" applyBorder="1" applyAlignment="1" applyProtection="1">
      <alignment horizontal="center" vertical="center" wrapText="1"/>
    </xf>
    <xf numFmtId="0" fontId="2" fillId="0" borderId="98" xfId="1" applyBorder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21" fillId="0" borderId="21" xfId="1" applyFont="1" applyBorder="1" applyAlignment="1" applyProtection="1">
      <alignment horizontal="center" vertical="center"/>
      <protection locked="0"/>
    </xf>
    <xf numFmtId="0" fontId="21" fillId="0" borderId="20" xfId="1" applyFont="1" applyBorder="1" applyAlignment="1" applyProtection="1">
      <alignment horizontal="center" vertical="center"/>
      <protection locked="0"/>
    </xf>
    <xf numFmtId="0" fontId="16" fillId="14" borderId="3" xfId="1" applyFont="1" applyFill="1" applyBorder="1" applyAlignment="1" applyProtection="1">
      <alignment horizontal="center" vertical="center"/>
      <protection locked="0"/>
    </xf>
    <xf numFmtId="0" fontId="16" fillId="14" borderId="11" xfId="1" applyFont="1" applyFill="1" applyBorder="1" applyAlignment="1" applyProtection="1">
      <alignment horizontal="center" vertical="center"/>
      <protection locked="0"/>
    </xf>
    <xf numFmtId="0" fontId="16" fillId="14" borderId="5" xfId="1" applyFont="1" applyFill="1" applyBorder="1" applyAlignment="1" applyProtection="1">
      <alignment horizontal="center" vertical="center"/>
      <protection locked="0"/>
    </xf>
    <xf numFmtId="0" fontId="16" fillId="14" borderId="2" xfId="1" applyFont="1" applyFill="1" applyBorder="1" applyAlignment="1" applyProtection="1">
      <alignment horizontal="center" vertical="center"/>
      <protection locked="0"/>
    </xf>
    <xf numFmtId="0" fontId="4" fillId="13" borderId="118" xfId="1" applyFont="1" applyFill="1" applyBorder="1" applyAlignment="1" applyProtection="1">
      <alignment horizontal="center" vertical="center" wrapText="1"/>
      <protection locked="0"/>
    </xf>
    <xf numFmtId="0" fontId="4" fillId="13" borderId="116" xfId="1" applyFont="1" applyFill="1" applyBorder="1" applyAlignment="1" applyProtection="1">
      <alignment horizontal="center" vertical="center" wrapText="1"/>
      <protection locked="0"/>
    </xf>
    <xf numFmtId="0" fontId="4" fillId="13" borderId="113" xfId="1" applyFont="1" applyFill="1" applyBorder="1" applyAlignment="1" applyProtection="1">
      <alignment horizontal="center" vertical="center" wrapText="1"/>
      <protection locked="0"/>
    </xf>
    <xf numFmtId="0" fontId="16" fillId="13" borderId="35" xfId="1" applyFont="1" applyFill="1" applyBorder="1" applyAlignment="1" applyProtection="1">
      <alignment horizontal="center" vertical="center"/>
      <protection locked="0"/>
    </xf>
    <xf numFmtId="0" fontId="16" fillId="13" borderId="4" xfId="1" applyFont="1" applyFill="1" applyBorder="1" applyAlignment="1" applyProtection="1">
      <alignment horizontal="center" vertical="center"/>
      <protection locked="0"/>
    </xf>
    <xf numFmtId="0" fontId="16" fillId="13" borderId="36" xfId="1" applyFont="1" applyFill="1" applyBorder="1" applyAlignment="1" applyProtection="1">
      <alignment horizontal="center" vertical="center"/>
      <protection locked="0"/>
    </xf>
    <xf numFmtId="0" fontId="16" fillId="13" borderId="44" xfId="1" applyFont="1" applyFill="1" applyBorder="1" applyAlignment="1" applyProtection="1">
      <alignment horizontal="center" vertical="center"/>
      <protection locked="0"/>
    </xf>
    <xf numFmtId="0" fontId="16" fillId="13" borderId="22" xfId="1" applyFont="1" applyFill="1" applyBorder="1" applyAlignment="1" applyProtection="1">
      <alignment horizontal="center" vertical="center"/>
      <protection locked="0"/>
    </xf>
    <xf numFmtId="0" fontId="16" fillId="13" borderId="21" xfId="1" applyFont="1" applyFill="1" applyBorder="1" applyAlignment="1" applyProtection="1">
      <alignment horizontal="center" vertical="center"/>
      <protection locked="0"/>
    </xf>
    <xf numFmtId="0" fontId="16" fillId="13" borderId="9" xfId="1" applyFont="1" applyFill="1" applyBorder="1" applyAlignment="1" applyProtection="1">
      <alignment horizontal="center" vertical="center"/>
      <protection locked="0"/>
    </xf>
    <xf numFmtId="0" fontId="16" fillId="13" borderId="20" xfId="1" applyFont="1" applyFill="1" applyBorder="1" applyAlignment="1" applyProtection="1">
      <alignment horizontal="center" vertical="center"/>
      <protection locked="0"/>
    </xf>
    <xf numFmtId="0" fontId="16" fillId="13" borderId="3" xfId="1" applyFont="1" applyFill="1" applyBorder="1" applyAlignment="1" applyProtection="1">
      <alignment horizontal="center" vertical="center"/>
      <protection locked="0"/>
    </xf>
    <xf numFmtId="0" fontId="16" fillId="13" borderId="5" xfId="1" applyFont="1" applyFill="1" applyBorder="1" applyAlignment="1" applyProtection="1">
      <alignment horizontal="center" vertical="center"/>
      <protection locked="0"/>
    </xf>
    <xf numFmtId="0" fontId="16" fillId="13" borderId="2" xfId="1" applyFont="1" applyFill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2" fillId="0" borderId="7" xfId="1" applyFont="1" applyBorder="1" applyAlignment="1" applyProtection="1">
      <alignment horizontal="center" vertical="center"/>
      <protection locked="0"/>
    </xf>
    <xf numFmtId="0" fontId="12" fillId="0" borderId="2" xfId="1" applyFont="1" applyBorder="1" applyAlignment="1" applyProtection="1">
      <alignment horizontal="center" vertical="center"/>
      <protection locked="0"/>
    </xf>
    <xf numFmtId="0" fontId="12" fillId="0" borderId="3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center" vertical="center" wrapText="1"/>
      <protection locked="0"/>
    </xf>
    <xf numFmtId="0" fontId="20" fillId="0" borderId="5" xfId="1" applyFont="1" applyBorder="1" applyAlignment="1" applyProtection="1">
      <alignment horizontal="center" vertical="center" wrapText="1"/>
      <protection locked="0"/>
    </xf>
    <xf numFmtId="0" fontId="20" fillId="0" borderId="2" xfId="1" applyFont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 vertical="center"/>
      <protection locked="0"/>
    </xf>
    <xf numFmtId="0" fontId="17" fillId="11" borderId="36" xfId="5" applyFont="1" applyFill="1" applyBorder="1" applyAlignment="1" applyProtection="1">
      <alignment horizontal="center" vertical="center" wrapText="1"/>
      <protection locked="0"/>
    </xf>
    <xf numFmtId="0" fontId="17" fillId="11" borderId="9" xfId="5" applyFont="1" applyFill="1" applyBorder="1" applyAlignment="1" applyProtection="1">
      <alignment horizontal="center" vertical="center" wrapText="1"/>
      <protection locked="0"/>
    </xf>
    <xf numFmtId="0" fontId="17" fillId="11" borderId="22" xfId="5" applyFont="1" applyFill="1" applyBorder="1" applyAlignment="1" applyProtection="1">
      <alignment horizontal="center" vertical="center" wrapText="1"/>
      <protection locked="0"/>
    </xf>
    <xf numFmtId="0" fontId="17" fillId="11" borderId="20" xfId="5" applyFont="1" applyFill="1" applyBorder="1" applyAlignment="1" applyProtection="1">
      <alignment horizontal="center" vertical="center" wrapText="1"/>
      <protection locked="0"/>
    </xf>
    <xf numFmtId="0" fontId="17" fillId="11" borderId="82" xfId="5" applyFont="1" applyFill="1" applyBorder="1" applyAlignment="1" applyProtection="1">
      <alignment horizontal="center" vertical="center" wrapText="1"/>
      <protection locked="0"/>
    </xf>
    <xf numFmtId="0" fontId="17" fillId="11" borderId="65" xfId="5" applyFont="1" applyFill="1" applyBorder="1" applyAlignment="1" applyProtection="1">
      <alignment horizontal="center" vertical="center" wrapText="1"/>
      <protection locked="0"/>
    </xf>
    <xf numFmtId="0" fontId="17" fillId="11" borderId="42" xfId="5" applyFont="1" applyFill="1" applyBorder="1" applyAlignment="1" applyProtection="1">
      <alignment horizontal="center" vertical="center" wrapText="1"/>
      <protection locked="0"/>
    </xf>
    <xf numFmtId="0" fontId="17" fillId="11" borderId="43" xfId="5" applyFont="1" applyFill="1" applyBorder="1" applyAlignment="1" applyProtection="1">
      <alignment horizontal="center" vertical="center" wrapText="1"/>
      <protection locked="0"/>
    </xf>
    <xf numFmtId="0" fontId="17" fillId="11" borderId="37" xfId="5" applyFont="1" applyFill="1" applyBorder="1" applyAlignment="1" applyProtection="1">
      <alignment horizontal="center" vertical="center" wrapText="1"/>
      <protection locked="0"/>
    </xf>
    <xf numFmtId="0" fontId="17" fillId="11" borderId="81" xfId="5" applyFont="1" applyFill="1" applyBorder="1" applyAlignment="1" applyProtection="1">
      <alignment horizontal="center" vertical="center" wrapText="1"/>
      <protection locked="0"/>
    </xf>
    <xf numFmtId="0" fontId="17" fillId="11" borderId="64" xfId="5" applyFont="1" applyFill="1" applyBorder="1" applyAlignment="1" applyProtection="1">
      <alignment horizontal="center" vertical="center" wrapText="1"/>
      <protection locked="0"/>
    </xf>
    <xf numFmtId="0" fontId="17" fillId="11" borderId="96" xfId="5" applyFont="1" applyFill="1" applyBorder="1" applyAlignment="1" applyProtection="1">
      <alignment horizontal="center" vertical="center" wrapText="1"/>
      <protection locked="0"/>
    </xf>
    <xf numFmtId="0" fontId="17" fillId="11" borderId="71" xfId="5" applyFont="1" applyFill="1" applyBorder="1" applyAlignment="1" applyProtection="1">
      <alignment horizontal="center" vertical="center" wrapText="1"/>
      <protection locked="0"/>
    </xf>
    <xf numFmtId="0" fontId="18" fillId="11" borderId="95" xfId="5" applyFont="1" applyFill="1" applyBorder="1" applyAlignment="1" applyProtection="1">
      <alignment horizontal="center" vertical="center" wrapText="1"/>
      <protection locked="0"/>
    </xf>
    <xf numFmtId="0" fontId="18" fillId="11" borderId="70" xfId="5" applyFont="1" applyFill="1" applyBorder="1" applyAlignment="1" applyProtection="1">
      <alignment horizontal="center" vertical="center" wrapText="1"/>
      <protection locked="0"/>
    </xf>
    <xf numFmtId="0" fontId="17" fillId="11" borderId="39" xfId="5" applyFont="1" applyFill="1" applyBorder="1" applyAlignment="1" applyProtection="1">
      <alignment horizontal="center" vertical="center" wrapText="1"/>
      <protection locked="0"/>
    </xf>
    <xf numFmtId="0" fontId="17" fillId="11" borderId="110" xfId="5" applyFont="1" applyFill="1" applyBorder="1" applyAlignment="1" applyProtection="1">
      <alignment horizontal="center" vertical="center" wrapText="1"/>
      <protection locked="0"/>
    </xf>
    <xf numFmtId="0" fontId="17" fillId="11" borderId="111" xfId="5" applyFont="1" applyFill="1" applyBorder="1" applyAlignment="1" applyProtection="1">
      <alignment horizontal="center" vertical="center" wrapText="1"/>
      <protection locked="0"/>
    </xf>
    <xf numFmtId="0" fontId="17" fillId="11" borderId="38" xfId="5" applyFont="1" applyFill="1" applyBorder="1" applyAlignment="1" applyProtection="1">
      <alignment horizontal="center" vertical="center" wrapText="1"/>
      <protection locked="0"/>
    </xf>
    <xf numFmtId="0" fontId="15" fillId="0" borderId="21" xfId="1" applyFont="1" applyBorder="1" applyAlignment="1" applyProtection="1">
      <alignment horizontal="center" vertical="center"/>
      <protection locked="0"/>
    </xf>
    <xf numFmtId="0" fontId="7" fillId="8" borderId="36" xfId="2" applyFont="1" applyFill="1" applyBorder="1" applyAlignment="1" applyProtection="1">
      <alignment horizontal="center" vertical="center" wrapText="1"/>
    </xf>
    <xf numFmtId="0" fontId="7" fillId="8" borderId="9" xfId="2" applyFont="1" applyFill="1" applyBorder="1" applyAlignment="1" applyProtection="1">
      <alignment horizontal="center" vertical="center" wrapText="1"/>
    </xf>
    <xf numFmtId="0" fontId="7" fillId="8" borderId="34" xfId="2" applyFont="1" applyFill="1" applyBorder="1" applyAlignment="1" applyProtection="1">
      <alignment horizontal="center" vertical="center" wrapText="1"/>
    </xf>
    <xf numFmtId="0" fontId="7" fillId="8" borderId="33" xfId="2" applyFont="1" applyFill="1" applyBorder="1" applyAlignment="1" applyProtection="1">
      <alignment horizontal="center" vertical="center" wrapText="1"/>
    </xf>
    <xf numFmtId="0" fontId="7" fillId="8" borderId="22" xfId="2" applyFont="1" applyFill="1" applyBorder="1" applyAlignment="1" applyProtection="1">
      <alignment horizontal="center" vertical="center" wrapText="1"/>
    </xf>
    <xf numFmtId="0" fontId="7" fillId="8" borderId="20" xfId="2" applyFont="1" applyFill="1" applyBorder="1" applyAlignment="1" applyProtection="1">
      <alignment horizontal="center" vertical="center" wrapText="1"/>
    </xf>
    <xf numFmtId="0" fontId="7" fillId="8" borderId="35" xfId="1" applyFont="1" applyFill="1" applyBorder="1" applyAlignment="1">
      <alignment horizontal="center" vertical="center" wrapText="1"/>
    </xf>
    <xf numFmtId="0" fontId="7" fillId="8" borderId="8" xfId="1" applyFont="1" applyFill="1" applyBorder="1" applyAlignment="1">
      <alignment horizontal="center" vertical="center" wrapText="1"/>
    </xf>
    <xf numFmtId="0" fontId="7" fillId="8" borderId="4" xfId="1" applyFont="1" applyFill="1" applyBorder="1" applyAlignment="1">
      <alignment horizontal="center" vertical="center" wrapText="1"/>
    </xf>
    <xf numFmtId="0" fontId="10" fillId="0" borderId="42" xfId="2" applyFont="1" applyFill="1" applyBorder="1" applyAlignment="1" applyProtection="1">
      <alignment horizontal="center" vertical="center" wrapText="1"/>
      <protection locked="0"/>
    </xf>
    <xf numFmtId="0" fontId="10" fillId="0" borderId="37" xfId="2" applyFont="1" applyFill="1" applyBorder="1" applyAlignment="1" applyProtection="1">
      <alignment horizontal="center" vertical="center" wrapText="1"/>
      <protection locked="0"/>
    </xf>
    <xf numFmtId="0" fontId="10" fillId="0" borderId="39" xfId="2" applyFont="1" applyFill="1" applyBorder="1" applyAlignment="1" applyProtection="1">
      <alignment horizontal="center" vertical="center" wrapText="1"/>
      <protection locked="0"/>
    </xf>
    <xf numFmtId="0" fontId="10" fillId="0" borderId="38" xfId="2" applyFont="1" applyFill="1" applyBorder="1" applyAlignment="1" applyProtection="1">
      <alignment horizontal="center" vertical="center" wrapText="1"/>
      <protection locked="0"/>
    </xf>
    <xf numFmtId="0" fontId="10" fillId="0" borderId="41" xfId="2" applyFont="1" applyFill="1" applyBorder="1" applyAlignment="1" applyProtection="1">
      <alignment horizontal="center" vertical="center" wrapText="1"/>
      <protection locked="0"/>
    </xf>
    <xf numFmtId="0" fontId="10" fillId="0" borderId="40" xfId="2" applyFont="1" applyFill="1" applyBorder="1" applyAlignment="1" applyProtection="1">
      <alignment horizontal="center" vertical="center" wrapText="1"/>
      <protection locked="0"/>
    </xf>
    <xf numFmtId="0" fontId="17" fillId="11" borderId="95" xfId="5" applyFont="1" applyFill="1" applyBorder="1" applyAlignment="1" applyProtection="1">
      <alignment horizontal="center" vertical="center" wrapText="1"/>
      <protection locked="0"/>
    </xf>
    <xf numFmtId="0" fontId="17" fillId="11" borderId="70" xfId="5" applyFont="1" applyFill="1" applyBorder="1" applyAlignment="1" applyProtection="1">
      <alignment horizontal="center" vertical="center" wrapText="1"/>
      <protection locked="0"/>
    </xf>
    <xf numFmtId="0" fontId="17" fillId="11" borderId="26" xfId="5" applyFont="1" applyFill="1" applyBorder="1" applyAlignment="1" applyProtection="1">
      <alignment horizontal="center" vertical="center" wrapText="1"/>
      <protection locked="0"/>
    </xf>
    <xf numFmtId="0" fontId="16" fillId="9" borderId="35" xfId="1" applyFont="1" applyFill="1" applyBorder="1" applyAlignment="1" applyProtection="1">
      <alignment horizontal="center" vertical="center" wrapText="1"/>
      <protection locked="0"/>
    </xf>
    <xf numFmtId="0" fontId="16" fillId="9" borderId="4" xfId="1" applyFont="1" applyFill="1" applyBorder="1" applyAlignment="1" applyProtection="1">
      <alignment horizontal="center" vertical="center" wrapText="1"/>
      <protection locked="0"/>
    </xf>
    <xf numFmtId="0" fontId="19" fillId="10" borderId="76" xfId="5" applyFont="1" applyBorder="1" applyAlignment="1" applyProtection="1">
      <alignment horizontal="center" vertical="center"/>
      <protection locked="0"/>
    </xf>
    <xf numFmtId="0" fontId="19" fillId="10" borderId="12" xfId="5" applyFont="1" applyBorder="1" applyAlignment="1" applyProtection="1">
      <alignment horizontal="center" vertical="center"/>
      <protection locked="0"/>
    </xf>
    <xf numFmtId="0" fontId="17" fillId="11" borderId="28" xfId="5" applyFont="1" applyFill="1" applyBorder="1" applyAlignment="1" applyProtection="1">
      <alignment horizontal="center" vertical="center" wrapText="1"/>
      <protection locked="0"/>
    </xf>
    <xf numFmtId="0" fontId="17" fillId="11" borderId="108" xfId="5" applyFont="1" applyFill="1" applyBorder="1" applyAlignment="1" applyProtection="1">
      <alignment horizontal="center" vertical="center" wrapText="1"/>
      <protection locked="0"/>
    </xf>
    <xf numFmtId="0" fontId="17" fillId="11" borderId="109" xfId="5" applyFont="1" applyFill="1" applyBorder="1" applyAlignment="1" applyProtection="1">
      <alignment horizontal="center" vertical="center" wrapText="1"/>
      <protection locked="0"/>
    </xf>
    <xf numFmtId="0" fontId="17" fillId="11" borderId="27" xfId="5" applyFont="1" applyFill="1" applyBorder="1" applyAlignment="1" applyProtection="1">
      <alignment horizontal="center" vertical="center" wrapText="1"/>
      <protection locked="0"/>
    </xf>
    <xf numFmtId="0" fontId="10" fillId="0" borderId="48" xfId="2" applyFont="1" applyFill="1" applyBorder="1" applyAlignment="1" applyProtection="1">
      <alignment horizontal="center" vertical="center" wrapText="1"/>
      <protection locked="0"/>
    </xf>
    <xf numFmtId="0" fontId="10" fillId="0" borderId="20" xfId="2" applyFont="1" applyFill="1" applyBorder="1" applyAlignment="1" applyProtection="1">
      <alignment horizontal="center" vertical="center" wrapText="1"/>
      <protection locked="0"/>
    </xf>
    <xf numFmtId="0" fontId="10" fillId="0" borderId="14" xfId="2" applyFont="1" applyFill="1" applyBorder="1" applyAlignment="1" applyProtection="1">
      <alignment horizontal="center" vertical="center" wrapText="1"/>
      <protection locked="0"/>
    </xf>
    <xf numFmtId="0" fontId="10" fillId="0" borderId="13" xfId="2" applyFont="1" applyFill="1" applyBorder="1" applyAlignment="1" applyProtection="1">
      <alignment horizontal="center" vertical="center" wrapText="1"/>
      <protection locked="0"/>
    </xf>
    <xf numFmtId="0" fontId="10" fillId="0" borderId="16" xfId="2" applyFont="1" applyFill="1" applyBorder="1" applyAlignment="1" applyProtection="1">
      <alignment horizontal="center" vertical="center" wrapText="1"/>
      <protection locked="0"/>
    </xf>
    <xf numFmtId="0" fontId="10" fillId="0" borderId="15" xfId="2" applyFont="1" applyFill="1" applyBorder="1" applyAlignment="1" applyProtection="1">
      <alignment horizontal="center" vertical="center" wrapText="1"/>
      <protection locked="0"/>
    </xf>
    <xf numFmtId="0" fontId="10" fillId="0" borderId="18" xfId="2" applyFont="1" applyFill="1" applyBorder="1" applyAlignment="1" applyProtection="1">
      <alignment horizontal="center" vertical="center" wrapText="1"/>
      <protection locked="0"/>
    </xf>
    <xf numFmtId="0" fontId="10" fillId="0" borderId="51" xfId="2" applyFont="1" applyFill="1" applyBorder="1" applyAlignment="1" applyProtection="1">
      <alignment horizontal="center" vertical="center" wrapText="1"/>
      <protection locked="0"/>
    </xf>
    <xf numFmtId="0" fontId="10" fillId="0" borderId="49" xfId="2" applyFont="1" applyFill="1" applyBorder="1" applyAlignment="1" applyProtection="1">
      <alignment horizontal="center" vertical="center" wrapText="1"/>
      <protection locked="0"/>
    </xf>
    <xf numFmtId="0" fontId="10" fillId="0" borderId="50" xfId="2" applyFont="1" applyFill="1" applyBorder="1" applyAlignment="1" applyProtection="1">
      <alignment horizontal="center" vertical="center" wrapText="1"/>
      <protection locked="0"/>
    </xf>
    <xf numFmtId="0" fontId="7" fillId="8" borderId="59" xfId="2" applyFont="1" applyFill="1" applyBorder="1" applyAlignment="1" applyProtection="1">
      <alignment horizontal="center" vertical="center" wrapText="1"/>
    </xf>
    <xf numFmtId="0" fontId="7" fillId="8" borderId="97" xfId="2" applyFont="1" applyFill="1" applyBorder="1" applyAlignment="1" applyProtection="1">
      <alignment horizontal="center" vertical="center" wrapText="1"/>
    </xf>
    <xf numFmtId="0" fontId="7" fillId="8" borderId="52" xfId="2" applyFont="1" applyFill="1" applyBorder="1" applyAlignment="1" applyProtection="1">
      <alignment horizontal="center" vertical="center" wrapText="1"/>
    </xf>
    <xf numFmtId="0" fontId="7" fillId="5" borderId="35" xfId="2" applyFont="1" applyFill="1" applyBorder="1" applyAlignment="1" applyProtection="1">
      <alignment horizontal="center" vertical="center" wrapText="1"/>
    </xf>
    <xf numFmtId="0" fontId="7" fillId="5" borderId="8" xfId="2" applyFont="1" applyFill="1" applyBorder="1" applyAlignment="1" applyProtection="1">
      <alignment horizontal="center" vertical="center" wrapText="1"/>
    </xf>
    <xf numFmtId="0" fontId="7" fillId="5" borderId="4" xfId="2" applyFont="1" applyFill="1" applyBorder="1" applyAlignment="1" applyProtection="1">
      <alignment horizontal="center" vertical="center" wrapText="1"/>
    </xf>
    <xf numFmtId="0" fontId="10" fillId="0" borderId="31" xfId="2" applyFont="1" applyFill="1" applyBorder="1" applyAlignment="1" applyProtection="1">
      <alignment horizontal="center" vertical="center" wrapText="1"/>
      <protection locked="0"/>
    </xf>
    <xf numFmtId="0" fontId="10" fillId="0" borderId="26" xfId="2" applyFont="1" applyFill="1" applyBorder="1" applyAlignment="1" applyProtection="1">
      <alignment horizontal="center" vertical="center" wrapText="1"/>
      <protection locked="0"/>
    </xf>
    <xf numFmtId="0" fontId="10" fillId="0" borderId="28" xfId="2" applyFont="1" applyFill="1" applyBorder="1" applyAlignment="1" applyProtection="1">
      <alignment horizontal="center" vertical="center" wrapText="1"/>
      <protection locked="0"/>
    </xf>
    <xf numFmtId="0" fontId="10" fillId="0" borderId="27" xfId="2" applyFont="1" applyFill="1" applyBorder="1" applyAlignment="1" applyProtection="1">
      <alignment horizontal="center" vertical="center" wrapText="1"/>
      <protection locked="0"/>
    </xf>
    <xf numFmtId="0" fontId="10" fillId="0" borderId="30" xfId="2" applyFont="1" applyFill="1" applyBorder="1" applyAlignment="1" applyProtection="1">
      <alignment horizontal="center" vertical="center" wrapText="1"/>
      <protection locked="0"/>
    </xf>
    <xf numFmtId="0" fontId="10" fillId="0" borderId="29" xfId="2" applyFont="1" applyFill="1" applyBorder="1" applyAlignment="1" applyProtection="1">
      <alignment horizontal="center" vertical="center" wrapText="1"/>
      <protection locked="0"/>
    </xf>
    <xf numFmtId="0" fontId="10" fillId="0" borderId="80" xfId="2" applyFont="1" applyFill="1" applyBorder="1" applyAlignment="1" applyProtection="1">
      <alignment horizontal="center" vertical="center" wrapText="1"/>
      <protection locked="0"/>
    </xf>
    <xf numFmtId="0" fontId="10" fillId="0" borderId="12" xfId="2" applyFont="1" applyFill="1" applyBorder="1" applyAlignment="1" applyProtection="1">
      <alignment horizontal="center" vertical="center" wrapText="1"/>
      <protection locked="0"/>
    </xf>
    <xf numFmtId="0" fontId="10" fillId="0" borderId="73" xfId="2" applyFont="1" applyFill="1" applyBorder="1" applyAlignment="1" applyProtection="1">
      <alignment horizontal="center" vertical="center" wrapText="1"/>
      <protection locked="0"/>
    </xf>
    <xf numFmtId="0" fontId="10" fillId="0" borderId="76" xfId="2" applyFont="1" applyFill="1" applyBorder="1" applyAlignment="1" applyProtection="1">
      <alignment horizontal="center" vertical="center" wrapText="1"/>
      <protection locked="0"/>
    </xf>
    <xf numFmtId="0" fontId="10" fillId="0" borderId="75" xfId="2" applyFont="1" applyFill="1" applyBorder="1" applyAlignment="1" applyProtection="1">
      <alignment horizontal="center" vertical="center" wrapText="1"/>
      <protection locked="0"/>
    </xf>
    <xf numFmtId="0" fontId="10" fillId="0" borderId="22" xfId="2" applyFont="1" applyFill="1" applyBorder="1" applyAlignment="1" applyProtection="1">
      <alignment horizontal="center" vertical="center" wrapText="1"/>
      <protection locked="0"/>
    </xf>
    <xf numFmtId="0" fontId="10" fillId="0" borderId="17" xfId="2" applyFont="1" applyFill="1" applyBorder="1" applyAlignment="1" applyProtection="1">
      <alignment horizontal="center" vertical="center" wrapText="1"/>
      <protection locked="0"/>
    </xf>
    <xf numFmtId="0" fontId="2" fillId="0" borderId="99" xfId="1" applyBorder="1" applyAlignment="1" applyProtection="1">
      <alignment horizontal="center" vertical="center"/>
      <protection locked="0"/>
    </xf>
    <xf numFmtId="0" fontId="2" fillId="0" borderId="98" xfId="1" applyBorder="1" applyAlignment="1" applyProtection="1">
      <alignment horizontal="center" vertical="center"/>
      <protection locked="0"/>
    </xf>
    <xf numFmtId="0" fontId="10" fillId="0" borderId="74" xfId="2" applyFont="1" applyFill="1" applyBorder="1" applyAlignment="1" applyProtection="1">
      <alignment horizontal="center" vertical="center" wrapText="1"/>
      <protection locked="0"/>
    </xf>
    <xf numFmtId="0" fontId="10" fillId="0" borderId="36" xfId="2" applyFont="1" applyFill="1" applyBorder="1" applyAlignment="1" applyProtection="1">
      <alignment horizontal="center" vertical="center" wrapText="1"/>
      <protection locked="0"/>
    </xf>
    <xf numFmtId="0" fontId="10" fillId="0" borderId="56" xfId="2" applyFont="1" applyFill="1" applyBorder="1" applyAlignment="1" applyProtection="1">
      <alignment horizontal="center" vertical="center" wrapText="1"/>
      <protection locked="0"/>
    </xf>
    <xf numFmtId="0" fontId="10" fillId="0" borderId="55" xfId="2" applyFont="1" applyFill="1" applyBorder="1" applyAlignment="1" applyProtection="1">
      <alignment horizontal="center" vertical="center" wrapText="1"/>
      <protection locked="0"/>
    </xf>
    <xf numFmtId="0" fontId="10" fillId="0" borderId="57" xfId="2" applyFont="1" applyFill="1" applyBorder="1" applyAlignment="1" applyProtection="1">
      <alignment horizontal="center" vertical="center" wrapText="1"/>
      <protection locked="0"/>
    </xf>
    <xf numFmtId="0" fontId="10" fillId="0" borderId="58" xfId="2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10" fillId="0" borderId="9" xfId="2" applyFont="1" applyFill="1" applyBorder="1" applyAlignment="1" applyProtection="1">
      <alignment horizontal="center" vertical="center" wrapText="1"/>
      <protection locked="0"/>
    </xf>
    <xf numFmtId="0" fontId="7" fillId="5" borderId="94" xfId="2" applyFont="1" applyFill="1" applyBorder="1" applyAlignment="1" applyProtection="1">
      <alignment horizontal="center" vertical="center" wrapText="1"/>
    </xf>
    <xf numFmtId="0" fontId="7" fillId="8" borderId="36" xfId="4" applyFont="1" applyFill="1" applyBorder="1" applyAlignment="1" applyProtection="1">
      <alignment horizontal="center" vertical="center" wrapText="1"/>
    </xf>
    <xf numFmtId="0" fontId="7" fillId="8" borderId="9" xfId="4" applyFont="1" applyFill="1" applyBorder="1" applyAlignment="1" applyProtection="1">
      <alignment horizontal="center" vertical="center" wrapText="1"/>
    </xf>
    <xf numFmtId="0" fontId="7" fillId="8" borderId="34" xfId="4" applyFont="1" applyFill="1" applyBorder="1" applyAlignment="1" applyProtection="1">
      <alignment horizontal="center" vertical="center" wrapText="1"/>
    </xf>
    <xf numFmtId="0" fontId="7" fillId="8" borderId="33" xfId="4" applyFont="1" applyFill="1" applyBorder="1" applyAlignment="1" applyProtection="1">
      <alignment horizontal="center" vertical="center" wrapText="1"/>
    </xf>
    <xf numFmtId="0" fontId="7" fillId="8" borderId="22" xfId="4" applyFont="1" applyFill="1" applyBorder="1" applyAlignment="1" applyProtection="1">
      <alignment horizontal="center" vertical="center" wrapText="1"/>
    </xf>
    <xf numFmtId="0" fontId="7" fillId="8" borderId="20" xfId="4" applyFont="1" applyFill="1" applyBorder="1" applyAlignment="1" applyProtection="1">
      <alignment horizontal="center" vertical="center" wrapText="1"/>
    </xf>
    <xf numFmtId="0" fontId="7" fillId="8" borderId="59" xfId="4" applyFont="1" applyFill="1" applyBorder="1" applyAlignment="1" applyProtection="1">
      <alignment horizontal="center" vertical="center" wrapText="1"/>
    </xf>
    <xf numFmtId="0" fontId="7" fillId="8" borderId="97" xfId="4" applyFont="1" applyFill="1" applyBorder="1" applyAlignment="1" applyProtection="1">
      <alignment horizontal="center" vertical="center" wrapText="1"/>
    </xf>
    <xf numFmtId="0" fontId="7" fillId="8" borderId="52" xfId="4" applyFont="1" applyFill="1" applyBorder="1" applyAlignment="1" applyProtection="1">
      <alignment horizontal="center" vertical="center" wrapText="1"/>
    </xf>
    <xf numFmtId="0" fontId="13" fillId="8" borderId="35" xfId="1" applyFont="1" applyFill="1" applyBorder="1" applyAlignment="1">
      <alignment horizontal="center" vertical="center" wrapText="1"/>
    </xf>
    <xf numFmtId="0" fontId="13" fillId="8" borderId="8" xfId="1" applyFont="1" applyFill="1" applyBorder="1" applyAlignment="1">
      <alignment horizontal="center" vertical="center" wrapText="1"/>
    </xf>
    <xf numFmtId="0" fontId="12" fillId="8" borderId="36" xfId="2" applyFont="1" applyFill="1" applyBorder="1" applyAlignment="1" applyProtection="1">
      <alignment horizontal="center" vertical="center" wrapText="1"/>
    </xf>
    <xf numFmtId="0" fontId="12" fillId="8" borderId="9" xfId="2" applyFont="1" applyFill="1" applyBorder="1" applyAlignment="1" applyProtection="1">
      <alignment horizontal="center" vertical="center" wrapText="1"/>
    </xf>
    <xf numFmtId="0" fontId="12" fillId="8" borderId="34" xfId="2" applyFont="1" applyFill="1" applyBorder="1" applyAlignment="1" applyProtection="1">
      <alignment horizontal="center" vertical="center" wrapText="1"/>
    </xf>
    <xf numFmtId="0" fontId="12" fillId="8" borderId="33" xfId="2" applyFont="1" applyFill="1" applyBorder="1" applyAlignment="1" applyProtection="1">
      <alignment horizontal="center" vertical="center" wrapText="1"/>
    </xf>
    <xf numFmtId="176" fontId="7" fillId="8" borderId="36" xfId="1" applyNumberFormat="1" applyFont="1" applyFill="1" applyBorder="1" applyAlignment="1">
      <alignment horizontal="center" vertical="center" wrapText="1"/>
    </xf>
    <xf numFmtId="176" fontId="7" fillId="8" borderId="9" xfId="1" applyNumberFormat="1" applyFont="1" applyFill="1" applyBorder="1" applyAlignment="1">
      <alignment horizontal="center" vertical="center" wrapText="1"/>
    </xf>
    <xf numFmtId="176" fontId="7" fillId="8" borderId="22" xfId="1" applyNumberFormat="1" applyFont="1" applyFill="1" applyBorder="1" applyAlignment="1">
      <alignment horizontal="center" vertical="center" wrapText="1"/>
    </xf>
    <xf numFmtId="176" fontId="7" fillId="8" borderId="20" xfId="1" applyNumberFormat="1" applyFont="1" applyFill="1" applyBorder="1" applyAlignment="1">
      <alignment horizontal="center" vertical="center" wrapText="1"/>
    </xf>
    <xf numFmtId="0" fontId="10" fillId="0" borderId="42" xfId="1" applyFont="1" applyBorder="1" applyAlignment="1" applyProtection="1">
      <alignment horizontal="center" vertical="center" wrapText="1"/>
      <protection locked="0"/>
    </xf>
    <xf numFmtId="0" fontId="10" fillId="0" borderId="37" xfId="1" applyFont="1" applyBorder="1" applyAlignment="1" applyProtection="1">
      <alignment horizontal="center" vertical="center" wrapText="1"/>
      <protection locked="0"/>
    </xf>
    <xf numFmtId="0" fontId="7" fillId="7" borderId="3" xfId="3" applyFont="1" applyFill="1" applyBorder="1" applyAlignment="1" applyProtection="1">
      <alignment horizontal="center" vertical="center" wrapText="1"/>
    </xf>
    <xf numFmtId="0" fontId="7" fillId="7" borderId="5" xfId="3" applyFont="1" applyFill="1" applyBorder="1" applyAlignment="1" applyProtection="1">
      <alignment horizontal="center" vertical="center" wrapText="1"/>
    </xf>
    <xf numFmtId="0" fontId="7" fillId="7" borderId="2" xfId="3" applyFont="1" applyFill="1" applyBorder="1" applyAlignment="1" applyProtection="1">
      <alignment horizontal="center" vertical="center" wrapText="1"/>
    </xf>
    <xf numFmtId="0" fontId="7" fillId="7" borderId="47" xfId="3" applyFont="1" applyFill="1" applyBorder="1" applyAlignment="1" applyProtection="1">
      <alignment horizontal="center" vertical="center" wrapText="1"/>
    </xf>
    <xf numFmtId="0" fontId="7" fillId="7" borderId="46" xfId="3" applyFont="1" applyFill="1" applyBorder="1" applyAlignment="1" applyProtection="1">
      <alignment horizontal="center" vertical="center" wrapText="1"/>
    </xf>
    <xf numFmtId="0" fontId="7" fillId="7" borderId="10" xfId="3" applyFont="1" applyFill="1" applyBorder="1" applyAlignment="1" applyProtection="1">
      <alignment horizontal="center" vertical="center" wrapText="1"/>
    </xf>
    <xf numFmtId="0" fontId="7" fillId="7" borderId="92" xfId="3" applyFont="1" applyFill="1" applyBorder="1" applyAlignment="1" applyProtection="1">
      <alignment horizontal="center" vertical="center" wrapText="1"/>
    </xf>
    <xf numFmtId="0" fontId="7" fillId="7" borderId="91" xfId="3" applyFont="1" applyFill="1" applyBorder="1" applyAlignment="1" applyProtection="1">
      <alignment horizontal="center" vertical="center" wrapText="1"/>
    </xf>
    <xf numFmtId="0" fontId="10" fillId="0" borderId="31" xfId="1" applyFont="1" applyBorder="1" applyAlignment="1" applyProtection="1">
      <alignment horizontal="center" vertical="center" wrapText="1"/>
      <protection locked="0"/>
    </xf>
    <xf numFmtId="0" fontId="10" fillId="0" borderId="26" xfId="1" applyFont="1" applyBorder="1" applyAlignment="1" applyProtection="1">
      <alignment horizontal="center" vertical="center" wrapText="1"/>
      <protection locked="0"/>
    </xf>
    <xf numFmtId="0" fontId="10" fillId="0" borderId="31" xfId="1" applyFont="1" applyBorder="1" applyAlignment="1" applyProtection="1">
      <alignment horizontal="center" vertical="center" shrinkToFit="1"/>
      <protection locked="0"/>
    </xf>
    <xf numFmtId="0" fontId="10" fillId="0" borderId="26" xfId="1" applyFont="1" applyBorder="1" applyAlignment="1" applyProtection="1">
      <alignment horizontal="center" vertical="center" shrinkToFit="1"/>
      <protection locked="0"/>
    </xf>
    <xf numFmtId="0" fontId="7" fillId="7" borderId="11" xfId="3" applyFont="1" applyFill="1" applyBorder="1" applyAlignment="1" applyProtection="1">
      <alignment horizontal="center" vertical="center" wrapText="1"/>
    </xf>
    <xf numFmtId="0" fontId="7" fillId="7" borderId="45" xfId="3" applyFont="1" applyFill="1" applyBorder="1" applyAlignment="1" applyProtection="1">
      <alignment horizontal="center" vertical="center" wrapText="1"/>
    </xf>
    <xf numFmtId="0" fontId="3" fillId="3" borderId="2" xfId="1" applyFont="1" applyFill="1" applyBorder="1" applyAlignment="1" applyProtection="1">
      <alignment horizontal="center" vertical="center"/>
      <protection locked="0"/>
    </xf>
    <xf numFmtId="0" fontId="10" fillId="0" borderId="22" xfId="1" applyFont="1" applyBorder="1" applyAlignment="1" applyProtection="1">
      <alignment horizontal="center" vertical="center" wrapText="1"/>
      <protection locked="0"/>
    </xf>
    <xf numFmtId="0" fontId="10" fillId="0" borderId="20" xfId="1" applyFont="1" applyBorder="1" applyAlignment="1" applyProtection="1">
      <alignment horizontal="center" vertical="center" wrapText="1"/>
      <protection locked="0"/>
    </xf>
    <xf numFmtId="0" fontId="7" fillId="8" borderId="31" xfId="4" applyFont="1" applyFill="1" applyBorder="1" applyAlignment="1" applyProtection="1">
      <alignment horizontal="center" vertical="center" wrapText="1"/>
    </xf>
    <xf numFmtId="0" fontId="7" fillId="8" borderId="26" xfId="4" applyFont="1" applyFill="1" applyBorder="1" applyAlignment="1" applyProtection="1">
      <alignment horizontal="center" vertical="center" wrapText="1"/>
    </xf>
    <xf numFmtId="0" fontId="10" fillId="0" borderId="25" xfId="1" applyFont="1" applyBorder="1" applyAlignment="1" applyProtection="1">
      <alignment horizontal="center" vertical="center" wrapText="1"/>
      <protection locked="0"/>
    </xf>
    <xf numFmtId="0" fontId="10" fillId="0" borderId="24" xfId="1" applyFont="1" applyBorder="1" applyAlignment="1" applyProtection="1">
      <alignment horizontal="center" vertical="center" wrapText="1"/>
      <protection locked="0"/>
    </xf>
    <xf numFmtId="0" fontId="10" fillId="0" borderId="25" xfId="2" applyFont="1" applyFill="1" applyBorder="1" applyAlignment="1" applyProtection="1">
      <alignment horizontal="center" vertical="center" wrapText="1"/>
      <protection locked="0"/>
    </xf>
    <xf numFmtId="0" fontId="10" fillId="0" borderId="67" xfId="2" applyFont="1" applyFill="1" applyBorder="1" applyAlignment="1" applyProtection="1">
      <alignment horizontal="center" vertical="center" wrapText="1"/>
      <protection locked="0"/>
    </xf>
    <xf numFmtId="0" fontId="10" fillId="0" borderId="66" xfId="2" applyFont="1" applyFill="1" applyBorder="1" applyAlignment="1" applyProtection="1">
      <alignment horizontal="center" vertical="center" wrapText="1"/>
      <protection locked="0"/>
    </xf>
    <xf numFmtId="0" fontId="10" fillId="0" borderId="68" xfId="2" applyFont="1" applyFill="1" applyBorder="1" applyAlignment="1" applyProtection="1">
      <alignment horizontal="center" vertical="center" wrapText="1"/>
      <protection locked="0"/>
    </xf>
    <xf numFmtId="0" fontId="10" fillId="0" borderId="90" xfId="2" applyFont="1" applyFill="1" applyBorder="1" applyAlignment="1" applyProtection="1">
      <alignment horizontal="center" vertical="center" wrapText="1"/>
      <protection locked="0"/>
    </xf>
    <xf numFmtId="0" fontId="10" fillId="0" borderId="69" xfId="2" applyFont="1" applyFill="1" applyBorder="1" applyAlignment="1" applyProtection="1">
      <alignment horizontal="center" vertical="center" wrapText="1"/>
      <protection locked="0"/>
    </xf>
    <xf numFmtId="0" fontId="10" fillId="0" borderId="24" xfId="2" applyFont="1" applyFill="1" applyBorder="1" applyAlignment="1" applyProtection="1">
      <alignment horizontal="center" vertical="center" wrapText="1"/>
      <protection locked="0"/>
    </xf>
    <xf numFmtId="0" fontId="10" fillId="0" borderId="32" xfId="2" applyFont="1" applyFill="1" applyBorder="1" applyAlignment="1" applyProtection="1">
      <alignment horizontal="center" vertical="center" wrapText="1"/>
      <protection locked="0"/>
    </xf>
    <xf numFmtId="0" fontId="10" fillId="0" borderId="43" xfId="2" applyFont="1" applyFill="1" applyBorder="1" applyAlignment="1" applyProtection="1">
      <alignment horizontal="center" vertical="center" wrapText="1"/>
      <protection locked="0"/>
    </xf>
    <xf numFmtId="0" fontId="10" fillId="0" borderId="14" xfId="1" applyFont="1" applyBorder="1" applyAlignment="1" applyProtection="1">
      <alignment horizontal="center" vertical="center" shrinkToFit="1"/>
      <protection locked="0"/>
    </xf>
    <xf numFmtId="0" fontId="10" fillId="0" borderId="13" xfId="1" applyFont="1" applyBorder="1" applyAlignment="1" applyProtection="1">
      <alignment horizontal="center" vertical="center" shrinkToFit="1"/>
      <protection locked="0"/>
    </xf>
    <xf numFmtId="0" fontId="10" fillId="0" borderId="42" xfId="1" applyFont="1" applyBorder="1" applyAlignment="1" applyProtection="1">
      <alignment horizontal="center" vertical="center" shrinkToFit="1"/>
      <protection locked="0"/>
    </xf>
    <xf numFmtId="0" fontId="10" fillId="0" borderId="37" xfId="1" applyFont="1" applyBorder="1" applyAlignment="1" applyProtection="1">
      <alignment horizontal="center" vertical="center" shrinkToFit="1"/>
      <protection locked="0"/>
    </xf>
    <xf numFmtId="0" fontId="10" fillId="0" borderId="80" xfId="1" applyFont="1" applyBorder="1" applyAlignment="1" applyProtection="1">
      <alignment horizontal="center" vertical="center" shrinkToFit="1"/>
      <protection locked="0"/>
    </xf>
    <xf numFmtId="0" fontId="10" fillId="0" borderId="12" xfId="1" applyFont="1" applyBorder="1" applyAlignment="1" applyProtection="1">
      <alignment horizontal="center" vertical="center" shrinkToFit="1"/>
      <protection locked="0"/>
    </xf>
    <xf numFmtId="0" fontId="12" fillId="8" borderId="35" xfId="2" applyFont="1" applyFill="1" applyBorder="1" applyAlignment="1" applyProtection="1">
      <alignment horizontal="center" vertical="center" wrapText="1"/>
    </xf>
    <xf numFmtId="0" fontId="12" fillId="8" borderId="8" xfId="2" applyFont="1" applyFill="1" applyBorder="1" applyAlignment="1" applyProtection="1">
      <alignment horizontal="center" vertical="center" wrapText="1"/>
    </xf>
    <xf numFmtId="0" fontId="7" fillId="8" borderId="35" xfId="2" applyFont="1" applyFill="1" applyBorder="1" applyAlignment="1" applyProtection="1">
      <alignment horizontal="center" vertical="center" wrapText="1"/>
    </xf>
    <xf numFmtId="0" fontId="7" fillId="8" borderId="8" xfId="2" applyFont="1" applyFill="1" applyBorder="1" applyAlignment="1" applyProtection="1">
      <alignment horizontal="center" vertical="center" wrapText="1"/>
    </xf>
    <xf numFmtId="0" fontId="10" fillId="0" borderId="85" xfId="2" applyFont="1" applyFill="1" applyBorder="1" applyAlignment="1" applyProtection="1">
      <alignment horizontal="center" vertical="center" wrapText="1"/>
      <protection locked="0"/>
    </xf>
    <xf numFmtId="0" fontId="12" fillId="8" borderId="4" xfId="2" applyFont="1" applyFill="1" applyBorder="1" applyAlignment="1" applyProtection="1">
      <alignment horizontal="center" vertical="center" wrapText="1"/>
    </xf>
    <xf numFmtId="0" fontId="7" fillId="8" borderId="23" xfId="2" applyFont="1" applyFill="1" applyBorder="1" applyAlignment="1" applyProtection="1">
      <alignment horizontal="center" vertical="center" wrapText="1"/>
    </xf>
    <xf numFmtId="0" fontId="7" fillId="8" borderId="72" xfId="2" applyFont="1" applyFill="1" applyBorder="1" applyAlignment="1" applyProtection="1">
      <alignment horizontal="center" vertical="center" wrapText="1"/>
    </xf>
    <xf numFmtId="0" fontId="7" fillId="8" borderId="4" xfId="2" applyFont="1" applyFill="1" applyBorder="1" applyAlignment="1" applyProtection="1">
      <alignment horizontal="center" vertical="center" wrapText="1"/>
    </xf>
    <xf numFmtId="0" fontId="7" fillId="7" borderId="55" xfId="3" applyFont="1" applyFill="1" applyBorder="1" applyAlignment="1" applyProtection="1">
      <alignment horizontal="center" vertical="center" wrapText="1"/>
    </xf>
    <xf numFmtId="0" fontId="7" fillId="7" borderId="9" xfId="3" applyFont="1" applyFill="1" applyBorder="1" applyAlignment="1" applyProtection="1">
      <alignment horizontal="center" vertical="center" wrapText="1"/>
    </xf>
    <xf numFmtId="0" fontId="7" fillId="7" borderId="48" xfId="3" applyFont="1" applyFill="1" applyBorder="1" applyAlignment="1" applyProtection="1">
      <alignment horizontal="center" vertical="center" wrapText="1"/>
    </xf>
    <xf numFmtId="0" fontId="7" fillId="7" borderId="20" xfId="3" applyFont="1" applyFill="1" applyBorder="1" applyAlignment="1" applyProtection="1">
      <alignment horizontal="center" vertical="center" wrapText="1"/>
    </xf>
    <xf numFmtId="0" fontId="7" fillId="7" borderId="36" xfId="3" applyFont="1" applyFill="1" applyBorder="1" applyAlignment="1" applyProtection="1">
      <alignment horizontal="center" vertical="center" wrapText="1"/>
    </xf>
    <xf numFmtId="0" fontId="7" fillId="7" borderId="22" xfId="3" applyFont="1" applyFill="1" applyBorder="1" applyAlignment="1" applyProtection="1">
      <alignment horizontal="center" vertical="center" wrapText="1"/>
    </xf>
    <xf numFmtId="0" fontId="7" fillId="7" borderId="44" xfId="3" applyFont="1" applyFill="1" applyBorder="1" applyAlignment="1" applyProtection="1">
      <alignment horizontal="center" vertical="center" wrapText="1"/>
    </xf>
    <xf numFmtId="0" fontId="7" fillId="7" borderId="21" xfId="3" applyFont="1" applyFill="1" applyBorder="1" applyAlignment="1" applyProtection="1">
      <alignment horizontal="center" vertical="center" wrapText="1"/>
    </xf>
    <xf numFmtId="0" fontId="7" fillId="7" borderId="61" xfId="3" applyFont="1" applyFill="1" applyBorder="1" applyAlignment="1" applyProtection="1">
      <alignment horizontal="center" vertical="center" wrapText="1"/>
    </xf>
    <xf numFmtId="0" fontId="7" fillId="7" borderId="54" xfId="3" applyFont="1" applyFill="1" applyBorder="1" applyAlignment="1" applyProtection="1">
      <alignment horizontal="center" vertical="center" wrapText="1"/>
    </xf>
    <xf numFmtId="0" fontId="7" fillId="7" borderId="60" xfId="3" applyFont="1" applyFill="1" applyBorder="1" applyAlignment="1" applyProtection="1">
      <alignment horizontal="center" vertical="center" wrapText="1"/>
    </xf>
    <xf numFmtId="0" fontId="7" fillId="7" borderId="53" xfId="3" applyFont="1" applyFill="1" applyBorder="1" applyAlignment="1" applyProtection="1">
      <alignment horizontal="center" vertical="center" wrapText="1"/>
    </xf>
    <xf numFmtId="0" fontId="7" fillId="7" borderId="59" xfId="3" applyFont="1" applyFill="1" applyBorder="1" applyAlignment="1" applyProtection="1">
      <alignment horizontal="center" vertical="center" wrapText="1"/>
    </xf>
    <xf numFmtId="0" fontId="7" fillId="7" borderId="52" xfId="3" applyFont="1" applyFill="1" applyBorder="1" applyAlignment="1" applyProtection="1">
      <alignment horizontal="center" vertical="center" wrapText="1"/>
    </xf>
    <xf numFmtId="0" fontId="7" fillId="7" borderId="56" xfId="3" applyFont="1" applyFill="1" applyBorder="1" applyAlignment="1" applyProtection="1">
      <alignment horizontal="center" vertical="center" wrapText="1"/>
    </xf>
    <xf numFmtId="0" fontId="7" fillId="7" borderId="49" xfId="3" applyFont="1" applyFill="1" applyBorder="1" applyAlignment="1" applyProtection="1">
      <alignment horizontal="center" vertical="center" wrapText="1"/>
    </xf>
    <xf numFmtId="0" fontId="7" fillId="7" borderId="58" xfId="3" applyFont="1" applyFill="1" applyBorder="1" applyAlignment="1" applyProtection="1">
      <alignment horizontal="center" vertical="center" wrapText="1"/>
    </xf>
    <xf numFmtId="0" fontId="7" fillId="7" borderId="51" xfId="3" applyFont="1" applyFill="1" applyBorder="1" applyAlignment="1" applyProtection="1">
      <alignment horizontal="center" vertical="center" wrapText="1"/>
    </xf>
    <xf numFmtId="0" fontId="7" fillId="7" borderId="57" xfId="3" applyFont="1" applyFill="1" applyBorder="1" applyAlignment="1" applyProtection="1">
      <alignment horizontal="center" vertical="center" wrapText="1"/>
    </xf>
    <xf numFmtId="0" fontId="7" fillId="7" borderId="50" xfId="3" applyFont="1" applyFill="1" applyBorder="1" applyAlignment="1" applyProtection="1">
      <alignment horizontal="center" vertical="center" wrapText="1"/>
    </xf>
    <xf numFmtId="0" fontId="7" fillId="8" borderId="31" xfId="3" applyFont="1" applyFill="1" applyBorder="1" applyAlignment="1" applyProtection="1">
      <alignment horizontal="center" vertical="center" wrapText="1"/>
    </xf>
    <xf numFmtId="0" fontId="7" fillId="8" borderId="32" xfId="3" applyFont="1" applyFill="1" applyBorder="1" applyAlignment="1" applyProtection="1">
      <alignment horizontal="center" vertical="center" wrapText="1"/>
    </xf>
    <xf numFmtId="0" fontId="7" fillId="8" borderId="26" xfId="3" applyFont="1" applyFill="1" applyBorder="1" applyAlignment="1" applyProtection="1">
      <alignment horizontal="center" vertical="center" wrapText="1"/>
    </xf>
    <xf numFmtId="0" fontId="7" fillId="0" borderId="31" xfId="2" applyFont="1" applyFill="1" applyBorder="1" applyAlignment="1" applyProtection="1">
      <alignment horizontal="center" vertical="center" wrapText="1"/>
      <protection locked="0"/>
    </xf>
    <xf numFmtId="0" fontId="7" fillId="0" borderId="28" xfId="2" applyFont="1" applyFill="1" applyBorder="1" applyAlignment="1" applyProtection="1">
      <alignment horizontal="center" vertical="center" wrapText="1"/>
      <protection locked="0"/>
    </xf>
    <xf numFmtId="0" fontId="7" fillId="0" borderId="27" xfId="2" applyFont="1" applyFill="1" applyBorder="1" applyAlignment="1" applyProtection="1">
      <alignment horizontal="center" vertical="center" wrapText="1"/>
      <protection locked="0"/>
    </xf>
    <xf numFmtId="0" fontId="7" fillId="0" borderId="30" xfId="2" applyFont="1" applyFill="1" applyBorder="1" applyAlignment="1" applyProtection="1">
      <alignment horizontal="center" vertical="center" wrapText="1"/>
      <protection locked="0"/>
    </xf>
    <xf numFmtId="0" fontId="7" fillId="0" borderId="29" xfId="2" applyFont="1" applyFill="1" applyBorder="1" applyAlignment="1" applyProtection="1">
      <alignment horizontal="center" vertical="center" wrapText="1"/>
      <protection locked="0"/>
    </xf>
    <xf numFmtId="0" fontId="7" fillId="0" borderId="26" xfId="2" applyFont="1" applyFill="1" applyBorder="1" applyAlignment="1" applyProtection="1">
      <alignment horizontal="center" vertical="center" wrapText="1"/>
      <protection locked="0"/>
    </xf>
    <xf numFmtId="0" fontId="7" fillId="7" borderId="7" xfId="3" applyFont="1" applyFill="1" applyBorder="1" applyAlignment="1" applyProtection="1">
      <alignment horizontal="center" vertical="center" wrapText="1"/>
    </xf>
    <xf numFmtId="0" fontId="7" fillId="7" borderId="6" xfId="3" applyFont="1" applyFill="1" applyBorder="1" applyAlignment="1" applyProtection="1">
      <alignment horizontal="center" vertical="center" wrapText="1"/>
    </xf>
    <xf numFmtId="0" fontId="4" fillId="0" borderId="21" xfId="1" applyFont="1" applyBorder="1" applyAlignment="1" applyProtection="1">
      <alignment horizontal="center" vertical="center"/>
      <protection locked="0"/>
    </xf>
    <xf numFmtId="0" fontId="7" fillId="8" borderId="36" xfId="3" applyFont="1" applyFill="1" applyBorder="1" applyAlignment="1" applyProtection="1">
      <alignment horizontal="center" vertical="center" wrapText="1"/>
    </xf>
    <xf numFmtId="0" fontId="7" fillId="8" borderId="44" xfId="3" applyFont="1" applyFill="1" applyBorder="1" applyAlignment="1" applyProtection="1">
      <alignment horizontal="center" vertical="center" wrapText="1"/>
    </xf>
    <xf numFmtId="0" fontId="7" fillId="8" borderId="9" xfId="3" applyFont="1" applyFill="1" applyBorder="1" applyAlignment="1" applyProtection="1">
      <alignment horizontal="center" vertical="center" wrapText="1"/>
    </xf>
    <xf numFmtId="0" fontId="7" fillId="8" borderId="34" xfId="3" applyFont="1" applyFill="1" applyBorder="1" applyAlignment="1" applyProtection="1">
      <alignment horizontal="center" vertical="center" wrapText="1"/>
    </xf>
    <xf numFmtId="0" fontId="7" fillId="8" borderId="0" xfId="3" applyFont="1" applyFill="1" applyBorder="1" applyAlignment="1" applyProtection="1">
      <alignment horizontal="center" vertical="center" wrapText="1"/>
    </xf>
    <xf numFmtId="0" fontId="7" fillId="8" borderId="33" xfId="3" applyFont="1" applyFill="1" applyBorder="1" applyAlignment="1" applyProtection="1">
      <alignment horizontal="center" vertical="center" wrapText="1"/>
    </xf>
    <xf numFmtId="0" fontId="7" fillId="8" borderId="22" xfId="3" applyFont="1" applyFill="1" applyBorder="1" applyAlignment="1" applyProtection="1">
      <alignment horizontal="center" vertical="center" wrapText="1"/>
    </xf>
    <xf numFmtId="0" fontId="7" fillId="8" borderId="21" xfId="3" applyFont="1" applyFill="1" applyBorder="1" applyAlignment="1" applyProtection="1">
      <alignment horizontal="center" vertical="center" wrapText="1"/>
    </xf>
    <xf numFmtId="0" fontId="7" fillId="8" borderId="20" xfId="3" applyFont="1" applyFill="1" applyBorder="1" applyAlignment="1" applyProtection="1">
      <alignment horizontal="center" vertical="center" wrapText="1"/>
    </xf>
    <xf numFmtId="0" fontId="7" fillId="8" borderId="42" xfId="3" applyFont="1" applyFill="1" applyBorder="1" applyAlignment="1" applyProtection="1">
      <alignment horizontal="center" vertical="center" wrapText="1"/>
    </xf>
    <xf numFmtId="0" fontId="7" fillId="8" borderId="43" xfId="3" applyFont="1" applyFill="1" applyBorder="1" applyAlignment="1" applyProtection="1">
      <alignment horizontal="center" vertical="center" wrapText="1"/>
    </xf>
    <xf numFmtId="0" fontId="7" fillId="8" borderId="37" xfId="3" applyFont="1" applyFill="1" applyBorder="1" applyAlignment="1" applyProtection="1">
      <alignment horizontal="center" vertical="center" wrapText="1"/>
    </xf>
    <xf numFmtId="0" fontId="7" fillId="0" borderId="42" xfId="2" applyFont="1" applyFill="1" applyBorder="1" applyAlignment="1" applyProtection="1">
      <alignment horizontal="center" vertical="center" wrapText="1"/>
      <protection locked="0"/>
    </xf>
    <xf numFmtId="0" fontId="7" fillId="0" borderId="39" xfId="2" applyFont="1" applyFill="1" applyBorder="1" applyAlignment="1" applyProtection="1">
      <alignment horizontal="center" vertical="center" wrapText="1"/>
      <protection locked="0"/>
    </xf>
    <xf numFmtId="0" fontId="7" fillId="0" borderId="38" xfId="2" applyFont="1" applyFill="1" applyBorder="1" applyAlignment="1" applyProtection="1">
      <alignment horizontal="center" vertical="center" wrapText="1"/>
      <protection locked="0"/>
    </xf>
    <xf numFmtId="0" fontId="7" fillId="0" borderId="41" xfId="2" applyFont="1" applyFill="1" applyBorder="1" applyAlignment="1" applyProtection="1">
      <alignment horizontal="center" vertical="center" wrapText="1"/>
      <protection locked="0"/>
    </xf>
    <xf numFmtId="0" fontId="7" fillId="0" borderId="40" xfId="2" applyFont="1" applyFill="1" applyBorder="1" applyAlignment="1" applyProtection="1">
      <alignment horizontal="center" vertical="center" wrapText="1"/>
      <protection locked="0"/>
    </xf>
    <xf numFmtId="0" fontId="7" fillId="0" borderId="37" xfId="2" applyFont="1" applyFill="1" applyBorder="1" applyAlignment="1" applyProtection="1">
      <alignment horizontal="center" vertical="center" wrapText="1"/>
      <protection locked="0"/>
    </xf>
    <xf numFmtId="0" fontId="7" fillId="8" borderId="25" xfId="3" applyFont="1" applyFill="1" applyBorder="1" applyAlignment="1" applyProtection="1">
      <alignment horizontal="center" vertical="center" wrapText="1"/>
    </xf>
    <xf numFmtId="0" fontId="7" fillId="8" borderId="24" xfId="3" applyFont="1" applyFill="1" applyBorder="1" applyAlignment="1" applyProtection="1">
      <alignment horizontal="center" vertical="center" wrapText="1"/>
    </xf>
    <xf numFmtId="0" fontId="7" fillId="5" borderId="23" xfId="2" applyFont="1" applyFill="1" applyBorder="1" applyAlignment="1" applyProtection="1">
      <alignment horizontal="center" vertical="center" wrapText="1"/>
    </xf>
    <xf numFmtId="0" fontId="7" fillId="8" borderId="14" xfId="3" applyFont="1" applyFill="1" applyBorder="1" applyAlignment="1" applyProtection="1">
      <alignment horizontal="center" vertical="center" wrapText="1"/>
    </xf>
    <xf numFmtId="0" fontId="7" fillId="8" borderId="19" xfId="3" applyFont="1" applyFill="1" applyBorder="1" applyAlignment="1" applyProtection="1">
      <alignment horizontal="center" vertical="center" wrapText="1"/>
    </xf>
    <xf numFmtId="0" fontId="7" fillId="8" borderId="13" xfId="3" applyFont="1" applyFill="1" applyBorder="1" applyAlignment="1" applyProtection="1">
      <alignment horizontal="center" vertical="center" wrapText="1"/>
    </xf>
    <xf numFmtId="0" fontId="7" fillId="8" borderId="14" xfId="2" applyFont="1" applyFill="1" applyBorder="1" applyAlignment="1" applyProtection="1">
      <alignment horizontal="center" vertical="center" wrapText="1"/>
    </xf>
    <xf numFmtId="0" fontId="7" fillId="8" borderId="16" xfId="2" applyFont="1" applyFill="1" applyBorder="1" applyAlignment="1" applyProtection="1">
      <alignment horizontal="center" vertical="center" wrapText="1"/>
    </xf>
    <xf numFmtId="0" fontId="7" fillId="8" borderId="15" xfId="2" applyFont="1" applyFill="1" applyBorder="1" applyAlignment="1" applyProtection="1">
      <alignment horizontal="center" vertical="center" wrapText="1"/>
    </xf>
    <xf numFmtId="0" fontId="7" fillId="8" borderId="18" xfId="2" applyFont="1" applyFill="1" applyBorder="1" applyAlignment="1" applyProtection="1">
      <alignment horizontal="center" vertical="center" wrapText="1"/>
    </xf>
    <xf numFmtId="0" fontId="7" fillId="8" borderId="17" xfId="2" applyFont="1" applyFill="1" applyBorder="1" applyAlignment="1" applyProtection="1">
      <alignment horizontal="center" vertical="center" wrapText="1"/>
    </xf>
    <xf numFmtId="0" fontId="7" fillId="8" borderId="13" xfId="2" applyFont="1" applyFill="1" applyBorder="1" applyAlignment="1" applyProtection="1">
      <alignment horizontal="center" vertical="center" wrapText="1"/>
    </xf>
    <xf numFmtId="0" fontId="3" fillId="3" borderId="3" xfId="1" applyFont="1" applyFill="1" applyBorder="1" applyAlignment="1" applyProtection="1">
      <alignment horizontal="center" vertical="center"/>
      <protection locked="0"/>
    </xf>
    <xf numFmtId="0" fontId="25" fillId="16" borderId="125" xfId="6" applyFont="1" applyFill="1" applyBorder="1" applyAlignment="1">
      <alignment horizontal="center" vertical="center" wrapText="1"/>
    </xf>
    <xf numFmtId="0" fontId="25" fillId="16" borderId="132" xfId="6" applyFont="1" applyFill="1" applyBorder="1" applyAlignment="1">
      <alignment horizontal="center" vertical="center" wrapText="1"/>
    </xf>
    <xf numFmtId="0" fontId="25" fillId="16" borderId="116" xfId="6" applyFont="1" applyFill="1" applyBorder="1" applyAlignment="1">
      <alignment horizontal="center" vertical="center" wrapText="1"/>
    </xf>
    <xf numFmtId="0" fontId="25" fillId="16" borderId="119" xfId="6" applyFont="1" applyFill="1" applyBorder="1" applyAlignment="1">
      <alignment horizontal="center" vertical="center" wrapText="1"/>
    </xf>
    <xf numFmtId="176" fontId="25" fillId="16" borderId="106" xfId="6" applyNumberFormat="1" applyFont="1" applyFill="1" applyBorder="1" applyAlignment="1">
      <alignment horizontal="center" vertical="center" wrapText="1"/>
    </xf>
    <xf numFmtId="176" fontId="25" fillId="16" borderId="122" xfId="6" applyNumberFormat="1" applyFont="1" applyFill="1" applyBorder="1" applyAlignment="1">
      <alignment horizontal="center" vertical="center" wrapText="1"/>
    </xf>
    <xf numFmtId="176" fontId="25" fillId="16" borderId="131" xfId="6" applyNumberFormat="1" applyFont="1" applyFill="1" applyBorder="1" applyAlignment="1">
      <alignment horizontal="center" vertical="center" wrapText="1"/>
    </xf>
    <xf numFmtId="0" fontId="25" fillId="16" borderId="99" xfId="6" applyFont="1" applyFill="1" applyBorder="1" applyAlignment="1">
      <alignment horizontal="center" vertical="center" wrapText="1"/>
    </xf>
    <xf numFmtId="0" fontId="24" fillId="15" borderId="99" xfId="6" applyFont="1" applyFill="1" applyBorder="1" applyAlignment="1">
      <alignment horizontal="center" vertical="center" shrinkToFit="1"/>
    </xf>
    <xf numFmtId="0" fontId="36" fillId="0" borderId="0" xfId="1" applyFont="1" applyAlignment="1">
      <alignment horizontal="center" vertical="center"/>
    </xf>
    <xf numFmtId="0" fontId="37" fillId="13" borderId="47" xfId="1" applyFont="1" applyFill="1" applyBorder="1" applyAlignment="1">
      <alignment horizontal="center" vertical="center"/>
    </xf>
    <xf numFmtId="0" fontId="37" fillId="13" borderId="46" xfId="1" applyFont="1" applyFill="1" applyBorder="1" applyAlignment="1">
      <alignment horizontal="center" vertical="center"/>
    </xf>
    <xf numFmtId="0" fontId="37" fillId="13" borderId="91" xfId="1" applyFont="1" applyFill="1" applyBorder="1" applyAlignment="1">
      <alignment horizontal="center" vertical="center"/>
    </xf>
    <xf numFmtId="0" fontId="37" fillId="13" borderId="45" xfId="1" applyFont="1" applyFill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50" xfId="1" applyBorder="1" applyAlignment="1">
      <alignment horizontal="center" vertical="center"/>
    </xf>
    <xf numFmtId="0" fontId="35" fillId="0" borderId="51" xfId="1" applyFont="1" applyBorder="1" applyAlignment="1">
      <alignment horizontal="center" vertical="center"/>
    </xf>
    <xf numFmtId="0" fontId="35" fillId="0" borderId="21" xfId="1" applyFont="1" applyBorder="1" applyAlignment="1">
      <alignment horizontal="center" vertical="center"/>
    </xf>
    <xf numFmtId="0" fontId="35" fillId="0" borderId="50" xfId="1" applyFont="1" applyBorder="1" applyAlignment="1">
      <alignment horizontal="center" vertical="center"/>
    </xf>
    <xf numFmtId="0" fontId="35" fillId="0" borderId="20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25" fillId="18" borderId="125" xfId="6" applyFont="1" applyFill="1" applyBorder="1" applyAlignment="1">
      <alignment horizontal="center" vertical="center" wrapText="1"/>
    </xf>
    <xf numFmtId="0" fontId="25" fillId="18" borderId="120" xfId="6" applyFont="1" applyFill="1" applyBorder="1" applyAlignment="1">
      <alignment horizontal="center" vertical="center" wrapText="1"/>
    </xf>
    <xf numFmtId="0" fontId="25" fillId="18" borderId="119" xfId="6" applyFont="1" applyFill="1" applyBorder="1" applyAlignment="1">
      <alignment horizontal="center" vertical="center" wrapText="1"/>
    </xf>
    <xf numFmtId="0" fontId="25" fillId="18" borderId="106" xfId="6" applyFont="1" applyFill="1" applyBorder="1" applyAlignment="1">
      <alignment horizontal="center" vertical="center" wrapText="1"/>
    </xf>
    <xf numFmtId="0" fontId="25" fillId="18" borderId="103" xfId="6" applyFont="1" applyFill="1" applyBorder="1" applyAlignment="1">
      <alignment horizontal="center" vertical="center" wrapText="1"/>
    </xf>
    <xf numFmtId="0" fontId="25" fillId="18" borderId="99" xfId="6" applyFont="1" applyFill="1" applyBorder="1" applyAlignment="1">
      <alignment horizontal="center" vertical="center" wrapText="1"/>
    </xf>
    <xf numFmtId="0" fontId="25" fillId="18" borderId="106" xfId="6" applyFont="1" applyFill="1" applyBorder="1" applyAlignment="1">
      <alignment horizontal="center" vertical="center" shrinkToFit="1"/>
    </xf>
    <xf numFmtId="0" fontId="25" fillId="18" borderId="103" xfId="6" applyFont="1" applyFill="1" applyBorder="1" applyAlignment="1">
      <alignment horizontal="center" vertical="center" shrinkToFit="1"/>
    </xf>
    <xf numFmtId="0" fontId="25" fillId="18" borderId="99" xfId="6" applyFont="1" applyFill="1" applyBorder="1" applyAlignment="1">
      <alignment horizontal="center" vertical="center" shrinkToFit="1"/>
    </xf>
    <xf numFmtId="0" fontId="2" fillId="0" borderId="34" xfId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33" xfId="1" applyBorder="1" applyAlignment="1">
      <alignment horizontal="left" vertical="center"/>
    </xf>
    <xf numFmtId="0" fontId="28" fillId="16" borderId="118" xfId="6" applyFont="1" applyFill="1" applyBorder="1" applyAlignment="1">
      <alignment horizontal="center" vertical="center" wrapText="1"/>
    </xf>
    <xf numFmtId="0" fontId="28" fillId="16" borderId="116" xfId="6" applyFont="1" applyFill="1" applyBorder="1" applyAlignment="1">
      <alignment horizontal="center" vertical="center" wrapText="1"/>
    </xf>
    <xf numFmtId="0" fontId="28" fillId="16" borderId="113" xfId="6" applyFont="1" applyFill="1" applyBorder="1" applyAlignment="1">
      <alignment horizontal="center" vertical="center" wrapText="1"/>
    </xf>
    <xf numFmtId="176" fontId="28" fillId="16" borderId="124" xfId="6" applyNumberFormat="1" applyFont="1" applyFill="1" applyBorder="1" applyAlignment="1">
      <alignment horizontal="center" vertical="center" wrapText="1"/>
    </xf>
    <xf numFmtId="176" fontId="28" fillId="16" borderId="131" xfId="6" applyNumberFormat="1" applyFont="1" applyFill="1" applyBorder="1" applyAlignment="1">
      <alignment horizontal="center" vertical="center" wrapText="1"/>
    </xf>
    <xf numFmtId="176" fontId="28" fillId="16" borderId="133" xfId="6" applyNumberFormat="1" applyFont="1" applyFill="1" applyBorder="1" applyAlignment="1">
      <alignment horizontal="center" vertical="center" wrapText="1"/>
    </xf>
    <xf numFmtId="0" fontId="28" fillId="15" borderId="99" xfId="6" applyFont="1" applyFill="1" applyBorder="1" applyAlignment="1">
      <alignment horizontal="center" vertical="center" shrinkToFit="1"/>
    </xf>
    <xf numFmtId="0" fontId="28" fillId="15" borderId="133" xfId="6" applyFont="1" applyFill="1" applyBorder="1" applyAlignment="1">
      <alignment horizontal="center" vertical="center" shrinkToFit="1"/>
    </xf>
    <xf numFmtId="0" fontId="33" fillId="18" borderId="106" xfId="6" applyFont="1" applyFill="1" applyBorder="1" applyAlignment="1">
      <alignment horizontal="center" vertical="center" wrapText="1"/>
    </xf>
    <xf numFmtId="0" fontId="33" fillId="18" borderId="103" xfId="6" applyFont="1" applyFill="1" applyBorder="1" applyAlignment="1">
      <alignment horizontal="center" vertical="center"/>
    </xf>
    <xf numFmtId="0" fontId="33" fillId="18" borderId="99" xfId="6" applyFont="1" applyFill="1" applyBorder="1" applyAlignment="1">
      <alignment horizontal="center" vertical="center"/>
    </xf>
    <xf numFmtId="0" fontId="33" fillId="18" borderId="105" xfId="6" applyFont="1" applyFill="1" applyBorder="1" applyAlignment="1">
      <alignment horizontal="center" vertical="center" wrapText="1"/>
    </xf>
    <xf numFmtId="0" fontId="33" fillId="18" borderId="102" xfId="6" applyFont="1" applyFill="1" applyBorder="1" applyAlignment="1">
      <alignment horizontal="center" vertical="center"/>
    </xf>
    <xf numFmtId="0" fontId="33" fillId="18" borderId="98" xfId="6" applyFont="1" applyFill="1" applyBorder="1" applyAlignment="1">
      <alignment horizontal="center" vertical="center"/>
    </xf>
    <xf numFmtId="0" fontId="32" fillId="0" borderId="36" xfId="1" applyFont="1" applyBorder="1" applyAlignment="1">
      <alignment horizontal="left" vertical="center"/>
    </xf>
    <xf numFmtId="0" fontId="32" fillId="0" borderId="44" xfId="1" applyFont="1" applyBorder="1" applyAlignment="1">
      <alignment horizontal="left" vertical="center"/>
    </xf>
    <xf numFmtId="0" fontId="32" fillId="0" borderId="9" xfId="1" applyFont="1" applyBorder="1" applyAlignment="1">
      <alignment horizontal="left" vertical="center"/>
    </xf>
    <xf numFmtId="0" fontId="25" fillId="18" borderId="106" xfId="6" applyFont="1" applyFill="1" applyBorder="1" applyAlignment="1">
      <alignment horizontal="center" vertical="center"/>
    </xf>
    <xf numFmtId="0" fontId="25" fillId="18" borderId="103" xfId="6" applyFont="1" applyFill="1" applyBorder="1" applyAlignment="1">
      <alignment horizontal="center" vertical="center"/>
    </xf>
    <xf numFmtId="0" fontId="25" fillId="16" borderId="124" xfId="6" applyFont="1" applyFill="1" applyBorder="1" applyAlignment="1">
      <alignment horizontal="center" vertical="center" wrapText="1"/>
    </xf>
    <xf numFmtId="0" fontId="25" fillId="16" borderId="131" xfId="6" applyFont="1" applyFill="1" applyBorder="1" applyAlignment="1">
      <alignment horizontal="center" vertical="center" wrapText="1"/>
    </xf>
    <xf numFmtId="0" fontId="25" fillId="16" borderId="133" xfId="6" applyFont="1" applyFill="1" applyBorder="1" applyAlignment="1">
      <alignment horizontal="center" vertical="center" wrapText="1"/>
    </xf>
    <xf numFmtId="0" fontId="25" fillId="16" borderId="120" xfId="6" applyFont="1" applyFill="1" applyBorder="1" applyAlignment="1">
      <alignment horizontal="center" vertical="center" wrapText="1"/>
    </xf>
    <xf numFmtId="0" fontId="24" fillId="15" borderId="112" xfId="6" applyFont="1" applyFill="1" applyBorder="1" applyAlignment="1">
      <alignment horizontal="center" vertical="center" shrinkToFit="1"/>
    </xf>
    <xf numFmtId="0" fontId="24" fillId="15" borderId="100" xfId="6" applyFont="1" applyFill="1" applyBorder="1" applyAlignment="1">
      <alignment horizontal="center" vertical="center" shrinkToFit="1"/>
    </xf>
    <xf numFmtId="0" fontId="25" fillId="16" borderId="129" xfId="6" applyFont="1" applyFill="1" applyBorder="1" applyAlignment="1">
      <alignment horizontal="center" vertical="center" wrapText="1"/>
    </xf>
    <xf numFmtId="0" fontId="25" fillId="16" borderId="127" xfId="6" applyFont="1" applyFill="1" applyBorder="1" applyAlignment="1">
      <alignment horizontal="center" vertical="center" wrapText="1"/>
    </xf>
    <xf numFmtId="0" fontId="25" fillId="16" borderId="103" xfId="6" applyFont="1" applyFill="1" applyBorder="1" applyAlignment="1">
      <alignment horizontal="center" vertical="center" wrapText="1"/>
    </xf>
    <xf numFmtId="0" fontId="2" fillId="0" borderId="0" xfId="1" applyBorder="1" applyAlignment="1" applyProtection="1">
      <alignment horizontal="center" vertical="center"/>
      <protection locked="0"/>
    </xf>
    <xf numFmtId="0" fontId="2" fillId="0" borderId="34" xfId="1" applyBorder="1" applyAlignment="1" applyProtection="1">
      <alignment horizontal="center" vertical="center"/>
      <protection locked="0"/>
    </xf>
    <xf numFmtId="0" fontId="2" fillId="0" borderId="125" xfId="1" applyBorder="1" applyAlignment="1" applyProtection="1">
      <alignment horizontal="center" vertical="center"/>
      <protection locked="0"/>
    </xf>
    <xf numFmtId="0" fontId="2" fillId="0" borderId="120" xfId="1" applyBorder="1" applyAlignment="1" applyProtection="1">
      <alignment horizontal="center" vertical="center"/>
      <protection locked="0"/>
    </xf>
    <xf numFmtId="0" fontId="2" fillId="0" borderId="119" xfId="1" applyBorder="1" applyAlignment="1" applyProtection="1">
      <alignment horizontal="center" vertical="center"/>
      <protection locked="0"/>
    </xf>
    <xf numFmtId="0" fontId="2" fillId="0" borderId="128" xfId="1" applyBorder="1" applyAlignment="1" applyProtection="1">
      <alignment horizontal="center" vertical="center"/>
      <protection locked="0"/>
    </xf>
    <xf numFmtId="0" fontId="2" fillId="0" borderId="127" xfId="1" applyBorder="1" applyAlignment="1" applyProtection="1">
      <alignment horizontal="center" vertical="center"/>
      <protection locked="0"/>
    </xf>
    <xf numFmtId="0" fontId="2" fillId="0" borderId="137" xfId="1" applyBorder="1" applyAlignment="1" applyProtection="1">
      <alignment horizontal="center" vertical="center"/>
      <protection locked="0"/>
    </xf>
    <xf numFmtId="0" fontId="2" fillId="0" borderId="0" xfId="1" applyBorder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11" fillId="0" borderId="60" xfId="2" applyFont="1" applyFill="1" applyBorder="1" applyAlignment="1" applyProtection="1">
      <alignment vertical="center" wrapText="1"/>
    </xf>
    <xf numFmtId="0" fontId="11" fillId="0" borderId="78" xfId="2" applyFont="1" applyFill="1" applyBorder="1" applyAlignment="1" applyProtection="1">
      <alignment vertical="center" wrapText="1"/>
    </xf>
    <xf numFmtId="0" fontId="11" fillId="0" borderId="53" xfId="2" applyFont="1" applyFill="1" applyBorder="1" applyAlignment="1" applyProtection="1">
      <alignment vertical="center" wrapText="1"/>
    </xf>
    <xf numFmtId="0" fontId="11" fillId="0" borderId="71" xfId="2" applyFont="1" applyFill="1" applyBorder="1" applyAlignment="1" applyProtection="1">
      <alignment vertical="center" wrapText="1"/>
    </xf>
    <xf numFmtId="0" fontId="11" fillId="0" borderId="63" xfId="2" applyFont="1" applyFill="1" applyBorder="1" applyAlignment="1" applyProtection="1">
      <alignment vertical="center" wrapText="1"/>
    </xf>
    <xf numFmtId="0" fontId="11" fillId="0" borderId="96" xfId="2" applyFont="1" applyFill="1" applyBorder="1" applyAlignment="1" applyProtection="1">
      <alignment vertical="center" wrapText="1"/>
    </xf>
    <xf numFmtId="0" fontId="11" fillId="0" borderId="101" xfId="2" applyFont="1" applyFill="1" applyBorder="1" applyAlignment="1" applyProtection="1">
      <alignment vertical="center" wrapText="1"/>
    </xf>
    <xf numFmtId="0" fontId="16" fillId="12" borderId="99" xfId="1" applyFont="1" applyFill="1" applyBorder="1" applyAlignment="1" applyProtection="1">
      <alignment horizontal="center" vertical="center"/>
      <protection locked="0"/>
    </xf>
  </cellXfs>
  <cellStyles count="7">
    <cellStyle name="20% - 강조색2_교육과정 편제표 양식v3 2" xfId="2" xr:uid="{6B895C83-2507-4388-BB15-277C96AF80DC}"/>
    <cellStyle name="20% - 강조색5_교육과정 편제표 양식v3 2" xfId="5" xr:uid="{7FB073F2-BD63-47E8-8C1C-9803E30AAEB5}"/>
    <cellStyle name="40% - 강조색4_교육과정 편제표 양식v3 2" xfId="3" xr:uid="{82B6002B-28B6-4BB3-BDC5-4941484B8C81}"/>
    <cellStyle name="출력 2" xfId="4" xr:uid="{AA787FC8-1B50-4CAE-8407-F2FA2971FD69}"/>
    <cellStyle name="표준" xfId="0" builtinId="0"/>
    <cellStyle name="표준 2" xfId="1" xr:uid="{297400FE-B25D-46BC-9BFA-907CFE3792AD}"/>
    <cellStyle name="표준 3" xfId="6" xr:uid="{1B98EEAB-4E4B-46A3-9077-E494EE169CA9}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5A904516-E568-4D64-A9F6-533AF890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7400" y="162306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D02C731-1F5D-4D80-A627-8E08CF24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7400" y="162306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2D8C-CD70-4F9E-9100-CB3FD71BDED6}">
  <sheetPr>
    <tabColor rgb="FFFFFFCC"/>
    <pageSetUpPr fitToPage="1"/>
  </sheetPr>
  <dimension ref="B1:AF99"/>
  <sheetViews>
    <sheetView tabSelected="1" view="pageBreakPreview" zoomScale="85" zoomScaleNormal="100" zoomScaleSheetLayoutView="85" workbookViewId="0">
      <pane ySplit="8" topLeftCell="A9" activePane="bottomLeft" state="frozen"/>
      <selection pane="bottomLeft"/>
    </sheetView>
  </sheetViews>
  <sheetFormatPr defaultColWidth="8.69921875" defaultRowHeight="17.399999999999999"/>
  <cols>
    <col min="1" max="1" width="2" style="1" customWidth="1"/>
    <col min="2" max="2" width="6.59765625" style="1" customWidth="1"/>
    <col min="3" max="3" width="9.3984375" style="1" customWidth="1"/>
    <col min="4" max="4" width="8.69921875" style="1"/>
    <col min="5" max="5" width="8.5" style="1" customWidth="1"/>
    <col min="6" max="6" width="16.5" style="1" customWidth="1"/>
    <col min="7" max="7" width="6.19921875" style="1" customWidth="1"/>
    <col min="8" max="8" width="5.59765625" style="1" customWidth="1"/>
    <col min="9" max="9" width="7.8984375" style="1" bestFit="1" customWidth="1"/>
    <col min="10" max="10" width="5.59765625" style="1" customWidth="1"/>
    <col min="11" max="22" width="3.8984375" style="1" customWidth="1"/>
    <col min="23" max="24" width="3.3984375" style="1" customWidth="1"/>
    <col min="25" max="25" width="6.3984375" style="1" customWidth="1"/>
    <col min="26" max="26" width="8.69921875" style="2"/>
    <col min="27" max="27" width="8.69921875" style="171"/>
    <col min="28" max="28" width="21.09765625" style="1" bestFit="1" customWidth="1"/>
    <col min="29" max="30" width="12.8984375" style="1" customWidth="1"/>
    <col min="31" max="31" width="13.8984375" style="1" customWidth="1"/>
    <col min="32" max="16384" width="8.69921875" style="1"/>
  </cols>
  <sheetData>
    <row r="1" spans="2:32" ht="18" thickBot="1"/>
    <row r="2" spans="2:32" ht="30.75" customHeight="1" thickBot="1">
      <c r="B2" s="172" t="s">
        <v>254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3"/>
      <c r="V2" s="174" t="s">
        <v>132</v>
      </c>
      <c r="W2" s="175"/>
      <c r="X2" s="176">
        <v>2027</v>
      </c>
      <c r="Y2" s="177"/>
      <c r="AB2" s="178" t="s">
        <v>131</v>
      </c>
      <c r="AC2" s="89" t="s">
        <v>130</v>
      </c>
      <c r="AD2" s="88" t="s">
        <v>129</v>
      </c>
      <c r="AE2" s="87" t="s">
        <v>128</v>
      </c>
    </row>
    <row r="3" spans="2:32" ht="18" thickBot="1">
      <c r="B3" s="181" t="s">
        <v>127</v>
      </c>
      <c r="C3" s="183" t="s">
        <v>126</v>
      </c>
      <c r="D3" s="184"/>
      <c r="E3" s="184"/>
      <c r="F3" s="183" t="s">
        <v>125</v>
      </c>
      <c r="G3" s="187"/>
      <c r="H3" s="183" t="s">
        <v>124</v>
      </c>
      <c r="I3" s="184"/>
      <c r="J3" s="184"/>
      <c r="K3" s="183" t="s">
        <v>123</v>
      </c>
      <c r="L3" s="184"/>
      <c r="M3" s="184"/>
      <c r="N3" s="184"/>
      <c r="O3" s="187"/>
      <c r="P3" s="189" t="s">
        <v>122</v>
      </c>
      <c r="Q3" s="190"/>
      <c r="R3" s="190"/>
      <c r="S3" s="190"/>
      <c r="T3" s="190"/>
      <c r="U3" s="190"/>
      <c r="V3" s="190"/>
      <c r="W3" s="190"/>
      <c r="X3" s="190"/>
      <c r="Y3" s="191"/>
      <c r="AB3" s="179"/>
      <c r="AC3" s="86" t="s">
        <v>121</v>
      </c>
      <c r="AD3" s="85" t="s">
        <v>276</v>
      </c>
      <c r="AE3" s="72" t="s">
        <v>120</v>
      </c>
    </row>
    <row r="4" spans="2:32" ht="18" thickBot="1">
      <c r="B4" s="182"/>
      <c r="C4" s="185"/>
      <c r="D4" s="186"/>
      <c r="E4" s="186"/>
      <c r="F4" s="185"/>
      <c r="G4" s="188"/>
      <c r="H4" s="185"/>
      <c r="I4" s="186"/>
      <c r="J4" s="186"/>
      <c r="K4" s="185"/>
      <c r="L4" s="186"/>
      <c r="M4" s="186"/>
      <c r="N4" s="186"/>
      <c r="O4" s="188"/>
      <c r="P4" s="189" t="s">
        <v>119</v>
      </c>
      <c r="Q4" s="190"/>
      <c r="R4" s="190"/>
      <c r="S4" s="190"/>
      <c r="T4" s="189" t="s">
        <v>118</v>
      </c>
      <c r="U4" s="190"/>
      <c r="V4" s="191"/>
      <c r="W4" s="190" t="s">
        <v>117</v>
      </c>
      <c r="X4" s="190"/>
      <c r="Y4" s="191"/>
      <c r="AB4" s="179"/>
      <c r="AC4" s="84" t="s">
        <v>116</v>
      </c>
      <c r="AD4" s="83" t="s">
        <v>115</v>
      </c>
      <c r="AE4" s="72" t="s">
        <v>114</v>
      </c>
    </row>
    <row r="5" spans="2:32" ht="26.25" customHeight="1" thickBot="1">
      <c r="B5" s="82" t="s">
        <v>113</v>
      </c>
      <c r="C5" s="192" t="s">
        <v>112</v>
      </c>
      <c r="D5" s="193"/>
      <c r="E5" s="194"/>
      <c r="F5" s="192" t="s">
        <v>17</v>
      </c>
      <c r="G5" s="195"/>
      <c r="H5" s="196" t="s">
        <v>111</v>
      </c>
      <c r="I5" s="193"/>
      <c r="J5" s="194"/>
      <c r="K5" s="192"/>
      <c r="L5" s="193"/>
      <c r="M5" s="193"/>
      <c r="N5" s="193"/>
      <c r="O5" s="195"/>
      <c r="P5" s="196" t="s">
        <v>110</v>
      </c>
      <c r="Q5" s="193"/>
      <c r="R5" s="193"/>
      <c r="S5" s="194"/>
      <c r="T5" s="192" t="s">
        <v>109</v>
      </c>
      <c r="U5" s="193"/>
      <c r="V5" s="194"/>
      <c r="W5" s="197" t="s">
        <v>274</v>
      </c>
      <c r="X5" s="198"/>
      <c r="Y5" s="199"/>
      <c r="AB5" s="180"/>
      <c r="AC5" s="495" t="s">
        <v>108</v>
      </c>
      <c r="AD5" s="81" t="s">
        <v>107</v>
      </c>
      <c r="AE5" s="80" t="s">
        <v>106</v>
      </c>
    </row>
    <row r="6" spans="2:32" ht="15.75" customHeight="1" thickBot="1">
      <c r="U6" s="200"/>
      <c r="V6" s="200"/>
      <c r="W6" s="200"/>
      <c r="X6" s="200"/>
      <c r="Y6" s="200"/>
    </row>
    <row r="7" spans="2:32" s="78" customFormat="1" ht="22.5" customHeight="1">
      <c r="B7" s="201" t="s">
        <v>105</v>
      </c>
      <c r="C7" s="202"/>
      <c r="D7" s="205" t="s">
        <v>104</v>
      </c>
      <c r="E7" s="207" t="s">
        <v>103</v>
      </c>
      <c r="F7" s="208"/>
      <c r="G7" s="209"/>
      <c r="H7" s="210" t="s">
        <v>102</v>
      </c>
      <c r="I7" s="212" t="s">
        <v>101</v>
      </c>
      <c r="J7" s="214" t="s">
        <v>100</v>
      </c>
      <c r="K7" s="216" t="s">
        <v>99</v>
      </c>
      <c r="L7" s="212"/>
      <c r="M7" s="212"/>
      <c r="N7" s="217"/>
      <c r="O7" s="218" t="s">
        <v>98</v>
      </c>
      <c r="P7" s="212"/>
      <c r="Q7" s="212"/>
      <c r="R7" s="217"/>
      <c r="S7" s="216" t="s">
        <v>97</v>
      </c>
      <c r="T7" s="212"/>
      <c r="U7" s="212"/>
      <c r="V7" s="219"/>
      <c r="W7" s="210" t="s">
        <v>96</v>
      </c>
      <c r="X7" s="236"/>
      <c r="Y7" s="209" t="s">
        <v>95</v>
      </c>
      <c r="Z7" s="239" t="s">
        <v>94</v>
      </c>
      <c r="AA7"/>
    </row>
    <row r="8" spans="2:32" s="78" customFormat="1" ht="22.5" customHeight="1" thickBot="1">
      <c r="B8" s="203"/>
      <c r="C8" s="204"/>
      <c r="D8" s="206"/>
      <c r="E8" s="79" t="s">
        <v>86</v>
      </c>
      <c r="F8" s="241" t="s">
        <v>93</v>
      </c>
      <c r="G8" s="242"/>
      <c r="H8" s="211"/>
      <c r="I8" s="213"/>
      <c r="J8" s="215"/>
      <c r="K8" s="243" t="s">
        <v>92</v>
      </c>
      <c r="L8" s="213"/>
      <c r="M8" s="213" t="s">
        <v>91</v>
      </c>
      <c r="N8" s="244"/>
      <c r="O8" s="245" t="s">
        <v>92</v>
      </c>
      <c r="P8" s="213"/>
      <c r="Q8" s="213" t="s">
        <v>91</v>
      </c>
      <c r="R8" s="244"/>
      <c r="S8" s="243" t="s">
        <v>92</v>
      </c>
      <c r="T8" s="213"/>
      <c r="U8" s="213" t="s">
        <v>91</v>
      </c>
      <c r="V8" s="246"/>
      <c r="W8" s="211"/>
      <c r="X8" s="237"/>
      <c r="Y8" s="238"/>
      <c r="Z8" s="240"/>
      <c r="AA8"/>
      <c r="AB8" s="220" t="s">
        <v>90</v>
      </c>
      <c r="AC8" s="220"/>
      <c r="AD8" s="220"/>
      <c r="AE8" s="220"/>
    </row>
    <row r="9" spans="2:32" ht="16.5" customHeight="1">
      <c r="B9" s="221" t="s">
        <v>89</v>
      </c>
      <c r="C9" s="222"/>
      <c r="D9" s="227" t="s">
        <v>88</v>
      </c>
      <c r="E9" s="54" t="s">
        <v>54</v>
      </c>
      <c r="F9" s="230" t="s">
        <v>87</v>
      </c>
      <c r="G9" s="231"/>
      <c r="H9" s="53">
        <v>4</v>
      </c>
      <c r="I9" s="70" t="s">
        <v>52</v>
      </c>
      <c r="J9" s="51">
        <v>3</v>
      </c>
      <c r="K9" s="230">
        <v>3</v>
      </c>
      <c r="L9" s="232"/>
      <c r="M9" s="233"/>
      <c r="N9" s="234"/>
      <c r="O9" s="235"/>
      <c r="P9" s="232"/>
      <c r="Q9" s="233"/>
      <c r="R9" s="234"/>
      <c r="S9" s="235"/>
      <c r="T9" s="232"/>
      <c r="U9" s="233"/>
      <c r="V9" s="231"/>
      <c r="W9" s="60">
        <f t="shared" ref="W9:W33" si="0">SUM(K9:V9)</f>
        <v>3</v>
      </c>
      <c r="X9" s="257">
        <f>SUM(W9:W12)</f>
        <v>12</v>
      </c>
      <c r="Y9" s="260">
        <v>24</v>
      </c>
      <c r="Z9" s="77"/>
      <c r="AA9" s="5"/>
      <c r="AB9" s="480" t="s">
        <v>86</v>
      </c>
      <c r="AC9" s="76" t="s">
        <v>85</v>
      </c>
      <c r="AD9" s="76" t="s">
        <v>84</v>
      </c>
      <c r="AE9" s="75" t="s">
        <v>83</v>
      </c>
    </row>
    <row r="10" spans="2:32">
      <c r="B10" s="223"/>
      <c r="C10" s="224"/>
      <c r="D10" s="228"/>
      <c r="E10" s="59" t="s">
        <v>54</v>
      </c>
      <c r="F10" s="263" t="s">
        <v>82</v>
      </c>
      <c r="G10" s="264"/>
      <c r="H10" s="47">
        <v>4</v>
      </c>
      <c r="I10" s="46" t="s">
        <v>52</v>
      </c>
      <c r="J10" s="45">
        <v>3</v>
      </c>
      <c r="K10" s="263"/>
      <c r="L10" s="265"/>
      <c r="M10" s="266">
        <v>3</v>
      </c>
      <c r="N10" s="267"/>
      <c r="O10" s="268"/>
      <c r="P10" s="265"/>
      <c r="Q10" s="266"/>
      <c r="R10" s="267"/>
      <c r="S10" s="268"/>
      <c r="T10" s="265"/>
      <c r="U10" s="266"/>
      <c r="V10" s="264"/>
      <c r="W10" s="58">
        <f t="shared" si="0"/>
        <v>3</v>
      </c>
      <c r="X10" s="258"/>
      <c r="Y10" s="261"/>
      <c r="Z10" s="5"/>
      <c r="AA10" s="479"/>
      <c r="AB10" s="481" t="s">
        <v>81</v>
      </c>
      <c r="AC10" s="73">
        <v>4</v>
      </c>
      <c r="AD10" s="73">
        <v>-1</v>
      </c>
      <c r="AE10" s="72" t="s">
        <v>52</v>
      </c>
    </row>
    <row r="11" spans="2:32">
      <c r="B11" s="223"/>
      <c r="C11" s="224"/>
      <c r="D11" s="228"/>
      <c r="E11" s="44" t="s">
        <v>40</v>
      </c>
      <c r="F11" s="269" t="s">
        <v>80</v>
      </c>
      <c r="G11" s="270"/>
      <c r="H11" s="74">
        <v>4</v>
      </c>
      <c r="I11" s="71" t="s">
        <v>31</v>
      </c>
      <c r="J11" s="63">
        <v>3</v>
      </c>
      <c r="K11" s="269"/>
      <c r="L11" s="271"/>
      <c r="M11" s="272"/>
      <c r="N11" s="273"/>
      <c r="O11" s="268">
        <v>3</v>
      </c>
      <c r="P11" s="265"/>
      <c r="Q11" s="266"/>
      <c r="R11" s="267"/>
      <c r="S11" s="268"/>
      <c r="T11" s="265"/>
      <c r="U11" s="266"/>
      <c r="V11" s="264"/>
      <c r="W11" s="58">
        <f t="shared" si="0"/>
        <v>3</v>
      </c>
      <c r="X11" s="258"/>
      <c r="Y11" s="261"/>
      <c r="Z11" s="5"/>
      <c r="AA11" s="479"/>
      <c r="AB11" s="481" t="s">
        <v>79</v>
      </c>
      <c r="AC11" s="73">
        <v>3</v>
      </c>
      <c r="AD11" s="73"/>
      <c r="AE11" s="72">
        <v>3</v>
      </c>
    </row>
    <row r="12" spans="2:32" ht="18" thickBot="1">
      <c r="B12" s="223"/>
      <c r="C12" s="224"/>
      <c r="D12" s="229"/>
      <c r="E12" s="44" t="s">
        <v>34</v>
      </c>
      <c r="F12" s="249" t="s">
        <v>78</v>
      </c>
      <c r="G12" s="250"/>
      <c r="H12" s="43">
        <v>4</v>
      </c>
      <c r="I12" s="42" t="s">
        <v>31</v>
      </c>
      <c r="J12" s="41">
        <v>3</v>
      </c>
      <c r="K12" s="249"/>
      <c r="L12" s="251"/>
      <c r="M12" s="252"/>
      <c r="N12" s="253"/>
      <c r="O12" s="254"/>
      <c r="P12" s="255"/>
      <c r="Q12" s="247">
        <v>3</v>
      </c>
      <c r="R12" s="256"/>
      <c r="S12" s="254"/>
      <c r="T12" s="255"/>
      <c r="U12" s="247"/>
      <c r="V12" s="248"/>
      <c r="W12" s="69">
        <f t="shared" si="0"/>
        <v>3</v>
      </c>
      <c r="X12" s="259"/>
      <c r="Y12" s="261"/>
      <c r="Z12" s="5"/>
      <c r="AA12" s="479"/>
      <c r="AB12" s="481" t="s">
        <v>75</v>
      </c>
      <c r="AC12" s="73">
        <v>4</v>
      </c>
      <c r="AD12" s="73" t="s">
        <v>72</v>
      </c>
      <c r="AE12" s="72" t="s">
        <v>31</v>
      </c>
    </row>
    <row r="13" spans="2:32">
      <c r="B13" s="223"/>
      <c r="C13" s="224"/>
      <c r="D13" s="227" t="s">
        <v>77</v>
      </c>
      <c r="E13" s="54" t="s">
        <v>54</v>
      </c>
      <c r="F13" s="230" t="s">
        <v>76</v>
      </c>
      <c r="G13" s="231"/>
      <c r="H13" s="53">
        <v>4</v>
      </c>
      <c r="I13" s="70" t="s">
        <v>52</v>
      </c>
      <c r="J13" s="51">
        <v>3</v>
      </c>
      <c r="K13" s="230">
        <v>3</v>
      </c>
      <c r="L13" s="232"/>
      <c r="M13" s="233"/>
      <c r="N13" s="234"/>
      <c r="O13" s="235"/>
      <c r="P13" s="232"/>
      <c r="Q13" s="233"/>
      <c r="R13" s="234"/>
      <c r="S13" s="235"/>
      <c r="T13" s="232"/>
      <c r="U13" s="233"/>
      <c r="V13" s="231"/>
      <c r="W13" s="60">
        <f t="shared" si="0"/>
        <v>3</v>
      </c>
      <c r="X13" s="257">
        <f>SUM(W13:W16)</f>
        <v>12</v>
      </c>
      <c r="Y13" s="261"/>
      <c r="Z13" s="5"/>
      <c r="AA13" s="479"/>
      <c r="AB13" s="481" t="s">
        <v>73</v>
      </c>
      <c r="AC13" s="73">
        <v>3</v>
      </c>
      <c r="AD13" s="73" t="s">
        <v>72</v>
      </c>
      <c r="AE13" s="72" t="s">
        <v>27</v>
      </c>
    </row>
    <row r="14" spans="2:32" ht="18" thickBot="1">
      <c r="B14" s="223"/>
      <c r="C14" s="224"/>
      <c r="D14" s="228"/>
      <c r="E14" s="59" t="s">
        <v>54</v>
      </c>
      <c r="F14" s="263" t="s">
        <v>74</v>
      </c>
      <c r="G14" s="264"/>
      <c r="H14" s="47">
        <v>4</v>
      </c>
      <c r="I14" s="46" t="s">
        <v>52</v>
      </c>
      <c r="J14" s="45">
        <v>3</v>
      </c>
      <c r="K14" s="263"/>
      <c r="L14" s="265"/>
      <c r="M14" s="266">
        <v>3</v>
      </c>
      <c r="N14" s="267"/>
      <c r="O14" s="268"/>
      <c r="P14" s="265"/>
      <c r="Q14" s="266"/>
      <c r="R14" s="267"/>
      <c r="S14" s="268"/>
      <c r="T14" s="265"/>
      <c r="U14" s="266"/>
      <c r="V14" s="264"/>
      <c r="W14" s="58">
        <f t="shared" si="0"/>
        <v>3</v>
      </c>
      <c r="X14" s="258"/>
      <c r="Y14" s="261"/>
      <c r="Z14" s="5"/>
      <c r="AA14" s="479"/>
      <c r="AB14" s="482" t="s">
        <v>70</v>
      </c>
      <c r="AC14" s="276" t="s">
        <v>69</v>
      </c>
      <c r="AD14" s="276"/>
      <c r="AE14" s="277"/>
    </row>
    <row r="15" spans="2:32">
      <c r="B15" s="223"/>
      <c r="C15" s="224"/>
      <c r="D15" s="228"/>
      <c r="E15" s="44" t="s">
        <v>40</v>
      </c>
      <c r="F15" s="269" t="s">
        <v>71</v>
      </c>
      <c r="G15" s="270"/>
      <c r="H15" s="47">
        <v>4</v>
      </c>
      <c r="I15" s="71" t="s">
        <v>31</v>
      </c>
      <c r="J15" s="63">
        <v>3</v>
      </c>
      <c r="K15" s="269"/>
      <c r="L15" s="271"/>
      <c r="M15" s="272"/>
      <c r="N15" s="273"/>
      <c r="O15" s="278">
        <v>3</v>
      </c>
      <c r="P15" s="271"/>
      <c r="Q15" s="272"/>
      <c r="R15" s="273"/>
      <c r="S15" s="278"/>
      <c r="T15" s="271"/>
      <c r="U15" s="266"/>
      <c r="V15" s="264"/>
      <c r="W15" s="58">
        <f t="shared" si="0"/>
        <v>3</v>
      </c>
      <c r="X15" s="258"/>
      <c r="Y15" s="261"/>
      <c r="Z15" s="5"/>
      <c r="AA15" s="478"/>
      <c r="AB15" s="483"/>
      <c r="AC15" s="484"/>
      <c r="AD15" s="484"/>
      <c r="AE15" s="485"/>
      <c r="AF15" s="486"/>
    </row>
    <row r="16" spans="2:32" ht="18" thickBot="1">
      <c r="B16" s="223"/>
      <c r="C16" s="224"/>
      <c r="D16" s="229"/>
      <c r="E16" s="44" t="s">
        <v>40</v>
      </c>
      <c r="F16" s="249" t="s">
        <v>68</v>
      </c>
      <c r="G16" s="250"/>
      <c r="H16" s="61">
        <v>4</v>
      </c>
      <c r="I16" s="42" t="s">
        <v>31</v>
      </c>
      <c r="J16" s="41">
        <v>3</v>
      </c>
      <c r="K16" s="249"/>
      <c r="L16" s="251"/>
      <c r="M16" s="252"/>
      <c r="N16" s="253"/>
      <c r="O16" s="275"/>
      <c r="P16" s="251"/>
      <c r="Q16" s="252">
        <v>3</v>
      </c>
      <c r="R16" s="253"/>
      <c r="S16" s="275"/>
      <c r="T16" s="251"/>
      <c r="U16" s="247"/>
      <c r="V16" s="248"/>
      <c r="W16" s="69">
        <f t="shared" si="0"/>
        <v>3</v>
      </c>
      <c r="X16" s="259"/>
      <c r="Y16" s="261"/>
      <c r="Z16" s="5"/>
      <c r="AA16" s="478"/>
      <c r="AB16" s="478"/>
      <c r="AC16" s="478"/>
      <c r="AD16" s="478"/>
      <c r="AE16" s="478"/>
    </row>
    <row r="17" spans="2:30">
      <c r="B17" s="223"/>
      <c r="C17" s="224"/>
      <c r="D17" s="227" t="s">
        <v>67</v>
      </c>
      <c r="E17" s="54" t="s">
        <v>54</v>
      </c>
      <c r="F17" s="230" t="s">
        <v>66</v>
      </c>
      <c r="G17" s="231"/>
      <c r="H17" s="53">
        <v>4</v>
      </c>
      <c r="I17" s="70" t="s">
        <v>52</v>
      </c>
      <c r="J17" s="51">
        <v>3</v>
      </c>
      <c r="K17" s="230">
        <v>3</v>
      </c>
      <c r="L17" s="232"/>
      <c r="M17" s="233"/>
      <c r="N17" s="234"/>
      <c r="O17" s="235"/>
      <c r="P17" s="232"/>
      <c r="Q17" s="233"/>
      <c r="R17" s="234"/>
      <c r="S17" s="235"/>
      <c r="T17" s="232"/>
      <c r="U17" s="233"/>
      <c r="V17" s="231"/>
      <c r="W17" s="60">
        <f t="shared" si="0"/>
        <v>3</v>
      </c>
      <c r="X17" s="257">
        <f>SUM(W17:W20)</f>
        <v>12</v>
      </c>
      <c r="Y17" s="261"/>
      <c r="Z17" s="5"/>
      <c r="AA17" s="478"/>
    </row>
    <row r="18" spans="2:30">
      <c r="B18" s="223"/>
      <c r="C18" s="224"/>
      <c r="D18" s="228"/>
      <c r="E18" s="59" t="s">
        <v>54</v>
      </c>
      <c r="F18" s="263" t="s">
        <v>65</v>
      </c>
      <c r="G18" s="264"/>
      <c r="H18" s="47">
        <v>4</v>
      </c>
      <c r="I18" s="46" t="s">
        <v>52</v>
      </c>
      <c r="J18" s="45">
        <v>3</v>
      </c>
      <c r="K18" s="263"/>
      <c r="L18" s="265"/>
      <c r="M18" s="266">
        <v>3</v>
      </c>
      <c r="N18" s="267"/>
      <c r="O18" s="268"/>
      <c r="P18" s="265"/>
      <c r="Q18" s="266"/>
      <c r="R18" s="267"/>
      <c r="S18" s="268"/>
      <c r="T18" s="265"/>
      <c r="U18" s="266"/>
      <c r="V18" s="264"/>
      <c r="W18" s="58">
        <f t="shared" si="0"/>
        <v>3</v>
      </c>
      <c r="X18" s="258"/>
      <c r="Y18" s="261"/>
      <c r="Z18" s="5"/>
      <c r="AA18" s="478"/>
    </row>
    <row r="19" spans="2:30">
      <c r="B19" s="223"/>
      <c r="C19" s="224"/>
      <c r="D19" s="228"/>
      <c r="E19" s="64" t="s">
        <v>40</v>
      </c>
      <c r="F19" s="263" t="s">
        <v>64</v>
      </c>
      <c r="G19" s="264"/>
      <c r="H19" s="47">
        <v>4</v>
      </c>
      <c r="I19" s="46" t="s">
        <v>31</v>
      </c>
      <c r="J19" s="63">
        <v>3</v>
      </c>
      <c r="K19" s="263"/>
      <c r="L19" s="265"/>
      <c r="M19" s="266"/>
      <c r="N19" s="267"/>
      <c r="O19" s="278">
        <v>3</v>
      </c>
      <c r="P19" s="271"/>
      <c r="Q19" s="266"/>
      <c r="R19" s="267"/>
      <c r="S19" s="268"/>
      <c r="T19" s="265"/>
      <c r="U19" s="266"/>
      <c r="V19" s="264"/>
      <c r="W19" s="58">
        <f t="shared" si="0"/>
        <v>3</v>
      </c>
      <c r="X19" s="258"/>
      <c r="Y19" s="261"/>
      <c r="Z19" s="5"/>
      <c r="AA19" s="478"/>
    </row>
    <row r="20" spans="2:30" ht="18" thickBot="1">
      <c r="B20" s="223"/>
      <c r="C20" s="224"/>
      <c r="D20" s="229"/>
      <c r="E20" s="57" t="s">
        <v>40</v>
      </c>
      <c r="F20" s="274" t="s">
        <v>63</v>
      </c>
      <c r="G20" s="248"/>
      <c r="H20" s="61">
        <v>4</v>
      </c>
      <c r="I20" s="55" t="s">
        <v>31</v>
      </c>
      <c r="J20" s="41">
        <v>3</v>
      </c>
      <c r="K20" s="274"/>
      <c r="L20" s="255"/>
      <c r="M20" s="247"/>
      <c r="N20" s="256"/>
      <c r="O20" s="275"/>
      <c r="P20" s="251"/>
      <c r="Q20" s="247">
        <v>3</v>
      </c>
      <c r="R20" s="256"/>
      <c r="S20" s="254"/>
      <c r="T20" s="255"/>
      <c r="U20" s="247"/>
      <c r="V20" s="248"/>
      <c r="W20" s="69">
        <f t="shared" si="0"/>
        <v>3</v>
      </c>
      <c r="X20" s="259"/>
      <c r="Y20" s="262"/>
      <c r="Z20" s="5"/>
      <c r="AA20" s="478"/>
    </row>
    <row r="21" spans="2:30" ht="18" thickBot="1">
      <c r="B21" s="223"/>
      <c r="C21" s="224"/>
      <c r="D21" s="227" t="s">
        <v>62</v>
      </c>
      <c r="E21" s="54" t="s">
        <v>54</v>
      </c>
      <c r="F21" s="230" t="s">
        <v>61</v>
      </c>
      <c r="G21" s="231"/>
      <c r="H21" s="53">
        <v>3</v>
      </c>
      <c r="I21" s="52" t="s">
        <v>59</v>
      </c>
      <c r="J21" s="51">
        <v>3</v>
      </c>
      <c r="K21" s="279"/>
      <c r="L21" s="280"/>
      <c r="M21" s="281"/>
      <c r="N21" s="282"/>
      <c r="O21" s="283">
        <v>3</v>
      </c>
      <c r="P21" s="280"/>
      <c r="Q21" s="281"/>
      <c r="R21" s="282"/>
      <c r="S21" s="283"/>
      <c r="T21" s="280"/>
      <c r="U21" s="281"/>
      <c r="V21" s="285"/>
      <c r="W21" s="60">
        <f t="shared" si="0"/>
        <v>3</v>
      </c>
      <c r="X21" s="257">
        <f>SUM(W21:W22)</f>
        <v>6</v>
      </c>
      <c r="Y21" s="286">
        <v>6</v>
      </c>
      <c r="Z21" s="5"/>
      <c r="AA21" s="478"/>
    </row>
    <row r="22" spans="2:30" ht="18" thickBot="1">
      <c r="B22" s="223"/>
      <c r="C22" s="224"/>
      <c r="D22" s="228"/>
      <c r="E22" s="68" t="s">
        <v>54</v>
      </c>
      <c r="F22" s="274" t="s">
        <v>60</v>
      </c>
      <c r="G22" s="248"/>
      <c r="H22" s="67">
        <v>3</v>
      </c>
      <c r="I22" s="66" t="s">
        <v>59</v>
      </c>
      <c r="J22" s="65">
        <v>3</v>
      </c>
      <c r="K22" s="249"/>
      <c r="L22" s="251"/>
      <c r="M22" s="252"/>
      <c r="N22" s="253"/>
      <c r="O22" s="275"/>
      <c r="P22" s="251"/>
      <c r="Q22" s="252">
        <v>3</v>
      </c>
      <c r="R22" s="253"/>
      <c r="S22" s="275"/>
      <c r="T22" s="251"/>
      <c r="U22" s="252"/>
      <c r="V22" s="250"/>
      <c r="W22" s="56">
        <f t="shared" si="0"/>
        <v>3</v>
      </c>
      <c r="X22" s="259"/>
      <c r="Y22" s="286"/>
      <c r="Z22" s="5"/>
      <c r="AA22" s="478"/>
      <c r="AB22" s="487"/>
      <c r="AC22" s="487"/>
      <c r="AD22" s="12"/>
    </row>
    <row r="23" spans="2:30">
      <c r="B23" s="223"/>
      <c r="C23" s="224"/>
      <c r="D23" s="228"/>
      <c r="E23" s="54" t="s">
        <v>54</v>
      </c>
      <c r="F23" s="230" t="s">
        <v>58</v>
      </c>
      <c r="G23" s="231"/>
      <c r="H23" s="53">
        <v>4</v>
      </c>
      <c r="I23" s="52" t="s">
        <v>52</v>
      </c>
      <c r="J23" s="51">
        <v>3</v>
      </c>
      <c r="K23" s="230">
        <v>3</v>
      </c>
      <c r="L23" s="232"/>
      <c r="M23" s="233"/>
      <c r="N23" s="234"/>
      <c r="O23" s="235"/>
      <c r="P23" s="232"/>
      <c r="Q23" s="233"/>
      <c r="R23" s="234"/>
      <c r="S23" s="235"/>
      <c r="T23" s="232"/>
      <c r="U23" s="233"/>
      <c r="V23" s="231"/>
      <c r="W23" s="60">
        <f t="shared" si="0"/>
        <v>3</v>
      </c>
      <c r="X23" s="257">
        <f>SUM(W23:W24)</f>
        <v>6</v>
      </c>
      <c r="Y23" s="260">
        <v>12</v>
      </c>
      <c r="Z23" s="5"/>
      <c r="AA23" s="478"/>
    </row>
    <row r="24" spans="2:30" ht="18" thickBot="1">
      <c r="B24" s="223"/>
      <c r="C24" s="224"/>
      <c r="D24" s="229"/>
      <c r="E24" s="57" t="s">
        <v>54</v>
      </c>
      <c r="F24" s="249" t="s">
        <v>57</v>
      </c>
      <c r="G24" s="250"/>
      <c r="H24" s="43">
        <v>4</v>
      </c>
      <c r="I24" s="42" t="s">
        <v>52</v>
      </c>
      <c r="J24" s="41">
        <v>3</v>
      </c>
      <c r="K24" s="249"/>
      <c r="L24" s="251"/>
      <c r="M24" s="252">
        <v>3</v>
      </c>
      <c r="N24" s="253"/>
      <c r="O24" s="275"/>
      <c r="P24" s="251"/>
      <c r="Q24" s="252"/>
      <c r="R24" s="253"/>
      <c r="S24" s="275"/>
      <c r="T24" s="251"/>
      <c r="U24" s="252"/>
      <c r="V24" s="250"/>
      <c r="W24" s="56">
        <f t="shared" si="0"/>
        <v>3</v>
      </c>
      <c r="X24" s="259"/>
      <c r="Y24" s="261"/>
      <c r="Z24" s="5"/>
      <c r="AA24" s="478"/>
    </row>
    <row r="25" spans="2:30">
      <c r="B25" s="223"/>
      <c r="C25" s="224"/>
      <c r="D25" s="227" t="s">
        <v>56</v>
      </c>
      <c r="E25" s="54" t="s">
        <v>54</v>
      </c>
      <c r="F25" s="230" t="s">
        <v>55</v>
      </c>
      <c r="G25" s="231"/>
      <c r="H25" s="53">
        <v>4</v>
      </c>
      <c r="I25" s="52" t="s">
        <v>52</v>
      </c>
      <c r="J25" s="51">
        <v>3</v>
      </c>
      <c r="K25" s="230">
        <v>3</v>
      </c>
      <c r="L25" s="232"/>
      <c r="M25" s="233"/>
      <c r="N25" s="234"/>
      <c r="O25" s="235"/>
      <c r="P25" s="232"/>
      <c r="Q25" s="233"/>
      <c r="R25" s="234"/>
      <c r="S25" s="235"/>
      <c r="T25" s="232"/>
      <c r="U25" s="233"/>
      <c r="V25" s="231"/>
      <c r="W25" s="60">
        <f t="shared" si="0"/>
        <v>3</v>
      </c>
      <c r="X25" s="257">
        <f>SUM(W25:W28)</f>
        <v>12</v>
      </c>
      <c r="Y25" s="261"/>
      <c r="Z25" s="5"/>
      <c r="AA25" s="478"/>
    </row>
    <row r="26" spans="2:30">
      <c r="B26" s="223"/>
      <c r="C26" s="224"/>
      <c r="D26" s="228"/>
      <c r="E26" s="59" t="s">
        <v>54</v>
      </c>
      <c r="F26" s="263" t="s">
        <v>53</v>
      </c>
      <c r="G26" s="264"/>
      <c r="H26" s="47">
        <v>4</v>
      </c>
      <c r="I26" s="46" t="s">
        <v>52</v>
      </c>
      <c r="J26" s="45">
        <v>3</v>
      </c>
      <c r="K26" s="263"/>
      <c r="L26" s="265"/>
      <c r="M26" s="266">
        <v>3</v>
      </c>
      <c r="N26" s="267"/>
      <c r="O26" s="268"/>
      <c r="P26" s="265"/>
      <c r="Q26" s="266"/>
      <c r="R26" s="267"/>
      <c r="S26" s="268"/>
      <c r="T26" s="265"/>
      <c r="U26" s="266"/>
      <c r="V26" s="264"/>
      <c r="W26" s="58">
        <f t="shared" si="0"/>
        <v>3</v>
      </c>
      <c r="X26" s="258"/>
      <c r="Y26" s="261"/>
      <c r="Z26" s="5"/>
      <c r="AA26" s="478"/>
    </row>
    <row r="27" spans="2:30">
      <c r="B27" s="223"/>
      <c r="C27" s="224"/>
      <c r="D27" s="228"/>
      <c r="E27" s="64" t="s">
        <v>29</v>
      </c>
      <c r="F27" s="269" t="s">
        <v>51</v>
      </c>
      <c r="G27" s="270"/>
      <c r="H27" s="47">
        <v>4</v>
      </c>
      <c r="I27" s="46" t="s">
        <v>31</v>
      </c>
      <c r="J27" s="63">
        <v>3</v>
      </c>
      <c r="K27" s="263"/>
      <c r="L27" s="265"/>
      <c r="M27" s="266"/>
      <c r="N27" s="267"/>
      <c r="O27" s="268">
        <v>3</v>
      </c>
      <c r="P27" s="265"/>
      <c r="Q27" s="266"/>
      <c r="R27" s="267"/>
      <c r="S27" s="268"/>
      <c r="T27" s="265"/>
      <c r="U27" s="272"/>
      <c r="V27" s="270"/>
      <c r="W27" s="62">
        <f t="shared" si="0"/>
        <v>3</v>
      </c>
      <c r="X27" s="258"/>
      <c r="Y27" s="261"/>
      <c r="Z27" s="5"/>
      <c r="AA27" s="478"/>
    </row>
    <row r="28" spans="2:30" ht="18" thickBot="1">
      <c r="B28" s="223"/>
      <c r="C28" s="224"/>
      <c r="D28" s="229"/>
      <c r="E28" s="57" t="s">
        <v>34</v>
      </c>
      <c r="F28" s="249" t="s">
        <v>50</v>
      </c>
      <c r="G28" s="250"/>
      <c r="H28" s="61">
        <v>4</v>
      </c>
      <c r="I28" s="55" t="s">
        <v>31</v>
      </c>
      <c r="J28" s="41">
        <v>3</v>
      </c>
      <c r="K28" s="274"/>
      <c r="L28" s="255"/>
      <c r="M28" s="247"/>
      <c r="N28" s="256"/>
      <c r="O28" s="254"/>
      <c r="P28" s="255"/>
      <c r="Q28" s="247">
        <v>3</v>
      </c>
      <c r="R28" s="256"/>
      <c r="S28" s="254"/>
      <c r="T28" s="255"/>
      <c r="U28" s="252"/>
      <c r="V28" s="250"/>
      <c r="W28" s="56">
        <f t="shared" si="0"/>
        <v>3</v>
      </c>
      <c r="X28" s="259"/>
      <c r="Y28" s="262"/>
      <c r="Z28" s="5"/>
      <c r="AA28" s="478"/>
    </row>
    <row r="29" spans="2:30" ht="16.5" customHeight="1" thickBot="1">
      <c r="B29" s="223"/>
      <c r="C29" s="224"/>
      <c r="D29" s="227" t="s">
        <v>49</v>
      </c>
      <c r="E29" s="54" t="s">
        <v>29</v>
      </c>
      <c r="F29" s="230" t="s">
        <v>48</v>
      </c>
      <c r="G29" s="231"/>
      <c r="H29" s="53">
        <v>3</v>
      </c>
      <c r="I29" s="52" t="s">
        <v>27</v>
      </c>
      <c r="J29" s="51">
        <f>SUM(K29:V29)</f>
        <v>2</v>
      </c>
      <c r="K29" s="230">
        <v>2</v>
      </c>
      <c r="L29" s="232"/>
      <c r="M29" s="233"/>
      <c r="N29" s="234"/>
      <c r="O29" s="235"/>
      <c r="P29" s="232"/>
      <c r="Q29" s="233"/>
      <c r="R29" s="234"/>
      <c r="S29" s="235"/>
      <c r="T29" s="232"/>
      <c r="U29" s="233"/>
      <c r="V29" s="231"/>
      <c r="W29" s="60">
        <f t="shared" si="0"/>
        <v>2</v>
      </c>
      <c r="X29" s="293">
        <f>SUM(W29:W33)</f>
        <v>10</v>
      </c>
      <c r="Y29" s="286">
        <v>8</v>
      </c>
      <c r="Z29" s="5"/>
      <c r="AA29" s="478"/>
    </row>
    <row r="30" spans="2:30" ht="18" thickBot="1">
      <c r="B30" s="223"/>
      <c r="C30" s="224"/>
      <c r="D30" s="228"/>
      <c r="E30" s="59" t="s">
        <v>29</v>
      </c>
      <c r="F30" s="263" t="s">
        <v>47</v>
      </c>
      <c r="G30" s="264"/>
      <c r="H30" s="47">
        <v>3</v>
      </c>
      <c r="I30" s="46" t="s">
        <v>27</v>
      </c>
      <c r="J30" s="45">
        <f>SUM(K30:V30)</f>
        <v>2</v>
      </c>
      <c r="K30" s="263"/>
      <c r="L30" s="265"/>
      <c r="M30" s="266">
        <v>2</v>
      </c>
      <c r="N30" s="267"/>
      <c r="O30" s="268"/>
      <c r="P30" s="265"/>
      <c r="Q30" s="266"/>
      <c r="R30" s="267"/>
      <c r="S30" s="268"/>
      <c r="T30" s="265"/>
      <c r="U30" s="266"/>
      <c r="V30" s="264"/>
      <c r="W30" s="58">
        <f t="shared" si="0"/>
        <v>2</v>
      </c>
      <c r="X30" s="294"/>
      <c r="Y30" s="286"/>
      <c r="Z30" s="5"/>
      <c r="AA30" s="478"/>
    </row>
    <row r="31" spans="2:30" ht="18" thickBot="1">
      <c r="B31" s="223"/>
      <c r="C31" s="224"/>
      <c r="D31" s="228"/>
      <c r="E31" s="59" t="s">
        <v>34</v>
      </c>
      <c r="F31" s="263" t="s">
        <v>46</v>
      </c>
      <c r="G31" s="264"/>
      <c r="H31" s="47">
        <v>3</v>
      </c>
      <c r="I31" s="46" t="s">
        <v>27</v>
      </c>
      <c r="J31" s="45">
        <v>2</v>
      </c>
      <c r="K31" s="263"/>
      <c r="L31" s="265"/>
      <c r="M31" s="266"/>
      <c r="N31" s="267"/>
      <c r="O31" s="268">
        <v>2</v>
      </c>
      <c r="P31" s="265"/>
      <c r="Q31" s="266"/>
      <c r="R31" s="267"/>
      <c r="S31" s="268"/>
      <c r="T31" s="265"/>
      <c r="U31" s="266"/>
      <c r="V31" s="264"/>
      <c r="W31" s="58">
        <f t="shared" si="0"/>
        <v>2</v>
      </c>
      <c r="X31" s="294"/>
      <c r="Y31" s="286"/>
      <c r="Z31" s="5"/>
      <c r="AA31" s="478"/>
    </row>
    <row r="32" spans="2:30" ht="18" thickBot="1">
      <c r="B32" s="223"/>
      <c r="C32" s="224"/>
      <c r="D32" s="228"/>
      <c r="E32" s="59" t="s">
        <v>34</v>
      </c>
      <c r="F32" s="263" t="s">
        <v>45</v>
      </c>
      <c r="G32" s="264"/>
      <c r="H32" s="47">
        <v>3</v>
      </c>
      <c r="I32" s="46" t="s">
        <v>27</v>
      </c>
      <c r="J32" s="45">
        <v>2</v>
      </c>
      <c r="K32" s="263"/>
      <c r="L32" s="265"/>
      <c r="M32" s="266"/>
      <c r="N32" s="267"/>
      <c r="O32" s="268"/>
      <c r="P32" s="265"/>
      <c r="Q32" s="266">
        <v>2</v>
      </c>
      <c r="R32" s="267"/>
      <c r="S32" s="268"/>
      <c r="T32" s="265"/>
      <c r="U32" s="266"/>
      <c r="V32" s="264"/>
      <c r="W32" s="58">
        <f t="shared" si="0"/>
        <v>2</v>
      </c>
      <c r="X32" s="294"/>
      <c r="Y32" s="286"/>
      <c r="Z32" s="5"/>
      <c r="AA32" s="478"/>
    </row>
    <row r="33" spans="2:29" ht="18" thickBot="1">
      <c r="B33" s="223"/>
      <c r="C33" s="224"/>
      <c r="D33" s="229"/>
      <c r="E33" s="57" t="s">
        <v>40</v>
      </c>
      <c r="F33" s="249" t="s">
        <v>277</v>
      </c>
      <c r="G33" s="250"/>
      <c r="H33" s="43">
        <v>2</v>
      </c>
      <c r="I33" s="42" t="s">
        <v>44</v>
      </c>
      <c r="J33" s="41">
        <v>2</v>
      </c>
      <c r="K33" s="249"/>
      <c r="L33" s="251"/>
      <c r="M33" s="252"/>
      <c r="N33" s="253"/>
      <c r="O33" s="275"/>
      <c r="P33" s="251"/>
      <c r="Q33" s="252"/>
      <c r="R33" s="253"/>
      <c r="S33" s="275">
        <v>2</v>
      </c>
      <c r="T33" s="251"/>
      <c r="U33" s="252"/>
      <c r="V33" s="250"/>
      <c r="W33" s="56">
        <f t="shared" si="0"/>
        <v>2</v>
      </c>
      <c r="X33" s="295"/>
      <c r="Y33" s="286"/>
      <c r="Z33" s="5"/>
      <c r="AA33" s="478"/>
    </row>
    <row r="34" spans="2:29">
      <c r="B34" s="223"/>
      <c r="C34" s="224"/>
      <c r="D34" s="227" t="s">
        <v>43</v>
      </c>
      <c r="E34" s="54" t="s">
        <v>29</v>
      </c>
      <c r="F34" s="230" t="s">
        <v>42</v>
      </c>
      <c r="G34" s="231"/>
      <c r="H34" s="53">
        <v>3</v>
      </c>
      <c r="I34" s="55" t="s">
        <v>27</v>
      </c>
      <c r="J34" s="51">
        <v>2</v>
      </c>
      <c r="K34" s="230">
        <v>2</v>
      </c>
      <c r="L34" s="232"/>
      <c r="M34" s="233"/>
      <c r="N34" s="234"/>
      <c r="O34" s="235"/>
      <c r="P34" s="232"/>
      <c r="Q34" s="233"/>
      <c r="R34" s="234"/>
      <c r="S34" s="235"/>
      <c r="T34" s="232"/>
      <c r="U34" s="233"/>
      <c r="V34" s="231"/>
      <c r="W34" s="287">
        <f>SUM(K34:V37)</f>
        <v>8</v>
      </c>
      <c r="X34" s="288"/>
      <c r="Y34" s="260">
        <v>6</v>
      </c>
      <c r="Z34" s="5"/>
      <c r="AA34" s="478"/>
    </row>
    <row r="35" spans="2:29">
      <c r="B35" s="223"/>
      <c r="C35" s="224"/>
      <c r="D35" s="228"/>
      <c r="E35" s="44" t="s">
        <v>40</v>
      </c>
      <c r="F35" s="263" t="s">
        <v>41</v>
      </c>
      <c r="G35" s="264"/>
      <c r="H35" s="47">
        <v>3</v>
      </c>
      <c r="I35" s="46" t="s">
        <v>27</v>
      </c>
      <c r="J35" s="45">
        <v>2</v>
      </c>
      <c r="K35" s="263"/>
      <c r="L35" s="265"/>
      <c r="M35" s="266">
        <v>2</v>
      </c>
      <c r="N35" s="267"/>
      <c r="O35" s="268"/>
      <c r="P35" s="265"/>
      <c r="Q35" s="266"/>
      <c r="R35" s="267"/>
      <c r="S35" s="268"/>
      <c r="T35" s="265"/>
      <c r="U35" s="266"/>
      <c r="V35" s="264"/>
      <c r="W35" s="289"/>
      <c r="X35" s="290"/>
      <c r="Y35" s="261"/>
      <c r="Z35" s="5"/>
      <c r="AA35" s="478"/>
    </row>
    <row r="36" spans="2:29">
      <c r="B36" s="223"/>
      <c r="C36" s="224"/>
      <c r="D36" s="228"/>
      <c r="E36" s="44" t="s">
        <v>40</v>
      </c>
      <c r="F36" s="269" t="s">
        <v>39</v>
      </c>
      <c r="G36" s="270"/>
      <c r="H36" s="50">
        <v>3</v>
      </c>
      <c r="I36" s="49" t="s">
        <v>27</v>
      </c>
      <c r="J36" s="48">
        <v>2</v>
      </c>
      <c r="K36" s="263"/>
      <c r="L36" s="265"/>
      <c r="M36" s="266"/>
      <c r="N36" s="267"/>
      <c r="O36" s="268">
        <v>2</v>
      </c>
      <c r="P36" s="265"/>
      <c r="Q36" s="266"/>
      <c r="R36" s="267"/>
      <c r="S36" s="268"/>
      <c r="T36" s="265"/>
      <c r="U36" s="266"/>
      <c r="V36" s="264"/>
      <c r="W36" s="289"/>
      <c r="X36" s="290"/>
      <c r="Y36" s="261"/>
      <c r="Z36" s="5"/>
      <c r="AA36" s="478"/>
    </row>
    <row r="37" spans="2:29" ht="18" thickBot="1">
      <c r="B37" s="223"/>
      <c r="C37" s="224"/>
      <c r="D37" s="229"/>
      <c r="E37" s="44" t="s">
        <v>34</v>
      </c>
      <c r="F37" s="249" t="s">
        <v>38</v>
      </c>
      <c r="G37" s="250"/>
      <c r="H37" s="50">
        <v>3</v>
      </c>
      <c r="I37" s="49" t="s">
        <v>27</v>
      </c>
      <c r="J37" s="48">
        <v>2</v>
      </c>
      <c r="K37" s="274"/>
      <c r="L37" s="255"/>
      <c r="M37" s="247"/>
      <c r="N37" s="256"/>
      <c r="O37" s="254"/>
      <c r="P37" s="255"/>
      <c r="Q37" s="247">
        <v>2</v>
      </c>
      <c r="R37" s="256"/>
      <c r="S37" s="254"/>
      <c r="T37" s="255"/>
      <c r="U37" s="247"/>
      <c r="V37" s="248"/>
      <c r="W37" s="291"/>
      <c r="X37" s="292"/>
      <c r="Y37" s="262"/>
      <c r="Z37" s="5"/>
      <c r="AA37" s="478"/>
    </row>
    <row r="38" spans="2:29" ht="16.5" customHeight="1" thickBot="1">
      <c r="B38" s="223"/>
      <c r="C38" s="224"/>
      <c r="D38" s="296" t="s">
        <v>37</v>
      </c>
      <c r="E38" s="54" t="s">
        <v>34</v>
      </c>
      <c r="F38" s="230" t="s">
        <v>33</v>
      </c>
      <c r="G38" s="231"/>
      <c r="H38" s="53">
        <v>2</v>
      </c>
      <c r="I38" s="52" t="s">
        <v>44</v>
      </c>
      <c r="J38" s="51">
        <v>1</v>
      </c>
      <c r="K38" s="230">
        <v>1</v>
      </c>
      <c r="L38" s="232"/>
      <c r="M38" s="233"/>
      <c r="N38" s="234"/>
      <c r="O38" s="235"/>
      <c r="P38" s="232"/>
      <c r="Q38" s="233"/>
      <c r="R38" s="234"/>
      <c r="S38" s="235"/>
      <c r="T38" s="232"/>
      <c r="U38" s="233"/>
      <c r="V38" s="231"/>
      <c r="W38" s="287">
        <f>SUM(K38:V41)</f>
        <v>10</v>
      </c>
      <c r="X38" s="288"/>
      <c r="Y38" s="286">
        <v>8</v>
      </c>
      <c r="Z38" s="5" t="s">
        <v>30</v>
      </c>
      <c r="AA38" s="478"/>
    </row>
    <row r="39" spans="2:29" ht="16.5" customHeight="1" thickBot="1">
      <c r="B39" s="223"/>
      <c r="C39" s="224"/>
      <c r="D39" s="297"/>
      <c r="E39" s="44" t="s">
        <v>40</v>
      </c>
      <c r="F39" s="263" t="s">
        <v>36</v>
      </c>
      <c r="G39" s="264"/>
      <c r="H39" s="50">
        <v>3</v>
      </c>
      <c r="I39" s="49" t="s">
        <v>27</v>
      </c>
      <c r="J39" s="48">
        <v>2</v>
      </c>
      <c r="K39" s="263"/>
      <c r="L39" s="265"/>
      <c r="M39" s="266">
        <v>2</v>
      </c>
      <c r="N39" s="267"/>
      <c r="O39" s="268"/>
      <c r="P39" s="265"/>
      <c r="Q39" s="266"/>
      <c r="R39" s="267"/>
      <c r="S39" s="268"/>
      <c r="T39" s="265"/>
      <c r="U39" s="266"/>
      <c r="V39" s="264"/>
      <c r="W39" s="289"/>
      <c r="X39" s="290"/>
      <c r="Y39" s="286"/>
      <c r="Z39" s="5" t="s">
        <v>35</v>
      </c>
      <c r="AA39" s="478"/>
    </row>
    <row r="40" spans="2:29" ht="16.5" customHeight="1" thickBot="1">
      <c r="B40" s="223"/>
      <c r="C40" s="224"/>
      <c r="D40" s="297"/>
      <c r="E40" s="44" t="s">
        <v>29</v>
      </c>
      <c r="F40" s="263" t="s">
        <v>32</v>
      </c>
      <c r="G40" s="264"/>
      <c r="H40" s="47">
        <v>4</v>
      </c>
      <c r="I40" s="46" t="s">
        <v>31</v>
      </c>
      <c r="J40" s="45">
        <v>4</v>
      </c>
      <c r="K40" s="263">
        <v>4</v>
      </c>
      <c r="L40" s="265"/>
      <c r="M40" s="266"/>
      <c r="N40" s="267"/>
      <c r="O40" s="268"/>
      <c r="P40" s="265"/>
      <c r="Q40" s="266"/>
      <c r="R40" s="267"/>
      <c r="S40" s="268"/>
      <c r="T40" s="265"/>
      <c r="U40" s="266"/>
      <c r="V40" s="264"/>
      <c r="W40" s="289"/>
      <c r="X40" s="290"/>
      <c r="Y40" s="286"/>
      <c r="Z40" s="5" t="s">
        <v>26</v>
      </c>
      <c r="AA40" s="478"/>
    </row>
    <row r="41" spans="2:29" ht="18" thickBot="1">
      <c r="B41" s="225"/>
      <c r="C41" s="226"/>
      <c r="D41" s="297"/>
      <c r="E41" s="44" t="s">
        <v>29</v>
      </c>
      <c r="F41" s="249" t="s">
        <v>28</v>
      </c>
      <c r="G41" s="250"/>
      <c r="H41" s="43">
        <v>4</v>
      </c>
      <c r="I41" s="42" t="s">
        <v>27</v>
      </c>
      <c r="J41" s="41">
        <v>3</v>
      </c>
      <c r="K41" s="249"/>
      <c r="L41" s="251"/>
      <c r="M41" s="252">
        <v>3</v>
      </c>
      <c r="N41" s="253"/>
      <c r="O41" s="268"/>
      <c r="P41" s="265"/>
      <c r="Q41" s="266"/>
      <c r="R41" s="267"/>
      <c r="S41" s="268"/>
      <c r="T41" s="265"/>
      <c r="U41" s="266"/>
      <c r="V41" s="264"/>
      <c r="W41" s="289"/>
      <c r="X41" s="290"/>
      <c r="Y41" s="286"/>
      <c r="Z41" s="5" t="s">
        <v>26</v>
      </c>
      <c r="AA41" s="478"/>
    </row>
    <row r="42" spans="2:29" ht="24.75" customHeight="1" thickBot="1">
      <c r="B42" s="308" t="s">
        <v>25</v>
      </c>
      <c r="C42" s="309"/>
      <c r="D42" s="309"/>
      <c r="E42" s="309"/>
      <c r="F42" s="309"/>
      <c r="G42" s="310"/>
      <c r="H42" s="40">
        <f>SUM(H23:H41)</f>
        <v>63</v>
      </c>
      <c r="I42" s="39"/>
      <c r="J42" s="8">
        <f>SUM(J9:J41)</f>
        <v>88</v>
      </c>
      <c r="K42" s="311">
        <f>SUM(K9:L41)</f>
        <v>24</v>
      </c>
      <c r="L42" s="312"/>
      <c r="M42" s="312">
        <f>SUM(M9:N41)</f>
        <v>24</v>
      </c>
      <c r="N42" s="313"/>
      <c r="O42" s="314">
        <f>SUM(O9:P41)</f>
        <v>19</v>
      </c>
      <c r="P42" s="312"/>
      <c r="Q42" s="312">
        <f>SUM(Q9:R41)</f>
        <v>19</v>
      </c>
      <c r="R42" s="315"/>
      <c r="S42" s="320">
        <f>SUM(S9:T41)</f>
        <v>2</v>
      </c>
      <c r="T42" s="312"/>
      <c r="U42" s="312">
        <f>SUM(U9:V41)</f>
        <v>0</v>
      </c>
      <c r="V42" s="321"/>
      <c r="W42" s="308">
        <f>SUM(K42:V42)</f>
        <v>88</v>
      </c>
      <c r="X42" s="320"/>
      <c r="Y42" s="8">
        <f>SUM(Y9:Y41)</f>
        <v>64</v>
      </c>
      <c r="Z42" s="5"/>
      <c r="AA42" s="478"/>
      <c r="AB42" s="415" t="b">
        <f>W42&gt;=Y42</f>
        <v>1</v>
      </c>
      <c r="AC42" s="322"/>
    </row>
    <row r="43" spans="2:29" ht="17.25" customHeight="1">
      <c r="B43" s="298" t="s">
        <v>24</v>
      </c>
      <c r="C43" s="299"/>
      <c r="D43" s="302" t="s">
        <v>23</v>
      </c>
      <c r="E43" s="303"/>
      <c r="F43" s="306" t="s">
        <v>268</v>
      </c>
      <c r="G43" s="307"/>
      <c r="H43" s="25"/>
      <c r="I43" s="38"/>
      <c r="J43" s="24">
        <v>2</v>
      </c>
      <c r="K43" s="279"/>
      <c r="L43" s="280"/>
      <c r="M43" s="233"/>
      <c r="N43" s="234"/>
      <c r="O43" s="235"/>
      <c r="P43" s="232"/>
      <c r="Q43" s="233"/>
      <c r="R43" s="234"/>
      <c r="S43" s="235">
        <v>2</v>
      </c>
      <c r="T43" s="232"/>
      <c r="U43" s="281"/>
      <c r="V43" s="285"/>
      <c r="W43" s="287">
        <f>SUM(K43:V43)</f>
        <v>2</v>
      </c>
      <c r="X43" s="288"/>
      <c r="Y43" s="260">
        <v>80</v>
      </c>
      <c r="Z43" s="5"/>
      <c r="AA43" s="478"/>
    </row>
    <row r="44" spans="2:29" ht="17.25" customHeight="1" thickBot="1">
      <c r="B44" s="300"/>
      <c r="C44" s="301"/>
      <c r="D44" s="304"/>
      <c r="E44" s="305"/>
      <c r="F44" s="323" t="s">
        <v>22</v>
      </c>
      <c r="G44" s="324"/>
      <c r="H44" s="27"/>
      <c r="I44" s="37"/>
      <c r="J44" s="13">
        <v>2</v>
      </c>
      <c r="K44" s="249"/>
      <c r="L44" s="251"/>
      <c r="M44" s="247"/>
      <c r="N44" s="256"/>
      <c r="O44" s="254"/>
      <c r="P44" s="255"/>
      <c r="Q44" s="247"/>
      <c r="R44" s="256"/>
      <c r="S44" s="254"/>
      <c r="T44" s="255"/>
      <c r="U44" s="252">
        <v>2</v>
      </c>
      <c r="V44" s="250"/>
      <c r="W44" s="325">
        <v>2</v>
      </c>
      <c r="X44" s="326"/>
      <c r="Y44" s="261"/>
      <c r="Z44" s="5"/>
      <c r="AA44" s="478"/>
    </row>
    <row r="45" spans="2:29" ht="17.25" customHeight="1">
      <c r="B45" s="300"/>
      <c r="C45" s="301"/>
      <c r="D45" s="19" t="s">
        <v>10</v>
      </c>
      <c r="E45" s="28" t="s">
        <v>21</v>
      </c>
      <c r="F45" s="327" t="s">
        <v>255</v>
      </c>
      <c r="G45" s="328"/>
      <c r="H45" s="34"/>
      <c r="I45" s="36"/>
      <c r="J45" s="35">
        <v>5</v>
      </c>
      <c r="K45" s="329">
        <v>5</v>
      </c>
      <c r="L45" s="330"/>
      <c r="M45" s="331"/>
      <c r="N45" s="332"/>
      <c r="O45" s="333"/>
      <c r="P45" s="330"/>
      <c r="Q45" s="331"/>
      <c r="R45" s="334"/>
      <c r="S45" s="332"/>
      <c r="T45" s="330"/>
      <c r="U45" s="331"/>
      <c r="V45" s="335"/>
      <c r="W45" s="325">
        <f>SUM(K45:V45)</f>
        <v>5</v>
      </c>
      <c r="X45" s="326"/>
      <c r="Y45" s="261"/>
      <c r="Z45" s="5"/>
      <c r="AA45" s="478"/>
    </row>
    <row r="46" spans="2:29" ht="17.25" customHeight="1">
      <c r="B46" s="300"/>
      <c r="C46" s="301"/>
      <c r="D46" s="31" t="s">
        <v>10</v>
      </c>
      <c r="E46" s="15" t="s">
        <v>21</v>
      </c>
      <c r="F46" s="316" t="s">
        <v>256</v>
      </c>
      <c r="G46" s="317"/>
      <c r="H46" s="34"/>
      <c r="I46" s="36"/>
      <c r="J46" s="35">
        <v>5</v>
      </c>
      <c r="K46" s="263"/>
      <c r="L46" s="265"/>
      <c r="M46" s="266">
        <v>5</v>
      </c>
      <c r="N46" s="267"/>
      <c r="O46" s="268"/>
      <c r="P46" s="265"/>
      <c r="Q46" s="266"/>
      <c r="R46" s="267"/>
      <c r="S46" s="268"/>
      <c r="T46" s="265"/>
      <c r="U46" s="266"/>
      <c r="V46" s="264"/>
      <c r="W46" s="325">
        <f>SUM(K46:V46)</f>
        <v>5</v>
      </c>
      <c r="X46" s="326"/>
      <c r="Y46" s="261"/>
      <c r="Z46" s="5"/>
      <c r="AA46" s="478"/>
    </row>
    <row r="47" spans="2:29" ht="17.25" customHeight="1">
      <c r="B47" s="300"/>
      <c r="C47" s="301"/>
      <c r="D47" s="31" t="s">
        <v>10</v>
      </c>
      <c r="E47" s="15" t="s">
        <v>21</v>
      </c>
      <c r="F47" s="316" t="s">
        <v>257</v>
      </c>
      <c r="G47" s="317"/>
      <c r="H47" s="34"/>
      <c r="I47" s="36"/>
      <c r="J47" s="35">
        <v>4</v>
      </c>
      <c r="K47" s="263"/>
      <c r="L47" s="265"/>
      <c r="M47" s="266"/>
      <c r="N47" s="267"/>
      <c r="O47" s="268"/>
      <c r="P47" s="265"/>
      <c r="Q47" s="266"/>
      <c r="R47" s="267"/>
      <c r="S47" s="268">
        <v>4</v>
      </c>
      <c r="T47" s="265"/>
      <c r="U47" s="266"/>
      <c r="V47" s="264"/>
      <c r="W47" s="325">
        <f>SUM(K47:V47)</f>
        <v>4</v>
      </c>
      <c r="X47" s="326"/>
      <c r="Y47" s="261"/>
      <c r="Z47" s="5"/>
      <c r="AA47" s="478"/>
    </row>
    <row r="48" spans="2:29" ht="17.25" customHeight="1">
      <c r="B48" s="300"/>
      <c r="C48" s="301"/>
      <c r="D48" s="31" t="s">
        <v>10</v>
      </c>
      <c r="E48" s="15" t="s">
        <v>21</v>
      </c>
      <c r="F48" s="318" t="s">
        <v>258</v>
      </c>
      <c r="G48" s="319"/>
      <c r="H48" s="34"/>
      <c r="I48" s="36"/>
      <c r="J48" s="35">
        <v>5</v>
      </c>
      <c r="K48" s="263"/>
      <c r="L48" s="265"/>
      <c r="M48" s="266"/>
      <c r="N48" s="267"/>
      <c r="O48" s="268"/>
      <c r="P48" s="265"/>
      <c r="Q48" s="266"/>
      <c r="R48" s="267"/>
      <c r="S48" s="268">
        <v>5</v>
      </c>
      <c r="T48" s="265"/>
      <c r="U48" s="266"/>
      <c r="V48" s="264"/>
      <c r="W48" s="325">
        <f>SUM(K48:V48)</f>
        <v>5</v>
      </c>
      <c r="X48" s="326"/>
      <c r="Y48" s="261"/>
      <c r="Z48" s="5"/>
      <c r="AA48" s="478"/>
    </row>
    <row r="49" spans="2:30" ht="17.25" customHeight="1" thickBot="1">
      <c r="B49" s="300"/>
      <c r="C49" s="301"/>
      <c r="D49" s="23" t="s">
        <v>10</v>
      </c>
      <c r="E49" s="15" t="s">
        <v>21</v>
      </c>
      <c r="F49" s="318" t="s">
        <v>259</v>
      </c>
      <c r="G49" s="319"/>
      <c r="H49" s="34"/>
      <c r="I49" s="33"/>
      <c r="J49" s="17">
        <v>7</v>
      </c>
      <c r="K49" s="263"/>
      <c r="L49" s="265"/>
      <c r="M49" s="266"/>
      <c r="N49" s="336"/>
      <c r="O49" s="268"/>
      <c r="P49" s="265"/>
      <c r="Q49" s="266"/>
      <c r="R49" s="267"/>
      <c r="S49" s="336"/>
      <c r="T49" s="265"/>
      <c r="U49" s="266">
        <v>7</v>
      </c>
      <c r="V49" s="264"/>
      <c r="W49" s="325">
        <f>SUM(K49:V49)</f>
        <v>7</v>
      </c>
      <c r="X49" s="326"/>
      <c r="Y49" s="261"/>
      <c r="Z49" s="5"/>
      <c r="AA49" s="478"/>
    </row>
    <row r="50" spans="2:30">
      <c r="B50" s="344" t="s">
        <v>20</v>
      </c>
      <c r="C50" s="346" t="s">
        <v>19</v>
      </c>
      <c r="D50" s="32" t="s">
        <v>17</v>
      </c>
      <c r="E50" s="26" t="s">
        <v>9</v>
      </c>
      <c r="F50" s="340" t="s">
        <v>260</v>
      </c>
      <c r="G50" s="341"/>
      <c r="H50" s="25"/>
      <c r="I50" s="493"/>
      <c r="J50" s="24">
        <v>16</v>
      </c>
      <c r="K50" s="230"/>
      <c r="L50" s="232"/>
      <c r="M50" s="233"/>
      <c r="N50" s="337"/>
      <c r="O50" s="235">
        <v>10</v>
      </c>
      <c r="P50" s="232"/>
      <c r="Q50" s="233">
        <v>6</v>
      </c>
      <c r="R50" s="234"/>
      <c r="S50" s="337"/>
      <c r="T50" s="232"/>
      <c r="U50" s="281"/>
      <c r="V50" s="285"/>
      <c r="W50" s="287">
        <f>SUM(O50:V51)</f>
        <v>20</v>
      </c>
      <c r="X50" s="288"/>
      <c r="Y50" s="261"/>
      <c r="Z50" s="5"/>
      <c r="AA50" s="478"/>
    </row>
    <row r="51" spans="2:30">
      <c r="B51" s="345"/>
      <c r="C51" s="350"/>
      <c r="D51" s="23" t="s">
        <v>17</v>
      </c>
      <c r="E51" s="28" t="s">
        <v>9</v>
      </c>
      <c r="F51" s="318" t="s">
        <v>261</v>
      </c>
      <c r="G51" s="319"/>
      <c r="H51" s="21"/>
      <c r="I51" s="489"/>
      <c r="J51" s="20">
        <v>4</v>
      </c>
      <c r="K51" s="263"/>
      <c r="L51" s="265"/>
      <c r="M51" s="266"/>
      <c r="N51" s="267"/>
      <c r="O51" s="268"/>
      <c r="P51" s="265"/>
      <c r="Q51" s="266">
        <v>4</v>
      </c>
      <c r="R51" s="267"/>
      <c r="S51" s="268"/>
      <c r="T51" s="265"/>
      <c r="U51" s="272"/>
      <c r="V51" s="270"/>
      <c r="W51" s="289"/>
      <c r="X51" s="290"/>
      <c r="Y51" s="261"/>
      <c r="Z51" s="5"/>
      <c r="AA51" s="478"/>
    </row>
    <row r="52" spans="2:30">
      <c r="B52" s="345"/>
      <c r="C52" s="351" t="s">
        <v>15</v>
      </c>
      <c r="D52" s="31" t="s">
        <v>14</v>
      </c>
      <c r="E52" s="15" t="s">
        <v>9</v>
      </c>
      <c r="F52" s="342" t="s">
        <v>262</v>
      </c>
      <c r="G52" s="343"/>
      <c r="H52" s="30"/>
      <c r="I52" s="494"/>
      <c r="J52" s="20">
        <v>10</v>
      </c>
      <c r="K52" s="269"/>
      <c r="L52" s="271"/>
      <c r="M52" s="266"/>
      <c r="N52" s="267"/>
      <c r="O52" s="268">
        <v>10</v>
      </c>
      <c r="P52" s="265"/>
      <c r="Q52" s="272"/>
      <c r="R52" s="273"/>
      <c r="S52" s="348"/>
      <c r="T52" s="271"/>
      <c r="U52" s="266"/>
      <c r="V52" s="264"/>
      <c r="W52" s="289"/>
      <c r="X52" s="290"/>
      <c r="Y52" s="261"/>
      <c r="Z52" s="5"/>
      <c r="AA52" s="478"/>
    </row>
    <row r="53" spans="2:30" ht="18" thickBot="1">
      <c r="B53" s="349"/>
      <c r="C53" s="352"/>
      <c r="D53" s="29" t="s">
        <v>14</v>
      </c>
      <c r="E53" s="28" t="s">
        <v>9</v>
      </c>
      <c r="F53" s="338" t="s">
        <v>263</v>
      </c>
      <c r="G53" s="339"/>
      <c r="H53" s="27"/>
      <c r="I53" s="492"/>
      <c r="J53" s="13">
        <v>10</v>
      </c>
      <c r="K53" s="249"/>
      <c r="L53" s="251"/>
      <c r="M53" s="247"/>
      <c r="N53" s="256"/>
      <c r="O53" s="254"/>
      <c r="P53" s="255"/>
      <c r="Q53" s="252">
        <v>10</v>
      </c>
      <c r="R53" s="253"/>
      <c r="S53" s="275"/>
      <c r="T53" s="251"/>
      <c r="U53" s="247"/>
      <c r="V53" s="248"/>
      <c r="W53" s="291"/>
      <c r="X53" s="292"/>
      <c r="Y53" s="261"/>
      <c r="Z53" s="5"/>
      <c r="AA53" s="478"/>
    </row>
    <row r="54" spans="2:30">
      <c r="B54" s="344" t="s">
        <v>13</v>
      </c>
      <c r="C54" s="346" t="s">
        <v>12</v>
      </c>
      <c r="D54" s="19" t="s">
        <v>10</v>
      </c>
      <c r="E54" s="26" t="s">
        <v>9</v>
      </c>
      <c r="F54" s="340" t="s">
        <v>264</v>
      </c>
      <c r="G54" s="341"/>
      <c r="H54" s="25"/>
      <c r="I54" s="488"/>
      <c r="J54" s="24">
        <v>20</v>
      </c>
      <c r="K54" s="230"/>
      <c r="L54" s="232"/>
      <c r="M54" s="233"/>
      <c r="N54" s="337"/>
      <c r="O54" s="235"/>
      <c r="P54" s="232"/>
      <c r="Q54" s="233"/>
      <c r="R54" s="234"/>
      <c r="S54" s="337">
        <v>8</v>
      </c>
      <c r="T54" s="232"/>
      <c r="U54" s="233">
        <v>12</v>
      </c>
      <c r="V54" s="231"/>
      <c r="W54" s="287">
        <f>SUM(K54:V55)</f>
        <v>36</v>
      </c>
      <c r="X54" s="288"/>
      <c r="Y54" s="261"/>
      <c r="Z54" s="5"/>
      <c r="AA54" s="478"/>
    </row>
    <row r="55" spans="2:30">
      <c r="B55" s="345"/>
      <c r="C55" s="347"/>
      <c r="D55" s="23" t="s">
        <v>10</v>
      </c>
      <c r="E55" s="22" t="s">
        <v>9</v>
      </c>
      <c r="F55" s="342" t="s">
        <v>265</v>
      </c>
      <c r="G55" s="343"/>
      <c r="H55" s="21"/>
      <c r="I55" s="491"/>
      <c r="J55" s="20">
        <v>16</v>
      </c>
      <c r="K55" s="263"/>
      <c r="L55" s="265"/>
      <c r="M55" s="272"/>
      <c r="N55" s="273"/>
      <c r="O55" s="278"/>
      <c r="P55" s="271"/>
      <c r="Q55" s="266"/>
      <c r="R55" s="267"/>
      <c r="S55" s="268">
        <v>8</v>
      </c>
      <c r="T55" s="265"/>
      <c r="U55" s="266">
        <v>8</v>
      </c>
      <c r="V55" s="264"/>
      <c r="W55" s="289"/>
      <c r="X55" s="290"/>
      <c r="Y55" s="261"/>
      <c r="Z55" s="5"/>
      <c r="AA55" s="478"/>
    </row>
    <row r="56" spans="2:30">
      <c r="B56" s="345"/>
      <c r="C56" s="351" t="s">
        <v>11</v>
      </c>
      <c r="D56" s="19" t="s">
        <v>10</v>
      </c>
      <c r="E56" s="18" t="s">
        <v>9</v>
      </c>
      <c r="F56" s="318" t="s">
        <v>266</v>
      </c>
      <c r="G56" s="319"/>
      <c r="H56" s="14"/>
      <c r="I56" s="491"/>
      <c r="J56" s="17">
        <v>20</v>
      </c>
      <c r="K56" s="332"/>
      <c r="L56" s="330"/>
      <c r="M56" s="266"/>
      <c r="N56" s="267"/>
      <c r="O56" s="268"/>
      <c r="P56" s="265"/>
      <c r="Q56" s="331"/>
      <c r="R56" s="334"/>
      <c r="S56" s="332">
        <v>8</v>
      </c>
      <c r="T56" s="330"/>
      <c r="U56" s="331">
        <v>12</v>
      </c>
      <c r="V56" s="335"/>
      <c r="W56" s="289"/>
      <c r="X56" s="290"/>
      <c r="Y56" s="261"/>
      <c r="Z56" s="5"/>
      <c r="AA56" s="478"/>
    </row>
    <row r="57" spans="2:30" ht="18" thickBot="1">
      <c r="B57" s="345"/>
      <c r="C57" s="352"/>
      <c r="D57" s="16" t="s">
        <v>10</v>
      </c>
      <c r="E57" s="15" t="s">
        <v>9</v>
      </c>
      <c r="F57" s="318" t="s">
        <v>267</v>
      </c>
      <c r="G57" s="319"/>
      <c r="H57" s="14"/>
      <c r="I57" s="492"/>
      <c r="J57" s="13">
        <v>16</v>
      </c>
      <c r="K57" s="263"/>
      <c r="L57" s="265"/>
      <c r="M57" s="266"/>
      <c r="N57" s="336"/>
      <c r="O57" s="268"/>
      <c r="P57" s="265"/>
      <c r="Q57" s="266"/>
      <c r="R57" s="267"/>
      <c r="S57" s="336">
        <v>8</v>
      </c>
      <c r="T57" s="265"/>
      <c r="U57" s="266">
        <v>8</v>
      </c>
      <c r="V57" s="264"/>
      <c r="W57" s="291"/>
      <c r="X57" s="292"/>
      <c r="Y57" s="261"/>
      <c r="Z57" s="5"/>
      <c r="AA57" s="478"/>
    </row>
    <row r="58" spans="2:30" ht="24.75" customHeight="1">
      <c r="B58" s="357" t="s">
        <v>8</v>
      </c>
      <c r="C58" s="359"/>
      <c r="D58" s="359"/>
      <c r="E58" s="359"/>
      <c r="F58" s="359"/>
      <c r="G58" s="354"/>
      <c r="H58" s="361">
        <f>SUM(H43:H49)</f>
        <v>0</v>
      </c>
      <c r="I58" s="363">
        <f>SUM(I43:I49)</f>
        <v>0</v>
      </c>
      <c r="J58" s="365">
        <f>SUM(J43:J51)+SUM(J54:J55)</f>
        <v>86</v>
      </c>
      <c r="K58" s="357">
        <f>SUM(K43:L57)</f>
        <v>5</v>
      </c>
      <c r="L58" s="367"/>
      <c r="M58" s="353">
        <f>SUM(M43:N55)</f>
        <v>5</v>
      </c>
      <c r="N58" s="359"/>
      <c r="O58" s="369">
        <f>O50</f>
        <v>10</v>
      </c>
      <c r="P58" s="367"/>
      <c r="Q58" s="353">
        <f>Q50+Q51</f>
        <v>10</v>
      </c>
      <c r="R58" s="371"/>
      <c r="S58" s="359">
        <f>SUM(S43:T55)</f>
        <v>27</v>
      </c>
      <c r="T58" s="367"/>
      <c r="U58" s="353">
        <f>SUM(U43:V55)</f>
        <v>29</v>
      </c>
      <c r="V58" s="354"/>
      <c r="W58" s="357">
        <f>SUM(K58:V59)</f>
        <v>86</v>
      </c>
      <c r="X58" s="354"/>
      <c r="Y58" s="260">
        <f>SUM(Y43:Y56)</f>
        <v>80</v>
      </c>
      <c r="Z58" s="5"/>
      <c r="AA58" s="478"/>
      <c r="AD58" s="12"/>
    </row>
    <row r="59" spans="2:30" ht="18" thickBot="1">
      <c r="B59" s="358"/>
      <c r="C59" s="360"/>
      <c r="D59" s="360"/>
      <c r="E59" s="360"/>
      <c r="F59" s="360"/>
      <c r="G59" s="356"/>
      <c r="H59" s="362"/>
      <c r="I59" s="364"/>
      <c r="J59" s="366"/>
      <c r="K59" s="358"/>
      <c r="L59" s="368"/>
      <c r="M59" s="355"/>
      <c r="N59" s="360"/>
      <c r="O59" s="370"/>
      <c r="P59" s="368"/>
      <c r="Q59" s="355"/>
      <c r="R59" s="372"/>
      <c r="S59" s="360"/>
      <c r="T59" s="368"/>
      <c r="U59" s="355"/>
      <c r="V59" s="356"/>
      <c r="W59" s="358"/>
      <c r="X59" s="356"/>
      <c r="Y59" s="262"/>
      <c r="Z59" s="5"/>
      <c r="AA59" s="478"/>
      <c r="AD59" s="11"/>
    </row>
    <row r="60" spans="2:30" ht="17.25" customHeight="1" thickBot="1">
      <c r="B60" s="308"/>
      <c r="C60" s="309"/>
      <c r="D60" s="309"/>
      <c r="E60" s="309"/>
      <c r="F60" s="309"/>
      <c r="G60" s="310"/>
      <c r="H60" s="10">
        <f>SUM(H42,H58)</f>
        <v>63</v>
      </c>
      <c r="I60" s="9">
        <f>SUM(I42,I58)</f>
        <v>0</v>
      </c>
      <c r="J60" s="8">
        <f>SUM(J42,J58)</f>
        <v>174</v>
      </c>
      <c r="K60" s="308">
        <f>SUM(K42,K58)</f>
        <v>29</v>
      </c>
      <c r="L60" s="320"/>
      <c r="M60" s="313">
        <f>SUM(M42,M58)</f>
        <v>29</v>
      </c>
      <c r="N60" s="382"/>
      <c r="O60" s="383">
        <f>SUM(O42,O58)</f>
        <v>29</v>
      </c>
      <c r="P60" s="320"/>
      <c r="Q60" s="313">
        <f>SUM(Q42,Q58)</f>
        <v>29</v>
      </c>
      <c r="R60" s="382"/>
      <c r="S60" s="383">
        <f>SUM(S42,S58)</f>
        <v>29</v>
      </c>
      <c r="T60" s="320"/>
      <c r="U60" s="313">
        <f>SUM(U42,U58)</f>
        <v>29</v>
      </c>
      <c r="V60" s="310"/>
      <c r="W60" s="308">
        <f>SUM(K60:V60)</f>
        <v>174</v>
      </c>
      <c r="X60" s="310"/>
      <c r="Y60" s="4">
        <f>Y58+Y42</f>
        <v>144</v>
      </c>
      <c r="Z60" s="5"/>
      <c r="AA60" s="478"/>
      <c r="AB60" s="284" t="s">
        <v>7</v>
      </c>
      <c r="AC60" s="284"/>
    </row>
    <row r="61" spans="2:30" ht="18.75" customHeight="1" thickBot="1">
      <c r="B61" s="385" t="s">
        <v>6</v>
      </c>
      <c r="C61" s="386"/>
      <c r="D61" s="386"/>
      <c r="E61" s="387"/>
      <c r="F61" s="394" t="s">
        <v>5</v>
      </c>
      <c r="G61" s="395"/>
      <c r="H61" s="395"/>
      <c r="I61" s="395"/>
      <c r="J61" s="396"/>
      <c r="K61" s="397">
        <v>16</v>
      </c>
      <c r="L61" s="398"/>
      <c r="M61" s="399">
        <v>16</v>
      </c>
      <c r="N61" s="400"/>
      <c r="O61" s="401">
        <v>16</v>
      </c>
      <c r="P61" s="398"/>
      <c r="Q61" s="399">
        <v>16</v>
      </c>
      <c r="R61" s="400"/>
      <c r="S61" s="401">
        <v>16</v>
      </c>
      <c r="T61" s="398"/>
      <c r="U61" s="399">
        <v>16</v>
      </c>
      <c r="V61" s="402"/>
      <c r="W61" s="385">
        <f>SUM(K61:V63)</f>
        <v>288</v>
      </c>
      <c r="X61" s="387"/>
      <c r="Y61" s="260">
        <f>Y64*16</f>
        <v>288</v>
      </c>
      <c r="Z61" s="5"/>
      <c r="AA61" s="478"/>
      <c r="AB61" s="384"/>
      <c r="AC61" s="384"/>
    </row>
    <row r="62" spans="2:30" ht="17.25" customHeight="1" thickBot="1">
      <c r="B62" s="388"/>
      <c r="C62" s="389"/>
      <c r="D62" s="389"/>
      <c r="E62" s="390"/>
      <c r="F62" s="373" t="s">
        <v>4</v>
      </c>
      <c r="G62" s="374"/>
      <c r="H62" s="374"/>
      <c r="I62" s="374"/>
      <c r="J62" s="375"/>
      <c r="K62" s="376">
        <v>16</v>
      </c>
      <c r="L62" s="377"/>
      <c r="M62" s="378">
        <v>16</v>
      </c>
      <c r="N62" s="379"/>
      <c r="O62" s="380">
        <v>16</v>
      </c>
      <c r="P62" s="377"/>
      <c r="Q62" s="378">
        <v>16</v>
      </c>
      <c r="R62" s="379"/>
      <c r="S62" s="380">
        <v>16</v>
      </c>
      <c r="T62" s="377"/>
      <c r="U62" s="378">
        <v>16</v>
      </c>
      <c r="V62" s="381"/>
      <c r="W62" s="388"/>
      <c r="X62" s="390"/>
      <c r="Y62" s="261"/>
      <c r="Z62" s="5"/>
      <c r="AA62" s="478"/>
      <c r="AB62" s="415" t="b">
        <f>W60&gt;=Y60</f>
        <v>1</v>
      </c>
      <c r="AC62" s="322"/>
    </row>
    <row r="63" spans="2:30" ht="17.25" customHeight="1">
      <c r="B63" s="388"/>
      <c r="C63" s="389"/>
      <c r="D63" s="389"/>
      <c r="E63" s="390"/>
      <c r="F63" s="373" t="s">
        <v>3</v>
      </c>
      <c r="G63" s="374"/>
      <c r="H63" s="374"/>
      <c r="I63" s="374"/>
      <c r="J63" s="375"/>
      <c r="K63" s="376">
        <v>16</v>
      </c>
      <c r="L63" s="377"/>
      <c r="M63" s="378">
        <v>16</v>
      </c>
      <c r="N63" s="379"/>
      <c r="O63" s="380">
        <v>16</v>
      </c>
      <c r="P63" s="377"/>
      <c r="Q63" s="378">
        <v>16</v>
      </c>
      <c r="R63" s="379"/>
      <c r="S63" s="380">
        <v>16</v>
      </c>
      <c r="T63" s="377"/>
      <c r="U63" s="378">
        <v>16</v>
      </c>
      <c r="V63" s="381"/>
      <c r="W63" s="403"/>
      <c r="X63" s="404"/>
      <c r="Y63" s="405"/>
      <c r="Z63" s="5"/>
      <c r="AA63" s="478"/>
    </row>
    <row r="64" spans="2:30" ht="17.25" customHeight="1" thickBot="1">
      <c r="B64" s="391"/>
      <c r="C64" s="392"/>
      <c r="D64" s="392"/>
      <c r="E64" s="393"/>
      <c r="F64" s="406" t="s">
        <v>2</v>
      </c>
      <c r="G64" s="407"/>
      <c r="H64" s="407"/>
      <c r="I64" s="407"/>
      <c r="J64" s="408"/>
      <c r="K64" s="409">
        <v>3</v>
      </c>
      <c r="L64" s="410"/>
      <c r="M64" s="411">
        <v>3</v>
      </c>
      <c r="N64" s="412"/>
      <c r="O64" s="413">
        <v>3</v>
      </c>
      <c r="P64" s="410"/>
      <c r="Q64" s="411">
        <v>3</v>
      </c>
      <c r="R64" s="412"/>
      <c r="S64" s="413">
        <v>3</v>
      </c>
      <c r="T64" s="410"/>
      <c r="U64" s="411">
        <v>3</v>
      </c>
      <c r="V64" s="414"/>
      <c r="W64" s="406">
        <f>SUM(K64:V64)</f>
        <v>18</v>
      </c>
      <c r="X64" s="408"/>
      <c r="Y64" s="7">
        <v>18</v>
      </c>
      <c r="Z64" s="5"/>
      <c r="AA64" s="478"/>
      <c r="AB64" s="284" t="s">
        <v>1</v>
      </c>
      <c r="AC64" s="284"/>
    </row>
    <row r="65" spans="2:29" ht="17.25" customHeight="1" thickBot="1">
      <c r="B65" s="308"/>
      <c r="C65" s="309"/>
      <c r="D65" s="309"/>
      <c r="E65" s="309"/>
      <c r="F65" s="309"/>
      <c r="G65" s="309"/>
      <c r="H65" s="309"/>
      <c r="I65" s="309"/>
      <c r="J65" s="310"/>
      <c r="K65" s="308">
        <v>32</v>
      </c>
      <c r="L65" s="320"/>
      <c r="M65" s="313">
        <v>32</v>
      </c>
      <c r="N65" s="382"/>
      <c r="O65" s="383">
        <v>32</v>
      </c>
      <c r="P65" s="320"/>
      <c r="Q65" s="313">
        <v>32</v>
      </c>
      <c r="R65" s="382"/>
      <c r="S65" s="383">
        <v>32</v>
      </c>
      <c r="T65" s="320"/>
      <c r="U65" s="313">
        <v>32</v>
      </c>
      <c r="V65" s="310"/>
      <c r="W65" s="308">
        <f>SUM(K65:V65)</f>
        <v>192</v>
      </c>
      <c r="X65" s="310"/>
      <c r="Y65" s="6">
        <f>W65</f>
        <v>192</v>
      </c>
      <c r="Z65" s="5"/>
      <c r="AA65" s="478"/>
      <c r="AB65" s="415" t="b">
        <f>W64&gt;=Y64</f>
        <v>1</v>
      </c>
      <c r="AC65" s="322"/>
    </row>
    <row r="66" spans="2:29" ht="17.25" customHeight="1" thickBot="1">
      <c r="B66" s="308"/>
      <c r="C66" s="309"/>
      <c r="D66" s="309"/>
      <c r="E66" s="309"/>
      <c r="F66" s="309"/>
      <c r="G66" s="309"/>
      <c r="H66" s="309"/>
      <c r="I66" s="309"/>
      <c r="J66" s="310"/>
      <c r="K66" s="308">
        <f>SUM(K65:N65)</f>
        <v>64</v>
      </c>
      <c r="L66" s="309"/>
      <c r="M66" s="309"/>
      <c r="N66" s="382"/>
      <c r="O66" s="383">
        <f>SUM(O65:R65)</f>
        <v>64</v>
      </c>
      <c r="P66" s="309"/>
      <c r="Q66" s="309"/>
      <c r="R66" s="382"/>
      <c r="S66" s="383">
        <f>SUM(S65:V65)</f>
        <v>64</v>
      </c>
      <c r="T66" s="309"/>
      <c r="U66" s="309"/>
      <c r="V66" s="310"/>
      <c r="W66" s="308">
        <f>SUM(K66:V66)</f>
        <v>192</v>
      </c>
      <c r="X66" s="310"/>
      <c r="Y66" s="4"/>
      <c r="Z66" s="3"/>
      <c r="AA66" s="478"/>
      <c r="AB66" s="284" t="s">
        <v>0</v>
      </c>
      <c r="AC66" s="284"/>
    </row>
    <row r="67" spans="2:29" ht="17.25" customHeight="1" thickBot="1">
      <c r="AB67" s="415" t="b">
        <f>W65&gt;=Y65</f>
        <v>1</v>
      </c>
      <c r="AC67" s="322"/>
    </row>
    <row r="68" spans="2:29" ht="17.25" customHeight="1"/>
    <row r="69" spans="2:29" ht="17.25" customHeight="1"/>
    <row r="70" spans="2:29" ht="17.25" customHeight="1"/>
    <row r="72" spans="2:29" ht="24.9" customHeight="1"/>
    <row r="73" spans="2:29" ht="24.9" customHeight="1"/>
    <row r="74" spans="2:29" ht="32.25" customHeight="1"/>
    <row r="75" spans="2:29" ht="24.9" customHeight="1"/>
    <row r="77" spans="2:29" ht="16.5" customHeight="1"/>
    <row r="78" spans="2:29" ht="17.25" customHeight="1"/>
    <row r="79" spans="2:29" ht="16.5" customHeight="1"/>
    <row r="80" spans="2:29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244.5" customHeight="1"/>
  </sheetData>
  <mergeCells count="501">
    <mergeCell ref="AB67:AC67"/>
    <mergeCell ref="W65:X65"/>
    <mergeCell ref="AB65:AC65"/>
    <mergeCell ref="B66:J66"/>
    <mergeCell ref="K66:N66"/>
    <mergeCell ref="O66:R66"/>
    <mergeCell ref="S66:V66"/>
    <mergeCell ref="W66:X66"/>
    <mergeCell ref="AB66:AC66"/>
    <mergeCell ref="B65:J65"/>
    <mergeCell ref="K65:L65"/>
    <mergeCell ref="M65:N65"/>
    <mergeCell ref="O65:P65"/>
    <mergeCell ref="Q65:R65"/>
    <mergeCell ref="S65:T65"/>
    <mergeCell ref="U65:V65"/>
    <mergeCell ref="F64:J64"/>
    <mergeCell ref="K64:L64"/>
    <mergeCell ref="M64:N64"/>
    <mergeCell ref="O64:P64"/>
    <mergeCell ref="Q64:R64"/>
    <mergeCell ref="S64:T64"/>
    <mergeCell ref="U64:V64"/>
    <mergeCell ref="W64:X64"/>
    <mergeCell ref="AB64:AC64"/>
    <mergeCell ref="U61:V61"/>
    <mergeCell ref="W61:X63"/>
    <mergeCell ref="Y61:Y63"/>
    <mergeCell ref="F62:J62"/>
    <mergeCell ref="K62:L62"/>
    <mergeCell ref="M62:N62"/>
    <mergeCell ref="O62:P62"/>
    <mergeCell ref="Q62:R62"/>
    <mergeCell ref="S62:T62"/>
    <mergeCell ref="U62:V62"/>
    <mergeCell ref="AB62:AC62"/>
    <mergeCell ref="F63:J63"/>
    <mergeCell ref="K63:L63"/>
    <mergeCell ref="M63:N63"/>
    <mergeCell ref="O63:P63"/>
    <mergeCell ref="Q63:R63"/>
    <mergeCell ref="S63:T63"/>
    <mergeCell ref="U63:V63"/>
    <mergeCell ref="B60:G60"/>
    <mergeCell ref="K60:L60"/>
    <mergeCell ref="M60:N60"/>
    <mergeCell ref="O60:P60"/>
    <mergeCell ref="Q60:R60"/>
    <mergeCell ref="S60:T60"/>
    <mergeCell ref="U60:V60"/>
    <mergeCell ref="W60:X60"/>
    <mergeCell ref="AB60:AC61"/>
    <mergeCell ref="B61:E64"/>
    <mergeCell ref="F61:J61"/>
    <mergeCell ref="K61:L61"/>
    <mergeCell ref="M61:N61"/>
    <mergeCell ref="O61:P61"/>
    <mergeCell ref="Q61:R61"/>
    <mergeCell ref="S61:T61"/>
    <mergeCell ref="B58:G59"/>
    <mergeCell ref="H58:H59"/>
    <mergeCell ref="I58:I59"/>
    <mergeCell ref="J58:J59"/>
    <mergeCell ref="K58:L59"/>
    <mergeCell ref="M58:N59"/>
    <mergeCell ref="O58:P59"/>
    <mergeCell ref="Q58:R59"/>
    <mergeCell ref="S58:T59"/>
    <mergeCell ref="Q55:R55"/>
    <mergeCell ref="U58:V59"/>
    <mergeCell ref="W58:X59"/>
    <mergeCell ref="Y58:Y59"/>
    <mergeCell ref="O57:P57"/>
    <mergeCell ref="Q57:R57"/>
    <mergeCell ref="S57:T57"/>
    <mergeCell ref="U57:V57"/>
    <mergeCell ref="S55:T55"/>
    <mergeCell ref="U55:V55"/>
    <mergeCell ref="O56:P56"/>
    <mergeCell ref="Q56:R56"/>
    <mergeCell ref="S56:T56"/>
    <mergeCell ref="W54:X57"/>
    <mergeCell ref="K56:L56"/>
    <mergeCell ref="M56:N56"/>
    <mergeCell ref="F57:G57"/>
    <mergeCell ref="K57:L57"/>
    <mergeCell ref="M57:N57"/>
    <mergeCell ref="F55:G55"/>
    <mergeCell ref="K55:L55"/>
    <mergeCell ref="M55:N55"/>
    <mergeCell ref="O55:P55"/>
    <mergeCell ref="K52:L52"/>
    <mergeCell ref="U50:V50"/>
    <mergeCell ref="B54:B57"/>
    <mergeCell ref="C54:C55"/>
    <mergeCell ref="F54:G54"/>
    <mergeCell ref="K54:L54"/>
    <mergeCell ref="S53:T53"/>
    <mergeCell ref="U53:V53"/>
    <mergeCell ref="S51:T51"/>
    <mergeCell ref="U51:V51"/>
    <mergeCell ref="U54:V54"/>
    <mergeCell ref="U56:V56"/>
    <mergeCell ref="S52:T52"/>
    <mergeCell ref="B50:B53"/>
    <mergeCell ref="C50:C51"/>
    <mergeCell ref="C52:C53"/>
    <mergeCell ref="O54:P54"/>
    <mergeCell ref="Q54:R54"/>
    <mergeCell ref="S54:T54"/>
    <mergeCell ref="M54:N54"/>
    <mergeCell ref="C56:C57"/>
    <mergeCell ref="F56:G56"/>
    <mergeCell ref="W50:X53"/>
    <mergeCell ref="F51:G51"/>
    <mergeCell ref="K51:L51"/>
    <mergeCell ref="M51:N51"/>
    <mergeCell ref="O51:P51"/>
    <mergeCell ref="Q51:R51"/>
    <mergeCell ref="M52:N52"/>
    <mergeCell ref="O52:P52"/>
    <mergeCell ref="Q52:R52"/>
    <mergeCell ref="O50:P50"/>
    <mergeCell ref="Q50:R50"/>
    <mergeCell ref="S50:T50"/>
    <mergeCell ref="U52:V52"/>
    <mergeCell ref="F53:G53"/>
    <mergeCell ref="K53:L53"/>
    <mergeCell ref="M53:N53"/>
    <mergeCell ref="O53:P53"/>
    <mergeCell ref="Q53:R53"/>
    <mergeCell ref="F50:G50"/>
    <mergeCell ref="K50:L50"/>
    <mergeCell ref="M50:N50"/>
    <mergeCell ref="F52:G52"/>
    <mergeCell ref="M48:N48"/>
    <mergeCell ref="O48:P48"/>
    <mergeCell ref="Q48:R48"/>
    <mergeCell ref="S48:T48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S46:T46"/>
    <mergeCell ref="U46:V46"/>
    <mergeCell ref="W46:X46"/>
    <mergeCell ref="F47:G47"/>
    <mergeCell ref="K47:L47"/>
    <mergeCell ref="M47:N47"/>
    <mergeCell ref="O47:P47"/>
    <mergeCell ref="Q47:R47"/>
    <mergeCell ref="S47:T47"/>
    <mergeCell ref="U47:V47"/>
    <mergeCell ref="W47:X47"/>
    <mergeCell ref="S42:T42"/>
    <mergeCell ref="U42:V42"/>
    <mergeCell ref="W42:X42"/>
    <mergeCell ref="AB42:AC42"/>
    <mergeCell ref="S43:T43"/>
    <mergeCell ref="U43:V43"/>
    <mergeCell ref="W43:X43"/>
    <mergeCell ref="Y43:Y57"/>
    <mergeCell ref="F44:G44"/>
    <mergeCell ref="K44:L44"/>
    <mergeCell ref="M44:N44"/>
    <mergeCell ref="O44:P44"/>
    <mergeCell ref="Q44:R44"/>
    <mergeCell ref="S44:T44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B43:C49"/>
    <mergeCell ref="D43:E44"/>
    <mergeCell ref="F43:G43"/>
    <mergeCell ref="K43:L43"/>
    <mergeCell ref="M43:N43"/>
    <mergeCell ref="O43:P43"/>
    <mergeCell ref="Q43:R43"/>
    <mergeCell ref="F40:G40"/>
    <mergeCell ref="K40:L40"/>
    <mergeCell ref="M40:N40"/>
    <mergeCell ref="O40:P40"/>
    <mergeCell ref="Q40:R40"/>
    <mergeCell ref="B42:G42"/>
    <mergeCell ref="K42:L42"/>
    <mergeCell ref="M42:N42"/>
    <mergeCell ref="O42:P42"/>
    <mergeCell ref="Q42:R42"/>
    <mergeCell ref="F46:G46"/>
    <mergeCell ref="K46:L46"/>
    <mergeCell ref="M46:N46"/>
    <mergeCell ref="O46:P46"/>
    <mergeCell ref="Q46:R46"/>
    <mergeCell ref="F48:G48"/>
    <mergeCell ref="K48:L48"/>
    <mergeCell ref="Q38:R38"/>
    <mergeCell ref="S38:T38"/>
    <mergeCell ref="U38:V38"/>
    <mergeCell ref="W38:X41"/>
    <mergeCell ref="Y38:Y41"/>
    <mergeCell ref="F39:G39"/>
    <mergeCell ref="K39:L39"/>
    <mergeCell ref="M39:N39"/>
    <mergeCell ref="O39:P39"/>
    <mergeCell ref="Q39:R39"/>
    <mergeCell ref="S40:T40"/>
    <mergeCell ref="S39:T39"/>
    <mergeCell ref="U39:V39"/>
    <mergeCell ref="U40:V40"/>
    <mergeCell ref="F41:G41"/>
    <mergeCell ref="K41:L41"/>
    <mergeCell ref="M41:N41"/>
    <mergeCell ref="O41:P41"/>
    <mergeCell ref="Q41:R41"/>
    <mergeCell ref="S41:T41"/>
    <mergeCell ref="U41:V41"/>
    <mergeCell ref="S34:T34"/>
    <mergeCell ref="U34:V34"/>
    <mergeCell ref="Q37:R37"/>
    <mergeCell ref="S37:T37"/>
    <mergeCell ref="U37:V37"/>
    <mergeCell ref="D38:D41"/>
    <mergeCell ref="F38:G38"/>
    <mergeCell ref="K38:L38"/>
    <mergeCell ref="M38:N38"/>
    <mergeCell ref="O38:P38"/>
    <mergeCell ref="U35:V35"/>
    <mergeCell ref="F36:G36"/>
    <mergeCell ref="K36:L36"/>
    <mergeCell ref="M36:N36"/>
    <mergeCell ref="O36:P36"/>
    <mergeCell ref="Q36:R36"/>
    <mergeCell ref="S36:T36"/>
    <mergeCell ref="U36:V36"/>
    <mergeCell ref="D34:D37"/>
    <mergeCell ref="F34:G34"/>
    <mergeCell ref="K34:L34"/>
    <mergeCell ref="M34:N34"/>
    <mergeCell ref="O34:P34"/>
    <mergeCell ref="Q34:R34"/>
    <mergeCell ref="F37:G37"/>
    <mergeCell ref="K37:L37"/>
    <mergeCell ref="M37:N37"/>
    <mergeCell ref="O37:P37"/>
    <mergeCell ref="F33:G33"/>
    <mergeCell ref="K33:L33"/>
    <mergeCell ref="W34:X37"/>
    <mergeCell ref="Y34:Y37"/>
    <mergeCell ref="F35:G35"/>
    <mergeCell ref="K35:L35"/>
    <mergeCell ref="M35:N35"/>
    <mergeCell ref="O35:P35"/>
    <mergeCell ref="Q35:R35"/>
    <mergeCell ref="S35:T35"/>
    <mergeCell ref="X29:X33"/>
    <mergeCell ref="Y29:Y33"/>
    <mergeCell ref="F30:G30"/>
    <mergeCell ref="K30:L30"/>
    <mergeCell ref="M30:N30"/>
    <mergeCell ref="O30:P30"/>
    <mergeCell ref="Q30:R30"/>
    <mergeCell ref="S30:T30"/>
    <mergeCell ref="U30:V30"/>
    <mergeCell ref="U29:V29"/>
    <mergeCell ref="U28:V28"/>
    <mergeCell ref="S31:T31"/>
    <mergeCell ref="U31:V31"/>
    <mergeCell ref="F32:G32"/>
    <mergeCell ref="K32:L32"/>
    <mergeCell ref="M32:N32"/>
    <mergeCell ref="O32:P32"/>
    <mergeCell ref="Q32:R32"/>
    <mergeCell ref="S32:T32"/>
    <mergeCell ref="U32:V32"/>
    <mergeCell ref="F31:G31"/>
    <mergeCell ref="K31:L31"/>
    <mergeCell ref="D29:D33"/>
    <mergeCell ref="F29:G29"/>
    <mergeCell ref="K29:L29"/>
    <mergeCell ref="M29:N29"/>
    <mergeCell ref="O29:P29"/>
    <mergeCell ref="Q29:R29"/>
    <mergeCell ref="S29:T29"/>
    <mergeCell ref="U26:V26"/>
    <mergeCell ref="F27:G27"/>
    <mergeCell ref="K27:L27"/>
    <mergeCell ref="O27:P27"/>
    <mergeCell ref="Q27:R27"/>
    <mergeCell ref="S27:T27"/>
    <mergeCell ref="U27:V27"/>
    <mergeCell ref="D25:D28"/>
    <mergeCell ref="M33:N33"/>
    <mergeCell ref="O33:P33"/>
    <mergeCell ref="Q33:R33"/>
    <mergeCell ref="S33:T33"/>
    <mergeCell ref="U33:V33"/>
    <mergeCell ref="M31:N31"/>
    <mergeCell ref="O31:P31"/>
    <mergeCell ref="Q31:R31"/>
    <mergeCell ref="Q28:R28"/>
    <mergeCell ref="O26:P26"/>
    <mergeCell ref="Q26:R26"/>
    <mergeCell ref="S26:T26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S28:T28"/>
    <mergeCell ref="U24:V24"/>
    <mergeCell ref="F24:G24"/>
    <mergeCell ref="K24:L24"/>
    <mergeCell ref="M24:N24"/>
    <mergeCell ref="O24:P24"/>
    <mergeCell ref="X23:X24"/>
    <mergeCell ref="Y23:Y28"/>
    <mergeCell ref="X21:X22"/>
    <mergeCell ref="Y21:Y22"/>
    <mergeCell ref="F22:G22"/>
    <mergeCell ref="K22:L22"/>
    <mergeCell ref="M22:N22"/>
    <mergeCell ref="O22:P22"/>
    <mergeCell ref="Q22:R22"/>
    <mergeCell ref="S22:T22"/>
    <mergeCell ref="Q24:R24"/>
    <mergeCell ref="S24:T24"/>
    <mergeCell ref="S25:T25"/>
    <mergeCell ref="U25:V25"/>
    <mergeCell ref="M27:N27"/>
    <mergeCell ref="X25:X28"/>
    <mergeCell ref="F26:G26"/>
    <mergeCell ref="K26:L26"/>
    <mergeCell ref="M26:N26"/>
    <mergeCell ref="S17:T17"/>
    <mergeCell ref="U17:V17"/>
    <mergeCell ref="F23:G23"/>
    <mergeCell ref="K23:L23"/>
    <mergeCell ref="M23:N23"/>
    <mergeCell ref="O23:P23"/>
    <mergeCell ref="Q23:R23"/>
    <mergeCell ref="S23:T23"/>
    <mergeCell ref="U23:V23"/>
    <mergeCell ref="S21:T21"/>
    <mergeCell ref="U21:V21"/>
    <mergeCell ref="S19:T19"/>
    <mergeCell ref="U19:V19"/>
    <mergeCell ref="U20:V20"/>
    <mergeCell ref="X17:X20"/>
    <mergeCell ref="S18:T18"/>
    <mergeCell ref="U18:V18"/>
    <mergeCell ref="U22:V22"/>
    <mergeCell ref="S20:T20"/>
    <mergeCell ref="D21:D24"/>
    <mergeCell ref="F21:G21"/>
    <mergeCell ref="K21:L21"/>
    <mergeCell ref="M21:N21"/>
    <mergeCell ref="O21:P21"/>
    <mergeCell ref="Q21:R21"/>
    <mergeCell ref="M19:N19"/>
    <mergeCell ref="O19:P19"/>
    <mergeCell ref="Q19:R19"/>
    <mergeCell ref="F20:G20"/>
    <mergeCell ref="F19:G19"/>
    <mergeCell ref="K19:L19"/>
    <mergeCell ref="Q20:R20"/>
    <mergeCell ref="D17:D20"/>
    <mergeCell ref="F17:G17"/>
    <mergeCell ref="K17:L17"/>
    <mergeCell ref="M17:N17"/>
    <mergeCell ref="O17:P17"/>
    <mergeCell ref="Q17:R17"/>
    <mergeCell ref="F18:G18"/>
    <mergeCell ref="K18:L18"/>
    <mergeCell ref="M18:N18"/>
    <mergeCell ref="O18:P18"/>
    <mergeCell ref="Q18:R18"/>
    <mergeCell ref="AC15:AE15"/>
    <mergeCell ref="F16:G16"/>
    <mergeCell ref="K16:L16"/>
    <mergeCell ref="M16:N16"/>
    <mergeCell ref="O16:P16"/>
    <mergeCell ref="Q16:R16"/>
    <mergeCell ref="X13:X16"/>
    <mergeCell ref="F14:G14"/>
    <mergeCell ref="K14:L14"/>
    <mergeCell ref="M14:N14"/>
    <mergeCell ref="Q13:R13"/>
    <mergeCell ref="S13:T13"/>
    <mergeCell ref="U13:V13"/>
    <mergeCell ref="M15:N15"/>
    <mergeCell ref="O15:P15"/>
    <mergeCell ref="Q15:R15"/>
    <mergeCell ref="S15:T15"/>
    <mergeCell ref="U15:V15"/>
    <mergeCell ref="AC14:AE14"/>
    <mergeCell ref="D13:D16"/>
    <mergeCell ref="F13:G13"/>
    <mergeCell ref="K13:L13"/>
    <mergeCell ref="M13:N13"/>
    <mergeCell ref="O13:P13"/>
    <mergeCell ref="S14:T14"/>
    <mergeCell ref="U14:V14"/>
    <mergeCell ref="F15:G15"/>
    <mergeCell ref="K15:L15"/>
    <mergeCell ref="S16:T16"/>
    <mergeCell ref="U16:V16"/>
    <mergeCell ref="O12:P12"/>
    <mergeCell ref="Q12:R12"/>
    <mergeCell ref="S12:T12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K11:L11"/>
    <mergeCell ref="M11:N11"/>
    <mergeCell ref="O11:P11"/>
    <mergeCell ref="Q11:R11"/>
    <mergeCell ref="S11:T11"/>
    <mergeCell ref="U11:V11"/>
    <mergeCell ref="O14:P14"/>
    <mergeCell ref="Q14:R14"/>
    <mergeCell ref="K20:L20"/>
    <mergeCell ref="M20:N20"/>
    <mergeCell ref="O20:P20"/>
    <mergeCell ref="AB8:AE8"/>
    <mergeCell ref="B9:C41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Z7:Z8"/>
    <mergeCell ref="F8:G8"/>
    <mergeCell ref="K8:L8"/>
    <mergeCell ref="M8:N8"/>
    <mergeCell ref="O8:P8"/>
    <mergeCell ref="Q8:R8"/>
    <mergeCell ref="S8:T8"/>
    <mergeCell ref="U8:V8"/>
    <mergeCell ref="U12:V12"/>
    <mergeCell ref="F12:G12"/>
    <mergeCell ref="K12:L12"/>
    <mergeCell ref="M12:N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B2:AB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1" type="noConversion"/>
  <conditionalFormatting sqref="AB42:AC42 AD59 AB62:AC62 AB65:AC65 AB67:AC67">
    <cfRule type="containsText" dxfId="1" priority="1" operator="containsText" text="FALSE">
      <formula>NOT(ISERROR(SEARCH("FALSE",AB42)))</formula>
    </cfRule>
  </conditionalFormatting>
  <dataValidations disablePrompts="1" count="1">
    <dataValidation type="list" allowBlank="1" showInputMessage="1" showErrorMessage="1" sqref="D57" xr:uid="{AA520AEE-7E0C-4BAA-B684-89999C519E6D}"/>
  </dataValidations>
  <printOptions horizontalCentered="1" verticalCentered="1"/>
  <pageMargins left="0.25" right="0.25" top="0.75" bottom="0.75" header="0.3" footer="0.3"/>
  <pageSetup paperSize="12" scale="50" orientation="portrait" cellComments="asDisplayed" r:id="rId1"/>
  <rowBreaks count="1" manualBreakCount="1">
    <brk id="5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71D7-A576-49F2-BD5B-0990C517BAFE}">
  <sheetPr>
    <tabColor rgb="FFFFFFCC"/>
    <pageSetUpPr fitToPage="1"/>
  </sheetPr>
  <dimension ref="B2:AE50"/>
  <sheetViews>
    <sheetView showGridLines="0" view="pageBreakPreview" zoomScale="70" zoomScaleNormal="85" zoomScaleSheetLayoutView="70" workbookViewId="0"/>
  </sheetViews>
  <sheetFormatPr defaultRowHeight="17.399999999999999"/>
  <cols>
    <col min="1" max="1" width="3" style="90" customWidth="1"/>
    <col min="2" max="2" width="11.69921875" style="90" customWidth="1"/>
    <col min="3" max="3" width="5.59765625" style="90" customWidth="1"/>
    <col min="4" max="4" width="18.8984375" style="90" bestFit="1" customWidth="1"/>
    <col min="5" max="5" width="19" style="91" bestFit="1" customWidth="1"/>
    <col min="6" max="16" width="7.69921875" style="90" bestFit="1" customWidth="1"/>
    <col min="17" max="17" width="8.59765625" style="90" bestFit="1" customWidth="1"/>
    <col min="18" max="19" width="7.69921875" style="90" customWidth="1"/>
    <col min="20" max="16384" width="8.796875" style="90"/>
  </cols>
  <sheetData>
    <row r="2" spans="2:31" ht="39.75" customHeight="1" thickBot="1">
      <c r="B2" s="425" t="s">
        <v>219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</row>
    <row r="3" spans="2:31" ht="27" customHeight="1" thickBot="1">
      <c r="B3" s="167"/>
      <c r="C3" s="167"/>
      <c r="D3" s="167"/>
      <c r="E3" s="168"/>
      <c r="F3" s="167"/>
      <c r="G3" s="167"/>
      <c r="H3" s="167"/>
      <c r="I3" s="167"/>
      <c r="J3" s="167"/>
      <c r="K3" s="167"/>
      <c r="L3" s="426" t="s">
        <v>218</v>
      </c>
      <c r="M3" s="427"/>
      <c r="N3" s="428"/>
      <c r="O3" s="426" t="s">
        <v>119</v>
      </c>
      <c r="P3" s="427"/>
      <c r="Q3" s="428"/>
      <c r="R3" s="426" t="s">
        <v>132</v>
      </c>
      <c r="S3" s="429"/>
    </row>
    <row r="4" spans="2:31" ht="27" customHeight="1" thickBot="1">
      <c r="B4" s="167"/>
      <c r="C4" s="167"/>
      <c r="D4" s="167"/>
      <c r="E4" s="168"/>
      <c r="F4" s="167"/>
      <c r="G4" s="167"/>
      <c r="H4" s="167"/>
      <c r="I4" s="167"/>
      <c r="J4" s="167"/>
      <c r="K4" s="167"/>
      <c r="L4" s="430" t="s">
        <v>112</v>
      </c>
      <c r="M4" s="431"/>
      <c r="N4" s="432"/>
      <c r="O4" s="433" t="s">
        <v>110</v>
      </c>
      <c r="P4" s="434"/>
      <c r="Q4" s="435"/>
      <c r="R4" s="433">
        <v>2027</v>
      </c>
      <c r="S4" s="436"/>
    </row>
    <row r="5" spans="2:31" ht="24" customHeight="1" thickBot="1">
      <c r="B5" s="437"/>
      <c r="C5" s="437"/>
    </row>
    <row r="6" spans="2:31" ht="20.25" customHeight="1">
      <c r="B6" s="438" t="s">
        <v>217</v>
      </c>
      <c r="C6" s="441" t="s">
        <v>216</v>
      </c>
      <c r="D6" s="444" t="s">
        <v>215</v>
      </c>
      <c r="E6" s="444" t="s">
        <v>214</v>
      </c>
      <c r="F6" s="467" t="s">
        <v>99</v>
      </c>
      <c r="G6" s="467"/>
      <c r="H6" s="467"/>
      <c r="I6" s="467"/>
      <c r="J6" s="467" t="s">
        <v>98</v>
      </c>
      <c r="K6" s="467"/>
      <c r="L6" s="467"/>
      <c r="M6" s="467"/>
      <c r="N6" s="467" t="s">
        <v>97</v>
      </c>
      <c r="O6" s="467"/>
      <c r="P6" s="467"/>
      <c r="Q6" s="467"/>
      <c r="R6" s="458" t="s">
        <v>213</v>
      </c>
      <c r="S6" s="461" t="s">
        <v>212</v>
      </c>
      <c r="U6" s="464" t="s">
        <v>211</v>
      </c>
      <c r="V6" s="465"/>
      <c r="W6" s="465"/>
      <c r="X6" s="465"/>
      <c r="Y6" s="465"/>
      <c r="Z6" s="465"/>
      <c r="AA6" s="465"/>
      <c r="AB6" s="465"/>
      <c r="AC6" s="465"/>
      <c r="AD6" s="466"/>
      <c r="AE6" s="159"/>
    </row>
    <row r="7" spans="2:31" ht="16.5" customHeight="1">
      <c r="B7" s="439"/>
      <c r="C7" s="442"/>
      <c r="D7" s="445"/>
      <c r="E7" s="445"/>
      <c r="F7" s="468" t="s">
        <v>210</v>
      </c>
      <c r="G7" s="468"/>
      <c r="H7" s="468" t="s">
        <v>91</v>
      </c>
      <c r="I7" s="468"/>
      <c r="J7" s="468" t="s">
        <v>210</v>
      </c>
      <c r="K7" s="468"/>
      <c r="L7" s="468" t="s">
        <v>91</v>
      </c>
      <c r="M7" s="468"/>
      <c r="N7" s="468" t="s">
        <v>210</v>
      </c>
      <c r="O7" s="468"/>
      <c r="P7" s="468" t="s">
        <v>91</v>
      </c>
      <c r="Q7" s="468"/>
      <c r="R7" s="459"/>
      <c r="S7" s="462"/>
      <c r="U7" s="447" t="s">
        <v>209</v>
      </c>
      <c r="V7" s="448"/>
      <c r="W7" s="448"/>
      <c r="X7" s="448"/>
      <c r="Y7" s="448"/>
      <c r="Z7" s="448"/>
      <c r="AA7" s="448"/>
      <c r="AB7" s="448"/>
      <c r="AC7" s="448"/>
      <c r="AD7" s="449"/>
      <c r="AE7" s="159"/>
    </row>
    <row r="8" spans="2:31" ht="17.25" customHeight="1" thickBot="1">
      <c r="B8" s="440"/>
      <c r="C8" s="443"/>
      <c r="D8" s="446"/>
      <c r="E8" s="446"/>
      <c r="F8" s="166" t="s">
        <v>208</v>
      </c>
      <c r="G8" s="166" t="s">
        <v>207</v>
      </c>
      <c r="H8" s="166" t="s">
        <v>208</v>
      </c>
      <c r="I8" s="166" t="s">
        <v>207</v>
      </c>
      <c r="J8" s="166" t="s">
        <v>208</v>
      </c>
      <c r="K8" s="166" t="s">
        <v>207</v>
      </c>
      <c r="L8" s="166" t="s">
        <v>208</v>
      </c>
      <c r="M8" s="166" t="s">
        <v>207</v>
      </c>
      <c r="N8" s="166" t="s">
        <v>208</v>
      </c>
      <c r="O8" s="166" t="s">
        <v>207</v>
      </c>
      <c r="P8" s="166" t="s">
        <v>208</v>
      </c>
      <c r="Q8" s="166" t="s">
        <v>207</v>
      </c>
      <c r="R8" s="460"/>
      <c r="S8" s="463"/>
      <c r="U8" s="165"/>
      <c r="V8" s="164"/>
      <c r="W8" s="164"/>
      <c r="X8" s="164"/>
      <c r="Y8" s="164"/>
      <c r="Z8" s="164"/>
      <c r="AA8" s="164"/>
      <c r="AB8" s="164"/>
      <c r="AC8" s="164"/>
      <c r="AD8" s="163"/>
      <c r="AE8" s="159"/>
    </row>
    <row r="9" spans="2:31" ht="16.5" customHeight="1">
      <c r="B9" s="450" t="s">
        <v>18</v>
      </c>
      <c r="C9" s="453">
        <v>16</v>
      </c>
      <c r="D9" s="162" t="s">
        <v>206</v>
      </c>
      <c r="E9" s="130" t="s">
        <v>205</v>
      </c>
      <c r="F9" s="147"/>
      <c r="G9" s="146">
        <f>F9*16</f>
        <v>0</v>
      </c>
      <c r="H9" s="146"/>
      <c r="I9" s="146">
        <f>H9*16</f>
        <v>0</v>
      </c>
      <c r="J9" s="146"/>
      <c r="K9" s="146"/>
      <c r="L9" s="146">
        <v>3</v>
      </c>
      <c r="M9" s="146">
        <f>L9*16</f>
        <v>48</v>
      </c>
      <c r="N9" s="146"/>
      <c r="O9" s="146"/>
      <c r="P9" s="146"/>
      <c r="Q9" s="146"/>
      <c r="R9" s="145">
        <f t="shared" ref="R9:S15" si="0">SUM(F9,H9,J9,L9,N9,P9)</f>
        <v>3</v>
      </c>
      <c r="S9" s="144">
        <f t="shared" si="0"/>
        <v>48</v>
      </c>
      <c r="U9" s="161"/>
      <c r="V9" s="159"/>
      <c r="W9" s="159"/>
      <c r="X9" s="159"/>
      <c r="Y9" s="159"/>
      <c r="Z9" s="159"/>
      <c r="AA9" s="159"/>
      <c r="AB9" s="159"/>
      <c r="AC9" s="159"/>
      <c r="AD9" s="160"/>
      <c r="AE9" s="159"/>
    </row>
    <row r="10" spans="2:31" ht="16.5" customHeight="1">
      <c r="B10" s="451"/>
      <c r="C10" s="454"/>
      <c r="D10" s="143" t="s">
        <v>204</v>
      </c>
      <c r="E10" s="137" t="s">
        <v>203</v>
      </c>
      <c r="F10" s="142"/>
      <c r="G10" s="141">
        <f>F10*16</f>
        <v>0</v>
      </c>
      <c r="H10" s="141"/>
      <c r="I10" s="141">
        <f>H10*16</f>
        <v>0</v>
      </c>
      <c r="J10" s="141">
        <v>3</v>
      </c>
      <c r="K10" s="141">
        <f>J10*16</f>
        <v>48</v>
      </c>
      <c r="L10" s="141"/>
      <c r="M10" s="141"/>
      <c r="N10" s="141"/>
      <c r="O10" s="141"/>
      <c r="P10" s="141"/>
      <c r="Q10" s="141"/>
      <c r="R10" s="140">
        <f t="shared" si="0"/>
        <v>3</v>
      </c>
      <c r="S10" s="139">
        <f t="shared" si="0"/>
        <v>48</v>
      </c>
      <c r="U10" s="161"/>
      <c r="V10" s="159"/>
      <c r="W10" s="159"/>
      <c r="X10" s="159"/>
      <c r="Y10" s="159"/>
      <c r="Z10" s="159"/>
      <c r="AA10" s="159"/>
      <c r="AB10" s="159"/>
      <c r="AC10" s="159"/>
      <c r="AD10" s="160"/>
      <c r="AE10" s="159"/>
    </row>
    <row r="11" spans="2:31">
      <c r="B11" s="451"/>
      <c r="C11" s="454"/>
      <c r="D11" s="138" t="s">
        <v>202</v>
      </c>
      <c r="E11" s="137" t="s">
        <v>201</v>
      </c>
      <c r="F11" s="136"/>
      <c r="G11" s="135"/>
      <c r="H11" s="135"/>
      <c r="I11" s="135"/>
      <c r="J11" s="135">
        <v>3</v>
      </c>
      <c r="K11" s="135">
        <f>J11*16</f>
        <v>48</v>
      </c>
      <c r="L11" s="135"/>
      <c r="M11" s="135"/>
      <c r="N11" s="135"/>
      <c r="O11" s="135"/>
      <c r="P11" s="135"/>
      <c r="Q11" s="135"/>
      <c r="R11" s="134">
        <f t="shared" si="0"/>
        <v>3</v>
      </c>
      <c r="S11" s="133">
        <f t="shared" si="0"/>
        <v>48</v>
      </c>
    </row>
    <row r="12" spans="2:31">
      <c r="B12" s="451"/>
      <c r="C12" s="454"/>
      <c r="D12" s="138" t="s">
        <v>200</v>
      </c>
      <c r="E12" s="137" t="s">
        <v>199</v>
      </c>
      <c r="F12" s="136"/>
      <c r="G12" s="135"/>
      <c r="H12" s="135"/>
      <c r="I12" s="135"/>
      <c r="J12" s="135">
        <v>1</v>
      </c>
      <c r="K12" s="135">
        <f>J12*16</f>
        <v>16</v>
      </c>
      <c r="L12" s="135"/>
      <c r="M12" s="135"/>
      <c r="N12" s="135"/>
      <c r="O12" s="135"/>
      <c r="P12" s="135"/>
      <c r="Q12" s="135"/>
      <c r="R12" s="134">
        <f t="shared" si="0"/>
        <v>1</v>
      </c>
      <c r="S12" s="133">
        <f t="shared" si="0"/>
        <v>16</v>
      </c>
    </row>
    <row r="13" spans="2:31">
      <c r="B13" s="451"/>
      <c r="C13" s="454"/>
      <c r="D13" s="158" t="s">
        <v>198</v>
      </c>
      <c r="E13" s="137" t="s">
        <v>197</v>
      </c>
      <c r="F13" s="141"/>
      <c r="G13" s="141"/>
      <c r="H13" s="141"/>
      <c r="I13" s="141"/>
      <c r="J13" s="141"/>
      <c r="K13" s="141"/>
      <c r="L13" s="141">
        <v>3</v>
      </c>
      <c r="M13" s="141">
        <f>L13*16</f>
        <v>48</v>
      </c>
      <c r="N13" s="141"/>
      <c r="O13" s="141"/>
      <c r="P13" s="141"/>
      <c r="Q13" s="141"/>
      <c r="R13" s="140">
        <f t="shared" si="0"/>
        <v>3</v>
      </c>
      <c r="S13" s="139">
        <f t="shared" si="0"/>
        <v>48</v>
      </c>
    </row>
    <row r="14" spans="2:31">
      <c r="B14" s="451"/>
      <c r="C14" s="454"/>
      <c r="D14" s="158" t="s">
        <v>196</v>
      </c>
      <c r="E14" s="137" t="s">
        <v>195</v>
      </c>
      <c r="F14" s="141"/>
      <c r="G14" s="141"/>
      <c r="H14" s="141"/>
      <c r="I14" s="141"/>
      <c r="J14" s="141">
        <v>2</v>
      </c>
      <c r="K14" s="141">
        <f>J14*16</f>
        <v>32</v>
      </c>
      <c r="L14" s="141"/>
      <c r="M14" s="141"/>
      <c r="N14" s="141"/>
      <c r="O14" s="141"/>
      <c r="P14" s="141"/>
      <c r="Q14" s="141"/>
      <c r="R14" s="140">
        <f t="shared" si="0"/>
        <v>2</v>
      </c>
      <c r="S14" s="153">
        <f t="shared" si="0"/>
        <v>32</v>
      </c>
      <c r="T14" s="151"/>
    </row>
    <row r="15" spans="2:31">
      <c r="B15" s="451"/>
      <c r="C15" s="454"/>
      <c r="D15" s="157" t="s">
        <v>194</v>
      </c>
      <c r="E15" s="137" t="s">
        <v>193</v>
      </c>
      <c r="F15" s="156"/>
      <c r="G15" s="155"/>
      <c r="H15" s="155"/>
      <c r="I15" s="155"/>
      <c r="J15" s="155">
        <v>1</v>
      </c>
      <c r="K15" s="155">
        <f>J15*16</f>
        <v>16</v>
      </c>
      <c r="L15" s="155"/>
      <c r="M15" s="155"/>
      <c r="N15" s="155"/>
      <c r="O15" s="155"/>
      <c r="P15" s="155"/>
      <c r="Q15" s="155"/>
      <c r="R15" s="154">
        <f t="shared" si="0"/>
        <v>1</v>
      </c>
      <c r="S15" s="153">
        <f t="shared" si="0"/>
        <v>16</v>
      </c>
      <c r="T15" s="151"/>
    </row>
    <row r="16" spans="2:31" ht="18" thickBot="1">
      <c r="B16" s="452"/>
      <c r="C16" s="455"/>
      <c r="D16" s="456" t="s">
        <v>133</v>
      </c>
      <c r="E16" s="457"/>
      <c r="F16" s="126">
        <f>SUM(F11:F12)</f>
        <v>0</v>
      </c>
      <c r="G16" s="126">
        <f>SUM(G11:G12)</f>
        <v>0</v>
      </c>
      <c r="H16" s="126">
        <f>SUM(H11:H12)</f>
        <v>0</v>
      </c>
      <c r="I16" s="126">
        <f>SUM(I11:I12)</f>
        <v>0</v>
      </c>
      <c r="J16" s="126">
        <f>SUM(J9:J15)</f>
        <v>10</v>
      </c>
      <c r="K16" s="126">
        <f>SUM(K9:K15)</f>
        <v>160</v>
      </c>
      <c r="L16" s="126">
        <f>SUM(L9:L15)</f>
        <v>6</v>
      </c>
      <c r="M16" s="126">
        <f>SUM(M9:M15)</f>
        <v>96</v>
      </c>
      <c r="N16" s="126">
        <f>SUM(N9:N12)</f>
        <v>0</v>
      </c>
      <c r="O16" s="126">
        <f>SUM(O9:O12)</f>
        <v>0</v>
      </c>
      <c r="P16" s="126">
        <f>SUM(P9:P12)</f>
        <v>0</v>
      </c>
      <c r="Q16" s="126">
        <f>SUM(Q9:Q12)</f>
        <v>0</v>
      </c>
      <c r="R16" s="132">
        <f>SUM(R9:R15)</f>
        <v>16</v>
      </c>
      <c r="S16" s="152">
        <f>SUM(S9:S15)</f>
        <v>256</v>
      </c>
      <c r="T16" s="151"/>
    </row>
    <row r="17" spans="2:21" ht="17.399999999999999" customHeight="1">
      <c r="B17" s="416" t="s">
        <v>16</v>
      </c>
      <c r="C17" s="420">
        <v>4</v>
      </c>
      <c r="D17" s="116" t="s">
        <v>192</v>
      </c>
      <c r="E17" s="116" t="s">
        <v>191</v>
      </c>
      <c r="F17" s="107"/>
      <c r="G17" s="107"/>
      <c r="H17" s="107"/>
      <c r="I17" s="107"/>
      <c r="J17" s="107"/>
      <c r="K17" s="107"/>
      <c r="L17" s="107">
        <v>2</v>
      </c>
      <c r="M17" s="107">
        <f>L17*16</f>
        <v>32</v>
      </c>
      <c r="N17" s="107"/>
      <c r="O17" s="107"/>
      <c r="P17" s="107"/>
      <c r="Q17" s="107"/>
      <c r="R17" s="106">
        <f t="shared" ref="R17:S19" si="1">SUM(F17,H17,J17,L17,N17,P17)</f>
        <v>2</v>
      </c>
      <c r="S17" s="105">
        <f t="shared" si="1"/>
        <v>32</v>
      </c>
    </row>
    <row r="18" spans="2:21">
      <c r="B18" s="417"/>
      <c r="C18" s="421"/>
      <c r="D18" s="131" t="s">
        <v>190</v>
      </c>
      <c r="E18" s="131" t="s">
        <v>189</v>
      </c>
      <c r="F18" s="102"/>
      <c r="G18" s="102"/>
      <c r="H18" s="102"/>
      <c r="I18" s="102"/>
      <c r="J18" s="102"/>
      <c r="K18" s="102"/>
      <c r="L18" s="102">
        <v>1</v>
      </c>
      <c r="M18" s="102">
        <f>L18*16</f>
        <v>16</v>
      </c>
      <c r="N18" s="102"/>
      <c r="O18" s="102"/>
      <c r="P18" s="102"/>
      <c r="Q18" s="97"/>
      <c r="R18" s="101">
        <f t="shared" si="1"/>
        <v>1</v>
      </c>
      <c r="S18" s="100">
        <f t="shared" si="1"/>
        <v>16</v>
      </c>
    </row>
    <row r="19" spans="2:21">
      <c r="B19" s="418"/>
      <c r="C19" s="422"/>
      <c r="D19" s="150" t="s">
        <v>188</v>
      </c>
      <c r="E19" s="150" t="s">
        <v>187</v>
      </c>
      <c r="F19" s="125"/>
      <c r="G19" s="125"/>
      <c r="H19" s="125"/>
      <c r="I19" s="125"/>
      <c r="J19" s="125"/>
      <c r="K19" s="125"/>
      <c r="L19" s="125">
        <v>1</v>
      </c>
      <c r="M19" s="125">
        <f>L19*16</f>
        <v>16</v>
      </c>
      <c r="N19" s="125"/>
      <c r="O19" s="125"/>
      <c r="P19" s="125"/>
      <c r="Q19" s="112"/>
      <c r="R19" s="124">
        <f t="shared" si="1"/>
        <v>1</v>
      </c>
      <c r="S19" s="123">
        <f t="shared" si="1"/>
        <v>16</v>
      </c>
    </row>
    <row r="20" spans="2:21" ht="18" thickBot="1">
      <c r="B20" s="419"/>
      <c r="C20" s="423"/>
      <c r="D20" s="424" t="s">
        <v>133</v>
      </c>
      <c r="E20" s="424"/>
      <c r="F20" s="94"/>
      <c r="G20" s="94"/>
      <c r="H20" s="94"/>
      <c r="I20" s="94"/>
      <c r="J20" s="94"/>
      <c r="K20" s="94"/>
      <c r="L20" s="94">
        <f>SUM(L17:L19)</f>
        <v>4</v>
      </c>
      <c r="M20" s="94">
        <f>SUM(M17:M19)</f>
        <v>64</v>
      </c>
      <c r="N20" s="94"/>
      <c r="O20" s="94"/>
      <c r="P20" s="94"/>
      <c r="Q20" s="94"/>
      <c r="R20" s="93">
        <f>SUM(R17:R19)</f>
        <v>4</v>
      </c>
      <c r="S20" s="92">
        <f>SUM(S17:S18)</f>
        <v>48</v>
      </c>
      <c r="U20" s="149"/>
    </row>
    <row r="21" spans="2:21" ht="17.399999999999999" customHeight="1">
      <c r="B21" s="450" t="s">
        <v>186</v>
      </c>
      <c r="C21" s="469">
        <v>10</v>
      </c>
      <c r="D21" s="138" t="s">
        <v>185</v>
      </c>
      <c r="E21" s="148" t="s">
        <v>184</v>
      </c>
      <c r="F21" s="147"/>
      <c r="G21" s="146">
        <f>F21*16</f>
        <v>0</v>
      </c>
      <c r="H21" s="146"/>
      <c r="I21" s="146">
        <f>H21*16</f>
        <v>0</v>
      </c>
      <c r="J21" s="146">
        <v>2</v>
      </c>
      <c r="K21" s="146">
        <v>32</v>
      </c>
      <c r="L21" s="146"/>
      <c r="M21" s="146"/>
      <c r="N21" s="146"/>
      <c r="O21" s="146"/>
      <c r="P21" s="146"/>
      <c r="Q21" s="146"/>
      <c r="R21" s="145">
        <f t="shared" ref="R21:S24" si="2">SUM(F21,H21,J21,L21,N21,P21)</f>
        <v>2</v>
      </c>
      <c r="S21" s="144">
        <f t="shared" si="2"/>
        <v>32</v>
      </c>
    </row>
    <row r="22" spans="2:21">
      <c r="B22" s="451"/>
      <c r="C22" s="470"/>
      <c r="D22" s="143" t="s">
        <v>183</v>
      </c>
      <c r="E22" s="137" t="s">
        <v>182</v>
      </c>
      <c r="F22" s="142"/>
      <c r="G22" s="141">
        <f>F22*16</f>
        <v>0</v>
      </c>
      <c r="H22" s="141"/>
      <c r="I22" s="141">
        <f>H22*16</f>
        <v>0</v>
      </c>
      <c r="J22" s="141">
        <v>1</v>
      </c>
      <c r="K22" s="141">
        <v>16</v>
      </c>
      <c r="L22" s="141"/>
      <c r="M22" s="141"/>
      <c r="N22" s="141"/>
      <c r="O22" s="141"/>
      <c r="P22" s="141"/>
      <c r="Q22" s="141"/>
      <c r="R22" s="140">
        <f t="shared" si="2"/>
        <v>1</v>
      </c>
      <c r="S22" s="139">
        <f t="shared" si="2"/>
        <v>16</v>
      </c>
    </row>
    <row r="23" spans="2:21">
      <c r="B23" s="451"/>
      <c r="C23" s="470"/>
      <c r="D23" s="138" t="s">
        <v>181</v>
      </c>
      <c r="E23" s="137" t="s">
        <v>180</v>
      </c>
      <c r="F23" s="136"/>
      <c r="G23" s="135"/>
      <c r="H23" s="135"/>
      <c r="I23" s="135"/>
      <c r="J23" s="135">
        <v>4</v>
      </c>
      <c r="K23" s="135">
        <v>64</v>
      </c>
      <c r="L23" s="135"/>
      <c r="M23" s="135"/>
      <c r="N23" s="135"/>
      <c r="O23" s="135"/>
      <c r="P23" s="135"/>
      <c r="Q23" s="135"/>
      <c r="R23" s="134">
        <f t="shared" si="2"/>
        <v>4</v>
      </c>
      <c r="S23" s="133">
        <f t="shared" si="2"/>
        <v>64</v>
      </c>
    </row>
    <row r="24" spans="2:21">
      <c r="B24" s="451"/>
      <c r="C24" s="470"/>
      <c r="D24" s="138" t="s">
        <v>179</v>
      </c>
      <c r="E24" s="137" t="s">
        <v>178</v>
      </c>
      <c r="F24" s="136"/>
      <c r="G24" s="135"/>
      <c r="H24" s="135"/>
      <c r="I24" s="135"/>
      <c r="J24" s="135">
        <v>3</v>
      </c>
      <c r="K24" s="135">
        <v>48</v>
      </c>
      <c r="L24" s="135"/>
      <c r="M24" s="135"/>
      <c r="N24" s="135"/>
      <c r="O24" s="135"/>
      <c r="P24" s="135"/>
      <c r="Q24" s="135"/>
      <c r="R24" s="134">
        <f t="shared" si="2"/>
        <v>3</v>
      </c>
      <c r="S24" s="133">
        <f t="shared" si="2"/>
        <v>48</v>
      </c>
    </row>
    <row r="25" spans="2:21" ht="18" thickBot="1">
      <c r="B25" s="452"/>
      <c r="C25" s="471"/>
      <c r="D25" s="456" t="s">
        <v>133</v>
      </c>
      <c r="E25" s="457"/>
      <c r="F25" s="126">
        <f>SUM(F23:F24)</f>
        <v>0</v>
      </c>
      <c r="G25" s="126">
        <f>SUM(G23:G24)</f>
        <v>0</v>
      </c>
      <c r="H25" s="126">
        <f>SUM(H23:H24)</f>
        <v>0</v>
      </c>
      <c r="I25" s="126">
        <f>SUM(I23:I24)</f>
        <v>0</v>
      </c>
      <c r="J25" s="126">
        <f t="shared" ref="J25:S25" si="3">SUM(J21:J24)</f>
        <v>10</v>
      </c>
      <c r="K25" s="126">
        <f t="shared" si="3"/>
        <v>160</v>
      </c>
      <c r="L25" s="126">
        <f t="shared" si="3"/>
        <v>0</v>
      </c>
      <c r="M25" s="126">
        <f t="shared" si="3"/>
        <v>0</v>
      </c>
      <c r="N25" s="126">
        <f t="shared" si="3"/>
        <v>0</v>
      </c>
      <c r="O25" s="126">
        <f t="shared" si="3"/>
        <v>0</v>
      </c>
      <c r="P25" s="126">
        <f t="shared" si="3"/>
        <v>0</v>
      </c>
      <c r="Q25" s="126">
        <f t="shared" si="3"/>
        <v>0</v>
      </c>
      <c r="R25" s="132">
        <f t="shared" si="3"/>
        <v>10</v>
      </c>
      <c r="S25" s="132">
        <f t="shared" si="3"/>
        <v>160</v>
      </c>
    </row>
    <row r="26" spans="2:21" ht="17.399999999999999" customHeight="1">
      <c r="B26" s="416" t="s">
        <v>177</v>
      </c>
      <c r="C26" s="469">
        <v>10</v>
      </c>
      <c r="D26" s="116" t="s">
        <v>176</v>
      </c>
      <c r="E26" s="116" t="s">
        <v>175</v>
      </c>
      <c r="F26" s="107"/>
      <c r="G26" s="107"/>
      <c r="H26" s="107"/>
      <c r="I26" s="107"/>
      <c r="J26" s="107"/>
      <c r="K26" s="107"/>
      <c r="L26" s="107">
        <v>5</v>
      </c>
      <c r="M26" s="107">
        <v>80</v>
      </c>
      <c r="N26" s="107"/>
      <c r="O26" s="107"/>
      <c r="P26" s="107"/>
      <c r="Q26" s="107"/>
      <c r="R26" s="106">
        <f>SUM(F26,H26,J26,L26,N26,P26)</f>
        <v>5</v>
      </c>
      <c r="S26" s="105">
        <f>SUM(G26,I26,K26,M26,O26,Q26)</f>
        <v>80</v>
      </c>
    </row>
    <row r="27" spans="2:21">
      <c r="B27" s="472"/>
      <c r="C27" s="470"/>
      <c r="D27" s="131" t="s">
        <v>174</v>
      </c>
      <c r="E27" s="131" t="s">
        <v>173</v>
      </c>
      <c r="F27" s="102"/>
      <c r="G27" s="102"/>
      <c r="H27" s="102"/>
      <c r="I27" s="102"/>
      <c r="J27" s="102"/>
      <c r="K27" s="102"/>
      <c r="L27" s="102">
        <v>5</v>
      </c>
      <c r="M27" s="102">
        <v>80</v>
      </c>
      <c r="N27" s="102"/>
      <c r="O27" s="102"/>
      <c r="P27" s="102"/>
      <c r="Q27" s="97"/>
      <c r="R27" s="101">
        <f>SUM(F27,H27,J27,L27,N27,P27)</f>
        <v>5</v>
      </c>
      <c r="S27" s="100">
        <f>SUM(G27,I27,K27,M27,O27,Q27)</f>
        <v>80</v>
      </c>
    </row>
    <row r="28" spans="2:21" ht="18" thickBot="1">
      <c r="B28" s="419"/>
      <c r="C28" s="471"/>
      <c r="D28" s="473" t="s">
        <v>133</v>
      </c>
      <c r="E28" s="474"/>
      <c r="F28" s="94"/>
      <c r="G28" s="94"/>
      <c r="H28" s="94"/>
      <c r="I28" s="94"/>
      <c r="J28" s="94"/>
      <c r="K28" s="94"/>
      <c r="L28" s="94">
        <f>SUM(L26,L27)</f>
        <v>10</v>
      </c>
      <c r="M28" s="94">
        <f>SUM(M26,M27)</f>
        <v>160</v>
      </c>
      <c r="N28" s="94"/>
      <c r="O28" s="94"/>
      <c r="P28" s="94"/>
      <c r="Q28" s="94"/>
      <c r="R28" s="93">
        <f>SUM(R26:R27)</f>
        <v>10</v>
      </c>
      <c r="S28" s="92">
        <f>SUM(S26:S27)</f>
        <v>160</v>
      </c>
    </row>
    <row r="29" spans="2:21" ht="17.399999999999999" customHeight="1">
      <c r="B29" s="417" t="s">
        <v>172</v>
      </c>
      <c r="C29" s="421">
        <v>20</v>
      </c>
      <c r="D29" s="104" t="s">
        <v>171</v>
      </c>
      <c r="E29" s="130" t="s">
        <v>170</v>
      </c>
      <c r="F29" s="102"/>
      <c r="G29" s="102"/>
      <c r="H29" s="102"/>
      <c r="I29" s="102"/>
      <c r="J29" s="102"/>
      <c r="K29" s="102"/>
      <c r="L29" s="102"/>
      <c r="M29" s="102"/>
      <c r="N29" s="129">
        <v>4</v>
      </c>
      <c r="O29" s="129">
        <f>N29*16</f>
        <v>64</v>
      </c>
      <c r="P29" s="129"/>
      <c r="Q29" s="129"/>
      <c r="R29" s="101">
        <f t="shared" ref="R29:S33" si="4">SUM(F29,H29,J29,L29,N29,P29)</f>
        <v>4</v>
      </c>
      <c r="S29" s="100">
        <f t="shared" si="4"/>
        <v>64</v>
      </c>
    </row>
    <row r="30" spans="2:21">
      <c r="B30" s="417"/>
      <c r="C30" s="421"/>
      <c r="D30" s="104" t="s">
        <v>169</v>
      </c>
      <c r="E30" s="103" t="s">
        <v>168</v>
      </c>
      <c r="F30" s="102"/>
      <c r="G30" s="102"/>
      <c r="H30" s="102"/>
      <c r="I30" s="102"/>
      <c r="J30" s="102"/>
      <c r="K30" s="102"/>
      <c r="L30" s="102"/>
      <c r="M30" s="102"/>
      <c r="N30" s="129">
        <v>4</v>
      </c>
      <c r="O30" s="129">
        <f>N30*16</f>
        <v>64</v>
      </c>
      <c r="P30" s="129"/>
      <c r="Q30" s="129"/>
      <c r="R30" s="101">
        <f t="shared" si="4"/>
        <v>4</v>
      </c>
      <c r="S30" s="100">
        <f t="shared" si="4"/>
        <v>64</v>
      </c>
    </row>
    <row r="31" spans="2:21">
      <c r="B31" s="475"/>
      <c r="C31" s="476"/>
      <c r="D31" s="114" t="s">
        <v>167</v>
      </c>
      <c r="E31" s="115" t="s">
        <v>166</v>
      </c>
      <c r="F31" s="102"/>
      <c r="G31" s="102"/>
      <c r="H31" s="102"/>
      <c r="I31" s="102"/>
      <c r="J31" s="102"/>
      <c r="K31" s="102"/>
      <c r="L31" s="102"/>
      <c r="M31" s="102"/>
      <c r="N31" s="129"/>
      <c r="O31" s="129"/>
      <c r="P31" s="129">
        <v>4</v>
      </c>
      <c r="Q31" s="129">
        <f>P31*16</f>
        <v>64</v>
      </c>
      <c r="R31" s="101">
        <f t="shared" si="4"/>
        <v>4</v>
      </c>
      <c r="S31" s="100">
        <f t="shared" si="4"/>
        <v>64</v>
      </c>
    </row>
    <row r="32" spans="2:21">
      <c r="B32" s="475"/>
      <c r="C32" s="476"/>
      <c r="D32" s="114" t="s">
        <v>165</v>
      </c>
      <c r="E32" s="103" t="s">
        <v>164</v>
      </c>
      <c r="F32" s="97"/>
      <c r="G32" s="97"/>
      <c r="H32" s="97"/>
      <c r="I32" s="97"/>
      <c r="J32" s="97"/>
      <c r="K32" s="97"/>
      <c r="L32" s="97"/>
      <c r="M32" s="97"/>
      <c r="N32" s="128"/>
      <c r="O32" s="128"/>
      <c r="P32" s="128">
        <v>4</v>
      </c>
      <c r="Q32" s="128">
        <f>P32*16</f>
        <v>64</v>
      </c>
      <c r="R32" s="96">
        <f t="shared" si="4"/>
        <v>4</v>
      </c>
      <c r="S32" s="95">
        <f t="shared" si="4"/>
        <v>64</v>
      </c>
    </row>
    <row r="33" spans="2:20">
      <c r="B33" s="475"/>
      <c r="C33" s="476"/>
      <c r="D33" s="114" t="s">
        <v>163</v>
      </c>
      <c r="E33" s="122" t="s">
        <v>162</v>
      </c>
      <c r="F33" s="112"/>
      <c r="G33" s="112"/>
      <c r="H33" s="112"/>
      <c r="I33" s="112"/>
      <c r="J33" s="112"/>
      <c r="K33" s="112"/>
      <c r="L33" s="112"/>
      <c r="M33" s="112"/>
      <c r="N33" s="127"/>
      <c r="O33" s="127"/>
      <c r="P33" s="127">
        <v>4</v>
      </c>
      <c r="Q33" s="127">
        <f>P33*16</f>
        <v>64</v>
      </c>
      <c r="R33" s="111">
        <f t="shared" si="4"/>
        <v>4</v>
      </c>
      <c r="S33" s="110">
        <f t="shared" si="4"/>
        <v>64</v>
      </c>
    </row>
    <row r="34" spans="2:20" ht="18" thickBot="1">
      <c r="B34" s="419"/>
      <c r="C34" s="423"/>
      <c r="D34" s="474" t="s">
        <v>133</v>
      </c>
      <c r="E34" s="424"/>
      <c r="F34" s="126"/>
      <c r="G34" s="126"/>
      <c r="H34" s="126"/>
      <c r="I34" s="126"/>
      <c r="J34" s="126"/>
      <c r="K34" s="126"/>
      <c r="L34" s="126"/>
      <c r="M34" s="126"/>
      <c r="N34" s="126">
        <f>SUM(N29:N33)</f>
        <v>8</v>
      </c>
      <c r="O34" s="126">
        <f>SUM(O29:O33)</f>
        <v>128</v>
      </c>
      <c r="P34" s="126">
        <f>SUM(P29:P33)</f>
        <v>12</v>
      </c>
      <c r="Q34" s="126">
        <f>SUM(Q31:Q33)</f>
        <v>192</v>
      </c>
      <c r="R34" s="93">
        <f>SUM(R29:R33)</f>
        <v>20</v>
      </c>
      <c r="S34" s="92">
        <f>SUM(S29:S33)</f>
        <v>320</v>
      </c>
    </row>
    <row r="35" spans="2:20">
      <c r="B35" s="416" t="s">
        <v>161</v>
      </c>
      <c r="C35" s="420">
        <v>16</v>
      </c>
      <c r="D35" s="109" t="s">
        <v>160</v>
      </c>
      <c r="E35" s="115" t="s">
        <v>159</v>
      </c>
      <c r="F35" s="107"/>
      <c r="G35" s="107"/>
      <c r="H35" s="107"/>
      <c r="I35" s="107"/>
      <c r="J35" s="107"/>
      <c r="K35" s="107"/>
      <c r="L35" s="107"/>
      <c r="M35" s="107"/>
      <c r="N35" s="107">
        <v>4</v>
      </c>
      <c r="O35" s="107">
        <f>N35*16</f>
        <v>64</v>
      </c>
      <c r="P35" s="107"/>
      <c r="Q35" s="107"/>
      <c r="R35" s="106">
        <f t="shared" ref="R35:S38" si="5">SUM(F35,H35,J35,L35,N35,P35)</f>
        <v>4</v>
      </c>
      <c r="S35" s="105">
        <f t="shared" si="5"/>
        <v>64</v>
      </c>
    </row>
    <row r="36" spans="2:20">
      <c r="B36" s="472"/>
      <c r="C36" s="477"/>
      <c r="D36" s="104" t="s">
        <v>158</v>
      </c>
      <c r="E36" s="122" t="s">
        <v>157</v>
      </c>
      <c r="F36" s="102"/>
      <c r="G36" s="102"/>
      <c r="H36" s="102"/>
      <c r="I36" s="102"/>
      <c r="J36" s="102"/>
      <c r="K36" s="102"/>
      <c r="L36" s="102"/>
      <c r="M36" s="102"/>
      <c r="N36" s="102">
        <v>4</v>
      </c>
      <c r="O36" s="102">
        <f>N36*16</f>
        <v>64</v>
      </c>
      <c r="P36" s="97"/>
      <c r="Q36" s="125"/>
      <c r="R36" s="124">
        <f t="shared" si="5"/>
        <v>4</v>
      </c>
      <c r="S36" s="123">
        <f t="shared" si="5"/>
        <v>64</v>
      </c>
    </row>
    <row r="37" spans="2:20">
      <c r="B37" s="472"/>
      <c r="C37" s="477"/>
      <c r="D37" s="99" t="s">
        <v>156</v>
      </c>
      <c r="E37" s="122" t="s">
        <v>155</v>
      </c>
      <c r="F37" s="97"/>
      <c r="G37" s="97"/>
      <c r="H37" s="97"/>
      <c r="I37" s="97"/>
      <c r="J37" s="97"/>
      <c r="K37" s="97"/>
      <c r="L37" s="97"/>
      <c r="M37" s="97"/>
      <c r="N37" s="97"/>
      <c r="O37" s="121"/>
      <c r="P37" s="120">
        <v>4</v>
      </c>
      <c r="Q37" s="119">
        <f>P37*16</f>
        <v>64</v>
      </c>
      <c r="R37" s="96">
        <f t="shared" si="5"/>
        <v>4</v>
      </c>
      <c r="S37" s="118">
        <f t="shared" si="5"/>
        <v>64</v>
      </c>
      <c r="T37" s="117"/>
    </row>
    <row r="38" spans="2:20">
      <c r="B38" s="472"/>
      <c r="C38" s="477"/>
      <c r="D38" s="99" t="s">
        <v>154</v>
      </c>
      <c r="E38" s="103" t="s">
        <v>153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02">
        <v>4</v>
      </c>
      <c r="Q38" s="102">
        <f>P38*16</f>
        <v>64</v>
      </c>
      <c r="R38" s="101">
        <f t="shared" si="5"/>
        <v>4</v>
      </c>
      <c r="S38" s="100">
        <f t="shared" si="5"/>
        <v>64</v>
      </c>
    </row>
    <row r="39" spans="2:20" ht="18" thickBot="1">
      <c r="B39" s="419"/>
      <c r="C39" s="423"/>
      <c r="D39" s="474" t="s">
        <v>133</v>
      </c>
      <c r="E39" s="424"/>
      <c r="F39" s="94"/>
      <c r="G39" s="94"/>
      <c r="H39" s="94"/>
      <c r="I39" s="94"/>
      <c r="J39" s="94"/>
      <c r="K39" s="94"/>
      <c r="L39" s="94">
        <f>L35+L36+L37+L38</f>
        <v>0</v>
      </c>
      <c r="M39" s="94">
        <f>M35+M36+M37+M38</f>
        <v>0</v>
      </c>
      <c r="N39" s="94">
        <f>SUM(N35:N38)</f>
        <v>8</v>
      </c>
      <c r="O39" s="94">
        <f>SUM(O35:O38)</f>
        <v>128</v>
      </c>
      <c r="P39" s="94">
        <f>SUM(P35:P38)</f>
        <v>8</v>
      </c>
      <c r="Q39" s="94"/>
      <c r="R39" s="93">
        <f>SUM(R35:R38)</f>
        <v>16</v>
      </c>
      <c r="S39" s="92">
        <f>SUM(S35:S38)</f>
        <v>256</v>
      </c>
    </row>
    <row r="40" spans="2:20">
      <c r="B40" s="416" t="s">
        <v>152</v>
      </c>
      <c r="C40" s="420">
        <v>20</v>
      </c>
      <c r="D40" s="109" t="s">
        <v>151</v>
      </c>
      <c r="E40" s="116" t="s">
        <v>150</v>
      </c>
      <c r="F40" s="107"/>
      <c r="G40" s="107"/>
      <c r="H40" s="107"/>
      <c r="I40" s="107"/>
      <c r="J40" s="107"/>
      <c r="K40" s="107"/>
      <c r="L40" s="107"/>
      <c r="M40" s="107"/>
      <c r="N40" s="107">
        <v>4</v>
      </c>
      <c r="O40" s="107">
        <f>N40*16</f>
        <v>64</v>
      </c>
      <c r="P40" s="107"/>
      <c r="Q40" s="107"/>
      <c r="R40" s="106">
        <f t="shared" ref="R40:S44" si="6">SUM(F40,H40,J40,L40,N40,P40)</f>
        <v>4</v>
      </c>
      <c r="S40" s="105">
        <f t="shared" si="6"/>
        <v>64</v>
      </c>
    </row>
    <row r="41" spans="2:20">
      <c r="B41" s="472"/>
      <c r="C41" s="477"/>
      <c r="D41" s="104" t="s">
        <v>149</v>
      </c>
      <c r="E41" s="115" t="s">
        <v>148</v>
      </c>
      <c r="F41" s="102"/>
      <c r="G41" s="102"/>
      <c r="H41" s="102"/>
      <c r="I41" s="102"/>
      <c r="J41" s="102"/>
      <c r="K41" s="102"/>
      <c r="L41" s="102"/>
      <c r="M41" s="102"/>
      <c r="N41" s="102">
        <v>4</v>
      </c>
      <c r="O41" s="102">
        <f>N41*16</f>
        <v>64</v>
      </c>
      <c r="P41" s="102"/>
      <c r="Q41" s="102"/>
      <c r="R41" s="101">
        <f t="shared" si="6"/>
        <v>4</v>
      </c>
      <c r="S41" s="100">
        <f t="shared" si="6"/>
        <v>64</v>
      </c>
    </row>
    <row r="42" spans="2:20">
      <c r="B42" s="472"/>
      <c r="C42" s="477"/>
      <c r="D42" s="99" t="s">
        <v>147</v>
      </c>
      <c r="E42" s="98" t="s">
        <v>146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>
        <v>4</v>
      </c>
      <c r="Q42" s="97">
        <f>P42*16</f>
        <v>64</v>
      </c>
      <c r="R42" s="96">
        <f t="shared" si="6"/>
        <v>4</v>
      </c>
      <c r="S42" s="95">
        <f t="shared" si="6"/>
        <v>64</v>
      </c>
    </row>
    <row r="43" spans="2:20">
      <c r="B43" s="472"/>
      <c r="C43" s="477"/>
      <c r="D43" s="99" t="s">
        <v>145</v>
      </c>
      <c r="E43" s="98" t="s">
        <v>143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>
        <v>4</v>
      </c>
      <c r="Q43" s="97">
        <f>P43*16</f>
        <v>64</v>
      </c>
      <c r="R43" s="96">
        <f t="shared" si="6"/>
        <v>4</v>
      </c>
      <c r="S43" s="95">
        <f t="shared" si="6"/>
        <v>64</v>
      </c>
    </row>
    <row r="44" spans="2:20">
      <c r="B44" s="475"/>
      <c r="C44" s="476"/>
      <c r="D44" s="114" t="s">
        <v>144</v>
      </c>
      <c r="E44" s="113" t="s">
        <v>143</v>
      </c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>
        <v>4</v>
      </c>
      <c r="Q44" s="112">
        <f>P44*16</f>
        <v>64</v>
      </c>
      <c r="R44" s="111">
        <f t="shared" si="6"/>
        <v>4</v>
      </c>
      <c r="S44" s="110">
        <f t="shared" si="6"/>
        <v>64</v>
      </c>
    </row>
    <row r="45" spans="2:20" ht="18" thickBot="1">
      <c r="B45" s="419"/>
      <c r="C45" s="423"/>
      <c r="D45" s="474" t="s">
        <v>133</v>
      </c>
      <c r="E45" s="424"/>
      <c r="F45" s="94"/>
      <c r="G45" s="94"/>
      <c r="H45" s="94"/>
      <c r="I45" s="94"/>
      <c r="J45" s="94"/>
      <c r="K45" s="94"/>
      <c r="L45" s="94">
        <f>L40+L41+L42+L43</f>
        <v>0</v>
      </c>
      <c r="M45" s="94">
        <f>M40+M41+M42+M43</f>
        <v>0</v>
      </c>
      <c r="N45" s="94">
        <f t="shared" ref="N45:S45" si="7">SUM(N40:N44)</f>
        <v>8</v>
      </c>
      <c r="O45" s="94">
        <f t="shared" si="7"/>
        <v>128</v>
      </c>
      <c r="P45" s="94">
        <f t="shared" si="7"/>
        <v>12</v>
      </c>
      <c r="Q45" s="94">
        <f t="shared" si="7"/>
        <v>192</v>
      </c>
      <c r="R45" s="93">
        <f t="shared" si="7"/>
        <v>20</v>
      </c>
      <c r="S45" s="92">
        <f t="shared" si="7"/>
        <v>320</v>
      </c>
    </row>
    <row r="46" spans="2:20">
      <c r="B46" s="416" t="s">
        <v>142</v>
      </c>
      <c r="C46" s="420">
        <v>16</v>
      </c>
      <c r="D46" s="109" t="s">
        <v>141</v>
      </c>
      <c r="E46" s="108" t="s">
        <v>140</v>
      </c>
      <c r="F46" s="107"/>
      <c r="G46" s="107"/>
      <c r="H46" s="107"/>
      <c r="I46" s="107"/>
      <c r="J46" s="107"/>
      <c r="K46" s="107"/>
      <c r="L46" s="107"/>
      <c r="M46" s="107"/>
      <c r="N46" s="107">
        <v>4</v>
      </c>
      <c r="O46" s="107">
        <f>N46*16</f>
        <v>64</v>
      </c>
      <c r="P46" s="107"/>
      <c r="Q46" s="107"/>
      <c r="R46" s="106">
        <f t="shared" ref="R46:S49" si="8">SUM(F46,H46,J46,L46,N46,P46)</f>
        <v>4</v>
      </c>
      <c r="S46" s="105">
        <f t="shared" si="8"/>
        <v>64</v>
      </c>
    </row>
    <row r="47" spans="2:20">
      <c r="B47" s="472"/>
      <c r="C47" s="477"/>
      <c r="D47" s="104" t="s">
        <v>139</v>
      </c>
      <c r="E47" s="103" t="s">
        <v>138</v>
      </c>
      <c r="F47" s="102"/>
      <c r="G47" s="102"/>
      <c r="H47" s="102"/>
      <c r="I47" s="102"/>
      <c r="J47" s="102"/>
      <c r="K47" s="102"/>
      <c r="L47" s="102"/>
      <c r="M47" s="102"/>
      <c r="N47" s="102">
        <v>4</v>
      </c>
      <c r="O47" s="102">
        <f>N47*16</f>
        <v>64</v>
      </c>
      <c r="P47" s="102"/>
      <c r="Q47" s="102"/>
      <c r="R47" s="101">
        <f t="shared" si="8"/>
        <v>4</v>
      </c>
      <c r="S47" s="100">
        <f t="shared" si="8"/>
        <v>64</v>
      </c>
    </row>
    <row r="48" spans="2:20">
      <c r="B48" s="472"/>
      <c r="C48" s="477"/>
      <c r="D48" s="99" t="s">
        <v>137</v>
      </c>
      <c r="E48" s="98" t="s">
        <v>136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>
        <v>4</v>
      </c>
      <c r="Q48" s="97">
        <f>P48*16</f>
        <v>64</v>
      </c>
      <c r="R48" s="96">
        <f t="shared" si="8"/>
        <v>4</v>
      </c>
      <c r="S48" s="95">
        <f t="shared" si="8"/>
        <v>64</v>
      </c>
    </row>
    <row r="49" spans="2:19">
      <c r="B49" s="472"/>
      <c r="C49" s="477"/>
      <c r="D49" s="99" t="s">
        <v>135</v>
      </c>
      <c r="E49" s="98" t="s">
        <v>134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>
        <v>4</v>
      </c>
      <c r="Q49" s="97">
        <f>P49*16</f>
        <v>64</v>
      </c>
      <c r="R49" s="96">
        <f t="shared" si="8"/>
        <v>4</v>
      </c>
      <c r="S49" s="95">
        <f t="shared" si="8"/>
        <v>64</v>
      </c>
    </row>
    <row r="50" spans="2:19" ht="18" thickBot="1">
      <c r="B50" s="419"/>
      <c r="C50" s="423"/>
      <c r="D50" s="474" t="s">
        <v>133</v>
      </c>
      <c r="E50" s="424"/>
      <c r="F50" s="94"/>
      <c r="G50" s="94"/>
      <c r="H50" s="94"/>
      <c r="I50" s="94"/>
      <c r="J50" s="94"/>
      <c r="K50" s="94"/>
      <c r="L50" s="94"/>
      <c r="M50" s="94"/>
      <c r="N50" s="94">
        <f>SUM(N46:N49)</f>
        <v>8</v>
      </c>
      <c r="O50" s="94">
        <f>SUM(O46:O49)</f>
        <v>128</v>
      </c>
      <c r="P50" s="94">
        <f>SUM(P46:P49)</f>
        <v>8</v>
      </c>
      <c r="Q50" s="94">
        <f>SUM(Q47:Q49)</f>
        <v>128</v>
      </c>
      <c r="R50" s="93">
        <f>SUM(R46:R49)</f>
        <v>16</v>
      </c>
      <c r="S50" s="92">
        <f>SUM(S46:S49)</f>
        <v>256</v>
      </c>
    </row>
  </sheetData>
  <mergeCells count="49">
    <mergeCell ref="B40:B45"/>
    <mergeCell ref="C40:C45"/>
    <mergeCell ref="D45:E45"/>
    <mergeCell ref="B46:B50"/>
    <mergeCell ref="C46:C50"/>
    <mergeCell ref="D50:E50"/>
    <mergeCell ref="B29:B34"/>
    <mergeCell ref="C29:C34"/>
    <mergeCell ref="D34:E34"/>
    <mergeCell ref="B35:B39"/>
    <mergeCell ref="C35:C39"/>
    <mergeCell ref="D39:E39"/>
    <mergeCell ref="B21:B25"/>
    <mergeCell ref="C21:C25"/>
    <mergeCell ref="D25:E25"/>
    <mergeCell ref="B26:B28"/>
    <mergeCell ref="C26:C28"/>
    <mergeCell ref="D28:E28"/>
    <mergeCell ref="U7:AD7"/>
    <mergeCell ref="B9:B16"/>
    <mergeCell ref="C9:C16"/>
    <mergeCell ref="D16:E16"/>
    <mergeCell ref="R6:R8"/>
    <mergeCell ref="S6:S8"/>
    <mergeCell ref="U6:AD6"/>
    <mergeCell ref="J6:M6"/>
    <mergeCell ref="N6:Q6"/>
    <mergeCell ref="F7:G7"/>
    <mergeCell ref="H7:I7"/>
    <mergeCell ref="J7:K7"/>
    <mergeCell ref="L7:M7"/>
    <mergeCell ref="N7:O7"/>
    <mergeCell ref="F6:I6"/>
    <mergeCell ref="P7:Q7"/>
    <mergeCell ref="B17:B20"/>
    <mergeCell ref="C17:C20"/>
    <mergeCell ref="D20:E20"/>
    <mergeCell ref="B2:S2"/>
    <mergeCell ref="L3:N3"/>
    <mergeCell ref="O3:Q3"/>
    <mergeCell ref="R3:S3"/>
    <mergeCell ref="L4:N4"/>
    <mergeCell ref="O4:Q4"/>
    <mergeCell ref="R4:S4"/>
    <mergeCell ref="B5:C5"/>
    <mergeCell ref="B6:B8"/>
    <mergeCell ref="C6:C8"/>
    <mergeCell ref="D6:D8"/>
    <mergeCell ref="E6:E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571E-107E-442D-9F65-EBA7E92B593D}">
  <sheetPr>
    <tabColor theme="8" tint="0.59999389629810485"/>
    <pageSetUpPr fitToPage="1"/>
  </sheetPr>
  <dimension ref="B1:AE99"/>
  <sheetViews>
    <sheetView view="pageBreakPreview" zoomScale="85" zoomScaleNormal="100" zoomScaleSheetLayoutView="85" workbookViewId="0">
      <pane ySplit="8" topLeftCell="A9" activePane="bottomLeft" state="frozen"/>
      <selection pane="bottomLeft"/>
    </sheetView>
  </sheetViews>
  <sheetFormatPr defaultColWidth="8.69921875" defaultRowHeight="17.399999999999999"/>
  <cols>
    <col min="1" max="1" width="2" style="1" customWidth="1"/>
    <col min="2" max="2" width="6.59765625" style="1" customWidth="1"/>
    <col min="3" max="3" width="9.3984375" style="1" customWidth="1"/>
    <col min="4" max="4" width="8.69921875" style="1"/>
    <col min="5" max="5" width="8.5" style="1" customWidth="1"/>
    <col min="6" max="6" width="16.5" style="1" customWidth="1"/>
    <col min="7" max="7" width="6.19921875" style="1" customWidth="1"/>
    <col min="8" max="8" width="5.59765625" style="1" customWidth="1"/>
    <col min="9" max="9" width="7.8984375" style="1" bestFit="1" customWidth="1"/>
    <col min="10" max="10" width="5.59765625" style="1" customWidth="1"/>
    <col min="11" max="22" width="3.8984375" style="1" customWidth="1"/>
    <col min="23" max="24" width="3.3984375" style="1" customWidth="1"/>
    <col min="25" max="25" width="6.3984375" style="1" customWidth="1"/>
    <col min="26" max="26" width="8.69921875" style="2"/>
    <col min="27" max="27" width="8.69921875" style="171"/>
    <col min="28" max="28" width="21.09765625" style="1" bestFit="1" customWidth="1"/>
    <col min="29" max="30" width="12.8984375" style="1" customWidth="1"/>
    <col min="31" max="31" width="13.8984375" style="1" customWidth="1"/>
    <col min="32" max="16384" width="8.69921875" style="1"/>
  </cols>
  <sheetData>
    <row r="1" spans="2:31" ht="18" thickBot="1"/>
    <row r="2" spans="2:31" ht="30.75" customHeight="1" thickBot="1">
      <c r="B2" s="172" t="s">
        <v>254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3"/>
      <c r="V2" s="174" t="s">
        <v>132</v>
      </c>
      <c r="W2" s="175"/>
      <c r="X2" s="176">
        <v>2027</v>
      </c>
      <c r="Y2" s="177"/>
      <c r="AB2" s="178" t="s">
        <v>131</v>
      </c>
      <c r="AC2" s="89" t="s">
        <v>130</v>
      </c>
      <c r="AD2" s="88" t="s">
        <v>129</v>
      </c>
      <c r="AE2" s="87" t="s">
        <v>128</v>
      </c>
    </row>
    <row r="3" spans="2:31" ht="18" thickBot="1">
      <c r="B3" s="181" t="s">
        <v>127</v>
      </c>
      <c r="C3" s="183" t="s">
        <v>126</v>
      </c>
      <c r="D3" s="184"/>
      <c r="E3" s="184"/>
      <c r="F3" s="183" t="s">
        <v>125</v>
      </c>
      <c r="G3" s="187"/>
      <c r="H3" s="183" t="s">
        <v>124</v>
      </c>
      <c r="I3" s="184"/>
      <c r="J3" s="184"/>
      <c r="K3" s="183" t="s">
        <v>123</v>
      </c>
      <c r="L3" s="184"/>
      <c r="M3" s="184"/>
      <c r="N3" s="184"/>
      <c r="O3" s="187"/>
      <c r="P3" s="189" t="s">
        <v>122</v>
      </c>
      <c r="Q3" s="190"/>
      <c r="R3" s="190"/>
      <c r="S3" s="190"/>
      <c r="T3" s="190"/>
      <c r="U3" s="190"/>
      <c r="V3" s="190"/>
      <c r="W3" s="190"/>
      <c r="X3" s="190"/>
      <c r="Y3" s="191"/>
      <c r="AB3" s="179"/>
      <c r="AC3" s="86" t="s">
        <v>121</v>
      </c>
      <c r="AD3" s="85" t="s">
        <v>276</v>
      </c>
      <c r="AE3" s="72" t="s">
        <v>120</v>
      </c>
    </row>
    <row r="4" spans="2:31" ht="18" thickBot="1">
      <c r="B4" s="182"/>
      <c r="C4" s="185"/>
      <c r="D4" s="186"/>
      <c r="E4" s="186"/>
      <c r="F4" s="185"/>
      <c r="G4" s="188"/>
      <c r="H4" s="185"/>
      <c r="I4" s="186"/>
      <c r="J4" s="186"/>
      <c r="K4" s="185"/>
      <c r="L4" s="186"/>
      <c r="M4" s="186"/>
      <c r="N4" s="186"/>
      <c r="O4" s="188"/>
      <c r="P4" s="189" t="s">
        <v>119</v>
      </c>
      <c r="Q4" s="190"/>
      <c r="R4" s="190"/>
      <c r="S4" s="190"/>
      <c r="T4" s="189" t="s">
        <v>118</v>
      </c>
      <c r="U4" s="190"/>
      <c r="V4" s="191"/>
      <c r="W4" s="190" t="s">
        <v>117</v>
      </c>
      <c r="X4" s="190"/>
      <c r="Y4" s="191"/>
      <c r="AB4" s="179"/>
      <c r="AC4" s="84" t="s">
        <v>116</v>
      </c>
      <c r="AD4" s="83" t="s">
        <v>115</v>
      </c>
      <c r="AE4" s="72" t="s">
        <v>114</v>
      </c>
    </row>
    <row r="5" spans="2:31" ht="26.25" customHeight="1" thickBot="1">
      <c r="B5" s="82" t="s">
        <v>113</v>
      </c>
      <c r="C5" s="192" t="s">
        <v>112</v>
      </c>
      <c r="D5" s="193"/>
      <c r="E5" s="194"/>
      <c r="F5" s="192" t="s">
        <v>17</v>
      </c>
      <c r="G5" s="195"/>
      <c r="H5" s="196" t="s">
        <v>223</v>
      </c>
      <c r="I5" s="193"/>
      <c r="J5" s="194"/>
      <c r="K5" s="192"/>
      <c r="L5" s="193"/>
      <c r="M5" s="193"/>
      <c r="N5" s="193"/>
      <c r="O5" s="195"/>
      <c r="P5" s="196" t="s">
        <v>222</v>
      </c>
      <c r="Q5" s="193"/>
      <c r="R5" s="193"/>
      <c r="S5" s="194"/>
      <c r="T5" s="192" t="s">
        <v>221</v>
      </c>
      <c r="U5" s="193"/>
      <c r="V5" s="194"/>
      <c r="W5" s="197" t="s">
        <v>275</v>
      </c>
      <c r="X5" s="198"/>
      <c r="Y5" s="199"/>
      <c r="AB5" s="180"/>
      <c r="AC5" s="495" t="s">
        <v>108</v>
      </c>
      <c r="AD5" s="81" t="s">
        <v>107</v>
      </c>
      <c r="AE5" s="170" t="s">
        <v>106</v>
      </c>
    </row>
    <row r="6" spans="2:31" ht="15.75" customHeight="1" thickBot="1">
      <c r="U6" s="200"/>
      <c r="V6" s="200"/>
      <c r="W6" s="200"/>
      <c r="X6" s="200"/>
      <c r="Y6" s="200"/>
    </row>
    <row r="7" spans="2:31" s="78" customFormat="1" ht="22.5" customHeight="1">
      <c r="B7" s="201" t="s">
        <v>105</v>
      </c>
      <c r="C7" s="202"/>
      <c r="D7" s="205" t="s">
        <v>104</v>
      </c>
      <c r="E7" s="207" t="s">
        <v>103</v>
      </c>
      <c r="F7" s="208"/>
      <c r="G7" s="209"/>
      <c r="H7" s="210" t="s">
        <v>102</v>
      </c>
      <c r="I7" s="212" t="s">
        <v>101</v>
      </c>
      <c r="J7" s="214" t="s">
        <v>100</v>
      </c>
      <c r="K7" s="216" t="s">
        <v>99</v>
      </c>
      <c r="L7" s="212"/>
      <c r="M7" s="212"/>
      <c r="N7" s="217"/>
      <c r="O7" s="218" t="s">
        <v>98</v>
      </c>
      <c r="P7" s="212"/>
      <c r="Q7" s="212"/>
      <c r="R7" s="217"/>
      <c r="S7" s="216" t="s">
        <v>97</v>
      </c>
      <c r="T7" s="212"/>
      <c r="U7" s="212"/>
      <c r="V7" s="219"/>
      <c r="W7" s="210" t="s">
        <v>96</v>
      </c>
      <c r="X7" s="236"/>
      <c r="Y7" s="209" t="s">
        <v>95</v>
      </c>
      <c r="Z7" s="239" t="s">
        <v>94</v>
      </c>
      <c r="AA7"/>
    </row>
    <row r="8" spans="2:31" s="78" customFormat="1" ht="22.5" customHeight="1" thickBot="1">
      <c r="B8" s="203"/>
      <c r="C8" s="204"/>
      <c r="D8" s="206"/>
      <c r="E8" s="79" t="s">
        <v>86</v>
      </c>
      <c r="F8" s="241" t="s">
        <v>93</v>
      </c>
      <c r="G8" s="242"/>
      <c r="H8" s="211"/>
      <c r="I8" s="213"/>
      <c r="J8" s="215"/>
      <c r="K8" s="243" t="s">
        <v>92</v>
      </c>
      <c r="L8" s="213"/>
      <c r="M8" s="213" t="s">
        <v>91</v>
      </c>
      <c r="N8" s="244"/>
      <c r="O8" s="245" t="s">
        <v>92</v>
      </c>
      <c r="P8" s="213"/>
      <c r="Q8" s="213" t="s">
        <v>91</v>
      </c>
      <c r="R8" s="244"/>
      <c r="S8" s="243" t="s">
        <v>92</v>
      </c>
      <c r="T8" s="213"/>
      <c r="U8" s="213" t="s">
        <v>91</v>
      </c>
      <c r="V8" s="246"/>
      <c r="W8" s="211"/>
      <c r="X8" s="237"/>
      <c r="Y8" s="238"/>
      <c r="Z8" s="240"/>
      <c r="AA8"/>
      <c r="AB8" s="220" t="s">
        <v>90</v>
      </c>
      <c r="AC8" s="220"/>
      <c r="AD8" s="220"/>
      <c r="AE8" s="220"/>
    </row>
    <row r="9" spans="2:31" ht="16.5" customHeight="1">
      <c r="B9" s="221" t="s">
        <v>89</v>
      </c>
      <c r="C9" s="222"/>
      <c r="D9" s="227" t="s">
        <v>88</v>
      </c>
      <c r="E9" s="54" t="s">
        <v>54</v>
      </c>
      <c r="F9" s="230" t="s">
        <v>87</v>
      </c>
      <c r="G9" s="231"/>
      <c r="H9" s="53">
        <v>4</v>
      </c>
      <c r="I9" s="70" t="s">
        <v>52</v>
      </c>
      <c r="J9" s="51">
        <v>3</v>
      </c>
      <c r="K9" s="230">
        <v>3</v>
      </c>
      <c r="L9" s="232"/>
      <c r="M9" s="233"/>
      <c r="N9" s="234"/>
      <c r="O9" s="235"/>
      <c r="P9" s="232"/>
      <c r="Q9" s="233"/>
      <c r="R9" s="234"/>
      <c r="S9" s="235"/>
      <c r="T9" s="232"/>
      <c r="U9" s="233"/>
      <c r="V9" s="231"/>
      <c r="W9" s="60">
        <f t="shared" ref="W9:W33" si="0">SUM(K9:V9)</f>
        <v>3</v>
      </c>
      <c r="X9" s="257">
        <f>SUM(W9:W12)</f>
        <v>12</v>
      </c>
      <c r="Y9" s="260">
        <v>24</v>
      </c>
      <c r="Z9" s="77"/>
      <c r="AA9" s="479"/>
      <c r="AB9" s="480" t="s">
        <v>86</v>
      </c>
      <c r="AC9" s="76" t="s">
        <v>85</v>
      </c>
      <c r="AD9" s="76" t="s">
        <v>84</v>
      </c>
      <c r="AE9" s="75" t="s">
        <v>83</v>
      </c>
    </row>
    <row r="10" spans="2:31">
      <c r="B10" s="223"/>
      <c r="C10" s="224"/>
      <c r="D10" s="228"/>
      <c r="E10" s="59" t="s">
        <v>54</v>
      </c>
      <c r="F10" s="263" t="s">
        <v>82</v>
      </c>
      <c r="G10" s="264"/>
      <c r="H10" s="47">
        <v>4</v>
      </c>
      <c r="I10" s="46" t="s">
        <v>52</v>
      </c>
      <c r="J10" s="45">
        <v>3</v>
      </c>
      <c r="K10" s="263"/>
      <c r="L10" s="265"/>
      <c r="M10" s="266">
        <v>3</v>
      </c>
      <c r="N10" s="267"/>
      <c r="O10" s="268"/>
      <c r="P10" s="265"/>
      <c r="Q10" s="266"/>
      <c r="R10" s="267"/>
      <c r="S10" s="268"/>
      <c r="T10" s="265"/>
      <c r="U10" s="266"/>
      <c r="V10" s="264"/>
      <c r="W10" s="58">
        <f t="shared" si="0"/>
        <v>3</v>
      </c>
      <c r="X10" s="258"/>
      <c r="Y10" s="261"/>
      <c r="Z10" s="5"/>
      <c r="AA10" s="478"/>
      <c r="AB10" s="481" t="s">
        <v>81</v>
      </c>
      <c r="AC10" s="73">
        <v>4</v>
      </c>
      <c r="AD10" s="73">
        <v>-1</v>
      </c>
      <c r="AE10" s="72" t="s">
        <v>52</v>
      </c>
    </row>
    <row r="11" spans="2:31">
      <c r="B11" s="223"/>
      <c r="C11" s="224"/>
      <c r="D11" s="228"/>
      <c r="E11" s="44" t="s">
        <v>40</v>
      </c>
      <c r="F11" s="269" t="s">
        <v>80</v>
      </c>
      <c r="G11" s="270"/>
      <c r="H11" s="74">
        <v>4</v>
      </c>
      <c r="I11" s="71" t="s">
        <v>31</v>
      </c>
      <c r="J11" s="63">
        <v>3</v>
      </c>
      <c r="K11" s="269"/>
      <c r="L11" s="271"/>
      <c r="M11" s="272"/>
      <c r="N11" s="273"/>
      <c r="O11" s="268">
        <v>3</v>
      </c>
      <c r="P11" s="265"/>
      <c r="Q11" s="266"/>
      <c r="R11" s="267"/>
      <c r="S11" s="268"/>
      <c r="T11" s="265"/>
      <c r="U11" s="266"/>
      <c r="V11" s="264"/>
      <c r="W11" s="58">
        <f t="shared" si="0"/>
        <v>3</v>
      </c>
      <c r="X11" s="258"/>
      <c r="Y11" s="261"/>
      <c r="Z11" s="5"/>
      <c r="AA11" s="478"/>
      <c r="AB11" s="481" t="s">
        <v>79</v>
      </c>
      <c r="AC11" s="73">
        <v>3</v>
      </c>
      <c r="AD11" s="73"/>
      <c r="AE11" s="72">
        <v>3</v>
      </c>
    </row>
    <row r="12" spans="2:31" ht="18" thickBot="1">
      <c r="B12" s="223"/>
      <c r="C12" s="224"/>
      <c r="D12" s="229"/>
      <c r="E12" s="44" t="s">
        <v>34</v>
      </c>
      <c r="F12" s="249" t="s">
        <v>78</v>
      </c>
      <c r="G12" s="250"/>
      <c r="H12" s="43">
        <v>4</v>
      </c>
      <c r="I12" s="42" t="s">
        <v>31</v>
      </c>
      <c r="J12" s="41">
        <v>3</v>
      </c>
      <c r="K12" s="249"/>
      <c r="L12" s="251"/>
      <c r="M12" s="252"/>
      <c r="N12" s="253"/>
      <c r="O12" s="254"/>
      <c r="P12" s="255"/>
      <c r="Q12" s="247">
        <v>3</v>
      </c>
      <c r="R12" s="256"/>
      <c r="S12" s="254"/>
      <c r="T12" s="255"/>
      <c r="U12" s="247"/>
      <c r="V12" s="248"/>
      <c r="W12" s="69">
        <f t="shared" si="0"/>
        <v>3</v>
      </c>
      <c r="X12" s="259"/>
      <c r="Y12" s="261"/>
      <c r="Z12" s="5"/>
      <c r="AA12" s="478"/>
      <c r="AB12" s="481" t="s">
        <v>75</v>
      </c>
      <c r="AC12" s="73">
        <v>4</v>
      </c>
      <c r="AD12" s="73" t="s">
        <v>72</v>
      </c>
      <c r="AE12" s="72" t="s">
        <v>31</v>
      </c>
    </row>
    <row r="13" spans="2:31">
      <c r="B13" s="223"/>
      <c r="C13" s="224"/>
      <c r="D13" s="227" t="s">
        <v>77</v>
      </c>
      <c r="E13" s="54" t="s">
        <v>54</v>
      </c>
      <c r="F13" s="230" t="s">
        <v>76</v>
      </c>
      <c r="G13" s="231"/>
      <c r="H13" s="53">
        <v>4</v>
      </c>
      <c r="I13" s="70" t="s">
        <v>52</v>
      </c>
      <c r="J13" s="51">
        <v>3</v>
      </c>
      <c r="K13" s="230">
        <v>3</v>
      </c>
      <c r="L13" s="232"/>
      <c r="M13" s="233"/>
      <c r="N13" s="234"/>
      <c r="O13" s="235"/>
      <c r="P13" s="232"/>
      <c r="Q13" s="233"/>
      <c r="R13" s="234"/>
      <c r="S13" s="235"/>
      <c r="T13" s="232"/>
      <c r="U13" s="233"/>
      <c r="V13" s="231"/>
      <c r="W13" s="60">
        <f t="shared" si="0"/>
        <v>3</v>
      </c>
      <c r="X13" s="257">
        <f>SUM(W13:W16)</f>
        <v>12</v>
      </c>
      <c r="Y13" s="261"/>
      <c r="Z13" s="5"/>
      <c r="AA13" s="478"/>
      <c r="AB13" s="481" t="s">
        <v>73</v>
      </c>
      <c r="AC13" s="73">
        <v>3</v>
      </c>
      <c r="AD13" s="73" t="s">
        <v>72</v>
      </c>
      <c r="AE13" s="72" t="s">
        <v>27</v>
      </c>
    </row>
    <row r="14" spans="2:31" ht="18" thickBot="1">
      <c r="B14" s="223"/>
      <c r="C14" s="224"/>
      <c r="D14" s="228"/>
      <c r="E14" s="59" t="s">
        <v>54</v>
      </c>
      <c r="F14" s="263" t="s">
        <v>74</v>
      </c>
      <c r="G14" s="264"/>
      <c r="H14" s="47">
        <v>4</v>
      </c>
      <c r="I14" s="46" t="s">
        <v>52</v>
      </c>
      <c r="J14" s="45">
        <v>3</v>
      </c>
      <c r="K14" s="263"/>
      <c r="L14" s="265"/>
      <c r="M14" s="266">
        <v>3</v>
      </c>
      <c r="N14" s="267"/>
      <c r="O14" s="268"/>
      <c r="P14" s="265"/>
      <c r="Q14" s="266"/>
      <c r="R14" s="267"/>
      <c r="S14" s="268"/>
      <c r="T14" s="265"/>
      <c r="U14" s="266"/>
      <c r="V14" s="264"/>
      <c r="W14" s="58">
        <f t="shared" si="0"/>
        <v>3</v>
      </c>
      <c r="X14" s="258"/>
      <c r="Y14" s="261"/>
      <c r="Z14" s="5"/>
      <c r="AA14" s="478"/>
      <c r="AB14" s="482" t="s">
        <v>70</v>
      </c>
      <c r="AC14" s="276" t="s">
        <v>69</v>
      </c>
      <c r="AD14" s="276"/>
      <c r="AE14" s="277"/>
    </row>
    <row r="15" spans="2:31">
      <c r="B15" s="223"/>
      <c r="C15" s="224"/>
      <c r="D15" s="228"/>
      <c r="E15" s="44" t="s">
        <v>40</v>
      </c>
      <c r="F15" s="269" t="s">
        <v>71</v>
      </c>
      <c r="G15" s="270"/>
      <c r="H15" s="47">
        <v>4</v>
      </c>
      <c r="I15" s="71" t="s">
        <v>31</v>
      </c>
      <c r="J15" s="63">
        <v>3</v>
      </c>
      <c r="K15" s="269"/>
      <c r="L15" s="271"/>
      <c r="M15" s="272"/>
      <c r="N15" s="273"/>
      <c r="O15" s="278">
        <v>3</v>
      </c>
      <c r="P15" s="271"/>
      <c r="Q15" s="272"/>
      <c r="R15" s="273"/>
      <c r="S15" s="278"/>
      <c r="T15" s="271"/>
      <c r="U15" s="266"/>
      <c r="V15" s="264"/>
      <c r="W15" s="58">
        <f t="shared" si="0"/>
        <v>3</v>
      </c>
      <c r="X15" s="258"/>
      <c r="Y15" s="261"/>
      <c r="Z15" s="5"/>
      <c r="AA15" s="478"/>
    </row>
    <row r="16" spans="2:31" ht="18" thickBot="1">
      <c r="B16" s="223"/>
      <c r="C16" s="224"/>
      <c r="D16" s="229"/>
      <c r="E16" s="44" t="s">
        <v>40</v>
      </c>
      <c r="F16" s="249" t="s">
        <v>68</v>
      </c>
      <c r="G16" s="250"/>
      <c r="H16" s="61">
        <v>4</v>
      </c>
      <c r="I16" s="42" t="s">
        <v>31</v>
      </c>
      <c r="J16" s="41">
        <v>3</v>
      </c>
      <c r="K16" s="249"/>
      <c r="L16" s="251"/>
      <c r="M16" s="252"/>
      <c r="N16" s="253"/>
      <c r="O16" s="275"/>
      <c r="P16" s="251"/>
      <c r="Q16" s="252">
        <v>3</v>
      </c>
      <c r="R16" s="253"/>
      <c r="S16" s="275"/>
      <c r="T16" s="251"/>
      <c r="U16" s="247"/>
      <c r="V16" s="248"/>
      <c r="W16" s="69">
        <f t="shared" si="0"/>
        <v>3</v>
      </c>
      <c r="X16" s="259"/>
      <c r="Y16" s="261"/>
      <c r="Z16" s="5"/>
      <c r="AA16" s="478"/>
      <c r="AB16" s="2"/>
      <c r="AC16" s="2"/>
      <c r="AD16" s="2"/>
      <c r="AE16" s="2"/>
    </row>
    <row r="17" spans="2:30">
      <c r="B17" s="223"/>
      <c r="C17" s="224"/>
      <c r="D17" s="227" t="s">
        <v>67</v>
      </c>
      <c r="E17" s="54" t="s">
        <v>54</v>
      </c>
      <c r="F17" s="230" t="s">
        <v>66</v>
      </c>
      <c r="G17" s="231"/>
      <c r="H17" s="53">
        <v>4</v>
      </c>
      <c r="I17" s="70" t="s">
        <v>52</v>
      </c>
      <c r="J17" s="51">
        <v>3</v>
      </c>
      <c r="K17" s="230">
        <v>3</v>
      </c>
      <c r="L17" s="232"/>
      <c r="M17" s="233"/>
      <c r="N17" s="234"/>
      <c r="O17" s="235"/>
      <c r="P17" s="232"/>
      <c r="Q17" s="233"/>
      <c r="R17" s="234"/>
      <c r="S17" s="235"/>
      <c r="T17" s="232"/>
      <c r="U17" s="233"/>
      <c r="V17" s="231"/>
      <c r="W17" s="60">
        <f t="shared" si="0"/>
        <v>3</v>
      </c>
      <c r="X17" s="257">
        <f>SUM(W17:W20)</f>
        <v>12</v>
      </c>
      <c r="Y17" s="261"/>
      <c r="Z17" s="5"/>
      <c r="AA17" s="478"/>
    </row>
    <row r="18" spans="2:30">
      <c r="B18" s="223"/>
      <c r="C18" s="224"/>
      <c r="D18" s="228"/>
      <c r="E18" s="59" t="s">
        <v>54</v>
      </c>
      <c r="F18" s="263" t="s">
        <v>65</v>
      </c>
      <c r="G18" s="264"/>
      <c r="H18" s="47">
        <v>4</v>
      </c>
      <c r="I18" s="46" t="s">
        <v>52</v>
      </c>
      <c r="J18" s="45">
        <v>3</v>
      </c>
      <c r="K18" s="263"/>
      <c r="L18" s="265"/>
      <c r="M18" s="266">
        <v>3</v>
      </c>
      <c r="N18" s="267"/>
      <c r="O18" s="268"/>
      <c r="P18" s="265"/>
      <c r="Q18" s="266"/>
      <c r="R18" s="267"/>
      <c r="S18" s="268"/>
      <c r="T18" s="265"/>
      <c r="U18" s="266"/>
      <c r="V18" s="264"/>
      <c r="W18" s="58">
        <f t="shared" si="0"/>
        <v>3</v>
      </c>
      <c r="X18" s="258"/>
      <c r="Y18" s="261"/>
      <c r="Z18" s="5"/>
      <c r="AA18" s="478"/>
    </row>
    <row r="19" spans="2:30">
      <c r="B19" s="223"/>
      <c r="C19" s="224"/>
      <c r="D19" s="228"/>
      <c r="E19" s="64" t="s">
        <v>40</v>
      </c>
      <c r="F19" s="263" t="s">
        <v>64</v>
      </c>
      <c r="G19" s="264"/>
      <c r="H19" s="47">
        <v>4</v>
      </c>
      <c r="I19" s="46" t="s">
        <v>31</v>
      </c>
      <c r="J19" s="63">
        <v>3</v>
      </c>
      <c r="K19" s="263"/>
      <c r="L19" s="265"/>
      <c r="M19" s="266"/>
      <c r="N19" s="267"/>
      <c r="O19" s="278">
        <v>3</v>
      </c>
      <c r="P19" s="271"/>
      <c r="Q19" s="266"/>
      <c r="R19" s="267"/>
      <c r="S19" s="268"/>
      <c r="T19" s="265"/>
      <c r="U19" s="266"/>
      <c r="V19" s="264"/>
      <c r="W19" s="58">
        <f t="shared" si="0"/>
        <v>3</v>
      </c>
      <c r="X19" s="258"/>
      <c r="Y19" s="261"/>
      <c r="Z19" s="5"/>
      <c r="AA19" s="478"/>
    </row>
    <row r="20" spans="2:30" ht="18" thickBot="1">
      <c r="B20" s="223"/>
      <c r="C20" s="224"/>
      <c r="D20" s="229"/>
      <c r="E20" s="57" t="s">
        <v>40</v>
      </c>
      <c r="F20" s="274" t="s">
        <v>63</v>
      </c>
      <c r="G20" s="248"/>
      <c r="H20" s="61">
        <v>4</v>
      </c>
      <c r="I20" s="55" t="s">
        <v>31</v>
      </c>
      <c r="J20" s="41">
        <v>3</v>
      </c>
      <c r="K20" s="274"/>
      <c r="L20" s="255"/>
      <c r="M20" s="247"/>
      <c r="N20" s="256"/>
      <c r="O20" s="275"/>
      <c r="P20" s="251"/>
      <c r="Q20" s="247">
        <v>3</v>
      </c>
      <c r="R20" s="256"/>
      <c r="S20" s="254"/>
      <c r="T20" s="255"/>
      <c r="U20" s="247"/>
      <c r="V20" s="248"/>
      <c r="W20" s="69">
        <f t="shared" si="0"/>
        <v>3</v>
      </c>
      <c r="X20" s="259"/>
      <c r="Y20" s="262"/>
      <c r="Z20" s="5"/>
      <c r="AA20" s="478"/>
    </row>
    <row r="21" spans="2:30" ht="18" thickBot="1">
      <c r="B21" s="223"/>
      <c r="C21" s="224"/>
      <c r="D21" s="227" t="s">
        <v>62</v>
      </c>
      <c r="E21" s="54" t="s">
        <v>54</v>
      </c>
      <c r="F21" s="230" t="s">
        <v>61</v>
      </c>
      <c r="G21" s="231"/>
      <c r="H21" s="53">
        <v>3</v>
      </c>
      <c r="I21" s="52" t="s">
        <v>59</v>
      </c>
      <c r="J21" s="51">
        <v>3</v>
      </c>
      <c r="K21" s="279"/>
      <c r="L21" s="280"/>
      <c r="M21" s="281"/>
      <c r="N21" s="282"/>
      <c r="O21" s="283">
        <v>3</v>
      </c>
      <c r="P21" s="280"/>
      <c r="Q21" s="281"/>
      <c r="R21" s="282"/>
      <c r="S21" s="283"/>
      <c r="T21" s="280"/>
      <c r="U21" s="281"/>
      <c r="V21" s="285"/>
      <c r="W21" s="60">
        <f t="shared" si="0"/>
        <v>3</v>
      </c>
      <c r="X21" s="257">
        <f>SUM(W21:W22)</f>
        <v>6</v>
      </c>
      <c r="Y21" s="286">
        <v>6</v>
      </c>
      <c r="Z21" s="5"/>
      <c r="AA21" s="478"/>
    </row>
    <row r="22" spans="2:30" ht="18" thickBot="1">
      <c r="B22" s="223"/>
      <c r="C22" s="224"/>
      <c r="D22" s="228"/>
      <c r="E22" s="68" t="s">
        <v>54</v>
      </c>
      <c r="F22" s="274" t="s">
        <v>60</v>
      </c>
      <c r="G22" s="248"/>
      <c r="H22" s="67">
        <v>3</v>
      </c>
      <c r="I22" s="66" t="s">
        <v>59</v>
      </c>
      <c r="J22" s="65">
        <v>3</v>
      </c>
      <c r="K22" s="249"/>
      <c r="L22" s="251"/>
      <c r="M22" s="252"/>
      <c r="N22" s="253"/>
      <c r="O22" s="275"/>
      <c r="P22" s="251"/>
      <c r="Q22" s="252">
        <v>3</v>
      </c>
      <c r="R22" s="253"/>
      <c r="S22" s="275"/>
      <c r="T22" s="251"/>
      <c r="U22" s="252"/>
      <c r="V22" s="250"/>
      <c r="W22" s="56">
        <f t="shared" si="0"/>
        <v>3</v>
      </c>
      <c r="X22" s="259"/>
      <c r="Y22" s="286"/>
      <c r="Z22" s="5"/>
      <c r="AA22" s="478"/>
      <c r="AB22" s="284"/>
      <c r="AC22" s="284"/>
      <c r="AD22" s="12"/>
    </row>
    <row r="23" spans="2:30">
      <c r="B23" s="223"/>
      <c r="C23" s="224"/>
      <c r="D23" s="228"/>
      <c r="E23" s="54" t="s">
        <v>54</v>
      </c>
      <c r="F23" s="230" t="s">
        <v>58</v>
      </c>
      <c r="G23" s="231"/>
      <c r="H23" s="53">
        <v>4</v>
      </c>
      <c r="I23" s="52" t="s">
        <v>52</v>
      </c>
      <c r="J23" s="51">
        <v>3</v>
      </c>
      <c r="K23" s="230">
        <v>3</v>
      </c>
      <c r="L23" s="232"/>
      <c r="M23" s="233"/>
      <c r="N23" s="234"/>
      <c r="O23" s="235"/>
      <c r="P23" s="232"/>
      <c r="Q23" s="233"/>
      <c r="R23" s="234"/>
      <c r="S23" s="235"/>
      <c r="T23" s="232"/>
      <c r="U23" s="233"/>
      <c r="V23" s="231"/>
      <c r="W23" s="60">
        <f t="shared" si="0"/>
        <v>3</v>
      </c>
      <c r="X23" s="257">
        <f>SUM(W23:W24)</f>
        <v>6</v>
      </c>
      <c r="Y23" s="260">
        <v>12</v>
      </c>
      <c r="Z23" s="5"/>
      <c r="AA23" s="478"/>
    </row>
    <row r="24" spans="2:30" ht="18" thickBot="1">
      <c r="B24" s="223"/>
      <c r="C24" s="224"/>
      <c r="D24" s="229"/>
      <c r="E24" s="57" t="s">
        <v>54</v>
      </c>
      <c r="F24" s="249" t="s">
        <v>57</v>
      </c>
      <c r="G24" s="250"/>
      <c r="H24" s="43">
        <v>4</v>
      </c>
      <c r="I24" s="42" t="s">
        <v>52</v>
      </c>
      <c r="J24" s="41">
        <v>3</v>
      </c>
      <c r="K24" s="249"/>
      <c r="L24" s="251"/>
      <c r="M24" s="252">
        <v>3</v>
      </c>
      <c r="N24" s="253"/>
      <c r="O24" s="275"/>
      <c r="P24" s="251"/>
      <c r="Q24" s="252"/>
      <c r="R24" s="253"/>
      <c r="S24" s="275"/>
      <c r="T24" s="251"/>
      <c r="U24" s="252"/>
      <c r="V24" s="250"/>
      <c r="W24" s="56">
        <f t="shared" si="0"/>
        <v>3</v>
      </c>
      <c r="X24" s="259"/>
      <c r="Y24" s="261"/>
      <c r="Z24" s="5"/>
      <c r="AA24" s="478"/>
    </row>
    <row r="25" spans="2:30">
      <c r="B25" s="223"/>
      <c r="C25" s="224"/>
      <c r="D25" s="227" t="s">
        <v>56</v>
      </c>
      <c r="E25" s="54" t="s">
        <v>54</v>
      </c>
      <c r="F25" s="230" t="s">
        <v>55</v>
      </c>
      <c r="G25" s="231"/>
      <c r="H25" s="53">
        <v>4</v>
      </c>
      <c r="I25" s="52" t="s">
        <v>52</v>
      </c>
      <c r="J25" s="51">
        <v>3</v>
      </c>
      <c r="K25" s="230">
        <v>3</v>
      </c>
      <c r="L25" s="232"/>
      <c r="M25" s="233"/>
      <c r="N25" s="234"/>
      <c r="O25" s="235"/>
      <c r="P25" s="232"/>
      <c r="Q25" s="233"/>
      <c r="R25" s="234"/>
      <c r="S25" s="235"/>
      <c r="T25" s="232"/>
      <c r="U25" s="233"/>
      <c r="V25" s="231"/>
      <c r="W25" s="60">
        <f t="shared" si="0"/>
        <v>3</v>
      </c>
      <c r="X25" s="257">
        <f>SUM(W25:W28)</f>
        <v>12</v>
      </c>
      <c r="Y25" s="261"/>
      <c r="Z25" s="5"/>
      <c r="AA25" s="478"/>
    </row>
    <row r="26" spans="2:30">
      <c r="B26" s="223"/>
      <c r="C26" s="224"/>
      <c r="D26" s="228"/>
      <c r="E26" s="59" t="s">
        <v>54</v>
      </c>
      <c r="F26" s="263" t="s">
        <v>53</v>
      </c>
      <c r="G26" s="264"/>
      <c r="H26" s="47">
        <v>4</v>
      </c>
      <c r="I26" s="46" t="s">
        <v>52</v>
      </c>
      <c r="J26" s="45">
        <v>3</v>
      </c>
      <c r="K26" s="263"/>
      <c r="L26" s="265"/>
      <c r="M26" s="266">
        <v>3</v>
      </c>
      <c r="N26" s="267"/>
      <c r="O26" s="268"/>
      <c r="P26" s="265"/>
      <c r="Q26" s="266"/>
      <c r="R26" s="267"/>
      <c r="S26" s="268"/>
      <c r="T26" s="265"/>
      <c r="U26" s="266"/>
      <c r="V26" s="264"/>
      <c r="W26" s="58">
        <f t="shared" si="0"/>
        <v>3</v>
      </c>
      <c r="X26" s="258"/>
      <c r="Y26" s="261"/>
      <c r="Z26" s="5"/>
      <c r="AA26" s="478"/>
    </row>
    <row r="27" spans="2:30">
      <c r="B27" s="223"/>
      <c r="C27" s="224"/>
      <c r="D27" s="228"/>
      <c r="E27" s="64" t="s">
        <v>29</v>
      </c>
      <c r="F27" s="269" t="s">
        <v>51</v>
      </c>
      <c r="G27" s="270"/>
      <c r="H27" s="47">
        <v>4</v>
      </c>
      <c r="I27" s="46" t="s">
        <v>31</v>
      </c>
      <c r="J27" s="63">
        <v>3</v>
      </c>
      <c r="K27" s="263"/>
      <c r="L27" s="265"/>
      <c r="M27" s="266"/>
      <c r="N27" s="267"/>
      <c r="O27" s="268">
        <v>3</v>
      </c>
      <c r="P27" s="265"/>
      <c r="Q27" s="266"/>
      <c r="R27" s="267"/>
      <c r="S27" s="268"/>
      <c r="T27" s="265"/>
      <c r="U27" s="272"/>
      <c r="V27" s="270"/>
      <c r="W27" s="62">
        <f t="shared" si="0"/>
        <v>3</v>
      </c>
      <c r="X27" s="258"/>
      <c r="Y27" s="261"/>
      <c r="Z27" s="5"/>
      <c r="AA27" s="478"/>
    </row>
    <row r="28" spans="2:30" ht="18" thickBot="1">
      <c r="B28" s="223"/>
      <c r="C28" s="224"/>
      <c r="D28" s="229"/>
      <c r="E28" s="57" t="s">
        <v>34</v>
      </c>
      <c r="F28" s="249" t="s">
        <v>50</v>
      </c>
      <c r="G28" s="250"/>
      <c r="H28" s="61">
        <v>4</v>
      </c>
      <c r="I28" s="55" t="s">
        <v>31</v>
      </c>
      <c r="J28" s="41">
        <v>3</v>
      </c>
      <c r="K28" s="274"/>
      <c r="L28" s="255"/>
      <c r="M28" s="247"/>
      <c r="N28" s="256"/>
      <c r="O28" s="254"/>
      <c r="P28" s="255"/>
      <c r="Q28" s="247">
        <v>3</v>
      </c>
      <c r="R28" s="256"/>
      <c r="S28" s="254"/>
      <c r="T28" s="255"/>
      <c r="U28" s="252"/>
      <c r="V28" s="250"/>
      <c r="W28" s="56">
        <f t="shared" si="0"/>
        <v>3</v>
      </c>
      <c r="X28" s="259"/>
      <c r="Y28" s="262"/>
      <c r="Z28" s="5"/>
      <c r="AA28" s="478"/>
    </row>
    <row r="29" spans="2:30" ht="16.5" customHeight="1" thickBot="1">
      <c r="B29" s="223"/>
      <c r="C29" s="224"/>
      <c r="D29" s="227" t="s">
        <v>49</v>
      </c>
      <c r="E29" s="54" t="s">
        <v>29</v>
      </c>
      <c r="F29" s="230" t="s">
        <v>48</v>
      </c>
      <c r="G29" s="231"/>
      <c r="H29" s="53">
        <v>3</v>
      </c>
      <c r="I29" s="52" t="s">
        <v>27</v>
      </c>
      <c r="J29" s="51">
        <f>SUM(K29:V29)</f>
        <v>2</v>
      </c>
      <c r="K29" s="230">
        <v>2</v>
      </c>
      <c r="L29" s="232"/>
      <c r="M29" s="233"/>
      <c r="N29" s="234"/>
      <c r="O29" s="235"/>
      <c r="P29" s="232"/>
      <c r="Q29" s="233"/>
      <c r="R29" s="234"/>
      <c r="S29" s="235"/>
      <c r="T29" s="232"/>
      <c r="U29" s="233"/>
      <c r="V29" s="231"/>
      <c r="W29" s="60">
        <f t="shared" si="0"/>
        <v>2</v>
      </c>
      <c r="X29" s="293">
        <f>SUM(W29:W33)</f>
        <v>10</v>
      </c>
      <c r="Y29" s="286">
        <v>8</v>
      </c>
      <c r="Z29" s="5"/>
      <c r="AA29" s="478"/>
    </row>
    <row r="30" spans="2:30" ht="18" thickBot="1">
      <c r="B30" s="223"/>
      <c r="C30" s="224"/>
      <c r="D30" s="228"/>
      <c r="E30" s="59" t="s">
        <v>29</v>
      </c>
      <c r="F30" s="263" t="s">
        <v>47</v>
      </c>
      <c r="G30" s="264"/>
      <c r="H30" s="47">
        <v>3</v>
      </c>
      <c r="I30" s="46" t="s">
        <v>27</v>
      </c>
      <c r="J30" s="45">
        <f>SUM(K30:V30)</f>
        <v>2</v>
      </c>
      <c r="K30" s="263"/>
      <c r="L30" s="265"/>
      <c r="M30" s="266">
        <v>2</v>
      </c>
      <c r="N30" s="267"/>
      <c r="O30" s="268"/>
      <c r="P30" s="265"/>
      <c r="Q30" s="266"/>
      <c r="R30" s="267"/>
      <c r="S30" s="268"/>
      <c r="T30" s="265"/>
      <c r="U30" s="266"/>
      <c r="V30" s="264"/>
      <c r="W30" s="58">
        <f t="shared" si="0"/>
        <v>2</v>
      </c>
      <c r="X30" s="294"/>
      <c r="Y30" s="286"/>
      <c r="Z30" s="5"/>
      <c r="AA30" s="478"/>
    </row>
    <row r="31" spans="2:30" ht="18" thickBot="1">
      <c r="B31" s="223"/>
      <c r="C31" s="224"/>
      <c r="D31" s="228"/>
      <c r="E31" s="59" t="s">
        <v>34</v>
      </c>
      <c r="F31" s="263" t="s">
        <v>46</v>
      </c>
      <c r="G31" s="264"/>
      <c r="H31" s="47">
        <v>3</v>
      </c>
      <c r="I31" s="46" t="s">
        <v>27</v>
      </c>
      <c r="J31" s="45">
        <v>2</v>
      </c>
      <c r="K31" s="263"/>
      <c r="L31" s="265"/>
      <c r="M31" s="266"/>
      <c r="N31" s="267"/>
      <c r="O31" s="268">
        <v>2</v>
      </c>
      <c r="P31" s="265"/>
      <c r="Q31" s="266"/>
      <c r="R31" s="267"/>
      <c r="S31" s="268"/>
      <c r="T31" s="265"/>
      <c r="U31" s="266"/>
      <c r="V31" s="264"/>
      <c r="W31" s="58">
        <f t="shared" si="0"/>
        <v>2</v>
      </c>
      <c r="X31" s="294"/>
      <c r="Y31" s="286"/>
      <c r="Z31" s="5"/>
      <c r="AA31" s="478"/>
    </row>
    <row r="32" spans="2:30" ht="18" thickBot="1">
      <c r="B32" s="223"/>
      <c r="C32" s="224"/>
      <c r="D32" s="228"/>
      <c r="E32" s="59" t="s">
        <v>34</v>
      </c>
      <c r="F32" s="263" t="s">
        <v>45</v>
      </c>
      <c r="G32" s="264"/>
      <c r="H32" s="47">
        <v>3</v>
      </c>
      <c r="I32" s="46" t="s">
        <v>27</v>
      </c>
      <c r="J32" s="45">
        <v>2</v>
      </c>
      <c r="K32" s="263"/>
      <c r="L32" s="265"/>
      <c r="M32" s="266"/>
      <c r="N32" s="267"/>
      <c r="O32" s="268"/>
      <c r="P32" s="265"/>
      <c r="Q32" s="266">
        <v>2</v>
      </c>
      <c r="R32" s="267"/>
      <c r="S32" s="268"/>
      <c r="T32" s="265"/>
      <c r="U32" s="266"/>
      <c r="V32" s="264"/>
      <c r="W32" s="58">
        <f t="shared" si="0"/>
        <v>2</v>
      </c>
      <c r="X32" s="294"/>
      <c r="Y32" s="286"/>
      <c r="Z32" s="5"/>
      <c r="AA32" s="478"/>
    </row>
    <row r="33" spans="2:29" ht="18" thickBot="1">
      <c r="B33" s="223"/>
      <c r="C33" s="224"/>
      <c r="D33" s="229"/>
      <c r="E33" s="57" t="s">
        <v>40</v>
      </c>
      <c r="F33" s="249" t="s">
        <v>277</v>
      </c>
      <c r="G33" s="250"/>
      <c r="H33" s="43">
        <v>2</v>
      </c>
      <c r="I33" s="42" t="s">
        <v>44</v>
      </c>
      <c r="J33" s="41">
        <v>2</v>
      </c>
      <c r="K33" s="249"/>
      <c r="L33" s="251"/>
      <c r="M33" s="252"/>
      <c r="N33" s="253"/>
      <c r="O33" s="275"/>
      <c r="P33" s="251"/>
      <c r="Q33" s="252"/>
      <c r="R33" s="253"/>
      <c r="S33" s="275">
        <v>2</v>
      </c>
      <c r="T33" s="251"/>
      <c r="U33" s="252"/>
      <c r="V33" s="250"/>
      <c r="W33" s="56">
        <f t="shared" si="0"/>
        <v>2</v>
      </c>
      <c r="X33" s="295"/>
      <c r="Y33" s="286"/>
      <c r="Z33" s="5"/>
      <c r="AA33" s="478"/>
    </row>
    <row r="34" spans="2:29">
      <c r="B34" s="223"/>
      <c r="C34" s="224"/>
      <c r="D34" s="227" t="s">
        <v>43</v>
      </c>
      <c r="E34" s="54" t="s">
        <v>29</v>
      </c>
      <c r="F34" s="230" t="s">
        <v>42</v>
      </c>
      <c r="G34" s="231"/>
      <c r="H34" s="53">
        <v>3</v>
      </c>
      <c r="I34" s="55" t="s">
        <v>27</v>
      </c>
      <c r="J34" s="51">
        <v>2</v>
      </c>
      <c r="K34" s="230">
        <v>2</v>
      </c>
      <c r="L34" s="232"/>
      <c r="M34" s="233"/>
      <c r="N34" s="234"/>
      <c r="O34" s="235"/>
      <c r="P34" s="232"/>
      <c r="Q34" s="233"/>
      <c r="R34" s="234"/>
      <c r="S34" s="235"/>
      <c r="T34" s="232"/>
      <c r="U34" s="233"/>
      <c r="V34" s="231"/>
      <c r="W34" s="287">
        <f>SUM(K34:V37)</f>
        <v>8</v>
      </c>
      <c r="X34" s="288"/>
      <c r="Y34" s="260">
        <v>6</v>
      </c>
      <c r="Z34" s="5"/>
      <c r="AA34" s="478"/>
    </row>
    <row r="35" spans="2:29">
      <c r="B35" s="223"/>
      <c r="C35" s="224"/>
      <c r="D35" s="228"/>
      <c r="E35" s="44" t="s">
        <v>40</v>
      </c>
      <c r="F35" s="263" t="s">
        <v>41</v>
      </c>
      <c r="G35" s="264"/>
      <c r="H35" s="47">
        <v>3</v>
      </c>
      <c r="I35" s="46" t="s">
        <v>27</v>
      </c>
      <c r="J35" s="45">
        <v>2</v>
      </c>
      <c r="K35" s="263"/>
      <c r="L35" s="265"/>
      <c r="M35" s="266">
        <v>2</v>
      </c>
      <c r="N35" s="267"/>
      <c r="O35" s="268"/>
      <c r="P35" s="265"/>
      <c r="Q35" s="266"/>
      <c r="R35" s="267"/>
      <c r="S35" s="268"/>
      <c r="T35" s="265"/>
      <c r="U35" s="266"/>
      <c r="V35" s="264"/>
      <c r="W35" s="289"/>
      <c r="X35" s="290"/>
      <c r="Y35" s="261"/>
      <c r="Z35" s="5"/>
      <c r="AA35" s="478"/>
    </row>
    <row r="36" spans="2:29">
      <c r="B36" s="223"/>
      <c r="C36" s="224"/>
      <c r="D36" s="228"/>
      <c r="E36" s="44" t="s">
        <v>40</v>
      </c>
      <c r="F36" s="269" t="s">
        <v>39</v>
      </c>
      <c r="G36" s="270"/>
      <c r="H36" s="50">
        <v>3</v>
      </c>
      <c r="I36" s="49" t="s">
        <v>27</v>
      </c>
      <c r="J36" s="48">
        <v>2</v>
      </c>
      <c r="K36" s="263"/>
      <c r="L36" s="265"/>
      <c r="M36" s="266"/>
      <c r="N36" s="267"/>
      <c r="O36" s="268">
        <v>2</v>
      </c>
      <c r="P36" s="265"/>
      <c r="Q36" s="266"/>
      <c r="R36" s="267"/>
      <c r="S36" s="268"/>
      <c r="T36" s="265"/>
      <c r="U36" s="266"/>
      <c r="V36" s="264"/>
      <c r="W36" s="289"/>
      <c r="X36" s="290"/>
      <c r="Y36" s="261"/>
      <c r="Z36" s="5"/>
      <c r="AA36" s="478"/>
    </row>
    <row r="37" spans="2:29" ht="18" thickBot="1">
      <c r="B37" s="223"/>
      <c r="C37" s="224"/>
      <c r="D37" s="229"/>
      <c r="E37" s="44" t="s">
        <v>34</v>
      </c>
      <c r="F37" s="249" t="s">
        <v>38</v>
      </c>
      <c r="G37" s="250"/>
      <c r="H37" s="50">
        <v>3</v>
      </c>
      <c r="I37" s="49" t="s">
        <v>27</v>
      </c>
      <c r="J37" s="48">
        <v>2</v>
      </c>
      <c r="K37" s="274"/>
      <c r="L37" s="255"/>
      <c r="M37" s="247"/>
      <c r="N37" s="256"/>
      <c r="O37" s="254"/>
      <c r="P37" s="255"/>
      <c r="Q37" s="247">
        <v>2</v>
      </c>
      <c r="R37" s="256"/>
      <c r="S37" s="254"/>
      <c r="T37" s="255"/>
      <c r="U37" s="247"/>
      <c r="V37" s="248"/>
      <c r="W37" s="291"/>
      <c r="X37" s="292"/>
      <c r="Y37" s="262"/>
      <c r="Z37" s="5"/>
      <c r="AA37" s="478"/>
    </row>
    <row r="38" spans="2:29" ht="16.5" customHeight="1" thickBot="1">
      <c r="B38" s="223"/>
      <c r="C38" s="224"/>
      <c r="D38" s="296" t="s">
        <v>37</v>
      </c>
      <c r="E38" s="54" t="s">
        <v>34</v>
      </c>
      <c r="F38" s="230" t="s">
        <v>33</v>
      </c>
      <c r="G38" s="231"/>
      <c r="H38" s="53">
        <v>2</v>
      </c>
      <c r="I38" s="52" t="s">
        <v>44</v>
      </c>
      <c r="J38" s="51">
        <v>1</v>
      </c>
      <c r="K38" s="230">
        <v>1</v>
      </c>
      <c r="L38" s="232"/>
      <c r="M38" s="233"/>
      <c r="N38" s="234"/>
      <c r="O38" s="235"/>
      <c r="P38" s="232"/>
      <c r="Q38" s="233"/>
      <c r="R38" s="234"/>
      <c r="S38" s="235"/>
      <c r="T38" s="232"/>
      <c r="U38" s="233"/>
      <c r="V38" s="231"/>
      <c r="W38" s="287">
        <f>SUM(K38:V41)</f>
        <v>10</v>
      </c>
      <c r="X38" s="288"/>
      <c r="Y38" s="286">
        <v>8</v>
      </c>
      <c r="Z38" s="5" t="s">
        <v>30</v>
      </c>
      <c r="AA38" s="478"/>
    </row>
    <row r="39" spans="2:29" ht="16.5" customHeight="1" thickBot="1">
      <c r="B39" s="223"/>
      <c r="C39" s="224"/>
      <c r="D39" s="297"/>
      <c r="E39" s="44" t="s">
        <v>40</v>
      </c>
      <c r="F39" s="263" t="s">
        <v>36</v>
      </c>
      <c r="G39" s="264"/>
      <c r="H39" s="50">
        <v>3</v>
      </c>
      <c r="I39" s="49" t="s">
        <v>27</v>
      </c>
      <c r="J39" s="48">
        <v>2</v>
      </c>
      <c r="K39" s="263"/>
      <c r="L39" s="265"/>
      <c r="M39" s="266">
        <v>2</v>
      </c>
      <c r="N39" s="267"/>
      <c r="O39" s="268"/>
      <c r="P39" s="265"/>
      <c r="Q39" s="266"/>
      <c r="R39" s="267"/>
      <c r="S39" s="268"/>
      <c r="T39" s="265"/>
      <c r="U39" s="266"/>
      <c r="V39" s="264"/>
      <c r="W39" s="289"/>
      <c r="X39" s="290"/>
      <c r="Y39" s="286"/>
      <c r="Z39" s="5" t="s">
        <v>35</v>
      </c>
      <c r="AA39" s="478"/>
    </row>
    <row r="40" spans="2:29" ht="16.5" customHeight="1" thickBot="1">
      <c r="B40" s="223"/>
      <c r="C40" s="224"/>
      <c r="D40" s="297"/>
      <c r="E40" s="44" t="s">
        <v>29</v>
      </c>
      <c r="F40" s="263" t="s">
        <v>32</v>
      </c>
      <c r="G40" s="264"/>
      <c r="H40" s="47">
        <v>4</v>
      </c>
      <c r="I40" s="46" t="s">
        <v>31</v>
      </c>
      <c r="J40" s="45">
        <v>4</v>
      </c>
      <c r="K40" s="263">
        <v>4</v>
      </c>
      <c r="L40" s="265"/>
      <c r="M40" s="266"/>
      <c r="N40" s="267"/>
      <c r="O40" s="268"/>
      <c r="P40" s="265"/>
      <c r="Q40" s="266"/>
      <c r="R40" s="267"/>
      <c r="S40" s="268"/>
      <c r="T40" s="265"/>
      <c r="U40" s="266"/>
      <c r="V40" s="264"/>
      <c r="W40" s="289"/>
      <c r="X40" s="290"/>
      <c r="Y40" s="286"/>
      <c r="Z40" s="5" t="s">
        <v>26</v>
      </c>
      <c r="AA40" s="478"/>
    </row>
    <row r="41" spans="2:29" ht="18" thickBot="1">
      <c r="B41" s="225"/>
      <c r="C41" s="226"/>
      <c r="D41" s="297"/>
      <c r="E41" s="44" t="s">
        <v>29</v>
      </c>
      <c r="F41" s="249" t="s">
        <v>28</v>
      </c>
      <c r="G41" s="250"/>
      <c r="H41" s="43">
        <v>4</v>
      </c>
      <c r="I41" s="42" t="s">
        <v>27</v>
      </c>
      <c r="J41" s="41">
        <v>3</v>
      </c>
      <c r="K41" s="249"/>
      <c r="L41" s="251"/>
      <c r="M41" s="252">
        <v>3</v>
      </c>
      <c r="N41" s="253"/>
      <c r="O41" s="268"/>
      <c r="P41" s="265"/>
      <c r="Q41" s="266"/>
      <c r="R41" s="267"/>
      <c r="S41" s="268"/>
      <c r="T41" s="265"/>
      <c r="U41" s="266"/>
      <c r="V41" s="264"/>
      <c r="W41" s="289"/>
      <c r="X41" s="290"/>
      <c r="Y41" s="286"/>
      <c r="Z41" s="5" t="s">
        <v>26</v>
      </c>
      <c r="AA41" s="478"/>
    </row>
    <row r="42" spans="2:29" ht="24.75" customHeight="1" thickBot="1">
      <c r="B42" s="308" t="s">
        <v>25</v>
      </c>
      <c r="C42" s="309"/>
      <c r="D42" s="309"/>
      <c r="E42" s="309"/>
      <c r="F42" s="309"/>
      <c r="G42" s="310"/>
      <c r="H42" s="40">
        <f>SUM(H23:H41)</f>
        <v>63</v>
      </c>
      <c r="I42" s="39"/>
      <c r="J42" s="8">
        <f>SUM(J9:J41)</f>
        <v>88</v>
      </c>
      <c r="K42" s="311">
        <f>SUM(K9:L41)</f>
        <v>24</v>
      </c>
      <c r="L42" s="312"/>
      <c r="M42" s="312">
        <f>SUM(M9:N41)</f>
        <v>24</v>
      </c>
      <c r="N42" s="313"/>
      <c r="O42" s="314">
        <f>SUM(O9:P41)</f>
        <v>19</v>
      </c>
      <c r="P42" s="312"/>
      <c r="Q42" s="312">
        <f>SUM(Q9:R41)</f>
        <v>19</v>
      </c>
      <c r="R42" s="315"/>
      <c r="S42" s="320">
        <f>SUM(S9:T41)</f>
        <v>2</v>
      </c>
      <c r="T42" s="312"/>
      <c r="U42" s="312">
        <f>SUM(U9:V41)</f>
        <v>0</v>
      </c>
      <c r="V42" s="321"/>
      <c r="W42" s="308">
        <f>SUM(K42:V42)</f>
        <v>88</v>
      </c>
      <c r="X42" s="320"/>
      <c r="Y42" s="8">
        <f>SUM(Y9:Y41)</f>
        <v>64</v>
      </c>
      <c r="Z42" s="5"/>
      <c r="AA42" s="478"/>
      <c r="AB42" s="415" t="b">
        <f>W42&gt;=Y42</f>
        <v>1</v>
      </c>
      <c r="AC42" s="322"/>
    </row>
    <row r="43" spans="2:29" ht="17.25" customHeight="1">
      <c r="B43" s="298" t="s">
        <v>24</v>
      </c>
      <c r="C43" s="299"/>
      <c r="D43" s="302" t="s">
        <v>23</v>
      </c>
      <c r="E43" s="303"/>
      <c r="F43" s="306" t="s">
        <v>268</v>
      </c>
      <c r="G43" s="307"/>
      <c r="H43" s="25"/>
      <c r="I43" s="38"/>
      <c r="J43" s="24">
        <v>2</v>
      </c>
      <c r="K43" s="279"/>
      <c r="L43" s="280"/>
      <c r="M43" s="233"/>
      <c r="N43" s="234"/>
      <c r="O43" s="235"/>
      <c r="P43" s="232"/>
      <c r="Q43" s="233"/>
      <c r="R43" s="234"/>
      <c r="S43" s="235">
        <v>2</v>
      </c>
      <c r="T43" s="232"/>
      <c r="U43" s="281"/>
      <c r="V43" s="285"/>
      <c r="W43" s="287">
        <f>SUM(K43:V43)</f>
        <v>2</v>
      </c>
      <c r="X43" s="288"/>
      <c r="Y43" s="260">
        <v>80</v>
      </c>
      <c r="Z43" s="5"/>
      <c r="AA43" s="478"/>
    </row>
    <row r="44" spans="2:29" ht="17.25" customHeight="1" thickBot="1">
      <c r="B44" s="300"/>
      <c r="C44" s="301"/>
      <c r="D44" s="304"/>
      <c r="E44" s="305"/>
      <c r="F44" s="323" t="s">
        <v>22</v>
      </c>
      <c r="G44" s="324"/>
      <c r="H44" s="27"/>
      <c r="I44" s="37"/>
      <c r="J44" s="13">
        <v>2</v>
      </c>
      <c r="K44" s="249"/>
      <c r="L44" s="251"/>
      <c r="M44" s="247"/>
      <c r="N44" s="256"/>
      <c r="O44" s="254"/>
      <c r="P44" s="255"/>
      <c r="Q44" s="247"/>
      <c r="R44" s="256"/>
      <c r="S44" s="254"/>
      <c r="T44" s="255"/>
      <c r="U44" s="252">
        <v>2</v>
      </c>
      <c r="V44" s="250"/>
      <c r="W44" s="325">
        <v>2</v>
      </c>
      <c r="X44" s="326"/>
      <c r="Y44" s="261"/>
      <c r="Z44" s="5"/>
      <c r="AA44" s="478"/>
    </row>
    <row r="45" spans="2:29" ht="17.25" customHeight="1">
      <c r="B45" s="300"/>
      <c r="C45" s="301"/>
      <c r="D45" s="19" t="s">
        <v>10</v>
      </c>
      <c r="E45" s="28" t="s">
        <v>21</v>
      </c>
      <c r="F45" s="327" t="s">
        <v>255</v>
      </c>
      <c r="G45" s="328"/>
      <c r="H45" s="34"/>
      <c r="I45" s="36"/>
      <c r="J45" s="35">
        <v>5</v>
      </c>
      <c r="K45" s="329">
        <v>5</v>
      </c>
      <c r="L45" s="330"/>
      <c r="M45" s="331"/>
      <c r="N45" s="332"/>
      <c r="O45" s="333"/>
      <c r="P45" s="330"/>
      <c r="Q45" s="331"/>
      <c r="R45" s="334"/>
      <c r="S45" s="332"/>
      <c r="T45" s="330"/>
      <c r="U45" s="331"/>
      <c r="V45" s="335"/>
      <c r="W45" s="325">
        <f>SUM(K45:V45)</f>
        <v>5</v>
      </c>
      <c r="X45" s="326"/>
      <c r="Y45" s="261"/>
      <c r="Z45" s="5"/>
      <c r="AA45" s="478"/>
    </row>
    <row r="46" spans="2:29" ht="17.25" customHeight="1">
      <c r="B46" s="300"/>
      <c r="C46" s="301"/>
      <c r="D46" s="31" t="s">
        <v>10</v>
      </c>
      <c r="E46" s="15" t="s">
        <v>21</v>
      </c>
      <c r="F46" s="316" t="s">
        <v>256</v>
      </c>
      <c r="G46" s="317"/>
      <c r="H46" s="34"/>
      <c r="I46" s="36"/>
      <c r="J46" s="35">
        <v>5</v>
      </c>
      <c r="K46" s="263"/>
      <c r="L46" s="265"/>
      <c r="M46" s="266">
        <v>5</v>
      </c>
      <c r="N46" s="267"/>
      <c r="O46" s="268"/>
      <c r="P46" s="265"/>
      <c r="Q46" s="266"/>
      <c r="R46" s="267"/>
      <c r="S46" s="268"/>
      <c r="T46" s="265"/>
      <c r="U46" s="266"/>
      <c r="V46" s="264"/>
      <c r="W46" s="325">
        <f>SUM(K46:V46)</f>
        <v>5</v>
      </c>
      <c r="X46" s="326"/>
      <c r="Y46" s="261"/>
      <c r="Z46" s="5"/>
      <c r="AA46" s="478"/>
    </row>
    <row r="47" spans="2:29" ht="17.25" customHeight="1">
      <c r="B47" s="300"/>
      <c r="C47" s="301"/>
      <c r="D47" s="31" t="s">
        <v>10</v>
      </c>
      <c r="E47" s="15" t="s">
        <v>21</v>
      </c>
      <c r="F47" s="316" t="s">
        <v>257</v>
      </c>
      <c r="G47" s="317"/>
      <c r="H47" s="34"/>
      <c r="I47" s="36"/>
      <c r="J47" s="35">
        <v>4</v>
      </c>
      <c r="K47" s="263"/>
      <c r="L47" s="265"/>
      <c r="M47" s="266"/>
      <c r="N47" s="267"/>
      <c r="O47" s="268"/>
      <c r="P47" s="265"/>
      <c r="Q47" s="266"/>
      <c r="R47" s="267"/>
      <c r="S47" s="268">
        <v>4</v>
      </c>
      <c r="T47" s="265"/>
      <c r="U47" s="266"/>
      <c r="V47" s="264"/>
      <c r="W47" s="325">
        <f>SUM(K47:V47)</f>
        <v>4</v>
      </c>
      <c r="X47" s="326"/>
      <c r="Y47" s="261"/>
      <c r="Z47" s="5"/>
      <c r="AA47" s="478"/>
    </row>
    <row r="48" spans="2:29" ht="17.25" customHeight="1">
      <c r="B48" s="300"/>
      <c r="C48" s="301"/>
      <c r="D48" s="31" t="s">
        <v>10</v>
      </c>
      <c r="E48" s="15" t="s">
        <v>21</v>
      </c>
      <c r="F48" s="318" t="s">
        <v>269</v>
      </c>
      <c r="G48" s="319"/>
      <c r="H48" s="34"/>
      <c r="I48" s="36"/>
      <c r="J48" s="35">
        <v>5</v>
      </c>
      <c r="K48" s="263"/>
      <c r="L48" s="265"/>
      <c r="M48" s="266"/>
      <c r="N48" s="267"/>
      <c r="O48" s="268"/>
      <c r="P48" s="265"/>
      <c r="Q48" s="266"/>
      <c r="R48" s="267"/>
      <c r="S48" s="268">
        <v>5</v>
      </c>
      <c r="T48" s="265"/>
      <c r="U48" s="266"/>
      <c r="V48" s="264"/>
      <c r="W48" s="325">
        <f>SUM(K48:V48)</f>
        <v>5</v>
      </c>
      <c r="X48" s="326"/>
      <c r="Y48" s="261"/>
      <c r="Z48" s="5"/>
      <c r="AA48" s="478"/>
    </row>
    <row r="49" spans="2:30" ht="17.25" customHeight="1" thickBot="1">
      <c r="B49" s="300"/>
      <c r="C49" s="301"/>
      <c r="D49" s="23" t="s">
        <v>10</v>
      </c>
      <c r="E49" s="15" t="s">
        <v>21</v>
      </c>
      <c r="F49" s="318" t="s">
        <v>270</v>
      </c>
      <c r="G49" s="319"/>
      <c r="H49" s="34"/>
      <c r="I49" s="33"/>
      <c r="J49" s="17">
        <v>7</v>
      </c>
      <c r="K49" s="263"/>
      <c r="L49" s="265"/>
      <c r="M49" s="266"/>
      <c r="N49" s="336"/>
      <c r="O49" s="268"/>
      <c r="P49" s="265"/>
      <c r="Q49" s="266"/>
      <c r="R49" s="267"/>
      <c r="S49" s="336"/>
      <c r="T49" s="265"/>
      <c r="U49" s="266">
        <v>7</v>
      </c>
      <c r="V49" s="264"/>
      <c r="W49" s="325">
        <f>SUM(K49:V49)</f>
        <v>7</v>
      </c>
      <c r="X49" s="326"/>
      <c r="Y49" s="261"/>
      <c r="Z49" s="5"/>
      <c r="AA49" s="478"/>
    </row>
    <row r="50" spans="2:30">
      <c r="B50" s="344" t="s">
        <v>20</v>
      </c>
      <c r="C50" s="346" t="s">
        <v>19</v>
      </c>
      <c r="D50" s="32" t="s">
        <v>17</v>
      </c>
      <c r="E50" s="26" t="s">
        <v>9</v>
      </c>
      <c r="F50" s="340" t="s">
        <v>260</v>
      </c>
      <c r="G50" s="341"/>
      <c r="H50" s="25"/>
      <c r="I50" s="488"/>
      <c r="J50" s="24">
        <v>16</v>
      </c>
      <c r="K50" s="230"/>
      <c r="L50" s="232"/>
      <c r="M50" s="233"/>
      <c r="N50" s="337"/>
      <c r="O50" s="235">
        <v>10</v>
      </c>
      <c r="P50" s="232"/>
      <c r="Q50" s="233">
        <v>6</v>
      </c>
      <c r="R50" s="234"/>
      <c r="S50" s="337"/>
      <c r="T50" s="232"/>
      <c r="U50" s="281"/>
      <c r="V50" s="285"/>
      <c r="W50" s="287">
        <f>SUM(O50:V51)</f>
        <v>20</v>
      </c>
      <c r="X50" s="288"/>
      <c r="Y50" s="261"/>
      <c r="Z50" s="5"/>
      <c r="AA50" s="478"/>
    </row>
    <row r="51" spans="2:30">
      <c r="B51" s="345"/>
      <c r="C51" s="350"/>
      <c r="D51" s="23" t="s">
        <v>17</v>
      </c>
      <c r="E51" s="28" t="s">
        <v>9</v>
      </c>
      <c r="F51" s="318" t="s">
        <v>261</v>
      </c>
      <c r="G51" s="319"/>
      <c r="H51" s="21"/>
      <c r="I51" s="169"/>
      <c r="J51" s="20">
        <v>4</v>
      </c>
      <c r="K51" s="263"/>
      <c r="L51" s="265"/>
      <c r="M51" s="266"/>
      <c r="N51" s="267"/>
      <c r="O51" s="268"/>
      <c r="P51" s="265"/>
      <c r="Q51" s="266">
        <v>4</v>
      </c>
      <c r="R51" s="267"/>
      <c r="S51" s="268"/>
      <c r="T51" s="265"/>
      <c r="U51" s="348"/>
      <c r="V51" s="271"/>
      <c r="W51" s="289"/>
      <c r="X51" s="290"/>
      <c r="Y51" s="261"/>
      <c r="Z51" s="5"/>
      <c r="AA51" s="478"/>
    </row>
    <row r="52" spans="2:30">
      <c r="B52" s="345"/>
      <c r="C52" s="351" t="s">
        <v>15</v>
      </c>
      <c r="D52" s="31" t="s">
        <v>14</v>
      </c>
      <c r="E52" s="15" t="s">
        <v>9</v>
      </c>
      <c r="F52" s="342" t="s">
        <v>262</v>
      </c>
      <c r="G52" s="343"/>
      <c r="H52" s="30"/>
      <c r="I52" s="36"/>
      <c r="J52" s="20">
        <v>10</v>
      </c>
      <c r="K52" s="269"/>
      <c r="L52" s="271"/>
      <c r="M52" s="266"/>
      <c r="N52" s="267"/>
      <c r="O52" s="268">
        <v>10</v>
      </c>
      <c r="P52" s="265"/>
      <c r="Q52" s="272"/>
      <c r="R52" s="273"/>
      <c r="S52" s="348"/>
      <c r="T52" s="271"/>
      <c r="U52" s="348"/>
      <c r="V52" s="271"/>
      <c r="W52" s="289"/>
      <c r="X52" s="290"/>
      <c r="Y52" s="261"/>
      <c r="Z52" s="5"/>
      <c r="AA52" s="478"/>
    </row>
    <row r="53" spans="2:30" ht="18" thickBot="1">
      <c r="B53" s="349"/>
      <c r="C53" s="352"/>
      <c r="D53" s="29" t="s">
        <v>14</v>
      </c>
      <c r="E53" s="28" t="s">
        <v>9</v>
      </c>
      <c r="F53" s="338" t="s">
        <v>263</v>
      </c>
      <c r="G53" s="339"/>
      <c r="H53" s="27"/>
      <c r="I53" s="490"/>
      <c r="J53" s="13">
        <v>10</v>
      </c>
      <c r="K53" s="249"/>
      <c r="L53" s="251"/>
      <c r="M53" s="247"/>
      <c r="N53" s="256"/>
      <c r="O53" s="254"/>
      <c r="P53" s="255"/>
      <c r="Q53" s="252">
        <v>10</v>
      </c>
      <c r="R53" s="253"/>
      <c r="S53" s="275"/>
      <c r="T53" s="251"/>
      <c r="U53" s="348"/>
      <c r="V53" s="271"/>
      <c r="W53" s="291"/>
      <c r="X53" s="292"/>
      <c r="Y53" s="261"/>
      <c r="Z53" s="5"/>
      <c r="AA53" s="478"/>
    </row>
    <row r="54" spans="2:30">
      <c r="B54" s="344" t="s">
        <v>13</v>
      </c>
      <c r="C54" s="346" t="s">
        <v>12</v>
      </c>
      <c r="D54" s="19" t="s">
        <v>10</v>
      </c>
      <c r="E54" s="26" t="s">
        <v>9</v>
      </c>
      <c r="F54" s="340" t="s">
        <v>271</v>
      </c>
      <c r="G54" s="341"/>
      <c r="H54" s="25"/>
      <c r="I54" s="488"/>
      <c r="J54" s="24">
        <v>20</v>
      </c>
      <c r="K54" s="230"/>
      <c r="L54" s="232"/>
      <c r="M54" s="233"/>
      <c r="N54" s="337"/>
      <c r="O54" s="235"/>
      <c r="P54" s="232"/>
      <c r="Q54" s="233"/>
      <c r="R54" s="234"/>
      <c r="S54" s="337">
        <v>8</v>
      </c>
      <c r="T54" s="232"/>
      <c r="U54" s="233">
        <v>12</v>
      </c>
      <c r="V54" s="231"/>
      <c r="W54" s="287">
        <f>SUM(K54:V55)</f>
        <v>36</v>
      </c>
      <c r="X54" s="288"/>
      <c r="Y54" s="261"/>
      <c r="Z54" s="5"/>
      <c r="AA54" s="478"/>
    </row>
    <row r="55" spans="2:30">
      <c r="B55" s="345"/>
      <c r="C55" s="347"/>
      <c r="D55" s="23" t="s">
        <v>10</v>
      </c>
      <c r="E55" s="22" t="s">
        <v>9</v>
      </c>
      <c r="F55" s="342" t="s">
        <v>266</v>
      </c>
      <c r="G55" s="343"/>
      <c r="H55" s="21"/>
      <c r="I55" s="491"/>
      <c r="J55" s="20">
        <v>16</v>
      </c>
      <c r="K55" s="263"/>
      <c r="L55" s="265"/>
      <c r="M55" s="272"/>
      <c r="N55" s="273"/>
      <c r="O55" s="278"/>
      <c r="P55" s="271"/>
      <c r="Q55" s="266"/>
      <c r="R55" s="267"/>
      <c r="S55" s="268">
        <v>8</v>
      </c>
      <c r="T55" s="265"/>
      <c r="U55" s="266">
        <v>8</v>
      </c>
      <c r="V55" s="264"/>
      <c r="W55" s="289"/>
      <c r="X55" s="290"/>
      <c r="Y55" s="261"/>
      <c r="Z55" s="5"/>
      <c r="AA55" s="478"/>
    </row>
    <row r="56" spans="2:30">
      <c r="B56" s="345"/>
      <c r="C56" s="351" t="s">
        <v>11</v>
      </c>
      <c r="D56" s="19" t="s">
        <v>10</v>
      </c>
      <c r="E56" s="18" t="s">
        <v>9</v>
      </c>
      <c r="F56" s="318" t="s">
        <v>272</v>
      </c>
      <c r="G56" s="319"/>
      <c r="H56" s="14"/>
      <c r="I56" s="491"/>
      <c r="J56" s="17">
        <v>20</v>
      </c>
      <c r="K56" s="332"/>
      <c r="L56" s="330"/>
      <c r="M56" s="266"/>
      <c r="N56" s="267"/>
      <c r="O56" s="268"/>
      <c r="P56" s="265"/>
      <c r="Q56" s="331"/>
      <c r="R56" s="334"/>
      <c r="S56" s="332">
        <v>8</v>
      </c>
      <c r="T56" s="330"/>
      <c r="U56" s="331">
        <v>12</v>
      </c>
      <c r="V56" s="335"/>
      <c r="W56" s="289"/>
      <c r="X56" s="290"/>
      <c r="Y56" s="261"/>
      <c r="Z56" s="5"/>
      <c r="AA56" s="478"/>
    </row>
    <row r="57" spans="2:30" ht="18" thickBot="1">
      <c r="B57" s="345"/>
      <c r="C57" s="352"/>
      <c r="D57" s="16" t="s">
        <v>10</v>
      </c>
      <c r="E57" s="15" t="s">
        <v>9</v>
      </c>
      <c r="F57" s="318" t="s">
        <v>273</v>
      </c>
      <c r="G57" s="319"/>
      <c r="H57" s="14"/>
      <c r="I57" s="492"/>
      <c r="J57" s="13">
        <v>16</v>
      </c>
      <c r="K57" s="263"/>
      <c r="L57" s="265"/>
      <c r="M57" s="266"/>
      <c r="N57" s="336"/>
      <c r="O57" s="268"/>
      <c r="P57" s="265"/>
      <c r="Q57" s="266"/>
      <c r="R57" s="267"/>
      <c r="S57" s="336">
        <v>8</v>
      </c>
      <c r="T57" s="265"/>
      <c r="U57" s="266">
        <v>8</v>
      </c>
      <c r="V57" s="264"/>
      <c r="W57" s="291"/>
      <c r="X57" s="292"/>
      <c r="Y57" s="261"/>
      <c r="Z57" s="5"/>
      <c r="AA57" s="478"/>
    </row>
    <row r="58" spans="2:30" ht="24.75" customHeight="1">
      <c r="B58" s="357" t="s">
        <v>8</v>
      </c>
      <c r="C58" s="359"/>
      <c r="D58" s="359"/>
      <c r="E58" s="359"/>
      <c r="F58" s="359"/>
      <c r="G58" s="354"/>
      <c r="H58" s="361">
        <f>SUM(H43:H49)</f>
        <v>0</v>
      </c>
      <c r="I58" s="363">
        <f>SUM(I43:I49)</f>
        <v>0</v>
      </c>
      <c r="J58" s="365">
        <f>SUM(J43:J51)+SUM(J54:J55)</f>
        <v>86</v>
      </c>
      <c r="K58" s="357">
        <f>SUM(K43:L57)</f>
        <v>5</v>
      </c>
      <c r="L58" s="367"/>
      <c r="M58" s="353">
        <f>SUM(M43:N55)</f>
        <v>5</v>
      </c>
      <c r="N58" s="359"/>
      <c r="O58" s="369">
        <f>O50</f>
        <v>10</v>
      </c>
      <c r="P58" s="367"/>
      <c r="Q58" s="353">
        <f>Q50+Q51</f>
        <v>10</v>
      </c>
      <c r="R58" s="371"/>
      <c r="S58" s="359">
        <f>SUM(S43:T55)</f>
        <v>27</v>
      </c>
      <c r="T58" s="367"/>
      <c r="U58" s="353">
        <f>SUM(U43:V55)</f>
        <v>29</v>
      </c>
      <c r="V58" s="354"/>
      <c r="W58" s="357">
        <f>SUM(K58:V59)</f>
        <v>86</v>
      </c>
      <c r="X58" s="354"/>
      <c r="Y58" s="260">
        <f>SUM(Y43:Y56)</f>
        <v>80</v>
      </c>
      <c r="Z58" s="5"/>
      <c r="AA58" s="478"/>
      <c r="AD58" s="12"/>
    </row>
    <row r="59" spans="2:30" ht="18" thickBot="1">
      <c r="B59" s="358"/>
      <c r="C59" s="360"/>
      <c r="D59" s="360"/>
      <c r="E59" s="360"/>
      <c r="F59" s="360"/>
      <c r="G59" s="356"/>
      <c r="H59" s="362"/>
      <c r="I59" s="364"/>
      <c r="J59" s="366"/>
      <c r="K59" s="358"/>
      <c r="L59" s="368"/>
      <c r="M59" s="355"/>
      <c r="N59" s="360"/>
      <c r="O59" s="370"/>
      <c r="P59" s="368"/>
      <c r="Q59" s="355"/>
      <c r="R59" s="372"/>
      <c r="S59" s="360"/>
      <c r="T59" s="368"/>
      <c r="U59" s="355"/>
      <c r="V59" s="356"/>
      <c r="W59" s="358"/>
      <c r="X59" s="356"/>
      <c r="Y59" s="262"/>
      <c r="Z59" s="5"/>
      <c r="AA59" s="478"/>
      <c r="AD59" s="11"/>
    </row>
    <row r="60" spans="2:30" ht="17.25" customHeight="1" thickBot="1">
      <c r="B60" s="308"/>
      <c r="C60" s="309"/>
      <c r="D60" s="309"/>
      <c r="E60" s="309"/>
      <c r="F60" s="309"/>
      <c r="G60" s="310"/>
      <c r="H60" s="10">
        <f>SUM(H42,H58)</f>
        <v>63</v>
      </c>
      <c r="I60" s="9">
        <f>SUM(I42,I58)</f>
        <v>0</v>
      </c>
      <c r="J60" s="8">
        <f>SUM(J42,J58)</f>
        <v>174</v>
      </c>
      <c r="K60" s="308">
        <f>SUM(K42,K58)</f>
        <v>29</v>
      </c>
      <c r="L60" s="320"/>
      <c r="M60" s="313">
        <f>SUM(M42,M58)</f>
        <v>29</v>
      </c>
      <c r="N60" s="382"/>
      <c r="O60" s="383">
        <f>SUM(O42,O58)</f>
        <v>29</v>
      </c>
      <c r="P60" s="320"/>
      <c r="Q60" s="313">
        <f>SUM(Q42,Q58)</f>
        <v>29</v>
      </c>
      <c r="R60" s="382"/>
      <c r="S60" s="383">
        <f>SUM(S42,S58)</f>
        <v>29</v>
      </c>
      <c r="T60" s="320"/>
      <c r="U60" s="313">
        <f>SUM(U42,U58)</f>
        <v>29</v>
      </c>
      <c r="V60" s="310"/>
      <c r="W60" s="308">
        <f>SUM(K60:V60)</f>
        <v>174</v>
      </c>
      <c r="X60" s="310"/>
      <c r="Y60" s="4">
        <f>Y58+Y42</f>
        <v>144</v>
      </c>
      <c r="Z60" s="5"/>
      <c r="AA60" s="478"/>
      <c r="AB60" s="284" t="s">
        <v>7</v>
      </c>
      <c r="AC60" s="284"/>
    </row>
    <row r="61" spans="2:30" ht="18.75" customHeight="1" thickBot="1">
      <c r="B61" s="385" t="s">
        <v>6</v>
      </c>
      <c r="C61" s="386"/>
      <c r="D61" s="386"/>
      <c r="E61" s="387"/>
      <c r="F61" s="394" t="s">
        <v>5</v>
      </c>
      <c r="G61" s="395"/>
      <c r="H61" s="395"/>
      <c r="I61" s="395"/>
      <c r="J61" s="396"/>
      <c r="K61" s="397">
        <v>16</v>
      </c>
      <c r="L61" s="398"/>
      <c r="M61" s="399">
        <v>16</v>
      </c>
      <c r="N61" s="400"/>
      <c r="O61" s="401">
        <v>16</v>
      </c>
      <c r="P61" s="398"/>
      <c r="Q61" s="399">
        <v>16</v>
      </c>
      <c r="R61" s="400"/>
      <c r="S61" s="401">
        <v>16</v>
      </c>
      <c r="T61" s="398"/>
      <c r="U61" s="399">
        <v>16</v>
      </c>
      <c r="V61" s="402"/>
      <c r="W61" s="385">
        <f>SUM(K61:V63)</f>
        <v>288</v>
      </c>
      <c r="X61" s="387"/>
      <c r="Y61" s="260">
        <f>Y64*16</f>
        <v>288</v>
      </c>
      <c r="Z61" s="5"/>
      <c r="AA61" s="478"/>
      <c r="AB61" s="384"/>
      <c r="AC61" s="384"/>
    </row>
    <row r="62" spans="2:30" ht="17.25" customHeight="1" thickBot="1">
      <c r="B62" s="388"/>
      <c r="C62" s="389"/>
      <c r="D62" s="389"/>
      <c r="E62" s="390"/>
      <c r="F62" s="373" t="s">
        <v>4</v>
      </c>
      <c r="G62" s="374"/>
      <c r="H62" s="374"/>
      <c r="I62" s="374"/>
      <c r="J62" s="375"/>
      <c r="K62" s="376">
        <v>16</v>
      </c>
      <c r="L62" s="377"/>
      <c r="M62" s="378">
        <v>16</v>
      </c>
      <c r="N62" s="379"/>
      <c r="O62" s="380">
        <v>16</v>
      </c>
      <c r="P62" s="377"/>
      <c r="Q62" s="378">
        <v>16</v>
      </c>
      <c r="R62" s="379"/>
      <c r="S62" s="380">
        <v>16</v>
      </c>
      <c r="T62" s="377"/>
      <c r="U62" s="378">
        <v>16</v>
      </c>
      <c r="V62" s="381"/>
      <c r="W62" s="388"/>
      <c r="X62" s="390"/>
      <c r="Y62" s="261"/>
      <c r="Z62" s="5"/>
      <c r="AA62" s="478"/>
      <c r="AB62" s="415" t="b">
        <f>W60&gt;=Y60</f>
        <v>1</v>
      </c>
      <c r="AC62" s="322"/>
    </row>
    <row r="63" spans="2:30" ht="17.25" customHeight="1">
      <c r="B63" s="388"/>
      <c r="C63" s="389"/>
      <c r="D63" s="389"/>
      <c r="E63" s="390"/>
      <c r="F63" s="373" t="s">
        <v>3</v>
      </c>
      <c r="G63" s="374"/>
      <c r="H63" s="374"/>
      <c r="I63" s="374"/>
      <c r="J63" s="375"/>
      <c r="K63" s="376">
        <v>16</v>
      </c>
      <c r="L63" s="377"/>
      <c r="M63" s="378">
        <v>16</v>
      </c>
      <c r="N63" s="379"/>
      <c r="O63" s="380">
        <v>16</v>
      </c>
      <c r="P63" s="377"/>
      <c r="Q63" s="378">
        <v>16</v>
      </c>
      <c r="R63" s="379"/>
      <c r="S63" s="380">
        <v>16</v>
      </c>
      <c r="T63" s="377"/>
      <c r="U63" s="378">
        <v>16</v>
      </c>
      <c r="V63" s="381"/>
      <c r="W63" s="403"/>
      <c r="X63" s="404"/>
      <c r="Y63" s="405"/>
      <c r="Z63" s="5"/>
      <c r="AA63" s="478"/>
    </row>
    <row r="64" spans="2:30" ht="17.25" customHeight="1" thickBot="1">
      <c r="B64" s="391"/>
      <c r="C64" s="392"/>
      <c r="D64" s="392"/>
      <c r="E64" s="393"/>
      <c r="F64" s="406" t="s">
        <v>2</v>
      </c>
      <c r="G64" s="407"/>
      <c r="H64" s="407"/>
      <c r="I64" s="407"/>
      <c r="J64" s="408"/>
      <c r="K64" s="409">
        <v>3</v>
      </c>
      <c r="L64" s="410"/>
      <c r="M64" s="411">
        <v>3</v>
      </c>
      <c r="N64" s="412"/>
      <c r="O64" s="413">
        <v>3</v>
      </c>
      <c r="P64" s="410"/>
      <c r="Q64" s="411">
        <v>3</v>
      </c>
      <c r="R64" s="412"/>
      <c r="S64" s="413">
        <v>3</v>
      </c>
      <c r="T64" s="410"/>
      <c r="U64" s="411">
        <v>3</v>
      </c>
      <c r="V64" s="414"/>
      <c r="W64" s="406">
        <f>SUM(K64:V64)</f>
        <v>18</v>
      </c>
      <c r="X64" s="408"/>
      <c r="Y64" s="7">
        <v>18</v>
      </c>
      <c r="Z64" s="5"/>
      <c r="AA64" s="478"/>
      <c r="AB64" s="284" t="s">
        <v>1</v>
      </c>
      <c r="AC64" s="284"/>
    </row>
    <row r="65" spans="2:29" ht="17.25" customHeight="1" thickBot="1">
      <c r="B65" s="308"/>
      <c r="C65" s="309"/>
      <c r="D65" s="309"/>
      <c r="E65" s="309"/>
      <c r="F65" s="309"/>
      <c r="G65" s="309"/>
      <c r="H65" s="309"/>
      <c r="I65" s="309"/>
      <c r="J65" s="310"/>
      <c r="K65" s="308">
        <v>32</v>
      </c>
      <c r="L65" s="320"/>
      <c r="M65" s="313">
        <v>32</v>
      </c>
      <c r="N65" s="382"/>
      <c r="O65" s="383">
        <v>32</v>
      </c>
      <c r="P65" s="320"/>
      <c r="Q65" s="313">
        <v>32</v>
      </c>
      <c r="R65" s="382"/>
      <c r="S65" s="383">
        <v>32</v>
      </c>
      <c r="T65" s="320"/>
      <c r="U65" s="313">
        <v>32</v>
      </c>
      <c r="V65" s="310"/>
      <c r="W65" s="308">
        <f>SUM(K65:V65)</f>
        <v>192</v>
      </c>
      <c r="X65" s="310"/>
      <c r="Y65" s="6">
        <f>W65</f>
        <v>192</v>
      </c>
      <c r="Z65" s="5"/>
      <c r="AA65" s="478"/>
      <c r="AB65" s="415" t="b">
        <f>W64&gt;=Y64</f>
        <v>1</v>
      </c>
      <c r="AC65" s="322"/>
    </row>
    <row r="66" spans="2:29" ht="17.25" customHeight="1" thickBot="1">
      <c r="B66" s="308"/>
      <c r="C66" s="309"/>
      <c r="D66" s="309"/>
      <c r="E66" s="309"/>
      <c r="F66" s="309"/>
      <c r="G66" s="309"/>
      <c r="H66" s="309"/>
      <c r="I66" s="309"/>
      <c r="J66" s="310"/>
      <c r="K66" s="308">
        <f>SUM(K65:N65)</f>
        <v>64</v>
      </c>
      <c r="L66" s="309"/>
      <c r="M66" s="309"/>
      <c r="N66" s="382"/>
      <c r="O66" s="383">
        <f>SUM(O65:R65)</f>
        <v>64</v>
      </c>
      <c r="P66" s="309"/>
      <c r="Q66" s="309"/>
      <c r="R66" s="382"/>
      <c r="S66" s="383">
        <f>SUM(S65:V65)</f>
        <v>64</v>
      </c>
      <c r="T66" s="309"/>
      <c r="U66" s="309"/>
      <c r="V66" s="310"/>
      <c r="W66" s="308">
        <f>SUM(K66:V66)</f>
        <v>192</v>
      </c>
      <c r="X66" s="310"/>
      <c r="Y66" s="4"/>
      <c r="Z66" s="3"/>
      <c r="AA66" s="478"/>
      <c r="AB66" s="284" t="s">
        <v>0</v>
      </c>
      <c r="AC66" s="284"/>
    </row>
    <row r="67" spans="2:29" ht="17.25" customHeight="1" thickBot="1">
      <c r="AB67" s="415" t="b">
        <f>W65&gt;=Y65</f>
        <v>1</v>
      </c>
      <c r="AC67" s="322"/>
    </row>
    <row r="68" spans="2:29" ht="17.25" customHeight="1"/>
    <row r="69" spans="2:29" ht="17.25" customHeight="1"/>
    <row r="70" spans="2:29" ht="17.25" customHeight="1"/>
    <row r="72" spans="2:29" ht="24.9" customHeight="1"/>
    <row r="73" spans="2:29" ht="24.9" customHeight="1"/>
    <row r="74" spans="2:29" ht="32.25" customHeight="1"/>
    <row r="75" spans="2:29" ht="24.9" customHeight="1"/>
    <row r="77" spans="2:29" ht="16.5" customHeight="1"/>
    <row r="78" spans="2:29" ht="17.25" customHeight="1"/>
    <row r="79" spans="2:29" ht="16.5" customHeight="1"/>
    <row r="80" spans="2:29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244.5" customHeight="1"/>
  </sheetData>
  <mergeCells count="501">
    <mergeCell ref="AB67:AC67"/>
    <mergeCell ref="W65:X65"/>
    <mergeCell ref="AB65:AC65"/>
    <mergeCell ref="B66:J66"/>
    <mergeCell ref="K66:N66"/>
    <mergeCell ref="O66:R66"/>
    <mergeCell ref="S66:V66"/>
    <mergeCell ref="W66:X66"/>
    <mergeCell ref="AB66:AC66"/>
    <mergeCell ref="B65:J65"/>
    <mergeCell ref="K65:L65"/>
    <mergeCell ref="M65:N65"/>
    <mergeCell ref="O65:P65"/>
    <mergeCell ref="Q65:R65"/>
    <mergeCell ref="S65:T65"/>
    <mergeCell ref="U65:V65"/>
    <mergeCell ref="F64:J64"/>
    <mergeCell ref="K64:L64"/>
    <mergeCell ref="M64:N64"/>
    <mergeCell ref="O64:P64"/>
    <mergeCell ref="Q64:R64"/>
    <mergeCell ref="S64:T64"/>
    <mergeCell ref="U64:V64"/>
    <mergeCell ref="W64:X64"/>
    <mergeCell ref="AB64:AC64"/>
    <mergeCell ref="U61:V61"/>
    <mergeCell ref="W61:X63"/>
    <mergeCell ref="Y61:Y63"/>
    <mergeCell ref="F62:J62"/>
    <mergeCell ref="K62:L62"/>
    <mergeCell ref="M62:N62"/>
    <mergeCell ref="O62:P62"/>
    <mergeCell ref="Q62:R62"/>
    <mergeCell ref="S62:T62"/>
    <mergeCell ref="U62:V62"/>
    <mergeCell ref="AB62:AC62"/>
    <mergeCell ref="F63:J63"/>
    <mergeCell ref="K63:L63"/>
    <mergeCell ref="M63:N63"/>
    <mergeCell ref="O63:P63"/>
    <mergeCell ref="Q63:R63"/>
    <mergeCell ref="S63:T63"/>
    <mergeCell ref="U63:V63"/>
    <mergeCell ref="B60:G60"/>
    <mergeCell ref="K60:L60"/>
    <mergeCell ref="M60:N60"/>
    <mergeCell ref="O60:P60"/>
    <mergeCell ref="Q60:R60"/>
    <mergeCell ref="S60:T60"/>
    <mergeCell ref="U60:V60"/>
    <mergeCell ref="W60:X60"/>
    <mergeCell ref="AB60:AC61"/>
    <mergeCell ref="B61:E64"/>
    <mergeCell ref="F61:J61"/>
    <mergeCell ref="K61:L61"/>
    <mergeCell ref="M61:N61"/>
    <mergeCell ref="O61:P61"/>
    <mergeCell ref="Q61:R61"/>
    <mergeCell ref="S61:T61"/>
    <mergeCell ref="B58:G59"/>
    <mergeCell ref="H58:H59"/>
    <mergeCell ref="I58:I59"/>
    <mergeCell ref="J58:J59"/>
    <mergeCell ref="K58:L59"/>
    <mergeCell ref="M58:N59"/>
    <mergeCell ref="O58:P59"/>
    <mergeCell ref="Q58:R59"/>
    <mergeCell ref="S58:T59"/>
    <mergeCell ref="Q55:R55"/>
    <mergeCell ref="U58:V59"/>
    <mergeCell ref="W58:X59"/>
    <mergeCell ref="Y58:Y59"/>
    <mergeCell ref="O57:P57"/>
    <mergeCell ref="Q57:R57"/>
    <mergeCell ref="S57:T57"/>
    <mergeCell ref="U57:V57"/>
    <mergeCell ref="S55:T55"/>
    <mergeCell ref="U55:V55"/>
    <mergeCell ref="O56:P56"/>
    <mergeCell ref="Q56:R56"/>
    <mergeCell ref="S56:T56"/>
    <mergeCell ref="W54:X57"/>
    <mergeCell ref="K56:L56"/>
    <mergeCell ref="M56:N56"/>
    <mergeCell ref="F57:G57"/>
    <mergeCell ref="K57:L57"/>
    <mergeCell ref="M57:N57"/>
    <mergeCell ref="F55:G55"/>
    <mergeCell ref="K55:L55"/>
    <mergeCell ref="M55:N55"/>
    <mergeCell ref="O55:P55"/>
    <mergeCell ref="K52:L52"/>
    <mergeCell ref="U50:V50"/>
    <mergeCell ref="B54:B57"/>
    <mergeCell ref="C54:C55"/>
    <mergeCell ref="F54:G54"/>
    <mergeCell ref="K54:L54"/>
    <mergeCell ref="S53:T53"/>
    <mergeCell ref="U53:V53"/>
    <mergeCell ref="S51:T51"/>
    <mergeCell ref="U51:V51"/>
    <mergeCell ref="U54:V54"/>
    <mergeCell ref="U56:V56"/>
    <mergeCell ref="S52:T52"/>
    <mergeCell ref="B50:B53"/>
    <mergeCell ref="C50:C51"/>
    <mergeCell ref="C52:C53"/>
    <mergeCell ref="O54:P54"/>
    <mergeCell ref="Q54:R54"/>
    <mergeCell ref="S54:T54"/>
    <mergeCell ref="M54:N54"/>
    <mergeCell ref="C56:C57"/>
    <mergeCell ref="F56:G56"/>
    <mergeCell ref="W50:X53"/>
    <mergeCell ref="F51:G51"/>
    <mergeCell ref="K51:L51"/>
    <mergeCell ref="M51:N51"/>
    <mergeCell ref="O51:P51"/>
    <mergeCell ref="Q51:R51"/>
    <mergeCell ref="M52:N52"/>
    <mergeCell ref="O52:P52"/>
    <mergeCell ref="Q52:R52"/>
    <mergeCell ref="O50:P50"/>
    <mergeCell ref="Q50:R50"/>
    <mergeCell ref="S50:T50"/>
    <mergeCell ref="U52:V52"/>
    <mergeCell ref="F53:G53"/>
    <mergeCell ref="K53:L53"/>
    <mergeCell ref="M53:N53"/>
    <mergeCell ref="O53:P53"/>
    <mergeCell ref="Q53:R53"/>
    <mergeCell ref="F50:G50"/>
    <mergeCell ref="K50:L50"/>
    <mergeCell ref="M50:N50"/>
    <mergeCell ref="F52:G52"/>
    <mergeCell ref="M48:N48"/>
    <mergeCell ref="O48:P48"/>
    <mergeCell ref="Q48:R48"/>
    <mergeCell ref="S48:T48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S46:T46"/>
    <mergeCell ref="U46:V46"/>
    <mergeCell ref="W46:X46"/>
    <mergeCell ref="F47:G47"/>
    <mergeCell ref="K47:L47"/>
    <mergeCell ref="M47:N47"/>
    <mergeCell ref="O47:P47"/>
    <mergeCell ref="Q47:R47"/>
    <mergeCell ref="S47:T47"/>
    <mergeCell ref="U47:V47"/>
    <mergeCell ref="W47:X47"/>
    <mergeCell ref="S42:T42"/>
    <mergeCell ref="U42:V42"/>
    <mergeCell ref="W42:X42"/>
    <mergeCell ref="AB42:AC42"/>
    <mergeCell ref="S43:T43"/>
    <mergeCell ref="U43:V43"/>
    <mergeCell ref="W43:X43"/>
    <mergeCell ref="Y43:Y57"/>
    <mergeCell ref="F44:G44"/>
    <mergeCell ref="K44:L44"/>
    <mergeCell ref="M44:N44"/>
    <mergeCell ref="O44:P44"/>
    <mergeCell ref="Q44:R44"/>
    <mergeCell ref="S44:T44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B43:C49"/>
    <mergeCell ref="D43:E44"/>
    <mergeCell ref="F43:G43"/>
    <mergeCell ref="K43:L43"/>
    <mergeCell ref="M43:N43"/>
    <mergeCell ref="O43:P43"/>
    <mergeCell ref="Q43:R43"/>
    <mergeCell ref="F40:G40"/>
    <mergeCell ref="K40:L40"/>
    <mergeCell ref="M40:N40"/>
    <mergeCell ref="O40:P40"/>
    <mergeCell ref="Q40:R40"/>
    <mergeCell ref="B42:G42"/>
    <mergeCell ref="K42:L42"/>
    <mergeCell ref="M42:N42"/>
    <mergeCell ref="O42:P42"/>
    <mergeCell ref="Q42:R42"/>
    <mergeCell ref="F46:G46"/>
    <mergeCell ref="K46:L46"/>
    <mergeCell ref="M46:N46"/>
    <mergeCell ref="O46:P46"/>
    <mergeCell ref="Q46:R46"/>
    <mergeCell ref="F48:G48"/>
    <mergeCell ref="K48:L48"/>
    <mergeCell ref="Q38:R38"/>
    <mergeCell ref="S38:T38"/>
    <mergeCell ref="U38:V38"/>
    <mergeCell ref="W38:X41"/>
    <mergeCell ref="Y38:Y41"/>
    <mergeCell ref="F39:G39"/>
    <mergeCell ref="K39:L39"/>
    <mergeCell ref="M39:N39"/>
    <mergeCell ref="O39:P39"/>
    <mergeCell ref="Q39:R39"/>
    <mergeCell ref="S40:T40"/>
    <mergeCell ref="S39:T39"/>
    <mergeCell ref="U39:V39"/>
    <mergeCell ref="U40:V40"/>
    <mergeCell ref="F41:G41"/>
    <mergeCell ref="K41:L41"/>
    <mergeCell ref="M41:N41"/>
    <mergeCell ref="O41:P41"/>
    <mergeCell ref="Q41:R41"/>
    <mergeCell ref="S41:T41"/>
    <mergeCell ref="U41:V41"/>
    <mergeCell ref="S34:T34"/>
    <mergeCell ref="U34:V34"/>
    <mergeCell ref="Q37:R37"/>
    <mergeCell ref="S37:T37"/>
    <mergeCell ref="U37:V37"/>
    <mergeCell ref="D38:D41"/>
    <mergeCell ref="F38:G38"/>
    <mergeCell ref="K38:L38"/>
    <mergeCell ref="M38:N38"/>
    <mergeCell ref="O38:P38"/>
    <mergeCell ref="U35:V35"/>
    <mergeCell ref="F36:G36"/>
    <mergeCell ref="K36:L36"/>
    <mergeCell ref="M36:N36"/>
    <mergeCell ref="O36:P36"/>
    <mergeCell ref="Q36:R36"/>
    <mergeCell ref="S36:T36"/>
    <mergeCell ref="U36:V36"/>
    <mergeCell ref="D34:D37"/>
    <mergeCell ref="F34:G34"/>
    <mergeCell ref="K34:L34"/>
    <mergeCell ref="M34:N34"/>
    <mergeCell ref="O34:P34"/>
    <mergeCell ref="Q34:R34"/>
    <mergeCell ref="F37:G37"/>
    <mergeCell ref="K37:L37"/>
    <mergeCell ref="M37:N37"/>
    <mergeCell ref="O37:P37"/>
    <mergeCell ref="F33:G33"/>
    <mergeCell ref="K33:L33"/>
    <mergeCell ref="W34:X37"/>
    <mergeCell ref="Y34:Y37"/>
    <mergeCell ref="F35:G35"/>
    <mergeCell ref="K35:L35"/>
    <mergeCell ref="M35:N35"/>
    <mergeCell ref="O35:P35"/>
    <mergeCell ref="Q35:R35"/>
    <mergeCell ref="S35:T35"/>
    <mergeCell ref="X29:X33"/>
    <mergeCell ref="Y29:Y33"/>
    <mergeCell ref="F30:G30"/>
    <mergeCell ref="K30:L30"/>
    <mergeCell ref="M30:N30"/>
    <mergeCell ref="O30:P30"/>
    <mergeCell ref="Q30:R30"/>
    <mergeCell ref="S30:T30"/>
    <mergeCell ref="U30:V30"/>
    <mergeCell ref="U29:V29"/>
    <mergeCell ref="U28:V28"/>
    <mergeCell ref="S31:T31"/>
    <mergeCell ref="U31:V31"/>
    <mergeCell ref="F32:G32"/>
    <mergeCell ref="K32:L32"/>
    <mergeCell ref="M32:N32"/>
    <mergeCell ref="O32:P32"/>
    <mergeCell ref="Q32:R32"/>
    <mergeCell ref="S32:T32"/>
    <mergeCell ref="U32:V32"/>
    <mergeCell ref="F31:G31"/>
    <mergeCell ref="K31:L31"/>
    <mergeCell ref="D29:D33"/>
    <mergeCell ref="F29:G29"/>
    <mergeCell ref="K29:L29"/>
    <mergeCell ref="M29:N29"/>
    <mergeCell ref="O29:P29"/>
    <mergeCell ref="Q29:R29"/>
    <mergeCell ref="S29:T29"/>
    <mergeCell ref="U26:V26"/>
    <mergeCell ref="F27:G27"/>
    <mergeCell ref="K27:L27"/>
    <mergeCell ref="O27:P27"/>
    <mergeCell ref="Q27:R27"/>
    <mergeCell ref="S27:T27"/>
    <mergeCell ref="U27:V27"/>
    <mergeCell ref="D25:D28"/>
    <mergeCell ref="M33:N33"/>
    <mergeCell ref="O33:P33"/>
    <mergeCell ref="Q33:R33"/>
    <mergeCell ref="S33:T33"/>
    <mergeCell ref="U33:V33"/>
    <mergeCell ref="M31:N31"/>
    <mergeCell ref="O31:P31"/>
    <mergeCell ref="Q31:R31"/>
    <mergeCell ref="Q28:R28"/>
    <mergeCell ref="O26:P26"/>
    <mergeCell ref="Q26:R26"/>
    <mergeCell ref="S26:T26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S28:T28"/>
    <mergeCell ref="U24:V24"/>
    <mergeCell ref="F24:G24"/>
    <mergeCell ref="K24:L24"/>
    <mergeCell ref="M24:N24"/>
    <mergeCell ref="O24:P24"/>
    <mergeCell ref="X23:X24"/>
    <mergeCell ref="Y23:Y28"/>
    <mergeCell ref="X21:X22"/>
    <mergeCell ref="Y21:Y22"/>
    <mergeCell ref="F22:G22"/>
    <mergeCell ref="K22:L22"/>
    <mergeCell ref="M22:N22"/>
    <mergeCell ref="O22:P22"/>
    <mergeCell ref="Q22:R22"/>
    <mergeCell ref="S22:T22"/>
    <mergeCell ref="Q24:R24"/>
    <mergeCell ref="S24:T24"/>
    <mergeCell ref="S25:T25"/>
    <mergeCell ref="U25:V25"/>
    <mergeCell ref="M27:N27"/>
    <mergeCell ref="X25:X28"/>
    <mergeCell ref="F26:G26"/>
    <mergeCell ref="K26:L26"/>
    <mergeCell ref="M26:N26"/>
    <mergeCell ref="S17:T17"/>
    <mergeCell ref="U17:V17"/>
    <mergeCell ref="AB22:AC22"/>
    <mergeCell ref="F23:G23"/>
    <mergeCell ref="K23:L23"/>
    <mergeCell ref="M23:N23"/>
    <mergeCell ref="O23:P23"/>
    <mergeCell ref="Q23:R23"/>
    <mergeCell ref="S23:T23"/>
    <mergeCell ref="U23:V23"/>
    <mergeCell ref="S21:T21"/>
    <mergeCell ref="U21:V21"/>
    <mergeCell ref="S19:T19"/>
    <mergeCell ref="U19:V19"/>
    <mergeCell ref="U20:V20"/>
    <mergeCell ref="X17:X20"/>
    <mergeCell ref="S18:T18"/>
    <mergeCell ref="U18:V18"/>
    <mergeCell ref="U22:V22"/>
    <mergeCell ref="S20:T20"/>
    <mergeCell ref="D21:D24"/>
    <mergeCell ref="F21:G21"/>
    <mergeCell ref="K21:L21"/>
    <mergeCell ref="M21:N21"/>
    <mergeCell ref="O21:P21"/>
    <mergeCell ref="Q21:R21"/>
    <mergeCell ref="M19:N19"/>
    <mergeCell ref="O19:P19"/>
    <mergeCell ref="Q19:R19"/>
    <mergeCell ref="F20:G20"/>
    <mergeCell ref="F19:G19"/>
    <mergeCell ref="K19:L19"/>
    <mergeCell ref="Q20:R20"/>
    <mergeCell ref="D17:D20"/>
    <mergeCell ref="F17:G17"/>
    <mergeCell ref="K17:L17"/>
    <mergeCell ref="M17:N17"/>
    <mergeCell ref="O17:P17"/>
    <mergeCell ref="Q17:R17"/>
    <mergeCell ref="F18:G18"/>
    <mergeCell ref="K18:L18"/>
    <mergeCell ref="M18:N18"/>
    <mergeCell ref="O18:P18"/>
    <mergeCell ref="Q18:R18"/>
    <mergeCell ref="AC14:AE14"/>
    <mergeCell ref="F16:G16"/>
    <mergeCell ref="K16:L16"/>
    <mergeCell ref="M16:N16"/>
    <mergeCell ref="O16:P16"/>
    <mergeCell ref="Q16:R16"/>
    <mergeCell ref="X13:X16"/>
    <mergeCell ref="F14:G14"/>
    <mergeCell ref="K14:L14"/>
    <mergeCell ref="M14:N14"/>
    <mergeCell ref="Q13:R13"/>
    <mergeCell ref="S13:T13"/>
    <mergeCell ref="U13:V13"/>
    <mergeCell ref="M15:N15"/>
    <mergeCell ref="O15:P15"/>
    <mergeCell ref="Q15:R15"/>
    <mergeCell ref="S15:T15"/>
    <mergeCell ref="U15:V15"/>
    <mergeCell ref="D13:D16"/>
    <mergeCell ref="F13:G13"/>
    <mergeCell ref="K13:L13"/>
    <mergeCell ref="M13:N13"/>
    <mergeCell ref="O13:P13"/>
    <mergeCell ref="S14:T14"/>
    <mergeCell ref="U14:V14"/>
    <mergeCell ref="F15:G15"/>
    <mergeCell ref="K15:L15"/>
    <mergeCell ref="S16:T16"/>
    <mergeCell ref="U16:V16"/>
    <mergeCell ref="O12:P12"/>
    <mergeCell ref="Q12:R12"/>
    <mergeCell ref="S12:T12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K11:L11"/>
    <mergeCell ref="M11:N11"/>
    <mergeCell ref="O11:P11"/>
    <mergeCell ref="Q11:R11"/>
    <mergeCell ref="S11:T11"/>
    <mergeCell ref="U11:V11"/>
    <mergeCell ref="O14:P14"/>
    <mergeCell ref="Q14:R14"/>
    <mergeCell ref="K20:L20"/>
    <mergeCell ref="M20:N20"/>
    <mergeCell ref="O20:P20"/>
    <mergeCell ref="AB8:AE8"/>
    <mergeCell ref="B9:C41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Z7:Z8"/>
    <mergeCell ref="F8:G8"/>
    <mergeCell ref="K8:L8"/>
    <mergeCell ref="M8:N8"/>
    <mergeCell ref="O8:P8"/>
    <mergeCell ref="Q8:R8"/>
    <mergeCell ref="S8:T8"/>
    <mergeCell ref="U8:V8"/>
    <mergeCell ref="U12:V12"/>
    <mergeCell ref="F12:G12"/>
    <mergeCell ref="K12:L12"/>
    <mergeCell ref="M12:N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B2:AB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1" type="noConversion"/>
  <conditionalFormatting sqref="AB42:AC42 AD59 AB62:AC62 AB65:AC65 AB67:AC67">
    <cfRule type="containsText" dxfId="0" priority="1" operator="containsText" text="FALSE">
      <formula>NOT(ISERROR(SEARCH("FALSE",AB42)))</formula>
    </cfRule>
  </conditionalFormatting>
  <dataValidations disablePrompts="1" count="1">
    <dataValidation type="list" allowBlank="1" showInputMessage="1" showErrorMessage="1" sqref="D57" xr:uid="{9540D16C-ECA9-49BF-A6E0-12AE3A539528}"/>
  </dataValidations>
  <printOptions horizontalCentered="1" verticalCentered="1"/>
  <pageMargins left="0.25" right="0.25" top="0.75" bottom="0.75" header="0.3" footer="0.3"/>
  <pageSetup paperSize="12" scale="50" orientation="portrait" cellComments="asDisplayed" r:id="rId1"/>
  <rowBreaks count="1" manualBreakCount="1">
    <brk id="58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684B-749A-473D-89BE-D8E9F7B95DBF}">
  <sheetPr>
    <tabColor theme="8" tint="0.59999389629810485"/>
    <pageSetUpPr fitToPage="1"/>
  </sheetPr>
  <dimension ref="B2:AE50"/>
  <sheetViews>
    <sheetView showGridLines="0" view="pageBreakPreview" zoomScale="70" zoomScaleNormal="85" zoomScaleSheetLayoutView="70" workbookViewId="0">
      <selection activeCell="R9" sqref="R9"/>
    </sheetView>
  </sheetViews>
  <sheetFormatPr defaultRowHeight="17.399999999999999"/>
  <cols>
    <col min="1" max="1" width="3" style="90" customWidth="1"/>
    <col min="2" max="2" width="11.69921875" style="90" customWidth="1"/>
    <col min="3" max="3" width="5.59765625" style="90" customWidth="1"/>
    <col min="4" max="4" width="18.8984375" style="90" bestFit="1" customWidth="1"/>
    <col min="5" max="5" width="19" style="91" bestFit="1" customWidth="1"/>
    <col min="6" max="16" width="7.69921875" style="90" bestFit="1" customWidth="1"/>
    <col min="17" max="17" width="8.59765625" style="90" bestFit="1" customWidth="1"/>
    <col min="18" max="19" width="7.69921875" style="90" customWidth="1"/>
    <col min="20" max="16384" width="8.796875" style="90"/>
  </cols>
  <sheetData>
    <row r="2" spans="2:31" ht="39.75" customHeight="1" thickBot="1">
      <c r="B2" s="425" t="s">
        <v>219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</row>
    <row r="3" spans="2:31" ht="27" customHeight="1" thickBot="1">
      <c r="B3" s="167"/>
      <c r="C3" s="167"/>
      <c r="D3" s="167"/>
      <c r="E3" s="168"/>
      <c r="F3" s="167"/>
      <c r="G3" s="167"/>
      <c r="H3" s="167"/>
      <c r="I3" s="167"/>
      <c r="J3" s="167"/>
      <c r="K3" s="167"/>
      <c r="L3" s="426" t="s">
        <v>218</v>
      </c>
      <c r="M3" s="427"/>
      <c r="N3" s="428"/>
      <c r="O3" s="426" t="s">
        <v>119</v>
      </c>
      <c r="P3" s="427"/>
      <c r="Q3" s="428"/>
      <c r="R3" s="426" t="s">
        <v>132</v>
      </c>
      <c r="S3" s="429"/>
    </row>
    <row r="4" spans="2:31" ht="27" customHeight="1" thickBot="1">
      <c r="B4" s="167"/>
      <c r="C4" s="167"/>
      <c r="D4" s="167"/>
      <c r="E4" s="168"/>
      <c r="F4" s="167"/>
      <c r="G4" s="167"/>
      <c r="H4" s="167"/>
      <c r="I4" s="167"/>
      <c r="J4" s="167"/>
      <c r="K4" s="167"/>
      <c r="L4" s="430" t="s">
        <v>112</v>
      </c>
      <c r="M4" s="431"/>
      <c r="N4" s="432"/>
      <c r="O4" s="433" t="s">
        <v>222</v>
      </c>
      <c r="P4" s="434"/>
      <c r="Q4" s="435"/>
      <c r="R4" s="433">
        <v>2027</v>
      </c>
      <c r="S4" s="436"/>
    </row>
    <row r="5" spans="2:31" ht="24" customHeight="1" thickBot="1">
      <c r="B5" s="437"/>
      <c r="C5" s="437"/>
    </row>
    <row r="6" spans="2:31" ht="20.25" customHeight="1">
      <c r="B6" s="438" t="s">
        <v>217</v>
      </c>
      <c r="C6" s="441" t="s">
        <v>216</v>
      </c>
      <c r="D6" s="444" t="s">
        <v>215</v>
      </c>
      <c r="E6" s="444" t="s">
        <v>214</v>
      </c>
      <c r="F6" s="467" t="s">
        <v>99</v>
      </c>
      <c r="G6" s="467"/>
      <c r="H6" s="467"/>
      <c r="I6" s="467"/>
      <c r="J6" s="467" t="s">
        <v>98</v>
      </c>
      <c r="K6" s="467"/>
      <c r="L6" s="467"/>
      <c r="M6" s="467"/>
      <c r="N6" s="467" t="s">
        <v>97</v>
      </c>
      <c r="O6" s="467"/>
      <c r="P6" s="467"/>
      <c r="Q6" s="467"/>
      <c r="R6" s="458" t="s">
        <v>213</v>
      </c>
      <c r="S6" s="461" t="s">
        <v>212</v>
      </c>
      <c r="U6" s="464" t="s">
        <v>211</v>
      </c>
      <c r="V6" s="465"/>
      <c r="W6" s="465"/>
      <c r="X6" s="465"/>
      <c r="Y6" s="465"/>
      <c r="Z6" s="465"/>
      <c r="AA6" s="465"/>
      <c r="AB6" s="465"/>
      <c r="AC6" s="465"/>
      <c r="AD6" s="466"/>
      <c r="AE6" s="159"/>
    </row>
    <row r="7" spans="2:31" ht="16.5" customHeight="1">
      <c r="B7" s="439"/>
      <c r="C7" s="442"/>
      <c r="D7" s="445"/>
      <c r="E7" s="445"/>
      <c r="F7" s="468" t="s">
        <v>210</v>
      </c>
      <c r="G7" s="468"/>
      <c r="H7" s="468" t="s">
        <v>91</v>
      </c>
      <c r="I7" s="468"/>
      <c r="J7" s="468" t="s">
        <v>210</v>
      </c>
      <c r="K7" s="468"/>
      <c r="L7" s="468" t="s">
        <v>91</v>
      </c>
      <c r="M7" s="468"/>
      <c r="N7" s="468" t="s">
        <v>210</v>
      </c>
      <c r="O7" s="468"/>
      <c r="P7" s="468" t="s">
        <v>91</v>
      </c>
      <c r="Q7" s="468"/>
      <c r="R7" s="459"/>
      <c r="S7" s="462"/>
      <c r="U7" s="447" t="s">
        <v>209</v>
      </c>
      <c r="V7" s="448"/>
      <c r="W7" s="448"/>
      <c r="X7" s="448"/>
      <c r="Y7" s="448"/>
      <c r="Z7" s="448"/>
      <c r="AA7" s="448"/>
      <c r="AB7" s="448"/>
      <c r="AC7" s="448"/>
      <c r="AD7" s="449"/>
      <c r="AE7" s="159"/>
    </row>
    <row r="8" spans="2:31" ht="17.25" customHeight="1" thickBot="1">
      <c r="B8" s="440"/>
      <c r="C8" s="443"/>
      <c r="D8" s="446"/>
      <c r="E8" s="446"/>
      <c r="F8" s="166" t="s">
        <v>208</v>
      </c>
      <c r="G8" s="166" t="s">
        <v>207</v>
      </c>
      <c r="H8" s="166" t="s">
        <v>208</v>
      </c>
      <c r="I8" s="166" t="s">
        <v>207</v>
      </c>
      <c r="J8" s="166" t="s">
        <v>208</v>
      </c>
      <c r="K8" s="166" t="s">
        <v>207</v>
      </c>
      <c r="L8" s="166" t="s">
        <v>208</v>
      </c>
      <c r="M8" s="166" t="s">
        <v>207</v>
      </c>
      <c r="N8" s="166" t="s">
        <v>208</v>
      </c>
      <c r="O8" s="166" t="s">
        <v>207</v>
      </c>
      <c r="P8" s="166" t="s">
        <v>208</v>
      </c>
      <c r="Q8" s="166" t="s">
        <v>207</v>
      </c>
      <c r="R8" s="460"/>
      <c r="S8" s="463"/>
      <c r="U8" s="165"/>
      <c r="V8" s="164"/>
      <c r="W8" s="164"/>
      <c r="X8" s="164"/>
      <c r="Y8" s="164"/>
      <c r="Z8" s="164"/>
      <c r="AA8" s="164"/>
      <c r="AB8" s="164"/>
      <c r="AC8" s="164"/>
      <c r="AD8" s="163"/>
      <c r="AE8" s="159"/>
    </row>
    <row r="9" spans="2:31" ht="16.5" customHeight="1">
      <c r="B9" s="450" t="s">
        <v>18</v>
      </c>
      <c r="C9" s="453">
        <v>16</v>
      </c>
      <c r="D9" s="162" t="s">
        <v>206</v>
      </c>
      <c r="E9" s="130" t="s">
        <v>205</v>
      </c>
      <c r="F9" s="147"/>
      <c r="G9" s="146">
        <f>F9*16</f>
        <v>0</v>
      </c>
      <c r="H9" s="146"/>
      <c r="I9" s="146">
        <f>H9*16</f>
        <v>0</v>
      </c>
      <c r="J9" s="146"/>
      <c r="K9" s="146"/>
      <c r="L9" s="146">
        <v>3</v>
      </c>
      <c r="M9" s="146">
        <f>L9*16</f>
        <v>48</v>
      </c>
      <c r="N9" s="146"/>
      <c r="O9" s="146"/>
      <c r="P9" s="146"/>
      <c r="Q9" s="146"/>
      <c r="R9" s="145">
        <f t="shared" ref="R9:S15" si="0">SUM(F9,H9,J9,L9,N9,P9)</f>
        <v>3</v>
      </c>
      <c r="S9" s="144">
        <f t="shared" si="0"/>
        <v>48</v>
      </c>
      <c r="U9" s="161"/>
      <c r="V9" s="159"/>
      <c r="W9" s="159"/>
      <c r="X9" s="159"/>
      <c r="Y9" s="159"/>
      <c r="Z9" s="159"/>
      <c r="AA9" s="159"/>
      <c r="AB9" s="159"/>
      <c r="AC9" s="159"/>
      <c r="AD9" s="160"/>
      <c r="AE9" s="159"/>
    </row>
    <row r="10" spans="2:31" ht="16.5" customHeight="1">
      <c r="B10" s="451"/>
      <c r="C10" s="454"/>
      <c r="D10" s="143" t="s">
        <v>204</v>
      </c>
      <c r="E10" s="137" t="s">
        <v>203</v>
      </c>
      <c r="F10" s="142"/>
      <c r="G10" s="141">
        <f>F10*16</f>
        <v>0</v>
      </c>
      <c r="H10" s="141"/>
      <c r="I10" s="141">
        <f>H10*16</f>
        <v>0</v>
      </c>
      <c r="J10" s="141">
        <v>3</v>
      </c>
      <c r="K10" s="141">
        <f>J10*16</f>
        <v>48</v>
      </c>
      <c r="L10" s="141"/>
      <c r="M10" s="141"/>
      <c r="N10" s="141"/>
      <c r="O10" s="141"/>
      <c r="P10" s="141"/>
      <c r="Q10" s="141"/>
      <c r="R10" s="140">
        <f t="shared" si="0"/>
        <v>3</v>
      </c>
      <c r="S10" s="139">
        <f t="shared" si="0"/>
        <v>48</v>
      </c>
      <c r="U10" s="161"/>
      <c r="V10" s="159"/>
      <c r="W10" s="159"/>
      <c r="X10" s="159"/>
      <c r="Y10" s="159"/>
      <c r="Z10" s="159"/>
      <c r="AA10" s="159"/>
      <c r="AB10" s="159"/>
      <c r="AC10" s="159"/>
      <c r="AD10" s="160"/>
      <c r="AE10" s="159"/>
    </row>
    <row r="11" spans="2:31">
      <c r="B11" s="451"/>
      <c r="C11" s="454"/>
      <c r="D11" s="138" t="s">
        <v>202</v>
      </c>
      <c r="E11" s="137" t="s">
        <v>201</v>
      </c>
      <c r="F11" s="136"/>
      <c r="G11" s="135"/>
      <c r="H11" s="135"/>
      <c r="I11" s="135"/>
      <c r="J11" s="135">
        <v>3</v>
      </c>
      <c r="K11" s="135">
        <f>J11*16</f>
        <v>48</v>
      </c>
      <c r="L11" s="135"/>
      <c r="M11" s="135"/>
      <c r="N11" s="135"/>
      <c r="O11" s="135"/>
      <c r="P11" s="135"/>
      <c r="Q11" s="135"/>
      <c r="R11" s="134">
        <f t="shared" si="0"/>
        <v>3</v>
      </c>
      <c r="S11" s="133">
        <f t="shared" si="0"/>
        <v>48</v>
      </c>
    </row>
    <row r="12" spans="2:31">
      <c r="B12" s="451"/>
      <c r="C12" s="454"/>
      <c r="D12" s="138" t="s">
        <v>200</v>
      </c>
      <c r="E12" s="137" t="s">
        <v>199</v>
      </c>
      <c r="F12" s="136"/>
      <c r="G12" s="135"/>
      <c r="H12" s="135"/>
      <c r="I12" s="135"/>
      <c r="J12" s="135">
        <v>1</v>
      </c>
      <c r="K12" s="135">
        <f>J12*16</f>
        <v>16</v>
      </c>
      <c r="L12" s="135"/>
      <c r="M12" s="135"/>
      <c r="N12" s="135"/>
      <c r="O12" s="135"/>
      <c r="P12" s="135"/>
      <c r="Q12" s="135"/>
      <c r="R12" s="134">
        <f t="shared" si="0"/>
        <v>1</v>
      </c>
      <c r="S12" s="133">
        <f t="shared" si="0"/>
        <v>16</v>
      </c>
    </row>
    <row r="13" spans="2:31">
      <c r="B13" s="451"/>
      <c r="C13" s="454"/>
      <c r="D13" s="158" t="s">
        <v>198</v>
      </c>
      <c r="E13" s="137" t="s">
        <v>197</v>
      </c>
      <c r="F13" s="141"/>
      <c r="G13" s="141"/>
      <c r="H13" s="141"/>
      <c r="I13" s="141"/>
      <c r="J13" s="141"/>
      <c r="K13" s="141"/>
      <c r="L13" s="141">
        <v>3</v>
      </c>
      <c r="M13" s="141">
        <f>L13*16</f>
        <v>48</v>
      </c>
      <c r="N13" s="141"/>
      <c r="O13" s="141"/>
      <c r="P13" s="141"/>
      <c r="Q13" s="141"/>
      <c r="R13" s="140">
        <f t="shared" si="0"/>
        <v>3</v>
      </c>
      <c r="S13" s="139">
        <f t="shared" si="0"/>
        <v>48</v>
      </c>
    </row>
    <row r="14" spans="2:31">
      <c r="B14" s="451"/>
      <c r="C14" s="454"/>
      <c r="D14" s="158" t="s">
        <v>196</v>
      </c>
      <c r="E14" s="137" t="s">
        <v>195</v>
      </c>
      <c r="F14" s="141"/>
      <c r="G14" s="141"/>
      <c r="H14" s="141"/>
      <c r="I14" s="141"/>
      <c r="J14" s="141">
        <v>2</v>
      </c>
      <c r="K14" s="141">
        <f>J14*16</f>
        <v>32</v>
      </c>
      <c r="L14" s="141"/>
      <c r="M14" s="141"/>
      <c r="N14" s="141"/>
      <c r="O14" s="141"/>
      <c r="P14" s="141"/>
      <c r="Q14" s="141"/>
      <c r="R14" s="140">
        <f t="shared" si="0"/>
        <v>2</v>
      </c>
      <c r="S14" s="153">
        <f t="shared" si="0"/>
        <v>32</v>
      </c>
      <c r="T14" s="151"/>
    </row>
    <row r="15" spans="2:31">
      <c r="B15" s="451"/>
      <c r="C15" s="454"/>
      <c r="D15" s="157" t="s">
        <v>194</v>
      </c>
      <c r="E15" s="137" t="s">
        <v>193</v>
      </c>
      <c r="F15" s="156"/>
      <c r="G15" s="155"/>
      <c r="H15" s="155"/>
      <c r="I15" s="155"/>
      <c r="J15" s="155">
        <v>1</v>
      </c>
      <c r="K15" s="155">
        <f>J15*16</f>
        <v>16</v>
      </c>
      <c r="L15" s="155"/>
      <c r="M15" s="155"/>
      <c r="N15" s="155"/>
      <c r="O15" s="155"/>
      <c r="P15" s="155"/>
      <c r="Q15" s="155"/>
      <c r="R15" s="154">
        <f t="shared" si="0"/>
        <v>1</v>
      </c>
      <c r="S15" s="153">
        <f t="shared" si="0"/>
        <v>16</v>
      </c>
      <c r="T15" s="151"/>
    </row>
    <row r="16" spans="2:31" ht="18" thickBot="1">
      <c r="B16" s="452"/>
      <c r="C16" s="455"/>
      <c r="D16" s="456" t="s">
        <v>133</v>
      </c>
      <c r="E16" s="457"/>
      <c r="F16" s="126">
        <f>SUM(F11:F12)</f>
        <v>0</v>
      </c>
      <c r="G16" s="126">
        <f>SUM(G11:G12)</f>
        <v>0</v>
      </c>
      <c r="H16" s="126">
        <f>SUM(H11:H12)</f>
        <v>0</v>
      </c>
      <c r="I16" s="126">
        <f>SUM(I11:I12)</f>
        <v>0</v>
      </c>
      <c r="J16" s="126">
        <f>SUM(J9:J15)</f>
        <v>10</v>
      </c>
      <c r="K16" s="126">
        <f>SUM(K9:K15)</f>
        <v>160</v>
      </c>
      <c r="L16" s="126">
        <f>SUM(L9:L15)</f>
        <v>6</v>
      </c>
      <c r="M16" s="126">
        <f>SUM(M9:M15)</f>
        <v>96</v>
      </c>
      <c r="N16" s="126">
        <f>SUM(N9:N12)</f>
        <v>0</v>
      </c>
      <c r="O16" s="126">
        <f>SUM(O9:O12)</f>
        <v>0</v>
      </c>
      <c r="P16" s="126">
        <f>SUM(P9:P12)</f>
        <v>0</v>
      </c>
      <c r="Q16" s="126">
        <f>SUM(Q9:Q12)</f>
        <v>0</v>
      </c>
      <c r="R16" s="132">
        <f>SUM(R9:R15)</f>
        <v>16</v>
      </c>
      <c r="S16" s="152">
        <f>SUM(S9:S15)</f>
        <v>256</v>
      </c>
      <c r="T16" s="151"/>
    </row>
    <row r="17" spans="2:21" ht="17.399999999999999" customHeight="1">
      <c r="B17" s="416" t="s">
        <v>16</v>
      </c>
      <c r="C17" s="420">
        <v>4</v>
      </c>
      <c r="D17" s="116" t="s">
        <v>192</v>
      </c>
      <c r="E17" s="116" t="s">
        <v>191</v>
      </c>
      <c r="F17" s="107"/>
      <c r="G17" s="107"/>
      <c r="H17" s="107"/>
      <c r="I17" s="107"/>
      <c r="J17" s="107"/>
      <c r="K17" s="107"/>
      <c r="L17" s="107">
        <v>2</v>
      </c>
      <c r="M17" s="107">
        <f>L17*16</f>
        <v>32</v>
      </c>
      <c r="N17" s="107"/>
      <c r="O17" s="107"/>
      <c r="P17" s="107"/>
      <c r="Q17" s="107"/>
      <c r="R17" s="106">
        <f t="shared" ref="R17:S19" si="1">SUM(F17,H17,J17,L17,N17,P17)</f>
        <v>2</v>
      </c>
      <c r="S17" s="105">
        <f t="shared" si="1"/>
        <v>32</v>
      </c>
    </row>
    <row r="18" spans="2:21">
      <c r="B18" s="417"/>
      <c r="C18" s="421"/>
      <c r="D18" s="131" t="s">
        <v>190</v>
      </c>
      <c r="E18" s="131" t="s">
        <v>189</v>
      </c>
      <c r="F18" s="102"/>
      <c r="G18" s="102"/>
      <c r="H18" s="102"/>
      <c r="I18" s="102"/>
      <c r="J18" s="102"/>
      <c r="K18" s="102"/>
      <c r="L18" s="102">
        <v>1</v>
      </c>
      <c r="M18" s="102">
        <f>L18*16</f>
        <v>16</v>
      </c>
      <c r="N18" s="102"/>
      <c r="O18" s="102"/>
      <c r="P18" s="102"/>
      <c r="Q18" s="97"/>
      <c r="R18" s="101">
        <f t="shared" si="1"/>
        <v>1</v>
      </c>
      <c r="S18" s="100">
        <f t="shared" si="1"/>
        <v>16</v>
      </c>
    </row>
    <row r="19" spans="2:21">
      <c r="B19" s="418"/>
      <c r="C19" s="422"/>
      <c r="D19" s="150" t="s">
        <v>188</v>
      </c>
      <c r="E19" s="150" t="s">
        <v>187</v>
      </c>
      <c r="F19" s="125"/>
      <c r="G19" s="125"/>
      <c r="H19" s="125"/>
      <c r="I19" s="125"/>
      <c r="J19" s="125"/>
      <c r="K19" s="125"/>
      <c r="L19" s="125">
        <v>1</v>
      </c>
      <c r="M19" s="125">
        <f>L19*16</f>
        <v>16</v>
      </c>
      <c r="N19" s="125"/>
      <c r="O19" s="125"/>
      <c r="P19" s="125"/>
      <c r="Q19" s="112"/>
      <c r="R19" s="124">
        <f t="shared" si="1"/>
        <v>1</v>
      </c>
      <c r="S19" s="123">
        <f t="shared" si="1"/>
        <v>16</v>
      </c>
    </row>
    <row r="20" spans="2:21" ht="18" thickBot="1">
      <c r="B20" s="419"/>
      <c r="C20" s="423"/>
      <c r="D20" s="424" t="s">
        <v>133</v>
      </c>
      <c r="E20" s="424"/>
      <c r="F20" s="94"/>
      <c r="G20" s="94"/>
      <c r="H20" s="94"/>
      <c r="I20" s="94"/>
      <c r="J20" s="94"/>
      <c r="K20" s="94"/>
      <c r="L20" s="94">
        <f>SUM(L17:L19)</f>
        <v>4</v>
      </c>
      <c r="M20" s="94">
        <f>SUM(M17:M19)</f>
        <v>64</v>
      </c>
      <c r="N20" s="94"/>
      <c r="O20" s="94"/>
      <c r="P20" s="94"/>
      <c r="Q20" s="94"/>
      <c r="R20" s="93">
        <f>SUM(R17:R19)</f>
        <v>4</v>
      </c>
      <c r="S20" s="92">
        <f>SUM(S17:S19)</f>
        <v>64</v>
      </c>
      <c r="U20" s="149"/>
    </row>
    <row r="21" spans="2:21" ht="17.399999999999999" customHeight="1">
      <c r="B21" s="450" t="s">
        <v>186</v>
      </c>
      <c r="C21" s="469">
        <v>10</v>
      </c>
      <c r="D21" s="138" t="s">
        <v>185</v>
      </c>
      <c r="E21" s="148" t="s">
        <v>184</v>
      </c>
      <c r="F21" s="147"/>
      <c r="G21" s="146">
        <f>F21*16</f>
        <v>0</v>
      </c>
      <c r="H21" s="146"/>
      <c r="I21" s="146">
        <f>H21*16</f>
        <v>0</v>
      </c>
      <c r="J21" s="146">
        <v>2</v>
      </c>
      <c r="K21" s="146">
        <v>32</v>
      </c>
      <c r="L21" s="146"/>
      <c r="M21" s="146"/>
      <c r="N21" s="146"/>
      <c r="O21" s="146"/>
      <c r="P21" s="146"/>
      <c r="Q21" s="146"/>
      <c r="R21" s="145">
        <f t="shared" ref="R21:S24" si="2">SUM(F21,H21,J21,L21,N21,P21)</f>
        <v>2</v>
      </c>
      <c r="S21" s="144">
        <f t="shared" si="2"/>
        <v>32</v>
      </c>
    </row>
    <row r="22" spans="2:21">
      <c r="B22" s="451"/>
      <c r="C22" s="470"/>
      <c r="D22" s="143" t="s">
        <v>183</v>
      </c>
      <c r="E22" s="137" t="s">
        <v>182</v>
      </c>
      <c r="F22" s="142"/>
      <c r="G22" s="141">
        <f>F22*16</f>
        <v>0</v>
      </c>
      <c r="H22" s="141"/>
      <c r="I22" s="141">
        <f>H22*16</f>
        <v>0</v>
      </c>
      <c r="J22" s="141">
        <v>1</v>
      </c>
      <c r="K22" s="141">
        <v>16</v>
      </c>
      <c r="L22" s="141"/>
      <c r="M22" s="141"/>
      <c r="N22" s="141"/>
      <c r="O22" s="141"/>
      <c r="P22" s="141"/>
      <c r="Q22" s="141"/>
      <c r="R22" s="140">
        <f t="shared" si="2"/>
        <v>1</v>
      </c>
      <c r="S22" s="139">
        <f t="shared" si="2"/>
        <v>16</v>
      </c>
    </row>
    <row r="23" spans="2:21">
      <c r="B23" s="451"/>
      <c r="C23" s="470"/>
      <c r="D23" s="138" t="s">
        <v>181</v>
      </c>
      <c r="E23" s="137" t="s">
        <v>180</v>
      </c>
      <c r="F23" s="136"/>
      <c r="G23" s="135"/>
      <c r="H23" s="135"/>
      <c r="I23" s="135"/>
      <c r="J23" s="135">
        <v>4</v>
      </c>
      <c r="K23" s="135">
        <v>64</v>
      </c>
      <c r="L23" s="135"/>
      <c r="M23" s="135"/>
      <c r="N23" s="135"/>
      <c r="O23" s="135"/>
      <c r="P23" s="135"/>
      <c r="Q23" s="135"/>
      <c r="R23" s="134">
        <f t="shared" si="2"/>
        <v>4</v>
      </c>
      <c r="S23" s="133">
        <f t="shared" si="2"/>
        <v>64</v>
      </c>
    </row>
    <row r="24" spans="2:21">
      <c r="B24" s="451"/>
      <c r="C24" s="470"/>
      <c r="D24" s="138" t="s">
        <v>179</v>
      </c>
      <c r="E24" s="137" t="s">
        <v>178</v>
      </c>
      <c r="F24" s="136"/>
      <c r="G24" s="135"/>
      <c r="H24" s="135"/>
      <c r="I24" s="135"/>
      <c r="J24" s="135">
        <v>3</v>
      </c>
      <c r="K24" s="135">
        <v>48</v>
      </c>
      <c r="L24" s="135"/>
      <c r="M24" s="135"/>
      <c r="N24" s="135"/>
      <c r="O24" s="135"/>
      <c r="P24" s="135"/>
      <c r="Q24" s="135"/>
      <c r="R24" s="134">
        <f t="shared" si="2"/>
        <v>3</v>
      </c>
      <c r="S24" s="133">
        <f t="shared" si="2"/>
        <v>48</v>
      </c>
    </row>
    <row r="25" spans="2:21" ht="18" thickBot="1">
      <c r="B25" s="452"/>
      <c r="C25" s="471"/>
      <c r="D25" s="456" t="s">
        <v>133</v>
      </c>
      <c r="E25" s="457"/>
      <c r="F25" s="126">
        <f>SUM(F23:F24)</f>
        <v>0</v>
      </c>
      <c r="G25" s="126">
        <f>SUM(G23:G24)</f>
        <v>0</v>
      </c>
      <c r="H25" s="126">
        <f>SUM(H23:H24)</f>
        <v>0</v>
      </c>
      <c r="I25" s="126">
        <f>SUM(I23:I24)</f>
        <v>0</v>
      </c>
      <c r="J25" s="126">
        <f t="shared" ref="J25:S25" si="3">SUM(J21:J24)</f>
        <v>10</v>
      </c>
      <c r="K25" s="126">
        <f t="shared" si="3"/>
        <v>160</v>
      </c>
      <c r="L25" s="126">
        <f t="shared" si="3"/>
        <v>0</v>
      </c>
      <c r="M25" s="126">
        <f t="shared" si="3"/>
        <v>0</v>
      </c>
      <c r="N25" s="126">
        <f t="shared" si="3"/>
        <v>0</v>
      </c>
      <c r="O25" s="126">
        <f t="shared" si="3"/>
        <v>0</v>
      </c>
      <c r="P25" s="126">
        <f t="shared" si="3"/>
        <v>0</v>
      </c>
      <c r="Q25" s="126">
        <f t="shared" si="3"/>
        <v>0</v>
      </c>
      <c r="R25" s="132">
        <f t="shared" si="3"/>
        <v>10</v>
      </c>
      <c r="S25" s="132">
        <f t="shared" si="3"/>
        <v>160</v>
      </c>
    </row>
    <row r="26" spans="2:21" ht="17.399999999999999" customHeight="1">
      <c r="B26" s="416" t="s">
        <v>177</v>
      </c>
      <c r="C26" s="469">
        <v>10</v>
      </c>
      <c r="D26" s="116" t="s">
        <v>176</v>
      </c>
      <c r="E26" s="116" t="s">
        <v>175</v>
      </c>
      <c r="F26" s="107"/>
      <c r="G26" s="107"/>
      <c r="H26" s="107"/>
      <c r="I26" s="107"/>
      <c r="J26" s="107"/>
      <c r="K26" s="107"/>
      <c r="L26" s="107">
        <v>5</v>
      </c>
      <c r="M26" s="107">
        <v>80</v>
      </c>
      <c r="N26" s="107"/>
      <c r="O26" s="107"/>
      <c r="P26" s="107"/>
      <c r="Q26" s="107"/>
      <c r="R26" s="106">
        <f>SUM(F26,H26,J26,L26,N26,P26)</f>
        <v>5</v>
      </c>
      <c r="S26" s="105">
        <f>SUM(G26,I26,K26,M26,O26,Q26)</f>
        <v>80</v>
      </c>
    </row>
    <row r="27" spans="2:21">
      <c r="B27" s="472"/>
      <c r="C27" s="470"/>
      <c r="D27" s="131" t="s">
        <v>174</v>
      </c>
      <c r="E27" s="131" t="s">
        <v>173</v>
      </c>
      <c r="F27" s="102"/>
      <c r="G27" s="102"/>
      <c r="H27" s="102"/>
      <c r="I27" s="102"/>
      <c r="J27" s="102"/>
      <c r="K27" s="102"/>
      <c r="L27" s="102">
        <v>5</v>
      </c>
      <c r="M27" s="102">
        <v>80</v>
      </c>
      <c r="N27" s="102"/>
      <c r="O27" s="102"/>
      <c r="P27" s="102"/>
      <c r="Q27" s="97"/>
      <c r="R27" s="101">
        <f>SUM(F27,H27,J27,L27,N27,P27)</f>
        <v>5</v>
      </c>
      <c r="S27" s="100">
        <f>SUM(G27,I27,K27,M27,O27,Q27)</f>
        <v>80</v>
      </c>
    </row>
    <row r="28" spans="2:21" ht="18" thickBot="1">
      <c r="B28" s="419"/>
      <c r="C28" s="471"/>
      <c r="D28" s="473" t="s">
        <v>133</v>
      </c>
      <c r="E28" s="474"/>
      <c r="F28" s="94"/>
      <c r="G28" s="94"/>
      <c r="H28" s="94"/>
      <c r="I28" s="94"/>
      <c r="J28" s="94"/>
      <c r="K28" s="94"/>
      <c r="L28" s="94">
        <f>SUM(L26,L27)</f>
        <v>10</v>
      </c>
      <c r="M28" s="94">
        <f>SUM(M26,M27)</f>
        <v>160</v>
      </c>
      <c r="N28" s="94"/>
      <c r="O28" s="94"/>
      <c r="P28" s="94"/>
      <c r="Q28" s="94"/>
      <c r="R28" s="93">
        <f>SUM(R26:R27)</f>
        <v>10</v>
      </c>
      <c r="S28" s="92">
        <f>SUM(S26:S27)</f>
        <v>160</v>
      </c>
    </row>
    <row r="29" spans="2:21" ht="17.399999999999999" customHeight="1">
      <c r="B29" s="417" t="s">
        <v>220</v>
      </c>
      <c r="C29" s="421">
        <v>20</v>
      </c>
      <c r="D29" s="104" t="s">
        <v>253</v>
      </c>
      <c r="E29" s="130" t="s">
        <v>252</v>
      </c>
      <c r="F29" s="102"/>
      <c r="G29" s="102"/>
      <c r="H29" s="102"/>
      <c r="I29" s="102"/>
      <c r="J29" s="102"/>
      <c r="K29" s="102"/>
      <c r="L29" s="102"/>
      <c r="M29" s="102"/>
      <c r="N29" s="129">
        <v>4</v>
      </c>
      <c r="O29" s="129">
        <f>N29*16</f>
        <v>64</v>
      </c>
      <c r="P29" s="129"/>
      <c r="Q29" s="129"/>
      <c r="R29" s="101">
        <f t="shared" ref="R29:S33" si="4">SUM(F29,H29,J29,L29,N29,P29)</f>
        <v>4</v>
      </c>
      <c r="S29" s="100">
        <f t="shared" si="4"/>
        <v>64</v>
      </c>
    </row>
    <row r="30" spans="2:21">
      <c r="B30" s="417"/>
      <c r="C30" s="421"/>
      <c r="D30" s="104" t="s">
        <v>251</v>
      </c>
      <c r="E30" s="103" t="s">
        <v>250</v>
      </c>
      <c r="F30" s="102"/>
      <c r="G30" s="102"/>
      <c r="H30" s="102"/>
      <c r="I30" s="102"/>
      <c r="J30" s="102"/>
      <c r="K30" s="102"/>
      <c r="L30" s="102"/>
      <c r="M30" s="102"/>
      <c r="N30" s="129">
        <v>4</v>
      </c>
      <c r="O30" s="129">
        <f>N30*16</f>
        <v>64</v>
      </c>
      <c r="P30" s="129"/>
      <c r="Q30" s="129"/>
      <c r="R30" s="101">
        <f t="shared" si="4"/>
        <v>4</v>
      </c>
      <c r="S30" s="100">
        <f t="shared" si="4"/>
        <v>64</v>
      </c>
    </row>
    <row r="31" spans="2:21">
      <c r="B31" s="475"/>
      <c r="C31" s="476"/>
      <c r="D31" s="114" t="s">
        <v>249</v>
      </c>
      <c r="E31" s="115" t="s">
        <v>248</v>
      </c>
      <c r="F31" s="102"/>
      <c r="G31" s="102"/>
      <c r="H31" s="102"/>
      <c r="I31" s="102"/>
      <c r="J31" s="102"/>
      <c r="K31" s="102"/>
      <c r="L31" s="102"/>
      <c r="M31" s="102"/>
      <c r="N31" s="129"/>
      <c r="O31" s="129"/>
      <c r="P31" s="129">
        <v>4</v>
      </c>
      <c r="Q31" s="129">
        <f>P31*16</f>
        <v>64</v>
      </c>
      <c r="R31" s="101">
        <f t="shared" si="4"/>
        <v>4</v>
      </c>
      <c r="S31" s="100">
        <f t="shared" si="4"/>
        <v>64</v>
      </c>
    </row>
    <row r="32" spans="2:21">
      <c r="B32" s="475"/>
      <c r="C32" s="476"/>
      <c r="D32" s="114" t="s">
        <v>247</v>
      </c>
      <c r="E32" s="103" t="s">
        <v>246</v>
      </c>
      <c r="F32" s="97"/>
      <c r="G32" s="97"/>
      <c r="H32" s="97"/>
      <c r="I32" s="97"/>
      <c r="J32" s="97"/>
      <c r="K32" s="97"/>
      <c r="L32" s="97"/>
      <c r="M32" s="97"/>
      <c r="N32" s="128"/>
      <c r="O32" s="128"/>
      <c r="P32" s="128">
        <v>4</v>
      </c>
      <c r="Q32" s="128">
        <f>P32*16</f>
        <v>64</v>
      </c>
      <c r="R32" s="96">
        <f t="shared" si="4"/>
        <v>4</v>
      </c>
      <c r="S32" s="95">
        <f t="shared" si="4"/>
        <v>64</v>
      </c>
    </row>
    <row r="33" spans="2:20">
      <c r="B33" s="475"/>
      <c r="C33" s="476"/>
      <c r="D33" s="114" t="s">
        <v>245</v>
      </c>
      <c r="E33" s="122" t="s">
        <v>244</v>
      </c>
      <c r="F33" s="112"/>
      <c r="G33" s="112"/>
      <c r="H33" s="112"/>
      <c r="I33" s="112"/>
      <c r="J33" s="112"/>
      <c r="K33" s="112"/>
      <c r="L33" s="112"/>
      <c r="M33" s="112"/>
      <c r="N33" s="127"/>
      <c r="O33" s="127"/>
      <c r="P33" s="127">
        <v>4</v>
      </c>
      <c r="Q33" s="127">
        <f>P33*16</f>
        <v>64</v>
      </c>
      <c r="R33" s="111">
        <f t="shared" si="4"/>
        <v>4</v>
      </c>
      <c r="S33" s="110">
        <f t="shared" si="4"/>
        <v>64</v>
      </c>
    </row>
    <row r="34" spans="2:20" ht="18" thickBot="1">
      <c r="B34" s="419"/>
      <c r="C34" s="423"/>
      <c r="D34" s="474" t="s">
        <v>133</v>
      </c>
      <c r="E34" s="424"/>
      <c r="F34" s="126"/>
      <c r="G34" s="126"/>
      <c r="H34" s="126"/>
      <c r="I34" s="126"/>
      <c r="J34" s="126"/>
      <c r="K34" s="126"/>
      <c r="L34" s="126"/>
      <c r="M34" s="126"/>
      <c r="N34" s="126">
        <f t="shared" ref="N34:S34" si="5">SUM(N29:N33)</f>
        <v>8</v>
      </c>
      <c r="O34" s="126">
        <f t="shared" si="5"/>
        <v>128</v>
      </c>
      <c r="P34" s="126">
        <f t="shared" si="5"/>
        <v>12</v>
      </c>
      <c r="Q34" s="126">
        <f t="shared" si="5"/>
        <v>192</v>
      </c>
      <c r="R34" s="93">
        <f t="shared" si="5"/>
        <v>20</v>
      </c>
      <c r="S34" s="92">
        <f t="shared" si="5"/>
        <v>320</v>
      </c>
    </row>
    <row r="35" spans="2:20" ht="17.399999999999999" customHeight="1">
      <c r="B35" s="416" t="s">
        <v>152</v>
      </c>
      <c r="C35" s="420">
        <v>16</v>
      </c>
      <c r="D35" s="109" t="s">
        <v>151</v>
      </c>
      <c r="E35" s="116" t="s">
        <v>150</v>
      </c>
      <c r="F35" s="107"/>
      <c r="G35" s="107"/>
      <c r="H35" s="107"/>
      <c r="I35" s="107"/>
      <c r="J35" s="107"/>
      <c r="K35" s="107"/>
      <c r="L35" s="107"/>
      <c r="M35" s="107"/>
      <c r="N35" s="107">
        <v>4</v>
      </c>
      <c r="O35" s="107">
        <f>N35*16</f>
        <v>64</v>
      </c>
      <c r="P35" s="107"/>
      <c r="Q35" s="107"/>
      <c r="R35" s="106">
        <f t="shared" ref="R35:S38" si="6">SUM(F35,H35,J35,L35,N35,P35)</f>
        <v>4</v>
      </c>
      <c r="S35" s="105">
        <f t="shared" si="6"/>
        <v>64</v>
      </c>
    </row>
    <row r="36" spans="2:20">
      <c r="B36" s="472"/>
      <c r="C36" s="477"/>
      <c r="D36" s="104" t="s">
        <v>149</v>
      </c>
      <c r="E36" s="115" t="s">
        <v>148</v>
      </c>
      <c r="F36" s="102"/>
      <c r="G36" s="102"/>
      <c r="H36" s="102"/>
      <c r="I36" s="102"/>
      <c r="J36" s="102"/>
      <c r="K36" s="102"/>
      <c r="L36" s="102"/>
      <c r="M36" s="102"/>
      <c r="N36" s="102">
        <v>4</v>
      </c>
      <c r="O36" s="102">
        <f>N36*16</f>
        <v>64</v>
      </c>
      <c r="P36" s="102"/>
      <c r="Q36" s="102"/>
      <c r="R36" s="101">
        <f t="shared" si="6"/>
        <v>4</v>
      </c>
      <c r="S36" s="100">
        <f t="shared" si="6"/>
        <v>64</v>
      </c>
    </row>
    <row r="37" spans="2:20">
      <c r="B37" s="472"/>
      <c r="C37" s="477"/>
      <c r="D37" s="99" t="s">
        <v>147</v>
      </c>
      <c r="E37" s="98" t="s">
        <v>146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>
        <v>4</v>
      </c>
      <c r="Q37" s="97">
        <f>P37*16</f>
        <v>64</v>
      </c>
      <c r="R37" s="96">
        <f t="shared" si="6"/>
        <v>4</v>
      </c>
      <c r="S37" s="95">
        <f t="shared" si="6"/>
        <v>64</v>
      </c>
      <c r="T37" s="117"/>
    </row>
    <row r="38" spans="2:20">
      <c r="B38" s="472"/>
      <c r="C38" s="477"/>
      <c r="D38" s="99" t="s">
        <v>145</v>
      </c>
      <c r="E38" s="98" t="s">
        <v>143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>
        <v>4</v>
      </c>
      <c r="Q38" s="97">
        <f>P38*16</f>
        <v>64</v>
      </c>
      <c r="R38" s="96">
        <f t="shared" si="6"/>
        <v>4</v>
      </c>
      <c r="S38" s="95">
        <f t="shared" si="6"/>
        <v>64</v>
      </c>
    </row>
    <row r="39" spans="2:20" ht="18" thickBot="1">
      <c r="B39" s="419"/>
      <c r="C39" s="423"/>
      <c r="D39" s="474" t="s">
        <v>133</v>
      </c>
      <c r="E39" s="424"/>
      <c r="F39" s="94"/>
      <c r="G39" s="94"/>
      <c r="H39" s="94"/>
      <c r="I39" s="94"/>
      <c r="J39" s="94"/>
      <c r="K39" s="94"/>
      <c r="L39" s="94">
        <f>L35+L36+L37+L38</f>
        <v>0</v>
      </c>
      <c r="M39" s="94">
        <f>M35+M36+M37+M38</f>
        <v>0</v>
      </c>
      <c r="N39" s="94">
        <f t="shared" ref="N39:S39" si="7">SUM(N35:N38)</f>
        <v>8</v>
      </c>
      <c r="O39" s="94">
        <f t="shared" si="7"/>
        <v>128</v>
      </c>
      <c r="P39" s="94">
        <f t="shared" si="7"/>
        <v>8</v>
      </c>
      <c r="Q39" s="94">
        <f t="shared" si="7"/>
        <v>128</v>
      </c>
      <c r="R39" s="93">
        <f t="shared" si="7"/>
        <v>16</v>
      </c>
      <c r="S39" s="92">
        <f t="shared" si="7"/>
        <v>256</v>
      </c>
    </row>
    <row r="40" spans="2:20">
      <c r="B40" s="416" t="s">
        <v>243</v>
      </c>
      <c r="C40" s="420">
        <v>20</v>
      </c>
      <c r="D40" s="109" t="s">
        <v>242</v>
      </c>
      <c r="E40" s="116" t="s">
        <v>241</v>
      </c>
      <c r="F40" s="107"/>
      <c r="G40" s="107"/>
      <c r="H40" s="107"/>
      <c r="I40" s="107"/>
      <c r="J40" s="107"/>
      <c r="K40" s="107"/>
      <c r="L40" s="107"/>
      <c r="M40" s="107"/>
      <c r="N40" s="107">
        <v>4</v>
      </c>
      <c r="O40" s="107">
        <f>N40*16</f>
        <v>64</v>
      </c>
      <c r="P40" s="107"/>
      <c r="Q40" s="107"/>
      <c r="R40" s="106">
        <f t="shared" ref="R40:S44" si="8">SUM(F40,H40,J40,L40,N40,P40)</f>
        <v>4</v>
      </c>
      <c r="S40" s="105">
        <f t="shared" si="8"/>
        <v>64</v>
      </c>
    </row>
    <row r="41" spans="2:20">
      <c r="B41" s="472"/>
      <c r="C41" s="477"/>
      <c r="D41" s="104" t="s">
        <v>240</v>
      </c>
      <c r="E41" s="115" t="s">
        <v>239</v>
      </c>
      <c r="F41" s="102"/>
      <c r="G41" s="102"/>
      <c r="H41" s="102"/>
      <c r="I41" s="102"/>
      <c r="J41" s="102"/>
      <c r="K41" s="102"/>
      <c r="L41" s="102"/>
      <c r="M41" s="102"/>
      <c r="N41" s="102">
        <v>4</v>
      </c>
      <c r="O41" s="102">
        <f>N41*16</f>
        <v>64</v>
      </c>
      <c r="P41" s="102"/>
      <c r="Q41" s="102"/>
      <c r="R41" s="101">
        <f t="shared" si="8"/>
        <v>4</v>
      </c>
      <c r="S41" s="100">
        <f t="shared" si="8"/>
        <v>64</v>
      </c>
    </row>
    <row r="42" spans="2:20">
      <c r="B42" s="472"/>
      <c r="C42" s="477"/>
      <c r="D42" s="99" t="s">
        <v>238</v>
      </c>
      <c r="E42" s="98" t="s">
        <v>237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>
        <v>4</v>
      </c>
      <c r="Q42" s="97">
        <f>P42*16</f>
        <v>64</v>
      </c>
      <c r="R42" s="96">
        <f t="shared" si="8"/>
        <v>4</v>
      </c>
      <c r="S42" s="95">
        <f t="shared" si="8"/>
        <v>64</v>
      </c>
    </row>
    <row r="43" spans="2:20">
      <c r="B43" s="472"/>
      <c r="C43" s="477"/>
      <c r="D43" s="99" t="s">
        <v>236</v>
      </c>
      <c r="E43" s="115" t="s">
        <v>235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>
        <v>4</v>
      </c>
      <c r="Q43" s="97">
        <f>P43*16</f>
        <v>64</v>
      </c>
      <c r="R43" s="96">
        <f t="shared" si="8"/>
        <v>4</v>
      </c>
      <c r="S43" s="95">
        <f t="shared" si="8"/>
        <v>64</v>
      </c>
    </row>
    <row r="44" spans="2:20">
      <c r="B44" s="472"/>
      <c r="C44" s="477"/>
      <c r="D44" s="99" t="s">
        <v>234</v>
      </c>
      <c r="E44" s="98" t="s">
        <v>233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>
        <v>4</v>
      </c>
      <c r="Q44" s="97">
        <f>P44*16</f>
        <v>64</v>
      </c>
      <c r="R44" s="96">
        <f t="shared" si="8"/>
        <v>4</v>
      </c>
      <c r="S44" s="95">
        <f t="shared" si="8"/>
        <v>64</v>
      </c>
    </row>
    <row r="45" spans="2:20" ht="18" thickBot="1">
      <c r="B45" s="419"/>
      <c r="C45" s="423"/>
      <c r="D45" s="474" t="s">
        <v>133</v>
      </c>
      <c r="E45" s="424"/>
      <c r="F45" s="94"/>
      <c r="G45" s="94"/>
      <c r="H45" s="94"/>
      <c r="I45" s="94"/>
      <c r="J45" s="94"/>
      <c r="K45" s="94"/>
      <c r="L45" s="94">
        <f>L40+L41+L42+L44</f>
        <v>0</v>
      </c>
      <c r="M45" s="94">
        <f>M40+M41+M42+M44</f>
        <v>0</v>
      </c>
      <c r="N45" s="94">
        <f t="shared" ref="N45:S45" si="9">SUM(N40:N44)</f>
        <v>8</v>
      </c>
      <c r="O45" s="94">
        <f t="shared" si="9"/>
        <v>128</v>
      </c>
      <c r="P45" s="94">
        <f t="shared" si="9"/>
        <v>12</v>
      </c>
      <c r="Q45" s="94">
        <f t="shared" si="9"/>
        <v>192</v>
      </c>
      <c r="R45" s="93">
        <f t="shared" si="9"/>
        <v>20</v>
      </c>
      <c r="S45" s="92">
        <f t="shared" si="9"/>
        <v>320</v>
      </c>
    </row>
    <row r="46" spans="2:20">
      <c r="B46" s="416" t="s">
        <v>232</v>
      </c>
      <c r="C46" s="420">
        <v>16</v>
      </c>
      <c r="D46" s="109" t="s">
        <v>231</v>
      </c>
      <c r="E46" s="108" t="s">
        <v>230</v>
      </c>
      <c r="F46" s="107"/>
      <c r="G46" s="107"/>
      <c r="H46" s="107"/>
      <c r="I46" s="107"/>
      <c r="J46" s="107"/>
      <c r="K46" s="107"/>
      <c r="L46" s="107"/>
      <c r="M46" s="107"/>
      <c r="N46" s="107">
        <v>4</v>
      </c>
      <c r="O46" s="107">
        <f>N46*16</f>
        <v>64</v>
      </c>
      <c r="P46" s="107"/>
      <c r="Q46" s="107"/>
      <c r="R46" s="106">
        <f t="shared" ref="R46:S49" si="10">SUM(F46,H46,J46,L46,N46,P46)</f>
        <v>4</v>
      </c>
      <c r="S46" s="105">
        <f t="shared" si="10"/>
        <v>64</v>
      </c>
    </row>
    <row r="47" spans="2:20">
      <c r="B47" s="472"/>
      <c r="C47" s="477"/>
      <c r="D47" s="104" t="s">
        <v>229</v>
      </c>
      <c r="E47" s="103" t="s">
        <v>228</v>
      </c>
      <c r="F47" s="102"/>
      <c r="G47" s="102"/>
      <c r="H47" s="102"/>
      <c r="I47" s="102"/>
      <c r="J47" s="102"/>
      <c r="K47" s="102"/>
      <c r="L47" s="102"/>
      <c r="M47" s="102"/>
      <c r="N47" s="102">
        <v>4</v>
      </c>
      <c r="O47" s="102">
        <f>N47*16</f>
        <v>64</v>
      </c>
      <c r="P47" s="102"/>
      <c r="Q47" s="102"/>
      <c r="R47" s="101">
        <f t="shared" si="10"/>
        <v>4</v>
      </c>
      <c r="S47" s="100">
        <f t="shared" si="10"/>
        <v>64</v>
      </c>
    </row>
    <row r="48" spans="2:20">
      <c r="B48" s="472"/>
      <c r="C48" s="477"/>
      <c r="D48" s="99" t="s">
        <v>227</v>
      </c>
      <c r="E48" s="98" t="s">
        <v>226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>
        <v>4</v>
      </c>
      <c r="Q48" s="97">
        <f>P48*16</f>
        <v>64</v>
      </c>
      <c r="R48" s="96">
        <f t="shared" si="10"/>
        <v>4</v>
      </c>
      <c r="S48" s="95">
        <f t="shared" si="10"/>
        <v>64</v>
      </c>
    </row>
    <row r="49" spans="2:19">
      <c r="B49" s="472"/>
      <c r="C49" s="477"/>
      <c r="D49" s="99" t="s">
        <v>225</v>
      </c>
      <c r="E49" s="98" t="s">
        <v>224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>
        <v>4</v>
      </c>
      <c r="Q49" s="97">
        <f>P49*16</f>
        <v>64</v>
      </c>
      <c r="R49" s="96">
        <f t="shared" si="10"/>
        <v>4</v>
      </c>
      <c r="S49" s="95">
        <f t="shared" si="10"/>
        <v>64</v>
      </c>
    </row>
    <row r="50" spans="2:19" ht="18" thickBot="1">
      <c r="B50" s="419"/>
      <c r="C50" s="423"/>
      <c r="D50" s="474" t="s">
        <v>133</v>
      </c>
      <c r="E50" s="424"/>
      <c r="F50" s="94"/>
      <c r="G50" s="94"/>
      <c r="H50" s="94"/>
      <c r="I50" s="94"/>
      <c r="J50" s="94"/>
      <c r="K50" s="94"/>
      <c r="L50" s="94"/>
      <c r="M50" s="94"/>
      <c r="N50" s="94">
        <f t="shared" ref="N50:S50" si="11">SUM(N46:N49)</f>
        <v>8</v>
      </c>
      <c r="O50" s="94">
        <f t="shared" si="11"/>
        <v>128</v>
      </c>
      <c r="P50" s="94">
        <f t="shared" si="11"/>
        <v>8</v>
      </c>
      <c r="Q50" s="94">
        <f t="shared" si="11"/>
        <v>128</v>
      </c>
      <c r="R50" s="93">
        <f t="shared" si="11"/>
        <v>16</v>
      </c>
      <c r="S50" s="92">
        <f t="shared" si="11"/>
        <v>256</v>
      </c>
    </row>
  </sheetData>
  <mergeCells count="49">
    <mergeCell ref="B40:B45"/>
    <mergeCell ref="C40:C45"/>
    <mergeCell ref="D45:E45"/>
    <mergeCell ref="B46:B50"/>
    <mergeCell ref="C46:C50"/>
    <mergeCell ref="D50:E50"/>
    <mergeCell ref="B29:B34"/>
    <mergeCell ref="C29:C34"/>
    <mergeCell ref="D34:E34"/>
    <mergeCell ref="B35:B39"/>
    <mergeCell ref="C35:C39"/>
    <mergeCell ref="D39:E39"/>
    <mergeCell ref="B21:B25"/>
    <mergeCell ref="C21:C25"/>
    <mergeCell ref="D25:E25"/>
    <mergeCell ref="B26:B28"/>
    <mergeCell ref="C26:C28"/>
    <mergeCell ref="D28:E28"/>
    <mergeCell ref="U7:AD7"/>
    <mergeCell ref="B9:B16"/>
    <mergeCell ref="C9:C16"/>
    <mergeCell ref="D16:E16"/>
    <mergeCell ref="R6:R8"/>
    <mergeCell ref="S6:S8"/>
    <mergeCell ref="U6:AD6"/>
    <mergeCell ref="J6:M6"/>
    <mergeCell ref="N6:Q6"/>
    <mergeCell ref="F7:G7"/>
    <mergeCell ref="H7:I7"/>
    <mergeCell ref="J7:K7"/>
    <mergeCell ref="L7:M7"/>
    <mergeCell ref="N7:O7"/>
    <mergeCell ref="F6:I6"/>
    <mergeCell ref="P7:Q7"/>
    <mergeCell ref="B17:B20"/>
    <mergeCell ref="C17:C20"/>
    <mergeCell ref="D20:E20"/>
    <mergeCell ref="B2:S2"/>
    <mergeCell ref="L3:N3"/>
    <mergeCell ref="O3:Q3"/>
    <mergeCell ref="R3:S3"/>
    <mergeCell ref="L4:N4"/>
    <mergeCell ref="O4:Q4"/>
    <mergeCell ref="R4:S4"/>
    <mergeCell ref="B5:C5"/>
    <mergeCell ref="B6:B8"/>
    <mergeCell ref="C6:C8"/>
    <mergeCell ref="D6:D8"/>
    <mergeCell ref="E6:E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cellComments="asDisplaye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2027입학(전자)</vt:lpstr>
      <vt:lpstr>2027입학(전자)_실무과목능력단위</vt:lpstr>
      <vt:lpstr>2027입학(전기)</vt:lpstr>
      <vt:lpstr>2027입학(전기)_실무과목능력단위</vt:lpstr>
      <vt:lpstr>'2027입학(전기)'!Print_Area</vt:lpstr>
      <vt:lpstr>'2027입학(전자)'!Print_Area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2026-06-29T01:51:11Z</dcterms:created>
  <dcterms:modified xsi:type="dcterms:W3CDTF">2026-10-06T00:59:31Z</dcterms:modified>
</cp:coreProperties>
</file>