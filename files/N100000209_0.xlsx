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2026\교육과정부\"/>
    </mc:Choice>
  </mc:AlternateContent>
  <xr:revisionPtr revIDLastSave="0" documentId="13_ncr:1_{53EFFBF8-6D7F-49CF-9E2A-488E81A6E60D}" xr6:coauthVersionLast="47" xr6:coauthVersionMax="47" xr10:uidLastSave="{00000000-0000-0000-0000-000000000000}"/>
  <bookViews>
    <workbookView xWindow="-120" yWindow="-120" windowWidth="38640" windowHeight="15720" tabRatio="795" xr2:uid="{00000000-000D-0000-FFFF-FFFF00000000}"/>
  </bookViews>
  <sheets>
    <sheet name="교육과정편제표(글로벌외식조리과)" sheetId="8" r:id="rId1"/>
    <sheet name="실무과목 능력단위(글로벌외식조리과)" sheetId="14" r:id="rId2"/>
    <sheet name="교육과정편제표(미디어콘텐츠과)" sheetId="17" r:id="rId3"/>
    <sheet name="실무과목 능력단위(미디어콘텐츠과)" sheetId="18" r:id="rId4"/>
    <sheet name="삭제금지" sheetId="4" r:id="rId5"/>
    <sheet name="(참고1) 편성 기준🔐" sheetId="16" r:id="rId6"/>
  </sheets>
  <definedNames>
    <definedName name="_xlnm._FilterDatabase" localSheetId="0" hidden="1">'교육과정편제표(글로벌외식조리과)'!$M$3:$P$4</definedName>
    <definedName name="_xlnm._FilterDatabase" localSheetId="2" hidden="1">'교육과정편제표(미디어콘텐츠과)'!$M$3:$P$4</definedName>
    <definedName name="_xlnm._FilterDatabase" localSheetId="4" hidden="1">삭제금지!$A$1:$F$151</definedName>
    <definedName name="_xlnm._FilterDatabase" localSheetId="1" hidden="1">'실무과목 능력단위(글로벌외식조리과)'!#REF!</definedName>
    <definedName name="_xlnm._FilterDatabase" localSheetId="3" hidden="1">'실무과목 능력단위(미디어콘텐츠과)'!#REF!</definedName>
    <definedName name="_xlnm.Print_Area" localSheetId="0">'교육과정편제표(글로벌외식조리과)'!$A$1:$AE$64</definedName>
    <definedName name="_xlnm.Print_Area" localSheetId="2">'교육과정편제표(미디어콘텐츠과)'!$A$1:$AE$72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3" i="18" l="1"/>
  <c r="P53" i="18"/>
  <c r="T52" i="18"/>
  <c r="S52" i="18"/>
  <c r="U52" i="18" s="1"/>
  <c r="T51" i="18"/>
  <c r="S51" i="18"/>
  <c r="U51" i="18" s="1"/>
  <c r="T50" i="18"/>
  <c r="Q50" i="18"/>
  <c r="U50" i="18" s="1"/>
  <c r="T49" i="18"/>
  <c r="T53" i="18" s="1"/>
  <c r="Q49" i="18"/>
  <c r="Q53" i="18" s="1"/>
  <c r="R48" i="18"/>
  <c r="P48" i="18"/>
  <c r="U47" i="18"/>
  <c r="T47" i="18"/>
  <c r="S47" i="18"/>
  <c r="T46" i="18"/>
  <c r="S46" i="18"/>
  <c r="U46" i="18" s="1"/>
  <c r="T45" i="18"/>
  <c r="Q45" i="18"/>
  <c r="U45" i="18" s="1"/>
  <c r="U44" i="18"/>
  <c r="U48" i="18" s="1"/>
  <c r="T44" i="18"/>
  <c r="T48" i="18" s="1"/>
  <c r="Q44" i="18"/>
  <c r="Q48" i="18" s="1"/>
  <c r="R43" i="18"/>
  <c r="P43" i="18"/>
  <c r="O43" i="18"/>
  <c r="N43" i="18"/>
  <c r="M43" i="18"/>
  <c r="L43" i="18"/>
  <c r="T42" i="18"/>
  <c r="S42" i="18"/>
  <c r="U42" i="18" s="1"/>
  <c r="U41" i="18"/>
  <c r="T41" i="18"/>
  <c r="S41" i="18"/>
  <c r="T40" i="18"/>
  <c r="T43" i="18" s="1"/>
  <c r="S40" i="18"/>
  <c r="U40" i="18" s="1"/>
  <c r="T39" i="18"/>
  <c r="Q39" i="18"/>
  <c r="Q43" i="18" s="1"/>
  <c r="O38" i="18"/>
  <c r="N38" i="18"/>
  <c r="M38" i="18"/>
  <c r="L38" i="18"/>
  <c r="U37" i="18"/>
  <c r="T37" i="18"/>
  <c r="S37" i="18"/>
  <c r="T36" i="18"/>
  <c r="S36" i="18"/>
  <c r="U36" i="18" s="1"/>
  <c r="T35" i="18"/>
  <c r="Q35" i="18"/>
  <c r="U35" i="18" s="1"/>
  <c r="U34" i="18"/>
  <c r="T34" i="18"/>
  <c r="T38" i="18" s="1"/>
  <c r="Q34" i="18"/>
  <c r="R33" i="18"/>
  <c r="P33" i="18"/>
  <c r="U32" i="18"/>
  <c r="T32" i="18"/>
  <c r="S32" i="18"/>
  <c r="U31" i="18"/>
  <c r="T31" i="18"/>
  <c r="S31" i="18"/>
  <c r="S33" i="18" s="1"/>
  <c r="U30" i="18"/>
  <c r="T30" i="18"/>
  <c r="T33" i="18" s="1"/>
  <c r="Q30" i="18"/>
  <c r="T29" i="18"/>
  <c r="Q29" i="18"/>
  <c r="Q33" i="18" s="1"/>
  <c r="R28" i="18"/>
  <c r="P28" i="18"/>
  <c r="T27" i="18"/>
  <c r="S27" i="18"/>
  <c r="U27" i="18" s="1"/>
  <c r="T26" i="18"/>
  <c r="S26" i="18"/>
  <c r="S28" i="18" s="1"/>
  <c r="U25" i="18"/>
  <c r="T25" i="18"/>
  <c r="Q25" i="18"/>
  <c r="U24" i="18"/>
  <c r="T24" i="18"/>
  <c r="T28" i="18" s="1"/>
  <c r="Q24" i="18"/>
  <c r="Q28" i="18" s="1"/>
  <c r="N23" i="18"/>
  <c r="L23" i="18"/>
  <c r="T22" i="18"/>
  <c r="O22" i="18"/>
  <c r="U22" i="18" s="1"/>
  <c r="U21" i="18"/>
  <c r="T21" i="18"/>
  <c r="O21" i="18"/>
  <c r="O23" i="18" s="1"/>
  <c r="T20" i="18"/>
  <c r="T23" i="18" s="1"/>
  <c r="M20" i="18"/>
  <c r="U20" i="18" s="1"/>
  <c r="T19" i="18"/>
  <c r="M19" i="18"/>
  <c r="M23" i="18" s="1"/>
  <c r="N18" i="18"/>
  <c r="L18" i="18"/>
  <c r="U17" i="18"/>
  <c r="T17" i="18"/>
  <c r="O17" i="18"/>
  <c r="T16" i="18"/>
  <c r="O16" i="18"/>
  <c r="U16" i="18" s="1"/>
  <c r="T15" i="18"/>
  <c r="M15" i="18"/>
  <c r="U15" i="18" s="1"/>
  <c r="U14" i="18"/>
  <c r="T14" i="18"/>
  <c r="T18" i="18" s="1"/>
  <c r="M14" i="18"/>
  <c r="M18" i="18" s="1"/>
  <c r="O13" i="18"/>
  <c r="N13" i="18"/>
  <c r="L13" i="18"/>
  <c r="U12" i="18"/>
  <c r="T12" i="18"/>
  <c r="O12" i="18"/>
  <c r="U11" i="18"/>
  <c r="T11" i="18"/>
  <c r="M11" i="18"/>
  <c r="U10" i="18"/>
  <c r="T10" i="18"/>
  <c r="T13" i="18" s="1"/>
  <c r="M10" i="18"/>
  <c r="T9" i="18"/>
  <c r="M9" i="18"/>
  <c r="M13" i="18" s="1"/>
  <c r="U18" i="18" l="1"/>
  <c r="U38" i="18"/>
  <c r="U19" i="18"/>
  <c r="U23" i="18" s="1"/>
  <c r="U26" i="18"/>
  <c r="U28" i="18" s="1"/>
  <c r="U39" i="18"/>
  <c r="U43" i="18" s="1"/>
  <c r="U49" i="18"/>
  <c r="U53" i="18" s="1"/>
  <c r="S43" i="18"/>
  <c r="O18" i="18"/>
  <c r="S48" i="18"/>
  <c r="U9" i="18"/>
  <c r="U13" i="18" s="1"/>
  <c r="U29" i="18"/>
  <c r="U33" i="18" s="1"/>
  <c r="S53" i="18"/>
  <c r="T58" i="18" l="1"/>
  <c r="S58" i="18"/>
  <c r="U58" i="18" s="1"/>
  <c r="T57" i="18"/>
  <c r="S57" i="18"/>
  <c r="U57" i="18" s="1"/>
  <c r="U56" i="18"/>
  <c r="T56" i="18"/>
  <c r="S56" i="18"/>
  <c r="T55" i="18"/>
  <c r="Q55" i="18"/>
  <c r="U55" i="18" s="1"/>
  <c r="T54" i="18"/>
  <c r="Q54" i="18"/>
  <c r="U54" i="18" s="1"/>
  <c r="S64" i="18"/>
  <c r="R64" i="18"/>
  <c r="Q64" i="18"/>
  <c r="P64" i="18"/>
  <c r="U63" i="18"/>
  <c r="T63" i="18"/>
  <c r="U62" i="18"/>
  <c r="T62" i="18"/>
  <c r="U61" i="18"/>
  <c r="T61" i="18"/>
  <c r="U60" i="18"/>
  <c r="T60" i="18"/>
  <c r="R59" i="18"/>
  <c r="P59" i="18"/>
  <c r="Q59" i="18" l="1"/>
  <c r="T59" i="18"/>
  <c r="S59" i="18"/>
  <c r="U59" i="18"/>
  <c r="T64" i="18"/>
  <c r="U64" i="18"/>
  <c r="W49" i="17" l="1"/>
  <c r="W48" i="17"/>
  <c r="W47" i="17"/>
  <c r="W46" i="17"/>
  <c r="W11" i="17"/>
  <c r="T52" i="14"/>
  <c r="T51" i="14"/>
  <c r="T50" i="14"/>
  <c r="T49" i="14"/>
  <c r="S53" i="14"/>
  <c r="R53" i="14"/>
  <c r="Q53" i="14"/>
  <c r="P53" i="14"/>
  <c r="S48" i="14"/>
  <c r="R48" i="14"/>
  <c r="Q48" i="14"/>
  <c r="P48" i="14"/>
  <c r="S43" i="14"/>
  <c r="R43" i="14"/>
  <c r="Q43" i="14"/>
  <c r="P43" i="14"/>
  <c r="S38" i="14"/>
  <c r="R38" i="14"/>
  <c r="Q38" i="14"/>
  <c r="P38" i="14"/>
  <c r="S33" i="14"/>
  <c r="R33" i="14"/>
  <c r="Q33" i="14"/>
  <c r="P33" i="14"/>
  <c r="S28" i="14"/>
  <c r="R28" i="14"/>
  <c r="Q28" i="14"/>
  <c r="P28" i="14"/>
  <c r="S18" i="14"/>
  <c r="R18" i="14"/>
  <c r="Q18" i="14"/>
  <c r="P18" i="14"/>
  <c r="U51" i="14"/>
  <c r="T46" i="14"/>
  <c r="U46" i="14"/>
  <c r="T41" i="14"/>
  <c r="U41" i="14"/>
  <c r="T26" i="14"/>
  <c r="U26" i="14"/>
  <c r="T21" i="14"/>
  <c r="U21" i="14"/>
  <c r="O53" i="14"/>
  <c r="N53" i="14"/>
  <c r="M53" i="14"/>
  <c r="L53" i="14"/>
  <c r="U52" i="14"/>
  <c r="U50" i="14"/>
  <c r="U49" i="14"/>
  <c r="O48" i="14"/>
  <c r="N48" i="14"/>
  <c r="M48" i="14"/>
  <c r="L48" i="14"/>
  <c r="U47" i="14"/>
  <c r="T47" i="14"/>
  <c r="U45" i="14"/>
  <c r="T45" i="14"/>
  <c r="U44" i="14"/>
  <c r="T44" i="14"/>
  <c r="O43" i="14"/>
  <c r="N43" i="14"/>
  <c r="M43" i="14"/>
  <c r="L43" i="14"/>
  <c r="U42" i="14"/>
  <c r="T42" i="14"/>
  <c r="U40" i="14"/>
  <c r="T40" i="14"/>
  <c r="U39" i="14"/>
  <c r="T39" i="14"/>
  <c r="O38" i="14"/>
  <c r="N38" i="14"/>
  <c r="M38" i="14"/>
  <c r="L38" i="14"/>
  <c r="U37" i="14"/>
  <c r="T37" i="14"/>
  <c r="U36" i="14"/>
  <c r="T36" i="14"/>
  <c r="U35" i="14"/>
  <c r="T35" i="14"/>
  <c r="U34" i="14"/>
  <c r="T34" i="14"/>
  <c r="O33" i="14"/>
  <c r="N33" i="14"/>
  <c r="M33" i="14"/>
  <c r="L33" i="14"/>
  <c r="K33" i="14"/>
  <c r="J33" i="14"/>
  <c r="I33" i="14"/>
  <c r="H33" i="14"/>
  <c r="U32" i="14"/>
  <c r="T32" i="14"/>
  <c r="T30" i="14"/>
  <c r="K30" i="14"/>
  <c r="I30" i="14"/>
  <c r="T29" i="14"/>
  <c r="K29" i="14"/>
  <c r="I29" i="14"/>
  <c r="O28" i="14"/>
  <c r="N28" i="14"/>
  <c r="M28" i="14"/>
  <c r="L28" i="14"/>
  <c r="U27" i="14"/>
  <c r="T27" i="14"/>
  <c r="U25" i="14"/>
  <c r="T25" i="14"/>
  <c r="U24" i="14"/>
  <c r="T24" i="14"/>
  <c r="O23" i="14"/>
  <c r="N23" i="14"/>
  <c r="M23" i="14"/>
  <c r="L23" i="14"/>
  <c r="U22" i="14"/>
  <c r="T22" i="14"/>
  <c r="U20" i="14"/>
  <c r="T20" i="14"/>
  <c r="U19" i="14"/>
  <c r="T19" i="14"/>
  <c r="O18" i="14"/>
  <c r="N18" i="14"/>
  <c r="M18" i="14"/>
  <c r="L18" i="14"/>
  <c r="U17" i="14"/>
  <c r="T17" i="14"/>
  <c r="U16" i="14"/>
  <c r="T16" i="14"/>
  <c r="U15" i="14"/>
  <c r="T15" i="14"/>
  <c r="U14" i="14"/>
  <c r="T14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U12" i="14"/>
  <c r="T12" i="14"/>
  <c r="T10" i="14"/>
  <c r="K10" i="14"/>
  <c r="I10" i="14"/>
  <c r="T9" i="14"/>
  <c r="K9" i="14"/>
  <c r="I9" i="14"/>
  <c r="S70" i="17"/>
  <c r="O70" i="17"/>
  <c r="K70" i="17"/>
  <c r="W69" i="17"/>
  <c r="Y69" i="17" s="1"/>
  <c r="AA71" i="17" s="1"/>
  <c r="W68" i="17"/>
  <c r="AA69" i="17" s="1"/>
  <c r="Y65" i="17"/>
  <c r="W65" i="17"/>
  <c r="Y62" i="17"/>
  <c r="U62" i="17"/>
  <c r="S62" i="17"/>
  <c r="Q62" i="17"/>
  <c r="O62" i="17"/>
  <c r="M62" i="17"/>
  <c r="K62" i="17"/>
  <c r="J62" i="17"/>
  <c r="I62" i="17"/>
  <c r="I64" i="17" s="1"/>
  <c r="H62" i="17"/>
  <c r="W57" i="17"/>
  <c r="W53" i="17"/>
  <c r="W52" i="17"/>
  <c r="W51" i="17"/>
  <c r="W50" i="17"/>
  <c r="W45" i="17"/>
  <c r="W44" i="17"/>
  <c r="W43" i="17"/>
  <c r="W42" i="17"/>
  <c r="W41" i="17"/>
  <c r="W40" i="17"/>
  <c r="W39" i="17"/>
  <c r="Y38" i="17"/>
  <c r="U38" i="17"/>
  <c r="S38" i="17"/>
  <c r="Q38" i="17"/>
  <c r="O38" i="17"/>
  <c r="M38" i="17"/>
  <c r="K38" i="17"/>
  <c r="H38" i="17"/>
  <c r="W33" i="17"/>
  <c r="W31" i="17"/>
  <c r="W30" i="17"/>
  <c r="W29" i="17"/>
  <c r="W28" i="17"/>
  <c r="W27" i="17"/>
  <c r="J27" i="17"/>
  <c r="W26" i="17"/>
  <c r="J26" i="17"/>
  <c r="W25" i="17"/>
  <c r="W24" i="17"/>
  <c r="W23" i="17"/>
  <c r="W22" i="17"/>
  <c r="W21" i="17"/>
  <c r="W20" i="17"/>
  <c r="W19" i="17"/>
  <c r="W18" i="17"/>
  <c r="W17" i="17"/>
  <c r="W15" i="17"/>
  <c r="W14" i="17"/>
  <c r="W13" i="17"/>
  <c r="W12" i="17"/>
  <c r="W10" i="17"/>
  <c r="W9" i="17"/>
  <c r="I54" i="8"/>
  <c r="U54" i="8"/>
  <c r="S54" i="8"/>
  <c r="W48" i="8"/>
  <c r="W47" i="8"/>
  <c r="W46" i="8"/>
  <c r="W45" i="8"/>
  <c r="W44" i="8"/>
  <c r="W18" i="8"/>
  <c r="W14" i="8"/>
  <c r="W70" i="17" l="1"/>
  <c r="S64" i="17"/>
  <c r="Q64" i="17"/>
  <c r="H64" i="17"/>
  <c r="J38" i="17"/>
  <c r="J64" i="17" s="1"/>
  <c r="O64" i="17"/>
  <c r="X24" i="17"/>
  <c r="M64" i="17"/>
  <c r="K64" i="17"/>
  <c r="X26" i="17"/>
  <c r="X17" i="17"/>
  <c r="X9" i="17"/>
  <c r="X20" i="17"/>
  <c r="W62" i="17"/>
  <c r="X13" i="17"/>
  <c r="W38" i="17"/>
  <c r="AA38" i="17" s="1"/>
  <c r="Y64" i="17"/>
  <c r="X22" i="17"/>
  <c r="U29" i="14"/>
  <c r="U30" i="14"/>
  <c r="U53" i="14"/>
  <c r="T53" i="14"/>
  <c r="T48" i="14"/>
  <c r="T43" i="14"/>
  <c r="U43" i="14"/>
  <c r="U48" i="14"/>
  <c r="T33" i="14"/>
  <c r="U38" i="14"/>
  <c r="T38" i="14"/>
  <c r="U28" i="14"/>
  <c r="U23" i="14"/>
  <c r="U9" i="14"/>
  <c r="U10" i="14"/>
  <c r="T28" i="14"/>
  <c r="U18" i="14"/>
  <c r="T18" i="14"/>
  <c r="T23" i="14"/>
  <c r="T13" i="14"/>
  <c r="U64" i="17"/>
  <c r="W64" i="17" l="1"/>
  <c r="AA66" i="17" s="1"/>
  <c r="U33" i="14"/>
  <c r="U13" i="14"/>
  <c r="S62" i="8" l="1"/>
  <c r="O62" i="8"/>
  <c r="K62" i="8"/>
  <c r="W61" i="8"/>
  <c r="Y61" i="8" s="1"/>
  <c r="W60" i="8"/>
  <c r="AA61" i="8" s="1"/>
  <c r="Y57" i="8"/>
  <c r="W57" i="8"/>
  <c r="Y54" i="8"/>
  <c r="Q54" i="8"/>
  <c r="O54" i="8"/>
  <c r="M54" i="8"/>
  <c r="K54" i="8"/>
  <c r="I56" i="8"/>
  <c r="H54" i="8"/>
  <c r="J54" i="8"/>
  <c r="W52" i="8"/>
  <c r="W50" i="8"/>
  <c r="W49" i="8"/>
  <c r="W43" i="8"/>
  <c r="W42" i="8"/>
  <c r="W41" i="8"/>
  <c r="W40" i="8"/>
  <c r="W39" i="8"/>
  <c r="Y38" i="8"/>
  <c r="U38" i="8"/>
  <c r="S38" i="8"/>
  <c r="Q38" i="8"/>
  <c r="O38" i="8"/>
  <c r="M38" i="8"/>
  <c r="K38" i="8"/>
  <c r="H38" i="8"/>
  <c r="W33" i="8"/>
  <c r="W31" i="8"/>
  <c r="W30" i="8"/>
  <c r="W29" i="8"/>
  <c r="W28" i="8"/>
  <c r="W27" i="8"/>
  <c r="J27" i="8"/>
  <c r="W26" i="8"/>
  <c r="J26" i="8"/>
  <c r="W25" i="8"/>
  <c r="W24" i="8"/>
  <c r="W23" i="8"/>
  <c r="W22" i="8"/>
  <c r="W21" i="8"/>
  <c r="W20" i="8"/>
  <c r="W19" i="8"/>
  <c r="W17" i="8"/>
  <c r="W16" i="8"/>
  <c r="W13" i="8"/>
  <c r="W12" i="8"/>
  <c r="W11" i="8"/>
  <c r="W10" i="8"/>
  <c r="W9" i="8"/>
  <c r="O56" i="8" l="1"/>
  <c r="X22" i="8"/>
  <c r="X26" i="8"/>
  <c r="X16" i="8"/>
  <c r="M56" i="8"/>
  <c r="W62" i="8"/>
  <c r="Q56" i="8"/>
  <c r="U56" i="8"/>
  <c r="W54" i="8"/>
  <c r="X24" i="8"/>
  <c r="S56" i="8"/>
  <c r="X12" i="8"/>
  <c r="J38" i="8"/>
  <c r="J56" i="8" s="1"/>
  <c r="X9" i="8"/>
  <c r="AA63" i="8"/>
  <c r="Y56" i="8"/>
  <c r="H56" i="8"/>
  <c r="W38" i="8"/>
  <c r="AA38" i="8" s="1"/>
  <c r="X20" i="8"/>
  <c r="K56" i="8"/>
  <c r="W56" i="8" l="1"/>
  <c r="AA5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9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4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9" authorId="0" shapeId="0" xr:uid="{C975C970-68F3-4F7F-BC93-A14A8987AD3B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A21885B3-41C8-4A3B-893D-3D09F25EA79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2" authorId="0" shapeId="0" xr:uid="{98D8E537-FB7E-418F-941B-EDBE9510587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<sst xmlns="http://schemas.openxmlformats.org/spreadsheetml/2006/main" count="1878" uniqueCount="754">
  <si>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</si>
  <si>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</si>
  <si>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</si>
  <si>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</si>
  <si>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</si>
  <si>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</si>
  <si>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</si>
  <si>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</si>
  <si>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</si>
  <si>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</si>
  <si>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</si>
  <si>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</si>
  <si>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</si>
  <si>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</si>
  <si>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</si>
  <si>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</si>
  <si>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</si>
  <si>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</si>
  <si>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</si>
  <si>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</si>
  <si>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</si>
  <si>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</si>
  <si>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</si>
  <si>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</si>
  <si>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</si>
  <si>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</si>
  <si>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</si>
  <si>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</si>
  <si>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</si>
  <si>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</si>
  <si>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</si>
  <si>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</si>
  <si>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</si>
  <si>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</si>
  <si>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</si>
  <si>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</si>
  <si>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</si>
  <si>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</si>
  <si>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</si>
  <si>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</si>
  <si>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</si>
  <si>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</si>
  <si>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</si>
  <si>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</si>
  <si>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</si>
  <si>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</si>
  <si>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</si>
  <si>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</si>
  <si>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</si>
  <si>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</si>
  <si>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</si>
  <si>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</si>
  <si>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</si>
  <si>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</si>
  <si>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</si>
  <si>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</si>
  <si>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</si>
  <si>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</si>
  <si>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</si>
  <si>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</si>
  <si>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</si>
  <si>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</si>
  <si>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</si>
  <si>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</si>
  <si>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</si>
  <si>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</si>
  <si>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</si>
  <si>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</si>
  <si>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</si>
  <si>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</si>
  <si>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</si>
  <si>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</si>
  <si>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</si>
  <si>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</si>
  <si>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</si>
  <si>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</si>
  <si>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</si>
  <si>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</si>
  <si>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</si>
  <si>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</si>
  <si>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</si>
  <si>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</si>
  <si>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</si>
  <si>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</si>
  <si>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</si>
  <si>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</si>
  <si>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</si>
  <si>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</si>
  <si>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</si>
  <si>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</si>
  <si>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</si>
  <si>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</si>
  <si>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</si>
  <si>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</si>
  <si>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</si>
  <si>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</si>
  <si>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</si>
  <si>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</si>
  <si>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</si>
  <si>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</si>
  <si>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</si>
  <si>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</si>
  <si>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</si>
  <si>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</si>
  <si>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</si>
  <si>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</si>
  <si>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</si>
  <si>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</si>
  <si>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</si>
  <si>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</si>
  <si>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</si>
  <si>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</si>
  <si>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</si>
  <si>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</si>
  <si>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</si>
  <si>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</si>
  <si>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</si>
  <si>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</si>
  <si>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</si>
  <si>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</si>
  <si>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</si>
  <si>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</si>
  <si>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</si>
  <si>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</si>
  <si>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</si>
  <si>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</si>
  <si>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</si>
  <si>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</si>
  <si>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</si>
  <si>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</si>
  <si>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</si>
  <si>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</si>
  <si>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</si>
  <si>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</si>
  <si>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</si>
  <si>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</si>
  <si>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</si>
  <si>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</si>
  <si>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</si>
  <si>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</si>
  <si>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</si>
  <si>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</si>
  <si>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</si>
  <si>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</si>
  <si>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</si>
  <si>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</si>
  <si>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</si>
  <si>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</si>
  <si>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</si>
  <si>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</si>
  <si>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회계실무</t>
    <phoneticPr fontId="9" type="noConversion"/>
  </si>
  <si>
    <t>전표관리</t>
    <phoneticPr fontId="9" type="noConversion"/>
  </si>
  <si>
    <t>자금관리</t>
    <phoneticPr fontId="9" type="noConversion"/>
  </si>
  <si>
    <t>회계정보시스템 운용</t>
    <phoneticPr fontId="9" type="noConversion"/>
  </si>
  <si>
    <t>결산처리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</si>
  <si>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</si>
  <si>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</si>
  <si>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</si>
  <si>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</si>
  <si>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</si>
  <si>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</si>
  <si>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</si>
  <si>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</si>
  <si>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</si>
  <si>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</si>
  <si>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</si>
  <si>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</si>
  <si>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</si>
  <si>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</si>
  <si>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</si>
  <si>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</si>
  <si>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</si>
  <si>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</si>
  <si>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</si>
  <si>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</si>
  <si>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</si>
  <si>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</si>
  <si>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</si>
  <si>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</si>
  <si>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</si>
  <si>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</si>
  <si>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</si>
  <si>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</si>
  <si>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</si>
  <si>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</si>
  <si>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</si>
  <si>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</si>
  <si>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</si>
  <si>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</si>
  <si>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</si>
  <si>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</si>
  <si>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</si>
  <si>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</si>
  <si>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</si>
  <si>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</si>
  <si>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</si>
  <si>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</si>
  <si>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</si>
  <si>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</si>
  <si>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</si>
  <si>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</si>
  <si>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</si>
  <si>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</si>
  <si>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</si>
  <si>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</si>
  <si>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</si>
  <si>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</si>
  <si>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</si>
  <si>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</si>
  <si>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</si>
  <si>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</si>
  <si>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</si>
  <si>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</si>
  <si>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</si>
  <si>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</si>
  <si>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</si>
  <si>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</si>
  <si>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</si>
  <si>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</si>
  <si>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</si>
  <si>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</si>
  <si>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</si>
  <si>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</si>
  <si>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</si>
  <si>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</si>
  <si>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</si>
  <si>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</si>
  <si>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</si>
  <si>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</si>
  <si>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</si>
  <si>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</si>
  <si>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</si>
  <si>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</si>
  <si>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</si>
  <si>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</si>
  <si>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</si>
  <si>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</si>
  <si>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</si>
  <si>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</si>
  <si>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</si>
  <si>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</si>
  <si>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</si>
  <si>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</si>
  <si>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</si>
  <si>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</si>
  <si>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</si>
  <si>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</si>
  <si>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</si>
  <si>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</si>
  <si>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</si>
  <si>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</si>
  <si>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</si>
  <si>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</si>
  <si>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</si>
  <si>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</si>
  <si>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</si>
  <si>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</si>
  <si>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</si>
  <si>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</si>
  <si>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</si>
  <si>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</si>
  <si>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</si>
  <si>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</si>
  <si>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</si>
  <si>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</si>
  <si>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</si>
  <si>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</si>
  <si>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</si>
  <si>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</si>
  <si>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</si>
  <si>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</si>
  <si>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</si>
  <si>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</si>
  <si>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</si>
  <si>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</si>
  <si>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</si>
  <si>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</si>
  <si>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</si>
  <si>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</si>
  <si>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</si>
  <si>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</si>
  <si>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</si>
  <si>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</si>
  <si>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</si>
  <si>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</si>
  <si>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</si>
  <si>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</si>
  <si>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</si>
  <si>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</si>
  <si>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</si>
  <si>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</si>
  <si>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</si>
  <si>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</si>
  <si>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</si>
  <si>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</si>
  <si>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</si>
  <si>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</si>
  <si>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</si>
  <si>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</si>
  <si>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</si>
  <si>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</si>
  <si>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</si>
  <si>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</si>
  <si>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</si>
  <si>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</si>
  <si>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</si>
  <si>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</si>
  <si>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</si>
  <si>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</si>
  <si>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</si>
  <si>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</si>
  <si>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</si>
  <si>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</si>
  <si>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</si>
  <si>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</si>
  <si>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</si>
  <si>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</si>
  <si>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</si>
  <si>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</si>
  <si>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</si>
  <si>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</si>
  <si>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</si>
  <si>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</si>
  <si>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</si>
  <si>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</si>
  <si>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</si>
  <si>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</si>
  <si>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</si>
  <si>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</si>
  <si>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</si>
  <si>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</si>
  <si>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</si>
  <si>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</si>
  <si>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</si>
  <si>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</si>
  <si>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</si>
  <si>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</si>
  <si>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</si>
  <si>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</si>
  <si>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</si>
  <si>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</si>
  <si>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</si>
  <si>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</si>
  <si>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</si>
  <si>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</si>
  <si>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</si>
  <si>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</si>
  <si>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</si>
  <si>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</si>
  <si>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</si>
  <si>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3~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</si>
  <si>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</si>
  <si>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</si>
  <si>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</si>
  <si>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</si>
  <si>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</si>
  <si>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</si>
  <si>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</si>
  <si>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</si>
  <si>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</si>
  <si>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</si>
  <si>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</si>
  <si>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</si>
  <si>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</si>
  <si>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식품과 영양</t>
    <phoneticPr fontId="9" type="noConversion"/>
  </si>
  <si>
    <t>바리스타</t>
    <phoneticPr fontId="9" type="noConversion"/>
  </si>
  <si>
    <t>떡 제조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</si>
  <si>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</si>
  <si>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</si>
  <si>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</si>
  <si>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</si>
  <si>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</si>
  <si>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</si>
  <si>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</si>
  <si>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</si>
  <si>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</si>
  <si>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</si>
  <si>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</si>
  <si>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</si>
  <si>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</si>
  <si>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</si>
  <si>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</si>
  <si>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</si>
  <si>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</si>
  <si>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</si>
  <si>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</si>
  <si>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</si>
  <si>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</si>
  <si>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</si>
  <si>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</si>
  <si>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</si>
  <si>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</si>
  <si>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</si>
  <si>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</si>
  <si>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</si>
  <si>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</si>
  <si>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</si>
  <si>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</si>
  <si>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</si>
  <si>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</si>
  <si>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</si>
  <si>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</si>
  <si>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</si>
  <si>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</si>
  <si>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</si>
  <si>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</si>
  <si>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</si>
  <si>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</si>
  <si>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</si>
  <si>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</si>
  <si>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</si>
  <si>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</si>
  <si>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</si>
  <si>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</si>
  <si>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</si>
  <si>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</si>
  <si>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</si>
  <si>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</si>
  <si>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</si>
  <si>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</si>
  <si>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</si>
  <si>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</si>
  <si>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</si>
  <si>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</si>
  <si>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</si>
  <si>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</si>
  <si>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</si>
  <si>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</si>
  <si>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</si>
  <si>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</si>
  <si>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</si>
  <si>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</si>
  <si>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</si>
  <si>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</si>
  <si>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</si>
  <si>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</si>
  <si>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</si>
  <si>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</si>
  <si>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</si>
  <si>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</si>
  <si>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</si>
  <si>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</si>
  <si>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</si>
  <si>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</si>
  <si>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</si>
  <si>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</si>
  <si>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</si>
  <si>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</si>
  <si>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</si>
  <si>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</si>
  <si>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</si>
  <si>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</si>
  <si>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</si>
  <si>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</si>
  <si>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</si>
  <si>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</si>
  <si>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</si>
  <si>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</si>
  <si>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</si>
  <si>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</si>
  <si>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</si>
  <si>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</si>
  <si>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</si>
  <si>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</si>
  <si>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</si>
  <si>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</si>
  <si>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</si>
  <si>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</si>
  <si>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</si>
  <si>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</si>
  <si>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</si>
  <si>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</si>
  <si>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</si>
  <si>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</si>
  <si>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</si>
  <si>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</si>
  <si>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</si>
  <si>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</si>
  <si>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</si>
  <si>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</si>
  <si>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</si>
  <si>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</si>
  <si>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</si>
  <si>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</si>
  <si>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</si>
  <si>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</si>
  <si>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</si>
  <si>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</si>
  <si>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</si>
  <si>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</si>
  <si>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</si>
  <si>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</si>
  <si>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</si>
  <si>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</si>
  <si>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</si>
  <si>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</si>
  <si>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</si>
  <si>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</si>
  <si>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</si>
  <si>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</si>
  <si>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</si>
  <si>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</si>
  <si>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</si>
  <si>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</si>
  <si>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</si>
  <si>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</si>
  <si>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</si>
  <si>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</si>
  <si>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</si>
  <si>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</si>
  <si>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</si>
  <si>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</si>
  <si>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</si>
  <si>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</si>
  <si>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</si>
  <si>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</si>
  <si>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</si>
  <si>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</si>
  <si>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</si>
  <si>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</si>
  <si>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</si>
  <si>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</si>
  <si>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2027학년도 교육과정 편제 및 학점배당표(마이스터고/특성화고)</t>
    <phoneticPr fontId="9" type="noConversion"/>
  </si>
  <si>
    <t>예산예화여자고등학교</t>
    <phoneticPr fontId="9" type="noConversion"/>
  </si>
  <si>
    <t>식품조리</t>
  </si>
  <si>
    <t>조리과</t>
  </si>
  <si>
    <t>제과제빵과</t>
  </si>
  <si>
    <t>글로벌외식조리과</t>
    <phoneticPr fontId="9" type="noConversion"/>
  </si>
  <si>
    <t>한식·양식·중식조리사, 제빵원, 제과원, 바리스타, 바텐더</t>
    <phoneticPr fontId="9" type="noConversion"/>
  </si>
  <si>
    <t>택1</t>
    <phoneticPr fontId="9" type="noConversion"/>
  </si>
  <si>
    <t>스포츠 과학*</t>
    <phoneticPr fontId="9" type="noConversion"/>
  </si>
  <si>
    <t>운동과 건강</t>
    <phoneticPr fontId="9" type="noConversion"/>
  </si>
  <si>
    <t>성공적인 직업 생활</t>
    <phoneticPr fontId="9" type="noConversion"/>
  </si>
  <si>
    <t>이주희</t>
    <phoneticPr fontId="9" type="noConversion"/>
  </si>
  <si>
    <t>한윤미</t>
    <phoneticPr fontId="9" type="noConversion"/>
  </si>
  <si>
    <t>070-5054-7341</t>
    <phoneticPr fontId="9" type="noConversion"/>
  </si>
  <si>
    <t>070-5209-2004</t>
    <phoneticPr fontId="9" type="noConversion"/>
  </si>
  <si>
    <t>기초 조리</t>
    <phoneticPr fontId="5" type="noConversion"/>
  </si>
  <si>
    <t>디저트 조리</t>
    <phoneticPr fontId="9" type="noConversion"/>
  </si>
  <si>
    <t>식품 과학</t>
    <phoneticPr fontId="9" type="noConversion"/>
  </si>
  <si>
    <t>청소년 기업가정신</t>
    <phoneticPr fontId="9" type="noConversion"/>
  </si>
  <si>
    <t>한식 조리</t>
    <phoneticPr fontId="5" type="noConversion"/>
  </si>
  <si>
    <t>양식 조리</t>
    <phoneticPr fontId="5" type="noConversion"/>
  </si>
  <si>
    <t>제과</t>
    <phoneticPr fontId="5" type="noConversion"/>
  </si>
  <si>
    <t>제빵</t>
    <phoneticPr fontId="5" type="noConversion"/>
  </si>
  <si>
    <t>바텐더</t>
    <phoneticPr fontId="9" type="noConversion"/>
  </si>
  <si>
    <t>외식창업경영 코스</t>
    <phoneticPr fontId="9" type="noConversion"/>
  </si>
  <si>
    <t>아시안푸드조리 코스</t>
    <phoneticPr fontId="9" type="noConversion"/>
  </si>
  <si>
    <t>외식 운영 관리</t>
    <phoneticPr fontId="9" type="noConversion"/>
  </si>
  <si>
    <t>중식 조리</t>
    <phoneticPr fontId="9" type="noConversion"/>
  </si>
  <si>
    <t>시도지정</t>
    <phoneticPr fontId="9" type="noConversion"/>
  </si>
  <si>
    <t>고시외</t>
    <phoneticPr fontId="9" type="noConversion"/>
  </si>
  <si>
    <t>한식 조리</t>
    <phoneticPr fontId="9" type="noConversion"/>
  </si>
  <si>
    <t>양식 조리</t>
    <phoneticPr fontId="9" type="noConversion"/>
  </si>
  <si>
    <t>제과</t>
    <phoneticPr fontId="9" type="noConversion"/>
  </si>
  <si>
    <t>제빵</t>
    <phoneticPr fontId="9" type="noConversion"/>
  </si>
  <si>
    <t>2102010222_23v1</t>
  </si>
  <si>
    <t>떡제조</t>
    <phoneticPr fontId="9" type="noConversion"/>
  </si>
  <si>
    <t>한식 국 · 탕조리</t>
  </si>
  <si>
    <t>1301010104_21v4</t>
  </si>
  <si>
    <t>한식 죽 조리</t>
  </si>
  <si>
    <t>1301010122_21v4</t>
  </si>
  <si>
    <t>한식 전·적조리</t>
  </si>
  <si>
    <t>1301010127_21v4</t>
  </si>
  <si>
    <t>한식 숙채조리</t>
  </si>
  <si>
    <t>1301010130_21v4</t>
  </si>
  <si>
    <t>양식 기초 조리실무</t>
  </si>
  <si>
    <t>1301010216_21v4</t>
  </si>
  <si>
    <t>양식 조식조리</t>
  </si>
  <si>
    <t>1301010210_21v4</t>
  </si>
  <si>
    <t>양식 소스조리</t>
  </si>
  <si>
    <t>1301010203_21v4</t>
  </si>
  <si>
    <t>양식 파스타조리</t>
  </si>
  <si>
    <t>1301010209_21v4</t>
  </si>
  <si>
    <t>과자류제품 재료혼합</t>
  </si>
  <si>
    <t>2102010102_18v4</t>
  </si>
  <si>
    <t>과자류제품 반죽익힘</t>
  </si>
  <si>
    <t>2102010104_18v4</t>
  </si>
  <si>
    <t>구움과자류 만들기</t>
  </si>
  <si>
    <t>2102010118_23v1</t>
  </si>
  <si>
    <t>기본 케이크류 만들기</t>
  </si>
  <si>
    <t>2102010117_23v1</t>
  </si>
  <si>
    <t>빵류제품 스트레이트 반죽</t>
  </si>
  <si>
    <t>2102010214_23v5</t>
  </si>
  <si>
    <t>식빵류 만들기</t>
  </si>
  <si>
    <t>2102010214_23v1</t>
  </si>
  <si>
    <t>조리빵 만들기</t>
  </si>
  <si>
    <t>2102010218_23v2</t>
  </si>
  <si>
    <t>단과자빵류 만들기</t>
  </si>
  <si>
    <t>음료 특성 분석</t>
  </si>
  <si>
    <t>1301020402_23v4</t>
  </si>
  <si>
    <t>칵테일 기법 실무</t>
  </si>
  <si>
    <t>1301020410_23v4</t>
  </si>
  <si>
    <t>메뉴 개발</t>
  </si>
  <si>
    <t>1301020406_23v4</t>
  </si>
  <si>
    <t>칵테일 조주 실무</t>
  </si>
  <si>
    <t>1301020411_23v4</t>
  </si>
  <si>
    <t>식자재 관리</t>
  </si>
  <si>
    <t>1301030102_21v2</t>
  </si>
  <si>
    <t>매장 안전관리</t>
  </si>
  <si>
    <t>1301030108_21v2</t>
  </si>
  <si>
    <t>매장 마케팅관리</t>
  </si>
  <si>
    <t>1301030109_21v2</t>
  </si>
  <si>
    <t>외식고객 서비스관리</t>
  </si>
  <si>
    <t>1301030101_21v2</t>
  </si>
  <si>
    <t>커피기계운용</t>
  </si>
  <si>
    <t>1301020324_23v4</t>
  </si>
  <si>
    <t>에스프레소 추출</t>
  </si>
  <si>
    <t>1301020314_23v4</t>
  </si>
  <si>
    <t>라떼아트</t>
  </si>
  <si>
    <t>1301020318_23v4</t>
  </si>
  <si>
    <t>에스프레소 응용 메뉴 제조</t>
  </si>
  <si>
    <t>1301020316_23v4</t>
  </si>
  <si>
    <t>중식 기초 조리실무</t>
  </si>
  <si>
    <t>1301010320_21v4</t>
  </si>
  <si>
    <t>중식 면조리</t>
  </si>
  <si>
    <t>1301010312_21v4</t>
  </si>
  <si>
    <t>중식 튀김조리</t>
  </si>
  <si>
    <t>1301010308_21v4</t>
  </si>
  <si>
    <t>중식 볶음조리</t>
  </si>
  <si>
    <t>1301010307_21v4</t>
  </si>
  <si>
    <t>설기떡류 만들기</t>
  </si>
  <si>
    <t>2102010301_18v2</t>
  </si>
  <si>
    <t>켜떡류 만들기</t>
  </si>
  <si>
    <t>2102010302_18v3</t>
  </si>
  <si>
    <t>찌는 찰떡류 만들기</t>
  </si>
  <si>
    <t>2102010326_18v2</t>
  </si>
  <si>
    <t>경단류 만들기</t>
  </si>
  <si>
    <t>2102010315_18v3</t>
  </si>
  <si>
    <t>문화예술디자인방송</t>
  </si>
  <si>
    <t>문화콘텐츠과</t>
  </si>
  <si>
    <t>경영사무과</t>
  </si>
  <si>
    <t>미디어콘텐츠과</t>
    <phoneticPr fontId="9" type="noConversion"/>
  </si>
  <si>
    <t>영상디자이너, 방송편집기사, 촬영기사, 경영지원사무원</t>
    <phoneticPr fontId="9" type="noConversion"/>
  </si>
  <si>
    <t>미디어 콘텐츠 일반</t>
    <phoneticPr fontId="9" type="noConversion"/>
  </si>
  <si>
    <t>상업 경제</t>
    <phoneticPr fontId="5" type="noConversion"/>
  </si>
  <si>
    <t>회계 원리</t>
    <phoneticPr fontId="9" type="noConversion"/>
  </si>
  <si>
    <t>컴퓨터 그래픽</t>
    <phoneticPr fontId="9" type="noConversion"/>
  </si>
  <si>
    <t>영상 제작 기초</t>
    <phoneticPr fontId="9" type="noConversion"/>
  </si>
  <si>
    <t>드론 기초</t>
    <phoneticPr fontId="5" type="noConversion"/>
  </si>
  <si>
    <t>청소년 기업가 정신</t>
    <phoneticPr fontId="5" type="noConversion"/>
  </si>
  <si>
    <t>사무 행정</t>
    <phoneticPr fontId="5" type="noConversion"/>
  </si>
  <si>
    <t>디지털 디자인</t>
    <phoneticPr fontId="5" type="noConversion"/>
  </si>
  <si>
    <t>영화 콘텐츠 제작</t>
    <phoneticPr fontId="5" type="noConversion"/>
  </si>
  <si>
    <t>소셜미디어 방송서비스</t>
    <phoneticPr fontId="5" type="noConversion"/>
  </si>
  <si>
    <t>드론 콘텐츠 제작</t>
    <phoneticPr fontId="5" type="noConversion"/>
  </si>
  <si>
    <t>경영금융</t>
    <phoneticPr fontId="9" type="noConversion"/>
  </si>
  <si>
    <t>광고 콘텐츠 제작</t>
    <phoneticPr fontId="5" type="noConversion"/>
  </si>
  <si>
    <t>전공선택
(택1)</t>
    <phoneticPr fontId="9" type="noConversion"/>
  </si>
  <si>
    <t>방송 일반</t>
    <phoneticPr fontId="9" type="noConversion"/>
  </si>
  <si>
    <t>방송 콘텐츠 제작</t>
    <phoneticPr fontId="9" type="noConversion"/>
  </si>
  <si>
    <t>실용 사진</t>
    <phoneticPr fontId="9" type="noConversion"/>
  </si>
  <si>
    <t>AI 영상 제작</t>
    <phoneticPr fontId="9" type="noConversion"/>
  </si>
  <si>
    <t>회계 정보 처리 시스템</t>
    <phoneticPr fontId="9" type="noConversion"/>
  </si>
  <si>
    <t>기업 자원 통합 관리</t>
    <phoneticPr fontId="9" type="noConversion"/>
  </si>
  <si>
    <t>회계 실무</t>
    <phoneticPr fontId="9" type="noConversion"/>
  </si>
  <si>
    <t>비서</t>
    <phoneticPr fontId="9" type="noConversion"/>
  </si>
  <si>
    <t>AI 마케팅 콘텐츠 제작</t>
    <phoneticPr fontId="9" type="noConversion"/>
  </si>
  <si>
    <t>영상디자이너</t>
    <phoneticPr fontId="9" type="noConversion"/>
  </si>
  <si>
    <t>경영지원사무원</t>
    <phoneticPr fontId="9" type="noConversion"/>
  </si>
  <si>
    <t>프로그램 기획</t>
    <phoneticPr fontId="9" type="noConversion"/>
  </si>
  <si>
    <t>0803020101_16v2</t>
    <phoneticPr fontId="9" type="noConversion"/>
  </si>
  <si>
    <t>프로그램 구성</t>
    <phoneticPr fontId="9" type="noConversion"/>
  </si>
  <si>
    <t>0803020113_16v3</t>
    <phoneticPr fontId="9" type="noConversion"/>
  </si>
  <si>
    <t>제작편집</t>
    <phoneticPr fontId="9" type="noConversion"/>
  </si>
  <si>
    <t>0803020120_16v3</t>
    <phoneticPr fontId="9" type="noConversion"/>
  </si>
  <si>
    <t>종합편집</t>
    <phoneticPr fontId="9" type="noConversion"/>
  </si>
  <si>
    <t>0803020123_23v3</t>
    <phoneticPr fontId="9" type="noConversion"/>
  </si>
  <si>
    <t>광고 콘텐츠 제작</t>
    <phoneticPr fontId="9" type="noConversion"/>
  </si>
  <si>
    <t>제작기획</t>
    <phoneticPr fontId="9" type="noConversion"/>
  </si>
  <si>
    <t>영화 콘텐츠 제작</t>
    <phoneticPr fontId="9" type="noConversion"/>
  </si>
  <si>
    <t>0803020203_22v3</t>
    <phoneticPr fontId="9" type="noConversion"/>
  </si>
  <si>
    <t>시나리오창작</t>
    <phoneticPr fontId="9" type="noConversion"/>
  </si>
  <si>
    <t>0803020211_16v2</t>
  </si>
  <si>
    <t>촬영</t>
    <phoneticPr fontId="9" type="noConversion"/>
  </si>
  <si>
    <t>0803020213_16v2</t>
    <phoneticPr fontId="9" type="noConversion"/>
  </si>
  <si>
    <t>편집</t>
    <phoneticPr fontId="9" type="noConversion"/>
  </si>
  <si>
    <t>0803020221_16v2</t>
  </si>
  <si>
    <t>디지털디자인 프로젝트 기초조사</t>
  </si>
  <si>
    <t>0802010409_16v2</t>
  </si>
  <si>
    <t>프로토타입 제작 및 사용성 테스트</t>
  </si>
  <si>
    <t>0802010414_16v2</t>
  </si>
  <si>
    <t>디자인 구성요소 제작</t>
  </si>
  <si>
    <t>0802010416_23v3</t>
  </si>
  <si>
    <t>사무 행정</t>
    <phoneticPr fontId="9" type="noConversion"/>
  </si>
  <si>
    <t>문서관리</t>
    <phoneticPr fontId="9" type="noConversion"/>
  </si>
  <si>
    <t xml:space="preserve">0202030202_22v3	</t>
    <phoneticPr fontId="9" type="noConversion"/>
  </si>
  <si>
    <t>문서작성</t>
    <phoneticPr fontId="9" type="noConversion"/>
  </si>
  <si>
    <t xml:space="preserve">	0202030201_22v3</t>
    <phoneticPr fontId="9" type="noConversion"/>
  </si>
  <si>
    <t>사무행정 업무 관리</t>
    <phoneticPr fontId="9" type="noConversion"/>
  </si>
  <si>
    <t xml:space="preserve">	0202030207_22v4</t>
    <phoneticPr fontId="9" type="noConversion"/>
  </si>
  <si>
    <t>사무자동화 프로그램 활용</t>
    <phoneticPr fontId="9" type="noConversion"/>
  </si>
  <si>
    <t>0202030209_22v2</t>
    <phoneticPr fontId="9" type="noConversion"/>
  </si>
  <si>
    <t>0203020101_20v4</t>
    <phoneticPr fontId="9" type="noConversion"/>
  </si>
  <si>
    <t xml:space="preserve">	0203020102_20v4</t>
    <phoneticPr fontId="9" type="noConversion"/>
  </si>
  <si>
    <t>0203020104_23v5</t>
    <phoneticPr fontId="9" type="noConversion"/>
  </si>
  <si>
    <t xml:space="preserve">	0203020105_20v4	</t>
    <phoneticPr fontId="9" type="noConversion"/>
  </si>
  <si>
    <t>경영진 지원업무</t>
    <phoneticPr fontId="9" type="noConversion"/>
  </si>
  <si>
    <t>0202030101_22v2</t>
    <phoneticPr fontId="9" type="noConversion"/>
  </si>
  <si>
    <t>응대업무</t>
    <phoneticPr fontId="9" type="noConversion"/>
  </si>
  <si>
    <t>0202030105_22v2</t>
    <phoneticPr fontId="9" type="noConversion"/>
  </si>
  <si>
    <t>경영진 문서 작성관리</t>
    <phoneticPr fontId="9" type="noConversion"/>
  </si>
  <si>
    <t>0202030107_22v3</t>
    <phoneticPr fontId="9" type="noConversion"/>
  </si>
  <si>
    <t>비서 사무정보관리</t>
    <phoneticPr fontId="9" type="noConversion"/>
  </si>
  <si>
    <t>0202030109_22v2</t>
    <phoneticPr fontId="9" type="noConversion"/>
  </si>
  <si>
    <t>드론 콘텐츠 제작</t>
    <phoneticPr fontId="9" type="noConversion"/>
  </si>
  <si>
    <t>소셜미디어 방송서비스</t>
    <phoneticPr fontId="9" type="noConversion"/>
  </si>
  <si>
    <t>실용사진</t>
    <phoneticPr fontId="9" type="noConversion"/>
  </si>
  <si>
    <t>AI영상제작</t>
    <phoneticPr fontId="9" type="noConversion"/>
  </si>
  <si>
    <t>소셜미디어 콘텐츠 분석</t>
  </si>
  <si>
    <t>2003030606_19v1</t>
  </si>
  <si>
    <t>소셜미디어 기획</t>
  </si>
  <si>
    <t>2003030601_19v1</t>
  </si>
  <si>
    <t>소셜미디어 라이브(생방송)운용</t>
  </si>
  <si>
    <t>2003030604_19v1</t>
  </si>
  <si>
    <t>소셜미디어 마케팅</t>
  </si>
  <si>
    <t>2003030607_19v1</t>
  </si>
  <si>
    <t>드론 예체능</t>
  </si>
  <si>
    <t>0803021210_18v1</t>
  </si>
  <si>
    <t>드론 콘텐츠 연출</t>
  </si>
  <si>
    <t>드론 영상 촬영</t>
  </si>
  <si>
    <t>0803021208_18v1</t>
  </si>
  <si>
    <t>드론 영상 편집</t>
  </si>
  <si>
    <t>0803021209_18v1</t>
  </si>
  <si>
    <t>인물촬영</t>
  </si>
  <si>
    <t>0801020216_19v3</t>
  </si>
  <si>
    <t>제품촬영</t>
  </si>
  <si>
    <t>0801020217_19v3</t>
  </si>
  <si>
    <t>풍경촬영</t>
  </si>
  <si>
    <t>0801020218_19v3</t>
  </si>
  <si>
    <t>특수사진촬영</t>
  </si>
  <si>
    <t>0801020225_19v1</t>
  </si>
  <si>
    <t>가상 현실 콘텐츠 기획</t>
  </si>
  <si>
    <t>2002040113_22v2</t>
  </si>
  <si>
    <t>촬영/녹화</t>
  </si>
  <si>
    <t>영상 소스 후반 작업</t>
  </si>
  <si>
    <t>2002040104_22v2</t>
  </si>
  <si>
    <t>0803040110_15v2</t>
  </si>
  <si>
    <t>원가계산</t>
    <phoneticPr fontId="9" type="noConversion"/>
  </si>
  <si>
    <t>0203020103_20v4</t>
    <phoneticPr fontId="9" type="noConversion"/>
  </si>
  <si>
    <t>디지털 
디자인</t>
    <phoneticPr fontId="9" type="noConversion"/>
  </si>
  <si>
    <t>디자인 구성요소 설계</t>
    <phoneticPr fontId="9" type="noConversion"/>
  </si>
  <si>
    <t>0802010415_23v3</t>
    <phoneticPr fontId="9" type="noConversion"/>
  </si>
  <si>
    <t>광고 전략 수립</t>
  </si>
  <si>
    <t>0803020402_16v2</t>
  </si>
  <si>
    <t>제작 준비</t>
  </si>
  <si>
    <t>0803020405_16v2</t>
  </si>
  <si>
    <t>제작 기획</t>
  </si>
  <si>
    <t>0803020412_16v2</t>
  </si>
  <si>
    <t>촬영 제작</t>
  </si>
  <si>
    <t>0803020414_16v2</t>
  </si>
  <si>
    <t>0803021203_24v2</t>
    <phoneticPr fontId="9" type="noConversion"/>
  </si>
  <si>
    <t>0803040106_15v2</t>
    <phoneticPr fontId="9" type="noConversion"/>
  </si>
  <si>
    <t>최종완성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</si>
</sst>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i/>
      <sz val="11"/>
      <color rgb="FF0070C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/>
  </cellStyleXfs>
  <cellXfs count="59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1" fillId="0" borderId="20" xfId="0" applyFont="1" applyBorder="1" applyAlignment="1">
      <alignment vertical="center"/>
    </xf>
    <xf numFmtId="0" fontId="13" fillId="10" borderId="90" xfId="6" applyFont="1" applyFill="1" applyBorder="1" applyAlignment="1" applyProtection="1">
      <alignment horizontal="center" vertical="center" wrapText="1"/>
    </xf>
    <xf numFmtId="0" fontId="12" fillId="12" borderId="91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2" fillId="12" borderId="92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25" fillId="3" borderId="55" xfId="3" applyFont="1" applyBorder="1" applyAlignment="1" applyProtection="1">
      <alignment horizontal="center" vertical="center"/>
      <protection locked="0"/>
    </xf>
    <xf numFmtId="0" fontId="28" fillId="11" borderId="92" xfId="7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5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5" xfId="0" applyFont="1" applyBorder="1" applyAlignment="1" applyProtection="1">
      <alignment horizontal="center" vertical="center"/>
      <protection locked="0"/>
    </xf>
    <xf numFmtId="0" fontId="12" fillId="0" borderId="105" xfId="0" applyFont="1" applyBorder="1" applyAlignment="1" applyProtection="1">
      <alignment horizontal="center" vertical="center" shrinkToFit="1"/>
      <protection locked="0"/>
    </xf>
    <xf numFmtId="0" fontId="32" fillId="0" borderId="8" xfId="0" applyFont="1" applyBorder="1" applyAlignment="1" applyProtection="1">
      <alignment horizontal="center" vertical="center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4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89" xfId="4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94" xfId="4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72" xfId="4" applyFont="1" applyFill="1" applyBorder="1" applyAlignment="1" applyProtection="1">
      <alignment horizontal="center" vertical="center" wrapText="1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8" borderId="125" xfId="16" applyFont="1" applyFill="1" applyBorder="1" applyAlignment="1">
      <alignment horizontal="center" vertical="center"/>
    </xf>
    <xf numFmtId="0" fontId="35" fillId="0" borderId="126" xfId="16" applyFont="1" applyBorder="1" applyAlignment="1">
      <alignment vertical="center"/>
    </xf>
    <xf numFmtId="0" fontId="35" fillId="0" borderId="27" xfId="16" applyFont="1" applyBorder="1" applyAlignment="1">
      <alignment vertical="center"/>
    </xf>
    <xf numFmtId="0" fontId="35" fillId="0" borderId="24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28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3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18" xfId="16" applyFont="1" applyBorder="1" applyAlignment="1">
      <alignment vertical="center"/>
    </xf>
    <xf numFmtId="0" fontId="35" fillId="20" borderId="139" xfId="16" applyFont="1" applyFill="1" applyBorder="1" applyAlignment="1">
      <alignment horizontal="center" vertical="center" wrapText="1"/>
    </xf>
    <xf numFmtId="0" fontId="35" fillId="20" borderId="140" xfId="16" applyFont="1" applyFill="1" applyBorder="1" applyAlignment="1">
      <alignment horizontal="center" vertical="center" wrapText="1"/>
    </xf>
    <xf numFmtId="0" fontId="48" fillId="20" borderId="140" xfId="16" applyFont="1" applyFill="1" applyBorder="1" applyAlignment="1">
      <alignment horizontal="center" vertical="center" wrapText="1"/>
    </xf>
    <xf numFmtId="0" fontId="48" fillId="20" borderId="141" xfId="16" applyFont="1" applyFill="1" applyBorder="1" applyAlignment="1">
      <alignment horizontal="center" vertical="center" wrapText="1"/>
    </xf>
    <xf numFmtId="0" fontId="35" fillId="0" borderId="20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9" fillId="0" borderId="145" xfId="16" applyFont="1" applyBorder="1" applyAlignment="1">
      <alignment horizontal="center" vertical="center" wrapText="1"/>
    </xf>
    <xf numFmtId="0" fontId="49" fillId="0" borderId="147" xfId="16" applyFont="1" applyBorder="1" applyAlignment="1">
      <alignment horizontal="center" vertical="center" wrapText="1"/>
    </xf>
    <xf numFmtId="0" fontId="49" fillId="0" borderId="151" xfId="16" applyFont="1" applyBorder="1" applyAlignment="1">
      <alignment horizontal="center" vertical="center" wrapText="1"/>
    </xf>
    <xf numFmtId="0" fontId="49" fillId="0" borderId="152" xfId="16" applyFont="1" applyBorder="1" applyAlignment="1">
      <alignment horizontal="center" vertical="center" wrapText="1"/>
    </xf>
    <xf numFmtId="0" fontId="49" fillId="0" borderId="155" xfId="16" applyFont="1" applyBorder="1" applyAlignment="1">
      <alignment horizontal="center" vertical="center" wrapText="1"/>
    </xf>
    <xf numFmtId="0" fontId="49" fillId="0" borderId="156" xfId="16" applyFont="1" applyBorder="1" applyAlignment="1">
      <alignment horizontal="center" vertical="center" wrapText="1"/>
    </xf>
    <xf numFmtId="0" fontId="49" fillId="0" borderId="158" xfId="16" applyFont="1" applyBorder="1" applyAlignment="1">
      <alignment horizontal="center" vertical="center" wrapText="1"/>
    </xf>
    <xf numFmtId="0" fontId="35" fillId="0" borderId="158" xfId="16" applyFont="1" applyBorder="1" applyAlignment="1">
      <alignment horizontal="center" vertical="center" wrapText="1"/>
    </xf>
    <xf numFmtId="0" fontId="49" fillId="0" borderId="159" xfId="16" applyFont="1" applyBorder="1" applyAlignment="1">
      <alignment horizontal="center" vertical="center" wrapText="1"/>
    </xf>
    <xf numFmtId="0" fontId="35" fillId="0" borderId="152" xfId="16" applyFont="1" applyBorder="1" applyAlignment="1">
      <alignment horizontal="center" vertical="center" wrapText="1"/>
    </xf>
    <xf numFmtId="0" fontId="35" fillId="0" borderId="155" xfId="16" applyFont="1" applyBorder="1" applyAlignment="1">
      <alignment horizontal="center" vertical="center" wrapText="1"/>
    </xf>
    <xf numFmtId="0" fontId="49" fillId="0" borderId="131" xfId="16" applyFont="1" applyBorder="1" applyAlignment="1">
      <alignment horizontal="center" vertical="center" wrapText="1"/>
    </xf>
    <xf numFmtId="0" fontId="51" fillId="20" borderId="131" xfId="16" applyFont="1" applyFill="1" applyBorder="1" applyAlignment="1">
      <alignment horizontal="center" vertical="center" wrapText="1"/>
    </xf>
    <xf numFmtId="0" fontId="52" fillId="0" borderId="152" xfId="16" applyFont="1" applyBorder="1" applyAlignment="1">
      <alignment horizontal="center" vertical="center" wrapText="1"/>
    </xf>
    <xf numFmtId="0" fontId="52" fillId="0" borderId="130" xfId="16" applyFont="1" applyBorder="1" applyAlignment="1">
      <alignment horizontal="center" vertical="center" wrapText="1"/>
    </xf>
    <xf numFmtId="0" fontId="51" fillId="0" borderId="131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3" fillId="0" borderId="0" xfId="16" applyFont="1" applyBorder="1" applyAlignment="1">
      <alignment horizontal="center" vertical="center"/>
    </xf>
    <xf numFmtId="0" fontId="47" fillId="0" borderId="131" xfId="16" applyFont="1" applyBorder="1" applyAlignment="1">
      <alignment horizontal="center" vertical="center"/>
    </xf>
    <xf numFmtId="0" fontId="47" fillId="19" borderId="152" xfId="16" applyFont="1" applyFill="1" applyBorder="1" applyAlignment="1">
      <alignment horizontal="center" vertical="center"/>
    </xf>
    <xf numFmtId="0" fontId="47" fillId="19" borderId="130" xfId="16" applyFont="1" applyFill="1" applyBorder="1" applyAlignment="1">
      <alignment horizontal="center" vertical="center" wrapText="1"/>
    </xf>
    <xf numFmtId="0" fontId="53" fillId="0" borderId="152" xfId="16" applyFont="1" applyBorder="1" applyAlignment="1">
      <alignment horizontal="center" vertical="center" wrapText="1"/>
    </xf>
    <xf numFmtId="0" fontId="53" fillId="0" borderId="131" xfId="16" applyFont="1" applyBorder="1" applyAlignment="1">
      <alignment horizontal="center" vertical="center" wrapText="1"/>
    </xf>
    <xf numFmtId="0" fontId="47" fillId="0" borderId="152" xfId="16" applyFont="1" applyBorder="1" applyAlignment="1">
      <alignment horizontal="center" vertical="center" wrapText="1"/>
    </xf>
    <xf numFmtId="0" fontId="47" fillId="0" borderId="131" xfId="16" applyFont="1" applyBorder="1" applyAlignment="1">
      <alignment horizontal="center" vertical="center" wrapText="1"/>
    </xf>
    <xf numFmtId="0" fontId="35" fillId="0" borderId="152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7" fillId="19" borderId="131" xfId="16" applyFont="1" applyFill="1" applyBorder="1" applyAlignment="1">
      <alignment horizontal="center" vertical="center"/>
    </xf>
    <xf numFmtId="0" fontId="47" fillId="0" borderId="130" xfId="16" applyFont="1" applyBorder="1" applyAlignment="1">
      <alignment horizontal="center" vertical="center"/>
    </xf>
    <xf numFmtId="0" fontId="47" fillId="0" borderId="152" xfId="16" applyFont="1" applyBorder="1" applyAlignment="1">
      <alignment horizontal="center" vertical="center"/>
    </xf>
    <xf numFmtId="0" fontId="54" fillId="0" borderId="152" xfId="16" applyFont="1" applyBorder="1" applyAlignment="1">
      <alignment horizontal="center" vertical="center"/>
    </xf>
    <xf numFmtId="0" fontId="54" fillId="0" borderId="131" xfId="16" applyFont="1" applyBorder="1" applyAlignment="1">
      <alignment horizontal="center" vertical="center"/>
    </xf>
    <xf numFmtId="0" fontId="35" fillId="0" borderId="138" xfId="16" applyFont="1" applyBorder="1" applyAlignment="1">
      <alignment vertical="center"/>
    </xf>
    <xf numFmtId="0" fontId="35" fillId="0" borderId="136" xfId="16" applyFont="1" applyBorder="1" applyAlignment="1">
      <alignment vertical="center"/>
    </xf>
    <xf numFmtId="0" fontId="35" fillId="0" borderId="163" xfId="16" applyFont="1" applyBorder="1" applyAlignment="1">
      <alignment vertical="center"/>
    </xf>
    <xf numFmtId="0" fontId="35" fillId="0" borderId="164" xfId="16" applyFont="1" applyBorder="1" applyAlignment="1">
      <alignment vertical="center"/>
    </xf>
    <xf numFmtId="0" fontId="35" fillId="0" borderId="110" xfId="16" applyFont="1" applyBorder="1" applyAlignment="1">
      <alignment vertical="center"/>
    </xf>
    <xf numFmtId="0" fontId="35" fillId="0" borderId="134" xfId="16" applyFont="1" applyBorder="1" applyAlignment="1">
      <alignment vertical="center"/>
    </xf>
    <xf numFmtId="0" fontId="35" fillId="0" borderId="166" xfId="16" applyFont="1" applyBorder="1" applyAlignment="1">
      <alignment vertical="center"/>
    </xf>
    <xf numFmtId="0" fontId="35" fillId="0" borderId="167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1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3" fillId="15" borderId="68" xfId="4" applyFont="1" applyFill="1" applyBorder="1" applyAlignment="1" applyProtection="1">
      <alignment horizontal="center" vertical="center" wrapText="1"/>
    </xf>
    <xf numFmtId="0" fontId="13" fillId="15" borderId="97" xfId="4" applyFont="1" applyFill="1" applyBorder="1" applyAlignment="1" applyProtection="1">
      <alignment horizontal="center" vertical="center" wrapText="1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79" xfId="0" applyBorder="1" applyProtection="1">
      <alignment vertical="center"/>
      <protection locked="0"/>
    </xf>
    <xf numFmtId="0" fontId="13" fillId="15" borderId="14" xfId="4" applyFont="1" applyFill="1" applyBorder="1" applyAlignment="1" applyProtection="1">
      <alignment horizontal="center" vertical="center" shrinkToFit="1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60" fillId="0" borderId="0" xfId="0" applyFont="1" applyProtection="1">
      <alignment vertical="center"/>
      <protection locked="0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0" borderId="57" xfId="4" applyFont="1" applyFill="1" applyBorder="1" applyAlignment="1" applyProtection="1">
      <alignment horizontal="center" vertical="center" wrapText="1"/>
    </xf>
    <xf numFmtId="0" fontId="13" fillId="15" borderId="58" xfId="4" applyFont="1" applyFill="1" applyBorder="1" applyAlignment="1" applyProtection="1">
      <alignment horizontal="center" vertical="center" wrapText="1"/>
    </xf>
    <xf numFmtId="0" fontId="13" fillId="0" borderId="96" xfId="4" applyFont="1" applyFill="1" applyBorder="1" applyAlignment="1" applyProtection="1">
      <alignment horizontal="center" vertical="center" wrapText="1"/>
    </xf>
    <xf numFmtId="0" fontId="13" fillId="0" borderId="65" xfId="4" applyFont="1" applyFill="1" applyBorder="1" applyAlignment="1" applyProtection="1">
      <alignment vertical="center" wrapText="1"/>
    </xf>
    <xf numFmtId="0" fontId="13" fillId="0" borderId="89" xfId="4" applyFont="1" applyFill="1" applyBorder="1" applyAlignment="1" applyProtection="1">
      <alignment vertical="center" wrapText="1"/>
    </xf>
    <xf numFmtId="0" fontId="37" fillId="9" borderId="91" xfId="7" applyFont="1" applyFill="1" applyBorder="1" applyAlignment="1">
      <alignment horizontal="center" vertical="center" shrinkToFit="1"/>
    </xf>
    <xf numFmtId="0" fontId="20" fillId="9" borderId="91" xfId="7" applyFont="1" applyFill="1" applyBorder="1" applyAlignment="1">
      <alignment horizontal="center" vertical="center" shrinkToFit="1"/>
    </xf>
    <xf numFmtId="176" fontId="38" fillId="9" borderId="91" xfId="7" applyNumberFormat="1" applyFont="1" applyFill="1" applyBorder="1" applyAlignment="1">
      <alignment horizontal="center" vertical="center" shrinkToFit="1"/>
    </xf>
    <xf numFmtId="176" fontId="37" fillId="9" borderId="91" xfId="7" applyNumberFormat="1" applyFont="1" applyFill="1" applyBorder="1" applyAlignment="1">
      <alignment horizontal="center" vertical="center" shrinkToFit="1"/>
    </xf>
    <xf numFmtId="176" fontId="0" fillId="0" borderId="91" xfId="0" applyNumberFormat="1" applyBorder="1" applyAlignment="1">
      <alignment horizontal="right" vertical="center"/>
    </xf>
    <xf numFmtId="176" fontId="0" fillId="0" borderId="29" xfId="0" applyNumberFormat="1" applyBorder="1" applyAlignment="1">
      <alignment horizontal="right" vertical="center"/>
    </xf>
    <xf numFmtId="0" fontId="37" fillId="9" borderId="15" xfId="7" applyFont="1" applyFill="1" applyBorder="1" applyAlignment="1">
      <alignment horizontal="center" vertical="center" shrinkToFit="1"/>
    </xf>
    <xf numFmtId="0" fontId="37" fillId="9" borderId="12" xfId="7" applyFont="1" applyFill="1" applyBorder="1" applyAlignment="1">
      <alignment horizontal="center" vertical="center" shrinkToFit="1"/>
    </xf>
    <xf numFmtId="0" fontId="20" fillId="9" borderId="15" xfId="7" applyFont="1" applyFill="1" applyBorder="1" applyAlignment="1">
      <alignment horizontal="center" vertical="center" shrinkToFit="1"/>
    </xf>
    <xf numFmtId="176" fontId="38" fillId="9" borderId="15" xfId="7" applyNumberFormat="1" applyFont="1" applyFill="1" applyBorder="1" applyAlignment="1">
      <alignment horizontal="center" vertical="center" shrinkToFit="1"/>
    </xf>
    <xf numFmtId="176" fontId="37" fillId="9" borderId="15" xfId="7" applyNumberFormat="1" applyFont="1" applyFill="1" applyBorder="1" applyAlignment="1">
      <alignment horizontal="center" vertical="center" shrinkToFit="1"/>
    </xf>
    <xf numFmtId="176" fontId="0" fillId="0" borderId="15" xfId="0" applyNumberFormat="1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0" fontId="20" fillId="9" borderId="12" xfId="7" applyFont="1" applyFill="1" applyBorder="1" applyAlignment="1">
      <alignment horizontal="center" vertical="center" shrinkToFit="1"/>
    </xf>
    <xf numFmtId="176" fontId="38" fillId="9" borderId="12" xfId="7" applyNumberFormat="1" applyFont="1" applyFill="1" applyBorder="1" applyAlignment="1">
      <alignment horizontal="center" vertical="center" shrinkToFit="1"/>
    </xf>
    <xf numFmtId="176" fontId="37" fillId="9" borderId="12" xfId="7" applyNumberFormat="1" applyFont="1" applyFill="1" applyBorder="1" applyAlignment="1">
      <alignment horizontal="center" vertical="center" shrinkToFit="1"/>
    </xf>
    <xf numFmtId="176" fontId="0" fillId="0" borderId="12" xfId="0" applyNumberFormat="1" applyBorder="1" applyAlignment="1">
      <alignment horizontal="right" vertical="center"/>
    </xf>
    <xf numFmtId="176" fontId="0" fillId="0" borderId="101" xfId="0" applyNumberFormat="1" applyBorder="1" applyAlignment="1">
      <alignment horizontal="right" vertical="center"/>
    </xf>
    <xf numFmtId="0" fontId="18" fillId="16" borderId="92" xfId="7" applyFont="1" applyFill="1" applyBorder="1" applyAlignment="1">
      <alignment horizontal="center" vertical="center" shrinkToFit="1"/>
    </xf>
    <xf numFmtId="0" fontId="36" fillId="16" borderId="92" xfId="7" applyFont="1" applyFill="1" applyBorder="1" applyAlignment="1">
      <alignment horizontal="center" vertical="center" shrinkToFit="1"/>
    </xf>
    <xf numFmtId="176" fontId="36" fillId="16" borderId="92" xfId="7" applyNumberFormat="1" applyFont="1" applyFill="1" applyBorder="1" applyAlignment="1">
      <alignment horizontal="center" vertical="center" shrinkToFit="1"/>
    </xf>
    <xf numFmtId="176" fontId="36" fillId="16" borderId="92" xfId="7" applyNumberFormat="1" applyFont="1" applyFill="1" applyBorder="1" applyAlignment="1">
      <alignment horizontal="right" vertical="center" shrinkToFit="1"/>
    </xf>
    <xf numFmtId="176" fontId="36" fillId="16" borderId="30" xfId="7" applyNumberFormat="1" applyFont="1" applyFill="1" applyBorder="1" applyAlignment="1">
      <alignment horizontal="right" vertical="center" shrinkToFit="1"/>
    </xf>
    <xf numFmtId="176" fontId="37" fillId="9" borderId="10" xfId="7" applyNumberFormat="1" applyFont="1" applyFill="1" applyBorder="1" applyAlignment="1">
      <alignment horizontal="center" vertical="center" shrinkToFit="1"/>
    </xf>
    <xf numFmtId="0" fontId="59" fillId="0" borderId="152" xfId="0" applyFont="1" applyBorder="1" applyAlignment="1">
      <alignment horizontal="center" vertical="center" wrapText="1"/>
    </xf>
    <xf numFmtId="0" fontId="58" fillId="0" borderId="130" xfId="0" applyFont="1" applyBorder="1" applyAlignment="1">
      <alignment horizontal="center" vertical="center" wrapText="1"/>
    </xf>
    <xf numFmtId="0" fontId="58" fillId="0" borderId="152" xfId="0" applyFont="1" applyBorder="1" applyAlignment="1">
      <alignment horizontal="center" vertical="center" wrapText="1"/>
    </xf>
    <xf numFmtId="0" fontId="61" fillId="0" borderId="152" xfId="0" applyFont="1" applyBorder="1" applyAlignment="1">
      <alignment horizontal="center" vertical="center" wrapText="1"/>
    </xf>
    <xf numFmtId="176" fontId="20" fillId="9" borderId="91" xfId="7" applyNumberFormat="1" applyFont="1" applyFill="1" applyBorder="1" applyAlignment="1">
      <alignment horizontal="center" vertical="center" shrinkToFit="1"/>
    </xf>
    <xf numFmtId="176" fontId="20" fillId="9" borderId="15" xfId="7" applyNumberFormat="1" applyFont="1" applyFill="1" applyBorder="1" applyAlignment="1">
      <alignment horizontal="center" vertical="center" shrinkToFi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15" borderId="180" xfId="4" applyFont="1" applyFill="1" applyBorder="1" applyAlignment="1" applyProtection="1">
      <alignment horizontal="center" vertical="center" wrapText="1"/>
    </xf>
    <xf numFmtId="0" fontId="13" fillId="15" borderId="181" xfId="4" applyFont="1" applyFill="1" applyBorder="1" applyAlignment="1" applyProtection="1">
      <alignment horizontal="center" vertical="center" shrinkToFit="1"/>
    </xf>
    <xf numFmtId="0" fontId="13" fillId="15" borderId="181" xfId="4" applyFont="1" applyFill="1" applyBorder="1" applyAlignment="1" applyProtection="1">
      <alignment horizontal="center" vertical="center" wrapText="1"/>
    </xf>
    <xf numFmtId="0" fontId="13" fillId="0" borderId="41" xfId="4" applyFont="1" applyFill="1" applyBorder="1" applyAlignment="1" applyProtection="1">
      <alignment vertical="center" wrapText="1"/>
    </xf>
    <xf numFmtId="0" fontId="28" fillId="11" borderId="92" xfId="7" applyFont="1" applyFill="1" applyBorder="1" applyAlignment="1">
      <alignment horizontal="center" vertical="center" wrapText="1"/>
    </xf>
    <xf numFmtId="0" fontId="37" fillId="9" borderId="0" xfId="7" applyFont="1" applyFill="1" applyAlignment="1">
      <alignment horizontal="center" vertical="center" shrinkToFit="1"/>
    </xf>
    <xf numFmtId="0" fontId="36" fillId="16" borderId="92" xfId="7" applyFont="1" applyFill="1" applyBorder="1" applyAlignment="1">
      <alignment horizontal="center" vertical="center" shrinkToFit="1"/>
    </xf>
    <xf numFmtId="176" fontId="37" fillId="9" borderId="108" xfId="7" applyNumberFormat="1" applyFont="1" applyFill="1" applyBorder="1" applyAlignment="1">
      <alignment horizontal="center" vertical="center" shrinkToFit="1"/>
    </xf>
    <xf numFmtId="176" fontId="37" fillId="0" borderId="91" xfId="7" applyNumberFormat="1" applyFont="1" applyBorder="1" applyAlignment="1">
      <alignment horizontal="center" vertical="center" shrinkToFit="1"/>
    </xf>
    <xf numFmtId="176" fontId="37" fillId="0" borderId="15" xfId="7" applyNumberFormat="1" applyFont="1" applyBorder="1" applyAlignment="1">
      <alignment horizontal="center" vertical="center" shrinkToFit="1"/>
    </xf>
    <xf numFmtId="176" fontId="37" fillId="0" borderId="12" xfId="7" applyNumberFormat="1" applyFont="1" applyBorder="1" applyAlignment="1">
      <alignment horizontal="center" vertical="center" shrinkToFit="1"/>
    </xf>
    <xf numFmtId="176" fontId="7" fillId="0" borderId="12" xfId="0" applyNumberFormat="1" applyFont="1" applyBorder="1" applyAlignment="1">
      <alignment horizontal="right" vertical="center"/>
    </xf>
    <xf numFmtId="176" fontId="7" fillId="0" borderId="101" xfId="0" applyNumberFormat="1" applyFont="1" applyBorder="1" applyAlignment="1">
      <alignment horizontal="right" vertical="center"/>
    </xf>
    <xf numFmtId="0" fontId="37" fillId="0" borderId="113" xfId="7" applyFont="1" applyBorder="1" applyAlignment="1">
      <alignment horizontal="center" vertical="center" shrinkToFit="1"/>
    </xf>
    <xf numFmtId="0" fontId="37" fillId="9" borderId="105" xfId="7" applyFont="1" applyFill="1" applyBorder="1" applyAlignment="1">
      <alignment horizontal="center" vertical="center" shrinkToFit="1"/>
    </xf>
    <xf numFmtId="0" fontId="37" fillId="0" borderId="111" xfId="7" applyFont="1" applyBorder="1" applyAlignment="1">
      <alignment horizontal="center" vertical="center" shrinkToFit="1"/>
    </xf>
    <xf numFmtId="0" fontId="37" fillId="9" borderId="114" xfId="7" applyFont="1" applyFill="1" applyBorder="1" applyAlignment="1">
      <alignment horizontal="center" vertical="center" shrinkToFit="1"/>
    </xf>
    <xf numFmtId="0" fontId="37" fillId="0" borderId="106" xfId="7" applyFont="1" applyBorder="1" applyAlignment="1">
      <alignment horizontal="center" vertical="center" shrinkToFit="1"/>
    </xf>
    <xf numFmtId="0" fontId="37" fillId="9" borderId="107" xfId="7" applyFont="1" applyFill="1" applyBorder="1" applyAlignment="1">
      <alignment horizontal="center" vertical="center" shrinkToFit="1"/>
    </xf>
    <xf numFmtId="0" fontId="37" fillId="9" borderId="31" xfId="7" applyFont="1" applyFill="1" applyBorder="1" applyAlignment="1">
      <alignment horizontal="center" vertical="center" shrinkToFit="1"/>
    </xf>
    <xf numFmtId="0" fontId="37" fillId="0" borderId="112" xfId="7" applyFont="1" applyBorder="1" applyAlignment="1">
      <alignment horizontal="center" vertical="center" shrinkToFit="1"/>
    </xf>
    <xf numFmtId="0" fontId="37" fillId="0" borderId="91" xfId="7" applyFont="1" applyBorder="1" applyAlignment="1">
      <alignment horizontal="center" vertical="center" shrinkToFit="1"/>
    </xf>
    <xf numFmtId="0" fontId="62" fillId="0" borderId="152" xfId="0" applyFont="1" applyBorder="1" applyAlignment="1">
      <alignment horizontal="center" vertical="center" wrapText="1"/>
    </xf>
    <xf numFmtId="0" fontId="7" fillId="0" borderId="15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62" fillId="0" borderId="152" xfId="0" applyFont="1" applyFill="1" applyBorder="1" applyAlignment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6" borderId="32" xfId="4" applyFont="1" applyFill="1" applyBorder="1" applyAlignment="1" applyProtection="1">
      <alignment horizontal="center" vertical="center" wrapText="1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104" xfId="4" applyFont="1" applyFill="1" applyBorder="1" applyAlignment="1" applyProtection="1">
      <alignment horizontal="center" vertical="center" wrapText="1"/>
      <protection locked="0"/>
    </xf>
    <xf numFmtId="0" fontId="13" fillId="0" borderId="16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28" xfId="4" applyFont="1" applyFill="1" applyBorder="1" applyAlignment="1" applyProtection="1">
      <alignment horizontal="center" vertical="center" wrapText="1"/>
      <protection locked="0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28" xfId="5" applyFont="1" applyFill="1" applyBorder="1" applyAlignment="1" applyProtection="1">
      <alignment horizontal="center" vertical="center" wrapText="1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84" xfId="6" applyFont="1" applyFill="1" applyBorder="1" applyAlignment="1" applyProtection="1">
      <alignment horizontal="center" vertical="center" wrapText="1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2" fillId="8" borderId="93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124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24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87" xfId="4" applyFont="1" applyFill="1" applyBorder="1" applyAlignment="1" applyProtection="1">
      <alignment horizontal="center" vertical="center" wrapText="1"/>
      <protection locked="0"/>
    </xf>
    <xf numFmtId="0" fontId="13" fillId="0" borderId="80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78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2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82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5" fillId="3" borderId="36" xfId="3" applyFont="1" applyBorder="1" applyAlignment="1" applyProtection="1">
      <alignment horizontal="center" vertical="center"/>
      <protection locked="0"/>
    </xf>
    <xf numFmtId="0" fontId="25" fillId="3" borderId="72" xfId="3" applyFont="1" applyBorder="1" applyAlignment="1" applyProtection="1">
      <alignment horizontal="center" vertical="center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72" xfId="4" applyFont="1" applyFill="1" applyBorder="1" applyAlignment="1" applyProtection="1">
      <alignment horizontal="center" vertical="center" wrapText="1"/>
      <protection locked="0"/>
    </xf>
    <xf numFmtId="0" fontId="13" fillId="0" borderId="169" xfId="4" applyFont="1" applyFill="1" applyBorder="1" applyAlignment="1" applyProtection="1">
      <alignment horizontal="center" vertical="center" wrapText="1"/>
      <protection locked="0"/>
    </xf>
    <xf numFmtId="0" fontId="13" fillId="0" borderId="99" xfId="4" applyFont="1" applyFill="1" applyBorder="1" applyAlignment="1" applyProtection="1">
      <alignment horizontal="center" vertical="center" wrapText="1"/>
      <protection locked="0"/>
    </xf>
    <xf numFmtId="0" fontId="13" fillId="0" borderId="18" xfId="4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39" fillId="15" borderId="14" xfId="0" applyFont="1" applyFill="1" applyBorder="1" applyAlignment="1">
      <alignment horizontal="center" vertical="center" wrapText="1"/>
    </xf>
    <xf numFmtId="0" fontId="39" fillId="15" borderId="17" xfId="0" applyFont="1" applyFill="1" applyBorder="1" applyAlignment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23" fillId="13" borderId="23" xfId="0" applyFont="1" applyFill="1" applyBorder="1" applyAlignment="1" applyProtection="1">
      <alignment horizontal="center" vertical="center"/>
      <protection locked="0"/>
    </xf>
    <xf numFmtId="0" fontId="23" fillId="13" borderId="28" xfId="0" applyFont="1" applyFill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13" fillId="0" borderId="28" xfId="0" applyFont="1" applyBorder="1" applyAlignment="1" applyProtection="1">
      <alignment horizontal="center" vertical="center" wrapText="1"/>
      <protection locked="0"/>
    </xf>
    <xf numFmtId="0" fontId="13" fillId="0" borderId="23" xfId="4" applyFont="1" applyFill="1" applyBorder="1" applyAlignment="1" applyProtection="1">
      <alignment horizontal="center" vertical="center" wrapText="1"/>
      <protection locked="0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53" xfId="2" applyFont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53" xfId="0" applyFont="1" applyFill="1" applyBorder="1" applyAlignment="1" applyProtection="1">
      <alignment horizontal="center" vertical="center" shrinkToFit="1"/>
      <protection locked="0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13" fillId="0" borderId="48" xfId="0" applyFont="1" applyFill="1" applyBorder="1" applyAlignment="1" applyProtection="1">
      <alignment horizontal="center" vertical="center" shrinkToFit="1"/>
      <protection locked="0"/>
    </xf>
    <xf numFmtId="0" fontId="13" fillId="0" borderId="59" xfId="0" applyFont="1" applyFill="1" applyBorder="1" applyAlignment="1" applyProtection="1">
      <alignment horizontal="center" vertical="center" shrinkToFit="1"/>
      <protection locked="0"/>
    </xf>
    <xf numFmtId="0" fontId="13" fillId="0" borderId="41" xfId="4" applyFont="1" applyFill="1" applyBorder="1" applyAlignment="1" applyProtection="1">
      <alignment horizontal="center" vertical="center" wrapText="1"/>
    </xf>
    <xf numFmtId="0" fontId="13" fillId="0" borderId="46" xfId="4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3" fillId="0" borderId="55" xfId="0" applyFont="1" applyFill="1" applyBorder="1" applyAlignment="1" applyProtection="1">
      <alignment horizontal="center" vertical="center" shrinkToFit="1"/>
      <protection locked="0"/>
    </xf>
    <xf numFmtId="0" fontId="13" fillId="0" borderId="52" xfId="0" applyFont="1" applyFill="1" applyBorder="1" applyAlignment="1" applyProtection="1">
      <alignment horizontal="center" vertical="center" shrinkToFit="1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9" xfId="0" applyFont="1" applyBorder="1" applyAlignment="1" applyProtection="1">
      <alignment horizontal="center" vertical="center" shrinkToFit="1"/>
      <protection locked="0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124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13" fillId="10" borderId="123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13" fillId="6" borderId="79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15" borderId="98" xfId="6" applyFont="1" applyFill="1" applyBorder="1" applyAlignment="1" applyProtection="1">
      <alignment horizontal="center" vertical="center" wrapText="1"/>
    </xf>
    <xf numFmtId="0" fontId="13" fillId="15" borderId="99" xfId="6" applyFont="1" applyFill="1" applyBorder="1" applyAlignment="1" applyProtection="1">
      <alignment horizontal="center" vertical="center" wrapText="1"/>
    </xf>
    <xf numFmtId="0" fontId="13" fillId="6" borderId="94" xfId="4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0" borderId="104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28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20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73" xfId="5" applyFont="1" applyFill="1" applyBorder="1" applyAlignment="1" applyProtection="1">
      <alignment horizontal="center" vertical="center" wrapText="1"/>
    </xf>
    <xf numFmtId="0" fontId="13" fillId="15" borderId="68" xfId="5" applyFont="1" applyFill="1" applyBorder="1" applyAlignment="1" applyProtection="1">
      <alignment horizontal="center" vertical="center" wrapText="1"/>
    </xf>
    <xf numFmtId="0" fontId="13" fillId="15" borderId="173" xfId="4" applyFont="1" applyFill="1" applyBorder="1" applyAlignment="1" applyProtection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174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175" xfId="4" applyFont="1" applyFill="1" applyBorder="1" applyAlignment="1" applyProtection="1">
      <alignment horizontal="center" vertical="center" wrapText="1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176" xfId="4" applyFont="1" applyFill="1" applyBorder="1" applyAlignment="1" applyProtection="1">
      <alignment horizontal="center" vertical="center" wrapText="1"/>
      <protection locked="0"/>
    </xf>
    <xf numFmtId="0" fontId="13" fillId="0" borderId="98" xfId="4" applyFont="1" applyFill="1" applyBorder="1" applyAlignment="1" applyProtection="1">
      <alignment horizontal="center" vertical="center" wrapText="1"/>
      <protection locked="0"/>
    </xf>
    <xf numFmtId="0" fontId="13" fillId="0" borderId="168" xfId="4" applyFont="1" applyFill="1" applyBorder="1" applyAlignment="1" applyProtection="1">
      <alignment horizontal="center" vertical="center" wrapText="1"/>
      <protection locked="0"/>
    </xf>
    <xf numFmtId="0" fontId="13" fillId="0" borderId="177" xfId="4" applyFont="1" applyFill="1" applyBorder="1" applyAlignment="1" applyProtection="1">
      <alignment horizontal="center" vertical="center" wrapText="1"/>
      <protection locked="0"/>
    </xf>
    <xf numFmtId="0" fontId="13" fillId="0" borderId="170" xfId="4" applyFont="1" applyFill="1" applyBorder="1" applyAlignment="1" applyProtection="1">
      <alignment horizontal="center" vertical="center" wrapText="1"/>
      <protection locked="0"/>
    </xf>
    <xf numFmtId="0" fontId="13" fillId="0" borderId="178" xfId="4" applyFont="1" applyFill="1" applyBorder="1" applyAlignment="1" applyProtection="1">
      <alignment horizontal="center" vertical="center" wrapText="1"/>
      <protection locked="0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36" fillId="16" borderId="92" xfId="7" applyFont="1" applyFill="1" applyBorder="1" applyAlignment="1">
      <alignment horizontal="center" vertical="center" shrinkToFit="1"/>
    </xf>
    <xf numFmtId="0" fontId="17" fillId="9" borderId="5" xfId="7" applyFont="1" applyFill="1" applyBorder="1" applyAlignment="1">
      <alignment horizontal="center" vertical="center" wrapText="1"/>
    </xf>
    <xf numFmtId="0" fontId="17" fillId="9" borderId="100" xfId="7" applyFont="1" applyFill="1" applyBorder="1" applyAlignment="1">
      <alignment horizontal="center" vertical="center" wrapText="1"/>
    </xf>
    <xf numFmtId="0" fontId="17" fillId="9" borderId="13" xfId="7" applyFont="1" applyFill="1" applyBorder="1" applyAlignment="1">
      <alignment horizontal="center" vertical="center" wrapText="1"/>
    </xf>
    <xf numFmtId="0" fontId="17" fillId="9" borderId="9" xfId="7" applyFont="1" applyFill="1" applyBorder="1" applyAlignment="1">
      <alignment horizontal="center" vertical="center" wrapText="1"/>
    </xf>
    <xf numFmtId="176" fontId="17" fillId="9" borderId="91" xfId="7" applyNumberFormat="1" applyFont="1" applyFill="1" applyBorder="1" applyAlignment="1">
      <alignment horizontal="center" vertical="center" wrapText="1"/>
    </xf>
    <xf numFmtId="176" fontId="17" fillId="9" borderId="12" xfId="7" applyNumberFormat="1" applyFont="1" applyFill="1" applyBorder="1" applyAlignment="1">
      <alignment horizontal="center" vertical="center" wrapText="1"/>
    </xf>
    <xf numFmtId="0" fontId="17" fillId="9" borderId="15" xfId="7" applyFont="1" applyFill="1" applyBorder="1" applyAlignment="1">
      <alignment horizontal="center" vertical="center" wrapText="1"/>
    </xf>
    <xf numFmtId="0" fontId="17" fillId="9" borderId="92" xfId="7" applyFont="1" applyFill="1" applyBorder="1" applyAlignment="1">
      <alignment horizontal="center" vertical="center" wrapText="1"/>
    </xf>
    <xf numFmtId="176" fontId="18" fillId="9" borderId="108" xfId="7" applyNumberFormat="1" applyFont="1" applyFill="1" applyBorder="1" applyAlignment="1">
      <alignment horizontal="center" vertical="center" wrapText="1"/>
    </xf>
    <xf numFmtId="176" fontId="18" fillId="9" borderId="10" xfId="7" applyNumberFormat="1" applyFont="1" applyFill="1" applyBorder="1" applyAlignment="1">
      <alignment horizontal="center" vertical="center" wrapText="1"/>
    </xf>
    <xf numFmtId="176" fontId="18" fillId="9" borderId="109" xfId="7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7" fillId="11" borderId="91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2" xfId="7" applyNumberFormat="1" applyFont="1" applyFill="1" applyBorder="1" applyAlignment="1" applyProtection="1">
      <alignment horizontal="center" vertical="center" shrinkToFit="1"/>
    </xf>
    <xf numFmtId="0" fontId="17" fillId="11" borderId="91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 wrapText="1"/>
    </xf>
    <xf numFmtId="0" fontId="27" fillId="11" borderId="11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7" xfId="0" applyFont="1" applyBorder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27" fillId="11" borderId="91" xfId="7" applyFont="1" applyFill="1" applyBorder="1" applyAlignment="1">
      <alignment horizontal="center" vertical="center" wrapText="1"/>
    </xf>
    <xf numFmtId="0" fontId="27" fillId="11" borderId="15" xfId="7" applyFont="1" applyFill="1" applyBorder="1" applyAlignment="1">
      <alignment horizontal="center" vertical="center"/>
    </xf>
    <xf numFmtId="0" fontId="27" fillId="11" borderId="92" xfId="7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8" borderId="56" xfId="0" applyFont="1" applyFill="1" applyBorder="1" applyAlignment="1">
      <alignment horizontal="center" vertical="center"/>
    </xf>
    <xf numFmtId="0" fontId="26" fillId="8" borderId="58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1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2" xfId="7" applyFont="1" applyFill="1" applyBorder="1" applyAlignment="1" applyProtection="1">
      <alignment horizontal="center" vertical="center" wrapText="1"/>
    </xf>
    <xf numFmtId="0" fontId="18" fillId="9" borderId="93" xfId="7" applyFont="1" applyFill="1" applyBorder="1" applyAlignment="1">
      <alignment horizontal="center" vertical="center" wrapText="1"/>
    </xf>
    <xf numFmtId="0" fontId="18" fillId="9" borderId="25" xfId="7" applyFont="1" applyFill="1" applyBorder="1" applyAlignment="1">
      <alignment horizontal="center" vertical="center" wrapText="1"/>
    </xf>
    <xf numFmtId="0" fontId="18" fillId="9" borderId="26" xfId="7" applyFont="1" applyFill="1" applyBorder="1" applyAlignment="1">
      <alignment horizontal="center" vertical="center" wrapText="1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3" xfId="0" applyFont="1" applyBorder="1" applyAlignment="1" applyProtection="1">
      <alignment horizontal="center" vertical="center" shrinkToFit="1"/>
      <protection locked="0"/>
    </xf>
    <xf numFmtId="0" fontId="13" fillId="0" borderId="172" xfId="0" applyFont="1" applyBorder="1" applyAlignment="1" applyProtection="1">
      <alignment horizontal="center" vertical="center" shrinkToFit="1"/>
      <protection locked="0"/>
    </xf>
    <xf numFmtId="0" fontId="13" fillId="0" borderId="72" xfId="0" applyFont="1" applyBorder="1" applyAlignment="1" applyProtection="1">
      <alignment horizontal="center" vertical="center" shrinkToFit="1"/>
      <protection locked="0"/>
    </xf>
    <xf numFmtId="0" fontId="13" fillId="0" borderId="76" xfId="4" applyFont="1" applyFill="1" applyBorder="1" applyAlignment="1" applyProtection="1">
      <alignment horizontal="center" vertical="center" wrapText="1"/>
      <protection locked="0"/>
    </xf>
    <xf numFmtId="0" fontId="13" fillId="0" borderId="7" xfId="4" applyFont="1" applyFill="1" applyBorder="1" applyAlignment="1" applyProtection="1">
      <alignment horizontal="center" vertical="center" wrapText="1"/>
      <protection locked="0"/>
    </xf>
    <xf numFmtId="0" fontId="13" fillId="0" borderId="182" xfId="0" applyFont="1" applyBorder="1" applyAlignment="1" applyProtection="1">
      <alignment horizontal="center" vertical="center" shrinkToFit="1"/>
      <protection locked="0"/>
    </xf>
    <xf numFmtId="0" fontId="13" fillId="0" borderId="183" xfId="0" applyFont="1" applyBorder="1" applyAlignment="1" applyProtection="1">
      <alignment horizontal="center" vertical="center" shrinkToFit="1"/>
      <protection locked="0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6" xfId="4" applyFont="1" applyFill="1" applyBorder="1" applyAlignment="1" applyProtection="1">
      <alignment horizontal="center" vertical="center" wrapText="1"/>
      <protection locked="0"/>
    </xf>
    <xf numFmtId="0" fontId="13" fillId="0" borderId="88" xfId="4" applyFont="1" applyFill="1" applyBorder="1" applyAlignment="1" applyProtection="1">
      <alignment horizontal="center" vertical="center" wrapTex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88" xfId="0" applyBorder="1" applyAlignment="1" applyProtection="1">
      <alignment horizontal="center" vertical="center"/>
      <protection locked="0"/>
    </xf>
    <xf numFmtId="0" fontId="17" fillId="11" borderId="91" xfId="7" applyFont="1" applyFill="1" applyBorder="1" applyAlignment="1">
      <alignment horizontal="center" vertical="center" shrinkToFit="1"/>
    </xf>
    <xf numFmtId="0" fontId="17" fillId="11" borderId="15" xfId="7" applyFont="1" applyFill="1" applyBorder="1" applyAlignment="1">
      <alignment horizontal="center" vertical="center" shrinkToFit="1"/>
    </xf>
    <xf numFmtId="0" fontId="17" fillId="11" borderId="92" xfId="7" applyFont="1" applyFill="1" applyBorder="1" applyAlignment="1">
      <alignment horizontal="center" vertical="center" shrinkToFit="1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3" xfId="7" applyFont="1" applyFill="1" applyBorder="1" applyAlignment="1">
      <alignment horizontal="center" vertical="center" wrapText="1"/>
    </xf>
    <xf numFmtId="0" fontId="17" fillId="11" borderId="9" xfId="7" applyFont="1" applyFill="1" applyBorder="1" applyAlignment="1">
      <alignment horizontal="center" vertical="center" wrapText="1"/>
    </xf>
    <xf numFmtId="0" fontId="17" fillId="11" borderId="91" xfId="7" applyFont="1" applyFill="1" applyBorder="1" applyAlignment="1">
      <alignment horizontal="center" vertical="center" wrapText="1"/>
    </xf>
    <xf numFmtId="0" fontId="17" fillId="11" borderId="15" xfId="7" applyFont="1" applyFill="1" applyBorder="1" applyAlignment="1">
      <alignment horizontal="center" vertical="center" wrapText="1"/>
    </xf>
    <xf numFmtId="0" fontId="17" fillId="11" borderId="92" xfId="7" applyFont="1" applyFill="1" applyBorder="1" applyAlignment="1">
      <alignment horizontal="center" vertical="center" wrapText="1"/>
    </xf>
    <xf numFmtId="0" fontId="36" fillId="9" borderId="5" xfId="7" applyFont="1" applyFill="1" applyBorder="1" applyAlignment="1">
      <alignment horizontal="center" vertical="center" wrapText="1"/>
    </xf>
    <xf numFmtId="0" fontId="36" fillId="9" borderId="100" xfId="7" applyFont="1" applyFill="1" applyBorder="1" applyAlignment="1">
      <alignment horizontal="center" vertical="center" wrapText="1"/>
    </xf>
    <xf numFmtId="0" fontId="36" fillId="9" borderId="9" xfId="7" applyFont="1" applyFill="1" applyBorder="1" applyAlignment="1">
      <alignment horizontal="center" vertical="center" wrapText="1"/>
    </xf>
    <xf numFmtId="176" fontId="36" fillId="9" borderId="91" xfId="7" applyNumberFormat="1" applyFont="1" applyFill="1" applyBorder="1" applyAlignment="1">
      <alignment horizontal="center" vertical="center" wrapText="1"/>
    </xf>
    <xf numFmtId="176" fontId="36" fillId="9" borderId="12" xfId="7" applyNumberFormat="1" applyFont="1" applyFill="1" applyBorder="1" applyAlignment="1">
      <alignment horizontal="center" vertical="center" wrapText="1"/>
    </xf>
    <xf numFmtId="0" fontId="36" fillId="9" borderId="92" xfId="7" applyFont="1" applyFill="1" applyBorder="1" applyAlignment="1">
      <alignment horizontal="center" vertical="center" wrapText="1"/>
    </xf>
    <xf numFmtId="0" fontId="36" fillId="0" borderId="5" xfId="7" applyFont="1" applyBorder="1" applyAlignment="1">
      <alignment horizontal="center" vertical="center" wrapText="1"/>
    </xf>
    <xf numFmtId="0" fontId="36" fillId="0" borderId="100" xfId="7" applyFont="1" applyBorder="1" applyAlignment="1">
      <alignment horizontal="center" vertical="center" wrapText="1"/>
    </xf>
    <xf numFmtId="0" fontId="36" fillId="0" borderId="13" xfId="7" applyFont="1" applyBorder="1" applyAlignment="1">
      <alignment horizontal="center" vertical="center" wrapText="1"/>
    </xf>
    <xf numFmtId="0" fontId="36" fillId="0" borderId="9" xfId="7" applyFont="1" applyBorder="1" applyAlignment="1">
      <alignment horizontal="center" vertical="center" wrapText="1"/>
    </xf>
    <xf numFmtId="176" fontId="36" fillId="0" borderId="91" xfId="7" applyNumberFormat="1" applyFont="1" applyBorder="1" applyAlignment="1">
      <alignment horizontal="center" vertical="center" wrapText="1"/>
    </xf>
    <xf numFmtId="176" fontId="36" fillId="0" borderId="12" xfId="7" applyNumberFormat="1" applyFont="1" applyBorder="1" applyAlignment="1">
      <alignment horizontal="center" vertical="center" wrapText="1"/>
    </xf>
    <xf numFmtId="0" fontId="36" fillId="0" borderId="92" xfId="7" applyFont="1" applyBorder="1" applyAlignment="1">
      <alignment horizontal="center" vertical="center" wrapText="1"/>
    </xf>
    <xf numFmtId="0" fontId="36" fillId="0" borderId="15" xfId="7" applyFont="1" applyBorder="1" applyAlignment="1">
      <alignment horizontal="center" vertical="center" wrapText="1"/>
    </xf>
    <xf numFmtId="0" fontId="36" fillId="0" borderId="102" xfId="7" applyFont="1" applyBorder="1" applyAlignment="1">
      <alignment horizontal="center" vertical="center" wrapText="1"/>
    </xf>
    <xf numFmtId="0" fontId="36" fillId="0" borderId="31" xfId="7" applyFont="1" applyBorder="1" applyAlignment="1">
      <alignment horizontal="center" vertical="center" wrapText="1"/>
    </xf>
    <xf numFmtId="0" fontId="36" fillId="9" borderId="13" xfId="7" applyFont="1" applyFill="1" applyBorder="1" applyAlignment="1">
      <alignment horizontal="center" vertical="center" wrapText="1"/>
    </xf>
    <xf numFmtId="0" fontId="36" fillId="9" borderId="15" xfId="7" applyFont="1" applyFill="1" applyBorder="1" applyAlignment="1">
      <alignment horizontal="center" vertical="center" wrapText="1"/>
    </xf>
    <xf numFmtId="0" fontId="47" fillId="19" borderId="129" xfId="16" applyFont="1" applyFill="1" applyBorder="1" applyAlignment="1">
      <alignment horizontal="center" vertical="center"/>
    </xf>
    <xf numFmtId="0" fontId="40" fillId="0" borderId="129" xfId="16" applyFont="1" applyBorder="1"/>
    <xf numFmtId="0" fontId="40" fillId="0" borderId="130" xfId="16" applyFont="1" applyBorder="1"/>
    <xf numFmtId="0" fontId="47" fillId="0" borderId="131" xfId="16" applyFont="1" applyBorder="1" applyAlignment="1">
      <alignment horizontal="center" vertical="center"/>
    </xf>
    <xf numFmtId="0" fontId="43" fillId="0" borderId="0" xfId="16" applyFont="1" applyAlignment="1">
      <alignment horizontal="center" vertical="center"/>
    </xf>
    <xf numFmtId="0" fontId="45" fillId="0" borderId="0" xfId="16" applyFont="1" applyAlignment="1"/>
    <xf numFmtId="0" fontId="46" fillId="0" borderId="126" xfId="16" applyFont="1" applyBorder="1" applyAlignment="1">
      <alignment horizontal="center" vertical="center"/>
    </xf>
    <xf numFmtId="0" fontId="40" fillId="0" borderId="27" xfId="16" applyFont="1" applyBorder="1"/>
    <xf numFmtId="0" fontId="40" fillId="0" borderId="24" xfId="16" applyFont="1" applyBorder="1"/>
    <xf numFmtId="0" fontId="46" fillId="8" borderId="4" xfId="16" applyFont="1" applyFill="1" applyBorder="1" applyAlignment="1">
      <alignment horizontal="center" vertical="center"/>
    </xf>
    <xf numFmtId="0" fontId="40" fillId="8" borderId="27" xfId="16" applyFont="1" applyFill="1" applyBorder="1"/>
    <xf numFmtId="0" fontId="40" fillId="8" borderId="24" xfId="16" applyFont="1" applyFill="1" applyBorder="1"/>
    <xf numFmtId="0" fontId="35" fillId="18" borderId="125" xfId="16" applyFont="1" applyFill="1" applyBorder="1" applyAlignment="1">
      <alignment horizontal="center" vertical="center" wrapText="1"/>
    </xf>
    <xf numFmtId="0" fontId="40" fillId="0" borderId="127" xfId="16" applyFont="1" applyBorder="1"/>
    <xf numFmtId="0" fontId="40" fillId="0" borderId="132" xfId="16" applyFont="1" applyBorder="1"/>
    <xf numFmtId="0" fontId="47" fillId="19" borderId="134" xfId="16" applyFont="1" applyFill="1" applyBorder="1" applyAlignment="1">
      <alignment horizontal="center" vertical="center"/>
    </xf>
    <xf numFmtId="0" fontId="40" fillId="0" borderId="135" xfId="16" applyFont="1" applyBorder="1"/>
    <xf numFmtId="0" fontId="40" fillId="0" borderId="136" xfId="16" applyFont="1" applyBorder="1"/>
    <xf numFmtId="0" fontId="40" fillId="0" borderId="137" xfId="16" applyFont="1" applyBorder="1"/>
    <xf numFmtId="0" fontId="47" fillId="0" borderId="110" xfId="16" applyFont="1" applyBorder="1" applyAlignment="1">
      <alignment horizontal="center" vertical="center" wrapText="1"/>
    </xf>
    <xf numFmtId="0" fontId="40" fillId="0" borderId="134" xfId="16" applyFont="1" applyBorder="1"/>
    <xf numFmtId="0" fontId="40" fillId="0" borderId="138" xfId="16" applyFont="1" applyBorder="1"/>
    <xf numFmtId="0" fontId="48" fillId="20" borderId="141" xfId="16" applyFont="1" applyFill="1" applyBorder="1" applyAlignment="1">
      <alignment horizontal="center" vertical="center" wrapText="1"/>
    </xf>
    <xf numFmtId="0" fontId="40" fillId="0" borderId="142" xfId="16" applyFont="1" applyBorder="1"/>
    <xf numFmtId="0" fontId="49" fillId="0" borderId="143" xfId="16" applyFont="1" applyBorder="1" applyAlignment="1">
      <alignment horizontal="center" vertical="center" wrapText="1"/>
    </xf>
    <xf numFmtId="0" fontId="40" fillId="0" borderId="149" xfId="16" applyFont="1" applyBorder="1"/>
    <xf numFmtId="0" fontId="49" fillId="0" borderId="144" xfId="16" applyFont="1" applyBorder="1" applyAlignment="1">
      <alignment horizontal="center" vertical="center" wrapText="1"/>
    </xf>
    <xf numFmtId="0" fontId="40" fillId="0" borderId="150" xfId="16" applyFont="1" applyBorder="1"/>
    <xf numFmtId="0" fontId="40" fillId="0" borderId="154" xfId="16" applyFont="1" applyBorder="1"/>
    <xf numFmtId="0" fontId="49" fillId="0" borderId="146" xfId="16" applyFont="1" applyBorder="1" applyAlignment="1">
      <alignment horizontal="center" vertical="center" wrapText="1"/>
    </xf>
    <xf numFmtId="0" fontId="40" fillId="0" borderId="128" xfId="16" applyFont="1" applyBorder="1"/>
    <xf numFmtId="0" fontId="40" fillId="0" borderId="153" xfId="16" applyFont="1" applyBorder="1"/>
    <xf numFmtId="0" fontId="49" fillId="0" borderId="129" xfId="16" applyFont="1" applyBorder="1" applyAlignment="1">
      <alignment horizontal="center" vertical="center" wrapText="1"/>
    </xf>
    <xf numFmtId="0" fontId="51" fillId="0" borderId="131" xfId="16" applyFont="1" applyBorder="1" applyAlignment="1">
      <alignment horizontal="center" vertical="center" wrapText="1"/>
    </xf>
    <xf numFmtId="0" fontId="49" fillId="0" borderId="131" xfId="16" applyFont="1" applyBorder="1" applyAlignment="1">
      <alignment horizontal="center" vertical="center" wrapText="1"/>
    </xf>
    <xf numFmtId="0" fontId="49" fillId="20" borderId="131" xfId="16" applyFont="1" applyFill="1" applyBorder="1" applyAlignment="1">
      <alignment horizontal="center" vertical="center" wrapText="1"/>
    </xf>
    <xf numFmtId="0" fontId="51" fillId="20" borderId="131" xfId="16" applyFont="1" applyFill="1" applyBorder="1" applyAlignment="1">
      <alignment horizontal="center" vertical="center" wrapText="1"/>
    </xf>
    <xf numFmtId="0" fontId="40" fillId="0" borderId="148" xfId="16" applyFont="1" applyBorder="1"/>
    <xf numFmtId="0" fontId="16" fillId="0" borderId="0" xfId="16" applyFont="1" applyBorder="1" applyAlignment="1"/>
    <xf numFmtId="0" fontId="49" fillId="0" borderId="157" xfId="16" applyFont="1" applyBorder="1" applyAlignment="1">
      <alignment horizontal="center" vertical="center" wrapText="1"/>
    </xf>
    <xf numFmtId="0" fontId="49" fillId="0" borderId="159" xfId="16" applyFont="1" applyBorder="1" applyAlignment="1">
      <alignment horizontal="center" vertical="center" wrapText="1"/>
    </xf>
    <xf numFmtId="0" fontId="40" fillId="0" borderId="160" xfId="16" applyFont="1" applyBorder="1"/>
    <xf numFmtId="0" fontId="49" fillId="0" borderId="110" xfId="16" applyFont="1" applyBorder="1" applyAlignment="1">
      <alignment horizontal="center" vertical="center" wrapText="1"/>
    </xf>
    <xf numFmtId="0" fontId="49" fillId="0" borderId="161" xfId="16" applyFont="1" applyBorder="1" applyAlignment="1">
      <alignment horizontal="center" vertical="center" wrapText="1"/>
    </xf>
    <xf numFmtId="0" fontId="40" fillId="0" borderId="162" xfId="16" applyFont="1" applyBorder="1"/>
    <xf numFmtId="0" fontId="49" fillId="20" borderId="129" xfId="16" applyFont="1" applyFill="1" applyBorder="1" applyAlignment="1">
      <alignment horizontal="center" vertical="center" wrapText="1"/>
    </xf>
    <xf numFmtId="0" fontId="53" fillId="19" borderId="129" xfId="16" applyFont="1" applyFill="1" applyBorder="1" applyAlignment="1">
      <alignment horizontal="center" vertical="center"/>
    </xf>
    <xf numFmtId="0" fontId="53" fillId="0" borderId="131" xfId="16" applyFont="1" applyBorder="1" applyAlignment="1">
      <alignment horizontal="center" vertical="center"/>
    </xf>
    <xf numFmtId="0" fontId="47" fillId="0" borderId="131" xfId="16" applyFont="1" applyBorder="1" applyAlignment="1">
      <alignment horizontal="center" vertical="center" wrapText="1"/>
    </xf>
    <xf numFmtId="0" fontId="47" fillId="0" borderId="110" xfId="16" applyFont="1" applyBorder="1" applyAlignment="1">
      <alignment horizontal="center" vertical="center"/>
    </xf>
    <xf numFmtId="0" fontId="47" fillId="19" borderId="129" xfId="16" applyFont="1" applyFill="1" applyBorder="1" applyAlignment="1">
      <alignment horizontal="center" vertical="center" wrapText="1"/>
    </xf>
    <xf numFmtId="0" fontId="53" fillId="19" borderId="129" xfId="16" applyFont="1" applyFill="1" applyBorder="1" applyAlignment="1">
      <alignment horizontal="center" vertical="center" wrapText="1"/>
    </xf>
    <xf numFmtId="0" fontId="55" fillId="0" borderId="157" xfId="16" applyFont="1" applyBorder="1" applyAlignment="1">
      <alignment horizontal="center" vertical="center"/>
    </xf>
    <xf numFmtId="0" fontId="35" fillId="0" borderId="0" xfId="16" applyFont="1" applyBorder="1" applyAlignment="1">
      <alignment vertical="center" wrapText="1"/>
    </xf>
    <xf numFmtId="0" fontId="35" fillId="18" borderId="165" xfId="16" applyFont="1" applyFill="1" applyBorder="1" applyAlignment="1">
      <alignment horizontal="center" vertical="center" wrapText="1"/>
    </xf>
    <xf numFmtId="0" fontId="35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3" fillId="19" borderId="135" xfId="16" applyFont="1" applyFill="1" applyBorder="1" applyAlignment="1">
      <alignment horizontal="center" vertical="center"/>
    </xf>
    <xf numFmtId="0" fontId="53" fillId="19" borderId="131" xfId="16" applyFont="1" applyFill="1" applyBorder="1" applyAlignment="1">
      <alignment horizontal="center" vertical="center"/>
    </xf>
    <xf numFmtId="0" fontId="54" fillId="0" borderId="135" xfId="16" applyFont="1" applyBorder="1" applyAlignment="1">
      <alignment horizontal="center" vertical="center"/>
    </xf>
    <xf numFmtId="0" fontId="56" fillId="0" borderId="137" xfId="16" applyFont="1" applyBorder="1"/>
    <xf numFmtId="0" fontId="13" fillId="0" borderId="89" xfId="4" applyFont="1" applyFill="1" applyBorder="1" applyAlignment="1" applyProtection="1">
      <alignment horizontal="center" vertical="center" wrapText="1"/>
    </xf>
    <xf numFmtId="0" fontId="13" fillId="0" borderId="65" xfId="4" applyFont="1" applyFill="1" applyBorder="1" applyAlignment="1" applyProtection="1">
      <alignment horizontal="center" vertical="center" wrapText="1"/>
    </xf>
    <xf numFmtId="0" fontId="22" fillId="0" borderId="32" xfId="0" applyFont="1" applyBorder="1" applyAlignment="1" applyProtection="1">
      <alignment horizontal="center" vertical="center"/>
      <protection locked="0"/>
    </xf>
    <xf numFmtId="0" fontId="26" fillId="8" borderId="75" xfId="0" applyFont="1" applyFill="1" applyBorder="1" applyAlignment="1">
      <alignment horizontal="center" vertical="center"/>
    </xf>
    <xf numFmtId="0" fontId="26" fillId="8" borderId="65" xfId="0" applyFont="1" applyFill="1" applyBorder="1" applyAlignment="1">
      <alignment horizontal="center" vertical="center"/>
    </xf>
    <xf numFmtId="0" fontId="26" fillId="8" borderId="184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EAD32E4B-056A-4D55-A012-522D7F764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95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47" t="s">
        <v>522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8"/>
      <c r="V2" s="249" t="s">
        <v>130</v>
      </c>
      <c r="W2" s="250"/>
      <c r="X2" s="245">
        <v>2027</v>
      </c>
      <c r="Y2" s="246"/>
      <c r="AA2" s="251" t="s">
        <v>143</v>
      </c>
      <c r="AB2" s="19" t="s">
        <v>144</v>
      </c>
      <c r="AC2" s="30" t="s">
        <v>156</v>
      </c>
      <c r="AD2" s="20" t="s">
        <v>145</v>
      </c>
    </row>
    <row r="3" spans="2:30" ht="17.25" thickBot="1">
      <c r="B3" s="286" t="s">
        <v>368</v>
      </c>
      <c r="C3" s="288" t="s">
        <v>53</v>
      </c>
      <c r="D3" s="289"/>
      <c r="E3" s="289"/>
      <c r="F3" s="288" t="s">
        <v>64</v>
      </c>
      <c r="G3" s="292"/>
      <c r="H3" s="288" t="s">
        <v>54</v>
      </c>
      <c r="I3" s="289"/>
      <c r="J3" s="289"/>
      <c r="K3" s="288" t="s">
        <v>55</v>
      </c>
      <c r="L3" s="289"/>
      <c r="M3" s="289"/>
      <c r="N3" s="289"/>
      <c r="O3" s="292"/>
      <c r="P3" s="294" t="s">
        <v>56</v>
      </c>
      <c r="Q3" s="295"/>
      <c r="R3" s="295"/>
      <c r="S3" s="295"/>
      <c r="T3" s="295"/>
      <c r="U3" s="295"/>
      <c r="V3" s="295"/>
      <c r="W3" s="295"/>
      <c r="X3" s="295"/>
      <c r="Y3" s="296"/>
      <c r="AA3" s="252"/>
      <c r="AB3" s="21" t="s">
        <v>146</v>
      </c>
      <c r="AC3" s="36" t="s">
        <v>533</v>
      </c>
      <c r="AD3" s="22" t="s">
        <v>535</v>
      </c>
    </row>
    <row r="4" spans="2:30" ht="17.25" thickBot="1">
      <c r="B4" s="287"/>
      <c r="C4" s="290"/>
      <c r="D4" s="291"/>
      <c r="E4" s="291"/>
      <c r="F4" s="290"/>
      <c r="G4" s="293"/>
      <c r="H4" s="290"/>
      <c r="I4" s="291"/>
      <c r="J4" s="291"/>
      <c r="K4" s="290"/>
      <c r="L4" s="291"/>
      <c r="M4" s="291"/>
      <c r="N4" s="291"/>
      <c r="O4" s="293"/>
      <c r="P4" s="294" t="s">
        <v>127</v>
      </c>
      <c r="Q4" s="295"/>
      <c r="R4" s="295"/>
      <c r="S4" s="295"/>
      <c r="T4" s="294" t="s">
        <v>61</v>
      </c>
      <c r="U4" s="295"/>
      <c r="V4" s="296"/>
      <c r="W4" s="295" t="s">
        <v>128</v>
      </c>
      <c r="X4" s="295"/>
      <c r="Y4" s="296"/>
      <c r="AA4" s="252"/>
      <c r="AB4" s="23" t="s">
        <v>147</v>
      </c>
      <c r="AC4" s="37" t="s">
        <v>534</v>
      </c>
      <c r="AD4" s="22" t="s">
        <v>536</v>
      </c>
    </row>
    <row r="5" spans="2:30" ht="26.25" customHeight="1" thickBot="1">
      <c r="B5" s="590" t="s">
        <v>521</v>
      </c>
      <c r="C5" s="299" t="s">
        <v>523</v>
      </c>
      <c r="D5" s="297"/>
      <c r="E5" s="298"/>
      <c r="F5" s="299" t="s">
        <v>524</v>
      </c>
      <c r="G5" s="298"/>
      <c r="H5" s="299" t="s">
        <v>525</v>
      </c>
      <c r="I5" s="297"/>
      <c r="J5" s="298"/>
      <c r="K5" s="299" t="s">
        <v>526</v>
      </c>
      <c r="L5" s="297"/>
      <c r="M5" s="297"/>
      <c r="N5" s="297"/>
      <c r="O5" s="298"/>
      <c r="P5" s="299" t="s">
        <v>527</v>
      </c>
      <c r="Q5" s="297"/>
      <c r="R5" s="297"/>
      <c r="S5" s="298"/>
      <c r="T5" s="299" t="s">
        <v>34</v>
      </c>
      <c r="U5" s="297"/>
      <c r="V5" s="298"/>
      <c r="W5" s="300" t="s">
        <v>528</v>
      </c>
      <c r="X5" s="300"/>
      <c r="Y5" s="301"/>
      <c r="AA5" s="253"/>
      <c r="AB5" s="24" t="s">
        <v>148</v>
      </c>
      <c r="AC5" s="38"/>
      <c r="AD5" s="25"/>
    </row>
    <row r="6" spans="2:30" ht="15.75" customHeight="1" thickBot="1">
      <c r="U6" s="302"/>
      <c r="V6" s="302"/>
      <c r="W6" s="302"/>
      <c r="X6" s="302"/>
      <c r="Y6" s="302"/>
    </row>
    <row r="7" spans="2:30" s="10" customFormat="1" ht="22.5" customHeight="1">
      <c r="B7" s="303" t="s">
        <v>2</v>
      </c>
      <c r="C7" s="304"/>
      <c r="D7" s="307" t="s">
        <v>120</v>
      </c>
      <c r="E7" s="309" t="s">
        <v>57</v>
      </c>
      <c r="F7" s="310"/>
      <c r="G7" s="311"/>
      <c r="H7" s="312" t="s">
        <v>133</v>
      </c>
      <c r="I7" s="315" t="s">
        <v>134</v>
      </c>
      <c r="J7" s="319" t="s">
        <v>135</v>
      </c>
      <c r="K7" s="314" t="s">
        <v>58</v>
      </c>
      <c r="L7" s="315"/>
      <c r="M7" s="315"/>
      <c r="N7" s="316"/>
      <c r="O7" s="317" t="s">
        <v>59</v>
      </c>
      <c r="P7" s="315"/>
      <c r="Q7" s="315"/>
      <c r="R7" s="316"/>
      <c r="S7" s="314" t="s">
        <v>60</v>
      </c>
      <c r="T7" s="315"/>
      <c r="U7" s="315"/>
      <c r="V7" s="318"/>
      <c r="W7" s="312" t="s">
        <v>136</v>
      </c>
      <c r="X7" s="319"/>
      <c r="Y7" s="311" t="s">
        <v>137</v>
      </c>
      <c r="Z7" s="9"/>
    </row>
    <row r="8" spans="2:30" s="10" customFormat="1" ht="22.5" customHeight="1" thickBot="1">
      <c r="B8" s="305"/>
      <c r="C8" s="306"/>
      <c r="D8" s="308"/>
      <c r="E8" s="26" t="s">
        <v>18</v>
      </c>
      <c r="F8" s="322" t="s">
        <v>19</v>
      </c>
      <c r="G8" s="323"/>
      <c r="H8" s="313"/>
      <c r="I8" s="256"/>
      <c r="J8" s="320"/>
      <c r="K8" s="255" t="s">
        <v>0</v>
      </c>
      <c r="L8" s="256"/>
      <c r="M8" s="256" t="s">
        <v>62</v>
      </c>
      <c r="N8" s="324"/>
      <c r="O8" s="325" t="s">
        <v>0</v>
      </c>
      <c r="P8" s="256"/>
      <c r="Q8" s="256" t="s">
        <v>62</v>
      </c>
      <c r="R8" s="324"/>
      <c r="S8" s="255" t="s">
        <v>0</v>
      </c>
      <c r="T8" s="256"/>
      <c r="U8" s="256" t="s">
        <v>62</v>
      </c>
      <c r="V8" s="257"/>
      <c r="W8" s="313"/>
      <c r="X8" s="320"/>
      <c r="Y8" s="321"/>
      <c r="AA8" s="414" t="s">
        <v>508</v>
      </c>
      <c r="AB8" s="414"/>
      <c r="AC8" s="414"/>
      <c r="AD8" s="414"/>
    </row>
    <row r="9" spans="2:30" ht="16.5" customHeight="1" thickBot="1">
      <c r="B9" s="274" t="s">
        <v>341</v>
      </c>
      <c r="C9" s="272"/>
      <c r="D9" s="278" t="s">
        <v>21</v>
      </c>
      <c r="E9" s="39" t="s">
        <v>12</v>
      </c>
      <c r="F9" s="281" t="s">
        <v>205</v>
      </c>
      <c r="G9" s="254"/>
      <c r="H9" s="40">
        <v>4</v>
      </c>
      <c r="I9" s="41" t="s">
        <v>342</v>
      </c>
      <c r="J9" s="42">
        <v>3</v>
      </c>
      <c r="K9" s="281">
        <v>3</v>
      </c>
      <c r="L9" s="240"/>
      <c r="M9" s="225"/>
      <c r="N9" s="226"/>
      <c r="O9" s="239"/>
      <c r="P9" s="240"/>
      <c r="Q9" s="225"/>
      <c r="R9" s="226"/>
      <c r="S9" s="239"/>
      <c r="T9" s="240"/>
      <c r="U9" s="225"/>
      <c r="V9" s="254"/>
      <c r="W9" s="43">
        <f>SUM(K9:V9)</f>
        <v>3</v>
      </c>
      <c r="X9" s="326">
        <f>SUM(W9:W11)</f>
        <v>9</v>
      </c>
      <c r="Y9" s="224">
        <v>24</v>
      </c>
      <c r="AA9" s="130" t="s">
        <v>509</v>
      </c>
      <c r="AB9" s="131" t="s">
        <v>514</v>
      </c>
      <c r="AC9" s="131" t="s">
        <v>515</v>
      </c>
      <c r="AD9" s="132" t="s">
        <v>516</v>
      </c>
    </row>
    <row r="10" spans="2:30" ht="17.25" thickBot="1">
      <c r="B10" s="275"/>
      <c r="C10" s="273"/>
      <c r="D10" s="279"/>
      <c r="E10" s="44" t="s">
        <v>12</v>
      </c>
      <c r="F10" s="282" t="s">
        <v>206</v>
      </c>
      <c r="G10" s="222"/>
      <c r="H10" s="45">
        <v>4</v>
      </c>
      <c r="I10" s="46" t="s">
        <v>342</v>
      </c>
      <c r="J10" s="47">
        <v>4</v>
      </c>
      <c r="K10" s="282"/>
      <c r="L10" s="221"/>
      <c r="M10" s="218">
        <v>3</v>
      </c>
      <c r="N10" s="219"/>
      <c r="O10" s="220"/>
      <c r="P10" s="221"/>
      <c r="Q10" s="218"/>
      <c r="R10" s="219"/>
      <c r="S10" s="220"/>
      <c r="T10" s="221"/>
      <c r="U10" s="218"/>
      <c r="V10" s="222"/>
      <c r="W10" s="48">
        <f t="shared" ref="W10:W25" si="0">SUM(K10:V10)</f>
        <v>3</v>
      </c>
      <c r="X10" s="327"/>
      <c r="Y10" s="224"/>
      <c r="AA10" s="133" t="s">
        <v>510</v>
      </c>
      <c r="AB10" s="134">
        <v>4</v>
      </c>
      <c r="AC10" s="134">
        <v>-1</v>
      </c>
      <c r="AD10" s="22" t="s">
        <v>517</v>
      </c>
    </row>
    <row r="11" spans="2:30" ht="17.25" thickBot="1">
      <c r="B11" s="275"/>
      <c r="C11" s="273"/>
      <c r="D11" s="280"/>
      <c r="E11" s="49" t="s">
        <v>343</v>
      </c>
      <c r="F11" s="283" t="s">
        <v>344</v>
      </c>
      <c r="G11" s="271"/>
      <c r="H11" s="50">
        <v>4</v>
      </c>
      <c r="I11" s="51" t="s">
        <v>345</v>
      </c>
      <c r="J11" s="52">
        <v>3</v>
      </c>
      <c r="K11" s="283"/>
      <c r="L11" s="270"/>
      <c r="M11" s="230"/>
      <c r="N11" s="231"/>
      <c r="O11" s="269">
        <v>3</v>
      </c>
      <c r="P11" s="270"/>
      <c r="Q11" s="230"/>
      <c r="R11" s="231"/>
      <c r="S11" s="269"/>
      <c r="T11" s="270"/>
      <c r="U11" s="230"/>
      <c r="V11" s="271"/>
      <c r="W11" s="48">
        <f t="shared" si="0"/>
        <v>3</v>
      </c>
      <c r="X11" s="327"/>
      <c r="Y11" s="224"/>
      <c r="AA11" s="133" t="s">
        <v>511</v>
      </c>
      <c r="AB11" s="134">
        <v>3</v>
      </c>
      <c r="AC11" s="134"/>
      <c r="AD11" s="22">
        <v>3</v>
      </c>
    </row>
    <row r="12" spans="2:30" ht="17.25" thickBot="1">
      <c r="B12" s="275"/>
      <c r="C12" s="273"/>
      <c r="D12" s="278" t="s">
        <v>5</v>
      </c>
      <c r="E12" s="39" t="s">
        <v>12</v>
      </c>
      <c r="F12" s="281" t="s">
        <v>217</v>
      </c>
      <c r="G12" s="254"/>
      <c r="H12" s="40">
        <v>4</v>
      </c>
      <c r="I12" s="41" t="s">
        <v>342</v>
      </c>
      <c r="J12" s="42">
        <v>3</v>
      </c>
      <c r="K12" s="281">
        <v>3</v>
      </c>
      <c r="L12" s="240"/>
      <c r="M12" s="225"/>
      <c r="N12" s="226"/>
      <c r="O12" s="239"/>
      <c r="P12" s="240"/>
      <c r="Q12" s="225"/>
      <c r="R12" s="226"/>
      <c r="S12" s="239"/>
      <c r="T12" s="240"/>
      <c r="U12" s="225"/>
      <c r="V12" s="254"/>
      <c r="W12" s="43">
        <f t="shared" si="0"/>
        <v>3</v>
      </c>
      <c r="X12" s="326">
        <f>SUM(W12:W15)</f>
        <v>9</v>
      </c>
      <c r="Y12" s="224"/>
      <c r="AA12" s="133" t="s">
        <v>512</v>
      </c>
      <c r="AB12" s="134">
        <v>4</v>
      </c>
      <c r="AC12" s="134" t="s">
        <v>520</v>
      </c>
      <c r="AD12" s="22" t="s">
        <v>518</v>
      </c>
    </row>
    <row r="13" spans="2:30" ht="17.25" thickBot="1">
      <c r="B13" s="275"/>
      <c r="C13" s="273"/>
      <c r="D13" s="279"/>
      <c r="E13" s="44" t="s">
        <v>12</v>
      </c>
      <c r="F13" s="282" t="s">
        <v>219</v>
      </c>
      <c r="G13" s="222"/>
      <c r="H13" s="45">
        <v>4</v>
      </c>
      <c r="I13" s="46" t="s">
        <v>342</v>
      </c>
      <c r="J13" s="47">
        <v>4</v>
      </c>
      <c r="K13" s="282"/>
      <c r="L13" s="221"/>
      <c r="M13" s="218">
        <v>3</v>
      </c>
      <c r="N13" s="219"/>
      <c r="O13" s="220"/>
      <c r="P13" s="221"/>
      <c r="Q13" s="218"/>
      <c r="R13" s="219"/>
      <c r="S13" s="220"/>
      <c r="T13" s="221"/>
      <c r="U13" s="218"/>
      <c r="V13" s="222"/>
      <c r="W13" s="48">
        <f t="shared" si="0"/>
        <v>3</v>
      </c>
      <c r="X13" s="327"/>
      <c r="Y13" s="224"/>
      <c r="AA13" s="133" t="s">
        <v>513</v>
      </c>
      <c r="AB13" s="134">
        <v>3</v>
      </c>
      <c r="AC13" s="134" t="s">
        <v>520</v>
      </c>
      <c r="AD13" s="22" t="s">
        <v>519</v>
      </c>
    </row>
    <row r="14" spans="2:30" ht="17.25" thickBot="1">
      <c r="B14" s="275"/>
      <c r="C14" s="273"/>
      <c r="D14" s="279"/>
      <c r="E14" s="49" t="s">
        <v>354</v>
      </c>
      <c r="F14" s="151" t="s">
        <v>36</v>
      </c>
      <c r="G14" s="329" t="s">
        <v>529</v>
      </c>
      <c r="H14" s="426">
        <v>4</v>
      </c>
      <c r="I14" s="428" t="s">
        <v>345</v>
      </c>
      <c r="J14" s="430">
        <v>3</v>
      </c>
      <c r="K14" s="431"/>
      <c r="L14" s="432"/>
      <c r="M14" s="328"/>
      <c r="N14" s="435"/>
      <c r="O14" s="437"/>
      <c r="P14" s="432"/>
      <c r="Q14" s="328">
        <v>3</v>
      </c>
      <c r="R14" s="435"/>
      <c r="S14" s="437"/>
      <c r="T14" s="432"/>
      <c r="U14" s="328"/>
      <c r="V14" s="329"/>
      <c r="W14" s="424">
        <f t="shared" si="0"/>
        <v>3</v>
      </c>
      <c r="X14" s="327"/>
      <c r="Y14" s="224"/>
      <c r="AA14" s="146"/>
      <c r="AB14" s="147"/>
      <c r="AC14" s="147"/>
      <c r="AD14" s="148"/>
    </row>
    <row r="15" spans="2:30" ht="17.25" thickBot="1">
      <c r="B15" s="275"/>
      <c r="C15" s="273"/>
      <c r="D15" s="279"/>
      <c r="E15" s="49" t="s">
        <v>343</v>
      </c>
      <c r="F15" s="151" t="s">
        <v>346</v>
      </c>
      <c r="G15" s="331"/>
      <c r="H15" s="427"/>
      <c r="I15" s="429"/>
      <c r="J15" s="334"/>
      <c r="K15" s="433"/>
      <c r="L15" s="434"/>
      <c r="M15" s="330"/>
      <c r="N15" s="436"/>
      <c r="O15" s="438"/>
      <c r="P15" s="434"/>
      <c r="Q15" s="330"/>
      <c r="R15" s="436"/>
      <c r="S15" s="438"/>
      <c r="T15" s="434"/>
      <c r="U15" s="330"/>
      <c r="V15" s="331"/>
      <c r="W15" s="425"/>
      <c r="X15" s="327"/>
      <c r="Y15" s="224"/>
      <c r="AA15" s="146"/>
      <c r="AB15" s="147"/>
      <c r="AC15" s="147"/>
      <c r="AD15" s="148"/>
    </row>
    <row r="16" spans="2:30" ht="17.25" thickBot="1">
      <c r="B16" s="275"/>
      <c r="C16" s="273"/>
      <c r="D16" s="278" t="s">
        <v>6</v>
      </c>
      <c r="E16" s="39" t="s">
        <v>12</v>
      </c>
      <c r="F16" s="281" t="s">
        <v>347</v>
      </c>
      <c r="G16" s="254"/>
      <c r="H16" s="40">
        <v>4</v>
      </c>
      <c r="I16" s="41" t="s">
        <v>342</v>
      </c>
      <c r="J16" s="42">
        <v>4</v>
      </c>
      <c r="K16" s="281">
        <v>3</v>
      </c>
      <c r="L16" s="240"/>
      <c r="M16" s="225"/>
      <c r="N16" s="226"/>
      <c r="O16" s="239"/>
      <c r="P16" s="240"/>
      <c r="Q16" s="225"/>
      <c r="R16" s="226"/>
      <c r="S16" s="239"/>
      <c r="T16" s="240"/>
      <c r="U16" s="225"/>
      <c r="V16" s="254"/>
      <c r="W16" s="43">
        <f t="shared" si="0"/>
        <v>3</v>
      </c>
      <c r="X16" s="326">
        <f t="shared" ref="X16" si="1">SUM(W16:W19)</f>
        <v>12</v>
      </c>
      <c r="Y16" s="224"/>
    </row>
    <row r="17" spans="2:29" ht="17.25" thickBot="1">
      <c r="B17" s="275"/>
      <c r="C17" s="273"/>
      <c r="D17" s="279"/>
      <c r="E17" s="44" t="s">
        <v>12</v>
      </c>
      <c r="F17" s="282" t="s">
        <v>230</v>
      </c>
      <c r="G17" s="222"/>
      <c r="H17" s="45">
        <v>4</v>
      </c>
      <c r="I17" s="46" t="s">
        <v>342</v>
      </c>
      <c r="J17" s="47">
        <v>3</v>
      </c>
      <c r="K17" s="282"/>
      <c r="L17" s="221"/>
      <c r="M17" s="218">
        <v>3</v>
      </c>
      <c r="N17" s="219"/>
      <c r="O17" s="220"/>
      <c r="P17" s="221"/>
      <c r="Q17" s="218"/>
      <c r="R17" s="219"/>
      <c r="S17" s="220"/>
      <c r="T17" s="221"/>
      <c r="U17" s="218"/>
      <c r="V17" s="222"/>
      <c r="W17" s="48">
        <f t="shared" si="0"/>
        <v>3</v>
      </c>
      <c r="X17" s="327"/>
      <c r="Y17" s="224"/>
    </row>
    <row r="18" spans="2:29" ht="17.25" thickBot="1">
      <c r="B18" s="275"/>
      <c r="C18" s="273"/>
      <c r="D18" s="279"/>
      <c r="E18" s="44" t="s">
        <v>343</v>
      </c>
      <c r="F18" s="282" t="s">
        <v>348</v>
      </c>
      <c r="G18" s="222"/>
      <c r="H18" s="45">
        <v>4</v>
      </c>
      <c r="I18" s="46" t="s">
        <v>345</v>
      </c>
      <c r="J18" s="47">
        <v>3</v>
      </c>
      <c r="K18" s="282"/>
      <c r="L18" s="221"/>
      <c r="M18" s="218"/>
      <c r="N18" s="219"/>
      <c r="O18" s="220">
        <v>3</v>
      </c>
      <c r="P18" s="221"/>
      <c r="Q18" s="218"/>
      <c r="R18" s="219"/>
      <c r="S18" s="220"/>
      <c r="T18" s="221"/>
      <c r="U18" s="218"/>
      <c r="V18" s="222"/>
      <c r="W18" s="48">
        <f t="shared" ref="W18" si="2">SUM(K18:V18)</f>
        <v>3</v>
      </c>
      <c r="X18" s="327"/>
      <c r="Y18" s="224"/>
      <c r="AA18" s="149"/>
    </row>
    <row r="19" spans="2:29" ht="17.25" thickBot="1">
      <c r="B19" s="275"/>
      <c r="C19" s="273"/>
      <c r="D19" s="280"/>
      <c r="E19" s="55" t="s">
        <v>354</v>
      </c>
      <c r="F19" s="332" t="s">
        <v>38</v>
      </c>
      <c r="G19" s="268"/>
      <c r="H19" s="56">
        <v>4</v>
      </c>
      <c r="I19" s="57" t="s">
        <v>345</v>
      </c>
      <c r="J19" s="141">
        <v>3</v>
      </c>
      <c r="K19" s="332"/>
      <c r="L19" s="267"/>
      <c r="M19" s="264"/>
      <c r="N19" s="265"/>
      <c r="O19" s="266"/>
      <c r="P19" s="267"/>
      <c r="Q19" s="264">
        <v>3</v>
      </c>
      <c r="R19" s="265"/>
      <c r="S19" s="266"/>
      <c r="T19" s="267"/>
      <c r="U19" s="264"/>
      <c r="V19" s="268"/>
      <c r="W19" s="48">
        <f t="shared" si="0"/>
        <v>3</v>
      </c>
      <c r="X19" s="327"/>
      <c r="Y19" s="224"/>
    </row>
    <row r="20" spans="2:29" ht="17.25" thickBot="1">
      <c r="B20" s="275"/>
      <c r="C20" s="273"/>
      <c r="D20" s="278" t="s">
        <v>349</v>
      </c>
      <c r="E20" s="39" t="s">
        <v>12</v>
      </c>
      <c r="F20" s="281" t="s">
        <v>238</v>
      </c>
      <c r="G20" s="254"/>
      <c r="H20" s="40">
        <v>3</v>
      </c>
      <c r="I20" s="54" t="s">
        <v>350</v>
      </c>
      <c r="J20" s="42">
        <v>3</v>
      </c>
      <c r="K20" s="333">
        <v>3</v>
      </c>
      <c r="L20" s="262"/>
      <c r="M20" s="259"/>
      <c r="N20" s="260"/>
      <c r="O20" s="261"/>
      <c r="P20" s="262"/>
      <c r="Q20" s="259"/>
      <c r="R20" s="260"/>
      <c r="S20" s="261"/>
      <c r="T20" s="262"/>
      <c r="U20" s="259"/>
      <c r="V20" s="263"/>
      <c r="W20" s="43">
        <f t="shared" si="0"/>
        <v>3</v>
      </c>
      <c r="X20" s="326">
        <f>SUM(W20:W21)</f>
        <v>6</v>
      </c>
      <c r="Y20" s="224">
        <v>6</v>
      </c>
    </row>
    <row r="21" spans="2:29" ht="17.25" thickBot="1">
      <c r="B21" s="275"/>
      <c r="C21" s="273"/>
      <c r="D21" s="279"/>
      <c r="E21" s="55" t="s">
        <v>12</v>
      </c>
      <c r="F21" s="332" t="s">
        <v>351</v>
      </c>
      <c r="G21" s="268"/>
      <c r="H21" s="56">
        <v>3</v>
      </c>
      <c r="I21" s="57" t="s">
        <v>350</v>
      </c>
      <c r="J21" s="141">
        <v>3</v>
      </c>
      <c r="K21" s="283"/>
      <c r="L21" s="270"/>
      <c r="M21" s="230">
        <v>3</v>
      </c>
      <c r="N21" s="231"/>
      <c r="O21" s="269"/>
      <c r="P21" s="270"/>
      <c r="Q21" s="230"/>
      <c r="R21" s="231"/>
      <c r="S21" s="269"/>
      <c r="T21" s="270"/>
      <c r="U21" s="230"/>
      <c r="V21" s="271"/>
      <c r="W21" s="58">
        <f t="shared" si="0"/>
        <v>3</v>
      </c>
      <c r="X21" s="334"/>
      <c r="Y21" s="224"/>
      <c r="AA21" s="258"/>
      <c r="AB21" s="258"/>
      <c r="AC21" s="31"/>
    </row>
    <row r="22" spans="2:29" ht="17.25" thickBot="1">
      <c r="B22" s="275"/>
      <c r="C22" s="273"/>
      <c r="D22" s="279"/>
      <c r="E22" s="39" t="s">
        <v>12</v>
      </c>
      <c r="F22" s="281" t="s">
        <v>241</v>
      </c>
      <c r="G22" s="254"/>
      <c r="H22" s="40">
        <v>4</v>
      </c>
      <c r="I22" s="54" t="s">
        <v>342</v>
      </c>
      <c r="J22" s="42">
        <v>3</v>
      </c>
      <c r="K22" s="281"/>
      <c r="L22" s="240"/>
      <c r="M22" s="225"/>
      <c r="N22" s="226"/>
      <c r="O22" s="239">
        <v>3</v>
      </c>
      <c r="P22" s="240"/>
      <c r="Q22" s="225"/>
      <c r="R22" s="226"/>
      <c r="S22" s="239"/>
      <c r="T22" s="240"/>
      <c r="U22" s="225"/>
      <c r="V22" s="254"/>
      <c r="W22" s="43">
        <f t="shared" si="0"/>
        <v>3</v>
      </c>
      <c r="X22" s="326">
        <f>SUM(W22:W23)</f>
        <v>6</v>
      </c>
      <c r="Y22" s="224">
        <v>12</v>
      </c>
    </row>
    <row r="23" spans="2:29" ht="17.25" thickBot="1">
      <c r="B23" s="275"/>
      <c r="C23" s="273"/>
      <c r="D23" s="280"/>
      <c r="E23" s="53" t="s">
        <v>12</v>
      </c>
      <c r="F23" s="283" t="s">
        <v>352</v>
      </c>
      <c r="G23" s="271"/>
      <c r="H23" s="50">
        <v>4</v>
      </c>
      <c r="I23" s="51" t="s">
        <v>342</v>
      </c>
      <c r="J23" s="52">
        <v>3</v>
      </c>
      <c r="K23" s="283"/>
      <c r="L23" s="270"/>
      <c r="M23" s="230"/>
      <c r="N23" s="231"/>
      <c r="O23" s="269"/>
      <c r="P23" s="270"/>
      <c r="Q23" s="230">
        <v>3</v>
      </c>
      <c r="R23" s="231"/>
      <c r="S23" s="269"/>
      <c r="T23" s="270"/>
      <c r="U23" s="230"/>
      <c r="V23" s="271"/>
      <c r="W23" s="58">
        <f t="shared" si="0"/>
        <v>3</v>
      </c>
      <c r="X23" s="334"/>
      <c r="Y23" s="224"/>
    </row>
    <row r="24" spans="2:29" ht="17.25" thickBot="1">
      <c r="B24" s="275"/>
      <c r="C24" s="273"/>
      <c r="D24" s="278" t="s">
        <v>26</v>
      </c>
      <c r="E24" s="39" t="s">
        <v>12</v>
      </c>
      <c r="F24" s="281" t="s">
        <v>259</v>
      </c>
      <c r="G24" s="254"/>
      <c r="H24" s="40">
        <v>4</v>
      </c>
      <c r="I24" s="54" t="s">
        <v>342</v>
      </c>
      <c r="J24" s="42">
        <v>4</v>
      </c>
      <c r="K24" s="281">
        <v>3</v>
      </c>
      <c r="L24" s="240"/>
      <c r="M24" s="225"/>
      <c r="N24" s="226"/>
      <c r="O24" s="239"/>
      <c r="P24" s="240"/>
      <c r="Q24" s="225"/>
      <c r="R24" s="226"/>
      <c r="S24" s="239"/>
      <c r="T24" s="240"/>
      <c r="U24" s="225"/>
      <c r="V24" s="254"/>
      <c r="W24" s="43">
        <f t="shared" si="0"/>
        <v>3</v>
      </c>
      <c r="X24" s="272">
        <f>SUM(W24:W25)</f>
        <v>6</v>
      </c>
      <c r="Y24" s="224"/>
    </row>
    <row r="25" spans="2:29" ht="17.25" thickBot="1">
      <c r="B25" s="275"/>
      <c r="C25" s="273"/>
      <c r="D25" s="279"/>
      <c r="E25" s="44" t="s">
        <v>12</v>
      </c>
      <c r="F25" s="282" t="s">
        <v>353</v>
      </c>
      <c r="G25" s="222"/>
      <c r="H25" s="45">
        <v>4</v>
      </c>
      <c r="I25" s="46" t="s">
        <v>342</v>
      </c>
      <c r="J25" s="47">
        <v>3</v>
      </c>
      <c r="K25" s="282"/>
      <c r="L25" s="221"/>
      <c r="M25" s="218">
        <v>3</v>
      </c>
      <c r="N25" s="219"/>
      <c r="O25" s="220"/>
      <c r="P25" s="221"/>
      <c r="Q25" s="218"/>
      <c r="R25" s="219"/>
      <c r="S25" s="220"/>
      <c r="T25" s="221"/>
      <c r="U25" s="218"/>
      <c r="V25" s="222"/>
      <c r="W25" s="48">
        <f t="shared" si="0"/>
        <v>3</v>
      </c>
      <c r="X25" s="273"/>
      <c r="Y25" s="224"/>
    </row>
    <row r="26" spans="2:29" ht="16.5" customHeight="1" thickBot="1">
      <c r="B26" s="275"/>
      <c r="C26" s="273"/>
      <c r="D26" s="278" t="s">
        <v>8</v>
      </c>
      <c r="E26" s="39" t="s">
        <v>354</v>
      </c>
      <c r="F26" s="281" t="s">
        <v>355</v>
      </c>
      <c r="G26" s="254"/>
      <c r="H26" s="40">
        <v>3</v>
      </c>
      <c r="I26" s="54" t="s">
        <v>356</v>
      </c>
      <c r="J26" s="42">
        <f t="shared" ref="J26:J27" si="3">SUM(K26:V26)</f>
        <v>2</v>
      </c>
      <c r="K26" s="281">
        <v>2</v>
      </c>
      <c r="L26" s="240"/>
      <c r="M26" s="225"/>
      <c r="N26" s="226"/>
      <c r="O26" s="239"/>
      <c r="P26" s="240"/>
      <c r="Q26" s="225"/>
      <c r="R26" s="226"/>
      <c r="S26" s="239"/>
      <c r="T26" s="240"/>
      <c r="U26" s="225"/>
      <c r="V26" s="254"/>
      <c r="W26" s="43">
        <f>SUM(K26:V26)</f>
        <v>2</v>
      </c>
      <c r="X26" s="335">
        <f>SUM(W26:W30)</f>
        <v>10</v>
      </c>
      <c r="Y26" s="224">
        <v>8</v>
      </c>
    </row>
    <row r="27" spans="2:29" ht="17.25" thickBot="1">
      <c r="B27" s="275"/>
      <c r="C27" s="273"/>
      <c r="D27" s="279"/>
      <c r="E27" s="44" t="s">
        <v>354</v>
      </c>
      <c r="F27" s="282" t="s">
        <v>357</v>
      </c>
      <c r="G27" s="222"/>
      <c r="H27" s="45">
        <v>3</v>
      </c>
      <c r="I27" s="46" t="s">
        <v>356</v>
      </c>
      <c r="J27" s="47">
        <f t="shared" si="3"/>
        <v>2</v>
      </c>
      <c r="K27" s="282"/>
      <c r="L27" s="221"/>
      <c r="M27" s="218">
        <v>2</v>
      </c>
      <c r="N27" s="219"/>
      <c r="O27" s="220"/>
      <c r="P27" s="221"/>
      <c r="Q27" s="218"/>
      <c r="R27" s="219"/>
      <c r="S27" s="220"/>
      <c r="T27" s="221"/>
      <c r="U27" s="218"/>
      <c r="V27" s="222"/>
      <c r="W27" s="48">
        <f t="shared" ref="W27:W30" si="4">SUM(K27:V27)</f>
        <v>2</v>
      </c>
      <c r="X27" s="336"/>
      <c r="Y27" s="224"/>
    </row>
    <row r="28" spans="2:29" ht="17.25" thickBot="1">
      <c r="B28" s="275"/>
      <c r="C28" s="273"/>
      <c r="D28" s="279"/>
      <c r="E28" s="44" t="s">
        <v>343</v>
      </c>
      <c r="F28" s="282" t="s">
        <v>530</v>
      </c>
      <c r="G28" s="222"/>
      <c r="H28" s="45">
        <v>3</v>
      </c>
      <c r="I28" s="46" t="s">
        <v>358</v>
      </c>
      <c r="J28" s="47">
        <v>2</v>
      </c>
      <c r="K28" s="282"/>
      <c r="L28" s="221"/>
      <c r="M28" s="218"/>
      <c r="N28" s="219"/>
      <c r="O28" s="220">
        <v>2</v>
      </c>
      <c r="P28" s="221"/>
      <c r="Q28" s="218"/>
      <c r="R28" s="219"/>
      <c r="S28" s="220"/>
      <c r="T28" s="221"/>
      <c r="U28" s="218"/>
      <c r="V28" s="222"/>
      <c r="W28" s="48">
        <f>SUM(K28:V28)</f>
        <v>2</v>
      </c>
      <c r="X28" s="336"/>
      <c r="Y28" s="224"/>
    </row>
    <row r="29" spans="2:29" ht="17.25" thickBot="1">
      <c r="B29" s="275"/>
      <c r="C29" s="273"/>
      <c r="D29" s="279"/>
      <c r="E29" s="44" t="s">
        <v>343</v>
      </c>
      <c r="F29" s="282" t="s">
        <v>531</v>
      </c>
      <c r="G29" s="222"/>
      <c r="H29" s="45">
        <v>3</v>
      </c>
      <c r="I29" s="46" t="s">
        <v>356</v>
      </c>
      <c r="J29" s="47">
        <v>3</v>
      </c>
      <c r="K29" s="152"/>
      <c r="L29" s="152"/>
      <c r="M29" s="218"/>
      <c r="N29" s="219"/>
      <c r="O29" s="220"/>
      <c r="P29" s="221"/>
      <c r="Q29" s="218">
        <v>3</v>
      </c>
      <c r="R29" s="219"/>
      <c r="S29" s="220"/>
      <c r="T29" s="221"/>
      <c r="U29" s="218"/>
      <c r="V29" s="222"/>
      <c r="W29" s="48">
        <f t="shared" si="4"/>
        <v>3</v>
      </c>
      <c r="X29" s="336"/>
      <c r="Y29" s="224"/>
    </row>
    <row r="30" spans="2:29" ht="17.25" thickBot="1">
      <c r="B30" s="275"/>
      <c r="C30" s="273"/>
      <c r="D30" s="280"/>
      <c r="E30" s="53" t="s">
        <v>343</v>
      </c>
      <c r="F30" s="283" t="s">
        <v>376</v>
      </c>
      <c r="G30" s="271"/>
      <c r="H30" s="50">
        <v>2</v>
      </c>
      <c r="I30" s="51" t="s">
        <v>358</v>
      </c>
      <c r="J30" s="52">
        <v>1</v>
      </c>
      <c r="K30" s="283"/>
      <c r="L30" s="270"/>
      <c r="M30" s="230"/>
      <c r="N30" s="231"/>
      <c r="O30" s="269"/>
      <c r="P30" s="270"/>
      <c r="Q30" s="230"/>
      <c r="R30" s="231"/>
      <c r="S30" s="269">
        <v>1</v>
      </c>
      <c r="T30" s="270"/>
      <c r="U30" s="230"/>
      <c r="V30" s="271"/>
      <c r="W30" s="58">
        <f t="shared" si="4"/>
        <v>1</v>
      </c>
      <c r="X30" s="337"/>
      <c r="Y30" s="224"/>
    </row>
    <row r="31" spans="2:29" ht="17.25" thickBot="1">
      <c r="B31" s="275"/>
      <c r="C31" s="273"/>
      <c r="D31" s="278" t="s">
        <v>28</v>
      </c>
      <c r="E31" s="39" t="s">
        <v>354</v>
      </c>
      <c r="F31" s="281" t="s">
        <v>9</v>
      </c>
      <c r="G31" s="254"/>
      <c r="H31" s="40">
        <v>3</v>
      </c>
      <c r="I31" s="59" t="s">
        <v>356</v>
      </c>
      <c r="J31" s="42">
        <v>3</v>
      </c>
      <c r="K31" s="281">
        <v>3</v>
      </c>
      <c r="L31" s="240"/>
      <c r="M31" s="225"/>
      <c r="N31" s="226"/>
      <c r="O31" s="239"/>
      <c r="P31" s="240"/>
      <c r="Q31" s="225"/>
      <c r="R31" s="226"/>
      <c r="S31" s="239"/>
      <c r="T31" s="240"/>
      <c r="U31" s="225"/>
      <c r="V31" s="254"/>
      <c r="W31" s="338">
        <f>SUM(K31:V32)</f>
        <v>6</v>
      </c>
      <c r="X31" s="339"/>
      <c r="Y31" s="224">
        <v>6</v>
      </c>
    </row>
    <row r="32" spans="2:29" ht="17.25" thickBot="1">
      <c r="B32" s="275"/>
      <c r="C32" s="273"/>
      <c r="D32" s="279"/>
      <c r="E32" s="49" t="s">
        <v>354</v>
      </c>
      <c r="F32" s="282" t="s">
        <v>289</v>
      </c>
      <c r="G32" s="222"/>
      <c r="H32" s="45">
        <v>3</v>
      </c>
      <c r="I32" s="46" t="s">
        <v>356</v>
      </c>
      <c r="J32" s="47">
        <v>3</v>
      </c>
      <c r="K32" s="282"/>
      <c r="L32" s="221"/>
      <c r="M32" s="218"/>
      <c r="N32" s="219"/>
      <c r="O32" s="220"/>
      <c r="P32" s="221"/>
      <c r="Q32" s="218">
        <v>3</v>
      </c>
      <c r="R32" s="219"/>
      <c r="S32" s="220"/>
      <c r="T32" s="221"/>
      <c r="U32" s="218"/>
      <c r="V32" s="222"/>
      <c r="W32" s="340"/>
      <c r="X32" s="341"/>
      <c r="Y32" s="224"/>
    </row>
    <row r="33" spans="2:28" ht="16.5" customHeight="1" thickBot="1">
      <c r="B33" s="275"/>
      <c r="C33" s="273"/>
      <c r="D33" s="342" t="s">
        <v>359</v>
      </c>
      <c r="E33" s="39" t="s">
        <v>343</v>
      </c>
      <c r="F33" s="281" t="s">
        <v>51</v>
      </c>
      <c r="G33" s="254"/>
      <c r="H33" s="40">
        <v>3</v>
      </c>
      <c r="I33" s="54" t="s">
        <v>356</v>
      </c>
      <c r="J33" s="42">
        <v>2</v>
      </c>
      <c r="K33" s="281"/>
      <c r="L33" s="240"/>
      <c r="M33" s="225">
        <v>2</v>
      </c>
      <c r="N33" s="226"/>
      <c r="O33" s="239"/>
      <c r="P33" s="240"/>
      <c r="Q33" s="225"/>
      <c r="R33" s="226"/>
      <c r="S33" s="239"/>
      <c r="T33" s="240"/>
      <c r="U33" s="225"/>
      <c r="V33" s="254"/>
      <c r="W33" s="338">
        <f>SUM(K33:V37)</f>
        <v>14</v>
      </c>
      <c r="X33" s="339"/>
      <c r="Y33" s="224">
        <v>8</v>
      </c>
    </row>
    <row r="34" spans="2:28" ht="16.5" customHeight="1" thickBot="1">
      <c r="B34" s="275"/>
      <c r="C34" s="273"/>
      <c r="D34" s="343"/>
      <c r="E34" s="49" t="s">
        <v>354</v>
      </c>
      <c r="F34" s="282" t="s">
        <v>304</v>
      </c>
      <c r="G34" s="222"/>
      <c r="H34" s="45">
        <v>3</v>
      </c>
      <c r="I34" s="46" t="s">
        <v>345</v>
      </c>
      <c r="J34" s="47">
        <v>3</v>
      </c>
      <c r="K34" s="282"/>
      <c r="L34" s="221"/>
      <c r="M34" s="218">
        <v>3</v>
      </c>
      <c r="N34" s="219"/>
      <c r="O34" s="220"/>
      <c r="P34" s="221"/>
      <c r="Q34" s="218"/>
      <c r="R34" s="219"/>
      <c r="S34" s="220"/>
      <c r="T34" s="221"/>
      <c r="U34" s="218"/>
      <c r="V34" s="222"/>
      <c r="W34" s="340"/>
      <c r="X34" s="341"/>
      <c r="Y34" s="224"/>
    </row>
    <row r="35" spans="2:28" ht="16.5" customHeight="1" thickBot="1">
      <c r="B35" s="275"/>
      <c r="C35" s="273"/>
      <c r="D35" s="343"/>
      <c r="E35" s="49" t="s">
        <v>343</v>
      </c>
      <c r="F35" s="282" t="s">
        <v>312</v>
      </c>
      <c r="G35" s="222"/>
      <c r="H35" s="45">
        <v>3</v>
      </c>
      <c r="I35" s="46" t="s">
        <v>345</v>
      </c>
      <c r="J35" s="47">
        <v>3</v>
      </c>
      <c r="K35" s="282"/>
      <c r="L35" s="221"/>
      <c r="M35" s="218"/>
      <c r="N35" s="219"/>
      <c r="O35" s="220"/>
      <c r="P35" s="221"/>
      <c r="Q35" s="218"/>
      <c r="R35" s="219"/>
      <c r="S35" s="220">
        <v>3</v>
      </c>
      <c r="T35" s="221"/>
      <c r="U35" s="218"/>
      <c r="V35" s="222"/>
      <c r="W35" s="340"/>
      <c r="X35" s="341"/>
      <c r="Y35" s="224"/>
    </row>
    <row r="36" spans="2:28" ht="16.5" customHeight="1" thickBot="1">
      <c r="B36" s="275"/>
      <c r="C36" s="273"/>
      <c r="D36" s="343"/>
      <c r="E36" s="49" t="s">
        <v>354</v>
      </c>
      <c r="F36" s="282" t="s">
        <v>303</v>
      </c>
      <c r="G36" s="222"/>
      <c r="H36" s="45">
        <v>3</v>
      </c>
      <c r="I36" s="46" t="s">
        <v>345</v>
      </c>
      <c r="J36" s="47">
        <v>3</v>
      </c>
      <c r="K36" s="282"/>
      <c r="L36" s="221"/>
      <c r="M36" s="218"/>
      <c r="N36" s="219"/>
      <c r="O36" s="220">
        <v>3</v>
      </c>
      <c r="P36" s="221"/>
      <c r="Q36" s="218"/>
      <c r="R36" s="219"/>
      <c r="S36" s="220"/>
      <c r="T36" s="221"/>
      <c r="U36" s="218"/>
      <c r="V36" s="222"/>
      <c r="W36" s="340"/>
      <c r="X36" s="341"/>
      <c r="Y36" s="224"/>
    </row>
    <row r="37" spans="2:28" ht="17.25" thickBot="1">
      <c r="B37" s="276"/>
      <c r="C37" s="277"/>
      <c r="D37" s="343"/>
      <c r="E37" s="49" t="s">
        <v>343</v>
      </c>
      <c r="F37" s="283" t="s">
        <v>311</v>
      </c>
      <c r="G37" s="271"/>
      <c r="H37" s="50">
        <v>3</v>
      </c>
      <c r="I37" s="51" t="s">
        <v>345</v>
      </c>
      <c r="J37" s="52">
        <v>3</v>
      </c>
      <c r="K37" s="283"/>
      <c r="L37" s="270"/>
      <c r="M37" s="230"/>
      <c r="N37" s="231"/>
      <c r="O37" s="220"/>
      <c r="P37" s="221"/>
      <c r="Q37" s="218">
        <v>3</v>
      </c>
      <c r="R37" s="219"/>
      <c r="S37" s="220"/>
      <c r="T37" s="221"/>
      <c r="U37" s="218"/>
      <c r="V37" s="222"/>
      <c r="W37" s="340"/>
      <c r="X37" s="341"/>
      <c r="Y37" s="224"/>
    </row>
    <row r="38" spans="2:28" ht="24.75" customHeight="1" thickBot="1">
      <c r="B38" s="242" t="s">
        <v>369</v>
      </c>
      <c r="C38" s="344"/>
      <c r="D38" s="344"/>
      <c r="E38" s="344"/>
      <c r="F38" s="344"/>
      <c r="G38" s="345"/>
      <c r="H38" s="137">
        <f>SUM(H22:H37)</f>
        <v>51</v>
      </c>
      <c r="I38" s="18"/>
      <c r="J38" s="142">
        <f>SUM(J22:J37)</f>
        <v>43</v>
      </c>
      <c r="K38" s="346">
        <f>SUM(K9:L37)</f>
        <v>20</v>
      </c>
      <c r="L38" s="227"/>
      <c r="M38" s="227">
        <f>SUM(M9:N37)</f>
        <v>22</v>
      </c>
      <c r="N38" s="228"/>
      <c r="O38" s="229">
        <f>SUM(O9:P37)</f>
        <v>14</v>
      </c>
      <c r="P38" s="227"/>
      <c r="Q38" s="227">
        <f>SUM(Q9:R37)</f>
        <v>18</v>
      </c>
      <c r="R38" s="244"/>
      <c r="S38" s="243">
        <f>SUM(S9:T37)</f>
        <v>4</v>
      </c>
      <c r="T38" s="227"/>
      <c r="U38" s="227">
        <f>SUM(U9:V37)</f>
        <v>0</v>
      </c>
      <c r="V38" s="241"/>
      <c r="W38" s="242">
        <f>SUM(K38:V38)</f>
        <v>78</v>
      </c>
      <c r="X38" s="243"/>
      <c r="Y38" s="34">
        <f>SUM(Y9:Y37)</f>
        <v>64</v>
      </c>
      <c r="AA38" s="347" t="b">
        <f>W38&gt;=Y38</f>
        <v>1</v>
      </c>
      <c r="AB38" s="348"/>
    </row>
    <row r="39" spans="2:28" ht="17.25" customHeight="1" thickBot="1">
      <c r="B39" s="274" t="s">
        <v>360</v>
      </c>
      <c r="C39" s="272"/>
      <c r="D39" s="412" t="s">
        <v>361</v>
      </c>
      <c r="E39" s="413"/>
      <c r="F39" s="349" t="s">
        <v>532</v>
      </c>
      <c r="G39" s="350"/>
      <c r="H39" s="153"/>
      <c r="I39" s="154" t="s">
        <v>550</v>
      </c>
      <c r="J39" s="155">
        <v>2</v>
      </c>
      <c r="K39" s="351"/>
      <c r="L39" s="235"/>
      <c r="M39" s="232"/>
      <c r="N39" s="233"/>
      <c r="O39" s="234"/>
      <c r="P39" s="235"/>
      <c r="Q39" s="232"/>
      <c r="R39" s="233"/>
      <c r="S39" s="234">
        <v>2</v>
      </c>
      <c r="T39" s="235"/>
      <c r="U39" s="232"/>
      <c r="V39" s="236"/>
      <c r="W39" s="237">
        <f>SUM(K39:V39)</f>
        <v>2</v>
      </c>
      <c r="X39" s="238"/>
      <c r="Y39" s="352">
        <v>80</v>
      </c>
    </row>
    <row r="40" spans="2:28" ht="17.25" customHeight="1">
      <c r="B40" s="275"/>
      <c r="C40" s="273"/>
      <c r="D40" s="60" t="s">
        <v>168</v>
      </c>
      <c r="E40" s="61" t="s">
        <v>362</v>
      </c>
      <c r="F40" s="354" t="s">
        <v>364</v>
      </c>
      <c r="G40" s="355"/>
      <c r="H40" s="144"/>
      <c r="I40" s="156" t="s">
        <v>550</v>
      </c>
      <c r="J40" s="145">
        <v>2</v>
      </c>
      <c r="K40" s="282">
        <v>2</v>
      </c>
      <c r="L40" s="221"/>
      <c r="M40" s="218"/>
      <c r="N40" s="223"/>
      <c r="O40" s="220"/>
      <c r="P40" s="221"/>
      <c r="Q40" s="218"/>
      <c r="R40" s="219"/>
      <c r="S40" s="223"/>
      <c r="T40" s="221"/>
      <c r="U40" s="218"/>
      <c r="V40" s="222"/>
      <c r="W40" s="216">
        <f t="shared" ref="W40:W49" si="5">SUM(K40:V40)</f>
        <v>2</v>
      </c>
      <c r="X40" s="217"/>
      <c r="Y40" s="353"/>
    </row>
    <row r="41" spans="2:28" ht="17.25" customHeight="1">
      <c r="B41" s="275"/>
      <c r="C41" s="273"/>
      <c r="D41" s="60" t="s">
        <v>168</v>
      </c>
      <c r="E41" s="61" t="s">
        <v>362</v>
      </c>
      <c r="F41" s="354" t="s">
        <v>537</v>
      </c>
      <c r="G41" s="355"/>
      <c r="H41" s="144"/>
      <c r="I41" s="156" t="s">
        <v>550</v>
      </c>
      <c r="J41" s="145">
        <v>7</v>
      </c>
      <c r="K41" s="282">
        <v>7</v>
      </c>
      <c r="L41" s="221"/>
      <c r="M41" s="218"/>
      <c r="N41" s="219"/>
      <c r="O41" s="220"/>
      <c r="P41" s="221"/>
      <c r="Q41" s="218"/>
      <c r="R41" s="219"/>
      <c r="S41" s="220"/>
      <c r="T41" s="221"/>
      <c r="U41" s="218"/>
      <c r="V41" s="222"/>
      <c r="W41" s="216">
        <f t="shared" si="5"/>
        <v>7</v>
      </c>
      <c r="X41" s="217"/>
      <c r="Y41" s="353"/>
    </row>
    <row r="42" spans="2:28" ht="17.25" customHeight="1">
      <c r="B42" s="275"/>
      <c r="C42" s="273"/>
      <c r="D42" s="60" t="s">
        <v>168</v>
      </c>
      <c r="E42" s="61" t="s">
        <v>362</v>
      </c>
      <c r="F42" s="354" t="s">
        <v>538</v>
      </c>
      <c r="G42" s="355"/>
      <c r="H42" s="144"/>
      <c r="I42" s="156" t="s">
        <v>550</v>
      </c>
      <c r="J42" s="145">
        <v>7</v>
      </c>
      <c r="K42" s="282"/>
      <c r="L42" s="221"/>
      <c r="M42" s="218">
        <v>7</v>
      </c>
      <c r="N42" s="219"/>
      <c r="O42" s="220"/>
      <c r="P42" s="221"/>
      <c r="Q42" s="218"/>
      <c r="R42" s="219"/>
      <c r="S42" s="220"/>
      <c r="T42" s="221"/>
      <c r="U42" s="218"/>
      <c r="V42" s="222"/>
      <c r="W42" s="216">
        <f t="shared" si="5"/>
        <v>7</v>
      </c>
      <c r="X42" s="217"/>
      <c r="Y42" s="353"/>
    </row>
    <row r="43" spans="2:28" ht="17.25" customHeight="1">
      <c r="B43" s="275"/>
      <c r="C43" s="273"/>
      <c r="D43" s="60" t="s">
        <v>168</v>
      </c>
      <c r="E43" s="61" t="s">
        <v>362</v>
      </c>
      <c r="F43" s="356" t="s">
        <v>539</v>
      </c>
      <c r="G43" s="357"/>
      <c r="H43" s="144"/>
      <c r="I43" s="156" t="s">
        <v>550</v>
      </c>
      <c r="J43" s="145">
        <v>2</v>
      </c>
      <c r="K43" s="282"/>
      <c r="L43" s="221"/>
      <c r="M43" s="218"/>
      <c r="N43" s="219"/>
      <c r="O43" s="220">
        <v>2</v>
      </c>
      <c r="P43" s="221"/>
      <c r="Q43" s="218"/>
      <c r="R43" s="219"/>
      <c r="S43" s="220"/>
      <c r="T43" s="221"/>
      <c r="U43" s="218"/>
      <c r="V43" s="222"/>
      <c r="W43" s="216">
        <f t="shared" si="5"/>
        <v>2</v>
      </c>
      <c r="X43" s="217"/>
      <c r="Y43" s="353"/>
    </row>
    <row r="44" spans="2:28" ht="17.25" customHeight="1">
      <c r="B44" s="275"/>
      <c r="C44" s="273"/>
      <c r="D44" s="60" t="s">
        <v>646</v>
      </c>
      <c r="E44" s="61" t="s">
        <v>362</v>
      </c>
      <c r="F44" s="354" t="s">
        <v>540</v>
      </c>
      <c r="G44" s="355"/>
      <c r="H44" s="144"/>
      <c r="I44" s="156" t="s">
        <v>551</v>
      </c>
      <c r="J44" s="145">
        <v>2</v>
      </c>
      <c r="K44" s="282"/>
      <c r="L44" s="221"/>
      <c r="M44" s="218"/>
      <c r="N44" s="219"/>
      <c r="O44" s="220"/>
      <c r="P44" s="221"/>
      <c r="Q44" s="218"/>
      <c r="R44" s="219"/>
      <c r="S44" s="220">
        <v>2</v>
      </c>
      <c r="T44" s="221"/>
      <c r="U44" s="218"/>
      <c r="V44" s="222"/>
      <c r="W44" s="216">
        <f t="shared" ref="W44:W48" si="6">SUM(K44:V44)</f>
        <v>2</v>
      </c>
      <c r="X44" s="217"/>
      <c r="Y44" s="353"/>
    </row>
    <row r="45" spans="2:28" ht="17.25" customHeight="1">
      <c r="B45" s="275"/>
      <c r="C45" s="273"/>
      <c r="D45" s="60" t="s">
        <v>168</v>
      </c>
      <c r="E45" s="61" t="s">
        <v>363</v>
      </c>
      <c r="F45" s="354" t="s">
        <v>541</v>
      </c>
      <c r="G45" s="355"/>
      <c r="H45" s="144"/>
      <c r="I45" s="156" t="s">
        <v>550</v>
      </c>
      <c r="J45" s="145">
        <v>14</v>
      </c>
      <c r="K45" s="282"/>
      <c r="L45" s="221"/>
      <c r="M45" s="218"/>
      <c r="N45" s="219"/>
      <c r="O45" s="220">
        <v>7</v>
      </c>
      <c r="P45" s="221"/>
      <c r="Q45" s="218">
        <v>7</v>
      </c>
      <c r="R45" s="219"/>
      <c r="S45" s="220"/>
      <c r="T45" s="221"/>
      <c r="U45" s="218"/>
      <c r="V45" s="222"/>
      <c r="W45" s="216">
        <f t="shared" si="6"/>
        <v>14</v>
      </c>
      <c r="X45" s="217"/>
      <c r="Y45" s="353"/>
    </row>
    <row r="46" spans="2:28" ht="17.25" customHeight="1">
      <c r="B46" s="275"/>
      <c r="C46" s="273"/>
      <c r="D46" s="60" t="s">
        <v>168</v>
      </c>
      <c r="E46" s="61" t="s">
        <v>363</v>
      </c>
      <c r="F46" s="354" t="s">
        <v>542</v>
      </c>
      <c r="G46" s="355"/>
      <c r="H46" s="144"/>
      <c r="I46" s="156" t="s">
        <v>550</v>
      </c>
      <c r="J46" s="145">
        <v>13</v>
      </c>
      <c r="K46" s="282"/>
      <c r="L46" s="221"/>
      <c r="M46" s="218"/>
      <c r="N46" s="219"/>
      <c r="O46" s="220"/>
      <c r="P46" s="221"/>
      <c r="Q46" s="218"/>
      <c r="R46" s="219"/>
      <c r="S46" s="220">
        <v>6</v>
      </c>
      <c r="T46" s="221"/>
      <c r="U46" s="218">
        <v>7</v>
      </c>
      <c r="V46" s="222"/>
      <c r="W46" s="216">
        <f t="shared" si="6"/>
        <v>13</v>
      </c>
      <c r="X46" s="217"/>
      <c r="Y46" s="353"/>
    </row>
    <row r="47" spans="2:28" ht="17.25" customHeight="1">
      <c r="B47" s="275"/>
      <c r="C47" s="273"/>
      <c r="D47" s="60" t="s">
        <v>168</v>
      </c>
      <c r="E47" s="61" t="s">
        <v>363</v>
      </c>
      <c r="F47" s="354" t="s">
        <v>543</v>
      </c>
      <c r="G47" s="355"/>
      <c r="H47" s="144"/>
      <c r="I47" s="156" t="s">
        <v>550</v>
      </c>
      <c r="J47" s="145">
        <v>10</v>
      </c>
      <c r="K47" s="282"/>
      <c r="L47" s="221"/>
      <c r="M47" s="218"/>
      <c r="N47" s="219"/>
      <c r="O47" s="220">
        <v>6</v>
      </c>
      <c r="P47" s="221"/>
      <c r="Q47" s="218">
        <v>4</v>
      </c>
      <c r="R47" s="219"/>
      <c r="S47" s="220"/>
      <c r="T47" s="221"/>
      <c r="U47" s="218"/>
      <c r="V47" s="222"/>
      <c r="W47" s="216">
        <f t="shared" si="6"/>
        <v>10</v>
      </c>
      <c r="X47" s="217"/>
      <c r="Y47" s="353"/>
    </row>
    <row r="48" spans="2:28" ht="17.25" customHeight="1">
      <c r="B48" s="275"/>
      <c r="C48" s="273"/>
      <c r="D48" s="60" t="s">
        <v>168</v>
      </c>
      <c r="E48" s="61" t="s">
        <v>363</v>
      </c>
      <c r="F48" s="354" t="s">
        <v>544</v>
      </c>
      <c r="G48" s="355"/>
      <c r="H48" s="144"/>
      <c r="I48" s="156" t="s">
        <v>550</v>
      </c>
      <c r="J48" s="145">
        <v>12</v>
      </c>
      <c r="K48" s="282"/>
      <c r="L48" s="221"/>
      <c r="M48" s="218"/>
      <c r="N48" s="219"/>
      <c r="O48" s="220"/>
      <c r="P48" s="221"/>
      <c r="Q48" s="218"/>
      <c r="R48" s="219"/>
      <c r="S48" s="220">
        <v>4</v>
      </c>
      <c r="T48" s="221"/>
      <c r="U48" s="218">
        <v>8</v>
      </c>
      <c r="V48" s="222"/>
      <c r="W48" s="216">
        <f t="shared" si="6"/>
        <v>12</v>
      </c>
      <c r="X48" s="217"/>
      <c r="Y48" s="353"/>
    </row>
    <row r="49" spans="2:29" ht="17.25" customHeight="1" thickBot="1">
      <c r="B49" s="275"/>
      <c r="C49" s="273"/>
      <c r="D49" s="60" t="s">
        <v>168</v>
      </c>
      <c r="E49" s="61" t="s">
        <v>363</v>
      </c>
      <c r="F49" s="356" t="s">
        <v>545</v>
      </c>
      <c r="G49" s="357"/>
      <c r="H49" s="144"/>
      <c r="I49" s="156" t="s">
        <v>550</v>
      </c>
      <c r="J49" s="145">
        <v>6</v>
      </c>
      <c r="K49" s="282"/>
      <c r="L49" s="221"/>
      <c r="M49" s="218"/>
      <c r="N49" s="223"/>
      <c r="O49" s="220"/>
      <c r="P49" s="221"/>
      <c r="Q49" s="218"/>
      <c r="R49" s="219"/>
      <c r="S49" s="223">
        <v>3</v>
      </c>
      <c r="T49" s="221"/>
      <c r="U49" s="218">
        <v>3</v>
      </c>
      <c r="V49" s="222"/>
      <c r="W49" s="216">
        <f t="shared" si="5"/>
        <v>6</v>
      </c>
      <c r="X49" s="217"/>
      <c r="Y49" s="353"/>
    </row>
    <row r="50" spans="2:29" ht="16.5" customHeight="1">
      <c r="B50" s="362" t="s">
        <v>648</v>
      </c>
      <c r="C50" s="362" t="s">
        <v>546</v>
      </c>
      <c r="D50" s="150" t="s">
        <v>168</v>
      </c>
      <c r="E50" s="64" t="s">
        <v>363</v>
      </c>
      <c r="F50" s="372" t="s">
        <v>548</v>
      </c>
      <c r="G50" s="373"/>
      <c r="H50" s="40"/>
      <c r="I50" s="589" t="s">
        <v>551</v>
      </c>
      <c r="J50" s="326">
        <v>19</v>
      </c>
      <c r="K50" s="281"/>
      <c r="L50" s="240"/>
      <c r="M50" s="225"/>
      <c r="N50" s="284"/>
      <c r="O50" s="239"/>
      <c r="P50" s="240"/>
      <c r="Q50" s="225"/>
      <c r="R50" s="226"/>
      <c r="S50" s="284">
        <v>5</v>
      </c>
      <c r="T50" s="240"/>
      <c r="U50" s="225">
        <v>7</v>
      </c>
      <c r="V50" s="254"/>
      <c r="W50" s="338">
        <f>SUM(K50:V51)</f>
        <v>19</v>
      </c>
      <c r="X50" s="339"/>
      <c r="Y50" s="353"/>
    </row>
    <row r="51" spans="2:29" ht="17.25" thickBot="1">
      <c r="B51" s="363"/>
      <c r="C51" s="363"/>
      <c r="D51" s="66" t="s">
        <v>168</v>
      </c>
      <c r="E51" s="67" t="s">
        <v>363</v>
      </c>
      <c r="F51" s="356" t="s">
        <v>365</v>
      </c>
      <c r="G51" s="357"/>
      <c r="H51" s="45"/>
      <c r="I51" s="158" t="s">
        <v>550</v>
      </c>
      <c r="J51" s="327"/>
      <c r="K51" s="282"/>
      <c r="L51" s="221"/>
      <c r="M51" s="218"/>
      <c r="N51" s="223"/>
      <c r="O51" s="220"/>
      <c r="P51" s="221"/>
      <c r="Q51" s="218"/>
      <c r="R51" s="219"/>
      <c r="S51" s="223">
        <v>3</v>
      </c>
      <c r="T51" s="221"/>
      <c r="U51" s="218">
        <v>4</v>
      </c>
      <c r="V51" s="222"/>
      <c r="W51" s="340"/>
      <c r="X51" s="341"/>
      <c r="Y51" s="353"/>
    </row>
    <row r="52" spans="2:29">
      <c r="B52" s="363"/>
      <c r="C52" s="362" t="s">
        <v>547</v>
      </c>
      <c r="D52" s="63" t="s">
        <v>168</v>
      </c>
      <c r="E52" s="64" t="s">
        <v>363</v>
      </c>
      <c r="F52" s="364" t="s">
        <v>549</v>
      </c>
      <c r="G52" s="365"/>
      <c r="H52" s="40"/>
      <c r="I52" s="366" t="s">
        <v>550</v>
      </c>
      <c r="J52" s="327"/>
      <c r="K52" s="281"/>
      <c r="L52" s="240"/>
      <c r="M52" s="225"/>
      <c r="N52" s="284"/>
      <c r="O52" s="239"/>
      <c r="P52" s="240"/>
      <c r="Q52" s="225"/>
      <c r="R52" s="226"/>
      <c r="S52" s="284">
        <v>5</v>
      </c>
      <c r="T52" s="240"/>
      <c r="U52" s="225">
        <v>7</v>
      </c>
      <c r="V52" s="254"/>
      <c r="W52" s="338">
        <f>SUM(K52:V53)</f>
        <v>19</v>
      </c>
      <c r="X52" s="339"/>
      <c r="Y52" s="353"/>
    </row>
    <row r="53" spans="2:29" ht="17.25" thickBot="1">
      <c r="B53" s="363"/>
      <c r="C53" s="363"/>
      <c r="D53" s="66" t="s">
        <v>168</v>
      </c>
      <c r="E53" s="65" t="s">
        <v>363</v>
      </c>
      <c r="F53" s="370" t="s">
        <v>366</v>
      </c>
      <c r="G53" s="371"/>
      <c r="H53" s="50"/>
      <c r="I53" s="367"/>
      <c r="J53" s="327"/>
      <c r="K53" s="283"/>
      <c r="L53" s="270"/>
      <c r="M53" s="230"/>
      <c r="N53" s="285"/>
      <c r="O53" s="269"/>
      <c r="P53" s="270"/>
      <c r="Q53" s="230"/>
      <c r="R53" s="231"/>
      <c r="S53" s="285">
        <v>3</v>
      </c>
      <c r="T53" s="270"/>
      <c r="U53" s="230">
        <v>4</v>
      </c>
      <c r="V53" s="271"/>
      <c r="W53" s="368"/>
      <c r="X53" s="369"/>
      <c r="Y53" s="353"/>
    </row>
    <row r="54" spans="2:29" ht="24.75" customHeight="1">
      <c r="B54" s="374" t="s">
        <v>370</v>
      </c>
      <c r="C54" s="375"/>
      <c r="D54" s="375"/>
      <c r="E54" s="375"/>
      <c r="F54" s="375"/>
      <c r="G54" s="359"/>
      <c r="H54" s="378">
        <f>SUM(H39:H49)</f>
        <v>0</v>
      </c>
      <c r="I54" s="380">
        <f>SUM(I39:I51)</f>
        <v>0</v>
      </c>
      <c r="J54" s="382">
        <f>SUM(J39:J53)</f>
        <v>96</v>
      </c>
      <c r="K54" s="374">
        <f>SUM(K39:L53)</f>
        <v>9</v>
      </c>
      <c r="L54" s="384"/>
      <c r="M54" s="358">
        <f>SUM(M39:N51)</f>
        <v>7</v>
      </c>
      <c r="N54" s="375"/>
      <c r="O54" s="386">
        <f>SUM(O39:P51)</f>
        <v>15</v>
      </c>
      <c r="P54" s="384"/>
      <c r="Q54" s="358">
        <f>SUM(Q39:R51)</f>
        <v>11</v>
      </c>
      <c r="R54" s="388"/>
      <c r="S54" s="375">
        <f>SUM(S39:T51)</f>
        <v>25</v>
      </c>
      <c r="T54" s="384"/>
      <c r="U54" s="358">
        <f>SUM(U39:V51)</f>
        <v>29</v>
      </c>
      <c r="V54" s="359"/>
      <c r="W54" s="374">
        <f>SUM(K54:V55)</f>
        <v>96</v>
      </c>
      <c r="X54" s="359"/>
      <c r="Y54" s="352">
        <f>SUM(Y39:Y52)</f>
        <v>80</v>
      </c>
      <c r="AC54" s="31"/>
    </row>
    <row r="55" spans="2:29" ht="17.25" thickBot="1">
      <c r="B55" s="376"/>
      <c r="C55" s="377"/>
      <c r="D55" s="377"/>
      <c r="E55" s="377"/>
      <c r="F55" s="377"/>
      <c r="G55" s="361"/>
      <c r="H55" s="379"/>
      <c r="I55" s="381"/>
      <c r="J55" s="383"/>
      <c r="K55" s="376"/>
      <c r="L55" s="385"/>
      <c r="M55" s="360"/>
      <c r="N55" s="377"/>
      <c r="O55" s="387"/>
      <c r="P55" s="385"/>
      <c r="Q55" s="360"/>
      <c r="R55" s="389"/>
      <c r="S55" s="377"/>
      <c r="T55" s="385"/>
      <c r="U55" s="360"/>
      <c r="V55" s="361"/>
      <c r="W55" s="376"/>
      <c r="X55" s="361"/>
      <c r="Y55" s="390"/>
      <c r="AC55" s="68"/>
    </row>
    <row r="56" spans="2:29" ht="17.25" customHeight="1" thickBot="1">
      <c r="B56" s="242"/>
      <c r="C56" s="344"/>
      <c r="D56" s="344"/>
      <c r="E56" s="344"/>
      <c r="F56" s="344"/>
      <c r="G56" s="345"/>
      <c r="H56" s="32">
        <f>SUM(H38,H54)</f>
        <v>51</v>
      </c>
      <c r="I56" s="33">
        <f>SUM(I38,I54)</f>
        <v>0</v>
      </c>
      <c r="J56" s="34">
        <f>SUM(J38,J54)</f>
        <v>139</v>
      </c>
      <c r="K56" s="242">
        <f>SUM(K38,K54)</f>
        <v>29</v>
      </c>
      <c r="L56" s="243"/>
      <c r="M56" s="228">
        <f>SUM(M38,M54)</f>
        <v>29</v>
      </c>
      <c r="N56" s="410"/>
      <c r="O56" s="411">
        <f>SUM(O38,O54)</f>
        <v>29</v>
      </c>
      <c r="P56" s="243"/>
      <c r="Q56" s="228">
        <f>SUM(Q38,Q54)</f>
        <v>29</v>
      </c>
      <c r="R56" s="410"/>
      <c r="S56" s="411">
        <f>SUM(S38,S54)</f>
        <v>29</v>
      </c>
      <c r="T56" s="243"/>
      <c r="U56" s="228">
        <f>SUM(U38,U54)</f>
        <v>29</v>
      </c>
      <c r="V56" s="345"/>
      <c r="W56" s="242">
        <f>SUM(K56:V56)</f>
        <v>174</v>
      </c>
      <c r="X56" s="345"/>
      <c r="Y56" s="11">
        <f>Y54+Y38</f>
        <v>144</v>
      </c>
      <c r="AA56" s="258" t="s">
        <v>158</v>
      </c>
      <c r="AB56" s="258"/>
    </row>
    <row r="57" spans="2:29" ht="18.75" customHeight="1" thickBot="1">
      <c r="B57" s="392" t="s">
        <v>371</v>
      </c>
      <c r="C57" s="393"/>
      <c r="D57" s="393"/>
      <c r="E57" s="394"/>
      <c r="F57" s="401" t="s">
        <v>367</v>
      </c>
      <c r="G57" s="402"/>
      <c r="H57" s="402"/>
      <c r="I57" s="402"/>
      <c r="J57" s="403"/>
      <c r="K57" s="281">
        <v>16</v>
      </c>
      <c r="L57" s="240"/>
      <c r="M57" s="225">
        <v>16</v>
      </c>
      <c r="N57" s="226"/>
      <c r="O57" s="239">
        <v>16</v>
      </c>
      <c r="P57" s="240"/>
      <c r="Q57" s="225">
        <v>16</v>
      </c>
      <c r="R57" s="226"/>
      <c r="S57" s="239">
        <v>16</v>
      </c>
      <c r="T57" s="240"/>
      <c r="U57" s="225">
        <v>16</v>
      </c>
      <c r="V57" s="254"/>
      <c r="W57" s="392">
        <f>SUM(K57:V59)</f>
        <v>288</v>
      </c>
      <c r="X57" s="394"/>
      <c r="Y57" s="352">
        <f>Y60*16</f>
        <v>288</v>
      </c>
      <c r="AA57" s="391"/>
      <c r="AB57" s="391"/>
    </row>
    <row r="58" spans="2:29" ht="17.25" customHeight="1" thickBot="1">
      <c r="B58" s="395"/>
      <c r="C58" s="396"/>
      <c r="D58" s="396"/>
      <c r="E58" s="397"/>
      <c r="F58" s="407" t="s">
        <v>63</v>
      </c>
      <c r="G58" s="408"/>
      <c r="H58" s="408"/>
      <c r="I58" s="408"/>
      <c r="J58" s="409"/>
      <c r="K58" s="282">
        <v>16</v>
      </c>
      <c r="L58" s="221"/>
      <c r="M58" s="218">
        <v>16</v>
      </c>
      <c r="N58" s="219"/>
      <c r="O58" s="220">
        <v>16</v>
      </c>
      <c r="P58" s="221"/>
      <c r="Q58" s="218">
        <v>16</v>
      </c>
      <c r="R58" s="219"/>
      <c r="S58" s="220">
        <v>16</v>
      </c>
      <c r="T58" s="221"/>
      <c r="U58" s="218">
        <v>16</v>
      </c>
      <c r="V58" s="222"/>
      <c r="W58" s="395"/>
      <c r="X58" s="397"/>
      <c r="Y58" s="353"/>
      <c r="AA58" s="347" t="b">
        <f>W56&gt;=Y56</f>
        <v>1</v>
      </c>
      <c r="AB58" s="348"/>
    </row>
    <row r="59" spans="2:29" ht="17.25" customHeight="1">
      <c r="B59" s="395"/>
      <c r="C59" s="396"/>
      <c r="D59" s="396"/>
      <c r="E59" s="397"/>
      <c r="F59" s="407" t="s">
        <v>11</v>
      </c>
      <c r="G59" s="408"/>
      <c r="H59" s="408"/>
      <c r="I59" s="408"/>
      <c r="J59" s="409"/>
      <c r="K59" s="282">
        <v>16</v>
      </c>
      <c r="L59" s="221"/>
      <c r="M59" s="218">
        <v>16</v>
      </c>
      <c r="N59" s="219"/>
      <c r="O59" s="220">
        <v>16</v>
      </c>
      <c r="P59" s="221"/>
      <c r="Q59" s="218">
        <v>16</v>
      </c>
      <c r="R59" s="219"/>
      <c r="S59" s="220">
        <v>16</v>
      </c>
      <c r="T59" s="221"/>
      <c r="U59" s="218">
        <v>16</v>
      </c>
      <c r="V59" s="222"/>
      <c r="W59" s="404"/>
      <c r="X59" s="405"/>
      <c r="Y59" s="406"/>
    </row>
    <row r="60" spans="2:29" ht="17.25" customHeight="1" thickBot="1">
      <c r="B60" s="398"/>
      <c r="C60" s="399"/>
      <c r="D60" s="399"/>
      <c r="E60" s="400"/>
      <c r="F60" s="415" t="s">
        <v>149</v>
      </c>
      <c r="G60" s="416"/>
      <c r="H60" s="416"/>
      <c r="I60" s="416"/>
      <c r="J60" s="417"/>
      <c r="K60" s="418">
        <v>3</v>
      </c>
      <c r="L60" s="419"/>
      <c r="M60" s="420">
        <v>3</v>
      </c>
      <c r="N60" s="421"/>
      <c r="O60" s="422">
        <v>3</v>
      </c>
      <c r="P60" s="419"/>
      <c r="Q60" s="420">
        <v>3</v>
      </c>
      <c r="R60" s="421"/>
      <c r="S60" s="422">
        <v>3</v>
      </c>
      <c r="T60" s="419"/>
      <c r="U60" s="420">
        <v>3</v>
      </c>
      <c r="V60" s="423"/>
      <c r="W60" s="415">
        <f>SUM(K60:V60)</f>
        <v>18</v>
      </c>
      <c r="X60" s="417"/>
      <c r="Y60" s="69">
        <v>18</v>
      </c>
      <c r="AA60" s="258" t="s">
        <v>159</v>
      </c>
      <c r="AB60" s="258"/>
    </row>
    <row r="61" spans="2:29" ht="17.25" customHeight="1" thickBot="1">
      <c r="B61" s="242"/>
      <c r="C61" s="344"/>
      <c r="D61" s="344"/>
      <c r="E61" s="344"/>
      <c r="F61" s="344"/>
      <c r="G61" s="344"/>
      <c r="H61" s="344"/>
      <c r="I61" s="344"/>
      <c r="J61" s="345"/>
      <c r="K61" s="242">
        <v>32</v>
      </c>
      <c r="L61" s="243"/>
      <c r="M61" s="228">
        <v>32</v>
      </c>
      <c r="N61" s="410"/>
      <c r="O61" s="411">
        <v>32</v>
      </c>
      <c r="P61" s="243"/>
      <c r="Q61" s="228">
        <v>32</v>
      </c>
      <c r="R61" s="410"/>
      <c r="S61" s="411">
        <v>32</v>
      </c>
      <c r="T61" s="243"/>
      <c r="U61" s="228">
        <v>32</v>
      </c>
      <c r="V61" s="345"/>
      <c r="W61" s="242">
        <f>SUM(K61:V61)</f>
        <v>192</v>
      </c>
      <c r="X61" s="345"/>
      <c r="Y61" s="35">
        <f>W61</f>
        <v>192</v>
      </c>
      <c r="AA61" s="347" t="b">
        <f>W60&gt;=Y60</f>
        <v>1</v>
      </c>
      <c r="AB61" s="348"/>
    </row>
    <row r="62" spans="2:29" ht="17.25" customHeight="1" thickBot="1">
      <c r="B62" s="242"/>
      <c r="C62" s="344"/>
      <c r="D62" s="344"/>
      <c r="E62" s="344"/>
      <c r="F62" s="344"/>
      <c r="G62" s="344"/>
      <c r="H62" s="344"/>
      <c r="I62" s="344"/>
      <c r="J62" s="345"/>
      <c r="K62" s="242">
        <f>SUM(K61:N61)</f>
        <v>64</v>
      </c>
      <c r="L62" s="344"/>
      <c r="M62" s="344"/>
      <c r="N62" s="410"/>
      <c r="O62" s="411">
        <f>SUM(O61:R61)</f>
        <v>64</v>
      </c>
      <c r="P62" s="344"/>
      <c r="Q62" s="344"/>
      <c r="R62" s="410"/>
      <c r="S62" s="411">
        <f>SUM(S61:V61)</f>
        <v>64</v>
      </c>
      <c r="T62" s="344"/>
      <c r="U62" s="344"/>
      <c r="V62" s="345"/>
      <c r="W62" s="242">
        <f>SUM(K62:V62)</f>
        <v>192</v>
      </c>
      <c r="X62" s="345"/>
      <c r="Y62" s="11"/>
      <c r="AA62" s="258" t="s">
        <v>157</v>
      </c>
      <c r="AB62" s="258"/>
    </row>
    <row r="63" spans="2:29" ht="17.25" customHeight="1" thickBot="1">
      <c r="AA63" s="347" t="b">
        <f>W61&gt;=Y61</f>
        <v>1</v>
      </c>
      <c r="AB63" s="348"/>
    </row>
    <row r="64" spans="2:29" ht="17.25" customHeight="1"/>
    <row r="65" ht="17.25" customHeight="1"/>
    <row r="66" ht="17.25" customHeight="1"/>
    <row r="68" ht="24.95" customHeight="1"/>
    <row r="69" ht="24.95" customHeight="1"/>
    <row r="70" ht="32.25" customHeight="1"/>
    <row r="71" ht="24.95" customHeight="1"/>
    <row r="73" ht="16.5" customHeight="1"/>
    <row r="74" ht="17.2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244.5" customHeight="1"/>
  </sheetData>
  <mergeCells count="470">
    <mergeCell ref="F47:G47"/>
    <mergeCell ref="K47:L47"/>
    <mergeCell ref="M47:N47"/>
    <mergeCell ref="O47:P47"/>
    <mergeCell ref="Q47:R47"/>
    <mergeCell ref="S47:T47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5:G45"/>
    <mergeCell ref="K45:L45"/>
    <mergeCell ref="M45:N45"/>
    <mergeCell ref="O45:P45"/>
    <mergeCell ref="Q45:R45"/>
    <mergeCell ref="S45:T45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35:G35"/>
    <mergeCell ref="K35:L35"/>
    <mergeCell ref="M35:N35"/>
    <mergeCell ref="O35:P35"/>
    <mergeCell ref="Q35:R35"/>
    <mergeCell ref="S35:T35"/>
    <mergeCell ref="U35:V35"/>
    <mergeCell ref="F44:G44"/>
    <mergeCell ref="K44:L44"/>
    <mergeCell ref="M44:N44"/>
    <mergeCell ref="O44:P44"/>
    <mergeCell ref="Q44:R44"/>
    <mergeCell ref="S44:T44"/>
    <mergeCell ref="U44:V44"/>
    <mergeCell ref="M41:N41"/>
    <mergeCell ref="M42:N42"/>
    <mergeCell ref="O41:P41"/>
    <mergeCell ref="O42:P42"/>
    <mergeCell ref="S41:T41"/>
    <mergeCell ref="U41:V41"/>
    <mergeCell ref="O40:P40"/>
    <mergeCell ref="Q37:R37"/>
    <mergeCell ref="S37:T37"/>
    <mergeCell ref="M40:N40"/>
    <mergeCell ref="F34:G34"/>
    <mergeCell ref="K34:L34"/>
    <mergeCell ref="M34:N34"/>
    <mergeCell ref="O34:P34"/>
    <mergeCell ref="Q34:R34"/>
    <mergeCell ref="S34:T34"/>
    <mergeCell ref="U34:V34"/>
    <mergeCell ref="G14:G15"/>
    <mergeCell ref="H14:H15"/>
    <mergeCell ref="I14:I15"/>
    <mergeCell ref="J14:J15"/>
    <mergeCell ref="K14:L15"/>
    <mergeCell ref="M14:N15"/>
    <mergeCell ref="O14:P15"/>
    <mergeCell ref="Q14:R15"/>
    <mergeCell ref="S14:T15"/>
    <mergeCell ref="F25:G25"/>
    <mergeCell ref="K25:L25"/>
    <mergeCell ref="U31:V31"/>
    <mergeCell ref="D39:E39"/>
    <mergeCell ref="AA8:AD8"/>
    <mergeCell ref="B62:J62"/>
    <mergeCell ref="K62:N62"/>
    <mergeCell ref="O62:R62"/>
    <mergeCell ref="S62:V62"/>
    <mergeCell ref="W62:X62"/>
    <mergeCell ref="AA62:AB62"/>
    <mergeCell ref="F60:J60"/>
    <mergeCell ref="K60:L60"/>
    <mergeCell ref="M60:N60"/>
    <mergeCell ref="O60:P60"/>
    <mergeCell ref="Q60:R60"/>
    <mergeCell ref="S60:T60"/>
    <mergeCell ref="U60:V60"/>
    <mergeCell ref="W60:X60"/>
    <mergeCell ref="AA60:AB60"/>
    <mergeCell ref="S58:T58"/>
    <mergeCell ref="U58:V58"/>
    <mergeCell ref="AA58:AB58"/>
    <mergeCell ref="F59:J59"/>
    <mergeCell ref="K59:L59"/>
    <mergeCell ref="M59:N59"/>
    <mergeCell ref="W14:W15"/>
    <mergeCell ref="K56:L56"/>
    <mergeCell ref="M56:N56"/>
    <mergeCell ref="O56:P56"/>
    <mergeCell ref="Q56:R56"/>
    <mergeCell ref="S56:T56"/>
    <mergeCell ref="U56:V56"/>
    <mergeCell ref="AA63:AB63"/>
    <mergeCell ref="B61:J61"/>
    <mergeCell ref="K61:L61"/>
    <mergeCell ref="M61:N61"/>
    <mergeCell ref="O61:P61"/>
    <mergeCell ref="Q61:R61"/>
    <mergeCell ref="S61:T61"/>
    <mergeCell ref="U61:V61"/>
    <mergeCell ref="W61:X61"/>
    <mergeCell ref="AA61:AB61"/>
    <mergeCell ref="W54:X55"/>
    <mergeCell ref="Y54:Y55"/>
    <mergeCell ref="W56:X56"/>
    <mergeCell ref="AA56:AB57"/>
    <mergeCell ref="B57:E60"/>
    <mergeCell ref="F57:J57"/>
    <mergeCell ref="K57:L57"/>
    <mergeCell ref="M57:N57"/>
    <mergeCell ref="O57:P57"/>
    <mergeCell ref="Q57:R57"/>
    <mergeCell ref="S57:T57"/>
    <mergeCell ref="U57:V57"/>
    <mergeCell ref="W57:X59"/>
    <mergeCell ref="Y57:Y59"/>
    <mergeCell ref="F58:J58"/>
    <mergeCell ref="K58:L58"/>
    <mergeCell ref="M58:N58"/>
    <mergeCell ref="O58:P58"/>
    <mergeCell ref="Q58:R58"/>
    <mergeCell ref="O59:P59"/>
    <mergeCell ref="Q59:R59"/>
    <mergeCell ref="S59:T59"/>
    <mergeCell ref="U59:V59"/>
    <mergeCell ref="B56:G56"/>
    <mergeCell ref="B54:G55"/>
    <mergeCell ref="H54:H55"/>
    <mergeCell ref="I54:I55"/>
    <mergeCell ref="J54:J55"/>
    <mergeCell ref="K54:L55"/>
    <mergeCell ref="M54:N55"/>
    <mergeCell ref="O54:P55"/>
    <mergeCell ref="Q54:R55"/>
    <mergeCell ref="S54:T55"/>
    <mergeCell ref="U54:V55"/>
    <mergeCell ref="B50:B53"/>
    <mergeCell ref="U51:V51"/>
    <mergeCell ref="C52:C53"/>
    <mergeCell ref="F52:G52"/>
    <mergeCell ref="I52:I53"/>
    <mergeCell ref="K52:L52"/>
    <mergeCell ref="W52:X53"/>
    <mergeCell ref="F53:G53"/>
    <mergeCell ref="K53:L53"/>
    <mergeCell ref="C50:C51"/>
    <mergeCell ref="F50:G50"/>
    <mergeCell ref="J50:J53"/>
    <mergeCell ref="K50:L50"/>
    <mergeCell ref="M50:N50"/>
    <mergeCell ref="O50:P50"/>
    <mergeCell ref="Q50:R50"/>
    <mergeCell ref="F51:G51"/>
    <mergeCell ref="K51:L51"/>
    <mergeCell ref="M51:N51"/>
    <mergeCell ref="O51:P51"/>
    <mergeCell ref="Q51:R51"/>
    <mergeCell ref="M53:N53"/>
    <mergeCell ref="O53:P53"/>
    <mergeCell ref="Q53:R53"/>
    <mergeCell ref="M52:N52"/>
    <mergeCell ref="B38:G38"/>
    <mergeCell ref="K38:L38"/>
    <mergeCell ref="AA38:AB38"/>
    <mergeCell ref="B39:C49"/>
    <mergeCell ref="F39:G39"/>
    <mergeCell ref="K39:L39"/>
    <mergeCell ref="Y39:Y53"/>
    <mergeCell ref="F40:G40"/>
    <mergeCell ref="K40:L40"/>
    <mergeCell ref="F41:G41"/>
    <mergeCell ref="K41:L41"/>
    <mergeCell ref="F42:G42"/>
    <mergeCell ref="K42:L42"/>
    <mergeCell ref="F43:G43"/>
    <mergeCell ref="K43:L43"/>
    <mergeCell ref="F49:G49"/>
    <mergeCell ref="K49:L49"/>
    <mergeCell ref="S50:T50"/>
    <mergeCell ref="U50:V50"/>
    <mergeCell ref="W50:X51"/>
    <mergeCell ref="O52:P52"/>
    <mergeCell ref="Q52:R52"/>
    <mergeCell ref="D31:D32"/>
    <mergeCell ref="F31:G31"/>
    <mergeCell ref="K31:L31"/>
    <mergeCell ref="W31:X32"/>
    <mergeCell ref="Y31:Y32"/>
    <mergeCell ref="F32:G32"/>
    <mergeCell ref="K32:L32"/>
    <mergeCell ref="D33:D37"/>
    <mergeCell ref="F33:G33"/>
    <mergeCell ref="K33:L33"/>
    <mergeCell ref="W33:X37"/>
    <mergeCell ref="Y33:Y37"/>
    <mergeCell ref="F36:G36"/>
    <mergeCell ref="K36:L36"/>
    <mergeCell ref="F37:G37"/>
    <mergeCell ref="K37:L37"/>
    <mergeCell ref="O32:P32"/>
    <mergeCell ref="Q32:R32"/>
    <mergeCell ref="S32:T32"/>
    <mergeCell ref="U32:V32"/>
    <mergeCell ref="M31:N31"/>
    <mergeCell ref="O31:P31"/>
    <mergeCell ref="Q31:R31"/>
    <mergeCell ref="S31:T31"/>
    <mergeCell ref="D26:D30"/>
    <mergeCell ref="F26:G26"/>
    <mergeCell ref="K26:L26"/>
    <mergeCell ref="X26:X30"/>
    <mergeCell ref="F27:G27"/>
    <mergeCell ref="K27:L27"/>
    <mergeCell ref="F28:G28"/>
    <mergeCell ref="F29:G29"/>
    <mergeCell ref="K28:L28"/>
    <mergeCell ref="F30:G30"/>
    <mergeCell ref="K30:L30"/>
    <mergeCell ref="O28:P28"/>
    <mergeCell ref="Q28:R28"/>
    <mergeCell ref="S28:T28"/>
    <mergeCell ref="U28:V28"/>
    <mergeCell ref="S29:T29"/>
    <mergeCell ref="U29:V29"/>
    <mergeCell ref="M28:N28"/>
    <mergeCell ref="D20:D23"/>
    <mergeCell ref="F20:G20"/>
    <mergeCell ref="K20:L20"/>
    <mergeCell ref="X20:X21"/>
    <mergeCell ref="F21:G21"/>
    <mergeCell ref="K21:L21"/>
    <mergeCell ref="F22:G22"/>
    <mergeCell ref="K22:L22"/>
    <mergeCell ref="X22:X23"/>
    <mergeCell ref="F23:G23"/>
    <mergeCell ref="K23:L23"/>
    <mergeCell ref="U21:V21"/>
    <mergeCell ref="M21:N21"/>
    <mergeCell ref="O21:P21"/>
    <mergeCell ref="S21:T21"/>
    <mergeCell ref="U14:V15"/>
    <mergeCell ref="M11:N11"/>
    <mergeCell ref="O11:P11"/>
    <mergeCell ref="Q11:R11"/>
    <mergeCell ref="S11:T11"/>
    <mergeCell ref="U11:V11"/>
    <mergeCell ref="X16:X19"/>
    <mergeCell ref="F17:G17"/>
    <mergeCell ref="K17:L17"/>
    <mergeCell ref="F19:G19"/>
    <mergeCell ref="K19:L19"/>
    <mergeCell ref="F18:G18"/>
    <mergeCell ref="K18:L18"/>
    <mergeCell ref="M18:N18"/>
    <mergeCell ref="O18:P18"/>
    <mergeCell ref="F13:G13"/>
    <mergeCell ref="K13:L13"/>
    <mergeCell ref="X9:X11"/>
    <mergeCell ref="O9:P9"/>
    <mergeCell ref="Q9:R9"/>
    <mergeCell ref="S9:T9"/>
    <mergeCell ref="U9:V9"/>
    <mergeCell ref="M13:N13"/>
    <mergeCell ref="O13:P13"/>
    <mergeCell ref="Q13:R13"/>
    <mergeCell ref="S13:T13"/>
    <mergeCell ref="M12:N12"/>
    <mergeCell ref="O12:P12"/>
    <mergeCell ref="Q12:R12"/>
    <mergeCell ref="S12:T12"/>
    <mergeCell ref="U12:V12"/>
    <mergeCell ref="U10:V10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U30:V30"/>
    <mergeCell ref="M29:N29"/>
    <mergeCell ref="O29:P29"/>
    <mergeCell ref="Q29:R29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K16:L16"/>
    <mergeCell ref="D24:D25"/>
    <mergeCell ref="F24:G24"/>
    <mergeCell ref="K24:L24"/>
    <mergeCell ref="S52:T52"/>
    <mergeCell ref="U52:V52"/>
    <mergeCell ref="S51:T51"/>
    <mergeCell ref="S53:T53"/>
    <mergeCell ref="U53:V53"/>
    <mergeCell ref="M32:N32"/>
    <mergeCell ref="M26:N26"/>
    <mergeCell ref="O26:P26"/>
    <mergeCell ref="Q26:R26"/>
    <mergeCell ref="S26:T26"/>
    <mergeCell ref="U26:V26"/>
    <mergeCell ref="M27:N27"/>
    <mergeCell ref="O27:P27"/>
    <mergeCell ref="Q27:R27"/>
    <mergeCell ref="S27:T27"/>
    <mergeCell ref="U27:V27"/>
    <mergeCell ref="M30:N30"/>
    <mergeCell ref="O30:P30"/>
    <mergeCell ref="Q30:R30"/>
    <mergeCell ref="S30:T30"/>
    <mergeCell ref="U24:V24"/>
    <mergeCell ref="S25:T25"/>
    <mergeCell ref="U25:V25"/>
    <mergeCell ref="X24:X25"/>
    <mergeCell ref="B9:C37"/>
    <mergeCell ref="D9:D11"/>
    <mergeCell ref="F9:G9"/>
    <mergeCell ref="K9:L9"/>
    <mergeCell ref="F10:G10"/>
    <mergeCell ref="K10:L10"/>
    <mergeCell ref="M25:N25"/>
    <mergeCell ref="O25:P25"/>
    <mergeCell ref="Q25:R25"/>
    <mergeCell ref="M24:N24"/>
    <mergeCell ref="O24:P24"/>
    <mergeCell ref="Q24:R24"/>
    <mergeCell ref="Q21:R21"/>
    <mergeCell ref="F11:G11"/>
    <mergeCell ref="K11:L11"/>
    <mergeCell ref="D12:D15"/>
    <mergeCell ref="F12:G12"/>
    <mergeCell ref="K12:L12"/>
    <mergeCell ref="D16:D19"/>
    <mergeCell ref="F16:G16"/>
    <mergeCell ref="AA21:AB21"/>
    <mergeCell ref="M20:N20"/>
    <mergeCell ref="O20:P20"/>
    <mergeCell ref="Q20:R20"/>
    <mergeCell ref="S20:T20"/>
    <mergeCell ref="U20:V20"/>
    <mergeCell ref="M19:N19"/>
    <mergeCell ref="O19:P19"/>
    <mergeCell ref="Q19:R19"/>
    <mergeCell ref="S19:T19"/>
    <mergeCell ref="U19:V19"/>
    <mergeCell ref="Y9:Y19"/>
    <mergeCell ref="M17:N17"/>
    <mergeCell ref="O17:P17"/>
    <mergeCell ref="Q17:R17"/>
    <mergeCell ref="S17:T17"/>
    <mergeCell ref="U17:V17"/>
    <mergeCell ref="M16:N16"/>
    <mergeCell ref="O16:P16"/>
    <mergeCell ref="Q16:R16"/>
    <mergeCell ref="S16:T16"/>
    <mergeCell ref="U16:V16"/>
    <mergeCell ref="M9:N9"/>
    <mergeCell ref="X12:X15"/>
    <mergeCell ref="X2:Y2"/>
    <mergeCell ref="B2:U2"/>
    <mergeCell ref="V2:W2"/>
    <mergeCell ref="AA2:AA5"/>
    <mergeCell ref="W49:X49"/>
    <mergeCell ref="M43:N43"/>
    <mergeCell ref="O43:P43"/>
    <mergeCell ref="M49:N49"/>
    <mergeCell ref="O49:P49"/>
    <mergeCell ref="Q43:R43"/>
    <mergeCell ref="S43:T43"/>
    <mergeCell ref="Q33:R33"/>
    <mergeCell ref="Q36:R36"/>
    <mergeCell ref="S33:T33"/>
    <mergeCell ref="S36:T36"/>
    <mergeCell ref="U33:V33"/>
    <mergeCell ref="U36:V36"/>
    <mergeCell ref="U13:V13"/>
    <mergeCell ref="M10:N10"/>
    <mergeCell ref="O10:P10"/>
    <mergeCell ref="S8:T8"/>
    <mergeCell ref="U8:V8"/>
    <mergeCell ref="Q10:R10"/>
    <mergeCell ref="S10:T10"/>
    <mergeCell ref="M39:N39"/>
    <mergeCell ref="O39:P39"/>
    <mergeCell ref="Q39:R39"/>
    <mergeCell ref="S39:T39"/>
    <mergeCell ref="U39:V39"/>
    <mergeCell ref="W39:X39"/>
    <mergeCell ref="O33:P33"/>
    <mergeCell ref="U37:V37"/>
    <mergeCell ref="U38:V38"/>
    <mergeCell ref="W38:X38"/>
    <mergeCell ref="Q38:R38"/>
    <mergeCell ref="S38:T38"/>
    <mergeCell ref="Q18:R18"/>
    <mergeCell ref="S18:T18"/>
    <mergeCell ref="U18:V18"/>
    <mergeCell ref="Y26:Y30"/>
    <mergeCell ref="M33:N33"/>
    <mergeCell ref="M36:N36"/>
    <mergeCell ref="O37:P37"/>
    <mergeCell ref="M38:N38"/>
    <mergeCell ref="O38:P38"/>
    <mergeCell ref="O36:P36"/>
    <mergeCell ref="M37:N37"/>
    <mergeCell ref="Y20:Y21"/>
    <mergeCell ref="Y22:Y25"/>
    <mergeCell ref="M23:N23"/>
    <mergeCell ref="O23:P23"/>
    <mergeCell ref="Q23:R23"/>
    <mergeCell ref="S23:T23"/>
    <mergeCell ref="U23:V23"/>
    <mergeCell ref="M22:N22"/>
    <mergeCell ref="O22:P22"/>
    <mergeCell ref="Q22:R22"/>
    <mergeCell ref="S22:T22"/>
    <mergeCell ref="U22:V22"/>
    <mergeCell ref="S24:T24"/>
    <mergeCell ref="W43:X43"/>
    <mergeCell ref="W41:X41"/>
    <mergeCell ref="Q41:R41"/>
    <mergeCell ref="Q42:R42"/>
    <mergeCell ref="S42:T42"/>
    <mergeCell ref="U42:V42"/>
    <mergeCell ref="Q49:R49"/>
    <mergeCell ref="S49:T49"/>
    <mergeCell ref="S40:T40"/>
    <mergeCell ref="W42:X42"/>
    <mergeCell ref="W40:X40"/>
    <mergeCell ref="Q40:R40"/>
    <mergeCell ref="W44:X44"/>
    <mergeCell ref="U49:V49"/>
    <mergeCell ref="U43:V43"/>
    <mergeCell ref="U40:V40"/>
  </mergeCells>
  <phoneticPr fontId="9" type="noConversion"/>
  <conditionalFormatting sqref="AA38:AB38 AC55 AA58:AB58 AA61:AB61 AA63:AB63">
    <cfRule type="containsText" dxfId="1" priority="1" operator="containsText" text="FALSE">
      <formula>NOT(ISERROR(SEARCH("FALSE",AA38)))</formula>
    </cfRule>
  </conditionalFormatting>
  <dataValidations count="1">
    <dataValidation type="list" allowBlank="1" showInputMessage="1" showErrorMessage="1" sqref="D53" xr:uid="{390F5271-A939-4C5D-A4A8-57847F49C417}"/>
  </dataValidations>
  <printOptions horizontalCentered="1" verticalCentered="1"/>
  <pageMargins left="0.25" right="0.25" top="0.75" bottom="0.75" header="0.3" footer="0.3"/>
  <pageSetup paperSize="9" scale="43" orientation="portrait" cellComments="asDisplayed" r:id="rId1"/>
  <rowBreaks count="1" manualBreakCount="1">
    <brk id="54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53"/>
  <sheetViews>
    <sheetView showGridLines="0" view="pageBreakPreview" zoomScaleNormal="85" zoomScaleSheetLayoutView="100" workbookViewId="0">
      <selection activeCell="B2" sqref="B2:U2"/>
    </sheetView>
  </sheetViews>
  <sheetFormatPr defaultRowHeight="16.5"/>
  <cols>
    <col min="1" max="1" width="3" customWidth="1"/>
    <col min="2" max="2" width="13.12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468" t="s">
        <v>155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</row>
    <row r="3" spans="2:33" ht="27" customHeight="1" thickBot="1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591" t="s">
        <v>129</v>
      </c>
      <c r="O3" s="592"/>
      <c r="P3" s="593"/>
      <c r="Q3" s="591" t="s">
        <v>127</v>
      </c>
      <c r="R3" s="592"/>
      <c r="S3" s="593"/>
      <c r="T3" s="469" t="s">
        <v>130</v>
      </c>
      <c r="U3" s="470"/>
    </row>
    <row r="4" spans="2:33" ht="27" customHeight="1" thickBot="1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594" t="s">
        <v>523</v>
      </c>
      <c r="O4" s="595"/>
      <c r="P4" s="596"/>
      <c r="Q4" s="598" t="s">
        <v>527</v>
      </c>
      <c r="R4" s="597"/>
      <c r="S4" s="471"/>
      <c r="T4" s="598">
        <v>2027</v>
      </c>
      <c r="U4" s="471"/>
    </row>
    <row r="5" spans="2:33" ht="24" customHeight="1" thickBot="1">
      <c r="B5" s="472"/>
      <c r="C5" s="472"/>
    </row>
    <row r="6" spans="2:33" ht="20.25" customHeight="1">
      <c r="B6" s="473" t="s">
        <v>13</v>
      </c>
      <c r="C6" s="476" t="s">
        <v>140</v>
      </c>
      <c r="D6" s="454" t="s">
        <v>14</v>
      </c>
      <c r="E6" s="454" t="s">
        <v>15</v>
      </c>
      <c r="F6" s="454" t="s">
        <v>141</v>
      </c>
      <c r="G6" s="454" t="s">
        <v>142</v>
      </c>
      <c r="H6" s="457" t="s">
        <v>58</v>
      </c>
      <c r="I6" s="457"/>
      <c r="J6" s="457"/>
      <c r="K6" s="457"/>
      <c r="L6" s="457" t="s">
        <v>59</v>
      </c>
      <c r="M6" s="457"/>
      <c r="N6" s="457"/>
      <c r="O6" s="457"/>
      <c r="P6" s="457" t="s">
        <v>60</v>
      </c>
      <c r="Q6" s="457"/>
      <c r="R6" s="457"/>
      <c r="S6" s="457"/>
      <c r="T6" s="465" t="s">
        <v>139</v>
      </c>
      <c r="U6" s="458" t="s">
        <v>126</v>
      </c>
      <c r="W6" s="461" t="s">
        <v>131</v>
      </c>
      <c r="X6" s="462"/>
      <c r="Y6" s="462"/>
      <c r="Z6" s="462"/>
      <c r="AA6" s="462"/>
      <c r="AB6" s="462"/>
      <c r="AC6" s="462"/>
      <c r="AD6" s="462"/>
      <c r="AE6" s="462"/>
      <c r="AF6" s="463"/>
      <c r="AG6" s="13"/>
    </row>
    <row r="7" spans="2:33" ht="16.5" customHeight="1">
      <c r="B7" s="474"/>
      <c r="C7" s="477"/>
      <c r="D7" s="455"/>
      <c r="E7" s="455"/>
      <c r="F7" s="455"/>
      <c r="G7" s="455"/>
      <c r="H7" s="464" t="s">
        <v>124</v>
      </c>
      <c r="I7" s="464"/>
      <c r="J7" s="464" t="s">
        <v>62</v>
      </c>
      <c r="K7" s="464"/>
      <c r="L7" s="464" t="s">
        <v>124</v>
      </c>
      <c r="M7" s="464"/>
      <c r="N7" s="464" t="s">
        <v>62</v>
      </c>
      <c r="O7" s="464"/>
      <c r="P7" s="464" t="s">
        <v>124</v>
      </c>
      <c r="Q7" s="464"/>
      <c r="R7" s="464" t="s">
        <v>62</v>
      </c>
      <c r="S7" s="464"/>
      <c r="T7" s="466"/>
      <c r="U7" s="459"/>
      <c r="W7" s="451" t="s">
        <v>132</v>
      </c>
      <c r="X7" s="452"/>
      <c r="Y7" s="452"/>
      <c r="Z7" s="452"/>
      <c r="AA7" s="452"/>
      <c r="AB7" s="452"/>
      <c r="AC7" s="452"/>
      <c r="AD7" s="452"/>
      <c r="AE7" s="452"/>
      <c r="AF7" s="453"/>
      <c r="AG7" s="13"/>
    </row>
    <row r="8" spans="2:33" ht="17.25" customHeight="1" thickBot="1">
      <c r="B8" s="475"/>
      <c r="C8" s="478"/>
      <c r="D8" s="456"/>
      <c r="E8" s="456"/>
      <c r="F8" s="456"/>
      <c r="G8" s="456"/>
      <c r="H8" s="27" t="s">
        <v>138</v>
      </c>
      <c r="I8" s="27" t="s">
        <v>125</v>
      </c>
      <c r="J8" s="27" t="s">
        <v>138</v>
      </c>
      <c r="K8" s="27" t="s">
        <v>125</v>
      </c>
      <c r="L8" s="27" t="s">
        <v>138</v>
      </c>
      <c r="M8" s="27" t="s">
        <v>125</v>
      </c>
      <c r="N8" s="27" t="s">
        <v>138</v>
      </c>
      <c r="O8" s="27" t="s">
        <v>125</v>
      </c>
      <c r="P8" s="27" t="s">
        <v>138</v>
      </c>
      <c r="Q8" s="27" t="s">
        <v>125</v>
      </c>
      <c r="R8" s="27" t="s">
        <v>138</v>
      </c>
      <c r="S8" s="27" t="s">
        <v>125</v>
      </c>
      <c r="T8" s="467"/>
      <c r="U8" s="460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>
      <c r="B9" s="479" t="s">
        <v>552</v>
      </c>
      <c r="C9" s="448">
        <v>14</v>
      </c>
      <c r="D9" s="184" t="s">
        <v>558</v>
      </c>
      <c r="E9" s="184" t="s">
        <v>559</v>
      </c>
      <c r="F9" s="160">
        <v>45</v>
      </c>
      <c r="G9" s="160">
        <v>2</v>
      </c>
      <c r="H9" s="161"/>
      <c r="I9" s="161">
        <f>H9*16</f>
        <v>0</v>
      </c>
      <c r="J9" s="161"/>
      <c r="K9" s="161">
        <f>J9*16</f>
        <v>0</v>
      </c>
      <c r="L9" s="162">
        <v>3</v>
      </c>
      <c r="M9" s="162">
        <v>48</v>
      </c>
      <c r="N9" s="162"/>
      <c r="O9" s="162"/>
      <c r="P9" s="161"/>
      <c r="Q9" s="161"/>
      <c r="R9" s="162"/>
      <c r="S9" s="162"/>
      <c r="T9" s="163">
        <f>SUM(H9,J9,L9,N9,P9,R9)</f>
        <v>3</v>
      </c>
      <c r="U9" s="164">
        <f>SUM(I9,K9,M9,O9,Q9,S9)</f>
        <v>48</v>
      </c>
      <c r="W9" s="29"/>
    </row>
    <row r="10" spans="2:33">
      <c r="B10" s="480"/>
      <c r="C10" s="449"/>
      <c r="D10" s="184" t="s">
        <v>560</v>
      </c>
      <c r="E10" s="184" t="s">
        <v>561</v>
      </c>
      <c r="F10" s="167">
        <v>45</v>
      </c>
      <c r="G10" s="167">
        <v>4</v>
      </c>
      <c r="H10" s="168"/>
      <c r="I10" s="168">
        <f t="shared" ref="I10" si="0">H10*16</f>
        <v>0</v>
      </c>
      <c r="J10" s="168"/>
      <c r="K10" s="168">
        <f t="shared" ref="K10" si="1">J10*16</f>
        <v>0</v>
      </c>
      <c r="L10" s="169">
        <v>4</v>
      </c>
      <c r="M10" s="169">
        <v>64</v>
      </c>
      <c r="N10" s="169"/>
      <c r="O10" s="169"/>
      <c r="P10" s="168"/>
      <c r="Q10" s="168"/>
      <c r="R10" s="169"/>
      <c r="S10" s="169"/>
      <c r="T10" s="170">
        <f t="shared" ref="T10:U10" si="2">SUM(H10,J10,L10,N10,P10,R10)</f>
        <v>4</v>
      </c>
      <c r="U10" s="171">
        <f t="shared" si="2"/>
        <v>64</v>
      </c>
    </row>
    <row r="11" spans="2:33">
      <c r="B11" s="480"/>
      <c r="C11" s="449"/>
      <c r="D11" s="184" t="s">
        <v>562</v>
      </c>
      <c r="E11" s="184" t="s">
        <v>563</v>
      </c>
      <c r="F11" s="172">
        <v>50</v>
      </c>
      <c r="G11" s="172">
        <v>4</v>
      </c>
      <c r="H11" s="173"/>
      <c r="I11" s="173"/>
      <c r="J11" s="173"/>
      <c r="K11" s="173"/>
      <c r="L11" s="174"/>
      <c r="M11" s="174"/>
      <c r="N11" s="174">
        <v>3</v>
      </c>
      <c r="O11" s="174">
        <v>48</v>
      </c>
      <c r="P11" s="173"/>
      <c r="Q11" s="173"/>
      <c r="R11" s="174"/>
      <c r="S11" s="174"/>
      <c r="T11" s="175">
        <v>3</v>
      </c>
      <c r="U11" s="176">
        <v>48</v>
      </c>
    </row>
    <row r="12" spans="2:33">
      <c r="B12" s="480"/>
      <c r="C12" s="449"/>
      <c r="D12" s="184" t="s">
        <v>564</v>
      </c>
      <c r="E12" s="184" t="s">
        <v>565</v>
      </c>
      <c r="F12" s="172">
        <v>50</v>
      </c>
      <c r="G12" s="172">
        <v>2</v>
      </c>
      <c r="H12" s="173"/>
      <c r="I12" s="173"/>
      <c r="J12" s="173"/>
      <c r="K12" s="173"/>
      <c r="L12" s="174"/>
      <c r="M12" s="174"/>
      <c r="N12" s="174">
        <v>4</v>
      </c>
      <c r="O12" s="174">
        <v>64</v>
      </c>
      <c r="P12" s="173"/>
      <c r="Q12" s="173"/>
      <c r="R12" s="174"/>
      <c r="S12" s="174"/>
      <c r="T12" s="175">
        <f t="shared" ref="T12:U12" si="3">SUM(H12,J12,L12,N12,P12,R12)</f>
        <v>4</v>
      </c>
      <c r="U12" s="176">
        <f t="shared" si="3"/>
        <v>64</v>
      </c>
    </row>
    <row r="13" spans="2:33" ht="17.25" thickBot="1">
      <c r="B13" s="481"/>
      <c r="C13" s="450"/>
      <c r="D13" s="439" t="s">
        <v>16</v>
      </c>
      <c r="E13" s="439"/>
      <c r="F13" s="177"/>
      <c r="G13" s="178"/>
      <c r="H13" s="179">
        <f>SUM(H11:H12)</f>
        <v>0</v>
      </c>
      <c r="I13" s="179">
        <f>SUM(I11:I12)</f>
        <v>0</v>
      </c>
      <c r="J13" s="179">
        <f>SUM(J11:J12)</f>
        <v>0</v>
      </c>
      <c r="K13" s="179">
        <f>SUM(K11:K12)</f>
        <v>0</v>
      </c>
      <c r="L13" s="179">
        <f t="shared" ref="L13:U13" si="4">SUM(L9:L12)</f>
        <v>7</v>
      </c>
      <c r="M13" s="179">
        <f t="shared" si="4"/>
        <v>112</v>
      </c>
      <c r="N13" s="179">
        <f t="shared" si="4"/>
        <v>7</v>
      </c>
      <c r="O13" s="179">
        <f t="shared" si="4"/>
        <v>112</v>
      </c>
      <c r="P13" s="179">
        <f t="shared" si="4"/>
        <v>0</v>
      </c>
      <c r="Q13" s="179">
        <f t="shared" si="4"/>
        <v>0</v>
      </c>
      <c r="R13" s="179">
        <f t="shared" si="4"/>
        <v>0</v>
      </c>
      <c r="S13" s="179">
        <f t="shared" si="4"/>
        <v>0</v>
      </c>
      <c r="T13" s="180">
        <f t="shared" si="4"/>
        <v>14</v>
      </c>
      <c r="U13" s="181">
        <f t="shared" si="4"/>
        <v>224</v>
      </c>
    </row>
    <row r="14" spans="2:33">
      <c r="B14" s="440" t="s">
        <v>553</v>
      </c>
      <c r="C14" s="444">
        <v>13</v>
      </c>
      <c r="D14" s="184" t="s">
        <v>566</v>
      </c>
      <c r="E14" s="184" t="s">
        <v>567</v>
      </c>
      <c r="F14" s="160">
        <v>40</v>
      </c>
      <c r="G14" s="159">
        <v>2</v>
      </c>
      <c r="H14" s="162"/>
      <c r="I14" s="162"/>
      <c r="J14" s="162"/>
      <c r="K14" s="162"/>
      <c r="L14" s="162"/>
      <c r="M14" s="162"/>
      <c r="N14" s="162"/>
      <c r="O14" s="162"/>
      <c r="P14" s="162">
        <v>3</v>
      </c>
      <c r="Q14" s="162">
        <v>48</v>
      </c>
      <c r="R14" s="162"/>
      <c r="S14" s="162"/>
      <c r="T14" s="175">
        <f t="shared" ref="T14:U17" si="5">SUM(H14,J14,L14,N14,P14,R14)</f>
        <v>3</v>
      </c>
      <c r="U14" s="176">
        <f t="shared" si="5"/>
        <v>48</v>
      </c>
    </row>
    <row r="15" spans="2:33">
      <c r="B15" s="441"/>
      <c r="C15" s="445"/>
      <c r="D15" s="184" t="s">
        <v>568</v>
      </c>
      <c r="E15" s="184" t="s">
        <v>569</v>
      </c>
      <c r="F15" s="172">
        <v>50</v>
      </c>
      <c r="G15" s="166">
        <v>4</v>
      </c>
      <c r="H15" s="174"/>
      <c r="I15" s="174"/>
      <c r="J15" s="174"/>
      <c r="K15" s="174"/>
      <c r="L15" s="169"/>
      <c r="M15" s="169"/>
      <c r="N15" s="182"/>
      <c r="O15" s="182"/>
      <c r="P15" s="174">
        <v>3</v>
      </c>
      <c r="Q15" s="174">
        <v>48</v>
      </c>
      <c r="R15" s="174"/>
      <c r="S15" s="169"/>
      <c r="T15" s="175">
        <f t="shared" si="5"/>
        <v>3</v>
      </c>
      <c r="U15" s="176">
        <f t="shared" si="5"/>
        <v>48</v>
      </c>
    </row>
    <row r="16" spans="2:33">
      <c r="B16" s="441"/>
      <c r="C16" s="445"/>
      <c r="D16" s="184" t="s">
        <v>570</v>
      </c>
      <c r="E16" s="184" t="s">
        <v>571</v>
      </c>
      <c r="F16" s="172">
        <v>50</v>
      </c>
      <c r="G16" s="166">
        <v>4</v>
      </c>
      <c r="H16" s="174"/>
      <c r="I16" s="174"/>
      <c r="J16" s="174"/>
      <c r="K16" s="174"/>
      <c r="L16" s="174"/>
      <c r="M16" s="174"/>
      <c r="N16" s="169"/>
      <c r="O16" s="169"/>
      <c r="P16" s="174"/>
      <c r="Q16" s="174"/>
      <c r="R16" s="174">
        <v>4</v>
      </c>
      <c r="S16" s="169">
        <v>64</v>
      </c>
      <c r="T16" s="175">
        <f t="shared" si="5"/>
        <v>4</v>
      </c>
      <c r="U16" s="176">
        <f t="shared" si="5"/>
        <v>64</v>
      </c>
    </row>
    <row r="17" spans="2:21">
      <c r="B17" s="442"/>
      <c r="C17" s="446"/>
      <c r="D17" s="184" t="s">
        <v>572</v>
      </c>
      <c r="E17" s="184" t="s">
        <v>573</v>
      </c>
      <c r="F17" s="167">
        <v>50</v>
      </c>
      <c r="G17" s="165">
        <v>4</v>
      </c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>
        <v>3</v>
      </c>
      <c r="S17" s="169">
        <v>48</v>
      </c>
      <c r="T17" s="175">
        <f t="shared" si="5"/>
        <v>3</v>
      </c>
      <c r="U17" s="176">
        <f t="shared" si="5"/>
        <v>48</v>
      </c>
    </row>
    <row r="18" spans="2:21" ht="17.25" thickBot="1">
      <c r="B18" s="443"/>
      <c r="C18" s="447"/>
      <c r="D18" s="439" t="s">
        <v>16</v>
      </c>
      <c r="E18" s="439"/>
      <c r="F18" s="177"/>
      <c r="G18" s="177"/>
      <c r="H18" s="179"/>
      <c r="I18" s="179"/>
      <c r="J18" s="179"/>
      <c r="K18" s="179"/>
      <c r="L18" s="179">
        <f>SUM(L14:L17)</f>
        <v>0</v>
      </c>
      <c r="M18" s="179">
        <f>SUM(M14:M17)</f>
        <v>0</v>
      </c>
      <c r="N18" s="179">
        <f>SUM(N16:N17)</f>
        <v>0</v>
      </c>
      <c r="O18" s="179">
        <f>SUM(O16:O17)</f>
        <v>0</v>
      </c>
      <c r="P18" s="179">
        <f t="shared" ref="P18:S18" si="6">SUM(P14:P17)</f>
        <v>6</v>
      </c>
      <c r="Q18" s="179">
        <f t="shared" si="6"/>
        <v>96</v>
      </c>
      <c r="R18" s="179">
        <f t="shared" si="6"/>
        <v>7</v>
      </c>
      <c r="S18" s="179">
        <f t="shared" si="6"/>
        <v>112</v>
      </c>
      <c r="T18" s="180">
        <f t="shared" ref="T18:U18" si="7">SUM(T14:T17)</f>
        <v>13</v>
      </c>
      <c r="U18" s="181">
        <f t="shared" si="7"/>
        <v>208</v>
      </c>
    </row>
    <row r="19" spans="2:21">
      <c r="B19" s="440" t="s">
        <v>554</v>
      </c>
      <c r="C19" s="444">
        <v>10</v>
      </c>
      <c r="D19" s="184" t="s">
        <v>574</v>
      </c>
      <c r="E19" s="184" t="s">
        <v>575</v>
      </c>
      <c r="F19" s="160">
        <v>50</v>
      </c>
      <c r="G19" s="160">
        <v>2</v>
      </c>
      <c r="H19" s="162"/>
      <c r="I19" s="162"/>
      <c r="J19" s="162"/>
      <c r="K19" s="162"/>
      <c r="L19" s="174">
        <v>3</v>
      </c>
      <c r="M19" s="174">
        <v>48</v>
      </c>
      <c r="N19" s="162"/>
      <c r="O19" s="162"/>
      <c r="P19" s="162"/>
      <c r="Q19" s="162"/>
      <c r="R19" s="162"/>
      <c r="S19" s="162"/>
      <c r="T19" s="175">
        <f t="shared" ref="T19:U22" si="8">SUM(H19,J19,L19,N19,P19,R19)</f>
        <v>3</v>
      </c>
      <c r="U19" s="176">
        <f t="shared" si="8"/>
        <v>48</v>
      </c>
    </row>
    <row r="20" spans="2:21">
      <c r="B20" s="441"/>
      <c r="C20" s="445"/>
      <c r="D20" s="184" t="s">
        <v>576</v>
      </c>
      <c r="E20" s="184" t="s">
        <v>577</v>
      </c>
      <c r="F20" s="172">
        <v>50</v>
      </c>
      <c r="G20" s="172">
        <v>2</v>
      </c>
      <c r="H20" s="174"/>
      <c r="I20" s="174"/>
      <c r="J20" s="174"/>
      <c r="K20" s="174"/>
      <c r="L20" s="174">
        <v>3</v>
      </c>
      <c r="M20" s="174">
        <v>48</v>
      </c>
      <c r="N20" s="174"/>
      <c r="O20" s="174"/>
      <c r="P20" s="174"/>
      <c r="Q20" s="174"/>
      <c r="R20" s="174"/>
      <c r="S20" s="169"/>
      <c r="T20" s="175">
        <f t="shared" si="8"/>
        <v>3</v>
      </c>
      <c r="U20" s="176">
        <f t="shared" si="8"/>
        <v>48</v>
      </c>
    </row>
    <row r="21" spans="2:21">
      <c r="B21" s="441"/>
      <c r="C21" s="445"/>
      <c r="D21" s="184" t="s">
        <v>578</v>
      </c>
      <c r="E21" s="184" t="s">
        <v>579</v>
      </c>
      <c r="F21" s="172">
        <v>50</v>
      </c>
      <c r="G21" s="172">
        <v>2</v>
      </c>
      <c r="H21" s="174"/>
      <c r="I21" s="174"/>
      <c r="J21" s="174"/>
      <c r="K21" s="174"/>
      <c r="L21" s="174"/>
      <c r="M21" s="174"/>
      <c r="N21" s="174">
        <v>2</v>
      </c>
      <c r="O21" s="174">
        <v>32</v>
      </c>
      <c r="P21" s="174"/>
      <c r="Q21" s="174"/>
      <c r="R21" s="174"/>
      <c r="S21" s="169"/>
      <c r="T21" s="175">
        <f t="shared" ref="T21" si="9">SUM(H21,J21,L21,N21,P21,R21)</f>
        <v>2</v>
      </c>
      <c r="U21" s="176">
        <f t="shared" ref="U21" si="10">SUM(I21,K21,M21,O21,Q21,S21)</f>
        <v>32</v>
      </c>
    </row>
    <row r="22" spans="2:21">
      <c r="B22" s="442"/>
      <c r="C22" s="446"/>
      <c r="D22" s="184" t="s">
        <v>580</v>
      </c>
      <c r="E22" s="184" t="s">
        <v>581</v>
      </c>
      <c r="F22" s="167">
        <v>50</v>
      </c>
      <c r="G22" s="167">
        <v>4</v>
      </c>
      <c r="H22" s="169"/>
      <c r="I22" s="169"/>
      <c r="J22" s="169"/>
      <c r="K22" s="169"/>
      <c r="L22" s="169"/>
      <c r="M22" s="169"/>
      <c r="N22" s="169">
        <v>2</v>
      </c>
      <c r="O22" s="169">
        <v>32</v>
      </c>
      <c r="P22" s="169"/>
      <c r="Q22" s="169"/>
      <c r="R22" s="169"/>
      <c r="S22" s="169"/>
      <c r="T22" s="175">
        <f t="shared" si="8"/>
        <v>2</v>
      </c>
      <c r="U22" s="176">
        <f t="shared" si="8"/>
        <v>32</v>
      </c>
    </row>
    <row r="23" spans="2:21" ht="17.25" thickBot="1">
      <c r="B23" s="443"/>
      <c r="C23" s="447"/>
      <c r="D23" s="439" t="s">
        <v>16</v>
      </c>
      <c r="E23" s="439"/>
      <c r="F23" s="177"/>
      <c r="G23" s="177"/>
      <c r="H23" s="179"/>
      <c r="I23" s="179"/>
      <c r="J23" s="179"/>
      <c r="K23" s="179"/>
      <c r="L23" s="179">
        <f>SUM(L19:L22)</f>
        <v>6</v>
      </c>
      <c r="M23" s="179">
        <f>SUM(M19:M22)</f>
        <v>96</v>
      </c>
      <c r="N23" s="179">
        <f>SUM(N19:N22)</f>
        <v>4</v>
      </c>
      <c r="O23" s="179">
        <f>SUM(O19:O22)</f>
        <v>64</v>
      </c>
      <c r="P23" s="179"/>
      <c r="Q23" s="179"/>
      <c r="R23" s="179"/>
      <c r="S23" s="179"/>
      <c r="T23" s="180">
        <f>SUM(T19:T22)</f>
        <v>10</v>
      </c>
      <c r="U23" s="181">
        <f>SUM(U19:U22)</f>
        <v>160</v>
      </c>
    </row>
    <row r="24" spans="2:21">
      <c r="B24" s="440" t="s">
        <v>555</v>
      </c>
      <c r="C24" s="444">
        <v>12</v>
      </c>
      <c r="D24" s="186" t="s">
        <v>582</v>
      </c>
      <c r="E24" s="184" t="s">
        <v>583</v>
      </c>
      <c r="F24" s="160">
        <v>40</v>
      </c>
      <c r="G24" s="160">
        <v>3</v>
      </c>
      <c r="H24" s="162"/>
      <c r="I24" s="162"/>
      <c r="J24" s="162"/>
      <c r="K24" s="162"/>
      <c r="L24" s="174"/>
      <c r="M24" s="174"/>
      <c r="N24" s="162"/>
      <c r="O24" s="162"/>
      <c r="P24" s="162">
        <v>2</v>
      </c>
      <c r="Q24" s="162">
        <v>32</v>
      </c>
      <c r="R24" s="162"/>
      <c r="S24" s="162"/>
      <c r="T24" s="175">
        <f t="shared" ref="T24:U27" si="11">SUM(H24,J24,L24,N24,P24,R24)</f>
        <v>2</v>
      </c>
      <c r="U24" s="176">
        <f t="shared" si="11"/>
        <v>32</v>
      </c>
    </row>
    <row r="25" spans="2:21">
      <c r="B25" s="441"/>
      <c r="C25" s="445"/>
      <c r="D25" s="185" t="s">
        <v>584</v>
      </c>
      <c r="E25" s="184" t="s">
        <v>585</v>
      </c>
      <c r="F25" s="172">
        <v>40</v>
      </c>
      <c r="G25" s="172">
        <v>3</v>
      </c>
      <c r="H25" s="174"/>
      <c r="I25" s="174"/>
      <c r="J25" s="174"/>
      <c r="K25" s="174"/>
      <c r="L25" s="174"/>
      <c r="M25" s="174"/>
      <c r="N25" s="174"/>
      <c r="O25" s="174"/>
      <c r="P25" s="174">
        <v>2</v>
      </c>
      <c r="Q25" s="174">
        <v>32</v>
      </c>
      <c r="R25" s="174"/>
      <c r="S25" s="169"/>
      <c r="T25" s="175">
        <f t="shared" si="11"/>
        <v>2</v>
      </c>
      <c r="U25" s="176">
        <f t="shared" si="11"/>
        <v>32</v>
      </c>
    </row>
    <row r="26" spans="2:21">
      <c r="B26" s="441"/>
      <c r="C26" s="445"/>
      <c r="D26" s="185" t="s">
        <v>586</v>
      </c>
      <c r="E26" s="184" t="s">
        <v>587</v>
      </c>
      <c r="F26" s="172">
        <v>40</v>
      </c>
      <c r="G26" s="172">
        <v>3</v>
      </c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>
        <v>4</v>
      </c>
      <c r="S26" s="169">
        <v>64</v>
      </c>
      <c r="T26" s="175">
        <f t="shared" ref="T26" si="12">SUM(H26,J26,L26,N26,P26,R26)</f>
        <v>4</v>
      </c>
      <c r="U26" s="176">
        <f t="shared" ref="U26" si="13">SUM(I26,K26,M26,O26,Q26,S26)</f>
        <v>64</v>
      </c>
    </row>
    <row r="27" spans="2:21" ht="16.5" customHeight="1">
      <c r="B27" s="441"/>
      <c r="C27" s="445"/>
      <c r="D27" s="185" t="s">
        <v>588</v>
      </c>
      <c r="E27" s="184" t="s">
        <v>556</v>
      </c>
      <c r="F27" s="172">
        <v>40</v>
      </c>
      <c r="G27" s="172">
        <v>3</v>
      </c>
      <c r="H27" s="174"/>
      <c r="I27" s="174"/>
      <c r="J27" s="174"/>
      <c r="K27" s="174"/>
      <c r="L27" s="169"/>
      <c r="M27" s="169"/>
      <c r="N27" s="169"/>
      <c r="O27" s="169"/>
      <c r="P27" s="174"/>
      <c r="Q27" s="174"/>
      <c r="R27" s="174">
        <v>4</v>
      </c>
      <c r="S27" s="169">
        <v>64</v>
      </c>
      <c r="T27" s="175">
        <f t="shared" si="11"/>
        <v>4</v>
      </c>
      <c r="U27" s="176">
        <f t="shared" si="11"/>
        <v>64</v>
      </c>
    </row>
    <row r="28" spans="2:21" ht="17.25" thickBot="1">
      <c r="B28" s="443"/>
      <c r="C28" s="447"/>
      <c r="D28" s="439" t="s">
        <v>16</v>
      </c>
      <c r="E28" s="439"/>
      <c r="F28" s="177"/>
      <c r="G28" s="177"/>
      <c r="H28" s="179"/>
      <c r="I28" s="179"/>
      <c r="J28" s="179"/>
      <c r="K28" s="179"/>
      <c r="L28" s="179">
        <f t="shared" ref="L28:U28" si="14">SUM(L24:L27)</f>
        <v>0</v>
      </c>
      <c r="M28" s="179">
        <f t="shared" si="14"/>
        <v>0</v>
      </c>
      <c r="N28" s="179">
        <f t="shared" si="14"/>
        <v>0</v>
      </c>
      <c r="O28" s="179">
        <f t="shared" si="14"/>
        <v>0</v>
      </c>
      <c r="P28" s="179">
        <f t="shared" si="14"/>
        <v>4</v>
      </c>
      <c r="Q28" s="179">
        <f t="shared" si="14"/>
        <v>64</v>
      </c>
      <c r="R28" s="179">
        <f t="shared" si="14"/>
        <v>8</v>
      </c>
      <c r="S28" s="179">
        <f t="shared" si="14"/>
        <v>128</v>
      </c>
      <c r="T28" s="180">
        <f t="shared" si="14"/>
        <v>12</v>
      </c>
      <c r="U28" s="181">
        <f t="shared" si="14"/>
        <v>192</v>
      </c>
    </row>
    <row r="29" spans="2:21" ht="16.5" customHeight="1">
      <c r="B29" s="479" t="s">
        <v>545</v>
      </c>
      <c r="C29" s="448">
        <v>6</v>
      </c>
      <c r="D29" s="185" t="s">
        <v>589</v>
      </c>
      <c r="E29" s="185" t="s">
        <v>590</v>
      </c>
      <c r="F29" s="160">
        <v>45</v>
      </c>
      <c r="G29" s="160">
        <v>2</v>
      </c>
      <c r="H29" s="161"/>
      <c r="I29" s="161">
        <f>H29*16</f>
        <v>0</v>
      </c>
      <c r="J29" s="161"/>
      <c r="K29" s="161">
        <f>J29*16</f>
        <v>0</v>
      </c>
      <c r="L29" s="162"/>
      <c r="M29" s="162"/>
      <c r="N29" s="162"/>
      <c r="O29" s="162"/>
      <c r="P29" s="187">
        <v>1</v>
      </c>
      <c r="Q29" s="187">
        <v>16</v>
      </c>
      <c r="R29" s="162"/>
      <c r="S29" s="162"/>
      <c r="T29" s="163">
        <f>SUM(H29,J29,L29,N29,P29,R29)</f>
        <v>1</v>
      </c>
      <c r="U29" s="164">
        <f>SUM(I29,K29,M29,O29,Q29,S29)</f>
        <v>16</v>
      </c>
    </row>
    <row r="30" spans="2:21">
      <c r="B30" s="480"/>
      <c r="C30" s="449"/>
      <c r="D30" s="185" t="s">
        <v>591</v>
      </c>
      <c r="E30" s="185" t="s">
        <v>592</v>
      </c>
      <c r="F30" s="167">
        <v>45</v>
      </c>
      <c r="G30" s="167">
        <v>4</v>
      </c>
      <c r="H30" s="168"/>
      <c r="I30" s="168">
        <f t="shared" ref="I30" si="15">H30*16</f>
        <v>0</v>
      </c>
      <c r="J30" s="168"/>
      <c r="K30" s="168">
        <f t="shared" ref="K30" si="16">J30*16</f>
        <v>0</v>
      </c>
      <c r="L30" s="169"/>
      <c r="M30" s="169"/>
      <c r="N30" s="169"/>
      <c r="O30" s="169"/>
      <c r="P30" s="188">
        <v>2</v>
      </c>
      <c r="Q30" s="188">
        <v>32</v>
      </c>
      <c r="R30" s="169"/>
      <c r="S30" s="169"/>
      <c r="T30" s="170">
        <f t="shared" ref="T30" si="17">SUM(H30,J30,L30,N30,P30,R30)</f>
        <v>2</v>
      </c>
      <c r="U30" s="171">
        <f t="shared" ref="U30" si="18">SUM(I30,K30,M30,O30,Q30,S30)</f>
        <v>32</v>
      </c>
    </row>
    <row r="31" spans="2:21">
      <c r="B31" s="480"/>
      <c r="C31" s="449"/>
      <c r="D31" s="185" t="s">
        <v>593</v>
      </c>
      <c r="E31" s="185" t="s">
        <v>594</v>
      </c>
      <c r="F31" s="172">
        <v>50</v>
      </c>
      <c r="G31" s="172">
        <v>4</v>
      </c>
      <c r="H31" s="173"/>
      <c r="I31" s="173"/>
      <c r="J31" s="173"/>
      <c r="K31" s="173"/>
      <c r="L31" s="174"/>
      <c r="M31" s="174"/>
      <c r="N31" s="174"/>
      <c r="O31" s="174"/>
      <c r="P31" s="173"/>
      <c r="Q31" s="173"/>
      <c r="R31" s="174">
        <v>1</v>
      </c>
      <c r="S31" s="174">
        <v>16</v>
      </c>
      <c r="T31" s="175">
        <v>1</v>
      </c>
      <c r="U31" s="176">
        <v>16</v>
      </c>
    </row>
    <row r="32" spans="2:21">
      <c r="B32" s="480"/>
      <c r="C32" s="449"/>
      <c r="D32" s="185" t="s">
        <v>595</v>
      </c>
      <c r="E32" s="185" t="s">
        <v>596</v>
      </c>
      <c r="F32" s="172">
        <v>50</v>
      </c>
      <c r="G32" s="172">
        <v>2</v>
      </c>
      <c r="H32" s="173"/>
      <c r="I32" s="173"/>
      <c r="J32" s="173"/>
      <c r="K32" s="173"/>
      <c r="L32" s="174"/>
      <c r="M32" s="174"/>
      <c r="N32" s="174"/>
      <c r="O32" s="174"/>
      <c r="P32" s="173"/>
      <c r="Q32" s="173"/>
      <c r="R32" s="174">
        <v>2</v>
      </c>
      <c r="S32" s="174">
        <v>32</v>
      </c>
      <c r="T32" s="175">
        <f t="shared" ref="T32" si="19">SUM(H32,J32,L32,N32,P32,R32)</f>
        <v>2</v>
      </c>
      <c r="U32" s="176">
        <f t="shared" ref="U32" si="20">SUM(I32,K32,M32,O32,Q32,S32)</f>
        <v>32</v>
      </c>
    </row>
    <row r="33" spans="2:21" ht="17.25" thickBot="1">
      <c r="B33" s="481"/>
      <c r="C33" s="450"/>
      <c r="D33" s="439" t="s">
        <v>16</v>
      </c>
      <c r="E33" s="439"/>
      <c r="F33" s="177"/>
      <c r="G33" s="178"/>
      <c r="H33" s="179">
        <f>SUM(H31:H32)</f>
        <v>0</v>
      </c>
      <c r="I33" s="179">
        <f>SUM(I31:I32)</f>
        <v>0</v>
      </c>
      <c r="J33" s="179">
        <f>SUM(J31:J32)</f>
        <v>0</v>
      </c>
      <c r="K33" s="179">
        <f>SUM(K31:K32)</f>
        <v>0</v>
      </c>
      <c r="L33" s="179">
        <f t="shared" ref="L33:U33" si="21">SUM(L29:L32)</f>
        <v>0</v>
      </c>
      <c r="M33" s="179">
        <f t="shared" si="21"/>
        <v>0</v>
      </c>
      <c r="N33" s="179">
        <f t="shared" si="21"/>
        <v>0</v>
      </c>
      <c r="O33" s="179">
        <f t="shared" si="21"/>
        <v>0</v>
      </c>
      <c r="P33" s="179">
        <f t="shared" si="21"/>
        <v>3</v>
      </c>
      <c r="Q33" s="179">
        <f t="shared" si="21"/>
        <v>48</v>
      </c>
      <c r="R33" s="179">
        <f t="shared" si="21"/>
        <v>3</v>
      </c>
      <c r="S33" s="179">
        <f t="shared" si="21"/>
        <v>48</v>
      </c>
      <c r="T33" s="180">
        <f t="shared" si="21"/>
        <v>6</v>
      </c>
      <c r="U33" s="181">
        <f t="shared" si="21"/>
        <v>96</v>
      </c>
    </row>
    <row r="34" spans="2:21" ht="16.5" customHeight="1">
      <c r="B34" s="440" t="s">
        <v>548</v>
      </c>
      <c r="C34" s="444">
        <v>12</v>
      </c>
      <c r="D34" s="185" t="s">
        <v>597</v>
      </c>
      <c r="E34" s="185" t="s">
        <v>598</v>
      </c>
      <c r="F34" s="160">
        <v>40</v>
      </c>
      <c r="G34" s="159">
        <v>2</v>
      </c>
      <c r="H34" s="162"/>
      <c r="I34" s="162"/>
      <c r="J34" s="162"/>
      <c r="K34" s="162"/>
      <c r="L34" s="162"/>
      <c r="M34" s="162"/>
      <c r="N34" s="162"/>
      <c r="O34" s="162"/>
      <c r="P34" s="162">
        <v>2</v>
      </c>
      <c r="Q34" s="162">
        <v>32</v>
      </c>
      <c r="R34" s="162"/>
      <c r="S34" s="162"/>
      <c r="T34" s="175">
        <f t="shared" ref="T34:T37" si="22">SUM(H34,J34,L34,N34,P34,R34)</f>
        <v>2</v>
      </c>
      <c r="U34" s="176">
        <f t="shared" ref="U34:U37" si="23">SUM(I34,K34,M34,O34,Q34,S34)</f>
        <v>32</v>
      </c>
    </row>
    <row r="35" spans="2:21">
      <c r="B35" s="441"/>
      <c r="C35" s="445"/>
      <c r="D35" s="185" t="s">
        <v>599</v>
      </c>
      <c r="E35" s="185" t="s">
        <v>600</v>
      </c>
      <c r="F35" s="172">
        <v>50</v>
      </c>
      <c r="G35" s="166">
        <v>4</v>
      </c>
      <c r="H35" s="174"/>
      <c r="I35" s="174"/>
      <c r="J35" s="174"/>
      <c r="K35" s="174"/>
      <c r="L35" s="169"/>
      <c r="M35" s="169"/>
      <c r="N35" s="182"/>
      <c r="O35" s="182"/>
      <c r="P35" s="174">
        <v>3</v>
      </c>
      <c r="Q35" s="174">
        <v>48</v>
      </c>
      <c r="R35" s="174"/>
      <c r="S35" s="169"/>
      <c r="T35" s="175">
        <f t="shared" si="22"/>
        <v>3</v>
      </c>
      <c r="U35" s="176">
        <f t="shared" si="23"/>
        <v>48</v>
      </c>
    </row>
    <row r="36" spans="2:21">
      <c r="B36" s="441"/>
      <c r="C36" s="445"/>
      <c r="D36" s="185" t="s">
        <v>601</v>
      </c>
      <c r="E36" s="185" t="s">
        <v>602</v>
      </c>
      <c r="F36" s="172">
        <v>50</v>
      </c>
      <c r="G36" s="166">
        <v>4</v>
      </c>
      <c r="H36" s="174"/>
      <c r="I36" s="174"/>
      <c r="J36" s="174"/>
      <c r="K36" s="174"/>
      <c r="L36" s="174"/>
      <c r="M36" s="174"/>
      <c r="N36" s="169"/>
      <c r="O36" s="169"/>
      <c r="P36" s="174"/>
      <c r="Q36" s="174"/>
      <c r="R36" s="174">
        <v>3</v>
      </c>
      <c r="S36" s="169">
        <v>48</v>
      </c>
      <c r="T36" s="175">
        <f t="shared" si="22"/>
        <v>3</v>
      </c>
      <c r="U36" s="176">
        <f t="shared" si="23"/>
        <v>48</v>
      </c>
    </row>
    <row r="37" spans="2:21">
      <c r="B37" s="442"/>
      <c r="C37" s="446"/>
      <c r="D37" s="185" t="s">
        <v>603</v>
      </c>
      <c r="E37" s="185" t="s">
        <v>604</v>
      </c>
      <c r="F37" s="167">
        <v>50</v>
      </c>
      <c r="G37" s="165">
        <v>4</v>
      </c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>
        <v>4</v>
      </c>
      <c r="S37" s="169">
        <v>64</v>
      </c>
      <c r="T37" s="175">
        <f t="shared" si="22"/>
        <v>4</v>
      </c>
      <c r="U37" s="176">
        <f t="shared" si="23"/>
        <v>64</v>
      </c>
    </row>
    <row r="38" spans="2:21" ht="17.25" thickBot="1">
      <c r="B38" s="443"/>
      <c r="C38" s="447"/>
      <c r="D38" s="439" t="s">
        <v>16</v>
      </c>
      <c r="E38" s="439"/>
      <c r="F38" s="177"/>
      <c r="G38" s="177"/>
      <c r="H38" s="179"/>
      <c r="I38" s="179"/>
      <c r="J38" s="179"/>
      <c r="K38" s="179"/>
      <c r="L38" s="179">
        <f>SUM(L34:L37)</f>
        <v>0</v>
      </c>
      <c r="M38" s="179">
        <f>SUM(M34:M37)</f>
        <v>0</v>
      </c>
      <c r="N38" s="179">
        <f>SUM(N36:N37)</f>
        <v>0</v>
      </c>
      <c r="O38" s="179">
        <f>SUM(O36:O37)</f>
        <v>0</v>
      </c>
      <c r="P38" s="179">
        <f>SUM(P34:P37)</f>
        <v>5</v>
      </c>
      <c r="Q38" s="179">
        <f>SUM(Q34:Q37)</f>
        <v>80</v>
      </c>
      <c r="R38" s="179">
        <f>SUM(R36:R37)</f>
        <v>7</v>
      </c>
      <c r="S38" s="179">
        <f>SUM(S36:S37)</f>
        <v>112</v>
      </c>
      <c r="T38" s="180">
        <f t="shared" ref="T38:U38" si="24">SUM(T34:T37)</f>
        <v>12</v>
      </c>
      <c r="U38" s="181">
        <f t="shared" si="24"/>
        <v>192</v>
      </c>
    </row>
    <row r="39" spans="2:21">
      <c r="B39" s="440" t="s">
        <v>365</v>
      </c>
      <c r="C39" s="444">
        <v>7</v>
      </c>
      <c r="D39" s="185" t="s">
        <v>605</v>
      </c>
      <c r="E39" s="185" t="s">
        <v>606</v>
      </c>
      <c r="F39" s="160">
        <v>50</v>
      </c>
      <c r="G39" s="160">
        <v>2</v>
      </c>
      <c r="H39" s="162"/>
      <c r="I39" s="162"/>
      <c r="J39" s="162"/>
      <c r="K39" s="162"/>
      <c r="L39" s="174"/>
      <c r="M39" s="174"/>
      <c r="N39" s="162"/>
      <c r="O39" s="162"/>
      <c r="P39" s="162">
        <v>2</v>
      </c>
      <c r="Q39" s="162">
        <v>32</v>
      </c>
      <c r="R39" s="162"/>
      <c r="S39" s="162"/>
      <c r="T39" s="175">
        <f t="shared" ref="T39:T42" si="25">SUM(H39,J39,L39,N39,P39,R39)</f>
        <v>2</v>
      </c>
      <c r="U39" s="176">
        <f t="shared" ref="U39:U42" si="26">SUM(I39,K39,M39,O39,Q39,S39)</f>
        <v>32</v>
      </c>
    </row>
    <row r="40" spans="2:21">
      <c r="B40" s="441"/>
      <c r="C40" s="445"/>
      <c r="D40" s="185" t="s">
        <v>607</v>
      </c>
      <c r="E40" s="185" t="s">
        <v>608</v>
      </c>
      <c r="F40" s="172">
        <v>50</v>
      </c>
      <c r="G40" s="172">
        <v>2</v>
      </c>
      <c r="H40" s="174"/>
      <c r="I40" s="174"/>
      <c r="J40" s="174"/>
      <c r="K40" s="174"/>
      <c r="L40" s="174"/>
      <c r="M40" s="174"/>
      <c r="N40" s="174"/>
      <c r="O40" s="174"/>
      <c r="P40" s="174">
        <v>2</v>
      </c>
      <c r="Q40" s="174">
        <v>32</v>
      </c>
      <c r="R40" s="174"/>
      <c r="S40" s="169"/>
      <c r="T40" s="175">
        <f t="shared" si="25"/>
        <v>2</v>
      </c>
      <c r="U40" s="176">
        <f t="shared" si="26"/>
        <v>32</v>
      </c>
    </row>
    <row r="41" spans="2:21">
      <c r="B41" s="441"/>
      <c r="C41" s="445"/>
      <c r="D41" s="185" t="s">
        <v>609</v>
      </c>
      <c r="E41" s="185" t="s">
        <v>610</v>
      </c>
      <c r="F41" s="172">
        <v>50</v>
      </c>
      <c r="G41" s="172">
        <v>2</v>
      </c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>
        <v>1</v>
      </c>
      <c r="S41" s="169">
        <v>16</v>
      </c>
      <c r="T41" s="175">
        <f t="shared" ref="T41" si="27">SUM(H41,J41,L41,N41,P41,R41)</f>
        <v>1</v>
      </c>
      <c r="U41" s="176">
        <f t="shared" ref="U41" si="28">SUM(I41,K41,M41,O41,Q41,S41)</f>
        <v>16</v>
      </c>
    </row>
    <row r="42" spans="2:21">
      <c r="B42" s="442"/>
      <c r="C42" s="446"/>
      <c r="D42" s="183" t="s">
        <v>611</v>
      </c>
      <c r="E42" s="185" t="s">
        <v>612</v>
      </c>
      <c r="F42" s="167">
        <v>50</v>
      </c>
      <c r="G42" s="167">
        <v>4</v>
      </c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>
        <v>2</v>
      </c>
      <c r="S42" s="169">
        <v>32</v>
      </c>
      <c r="T42" s="175">
        <f t="shared" si="25"/>
        <v>2</v>
      </c>
      <c r="U42" s="176">
        <f t="shared" si="26"/>
        <v>32</v>
      </c>
    </row>
    <row r="43" spans="2:21" ht="17.25" thickBot="1">
      <c r="B43" s="443"/>
      <c r="C43" s="447"/>
      <c r="D43" s="439" t="s">
        <v>16</v>
      </c>
      <c r="E43" s="439"/>
      <c r="F43" s="177"/>
      <c r="G43" s="177"/>
      <c r="H43" s="179"/>
      <c r="I43" s="179"/>
      <c r="J43" s="179"/>
      <c r="K43" s="179"/>
      <c r="L43" s="179">
        <f t="shared" ref="L43:U43" si="29">SUM(L39:L42)</f>
        <v>0</v>
      </c>
      <c r="M43" s="179">
        <f t="shared" si="29"/>
        <v>0</v>
      </c>
      <c r="N43" s="179">
        <f t="shared" si="29"/>
        <v>0</v>
      </c>
      <c r="O43" s="179">
        <f t="shared" si="29"/>
        <v>0</v>
      </c>
      <c r="P43" s="179">
        <f t="shared" si="29"/>
        <v>4</v>
      </c>
      <c r="Q43" s="179">
        <f t="shared" si="29"/>
        <v>64</v>
      </c>
      <c r="R43" s="179">
        <f t="shared" si="29"/>
        <v>3</v>
      </c>
      <c r="S43" s="179">
        <f t="shared" si="29"/>
        <v>48</v>
      </c>
      <c r="T43" s="180">
        <f t="shared" si="29"/>
        <v>7</v>
      </c>
      <c r="U43" s="181">
        <f t="shared" si="29"/>
        <v>112</v>
      </c>
    </row>
    <row r="44" spans="2:21">
      <c r="B44" s="440" t="s">
        <v>549</v>
      </c>
      <c r="C44" s="444">
        <v>12</v>
      </c>
      <c r="D44" s="185" t="s">
        <v>613</v>
      </c>
      <c r="E44" s="185" t="s">
        <v>614</v>
      </c>
      <c r="F44" s="160">
        <v>40</v>
      </c>
      <c r="G44" s="160">
        <v>3</v>
      </c>
      <c r="H44" s="162"/>
      <c r="I44" s="162"/>
      <c r="J44" s="162"/>
      <c r="K44" s="162"/>
      <c r="L44" s="174"/>
      <c r="M44" s="174"/>
      <c r="N44" s="162"/>
      <c r="O44" s="162"/>
      <c r="P44" s="162">
        <v>2</v>
      </c>
      <c r="Q44" s="162">
        <v>32</v>
      </c>
      <c r="R44" s="162"/>
      <c r="S44" s="162"/>
      <c r="T44" s="175">
        <f t="shared" ref="T44:T47" si="30">SUM(H44,J44,L44,N44,P44,R44)</f>
        <v>2</v>
      </c>
      <c r="U44" s="176">
        <f t="shared" ref="U44:U47" si="31">SUM(I44,K44,M44,O44,Q44,S44)</f>
        <v>32</v>
      </c>
    </row>
    <row r="45" spans="2:21">
      <c r="B45" s="441"/>
      <c r="C45" s="445"/>
      <c r="D45" s="185" t="s">
        <v>615</v>
      </c>
      <c r="E45" s="185" t="s">
        <v>616</v>
      </c>
      <c r="F45" s="172">
        <v>40</v>
      </c>
      <c r="G45" s="172">
        <v>3</v>
      </c>
      <c r="H45" s="174"/>
      <c r="I45" s="174"/>
      <c r="J45" s="174"/>
      <c r="K45" s="174"/>
      <c r="L45" s="174"/>
      <c r="M45" s="174"/>
      <c r="N45" s="174"/>
      <c r="O45" s="174"/>
      <c r="P45" s="174">
        <v>3</v>
      </c>
      <c r="Q45" s="174">
        <v>48</v>
      </c>
      <c r="R45" s="174"/>
      <c r="S45" s="169"/>
      <c r="T45" s="175">
        <f t="shared" si="30"/>
        <v>3</v>
      </c>
      <c r="U45" s="176">
        <f t="shared" si="31"/>
        <v>48</v>
      </c>
    </row>
    <row r="46" spans="2:21">
      <c r="B46" s="441"/>
      <c r="C46" s="445"/>
      <c r="D46" s="185" t="s">
        <v>617</v>
      </c>
      <c r="E46" s="185" t="s">
        <v>618</v>
      </c>
      <c r="F46" s="172">
        <v>40</v>
      </c>
      <c r="G46" s="172">
        <v>3</v>
      </c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>
        <v>3</v>
      </c>
      <c r="S46" s="169">
        <v>48</v>
      </c>
      <c r="T46" s="175">
        <f t="shared" ref="T46" si="32">SUM(H46,J46,L46,N46,P46,R46)</f>
        <v>3</v>
      </c>
      <c r="U46" s="176">
        <f t="shared" ref="U46" si="33">SUM(I46,K46,M46,O46,Q46,S46)</f>
        <v>48</v>
      </c>
    </row>
    <row r="47" spans="2:21">
      <c r="B47" s="441"/>
      <c r="C47" s="445"/>
      <c r="D47" s="185" t="s">
        <v>619</v>
      </c>
      <c r="E47" s="185" t="s">
        <v>620</v>
      </c>
      <c r="F47" s="172">
        <v>40</v>
      </c>
      <c r="G47" s="172">
        <v>3</v>
      </c>
      <c r="H47" s="174"/>
      <c r="I47" s="174"/>
      <c r="J47" s="174"/>
      <c r="K47" s="174"/>
      <c r="L47" s="169"/>
      <c r="M47" s="169"/>
      <c r="N47" s="169"/>
      <c r="O47" s="169"/>
      <c r="P47" s="169"/>
      <c r="Q47" s="169"/>
      <c r="R47" s="169">
        <v>4</v>
      </c>
      <c r="S47" s="169">
        <v>64</v>
      </c>
      <c r="T47" s="175">
        <f t="shared" si="30"/>
        <v>4</v>
      </c>
      <c r="U47" s="176">
        <f t="shared" si="31"/>
        <v>64</v>
      </c>
    </row>
    <row r="48" spans="2:21" ht="17.25" thickBot="1">
      <c r="B48" s="443"/>
      <c r="C48" s="447"/>
      <c r="D48" s="439" t="s">
        <v>16</v>
      </c>
      <c r="E48" s="439"/>
      <c r="F48" s="177"/>
      <c r="G48" s="177"/>
      <c r="H48" s="179"/>
      <c r="I48" s="179"/>
      <c r="J48" s="179"/>
      <c r="K48" s="179"/>
      <c r="L48" s="179">
        <f t="shared" ref="L48:U48" si="34">SUM(L44:L47)</f>
        <v>0</v>
      </c>
      <c r="M48" s="179">
        <f t="shared" si="34"/>
        <v>0</v>
      </c>
      <c r="N48" s="179">
        <f t="shared" si="34"/>
        <v>0</v>
      </c>
      <c r="O48" s="179">
        <f t="shared" si="34"/>
        <v>0</v>
      </c>
      <c r="P48" s="179">
        <f t="shared" si="34"/>
        <v>5</v>
      </c>
      <c r="Q48" s="179">
        <f t="shared" si="34"/>
        <v>80</v>
      </c>
      <c r="R48" s="179">
        <f t="shared" si="34"/>
        <v>7</v>
      </c>
      <c r="S48" s="179">
        <f t="shared" si="34"/>
        <v>112</v>
      </c>
      <c r="T48" s="180">
        <f t="shared" si="34"/>
        <v>12</v>
      </c>
      <c r="U48" s="181">
        <f t="shared" si="34"/>
        <v>192</v>
      </c>
    </row>
    <row r="49" spans="2:21">
      <c r="B49" s="440" t="s">
        <v>557</v>
      </c>
      <c r="C49" s="444">
        <v>7</v>
      </c>
      <c r="D49" s="185" t="s">
        <v>621</v>
      </c>
      <c r="E49" s="185" t="s">
        <v>622</v>
      </c>
      <c r="F49" s="160">
        <v>40</v>
      </c>
      <c r="G49" s="160">
        <v>3</v>
      </c>
      <c r="H49" s="162"/>
      <c r="I49" s="162"/>
      <c r="J49" s="162"/>
      <c r="K49" s="162"/>
      <c r="L49" s="174"/>
      <c r="M49" s="174"/>
      <c r="N49" s="162"/>
      <c r="O49" s="162"/>
      <c r="P49" s="162">
        <v>2</v>
      </c>
      <c r="Q49" s="162">
        <v>32</v>
      </c>
      <c r="R49" s="162"/>
      <c r="S49" s="162"/>
      <c r="T49" s="175">
        <f t="shared" ref="T49:T52" si="35">SUM(H49,J49,L49,N49,P49,R49)</f>
        <v>2</v>
      </c>
      <c r="U49" s="176">
        <f t="shared" ref="U49:U52" si="36">SUM(I49,K49,M49,O49,Q49,S49)</f>
        <v>32</v>
      </c>
    </row>
    <row r="50" spans="2:21">
      <c r="B50" s="441"/>
      <c r="C50" s="445"/>
      <c r="D50" s="185" t="s">
        <v>623</v>
      </c>
      <c r="E50" s="185" t="s">
        <v>624</v>
      </c>
      <c r="F50" s="172">
        <v>40</v>
      </c>
      <c r="G50" s="172">
        <v>3</v>
      </c>
      <c r="H50" s="174"/>
      <c r="I50" s="174"/>
      <c r="J50" s="174"/>
      <c r="K50" s="174"/>
      <c r="L50" s="174"/>
      <c r="M50" s="174"/>
      <c r="N50" s="174"/>
      <c r="O50" s="174"/>
      <c r="P50" s="174">
        <v>2</v>
      </c>
      <c r="Q50" s="174">
        <v>32</v>
      </c>
      <c r="R50" s="174"/>
      <c r="S50" s="169"/>
      <c r="T50" s="175">
        <f t="shared" si="35"/>
        <v>2</v>
      </c>
      <c r="U50" s="176">
        <f t="shared" si="36"/>
        <v>32</v>
      </c>
    </row>
    <row r="51" spans="2:21">
      <c r="B51" s="441"/>
      <c r="C51" s="445"/>
      <c r="D51" s="185" t="s">
        <v>625</v>
      </c>
      <c r="E51" s="185" t="s">
        <v>626</v>
      </c>
      <c r="F51" s="172">
        <v>40</v>
      </c>
      <c r="G51" s="172">
        <v>3</v>
      </c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>
        <v>1</v>
      </c>
      <c r="S51" s="169">
        <v>16</v>
      </c>
      <c r="T51" s="175">
        <f t="shared" si="35"/>
        <v>1</v>
      </c>
      <c r="U51" s="176">
        <f t="shared" ref="U51" si="37">SUM(I51,K51,M51,O51,Q51,S51)</f>
        <v>16</v>
      </c>
    </row>
    <row r="52" spans="2:21">
      <c r="B52" s="441"/>
      <c r="C52" s="445"/>
      <c r="D52" s="185" t="s">
        <v>627</v>
      </c>
      <c r="E52" s="185" t="s">
        <v>628</v>
      </c>
      <c r="F52" s="172">
        <v>40</v>
      </c>
      <c r="G52" s="172">
        <v>3</v>
      </c>
      <c r="H52" s="174"/>
      <c r="I52" s="174"/>
      <c r="J52" s="174"/>
      <c r="K52" s="174"/>
      <c r="L52" s="169"/>
      <c r="M52" s="169"/>
      <c r="N52" s="169"/>
      <c r="O52" s="169"/>
      <c r="P52" s="169"/>
      <c r="Q52" s="169"/>
      <c r="R52" s="169">
        <v>2</v>
      </c>
      <c r="S52" s="169">
        <v>32</v>
      </c>
      <c r="T52" s="175">
        <f t="shared" si="35"/>
        <v>2</v>
      </c>
      <c r="U52" s="176">
        <f t="shared" si="36"/>
        <v>32</v>
      </c>
    </row>
    <row r="53" spans="2:21" ht="17.25" thickBot="1">
      <c r="B53" s="443"/>
      <c r="C53" s="447"/>
      <c r="D53" s="439" t="s">
        <v>16</v>
      </c>
      <c r="E53" s="439"/>
      <c r="F53" s="177"/>
      <c r="G53" s="177"/>
      <c r="H53" s="179"/>
      <c r="I53" s="179"/>
      <c r="J53" s="179"/>
      <c r="K53" s="179"/>
      <c r="L53" s="179">
        <f t="shared" ref="L53:U53" si="38">SUM(L49:L52)</f>
        <v>0</v>
      </c>
      <c r="M53" s="179">
        <f t="shared" si="38"/>
        <v>0</v>
      </c>
      <c r="N53" s="179">
        <f t="shared" si="38"/>
        <v>0</v>
      </c>
      <c r="O53" s="179">
        <f t="shared" si="38"/>
        <v>0</v>
      </c>
      <c r="P53" s="179">
        <f t="shared" si="38"/>
        <v>4</v>
      </c>
      <c r="Q53" s="179">
        <f t="shared" si="38"/>
        <v>64</v>
      </c>
      <c r="R53" s="179">
        <f t="shared" si="38"/>
        <v>3</v>
      </c>
      <c r="S53" s="179">
        <f t="shared" si="38"/>
        <v>48</v>
      </c>
      <c r="T53" s="180">
        <f t="shared" si="38"/>
        <v>7</v>
      </c>
      <c r="U53" s="181">
        <f t="shared" si="38"/>
        <v>112</v>
      </c>
    </row>
  </sheetData>
  <mergeCells count="54">
    <mergeCell ref="B9:B13"/>
    <mergeCell ref="C49:C53"/>
    <mergeCell ref="D53:E53"/>
    <mergeCell ref="B29:B33"/>
    <mergeCell ref="C29:C33"/>
    <mergeCell ref="D33:E33"/>
    <mergeCell ref="B34:B38"/>
    <mergeCell ref="C34:C38"/>
    <mergeCell ref="D38:E38"/>
    <mergeCell ref="B39:B43"/>
    <mergeCell ref="C39:C43"/>
    <mergeCell ref="D43:E43"/>
    <mergeCell ref="B44:B48"/>
    <mergeCell ref="C44:C48"/>
    <mergeCell ref="D48:E48"/>
    <mergeCell ref="B49:B53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C9:C13"/>
    <mergeCell ref="D13:E13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F6:F8"/>
    <mergeCell ref="D28:E28"/>
    <mergeCell ref="B14:B18"/>
    <mergeCell ref="C14:C18"/>
    <mergeCell ref="D18:E18"/>
    <mergeCell ref="B19:B23"/>
    <mergeCell ref="C19:C23"/>
    <mergeCell ref="D23:E23"/>
    <mergeCell ref="B24:B28"/>
    <mergeCell ref="C24:C2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82D1-A4A3-42C2-9E80-C9A7318A2CF6}">
  <sheetPr>
    <pageSetUpPr fitToPage="1"/>
  </sheetPr>
  <dimension ref="B1:AD103"/>
  <sheetViews>
    <sheetView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47" t="s">
        <v>522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8"/>
      <c r="V2" s="249" t="s">
        <v>130</v>
      </c>
      <c r="W2" s="250"/>
      <c r="X2" s="245">
        <v>2027</v>
      </c>
      <c r="Y2" s="246"/>
      <c r="AA2" s="251" t="s">
        <v>143</v>
      </c>
      <c r="AB2" s="19" t="s">
        <v>144</v>
      </c>
      <c r="AC2" s="30" t="s">
        <v>156</v>
      </c>
      <c r="AD2" s="20" t="s">
        <v>145</v>
      </c>
    </row>
    <row r="3" spans="2:30" ht="17.25" thickBot="1">
      <c r="B3" s="286" t="s">
        <v>368</v>
      </c>
      <c r="C3" s="288" t="s">
        <v>53</v>
      </c>
      <c r="D3" s="289"/>
      <c r="E3" s="289"/>
      <c r="F3" s="288" t="s">
        <v>64</v>
      </c>
      <c r="G3" s="292"/>
      <c r="H3" s="288" t="s">
        <v>54</v>
      </c>
      <c r="I3" s="289"/>
      <c r="J3" s="289"/>
      <c r="K3" s="288" t="s">
        <v>55</v>
      </c>
      <c r="L3" s="289"/>
      <c r="M3" s="289"/>
      <c r="N3" s="289"/>
      <c r="O3" s="292"/>
      <c r="P3" s="294" t="s">
        <v>56</v>
      </c>
      <c r="Q3" s="295"/>
      <c r="R3" s="295"/>
      <c r="S3" s="295"/>
      <c r="T3" s="295"/>
      <c r="U3" s="295"/>
      <c r="V3" s="295"/>
      <c r="W3" s="295"/>
      <c r="X3" s="295"/>
      <c r="Y3" s="296"/>
      <c r="AA3" s="252"/>
      <c r="AB3" s="21" t="s">
        <v>146</v>
      </c>
      <c r="AC3" s="36" t="s">
        <v>533</v>
      </c>
      <c r="AD3" s="22" t="s">
        <v>535</v>
      </c>
    </row>
    <row r="4" spans="2:30" ht="17.25" thickBot="1">
      <c r="B4" s="287"/>
      <c r="C4" s="290"/>
      <c r="D4" s="291"/>
      <c r="E4" s="291"/>
      <c r="F4" s="290"/>
      <c r="G4" s="293"/>
      <c r="H4" s="290"/>
      <c r="I4" s="291"/>
      <c r="J4" s="291"/>
      <c r="K4" s="290"/>
      <c r="L4" s="291"/>
      <c r="M4" s="291"/>
      <c r="N4" s="291"/>
      <c r="O4" s="293"/>
      <c r="P4" s="294" t="s">
        <v>127</v>
      </c>
      <c r="Q4" s="295"/>
      <c r="R4" s="295"/>
      <c r="S4" s="295"/>
      <c r="T4" s="294" t="s">
        <v>61</v>
      </c>
      <c r="U4" s="295"/>
      <c r="V4" s="296"/>
      <c r="W4" s="295" t="s">
        <v>128</v>
      </c>
      <c r="X4" s="295"/>
      <c r="Y4" s="296"/>
      <c r="AA4" s="252"/>
      <c r="AB4" s="23" t="s">
        <v>147</v>
      </c>
      <c r="AC4" s="37" t="s">
        <v>534</v>
      </c>
      <c r="AD4" s="22" t="s">
        <v>536</v>
      </c>
    </row>
    <row r="5" spans="2:30" ht="26.25" customHeight="1" thickBot="1">
      <c r="B5" s="590" t="s">
        <v>521</v>
      </c>
      <c r="C5" s="299" t="s">
        <v>523</v>
      </c>
      <c r="D5" s="297"/>
      <c r="E5" s="298"/>
      <c r="F5" s="299" t="s">
        <v>629</v>
      </c>
      <c r="G5" s="298"/>
      <c r="H5" s="299" t="s">
        <v>630</v>
      </c>
      <c r="I5" s="297"/>
      <c r="J5" s="298"/>
      <c r="K5" s="299" t="s">
        <v>631</v>
      </c>
      <c r="L5" s="297"/>
      <c r="M5" s="297"/>
      <c r="N5" s="297"/>
      <c r="O5" s="298"/>
      <c r="P5" s="299" t="s">
        <v>632</v>
      </c>
      <c r="Q5" s="297"/>
      <c r="R5" s="297"/>
      <c r="S5" s="297"/>
      <c r="T5" s="299" t="s">
        <v>34</v>
      </c>
      <c r="U5" s="297"/>
      <c r="V5" s="298"/>
      <c r="W5" s="300" t="s">
        <v>633</v>
      </c>
      <c r="X5" s="300"/>
      <c r="Y5" s="301"/>
      <c r="AA5" s="253"/>
      <c r="AB5" s="24" t="s">
        <v>148</v>
      </c>
      <c r="AC5" s="38"/>
      <c r="AD5" s="135"/>
    </row>
    <row r="6" spans="2:30" ht="15.75" customHeight="1" thickBot="1">
      <c r="U6" s="302"/>
      <c r="V6" s="302"/>
      <c r="W6" s="302"/>
      <c r="X6" s="302"/>
      <c r="Y6" s="302"/>
    </row>
    <row r="7" spans="2:30" s="10" customFormat="1" ht="22.5" customHeight="1">
      <c r="B7" s="303" t="s">
        <v>2</v>
      </c>
      <c r="C7" s="304"/>
      <c r="D7" s="307" t="s">
        <v>120</v>
      </c>
      <c r="E7" s="309" t="s">
        <v>57</v>
      </c>
      <c r="F7" s="310"/>
      <c r="G7" s="311"/>
      <c r="H7" s="312" t="s">
        <v>133</v>
      </c>
      <c r="I7" s="315" t="s">
        <v>134</v>
      </c>
      <c r="J7" s="319" t="s">
        <v>135</v>
      </c>
      <c r="K7" s="314" t="s">
        <v>58</v>
      </c>
      <c r="L7" s="315"/>
      <c r="M7" s="315"/>
      <c r="N7" s="316"/>
      <c r="O7" s="317" t="s">
        <v>59</v>
      </c>
      <c r="P7" s="315"/>
      <c r="Q7" s="315"/>
      <c r="R7" s="316"/>
      <c r="S7" s="314" t="s">
        <v>60</v>
      </c>
      <c r="T7" s="315"/>
      <c r="U7" s="315"/>
      <c r="V7" s="318"/>
      <c r="W7" s="312" t="s">
        <v>136</v>
      </c>
      <c r="X7" s="319"/>
      <c r="Y7" s="311" t="s">
        <v>137</v>
      </c>
      <c r="Z7" s="9"/>
    </row>
    <row r="8" spans="2:30" s="10" customFormat="1" ht="22.5" customHeight="1" thickBot="1">
      <c r="B8" s="305"/>
      <c r="C8" s="306"/>
      <c r="D8" s="308"/>
      <c r="E8" s="26" t="s">
        <v>18</v>
      </c>
      <c r="F8" s="322" t="s">
        <v>19</v>
      </c>
      <c r="G8" s="323"/>
      <c r="H8" s="313"/>
      <c r="I8" s="256"/>
      <c r="J8" s="320"/>
      <c r="K8" s="255" t="s">
        <v>0</v>
      </c>
      <c r="L8" s="256"/>
      <c r="M8" s="256" t="s">
        <v>62</v>
      </c>
      <c r="N8" s="324"/>
      <c r="O8" s="325" t="s">
        <v>0</v>
      </c>
      <c r="P8" s="256"/>
      <c r="Q8" s="256" t="s">
        <v>62</v>
      </c>
      <c r="R8" s="324"/>
      <c r="S8" s="255" t="s">
        <v>0</v>
      </c>
      <c r="T8" s="256"/>
      <c r="U8" s="256" t="s">
        <v>62</v>
      </c>
      <c r="V8" s="257"/>
      <c r="W8" s="313"/>
      <c r="X8" s="320"/>
      <c r="Y8" s="321"/>
      <c r="AA8" s="414" t="s">
        <v>508</v>
      </c>
      <c r="AB8" s="414"/>
      <c r="AC8" s="414"/>
      <c r="AD8" s="414"/>
    </row>
    <row r="9" spans="2:30" ht="16.5" customHeight="1" thickBot="1">
      <c r="B9" s="274" t="s">
        <v>341</v>
      </c>
      <c r="C9" s="272"/>
      <c r="D9" s="278" t="s">
        <v>21</v>
      </c>
      <c r="E9" s="39" t="s">
        <v>12</v>
      </c>
      <c r="F9" s="281" t="s">
        <v>205</v>
      </c>
      <c r="G9" s="254"/>
      <c r="H9" s="40">
        <v>4</v>
      </c>
      <c r="I9" s="41" t="s">
        <v>342</v>
      </c>
      <c r="J9" s="42">
        <v>3</v>
      </c>
      <c r="K9" s="281">
        <v>3</v>
      </c>
      <c r="L9" s="240"/>
      <c r="M9" s="225"/>
      <c r="N9" s="226"/>
      <c r="O9" s="239"/>
      <c r="P9" s="240"/>
      <c r="Q9" s="225"/>
      <c r="R9" s="226"/>
      <c r="S9" s="239"/>
      <c r="T9" s="240"/>
      <c r="U9" s="225"/>
      <c r="V9" s="254"/>
      <c r="W9" s="43">
        <f>SUM(K9:V9)</f>
        <v>3</v>
      </c>
      <c r="X9" s="326">
        <f>SUM(W9:W12)</f>
        <v>12</v>
      </c>
      <c r="Y9" s="224">
        <v>24</v>
      </c>
      <c r="AA9" s="130" t="s">
        <v>18</v>
      </c>
      <c r="AB9" s="131" t="s">
        <v>514</v>
      </c>
      <c r="AC9" s="131" t="s">
        <v>515</v>
      </c>
      <c r="AD9" s="132" t="s">
        <v>516</v>
      </c>
    </row>
    <row r="10" spans="2:30" ht="17.25" thickBot="1">
      <c r="B10" s="275"/>
      <c r="C10" s="273"/>
      <c r="D10" s="279"/>
      <c r="E10" s="44" t="s">
        <v>12</v>
      </c>
      <c r="F10" s="282" t="s">
        <v>206</v>
      </c>
      <c r="G10" s="222"/>
      <c r="H10" s="45">
        <v>4</v>
      </c>
      <c r="I10" s="46" t="s">
        <v>342</v>
      </c>
      <c r="J10" s="47">
        <v>4</v>
      </c>
      <c r="K10" s="282"/>
      <c r="L10" s="221"/>
      <c r="M10" s="218">
        <v>3</v>
      </c>
      <c r="N10" s="219"/>
      <c r="O10" s="220"/>
      <c r="P10" s="221"/>
      <c r="Q10" s="218"/>
      <c r="R10" s="219"/>
      <c r="S10" s="220"/>
      <c r="T10" s="221"/>
      <c r="U10" s="218"/>
      <c r="V10" s="222"/>
      <c r="W10" s="48">
        <f t="shared" ref="W10:W25" si="0">SUM(K10:V10)</f>
        <v>3</v>
      </c>
      <c r="X10" s="327"/>
      <c r="Y10" s="224"/>
      <c r="AA10" s="133" t="s">
        <v>510</v>
      </c>
      <c r="AB10" s="134">
        <v>4</v>
      </c>
      <c r="AC10" s="134">
        <v>-1</v>
      </c>
      <c r="AD10" s="22" t="s">
        <v>342</v>
      </c>
    </row>
    <row r="11" spans="2:30" ht="17.25" thickBot="1">
      <c r="B11" s="275"/>
      <c r="C11" s="273"/>
      <c r="D11" s="279"/>
      <c r="E11" s="49" t="s">
        <v>343</v>
      </c>
      <c r="F11" s="282" t="s">
        <v>344</v>
      </c>
      <c r="G11" s="222"/>
      <c r="H11" s="45">
        <v>4</v>
      </c>
      <c r="I11" s="46" t="s">
        <v>345</v>
      </c>
      <c r="J11" s="47">
        <v>3</v>
      </c>
      <c r="K11" s="282"/>
      <c r="L11" s="221"/>
      <c r="M11" s="218"/>
      <c r="N11" s="219"/>
      <c r="O11" s="220">
        <v>3</v>
      </c>
      <c r="P11" s="221"/>
      <c r="Q11" s="218"/>
      <c r="R11" s="219"/>
      <c r="S11" s="220"/>
      <c r="T11" s="221"/>
      <c r="U11" s="218"/>
      <c r="V11" s="222"/>
      <c r="W11" s="48">
        <f t="shared" ref="W11" si="1">SUM(K11:V11)</f>
        <v>3</v>
      </c>
      <c r="X11" s="327"/>
      <c r="Y11" s="224"/>
      <c r="AA11" s="133"/>
      <c r="AB11" s="134"/>
      <c r="AC11" s="134"/>
      <c r="AD11" s="22"/>
    </row>
    <row r="12" spans="2:30" ht="17.25" thickBot="1">
      <c r="B12" s="275"/>
      <c r="C12" s="273"/>
      <c r="D12" s="280"/>
      <c r="E12" s="49" t="s">
        <v>343</v>
      </c>
      <c r="F12" s="332" t="s">
        <v>211</v>
      </c>
      <c r="G12" s="268"/>
      <c r="H12" s="56">
        <v>4</v>
      </c>
      <c r="I12" s="57" t="s">
        <v>345</v>
      </c>
      <c r="J12" s="141">
        <v>3</v>
      </c>
      <c r="K12" s="332"/>
      <c r="L12" s="267"/>
      <c r="M12" s="264"/>
      <c r="N12" s="265"/>
      <c r="O12" s="266"/>
      <c r="P12" s="267"/>
      <c r="Q12" s="264">
        <v>3</v>
      </c>
      <c r="R12" s="265"/>
      <c r="S12" s="266"/>
      <c r="T12" s="267"/>
      <c r="U12" s="264"/>
      <c r="V12" s="268"/>
      <c r="W12" s="48">
        <f t="shared" si="0"/>
        <v>3</v>
      </c>
      <c r="X12" s="327"/>
      <c r="Y12" s="224"/>
      <c r="AA12" s="133" t="s">
        <v>511</v>
      </c>
      <c r="AB12" s="134">
        <v>3</v>
      </c>
      <c r="AC12" s="134"/>
      <c r="AD12" s="22">
        <v>3</v>
      </c>
    </row>
    <row r="13" spans="2:30" ht="17.25" thickBot="1">
      <c r="B13" s="275"/>
      <c r="C13" s="273"/>
      <c r="D13" s="278" t="s">
        <v>5</v>
      </c>
      <c r="E13" s="39" t="s">
        <v>12</v>
      </c>
      <c r="F13" s="281" t="s">
        <v>217</v>
      </c>
      <c r="G13" s="254"/>
      <c r="H13" s="40">
        <v>4</v>
      </c>
      <c r="I13" s="41" t="s">
        <v>342</v>
      </c>
      <c r="J13" s="42">
        <v>3</v>
      </c>
      <c r="K13" s="281">
        <v>3</v>
      </c>
      <c r="L13" s="240"/>
      <c r="M13" s="225"/>
      <c r="N13" s="226"/>
      <c r="O13" s="239"/>
      <c r="P13" s="240"/>
      <c r="Q13" s="225"/>
      <c r="R13" s="226"/>
      <c r="S13" s="239"/>
      <c r="T13" s="240"/>
      <c r="U13" s="225"/>
      <c r="V13" s="254"/>
      <c r="W13" s="43">
        <f t="shared" si="0"/>
        <v>3</v>
      </c>
      <c r="X13" s="326">
        <f>SUM(W13:W16)</f>
        <v>9</v>
      </c>
      <c r="Y13" s="224"/>
      <c r="AA13" s="133" t="s">
        <v>512</v>
      </c>
      <c r="AB13" s="134">
        <v>4</v>
      </c>
      <c r="AC13" s="134" t="s">
        <v>520</v>
      </c>
      <c r="AD13" s="22" t="s">
        <v>345</v>
      </c>
    </row>
    <row r="14" spans="2:30" ht="17.25" thickBot="1">
      <c r="B14" s="275"/>
      <c r="C14" s="273"/>
      <c r="D14" s="279"/>
      <c r="E14" s="44" t="s">
        <v>12</v>
      </c>
      <c r="F14" s="282" t="s">
        <v>219</v>
      </c>
      <c r="G14" s="222"/>
      <c r="H14" s="45">
        <v>4</v>
      </c>
      <c r="I14" s="46" t="s">
        <v>342</v>
      </c>
      <c r="J14" s="47">
        <v>4</v>
      </c>
      <c r="K14" s="282"/>
      <c r="L14" s="221"/>
      <c r="M14" s="218">
        <v>3</v>
      </c>
      <c r="N14" s="219"/>
      <c r="O14" s="220"/>
      <c r="P14" s="221"/>
      <c r="Q14" s="218"/>
      <c r="R14" s="219"/>
      <c r="S14" s="220"/>
      <c r="T14" s="221"/>
      <c r="U14" s="218"/>
      <c r="V14" s="222"/>
      <c r="W14" s="48">
        <f t="shared" si="0"/>
        <v>3</v>
      </c>
      <c r="X14" s="327"/>
      <c r="Y14" s="224"/>
      <c r="AA14" s="133" t="s">
        <v>513</v>
      </c>
      <c r="AB14" s="134">
        <v>3</v>
      </c>
      <c r="AC14" s="134" t="s">
        <v>520</v>
      </c>
      <c r="AD14" s="22" t="s">
        <v>356</v>
      </c>
    </row>
    <row r="15" spans="2:30" ht="17.25" thickBot="1">
      <c r="B15" s="275"/>
      <c r="C15" s="273"/>
      <c r="D15" s="279"/>
      <c r="E15" s="49" t="s">
        <v>354</v>
      </c>
      <c r="F15" s="151" t="s">
        <v>36</v>
      </c>
      <c r="G15" s="329" t="s">
        <v>529</v>
      </c>
      <c r="H15" s="426">
        <v>4</v>
      </c>
      <c r="I15" s="428" t="s">
        <v>345</v>
      </c>
      <c r="J15" s="430">
        <v>3</v>
      </c>
      <c r="K15" s="431"/>
      <c r="L15" s="432"/>
      <c r="M15" s="328"/>
      <c r="N15" s="435"/>
      <c r="O15" s="437">
        <v>3</v>
      </c>
      <c r="P15" s="432"/>
      <c r="Q15" s="328"/>
      <c r="R15" s="435"/>
      <c r="S15" s="437"/>
      <c r="T15" s="432"/>
      <c r="U15" s="328"/>
      <c r="V15" s="329"/>
      <c r="W15" s="424">
        <f t="shared" si="0"/>
        <v>3</v>
      </c>
      <c r="X15" s="327"/>
      <c r="Y15" s="224"/>
      <c r="AA15" s="146"/>
      <c r="AB15" s="147"/>
      <c r="AC15" s="147"/>
      <c r="AD15" s="148"/>
    </row>
    <row r="16" spans="2:30" ht="17.25" thickBot="1">
      <c r="B16" s="275"/>
      <c r="C16" s="273"/>
      <c r="D16" s="279"/>
      <c r="E16" s="49" t="s">
        <v>343</v>
      </c>
      <c r="F16" s="151" t="s">
        <v>346</v>
      </c>
      <c r="G16" s="331"/>
      <c r="H16" s="427"/>
      <c r="I16" s="429"/>
      <c r="J16" s="334"/>
      <c r="K16" s="433"/>
      <c r="L16" s="434"/>
      <c r="M16" s="330"/>
      <c r="N16" s="436"/>
      <c r="O16" s="438"/>
      <c r="P16" s="434"/>
      <c r="Q16" s="330"/>
      <c r="R16" s="436"/>
      <c r="S16" s="438"/>
      <c r="T16" s="434"/>
      <c r="U16" s="330"/>
      <c r="V16" s="331"/>
      <c r="W16" s="425"/>
      <c r="X16" s="327"/>
      <c r="Y16" s="224"/>
      <c r="AA16" s="146"/>
      <c r="AB16" s="147"/>
      <c r="AC16" s="147"/>
      <c r="AD16" s="148"/>
    </row>
    <row r="17" spans="2:29" ht="17.25" thickBot="1">
      <c r="B17" s="275"/>
      <c r="C17" s="273"/>
      <c r="D17" s="278" t="s">
        <v>6</v>
      </c>
      <c r="E17" s="39" t="s">
        <v>12</v>
      </c>
      <c r="F17" s="281" t="s">
        <v>224</v>
      </c>
      <c r="G17" s="254"/>
      <c r="H17" s="40">
        <v>4</v>
      </c>
      <c r="I17" s="41" t="s">
        <v>342</v>
      </c>
      <c r="J17" s="42">
        <v>4</v>
      </c>
      <c r="K17" s="281">
        <v>3</v>
      </c>
      <c r="L17" s="240"/>
      <c r="M17" s="225"/>
      <c r="N17" s="226"/>
      <c r="O17" s="239"/>
      <c r="P17" s="240"/>
      <c r="Q17" s="225"/>
      <c r="R17" s="226"/>
      <c r="S17" s="239"/>
      <c r="T17" s="240"/>
      <c r="U17" s="225"/>
      <c r="V17" s="254"/>
      <c r="W17" s="43">
        <f t="shared" si="0"/>
        <v>3</v>
      </c>
      <c r="X17" s="326">
        <f>SUM(W17:W19)</f>
        <v>9</v>
      </c>
      <c r="Y17" s="224"/>
    </row>
    <row r="18" spans="2:29" ht="17.25" thickBot="1">
      <c r="B18" s="275"/>
      <c r="C18" s="273"/>
      <c r="D18" s="279"/>
      <c r="E18" s="44" t="s">
        <v>12</v>
      </c>
      <c r="F18" s="282" t="s">
        <v>230</v>
      </c>
      <c r="G18" s="222"/>
      <c r="H18" s="45">
        <v>4</v>
      </c>
      <c r="I18" s="46" t="s">
        <v>342</v>
      </c>
      <c r="J18" s="47">
        <v>3</v>
      </c>
      <c r="K18" s="282"/>
      <c r="L18" s="221"/>
      <c r="M18" s="218">
        <v>3</v>
      </c>
      <c r="N18" s="219"/>
      <c r="O18" s="220"/>
      <c r="P18" s="221"/>
      <c r="Q18" s="218"/>
      <c r="R18" s="219"/>
      <c r="S18" s="220"/>
      <c r="T18" s="221"/>
      <c r="U18" s="218"/>
      <c r="V18" s="222"/>
      <c r="W18" s="48">
        <f t="shared" si="0"/>
        <v>3</v>
      </c>
      <c r="X18" s="327"/>
      <c r="Y18" s="224"/>
    </row>
    <row r="19" spans="2:29" ht="17.25" thickBot="1">
      <c r="B19" s="275"/>
      <c r="C19" s="273"/>
      <c r="D19" s="279"/>
      <c r="E19" s="44" t="s">
        <v>343</v>
      </c>
      <c r="F19" s="282" t="s">
        <v>348</v>
      </c>
      <c r="G19" s="222"/>
      <c r="H19" s="45">
        <v>4</v>
      </c>
      <c r="I19" s="46" t="s">
        <v>345</v>
      </c>
      <c r="J19" s="47">
        <v>3</v>
      </c>
      <c r="K19" s="282"/>
      <c r="L19" s="221"/>
      <c r="M19" s="218"/>
      <c r="N19" s="219"/>
      <c r="O19" s="220">
        <v>3</v>
      </c>
      <c r="P19" s="221"/>
      <c r="Q19" s="218"/>
      <c r="R19" s="219"/>
      <c r="S19" s="220"/>
      <c r="T19" s="221"/>
      <c r="U19" s="218"/>
      <c r="V19" s="222"/>
      <c r="W19" s="48">
        <f t="shared" si="0"/>
        <v>3</v>
      </c>
      <c r="X19" s="327"/>
      <c r="Y19" s="224"/>
      <c r="AA19" s="149"/>
    </row>
    <row r="20" spans="2:29" ht="17.25" thickBot="1">
      <c r="B20" s="275"/>
      <c r="C20" s="273"/>
      <c r="D20" s="278" t="s">
        <v>349</v>
      </c>
      <c r="E20" s="39" t="s">
        <v>12</v>
      </c>
      <c r="F20" s="281" t="s">
        <v>238</v>
      </c>
      <c r="G20" s="254"/>
      <c r="H20" s="40">
        <v>3</v>
      </c>
      <c r="I20" s="54" t="s">
        <v>350</v>
      </c>
      <c r="J20" s="42">
        <v>3</v>
      </c>
      <c r="K20" s="333">
        <v>3</v>
      </c>
      <c r="L20" s="262"/>
      <c r="M20" s="259"/>
      <c r="N20" s="260"/>
      <c r="O20" s="261"/>
      <c r="P20" s="262"/>
      <c r="Q20" s="259"/>
      <c r="R20" s="260"/>
      <c r="S20" s="261"/>
      <c r="T20" s="262"/>
      <c r="U20" s="259"/>
      <c r="V20" s="263"/>
      <c r="W20" s="43">
        <f t="shared" si="0"/>
        <v>3</v>
      </c>
      <c r="X20" s="326">
        <f>SUM(W20:W21)</f>
        <v>6</v>
      </c>
      <c r="Y20" s="224">
        <v>6</v>
      </c>
    </row>
    <row r="21" spans="2:29" ht="17.25" thickBot="1">
      <c r="B21" s="275"/>
      <c r="C21" s="273"/>
      <c r="D21" s="279"/>
      <c r="E21" s="55" t="s">
        <v>12</v>
      </c>
      <c r="F21" s="332" t="s">
        <v>239</v>
      </c>
      <c r="G21" s="268"/>
      <c r="H21" s="56">
        <v>3</v>
      </c>
      <c r="I21" s="57" t="s">
        <v>350</v>
      </c>
      <c r="J21" s="141">
        <v>3</v>
      </c>
      <c r="K21" s="283"/>
      <c r="L21" s="270"/>
      <c r="M21" s="230">
        <v>3</v>
      </c>
      <c r="N21" s="231"/>
      <c r="O21" s="269"/>
      <c r="P21" s="270"/>
      <c r="Q21" s="230"/>
      <c r="R21" s="231"/>
      <c r="S21" s="269"/>
      <c r="T21" s="270"/>
      <c r="U21" s="230"/>
      <c r="V21" s="271"/>
      <c r="W21" s="58">
        <f t="shared" si="0"/>
        <v>3</v>
      </c>
      <c r="X21" s="334"/>
      <c r="Y21" s="224"/>
      <c r="AA21" s="258"/>
      <c r="AB21" s="258"/>
      <c r="AC21" s="136"/>
    </row>
    <row r="22" spans="2:29" ht="17.25" thickBot="1">
      <c r="B22" s="275"/>
      <c r="C22" s="273"/>
      <c r="D22" s="279"/>
      <c r="E22" s="39" t="s">
        <v>12</v>
      </c>
      <c r="F22" s="281" t="s">
        <v>241</v>
      </c>
      <c r="G22" s="254"/>
      <c r="H22" s="40">
        <v>4</v>
      </c>
      <c r="I22" s="54" t="s">
        <v>342</v>
      </c>
      <c r="J22" s="42">
        <v>3</v>
      </c>
      <c r="K22" s="281"/>
      <c r="L22" s="240"/>
      <c r="M22" s="225"/>
      <c r="N22" s="226"/>
      <c r="O22" s="239">
        <v>3</v>
      </c>
      <c r="P22" s="240"/>
      <c r="Q22" s="225"/>
      <c r="R22" s="226"/>
      <c r="S22" s="239"/>
      <c r="T22" s="240"/>
      <c r="U22" s="225"/>
      <c r="V22" s="254"/>
      <c r="W22" s="43">
        <f t="shared" si="0"/>
        <v>3</v>
      </c>
      <c r="X22" s="326">
        <f>SUM(W22:W23)</f>
        <v>6</v>
      </c>
      <c r="Y22" s="224">
        <v>12</v>
      </c>
    </row>
    <row r="23" spans="2:29" ht="17.25" thickBot="1">
      <c r="B23" s="275"/>
      <c r="C23" s="273"/>
      <c r="D23" s="280"/>
      <c r="E23" s="53" t="s">
        <v>12</v>
      </c>
      <c r="F23" s="283" t="s">
        <v>242</v>
      </c>
      <c r="G23" s="271"/>
      <c r="H23" s="50">
        <v>4</v>
      </c>
      <c r="I23" s="51" t="s">
        <v>342</v>
      </c>
      <c r="J23" s="52">
        <v>3</v>
      </c>
      <c r="K23" s="283"/>
      <c r="L23" s="270"/>
      <c r="M23" s="230"/>
      <c r="N23" s="231"/>
      <c r="O23" s="269"/>
      <c r="P23" s="270"/>
      <c r="Q23" s="230">
        <v>3</v>
      </c>
      <c r="R23" s="231"/>
      <c r="S23" s="269"/>
      <c r="T23" s="270"/>
      <c r="U23" s="230"/>
      <c r="V23" s="271"/>
      <c r="W23" s="58">
        <f t="shared" si="0"/>
        <v>3</v>
      </c>
      <c r="X23" s="334"/>
      <c r="Y23" s="224"/>
    </row>
    <row r="24" spans="2:29" ht="17.25" thickBot="1">
      <c r="B24" s="275"/>
      <c r="C24" s="273"/>
      <c r="D24" s="278" t="s">
        <v>26</v>
      </c>
      <c r="E24" s="39" t="s">
        <v>12</v>
      </c>
      <c r="F24" s="281" t="s">
        <v>259</v>
      </c>
      <c r="G24" s="254"/>
      <c r="H24" s="40">
        <v>4</v>
      </c>
      <c r="I24" s="54" t="s">
        <v>342</v>
      </c>
      <c r="J24" s="42">
        <v>4</v>
      </c>
      <c r="K24" s="281">
        <v>3</v>
      </c>
      <c r="L24" s="240"/>
      <c r="M24" s="225"/>
      <c r="N24" s="226"/>
      <c r="O24" s="239"/>
      <c r="P24" s="240"/>
      <c r="Q24" s="225"/>
      <c r="R24" s="226"/>
      <c r="S24" s="239"/>
      <c r="T24" s="240"/>
      <c r="U24" s="225"/>
      <c r="V24" s="254"/>
      <c r="W24" s="43">
        <f t="shared" si="0"/>
        <v>3</v>
      </c>
      <c r="X24" s="272">
        <f>SUM(W24:W25)</f>
        <v>6</v>
      </c>
      <c r="Y24" s="224"/>
    </row>
    <row r="25" spans="2:29" ht="17.25" thickBot="1">
      <c r="B25" s="275"/>
      <c r="C25" s="273"/>
      <c r="D25" s="279"/>
      <c r="E25" s="44" t="s">
        <v>12</v>
      </c>
      <c r="F25" s="282" t="s">
        <v>260</v>
      </c>
      <c r="G25" s="222"/>
      <c r="H25" s="45">
        <v>4</v>
      </c>
      <c r="I25" s="46" t="s">
        <v>342</v>
      </c>
      <c r="J25" s="47">
        <v>3</v>
      </c>
      <c r="K25" s="282"/>
      <c r="L25" s="221"/>
      <c r="M25" s="218">
        <v>3</v>
      </c>
      <c r="N25" s="219"/>
      <c r="O25" s="220"/>
      <c r="P25" s="221"/>
      <c r="Q25" s="218"/>
      <c r="R25" s="219"/>
      <c r="S25" s="220"/>
      <c r="T25" s="221"/>
      <c r="U25" s="218"/>
      <c r="V25" s="222"/>
      <c r="W25" s="48">
        <f t="shared" si="0"/>
        <v>3</v>
      </c>
      <c r="X25" s="273"/>
      <c r="Y25" s="224"/>
    </row>
    <row r="26" spans="2:29" ht="16.5" customHeight="1" thickBot="1">
      <c r="B26" s="275"/>
      <c r="C26" s="273"/>
      <c r="D26" s="278" t="s">
        <v>8</v>
      </c>
      <c r="E26" s="39" t="s">
        <v>354</v>
      </c>
      <c r="F26" s="281" t="s">
        <v>355</v>
      </c>
      <c r="G26" s="254"/>
      <c r="H26" s="40">
        <v>3</v>
      </c>
      <c r="I26" s="54" t="s">
        <v>356</v>
      </c>
      <c r="J26" s="42">
        <f t="shared" ref="J26:J27" si="2">SUM(K26:V26)</f>
        <v>2</v>
      </c>
      <c r="K26" s="281">
        <v>2</v>
      </c>
      <c r="L26" s="240"/>
      <c r="M26" s="225"/>
      <c r="N26" s="226"/>
      <c r="O26" s="239"/>
      <c r="P26" s="240"/>
      <c r="Q26" s="225"/>
      <c r="R26" s="226"/>
      <c r="S26" s="239"/>
      <c r="T26" s="240"/>
      <c r="U26" s="225"/>
      <c r="V26" s="254"/>
      <c r="W26" s="43">
        <f>SUM(K26:V26)</f>
        <v>2</v>
      </c>
      <c r="X26" s="335">
        <f>SUM(W26:W30)</f>
        <v>10</v>
      </c>
      <c r="Y26" s="224">
        <v>8</v>
      </c>
    </row>
    <row r="27" spans="2:29" ht="17.25" thickBot="1">
      <c r="B27" s="275"/>
      <c r="C27" s="273"/>
      <c r="D27" s="279"/>
      <c r="E27" s="44" t="s">
        <v>354</v>
      </c>
      <c r="F27" s="282" t="s">
        <v>357</v>
      </c>
      <c r="G27" s="222"/>
      <c r="H27" s="45">
        <v>3</v>
      </c>
      <c r="I27" s="46" t="s">
        <v>356</v>
      </c>
      <c r="J27" s="47">
        <f t="shared" si="2"/>
        <v>2</v>
      </c>
      <c r="K27" s="282"/>
      <c r="L27" s="221"/>
      <c r="M27" s="218">
        <v>2</v>
      </c>
      <c r="N27" s="219"/>
      <c r="O27" s="220"/>
      <c r="P27" s="221"/>
      <c r="Q27" s="218"/>
      <c r="R27" s="219"/>
      <c r="S27" s="220"/>
      <c r="T27" s="221"/>
      <c r="U27" s="218"/>
      <c r="V27" s="222"/>
      <c r="W27" s="48">
        <f t="shared" ref="W27:W30" si="3">SUM(K27:V27)</f>
        <v>2</v>
      </c>
      <c r="X27" s="336"/>
      <c r="Y27" s="224"/>
    </row>
    <row r="28" spans="2:29" ht="17.25" thickBot="1">
      <c r="B28" s="275"/>
      <c r="C28" s="273"/>
      <c r="D28" s="279"/>
      <c r="E28" s="44" t="s">
        <v>343</v>
      </c>
      <c r="F28" s="282" t="s">
        <v>530</v>
      </c>
      <c r="G28" s="222"/>
      <c r="H28" s="45">
        <v>3</v>
      </c>
      <c r="I28" s="46" t="s">
        <v>358</v>
      </c>
      <c r="J28" s="47">
        <v>2</v>
      </c>
      <c r="K28" s="282"/>
      <c r="L28" s="221"/>
      <c r="M28" s="218"/>
      <c r="N28" s="219"/>
      <c r="O28" s="220">
        <v>2</v>
      </c>
      <c r="P28" s="221"/>
      <c r="Q28" s="218"/>
      <c r="R28" s="219"/>
      <c r="S28" s="220"/>
      <c r="T28" s="221"/>
      <c r="U28" s="218"/>
      <c r="V28" s="222"/>
      <c r="W28" s="48">
        <f>SUM(K28:V28)</f>
        <v>2</v>
      </c>
      <c r="X28" s="336"/>
      <c r="Y28" s="224"/>
    </row>
    <row r="29" spans="2:29" ht="17.25" thickBot="1">
      <c r="B29" s="275"/>
      <c r="C29" s="273"/>
      <c r="D29" s="279"/>
      <c r="E29" s="44" t="s">
        <v>343</v>
      </c>
      <c r="F29" s="282" t="s">
        <v>531</v>
      </c>
      <c r="G29" s="222"/>
      <c r="H29" s="45">
        <v>3</v>
      </c>
      <c r="I29" s="46" t="s">
        <v>356</v>
      </c>
      <c r="J29" s="47">
        <v>3</v>
      </c>
      <c r="K29" s="152"/>
      <c r="L29" s="152"/>
      <c r="M29" s="218"/>
      <c r="N29" s="219"/>
      <c r="O29" s="220"/>
      <c r="P29" s="221"/>
      <c r="Q29" s="218">
        <v>3</v>
      </c>
      <c r="R29" s="219"/>
      <c r="S29" s="220"/>
      <c r="T29" s="221"/>
      <c r="U29" s="218"/>
      <c r="V29" s="222"/>
      <c r="W29" s="48">
        <f t="shared" si="3"/>
        <v>3</v>
      </c>
      <c r="X29" s="336"/>
      <c r="Y29" s="224"/>
    </row>
    <row r="30" spans="2:29" ht="17.25" thickBot="1">
      <c r="B30" s="275"/>
      <c r="C30" s="273"/>
      <c r="D30" s="280"/>
      <c r="E30" s="53" t="s">
        <v>343</v>
      </c>
      <c r="F30" s="283" t="s">
        <v>376</v>
      </c>
      <c r="G30" s="271"/>
      <c r="H30" s="50">
        <v>2</v>
      </c>
      <c r="I30" s="51" t="s">
        <v>358</v>
      </c>
      <c r="J30" s="52">
        <v>1</v>
      </c>
      <c r="K30" s="283"/>
      <c r="L30" s="270"/>
      <c r="M30" s="230"/>
      <c r="N30" s="231"/>
      <c r="O30" s="269"/>
      <c r="P30" s="270"/>
      <c r="Q30" s="230"/>
      <c r="R30" s="231"/>
      <c r="S30" s="269">
        <v>1</v>
      </c>
      <c r="T30" s="270"/>
      <c r="U30" s="230"/>
      <c r="V30" s="271"/>
      <c r="W30" s="58">
        <f t="shared" si="3"/>
        <v>1</v>
      </c>
      <c r="X30" s="337"/>
      <c r="Y30" s="224"/>
    </row>
    <row r="31" spans="2:29" ht="17.25" thickBot="1">
      <c r="B31" s="275"/>
      <c r="C31" s="273"/>
      <c r="D31" s="278" t="s">
        <v>28</v>
      </c>
      <c r="E31" s="39" t="s">
        <v>354</v>
      </c>
      <c r="F31" s="281" t="s">
        <v>9</v>
      </c>
      <c r="G31" s="254"/>
      <c r="H31" s="40">
        <v>3</v>
      </c>
      <c r="I31" s="59" t="s">
        <v>356</v>
      </c>
      <c r="J31" s="42">
        <v>3</v>
      </c>
      <c r="K31" s="281">
        <v>3</v>
      </c>
      <c r="L31" s="240"/>
      <c r="M31" s="225"/>
      <c r="N31" s="226"/>
      <c r="O31" s="239"/>
      <c r="P31" s="240"/>
      <c r="Q31" s="225"/>
      <c r="R31" s="226"/>
      <c r="S31" s="239"/>
      <c r="T31" s="240"/>
      <c r="U31" s="225"/>
      <c r="V31" s="254"/>
      <c r="W31" s="338">
        <f>SUM(K31:V32)</f>
        <v>6</v>
      </c>
      <c r="X31" s="339"/>
      <c r="Y31" s="224">
        <v>6</v>
      </c>
    </row>
    <row r="32" spans="2:29" ht="17.25" thickBot="1">
      <c r="B32" s="275"/>
      <c r="C32" s="273"/>
      <c r="D32" s="279"/>
      <c r="E32" s="49" t="s">
        <v>354</v>
      </c>
      <c r="F32" s="282" t="s">
        <v>289</v>
      </c>
      <c r="G32" s="222"/>
      <c r="H32" s="45">
        <v>3</v>
      </c>
      <c r="I32" s="46" t="s">
        <v>356</v>
      </c>
      <c r="J32" s="47">
        <v>3</v>
      </c>
      <c r="K32" s="282"/>
      <c r="L32" s="221"/>
      <c r="M32" s="218"/>
      <c r="N32" s="219"/>
      <c r="O32" s="220"/>
      <c r="P32" s="221"/>
      <c r="Q32" s="218">
        <v>3</v>
      </c>
      <c r="R32" s="219"/>
      <c r="S32" s="220"/>
      <c r="T32" s="221"/>
      <c r="U32" s="218"/>
      <c r="V32" s="222"/>
      <c r="W32" s="340"/>
      <c r="X32" s="341"/>
      <c r="Y32" s="224"/>
    </row>
    <row r="33" spans="2:28" ht="16.5" customHeight="1" thickBot="1">
      <c r="B33" s="275"/>
      <c r="C33" s="273"/>
      <c r="D33" s="342" t="s">
        <v>359</v>
      </c>
      <c r="E33" s="39" t="s">
        <v>343</v>
      </c>
      <c r="F33" s="281" t="s">
        <v>51</v>
      </c>
      <c r="G33" s="254"/>
      <c r="H33" s="40">
        <v>3</v>
      </c>
      <c r="I33" s="54" t="s">
        <v>356</v>
      </c>
      <c r="J33" s="42">
        <v>2</v>
      </c>
      <c r="K33" s="281">
        <v>2</v>
      </c>
      <c r="L33" s="240"/>
      <c r="M33" s="225"/>
      <c r="N33" s="226"/>
      <c r="O33" s="239"/>
      <c r="P33" s="240"/>
      <c r="Q33" s="225"/>
      <c r="R33" s="226"/>
      <c r="S33" s="239"/>
      <c r="T33" s="240"/>
      <c r="U33" s="225"/>
      <c r="V33" s="254"/>
      <c r="W33" s="338">
        <f>SUM(K33:V37)</f>
        <v>14</v>
      </c>
      <c r="X33" s="339"/>
      <c r="Y33" s="224">
        <v>8</v>
      </c>
    </row>
    <row r="34" spans="2:28" ht="16.5" customHeight="1" thickBot="1">
      <c r="B34" s="275"/>
      <c r="C34" s="273"/>
      <c r="D34" s="343"/>
      <c r="E34" s="49" t="s">
        <v>354</v>
      </c>
      <c r="F34" s="282" t="s">
        <v>304</v>
      </c>
      <c r="G34" s="222"/>
      <c r="H34" s="45">
        <v>3</v>
      </c>
      <c r="I34" s="46" t="s">
        <v>345</v>
      </c>
      <c r="J34" s="47">
        <v>3</v>
      </c>
      <c r="K34" s="282"/>
      <c r="L34" s="221"/>
      <c r="M34" s="218">
        <v>3</v>
      </c>
      <c r="N34" s="219"/>
      <c r="O34" s="220"/>
      <c r="P34" s="221"/>
      <c r="Q34" s="218"/>
      <c r="R34" s="219"/>
      <c r="S34" s="220"/>
      <c r="T34" s="221"/>
      <c r="U34" s="218"/>
      <c r="V34" s="222"/>
      <c r="W34" s="340"/>
      <c r="X34" s="341"/>
      <c r="Y34" s="224"/>
    </row>
    <row r="35" spans="2:28" ht="16.5" customHeight="1" thickBot="1">
      <c r="B35" s="275"/>
      <c r="C35" s="273"/>
      <c r="D35" s="343"/>
      <c r="E35" s="49" t="s">
        <v>343</v>
      </c>
      <c r="F35" s="282" t="s">
        <v>312</v>
      </c>
      <c r="G35" s="222"/>
      <c r="H35" s="45">
        <v>3</v>
      </c>
      <c r="I35" s="46" t="s">
        <v>345</v>
      </c>
      <c r="J35" s="47">
        <v>3</v>
      </c>
      <c r="K35" s="282"/>
      <c r="L35" s="221"/>
      <c r="M35" s="218"/>
      <c r="N35" s="219"/>
      <c r="O35" s="220"/>
      <c r="P35" s="221"/>
      <c r="Q35" s="218"/>
      <c r="R35" s="219"/>
      <c r="S35" s="220">
        <v>3</v>
      </c>
      <c r="T35" s="221"/>
      <c r="U35" s="218"/>
      <c r="V35" s="222"/>
      <c r="W35" s="340"/>
      <c r="X35" s="341"/>
      <c r="Y35" s="224"/>
    </row>
    <row r="36" spans="2:28" ht="16.5" customHeight="1" thickBot="1">
      <c r="B36" s="275"/>
      <c r="C36" s="273"/>
      <c r="D36" s="343"/>
      <c r="E36" s="49" t="s">
        <v>354</v>
      </c>
      <c r="F36" s="282" t="s">
        <v>303</v>
      </c>
      <c r="G36" s="222"/>
      <c r="H36" s="45">
        <v>3</v>
      </c>
      <c r="I36" s="46" t="s">
        <v>345</v>
      </c>
      <c r="J36" s="47">
        <v>3</v>
      </c>
      <c r="K36" s="282"/>
      <c r="L36" s="221"/>
      <c r="M36" s="218"/>
      <c r="N36" s="219"/>
      <c r="O36" s="220">
        <v>3</v>
      </c>
      <c r="P36" s="221"/>
      <c r="Q36" s="218"/>
      <c r="R36" s="219"/>
      <c r="S36" s="220"/>
      <c r="T36" s="221"/>
      <c r="U36" s="218"/>
      <c r="V36" s="222"/>
      <c r="W36" s="340"/>
      <c r="X36" s="341"/>
      <c r="Y36" s="224"/>
    </row>
    <row r="37" spans="2:28" ht="17.25" thickBot="1">
      <c r="B37" s="276"/>
      <c r="C37" s="277"/>
      <c r="D37" s="343"/>
      <c r="E37" s="49" t="s">
        <v>343</v>
      </c>
      <c r="F37" s="283" t="s">
        <v>311</v>
      </c>
      <c r="G37" s="271"/>
      <c r="H37" s="50">
        <v>3</v>
      </c>
      <c r="I37" s="51" t="s">
        <v>345</v>
      </c>
      <c r="J37" s="52">
        <v>3</v>
      </c>
      <c r="K37" s="283"/>
      <c r="L37" s="270"/>
      <c r="M37" s="230"/>
      <c r="N37" s="231"/>
      <c r="O37" s="220"/>
      <c r="P37" s="221"/>
      <c r="Q37" s="218">
        <v>3</v>
      </c>
      <c r="R37" s="219"/>
      <c r="S37" s="220"/>
      <c r="T37" s="221"/>
      <c r="U37" s="218"/>
      <c r="V37" s="222"/>
      <c r="W37" s="340"/>
      <c r="X37" s="341"/>
      <c r="Y37" s="224"/>
    </row>
    <row r="38" spans="2:28" ht="24.75" customHeight="1" thickBot="1">
      <c r="B38" s="242" t="s">
        <v>369</v>
      </c>
      <c r="C38" s="344"/>
      <c r="D38" s="344"/>
      <c r="E38" s="344"/>
      <c r="F38" s="344"/>
      <c r="G38" s="345"/>
      <c r="H38" s="137">
        <f>SUM(H22:H37)</f>
        <v>51</v>
      </c>
      <c r="I38" s="18"/>
      <c r="J38" s="142">
        <f>SUM(J22:J37)</f>
        <v>43</v>
      </c>
      <c r="K38" s="346">
        <f>SUM(K9:L37)</f>
        <v>22</v>
      </c>
      <c r="L38" s="227"/>
      <c r="M38" s="227">
        <f>SUM(M9:N37)</f>
        <v>20</v>
      </c>
      <c r="N38" s="228"/>
      <c r="O38" s="229">
        <f>SUM(O9:P37)</f>
        <v>17</v>
      </c>
      <c r="P38" s="227"/>
      <c r="Q38" s="227">
        <f>SUM(Q9:R37)</f>
        <v>15</v>
      </c>
      <c r="R38" s="244"/>
      <c r="S38" s="243">
        <f>SUM(S9:T37)</f>
        <v>4</v>
      </c>
      <c r="T38" s="227"/>
      <c r="U38" s="227">
        <f>SUM(U9:V37)</f>
        <v>0</v>
      </c>
      <c r="V38" s="241"/>
      <c r="W38" s="242">
        <f>SUM(K38:V38)</f>
        <v>78</v>
      </c>
      <c r="X38" s="243"/>
      <c r="Y38" s="142">
        <f>SUM(Y9:Y37)</f>
        <v>64</v>
      </c>
      <c r="AA38" s="347" t="b">
        <f>W38&gt;=Y38</f>
        <v>1</v>
      </c>
      <c r="AB38" s="348"/>
    </row>
    <row r="39" spans="2:28" ht="17.25" customHeight="1" thickBot="1">
      <c r="B39" s="274" t="s">
        <v>360</v>
      </c>
      <c r="C39" s="272"/>
      <c r="D39" s="412" t="s">
        <v>361</v>
      </c>
      <c r="E39" s="413"/>
      <c r="F39" s="349" t="s">
        <v>532</v>
      </c>
      <c r="G39" s="350"/>
      <c r="H39" s="153"/>
      <c r="I39" s="154" t="s">
        <v>550</v>
      </c>
      <c r="J39" s="155">
        <v>2</v>
      </c>
      <c r="K39" s="351"/>
      <c r="L39" s="235"/>
      <c r="M39" s="232"/>
      <c r="N39" s="233"/>
      <c r="O39" s="234"/>
      <c r="P39" s="235"/>
      <c r="Q39" s="232"/>
      <c r="R39" s="233"/>
      <c r="S39" s="234">
        <v>2</v>
      </c>
      <c r="T39" s="235"/>
      <c r="U39" s="232"/>
      <c r="V39" s="236"/>
      <c r="W39" s="237">
        <f>SUM(K39:V39)</f>
        <v>2</v>
      </c>
      <c r="X39" s="238"/>
      <c r="Y39" s="352">
        <v>80</v>
      </c>
    </row>
    <row r="40" spans="2:28" ht="17.25" customHeight="1">
      <c r="B40" s="275"/>
      <c r="C40" s="273"/>
      <c r="D40" s="60" t="s">
        <v>160</v>
      </c>
      <c r="E40" s="61" t="s">
        <v>362</v>
      </c>
      <c r="F40" s="354" t="s">
        <v>634</v>
      </c>
      <c r="G40" s="355"/>
      <c r="H40" s="144"/>
      <c r="I40" s="156" t="s">
        <v>550</v>
      </c>
      <c r="J40" s="145">
        <v>3</v>
      </c>
      <c r="K40" s="282">
        <v>3</v>
      </c>
      <c r="L40" s="221"/>
      <c r="M40" s="218"/>
      <c r="N40" s="223"/>
      <c r="O40" s="220"/>
      <c r="P40" s="221"/>
      <c r="Q40" s="218"/>
      <c r="R40" s="219"/>
      <c r="S40" s="223"/>
      <c r="T40" s="221"/>
      <c r="U40" s="218"/>
      <c r="V40" s="222"/>
      <c r="W40" s="216">
        <f t="shared" ref="W40:W52" si="4">SUM(K40:V40)</f>
        <v>3</v>
      </c>
      <c r="X40" s="217"/>
      <c r="Y40" s="353"/>
    </row>
    <row r="41" spans="2:28" ht="17.25" customHeight="1">
      <c r="B41" s="275"/>
      <c r="C41" s="273"/>
      <c r="D41" s="60" t="s">
        <v>646</v>
      </c>
      <c r="E41" s="61" t="s">
        <v>362</v>
      </c>
      <c r="F41" s="354" t="s">
        <v>635</v>
      </c>
      <c r="G41" s="355"/>
      <c r="H41" s="144"/>
      <c r="I41" s="156" t="s">
        <v>550</v>
      </c>
      <c r="J41" s="145">
        <v>3</v>
      </c>
      <c r="K41" s="282"/>
      <c r="L41" s="221"/>
      <c r="M41" s="218">
        <v>3</v>
      </c>
      <c r="N41" s="219"/>
      <c r="O41" s="220"/>
      <c r="P41" s="221"/>
      <c r="Q41" s="218"/>
      <c r="R41" s="219"/>
      <c r="S41" s="220"/>
      <c r="T41" s="221"/>
      <c r="U41" s="218"/>
      <c r="V41" s="222"/>
      <c r="W41" s="216">
        <f t="shared" si="4"/>
        <v>3</v>
      </c>
      <c r="X41" s="217"/>
      <c r="Y41" s="353"/>
    </row>
    <row r="42" spans="2:28" ht="17.25" customHeight="1">
      <c r="B42" s="275"/>
      <c r="C42" s="273"/>
      <c r="D42" s="60" t="s">
        <v>646</v>
      </c>
      <c r="E42" s="61" t="s">
        <v>362</v>
      </c>
      <c r="F42" s="354" t="s">
        <v>636</v>
      </c>
      <c r="G42" s="355"/>
      <c r="H42" s="144"/>
      <c r="I42" s="156" t="s">
        <v>550</v>
      </c>
      <c r="J42" s="145">
        <v>4</v>
      </c>
      <c r="K42" s="282">
        <v>4</v>
      </c>
      <c r="L42" s="221"/>
      <c r="M42" s="218"/>
      <c r="N42" s="219"/>
      <c r="O42" s="220"/>
      <c r="P42" s="221"/>
      <c r="Q42" s="218"/>
      <c r="R42" s="219"/>
      <c r="S42" s="220"/>
      <c r="T42" s="221"/>
      <c r="U42" s="218"/>
      <c r="V42" s="222"/>
      <c r="W42" s="216">
        <f t="shared" si="4"/>
        <v>4</v>
      </c>
      <c r="X42" s="217"/>
      <c r="Y42" s="353"/>
    </row>
    <row r="43" spans="2:28" ht="17.25" customHeight="1">
      <c r="B43" s="275"/>
      <c r="C43" s="273"/>
      <c r="D43" s="60" t="s">
        <v>160</v>
      </c>
      <c r="E43" s="61" t="s">
        <v>362</v>
      </c>
      <c r="F43" s="356" t="s">
        <v>637</v>
      </c>
      <c r="G43" s="357"/>
      <c r="H43" s="144"/>
      <c r="I43" s="156" t="s">
        <v>550</v>
      </c>
      <c r="J43" s="145">
        <v>3</v>
      </c>
      <c r="K43" s="282"/>
      <c r="L43" s="221"/>
      <c r="M43" s="218">
        <v>3</v>
      </c>
      <c r="N43" s="219"/>
      <c r="O43" s="220"/>
      <c r="P43" s="221"/>
      <c r="Q43" s="218"/>
      <c r="R43" s="219"/>
      <c r="S43" s="220"/>
      <c r="T43" s="221"/>
      <c r="U43" s="218"/>
      <c r="V43" s="222"/>
      <c r="W43" s="216">
        <f t="shared" si="4"/>
        <v>3</v>
      </c>
      <c r="X43" s="217"/>
      <c r="Y43" s="353"/>
    </row>
    <row r="44" spans="2:28" ht="17.25" customHeight="1">
      <c r="B44" s="275"/>
      <c r="C44" s="273"/>
      <c r="D44" s="60" t="s">
        <v>160</v>
      </c>
      <c r="E44" s="61" t="s">
        <v>362</v>
      </c>
      <c r="F44" s="354" t="s">
        <v>638</v>
      </c>
      <c r="G44" s="355"/>
      <c r="H44" s="144"/>
      <c r="I44" s="156" t="s">
        <v>550</v>
      </c>
      <c r="J44" s="145">
        <v>3</v>
      </c>
      <c r="K44" s="282"/>
      <c r="L44" s="221"/>
      <c r="M44" s="218">
        <v>3</v>
      </c>
      <c r="N44" s="219"/>
      <c r="O44" s="220"/>
      <c r="P44" s="221"/>
      <c r="Q44" s="218"/>
      <c r="R44" s="219"/>
      <c r="S44" s="220"/>
      <c r="T44" s="221"/>
      <c r="U44" s="218"/>
      <c r="V44" s="222"/>
      <c r="W44" s="216">
        <f t="shared" si="4"/>
        <v>3</v>
      </c>
      <c r="X44" s="217"/>
      <c r="Y44" s="353"/>
    </row>
    <row r="45" spans="2:28" ht="17.25" customHeight="1">
      <c r="B45" s="275"/>
      <c r="C45" s="273"/>
      <c r="D45" s="60" t="s">
        <v>163</v>
      </c>
      <c r="E45" s="61" t="s">
        <v>362</v>
      </c>
      <c r="F45" s="354" t="s">
        <v>639</v>
      </c>
      <c r="G45" s="355"/>
      <c r="H45" s="144"/>
      <c r="I45" s="156" t="s">
        <v>550</v>
      </c>
      <c r="J45" s="145">
        <v>2</v>
      </c>
      <c r="K45" s="282"/>
      <c r="L45" s="221"/>
      <c r="M45" s="218"/>
      <c r="N45" s="219"/>
      <c r="O45" s="220"/>
      <c r="P45" s="221"/>
      <c r="Q45" s="218">
        <v>2</v>
      </c>
      <c r="R45" s="219"/>
      <c r="S45" s="220"/>
      <c r="T45" s="221"/>
      <c r="U45" s="218"/>
      <c r="V45" s="222"/>
      <c r="W45" s="216">
        <f t="shared" si="4"/>
        <v>2</v>
      </c>
      <c r="X45" s="217"/>
      <c r="Y45" s="353"/>
    </row>
    <row r="46" spans="2:28" ht="17.25" customHeight="1">
      <c r="B46" s="275"/>
      <c r="C46" s="273"/>
      <c r="D46" s="60" t="s">
        <v>646</v>
      </c>
      <c r="E46" s="61" t="s">
        <v>362</v>
      </c>
      <c r="F46" s="354" t="s">
        <v>640</v>
      </c>
      <c r="G46" s="355"/>
      <c r="H46" s="144"/>
      <c r="I46" s="156" t="s">
        <v>551</v>
      </c>
      <c r="J46" s="145">
        <v>2</v>
      </c>
      <c r="K46" s="282"/>
      <c r="L46" s="221"/>
      <c r="M46" s="218"/>
      <c r="N46" s="219"/>
      <c r="O46" s="220"/>
      <c r="P46" s="221"/>
      <c r="Q46" s="218"/>
      <c r="R46" s="219"/>
      <c r="S46" s="220">
        <v>2</v>
      </c>
      <c r="T46" s="221"/>
      <c r="U46" s="218"/>
      <c r="V46" s="222"/>
      <c r="W46" s="216">
        <f t="shared" ref="W46:W49" si="5">SUM(K46:V46)</f>
        <v>2</v>
      </c>
      <c r="X46" s="217"/>
      <c r="Y46" s="353"/>
    </row>
    <row r="47" spans="2:28" ht="17.25" customHeight="1">
      <c r="B47" s="275"/>
      <c r="C47" s="273"/>
      <c r="D47" s="60" t="s">
        <v>646</v>
      </c>
      <c r="E47" s="61" t="s">
        <v>363</v>
      </c>
      <c r="F47" s="354" t="s">
        <v>641</v>
      </c>
      <c r="G47" s="355"/>
      <c r="H47" s="144"/>
      <c r="I47" s="156" t="s">
        <v>550</v>
      </c>
      <c r="J47" s="145">
        <v>7</v>
      </c>
      <c r="K47" s="282"/>
      <c r="L47" s="221"/>
      <c r="M47" s="218"/>
      <c r="N47" s="219"/>
      <c r="O47" s="220">
        <v>3</v>
      </c>
      <c r="P47" s="221"/>
      <c r="Q47" s="218">
        <v>4</v>
      </c>
      <c r="R47" s="219"/>
      <c r="S47" s="220"/>
      <c r="T47" s="221"/>
      <c r="U47" s="218"/>
      <c r="V47" s="222"/>
      <c r="W47" s="216">
        <f t="shared" si="5"/>
        <v>7</v>
      </c>
      <c r="X47" s="217"/>
      <c r="Y47" s="353"/>
    </row>
    <row r="48" spans="2:28" ht="17.25" customHeight="1">
      <c r="B48" s="275"/>
      <c r="C48" s="273"/>
      <c r="D48" s="60" t="s">
        <v>160</v>
      </c>
      <c r="E48" s="61" t="s">
        <v>363</v>
      </c>
      <c r="F48" s="354" t="s">
        <v>642</v>
      </c>
      <c r="G48" s="355"/>
      <c r="H48" s="144"/>
      <c r="I48" s="156" t="s">
        <v>550</v>
      </c>
      <c r="J48" s="145">
        <v>7</v>
      </c>
      <c r="K48" s="282"/>
      <c r="L48" s="221"/>
      <c r="M48" s="218"/>
      <c r="N48" s="219"/>
      <c r="O48" s="220">
        <v>3</v>
      </c>
      <c r="P48" s="221"/>
      <c r="Q48" s="218">
        <v>4</v>
      </c>
      <c r="R48" s="219"/>
      <c r="S48" s="220"/>
      <c r="T48" s="221"/>
      <c r="U48" s="218"/>
      <c r="V48" s="222"/>
      <c r="W48" s="216">
        <f t="shared" si="5"/>
        <v>7</v>
      </c>
      <c r="X48" s="217"/>
      <c r="Y48" s="353"/>
    </row>
    <row r="49" spans="2:29" ht="17.25" customHeight="1">
      <c r="B49" s="275"/>
      <c r="C49" s="273"/>
      <c r="D49" s="60" t="s">
        <v>160</v>
      </c>
      <c r="E49" s="61" t="s">
        <v>363</v>
      </c>
      <c r="F49" s="354" t="s">
        <v>643</v>
      </c>
      <c r="G49" s="355"/>
      <c r="H49" s="144"/>
      <c r="I49" s="156" t="s">
        <v>550</v>
      </c>
      <c r="J49" s="145">
        <v>8</v>
      </c>
      <c r="K49" s="282"/>
      <c r="L49" s="221"/>
      <c r="M49" s="218"/>
      <c r="N49" s="219"/>
      <c r="O49" s="220"/>
      <c r="P49" s="221"/>
      <c r="Q49" s="218"/>
      <c r="R49" s="219"/>
      <c r="S49" s="220">
        <v>4</v>
      </c>
      <c r="T49" s="221"/>
      <c r="U49" s="218">
        <v>5</v>
      </c>
      <c r="V49" s="222"/>
      <c r="W49" s="216">
        <f t="shared" si="5"/>
        <v>9</v>
      </c>
      <c r="X49" s="217"/>
      <c r="Y49" s="353"/>
    </row>
    <row r="50" spans="2:29" ht="17.25" customHeight="1">
      <c r="B50" s="275"/>
      <c r="C50" s="273"/>
      <c r="D50" s="60" t="s">
        <v>160</v>
      </c>
      <c r="E50" s="61" t="s">
        <v>363</v>
      </c>
      <c r="F50" s="354" t="s">
        <v>647</v>
      </c>
      <c r="G50" s="355"/>
      <c r="H50" s="144"/>
      <c r="I50" s="156" t="s">
        <v>550</v>
      </c>
      <c r="J50" s="145">
        <v>9</v>
      </c>
      <c r="K50" s="282"/>
      <c r="L50" s="221"/>
      <c r="M50" s="218"/>
      <c r="N50" s="219"/>
      <c r="O50" s="220"/>
      <c r="P50" s="221"/>
      <c r="Q50" s="218"/>
      <c r="R50" s="219"/>
      <c r="S50" s="220">
        <v>4</v>
      </c>
      <c r="T50" s="221"/>
      <c r="U50" s="218">
        <v>5</v>
      </c>
      <c r="V50" s="222"/>
      <c r="W50" s="216">
        <f t="shared" si="4"/>
        <v>9</v>
      </c>
      <c r="X50" s="217"/>
      <c r="Y50" s="353"/>
    </row>
    <row r="51" spans="2:29" ht="17.25" customHeight="1">
      <c r="B51" s="275"/>
      <c r="C51" s="273"/>
      <c r="D51" s="60" t="s">
        <v>160</v>
      </c>
      <c r="E51" s="61" t="s">
        <v>363</v>
      </c>
      <c r="F51" s="354" t="s">
        <v>644</v>
      </c>
      <c r="G51" s="355"/>
      <c r="H51" s="144"/>
      <c r="I51" s="156" t="s">
        <v>551</v>
      </c>
      <c r="J51" s="145">
        <v>7</v>
      </c>
      <c r="K51" s="282"/>
      <c r="L51" s="221"/>
      <c r="M51" s="218"/>
      <c r="N51" s="219"/>
      <c r="O51" s="220"/>
      <c r="P51" s="221"/>
      <c r="Q51" s="218"/>
      <c r="R51" s="219"/>
      <c r="S51" s="220">
        <v>3</v>
      </c>
      <c r="T51" s="221"/>
      <c r="U51" s="218">
        <v>4</v>
      </c>
      <c r="V51" s="222"/>
      <c r="W51" s="216">
        <f t="shared" si="4"/>
        <v>7</v>
      </c>
      <c r="X51" s="217"/>
      <c r="Y51" s="353"/>
    </row>
    <row r="52" spans="2:29" ht="17.25" customHeight="1" thickBot="1">
      <c r="B52" s="275"/>
      <c r="C52" s="273"/>
      <c r="D52" s="60" t="s">
        <v>160</v>
      </c>
      <c r="E52" s="61" t="s">
        <v>363</v>
      </c>
      <c r="F52" s="354" t="s">
        <v>645</v>
      </c>
      <c r="G52" s="355"/>
      <c r="H52" s="144"/>
      <c r="I52" s="156" t="s">
        <v>551</v>
      </c>
      <c r="J52" s="145">
        <v>9</v>
      </c>
      <c r="K52" s="282"/>
      <c r="L52" s="221"/>
      <c r="M52" s="218"/>
      <c r="N52" s="219"/>
      <c r="O52" s="220"/>
      <c r="P52" s="221"/>
      <c r="Q52" s="218"/>
      <c r="R52" s="219"/>
      <c r="S52" s="220">
        <v>3</v>
      </c>
      <c r="T52" s="221"/>
      <c r="U52" s="218">
        <v>6</v>
      </c>
      <c r="V52" s="222"/>
      <c r="W52" s="216">
        <f t="shared" si="4"/>
        <v>9</v>
      </c>
      <c r="X52" s="217"/>
      <c r="Y52" s="353"/>
    </row>
    <row r="53" spans="2:29" ht="16.5" customHeight="1">
      <c r="B53" s="362" t="s">
        <v>648</v>
      </c>
      <c r="C53" s="362" t="s">
        <v>658</v>
      </c>
      <c r="D53" s="150" t="s">
        <v>160</v>
      </c>
      <c r="E53" s="138" t="s">
        <v>362</v>
      </c>
      <c r="F53" s="482" t="s">
        <v>649</v>
      </c>
      <c r="G53" s="483"/>
      <c r="H53" s="40"/>
      <c r="I53" s="157" t="s">
        <v>550</v>
      </c>
      <c r="J53" s="326">
        <v>19</v>
      </c>
      <c r="K53" s="281"/>
      <c r="L53" s="240"/>
      <c r="M53" s="225"/>
      <c r="N53" s="284"/>
      <c r="O53" s="239">
        <v>3</v>
      </c>
      <c r="P53" s="240"/>
      <c r="Q53" s="225"/>
      <c r="R53" s="226"/>
      <c r="S53" s="284"/>
      <c r="T53" s="240"/>
      <c r="U53" s="225"/>
      <c r="V53" s="254"/>
      <c r="W53" s="338">
        <f>SUM(K53:V56)</f>
        <v>26</v>
      </c>
      <c r="X53" s="339"/>
      <c r="Y53" s="353"/>
    </row>
    <row r="54" spans="2:29" ht="16.5" customHeight="1">
      <c r="B54" s="363"/>
      <c r="C54" s="363"/>
      <c r="D54" s="62" t="s">
        <v>160</v>
      </c>
      <c r="E54" s="61" t="s">
        <v>363</v>
      </c>
      <c r="F54" s="484" t="s">
        <v>650</v>
      </c>
      <c r="G54" s="485"/>
      <c r="H54" s="144"/>
      <c r="I54" s="158" t="s">
        <v>550</v>
      </c>
      <c r="J54" s="327"/>
      <c r="K54" s="282"/>
      <c r="L54" s="221"/>
      <c r="M54" s="218"/>
      <c r="N54" s="219"/>
      <c r="O54" s="220">
        <v>3</v>
      </c>
      <c r="P54" s="221"/>
      <c r="Q54" s="218">
        <v>4</v>
      </c>
      <c r="R54" s="219"/>
      <c r="S54" s="220"/>
      <c r="T54" s="221"/>
      <c r="U54" s="218"/>
      <c r="V54" s="222"/>
      <c r="W54" s="340"/>
      <c r="X54" s="341"/>
      <c r="Y54" s="353"/>
    </row>
    <row r="55" spans="2:29" ht="16.5" customHeight="1">
      <c r="B55" s="363"/>
      <c r="C55" s="363"/>
      <c r="D55" s="62" t="s">
        <v>160</v>
      </c>
      <c r="E55" s="61" t="s">
        <v>363</v>
      </c>
      <c r="F55" s="484" t="s">
        <v>651</v>
      </c>
      <c r="G55" s="485"/>
      <c r="H55" s="144"/>
      <c r="I55" s="588" t="s">
        <v>551</v>
      </c>
      <c r="J55" s="327"/>
      <c r="K55" s="282"/>
      <c r="L55" s="221"/>
      <c r="M55" s="218"/>
      <c r="N55" s="219"/>
      <c r="O55" s="220"/>
      <c r="P55" s="221"/>
      <c r="Q55" s="218"/>
      <c r="R55" s="219"/>
      <c r="S55" s="220">
        <v>3</v>
      </c>
      <c r="T55" s="221"/>
      <c r="U55" s="218">
        <v>4</v>
      </c>
      <c r="V55" s="222"/>
      <c r="W55" s="340"/>
      <c r="X55" s="341"/>
      <c r="Y55" s="353"/>
    </row>
    <row r="56" spans="2:29" ht="16.5" customHeight="1" thickBot="1">
      <c r="B56" s="363"/>
      <c r="C56" s="363"/>
      <c r="D56" s="60" t="s">
        <v>160</v>
      </c>
      <c r="E56" s="189" t="s">
        <v>363</v>
      </c>
      <c r="F56" s="486" t="s">
        <v>652</v>
      </c>
      <c r="G56" s="487"/>
      <c r="H56" s="144"/>
      <c r="I56" s="588" t="s">
        <v>551</v>
      </c>
      <c r="J56" s="327"/>
      <c r="K56" s="282"/>
      <c r="L56" s="221"/>
      <c r="M56" s="218"/>
      <c r="N56" s="219"/>
      <c r="O56" s="220"/>
      <c r="P56" s="221"/>
      <c r="Q56" s="218"/>
      <c r="R56" s="219"/>
      <c r="S56" s="220">
        <v>4</v>
      </c>
      <c r="T56" s="221"/>
      <c r="U56" s="218">
        <v>5</v>
      </c>
      <c r="V56" s="222"/>
      <c r="W56" s="340"/>
      <c r="X56" s="341"/>
      <c r="Y56" s="353"/>
    </row>
    <row r="57" spans="2:29">
      <c r="B57" s="363"/>
      <c r="C57" s="362" t="s">
        <v>659</v>
      </c>
      <c r="D57" s="191" t="s">
        <v>646</v>
      </c>
      <c r="E57" s="192" t="s">
        <v>362</v>
      </c>
      <c r="F57" s="490" t="s">
        <v>653</v>
      </c>
      <c r="G57" s="491"/>
      <c r="H57" s="40"/>
      <c r="I57" s="193" t="s">
        <v>550</v>
      </c>
      <c r="J57" s="327"/>
      <c r="K57" s="281"/>
      <c r="L57" s="240"/>
      <c r="M57" s="225"/>
      <c r="N57" s="284"/>
      <c r="O57" s="239">
        <v>3</v>
      </c>
      <c r="P57" s="240"/>
      <c r="Q57" s="225"/>
      <c r="R57" s="226"/>
      <c r="S57" s="284"/>
      <c r="T57" s="240"/>
      <c r="U57" s="225"/>
      <c r="V57" s="254"/>
      <c r="W57" s="338">
        <f>SUM(K57:V61)</f>
        <v>26</v>
      </c>
      <c r="X57" s="339"/>
      <c r="Y57" s="353"/>
    </row>
    <row r="58" spans="2:29">
      <c r="B58" s="363"/>
      <c r="C58" s="363"/>
      <c r="D58" s="62" t="s">
        <v>646</v>
      </c>
      <c r="E58" s="61" t="s">
        <v>362</v>
      </c>
      <c r="F58" s="484" t="s">
        <v>654</v>
      </c>
      <c r="G58" s="485"/>
      <c r="H58" s="190"/>
      <c r="I58" s="158" t="s">
        <v>550</v>
      </c>
      <c r="J58" s="327"/>
      <c r="K58" s="431"/>
      <c r="L58" s="432"/>
      <c r="M58" s="328"/>
      <c r="N58" s="435"/>
      <c r="O58" s="437">
        <v>3</v>
      </c>
      <c r="P58" s="432"/>
      <c r="Q58" s="328"/>
      <c r="R58" s="435"/>
      <c r="S58" s="437"/>
      <c r="T58" s="432"/>
      <c r="U58" s="328"/>
      <c r="V58" s="329"/>
      <c r="W58" s="340"/>
      <c r="X58" s="341"/>
      <c r="Y58" s="353"/>
    </row>
    <row r="59" spans="2:29">
      <c r="B59" s="363"/>
      <c r="C59" s="363"/>
      <c r="D59" s="60" t="s">
        <v>646</v>
      </c>
      <c r="E59" s="67" t="s">
        <v>362</v>
      </c>
      <c r="F59" s="484" t="s">
        <v>657</v>
      </c>
      <c r="G59" s="485"/>
      <c r="H59" s="190"/>
      <c r="I59" s="588" t="s">
        <v>551</v>
      </c>
      <c r="J59" s="327"/>
      <c r="K59" s="494"/>
      <c r="L59" s="495"/>
      <c r="M59" s="488"/>
      <c r="N59" s="489"/>
      <c r="O59" s="496"/>
      <c r="P59" s="495"/>
      <c r="Q59" s="488">
        <v>4</v>
      </c>
      <c r="R59" s="489"/>
      <c r="S59" s="496"/>
      <c r="T59" s="495"/>
      <c r="U59" s="488"/>
      <c r="V59" s="497"/>
      <c r="W59" s="340"/>
      <c r="X59" s="341"/>
      <c r="Y59" s="353"/>
    </row>
    <row r="60" spans="2:29">
      <c r="B60" s="363"/>
      <c r="C60" s="363"/>
      <c r="D60" s="60" t="s">
        <v>646</v>
      </c>
      <c r="E60" s="67" t="s">
        <v>363</v>
      </c>
      <c r="F60" s="484" t="s">
        <v>655</v>
      </c>
      <c r="G60" s="485"/>
      <c r="H60" s="190"/>
      <c r="I60" s="158" t="s">
        <v>550</v>
      </c>
      <c r="J60" s="327"/>
      <c r="K60" s="494"/>
      <c r="L60" s="495"/>
      <c r="M60" s="488"/>
      <c r="N60" s="489"/>
      <c r="O60" s="496"/>
      <c r="P60" s="495"/>
      <c r="Q60" s="488"/>
      <c r="R60" s="489"/>
      <c r="S60" s="498">
        <v>4</v>
      </c>
      <c r="T60" s="499"/>
      <c r="U60" s="488">
        <v>5</v>
      </c>
      <c r="V60" s="497"/>
      <c r="W60" s="340"/>
      <c r="X60" s="341"/>
      <c r="Y60" s="353"/>
    </row>
    <row r="61" spans="2:29" ht="17.25" thickBot="1">
      <c r="B61" s="363"/>
      <c r="C61" s="363"/>
      <c r="D61" s="66" t="s">
        <v>646</v>
      </c>
      <c r="E61" s="65" t="s">
        <v>363</v>
      </c>
      <c r="F61" s="492" t="s">
        <v>656</v>
      </c>
      <c r="G61" s="493"/>
      <c r="H61" s="190"/>
      <c r="I61" s="158" t="s">
        <v>550</v>
      </c>
      <c r="J61" s="327"/>
      <c r="K61" s="433"/>
      <c r="L61" s="434"/>
      <c r="M61" s="330"/>
      <c r="N61" s="436"/>
      <c r="O61" s="438"/>
      <c r="P61" s="434"/>
      <c r="Q61" s="330"/>
      <c r="R61" s="436"/>
      <c r="S61" s="438">
        <v>3</v>
      </c>
      <c r="T61" s="434"/>
      <c r="U61" s="330">
        <v>4</v>
      </c>
      <c r="V61" s="331"/>
      <c r="W61" s="340"/>
      <c r="X61" s="341"/>
      <c r="Y61" s="353"/>
    </row>
    <row r="62" spans="2:29" ht="24.75" customHeight="1">
      <c r="B62" s="374" t="s">
        <v>370</v>
      </c>
      <c r="C62" s="375"/>
      <c r="D62" s="375"/>
      <c r="E62" s="375"/>
      <c r="F62" s="375"/>
      <c r="G62" s="359"/>
      <c r="H62" s="378">
        <f>SUM(H39:H52)</f>
        <v>0</v>
      </c>
      <c r="I62" s="380">
        <f>SUM(I39:I56)</f>
        <v>0</v>
      </c>
      <c r="J62" s="382">
        <f>SUM(J39:J61)</f>
        <v>88</v>
      </c>
      <c r="K62" s="374">
        <f>SUM(K39:L61)</f>
        <v>7</v>
      </c>
      <c r="L62" s="384"/>
      <c r="M62" s="358">
        <f>SUM(M39:N56)</f>
        <v>9</v>
      </c>
      <c r="N62" s="375"/>
      <c r="O62" s="386">
        <f>SUM(O39:P56)</f>
        <v>12</v>
      </c>
      <c r="P62" s="384"/>
      <c r="Q62" s="358">
        <f>SUM(Q39:R56)</f>
        <v>14</v>
      </c>
      <c r="R62" s="388"/>
      <c r="S62" s="375">
        <f>SUM(S39:T56)</f>
        <v>25</v>
      </c>
      <c r="T62" s="384"/>
      <c r="U62" s="358">
        <f>SUM(U39:V56)</f>
        <v>29</v>
      </c>
      <c r="V62" s="359"/>
      <c r="W62" s="374">
        <f>SUM(K62:V63)</f>
        <v>96</v>
      </c>
      <c r="X62" s="359"/>
      <c r="Y62" s="352">
        <f>SUM(Y39:Y57)</f>
        <v>80</v>
      </c>
      <c r="AC62" s="136"/>
    </row>
    <row r="63" spans="2:29" ht="17.25" thickBot="1">
      <c r="B63" s="376"/>
      <c r="C63" s="377"/>
      <c r="D63" s="377"/>
      <c r="E63" s="377"/>
      <c r="F63" s="377"/>
      <c r="G63" s="361"/>
      <c r="H63" s="379"/>
      <c r="I63" s="381"/>
      <c r="J63" s="383"/>
      <c r="K63" s="376"/>
      <c r="L63" s="385"/>
      <c r="M63" s="360"/>
      <c r="N63" s="377"/>
      <c r="O63" s="387"/>
      <c r="P63" s="385"/>
      <c r="Q63" s="360"/>
      <c r="R63" s="389"/>
      <c r="S63" s="377"/>
      <c r="T63" s="385"/>
      <c r="U63" s="360"/>
      <c r="V63" s="361"/>
      <c r="W63" s="376"/>
      <c r="X63" s="361"/>
      <c r="Y63" s="390"/>
      <c r="AC63" s="68"/>
    </row>
    <row r="64" spans="2:29" ht="17.25" customHeight="1" thickBot="1">
      <c r="B64" s="242"/>
      <c r="C64" s="344"/>
      <c r="D64" s="344"/>
      <c r="E64" s="344"/>
      <c r="F64" s="344"/>
      <c r="G64" s="345"/>
      <c r="H64" s="139">
        <f>SUM(H38,H62)</f>
        <v>51</v>
      </c>
      <c r="I64" s="140">
        <f>SUM(I38,I62)</f>
        <v>0</v>
      </c>
      <c r="J64" s="142">
        <f>SUM(J38,J62)</f>
        <v>131</v>
      </c>
      <c r="K64" s="242">
        <f>SUM(K38,K62)</f>
        <v>29</v>
      </c>
      <c r="L64" s="243"/>
      <c r="M64" s="228">
        <f>SUM(M38,M62)</f>
        <v>29</v>
      </c>
      <c r="N64" s="410"/>
      <c r="O64" s="411">
        <f>SUM(O38,O62)</f>
        <v>29</v>
      </c>
      <c r="P64" s="243"/>
      <c r="Q64" s="228">
        <f>SUM(Q38,Q62)</f>
        <v>29</v>
      </c>
      <c r="R64" s="410"/>
      <c r="S64" s="411">
        <f>SUM(S38,S62)</f>
        <v>29</v>
      </c>
      <c r="T64" s="243"/>
      <c r="U64" s="228">
        <f>SUM(U38,U62)</f>
        <v>29</v>
      </c>
      <c r="V64" s="345"/>
      <c r="W64" s="242">
        <f>SUM(K64:V64)</f>
        <v>174</v>
      </c>
      <c r="X64" s="345"/>
      <c r="Y64" s="11">
        <f>Y62+Y38</f>
        <v>144</v>
      </c>
      <c r="AA64" s="258" t="s">
        <v>158</v>
      </c>
      <c r="AB64" s="258"/>
    </row>
    <row r="65" spans="2:28" ht="18.75" customHeight="1" thickBot="1">
      <c r="B65" s="392" t="s">
        <v>371</v>
      </c>
      <c r="C65" s="393"/>
      <c r="D65" s="393"/>
      <c r="E65" s="394"/>
      <c r="F65" s="401" t="s">
        <v>367</v>
      </c>
      <c r="G65" s="402"/>
      <c r="H65" s="402"/>
      <c r="I65" s="402"/>
      <c r="J65" s="403"/>
      <c r="K65" s="281">
        <v>16</v>
      </c>
      <c r="L65" s="240"/>
      <c r="M65" s="225">
        <v>16</v>
      </c>
      <c r="N65" s="226"/>
      <c r="O65" s="239">
        <v>16</v>
      </c>
      <c r="P65" s="240"/>
      <c r="Q65" s="225">
        <v>16</v>
      </c>
      <c r="R65" s="226"/>
      <c r="S65" s="239">
        <v>16</v>
      </c>
      <c r="T65" s="240"/>
      <c r="U65" s="225">
        <v>16</v>
      </c>
      <c r="V65" s="254"/>
      <c r="W65" s="392">
        <f>SUM(K65:V67)</f>
        <v>288</v>
      </c>
      <c r="X65" s="394"/>
      <c r="Y65" s="352">
        <f>Y68*16</f>
        <v>288</v>
      </c>
      <c r="AA65" s="391"/>
      <c r="AB65" s="391"/>
    </row>
    <row r="66" spans="2:28" ht="17.25" customHeight="1" thickBot="1">
      <c r="B66" s="395"/>
      <c r="C66" s="396"/>
      <c r="D66" s="396"/>
      <c r="E66" s="397"/>
      <c r="F66" s="407" t="s">
        <v>63</v>
      </c>
      <c r="G66" s="408"/>
      <c r="H66" s="408"/>
      <c r="I66" s="408"/>
      <c r="J66" s="409"/>
      <c r="K66" s="282">
        <v>16</v>
      </c>
      <c r="L66" s="221"/>
      <c r="M66" s="218">
        <v>16</v>
      </c>
      <c r="N66" s="219"/>
      <c r="O66" s="220">
        <v>16</v>
      </c>
      <c r="P66" s="221"/>
      <c r="Q66" s="218">
        <v>16</v>
      </c>
      <c r="R66" s="219"/>
      <c r="S66" s="220">
        <v>16</v>
      </c>
      <c r="T66" s="221"/>
      <c r="U66" s="218">
        <v>16</v>
      </c>
      <c r="V66" s="222"/>
      <c r="W66" s="395"/>
      <c r="X66" s="397"/>
      <c r="Y66" s="353"/>
      <c r="AA66" s="347" t="b">
        <f>W64&gt;=Y64</f>
        <v>1</v>
      </c>
      <c r="AB66" s="348"/>
    </row>
    <row r="67" spans="2:28" ht="17.25" customHeight="1">
      <c r="B67" s="395"/>
      <c r="C67" s="396"/>
      <c r="D67" s="396"/>
      <c r="E67" s="397"/>
      <c r="F67" s="407" t="s">
        <v>11</v>
      </c>
      <c r="G67" s="408"/>
      <c r="H67" s="408"/>
      <c r="I67" s="408"/>
      <c r="J67" s="409"/>
      <c r="K67" s="282">
        <v>16</v>
      </c>
      <c r="L67" s="221"/>
      <c r="M67" s="218">
        <v>16</v>
      </c>
      <c r="N67" s="219"/>
      <c r="O67" s="220">
        <v>16</v>
      </c>
      <c r="P67" s="221"/>
      <c r="Q67" s="218">
        <v>16</v>
      </c>
      <c r="R67" s="219"/>
      <c r="S67" s="220">
        <v>16</v>
      </c>
      <c r="T67" s="221"/>
      <c r="U67" s="218">
        <v>16</v>
      </c>
      <c r="V67" s="222"/>
      <c r="W67" s="404"/>
      <c r="X67" s="405"/>
      <c r="Y67" s="406"/>
    </row>
    <row r="68" spans="2:28" ht="17.25" customHeight="1" thickBot="1">
      <c r="B68" s="398"/>
      <c r="C68" s="399"/>
      <c r="D68" s="399"/>
      <c r="E68" s="400"/>
      <c r="F68" s="415" t="s">
        <v>149</v>
      </c>
      <c r="G68" s="416"/>
      <c r="H68" s="416"/>
      <c r="I68" s="416"/>
      <c r="J68" s="417"/>
      <c r="K68" s="418">
        <v>3</v>
      </c>
      <c r="L68" s="419"/>
      <c r="M68" s="420">
        <v>3</v>
      </c>
      <c r="N68" s="421"/>
      <c r="O68" s="422">
        <v>3</v>
      </c>
      <c r="P68" s="419"/>
      <c r="Q68" s="420">
        <v>3</v>
      </c>
      <c r="R68" s="421"/>
      <c r="S68" s="422">
        <v>3</v>
      </c>
      <c r="T68" s="419"/>
      <c r="U68" s="420">
        <v>3</v>
      </c>
      <c r="V68" s="423"/>
      <c r="W68" s="415">
        <f>SUM(K68:V68)</f>
        <v>18</v>
      </c>
      <c r="X68" s="417"/>
      <c r="Y68" s="69">
        <v>18</v>
      </c>
      <c r="AA68" s="258" t="s">
        <v>159</v>
      </c>
      <c r="AB68" s="258"/>
    </row>
    <row r="69" spans="2:28" ht="17.25" customHeight="1" thickBot="1">
      <c r="B69" s="242"/>
      <c r="C69" s="344"/>
      <c r="D69" s="344"/>
      <c r="E69" s="344"/>
      <c r="F69" s="344"/>
      <c r="G69" s="344"/>
      <c r="H69" s="344"/>
      <c r="I69" s="344"/>
      <c r="J69" s="345"/>
      <c r="K69" s="242">
        <v>32</v>
      </c>
      <c r="L69" s="243"/>
      <c r="M69" s="228">
        <v>32</v>
      </c>
      <c r="N69" s="410"/>
      <c r="O69" s="411">
        <v>32</v>
      </c>
      <c r="P69" s="243"/>
      <c r="Q69" s="228">
        <v>32</v>
      </c>
      <c r="R69" s="410"/>
      <c r="S69" s="411">
        <v>32</v>
      </c>
      <c r="T69" s="243"/>
      <c r="U69" s="228">
        <v>32</v>
      </c>
      <c r="V69" s="345"/>
      <c r="W69" s="242">
        <f>SUM(K69:V69)</f>
        <v>192</v>
      </c>
      <c r="X69" s="345"/>
      <c r="Y69" s="35">
        <f>W69</f>
        <v>192</v>
      </c>
      <c r="AA69" s="347" t="b">
        <f>W68&gt;=Y68</f>
        <v>1</v>
      </c>
      <c r="AB69" s="348"/>
    </row>
    <row r="70" spans="2:28" ht="17.25" customHeight="1" thickBot="1">
      <c r="B70" s="242"/>
      <c r="C70" s="344"/>
      <c r="D70" s="344"/>
      <c r="E70" s="344"/>
      <c r="F70" s="344"/>
      <c r="G70" s="344"/>
      <c r="H70" s="344"/>
      <c r="I70" s="344"/>
      <c r="J70" s="345"/>
      <c r="K70" s="242">
        <f>SUM(K69:N69)</f>
        <v>64</v>
      </c>
      <c r="L70" s="344"/>
      <c r="M70" s="344"/>
      <c r="N70" s="410"/>
      <c r="O70" s="411">
        <f>SUM(O69:R69)</f>
        <v>64</v>
      </c>
      <c r="P70" s="344"/>
      <c r="Q70" s="344"/>
      <c r="R70" s="410"/>
      <c r="S70" s="411">
        <f>SUM(S69:V69)</f>
        <v>64</v>
      </c>
      <c r="T70" s="344"/>
      <c r="U70" s="344"/>
      <c r="V70" s="345"/>
      <c r="W70" s="242">
        <f>SUM(K70:V70)</f>
        <v>192</v>
      </c>
      <c r="X70" s="345"/>
      <c r="Y70" s="11"/>
      <c r="AA70" s="258" t="s">
        <v>157</v>
      </c>
      <c r="AB70" s="258"/>
    </row>
    <row r="71" spans="2:28" ht="17.25" customHeight="1" thickBot="1">
      <c r="AA71" s="347" t="b">
        <f>W69&gt;=Y69</f>
        <v>1</v>
      </c>
      <c r="AB71" s="348"/>
    </row>
    <row r="72" spans="2:28" ht="17.25" customHeight="1"/>
    <row r="73" spans="2:28" ht="17.25" customHeight="1"/>
    <row r="74" spans="2:28" ht="17.25" customHeight="1"/>
    <row r="76" spans="2:28" ht="24.95" customHeight="1"/>
    <row r="77" spans="2:28" ht="24.95" customHeight="1"/>
    <row r="78" spans="2:28" ht="32.25" customHeight="1"/>
    <row r="79" spans="2:28" ht="24.95" customHeight="1"/>
    <row r="81" ht="16.5" customHeight="1"/>
    <row r="82" ht="17.2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244.5" customHeight="1"/>
  </sheetData>
  <mergeCells count="528">
    <mergeCell ref="O60:P60"/>
    <mergeCell ref="Q59:R59"/>
    <mergeCell ref="Q60:R60"/>
    <mergeCell ref="Q61:R61"/>
    <mergeCell ref="S59:T59"/>
    <mergeCell ref="U59:V59"/>
    <mergeCell ref="S60:T60"/>
    <mergeCell ref="U60:V60"/>
    <mergeCell ref="S61:T61"/>
    <mergeCell ref="U61:V61"/>
    <mergeCell ref="O54:P54"/>
    <mergeCell ref="Q54:R54"/>
    <mergeCell ref="S54:T54"/>
    <mergeCell ref="U54:V54"/>
    <mergeCell ref="O53:P53"/>
    <mergeCell ref="Q53:R53"/>
    <mergeCell ref="S53:T53"/>
    <mergeCell ref="U53:V53"/>
    <mergeCell ref="W53:X56"/>
    <mergeCell ref="U55:V55"/>
    <mergeCell ref="U56:V56"/>
    <mergeCell ref="O55:P55"/>
    <mergeCell ref="O56:P56"/>
    <mergeCell ref="Q55:R55"/>
    <mergeCell ref="Q56:R56"/>
    <mergeCell ref="S55:T55"/>
    <mergeCell ref="S56:T56"/>
    <mergeCell ref="F49:G49"/>
    <mergeCell ref="K49:L49"/>
    <mergeCell ref="M49:N49"/>
    <mergeCell ref="O49:P49"/>
    <mergeCell ref="Q49:R49"/>
    <mergeCell ref="S49:T49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9:V49"/>
    <mergeCell ref="W49:X49"/>
    <mergeCell ref="M46:N46"/>
    <mergeCell ref="O46:P46"/>
    <mergeCell ref="Q46:R46"/>
    <mergeCell ref="S46:T46"/>
    <mergeCell ref="U46:V46"/>
    <mergeCell ref="W46:X46"/>
    <mergeCell ref="AA71:AB71"/>
    <mergeCell ref="F11:G11"/>
    <mergeCell ref="K11:L11"/>
    <mergeCell ref="M11:N11"/>
    <mergeCell ref="O11:P11"/>
    <mergeCell ref="Q11:R11"/>
    <mergeCell ref="S11:T11"/>
    <mergeCell ref="U11:V11"/>
    <mergeCell ref="F46:G46"/>
    <mergeCell ref="K46:L46"/>
    <mergeCell ref="W69:X69"/>
    <mergeCell ref="AA69:AB69"/>
    <mergeCell ref="B70:J70"/>
    <mergeCell ref="K70:N70"/>
    <mergeCell ref="O70:R70"/>
    <mergeCell ref="S70:V70"/>
    <mergeCell ref="W70:X70"/>
    <mergeCell ref="AA70:AB70"/>
    <mergeCell ref="U68:V68"/>
    <mergeCell ref="W68:X68"/>
    <mergeCell ref="AA68:AB68"/>
    <mergeCell ref="B69:J69"/>
    <mergeCell ref="K69:L69"/>
    <mergeCell ref="M69:N69"/>
    <mergeCell ref="O69:P69"/>
    <mergeCell ref="Q69:R69"/>
    <mergeCell ref="S69:T69"/>
    <mergeCell ref="U69:V69"/>
    <mergeCell ref="F68:J68"/>
    <mergeCell ref="K68:L68"/>
    <mergeCell ref="M68:N68"/>
    <mergeCell ref="O68:P68"/>
    <mergeCell ref="Q68:R68"/>
    <mergeCell ref="S68:T68"/>
    <mergeCell ref="U65:V65"/>
    <mergeCell ref="W65:X67"/>
    <mergeCell ref="Y65:Y67"/>
    <mergeCell ref="F66:J66"/>
    <mergeCell ref="K66:L66"/>
    <mergeCell ref="M66:N66"/>
    <mergeCell ref="O66:P66"/>
    <mergeCell ref="Q66:R66"/>
    <mergeCell ref="S66:T66"/>
    <mergeCell ref="U66:V66"/>
    <mergeCell ref="U64:V64"/>
    <mergeCell ref="W64:X64"/>
    <mergeCell ref="AA64:AB65"/>
    <mergeCell ref="B65:E68"/>
    <mergeCell ref="F65:J65"/>
    <mergeCell ref="K65:L65"/>
    <mergeCell ref="M65:N65"/>
    <mergeCell ref="O65:P65"/>
    <mergeCell ref="Q65:R65"/>
    <mergeCell ref="S65:T65"/>
    <mergeCell ref="B64:G64"/>
    <mergeCell ref="K64:L64"/>
    <mergeCell ref="M64:N64"/>
    <mergeCell ref="O64:P64"/>
    <mergeCell ref="Q64:R64"/>
    <mergeCell ref="S64:T64"/>
    <mergeCell ref="AA66:AB66"/>
    <mergeCell ref="F67:J67"/>
    <mergeCell ref="K67:L67"/>
    <mergeCell ref="M67:N67"/>
    <mergeCell ref="O67:P67"/>
    <mergeCell ref="Q67:R67"/>
    <mergeCell ref="S67:T67"/>
    <mergeCell ref="U67:V67"/>
    <mergeCell ref="K61:L61"/>
    <mergeCell ref="O62:P63"/>
    <mergeCell ref="Q62:R63"/>
    <mergeCell ref="S62:T63"/>
    <mergeCell ref="U62:V63"/>
    <mergeCell ref="W62:X63"/>
    <mergeCell ref="Y62:Y63"/>
    <mergeCell ref="B62:G63"/>
    <mergeCell ref="H62:H63"/>
    <mergeCell ref="I62:I63"/>
    <mergeCell ref="J62:J63"/>
    <mergeCell ref="K62:L63"/>
    <mergeCell ref="M62:N63"/>
    <mergeCell ref="O61:P61"/>
    <mergeCell ref="M61:N61"/>
    <mergeCell ref="W57:X61"/>
    <mergeCell ref="S58:T58"/>
    <mergeCell ref="C57:C61"/>
    <mergeCell ref="F57:G57"/>
    <mergeCell ref="K57:L57"/>
    <mergeCell ref="M57:N57"/>
    <mergeCell ref="O57:P57"/>
    <mergeCell ref="Q57:R57"/>
    <mergeCell ref="S57:T57"/>
    <mergeCell ref="F58:G58"/>
    <mergeCell ref="F59:G59"/>
    <mergeCell ref="F60:G60"/>
    <mergeCell ref="F61:G61"/>
    <mergeCell ref="K58:L58"/>
    <mergeCell ref="M58:N58"/>
    <mergeCell ref="O58:P58"/>
    <mergeCell ref="Q58:R58"/>
    <mergeCell ref="U57:V57"/>
    <mergeCell ref="U58:V58"/>
    <mergeCell ref="K59:L59"/>
    <mergeCell ref="M59:N59"/>
    <mergeCell ref="O59:P59"/>
    <mergeCell ref="K60:L60"/>
    <mergeCell ref="F52:G52"/>
    <mergeCell ref="K52:L52"/>
    <mergeCell ref="M52:N52"/>
    <mergeCell ref="O52:P52"/>
    <mergeCell ref="Q52:R52"/>
    <mergeCell ref="S52:T52"/>
    <mergeCell ref="U52:V52"/>
    <mergeCell ref="W52:X52"/>
    <mergeCell ref="B53:B61"/>
    <mergeCell ref="C53:C56"/>
    <mergeCell ref="F53:G53"/>
    <mergeCell ref="J53:J61"/>
    <mergeCell ref="K53:L53"/>
    <mergeCell ref="M53:N53"/>
    <mergeCell ref="K56:L56"/>
    <mergeCell ref="M56:N56"/>
    <mergeCell ref="F54:G54"/>
    <mergeCell ref="F55:G55"/>
    <mergeCell ref="K54:L54"/>
    <mergeCell ref="M54:N54"/>
    <mergeCell ref="K55:L55"/>
    <mergeCell ref="M55:N55"/>
    <mergeCell ref="F56:G56"/>
    <mergeCell ref="M60:N60"/>
    <mergeCell ref="F51:G51"/>
    <mergeCell ref="K51:L51"/>
    <mergeCell ref="M51:N51"/>
    <mergeCell ref="O51:P51"/>
    <mergeCell ref="Q51:R51"/>
    <mergeCell ref="S51:T51"/>
    <mergeCell ref="U51:V51"/>
    <mergeCell ref="W51:X51"/>
    <mergeCell ref="F50:G50"/>
    <mergeCell ref="K50:L50"/>
    <mergeCell ref="M50:N50"/>
    <mergeCell ref="O50:P50"/>
    <mergeCell ref="Q50:R50"/>
    <mergeCell ref="S50:T50"/>
    <mergeCell ref="U50:V50"/>
    <mergeCell ref="W50:X50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Q40:R40"/>
    <mergeCell ref="S40:T40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U38:V38"/>
    <mergeCell ref="W38:X38"/>
    <mergeCell ref="AA38:AB38"/>
    <mergeCell ref="B39:C52"/>
    <mergeCell ref="D39:E39"/>
    <mergeCell ref="F39:G39"/>
    <mergeCell ref="K39:L39"/>
    <mergeCell ref="M39:N39"/>
    <mergeCell ref="O39:P39"/>
    <mergeCell ref="Q39:R39"/>
    <mergeCell ref="B38:G38"/>
    <mergeCell ref="K38:L38"/>
    <mergeCell ref="M38:N38"/>
    <mergeCell ref="O38:P38"/>
    <mergeCell ref="Q38:R38"/>
    <mergeCell ref="S38:T38"/>
    <mergeCell ref="S39:T39"/>
    <mergeCell ref="U39:V39"/>
    <mergeCell ref="W39:X39"/>
    <mergeCell ref="Y39:Y61"/>
    <mergeCell ref="F40:G40"/>
    <mergeCell ref="K40:L40"/>
    <mergeCell ref="M40:N40"/>
    <mergeCell ref="O40:P40"/>
    <mergeCell ref="D31:D32"/>
    <mergeCell ref="W33:X37"/>
    <mergeCell ref="Y33:Y37"/>
    <mergeCell ref="F34:G34"/>
    <mergeCell ref="K34:L34"/>
    <mergeCell ref="M34:N34"/>
    <mergeCell ref="O34:P34"/>
    <mergeCell ref="Q34:R34"/>
    <mergeCell ref="S34:T34"/>
    <mergeCell ref="U34:V34"/>
    <mergeCell ref="F35:G35"/>
    <mergeCell ref="M35:N35"/>
    <mergeCell ref="O35:P35"/>
    <mergeCell ref="Q35:R35"/>
    <mergeCell ref="S35:T35"/>
    <mergeCell ref="U35:V35"/>
    <mergeCell ref="F36:G36"/>
    <mergeCell ref="K36:L36"/>
    <mergeCell ref="M36:N36"/>
    <mergeCell ref="O36:P36"/>
    <mergeCell ref="Q36:R36"/>
    <mergeCell ref="S36:T36"/>
    <mergeCell ref="U36:V36"/>
    <mergeCell ref="F37:G37"/>
    <mergeCell ref="D33:D37"/>
    <mergeCell ref="F33:G33"/>
    <mergeCell ref="K33:L33"/>
    <mergeCell ref="M33:N33"/>
    <mergeCell ref="O33:P33"/>
    <mergeCell ref="Q33:R33"/>
    <mergeCell ref="S33:T33"/>
    <mergeCell ref="U33:V33"/>
    <mergeCell ref="K35:L35"/>
    <mergeCell ref="K37:L37"/>
    <mergeCell ref="M37:N37"/>
    <mergeCell ref="O37:P37"/>
    <mergeCell ref="Q37:R37"/>
    <mergeCell ref="S37:T37"/>
    <mergeCell ref="U37:V37"/>
    <mergeCell ref="S31:T31"/>
    <mergeCell ref="U31:V31"/>
    <mergeCell ref="W31:X32"/>
    <mergeCell ref="Y31:Y32"/>
    <mergeCell ref="F32:G32"/>
    <mergeCell ref="K32:L32"/>
    <mergeCell ref="M32:N32"/>
    <mergeCell ref="O32:P32"/>
    <mergeCell ref="Q32:R32"/>
    <mergeCell ref="S32:T32"/>
    <mergeCell ref="F31:G31"/>
    <mergeCell ref="K31:L31"/>
    <mergeCell ref="M31:N31"/>
    <mergeCell ref="O31:P31"/>
    <mergeCell ref="Q31:R31"/>
    <mergeCell ref="U32:V32"/>
    <mergeCell ref="Y26:Y30"/>
    <mergeCell ref="F27:G27"/>
    <mergeCell ref="K27:L27"/>
    <mergeCell ref="M27:N27"/>
    <mergeCell ref="O27:P27"/>
    <mergeCell ref="Q27:R27"/>
    <mergeCell ref="S27:T27"/>
    <mergeCell ref="D26:D30"/>
    <mergeCell ref="F26:G26"/>
    <mergeCell ref="K26:L26"/>
    <mergeCell ref="M26:N26"/>
    <mergeCell ref="O26:P26"/>
    <mergeCell ref="Q26:R26"/>
    <mergeCell ref="F29:G29"/>
    <mergeCell ref="M29:N29"/>
    <mergeCell ref="O29:P29"/>
    <mergeCell ref="Q29:R29"/>
    <mergeCell ref="U27:V27"/>
    <mergeCell ref="F28:G28"/>
    <mergeCell ref="K28:L28"/>
    <mergeCell ref="M28:N28"/>
    <mergeCell ref="O28:P28"/>
    <mergeCell ref="Q28:R28"/>
    <mergeCell ref="S28:T28"/>
    <mergeCell ref="X24:X25"/>
    <mergeCell ref="F25:G25"/>
    <mergeCell ref="K25:L25"/>
    <mergeCell ref="M25:N25"/>
    <mergeCell ref="O25:P25"/>
    <mergeCell ref="Q25:R25"/>
    <mergeCell ref="S25:T25"/>
    <mergeCell ref="U25:V25"/>
    <mergeCell ref="X26:X30"/>
    <mergeCell ref="U28:V28"/>
    <mergeCell ref="S26:T26"/>
    <mergeCell ref="U26:V26"/>
    <mergeCell ref="S29:T29"/>
    <mergeCell ref="U29:V29"/>
    <mergeCell ref="F30:G30"/>
    <mergeCell ref="K30:L30"/>
    <mergeCell ref="M30:N30"/>
    <mergeCell ref="O30:P30"/>
    <mergeCell ref="Q30:R30"/>
    <mergeCell ref="S30:T30"/>
    <mergeCell ref="U30:V30"/>
    <mergeCell ref="D24:D25"/>
    <mergeCell ref="F24:G24"/>
    <mergeCell ref="K24:L24"/>
    <mergeCell ref="M24:N24"/>
    <mergeCell ref="O24:P24"/>
    <mergeCell ref="Q24:R24"/>
    <mergeCell ref="K23:L23"/>
    <mergeCell ref="M23:N23"/>
    <mergeCell ref="O23:P23"/>
    <mergeCell ref="Q23:R23"/>
    <mergeCell ref="D20:D23"/>
    <mergeCell ref="O20:P20"/>
    <mergeCell ref="Q20:R20"/>
    <mergeCell ref="AA21:AB21"/>
    <mergeCell ref="F22:G22"/>
    <mergeCell ref="K22:L22"/>
    <mergeCell ref="M22:N22"/>
    <mergeCell ref="O22:P22"/>
    <mergeCell ref="Q22:R22"/>
    <mergeCell ref="S22:T22"/>
    <mergeCell ref="U22:V22"/>
    <mergeCell ref="X22:X23"/>
    <mergeCell ref="Y22:Y25"/>
    <mergeCell ref="X20:X21"/>
    <mergeCell ref="Y20:Y21"/>
    <mergeCell ref="F21:G21"/>
    <mergeCell ref="K21:L21"/>
    <mergeCell ref="M21:N21"/>
    <mergeCell ref="O21:P21"/>
    <mergeCell ref="Q21:R21"/>
    <mergeCell ref="S21:T21"/>
    <mergeCell ref="U21:V21"/>
    <mergeCell ref="F20:G20"/>
    <mergeCell ref="K20:L20"/>
    <mergeCell ref="M20:N20"/>
    <mergeCell ref="S24:T24"/>
    <mergeCell ref="U24:V24"/>
    <mergeCell ref="S20:T20"/>
    <mergeCell ref="U20:V20"/>
    <mergeCell ref="F23:G23"/>
    <mergeCell ref="O19:P19"/>
    <mergeCell ref="Q19:R19"/>
    <mergeCell ref="S19:T19"/>
    <mergeCell ref="U19:V19"/>
    <mergeCell ref="X17:X19"/>
    <mergeCell ref="F18:G18"/>
    <mergeCell ref="K18:L18"/>
    <mergeCell ref="M18:N18"/>
    <mergeCell ref="O18:P18"/>
    <mergeCell ref="Q18:R18"/>
    <mergeCell ref="S18:T18"/>
    <mergeCell ref="U18:V18"/>
    <mergeCell ref="F19:G19"/>
    <mergeCell ref="K19:L19"/>
    <mergeCell ref="S23:T23"/>
    <mergeCell ref="U23:V23"/>
    <mergeCell ref="O13:P13"/>
    <mergeCell ref="Q13:R13"/>
    <mergeCell ref="G15:G16"/>
    <mergeCell ref="H15:H16"/>
    <mergeCell ref="I15:I16"/>
    <mergeCell ref="J15:J16"/>
    <mergeCell ref="W15:W16"/>
    <mergeCell ref="D17:D19"/>
    <mergeCell ref="F17:G17"/>
    <mergeCell ref="K17:L17"/>
    <mergeCell ref="M17:N17"/>
    <mergeCell ref="O17:P17"/>
    <mergeCell ref="Q17:R17"/>
    <mergeCell ref="S17:T17"/>
    <mergeCell ref="U17:V17"/>
    <mergeCell ref="M19:N19"/>
    <mergeCell ref="K15:L16"/>
    <mergeCell ref="M15:N16"/>
    <mergeCell ref="O15:P16"/>
    <mergeCell ref="Q15:R16"/>
    <mergeCell ref="S15:T16"/>
    <mergeCell ref="U15:V16"/>
    <mergeCell ref="D13:D16"/>
    <mergeCell ref="U12:V12"/>
    <mergeCell ref="X9:X12"/>
    <mergeCell ref="Y9:Y19"/>
    <mergeCell ref="F10:G10"/>
    <mergeCell ref="K10:L10"/>
    <mergeCell ref="M10:N10"/>
    <mergeCell ref="O10:P10"/>
    <mergeCell ref="Q10:R10"/>
    <mergeCell ref="S10:T10"/>
    <mergeCell ref="U10:V10"/>
    <mergeCell ref="F12:G12"/>
    <mergeCell ref="S13:T13"/>
    <mergeCell ref="U13:V13"/>
    <mergeCell ref="X13:X16"/>
    <mergeCell ref="F14:G14"/>
    <mergeCell ref="K14:L14"/>
    <mergeCell ref="M14:N14"/>
    <mergeCell ref="O14:P14"/>
    <mergeCell ref="Q14:R14"/>
    <mergeCell ref="S14:T14"/>
    <mergeCell ref="U14:V14"/>
    <mergeCell ref="F13:G13"/>
    <mergeCell ref="K13:L13"/>
    <mergeCell ref="M13:N13"/>
    <mergeCell ref="AA8:AD8"/>
    <mergeCell ref="B9:C37"/>
    <mergeCell ref="D9:D12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2:L12"/>
    <mergeCell ref="M12:N12"/>
    <mergeCell ref="O12:P12"/>
    <mergeCell ref="Q12:R12"/>
    <mergeCell ref="S12:T1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8:AB38 AC63 AA66:AB66 AA69:AB69 AA71:AB71">
    <cfRule type="containsText" dxfId="0" priority="1" operator="containsText" text="FALSE">
      <formula>NOT(ISERROR(SEARCH("FALSE",AA38)))</formula>
    </cfRule>
  </conditionalFormatting>
  <printOptions horizontalCentered="1" verticalCentered="1"/>
  <pageMargins left="0.25" right="0.25" top="0.75" bottom="0.75" header="0.3" footer="0.3"/>
  <pageSetup paperSize="9" scale="43" orientation="portrait" cellComments="asDisplayed" r:id="rId1"/>
  <rowBreaks count="1" manualBreakCount="1">
    <brk id="62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27CA16A-CE17-4061-8DA5-0225C3A6FC8E}">
          <x14:formula1>
            <xm:f>삭제금지!$J$2:$J$59</xm:f>
          </x14:formula1>
          <xm:sqref>H5:J5</xm:sqref>
        </x14:dataValidation>
        <x14:dataValidation type="list" allowBlank="1" showInputMessage="1" showErrorMessage="1" xr:uid="{BE2A8EF4-BEE8-4593-8CEA-0D7E135C35F9}">
          <x14:formula1>
            <xm:f>삭제금지!$I$2:$I$18</xm:f>
          </x14:formula1>
          <xm:sqref>F5:G5</xm:sqref>
        </x14:dataValidation>
        <x14:dataValidation type="list" allowBlank="1" showInputMessage="1" showErrorMessage="1" xr:uid="{BEEC0D5F-3001-430C-B6BC-15A610674E21}">
          <x14:formula1>
            <xm:f>삭제금지!$K$2:$K$59</xm:f>
          </x14:formula1>
          <xm:sqref>K5:O5</xm:sqref>
        </x14:dataValidation>
        <x14:dataValidation type="list" allowBlank="1" showInputMessage="1" showErrorMessage="1" xr:uid="{BA2A5B01-AF68-49A9-B3D7-1FFF07F69CB8}">
          <x14:formula1>
            <xm:f>삭제금지!$L$2:$L$4</xm:f>
          </x14:formula1>
          <xm:sqref>T5:V5</xm:sqref>
        </x14:dataValidation>
        <x14:dataValidation type="list" allowBlank="1" showInputMessage="1" showErrorMessage="1" xr:uid="{33A1E36E-6409-4CDE-A81A-75163116074C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D5EF-F998-4C21-ABC1-6DF9C74F5764}">
  <sheetPr>
    <pageSetUpPr fitToPage="1"/>
  </sheetPr>
  <dimension ref="B2:AG64"/>
  <sheetViews>
    <sheetView showGridLines="0" view="pageBreakPreview" zoomScaleNormal="85" zoomScaleSheetLayoutView="100" workbookViewId="0">
      <selection activeCell="B2" sqref="B2:U2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468" t="s">
        <v>155</v>
      </c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  <c r="N2" s="468"/>
      <c r="O2" s="468"/>
      <c r="P2" s="468"/>
      <c r="Q2" s="468"/>
      <c r="R2" s="468"/>
      <c r="S2" s="468"/>
      <c r="T2" s="468"/>
      <c r="U2" s="468"/>
    </row>
    <row r="3" spans="2:33" ht="27" customHeight="1" thickBot="1"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591" t="s">
        <v>129</v>
      </c>
      <c r="O3" s="592"/>
      <c r="P3" s="593"/>
      <c r="Q3" s="591" t="s">
        <v>127</v>
      </c>
      <c r="R3" s="592"/>
      <c r="S3" s="593"/>
      <c r="T3" s="469" t="s">
        <v>130</v>
      </c>
      <c r="U3" s="470"/>
    </row>
    <row r="4" spans="2:33" ht="27" customHeight="1" thickBot="1"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594" t="s">
        <v>523</v>
      </c>
      <c r="O4" s="595"/>
      <c r="P4" s="596"/>
      <c r="Q4" s="598" t="s">
        <v>632</v>
      </c>
      <c r="R4" s="597"/>
      <c r="S4" s="471"/>
      <c r="T4" s="598">
        <v>2027</v>
      </c>
      <c r="U4" s="471"/>
    </row>
    <row r="5" spans="2:33" ht="24" customHeight="1" thickBot="1">
      <c r="B5" s="472"/>
      <c r="C5" s="472"/>
    </row>
    <row r="6" spans="2:33" ht="20.25" customHeight="1">
      <c r="B6" s="503" t="s">
        <v>13</v>
      </c>
      <c r="C6" s="506" t="s">
        <v>140</v>
      </c>
      <c r="D6" s="500" t="s">
        <v>14</v>
      </c>
      <c r="E6" s="500" t="s">
        <v>15</v>
      </c>
      <c r="F6" s="500" t="s">
        <v>141</v>
      </c>
      <c r="G6" s="500" t="s">
        <v>142</v>
      </c>
      <c r="H6" s="457" t="s">
        <v>58</v>
      </c>
      <c r="I6" s="457"/>
      <c r="J6" s="457"/>
      <c r="K6" s="457"/>
      <c r="L6" s="457" t="s">
        <v>59</v>
      </c>
      <c r="M6" s="457"/>
      <c r="N6" s="457"/>
      <c r="O6" s="457"/>
      <c r="P6" s="457" t="s">
        <v>60</v>
      </c>
      <c r="Q6" s="457"/>
      <c r="R6" s="457"/>
      <c r="S6" s="457"/>
      <c r="T6" s="465" t="s">
        <v>139</v>
      </c>
      <c r="U6" s="458" t="s">
        <v>126</v>
      </c>
      <c r="W6" s="461" t="s">
        <v>131</v>
      </c>
      <c r="X6" s="462"/>
      <c r="Y6" s="462"/>
      <c r="Z6" s="462"/>
      <c r="AA6" s="462"/>
      <c r="AB6" s="462"/>
      <c r="AC6" s="462"/>
      <c r="AD6" s="462"/>
      <c r="AE6" s="462"/>
      <c r="AF6" s="463"/>
      <c r="AG6" s="13"/>
    </row>
    <row r="7" spans="2:33" ht="16.5" customHeight="1">
      <c r="B7" s="504"/>
      <c r="C7" s="507"/>
      <c r="D7" s="501"/>
      <c r="E7" s="501"/>
      <c r="F7" s="501"/>
      <c r="G7" s="501"/>
      <c r="H7" s="464" t="s">
        <v>124</v>
      </c>
      <c r="I7" s="464"/>
      <c r="J7" s="464" t="s">
        <v>62</v>
      </c>
      <c r="K7" s="464"/>
      <c r="L7" s="464" t="s">
        <v>124</v>
      </c>
      <c r="M7" s="464"/>
      <c r="N7" s="464" t="s">
        <v>62</v>
      </c>
      <c r="O7" s="464"/>
      <c r="P7" s="464" t="s">
        <v>124</v>
      </c>
      <c r="Q7" s="464"/>
      <c r="R7" s="464" t="s">
        <v>62</v>
      </c>
      <c r="S7" s="464"/>
      <c r="T7" s="466"/>
      <c r="U7" s="459"/>
      <c r="W7" s="451" t="s">
        <v>132</v>
      </c>
      <c r="X7" s="452"/>
      <c r="Y7" s="452"/>
      <c r="Z7" s="452"/>
      <c r="AA7" s="452"/>
      <c r="AB7" s="452"/>
      <c r="AC7" s="452"/>
      <c r="AD7" s="452"/>
      <c r="AE7" s="452"/>
      <c r="AF7" s="453"/>
      <c r="AG7" s="13"/>
    </row>
    <row r="8" spans="2:33" ht="17.25" customHeight="1" thickBot="1">
      <c r="B8" s="505"/>
      <c r="C8" s="508"/>
      <c r="D8" s="502"/>
      <c r="E8" s="502"/>
      <c r="F8" s="502"/>
      <c r="G8" s="502"/>
      <c r="H8" s="194" t="s">
        <v>138</v>
      </c>
      <c r="I8" s="194" t="s">
        <v>125</v>
      </c>
      <c r="J8" s="194" t="s">
        <v>138</v>
      </c>
      <c r="K8" s="194" t="s">
        <v>125</v>
      </c>
      <c r="L8" s="194" t="s">
        <v>138</v>
      </c>
      <c r="M8" s="194" t="s">
        <v>125</v>
      </c>
      <c r="N8" s="194" t="s">
        <v>138</v>
      </c>
      <c r="O8" s="194" t="s">
        <v>125</v>
      </c>
      <c r="P8" s="194" t="s">
        <v>138</v>
      </c>
      <c r="Q8" s="194" t="s">
        <v>125</v>
      </c>
      <c r="R8" s="194" t="s">
        <v>138</v>
      </c>
      <c r="S8" s="194" t="s">
        <v>125</v>
      </c>
      <c r="T8" s="467"/>
      <c r="U8" s="460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509" t="s">
        <v>684</v>
      </c>
      <c r="C9" s="512">
        <v>7</v>
      </c>
      <c r="D9" s="159" t="s">
        <v>685</v>
      </c>
      <c r="E9" s="159" t="s">
        <v>686</v>
      </c>
      <c r="F9" s="159">
        <v>20</v>
      </c>
      <c r="G9" s="159">
        <v>2</v>
      </c>
      <c r="H9" s="162"/>
      <c r="I9" s="162"/>
      <c r="J9" s="162"/>
      <c r="K9" s="162"/>
      <c r="L9" s="174">
        <v>1</v>
      </c>
      <c r="M9" s="174">
        <f t="shared" ref="M9:M11" si="0">L9*16</f>
        <v>16</v>
      </c>
      <c r="N9" s="162"/>
      <c r="O9" s="162"/>
      <c r="P9" s="162"/>
      <c r="Q9" s="162"/>
      <c r="R9" s="162"/>
      <c r="S9" s="162"/>
      <c r="T9" s="201">
        <f t="shared" ref="T9:U52" si="1">SUM(H9,J9,L9,N9,P9,R9)</f>
        <v>1</v>
      </c>
      <c r="U9" s="202">
        <f t="shared" si="1"/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10"/>
      <c r="C10" s="513"/>
      <c r="D10" s="166" t="s">
        <v>687</v>
      </c>
      <c r="E10" s="166" t="s">
        <v>688</v>
      </c>
      <c r="F10" s="166">
        <v>20</v>
      </c>
      <c r="G10" s="166">
        <v>3</v>
      </c>
      <c r="H10" s="174"/>
      <c r="I10" s="174"/>
      <c r="J10" s="174"/>
      <c r="K10" s="174"/>
      <c r="L10" s="174">
        <v>1</v>
      </c>
      <c r="M10" s="174">
        <f t="shared" si="0"/>
        <v>16</v>
      </c>
      <c r="N10" s="174"/>
      <c r="O10" s="174"/>
      <c r="P10" s="174"/>
      <c r="Q10" s="174"/>
      <c r="R10" s="174"/>
      <c r="S10" s="174"/>
      <c r="T10" s="201">
        <f t="shared" si="1"/>
        <v>1</v>
      </c>
      <c r="U10" s="202">
        <f t="shared" si="1"/>
        <v>16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510"/>
      <c r="C11" s="513"/>
      <c r="D11" s="166" t="s">
        <v>689</v>
      </c>
      <c r="E11" s="166" t="s">
        <v>690</v>
      </c>
      <c r="F11" s="166">
        <v>30</v>
      </c>
      <c r="G11" s="166">
        <v>3</v>
      </c>
      <c r="H11" s="174"/>
      <c r="I11" s="174"/>
      <c r="J11" s="174"/>
      <c r="K11" s="174"/>
      <c r="L11" s="174">
        <v>1</v>
      </c>
      <c r="M11" s="174">
        <f t="shared" si="0"/>
        <v>16</v>
      </c>
      <c r="N11" s="174"/>
      <c r="O11" s="174"/>
      <c r="P11" s="174"/>
      <c r="Q11" s="174"/>
      <c r="R11" s="174"/>
      <c r="S11" s="169"/>
      <c r="T11" s="201">
        <f t="shared" si="1"/>
        <v>1</v>
      </c>
      <c r="U11" s="202">
        <f t="shared" si="1"/>
        <v>16</v>
      </c>
    </row>
    <row r="12" spans="2:33">
      <c r="B12" s="510"/>
      <c r="C12" s="513"/>
      <c r="D12" s="166" t="s">
        <v>691</v>
      </c>
      <c r="E12" s="166" t="s">
        <v>692</v>
      </c>
      <c r="F12" s="166">
        <v>80</v>
      </c>
      <c r="G12" s="166">
        <v>3</v>
      </c>
      <c r="H12" s="174"/>
      <c r="I12" s="174"/>
      <c r="J12" s="174"/>
      <c r="K12" s="174"/>
      <c r="L12" s="169"/>
      <c r="M12" s="169"/>
      <c r="N12" s="169">
        <v>4</v>
      </c>
      <c r="O12" s="174">
        <f>N12*16</f>
        <v>64</v>
      </c>
      <c r="P12" s="174"/>
      <c r="Q12" s="174"/>
      <c r="R12" s="174"/>
      <c r="S12" s="169"/>
      <c r="T12" s="201">
        <f t="shared" si="1"/>
        <v>4</v>
      </c>
      <c r="U12" s="202">
        <f t="shared" si="1"/>
        <v>64</v>
      </c>
    </row>
    <row r="13" spans="2:33" ht="17.25" thickBot="1">
      <c r="B13" s="511"/>
      <c r="C13" s="514"/>
      <c r="D13" s="439" t="s">
        <v>16</v>
      </c>
      <c r="E13" s="439"/>
      <c r="F13" s="196"/>
      <c r="G13" s="196"/>
      <c r="H13" s="179"/>
      <c r="I13" s="179"/>
      <c r="J13" s="179"/>
      <c r="K13" s="179"/>
      <c r="L13" s="179">
        <f>SUM(L9:L12)</f>
        <v>3</v>
      </c>
      <c r="M13" s="179">
        <f>SUM(M9:M12)</f>
        <v>48</v>
      </c>
      <c r="N13" s="179">
        <f>SUM(N9:N12)</f>
        <v>4</v>
      </c>
      <c r="O13" s="179">
        <f>SUM(O9:O12)</f>
        <v>64</v>
      </c>
      <c r="P13" s="179"/>
      <c r="Q13" s="179"/>
      <c r="R13" s="179"/>
      <c r="S13" s="179"/>
      <c r="T13" s="180">
        <f>SUM(T9:T12)</f>
        <v>7</v>
      </c>
      <c r="U13" s="181">
        <f>SUM(U9:U12)</f>
        <v>112</v>
      </c>
    </row>
    <row r="14" spans="2:33" ht="16.5" customHeight="1">
      <c r="B14" s="515" t="s">
        <v>740</v>
      </c>
      <c r="C14" s="519">
        <v>7</v>
      </c>
      <c r="D14" s="159" t="s">
        <v>678</v>
      </c>
      <c r="E14" s="159" t="s">
        <v>679</v>
      </c>
      <c r="F14" s="159">
        <v>30</v>
      </c>
      <c r="G14" s="159">
        <v>5</v>
      </c>
      <c r="H14" s="162"/>
      <c r="I14" s="162"/>
      <c r="J14" s="162"/>
      <c r="K14" s="162"/>
      <c r="L14" s="174">
        <v>1</v>
      </c>
      <c r="M14" s="174">
        <f>L14*16</f>
        <v>16</v>
      </c>
      <c r="N14" s="162"/>
      <c r="O14" s="162"/>
      <c r="P14" s="162"/>
      <c r="Q14" s="162"/>
      <c r="R14" s="162"/>
      <c r="S14" s="162"/>
      <c r="T14" s="201">
        <f t="shared" si="1"/>
        <v>1</v>
      </c>
      <c r="U14" s="202">
        <f t="shared" si="1"/>
        <v>16</v>
      </c>
    </row>
    <row r="15" spans="2:33">
      <c r="B15" s="516"/>
      <c r="C15" s="520"/>
      <c r="D15" s="166" t="s">
        <v>680</v>
      </c>
      <c r="E15" s="166" t="s">
        <v>681</v>
      </c>
      <c r="F15" s="166">
        <v>30</v>
      </c>
      <c r="G15" s="166">
        <v>4</v>
      </c>
      <c r="H15" s="174"/>
      <c r="I15" s="174"/>
      <c r="J15" s="174"/>
      <c r="K15" s="174"/>
      <c r="L15" s="174">
        <v>2</v>
      </c>
      <c r="M15" s="174">
        <f>L15*16</f>
        <v>32</v>
      </c>
      <c r="N15" s="174"/>
      <c r="O15" s="174"/>
      <c r="P15" s="174"/>
      <c r="Q15" s="174"/>
      <c r="R15" s="174"/>
      <c r="S15" s="174"/>
      <c r="T15" s="201">
        <f t="shared" si="1"/>
        <v>2</v>
      </c>
      <c r="U15" s="202">
        <f t="shared" si="1"/>
        <v>32</v>
      </c>
    </row>
    <row r="16" spans="2:33">
      <c r="B16" s="516"/>
      <c r="C16" s="520"/>
      <c r="D16" s="166" t="s">
        <v>741</v>
      </c>
      <c r="E16" s="166" t="s">
        <v>742</v>
      </c>
      <c r="F16" s="166">
        <v>50</v>
      </c>
      <c r="G16" s="166">
        <v>4</v>
      </c>
      <c r="H16" s="174"/>
      <c r="I16" s="174"/>
      <c r="J16" s="174"/>
      <c r="K16" s="174"/>
      <c r="L16" s="174"/>
      <c r="M16" s="174"/>
      <c r="N16" s="174">
        <v>2</v>
      </c>
      <c r="O16" s="174">
        <f>N16*16</f>
        <v>32</v>
      </c>
      <c r="P16" s="174"/>
      <c r="Q16" s="174"/>
      <c r="R16" s="174"/>
      <c r="S16" s="169"/>
      <c r="T16" s="201">
        <f t="shared" si="1"/>
        <v>2</v>
      </c>
      <c r="U16" s="202">
        <f t="shared" si="1"/>
        <v>32</v>
      </c>
      <c r="W16" s="29"/>
    </row>
    <row r="17" spans="2:21">
      <c r="B17" s="517"/>
      <c r="C17" s="522"/>
      <c r="D17" s="166" t="s">
        <v>682</v>
      </c>
      <c r="E17" s="166" t="s">
        <v>683</v>
      </c>
      <c r="F17" s="166">
        <v>30</v>
      </c>
      <c r="G17" s="166">
        <v>5</v>
      </c>
      <c r="H17" s="174"/>
      <c r="I17" s="174"/>
      <c r="J17" s="174"/>
      <c r="K17" s="174"/>
      <c r="L17" s="169"/>
      <c r="M17" s="169"/>
      <c r="N17" s="169">
        <v>2</v>
      </c>
      <c r="O17" s="174">
        <f>N17*16</f>
        <v>32</v>
      </c>
      <c r="P17" s="174"/>
      <c r="Q17" s="174"/>
      <c r="R17" s="174"/>
      <c r="S17" s="169"/>
      <c r="T17" s="201">
        <f t="shared" si="1"/>
        <v>2</v>
      </c>
      <c r="U17" s="202">
        <f t="shared" si="1"/>
        <v>32</v>
      </c>
    </row>
    <row r="18" spans="2:21" ht="17.25" thickBot="1">
      <c r="B18" s="518"/>
      <c r="C18" s="521"/>
      <c r="D18" s="439" t="s">
        <v>16</v>
      </c>
      <c r="E18" s="439"/>
      <c r="F18" s="196"/>
      <c r="G18" s="196"/>
      <c r="H18" s="179"/>
      <c r="I18" s="179"/>
      <c r="J18" s="179"/>
      <c r="K18" s="179"/>
      <c r="L18" s="179">
        <f>SUM(L14:L17)</f>
        <v>3</v>
      </c>
      <c r="M18" s="179">
        <f>SUM(M14:M17)</f>
        <v>48</v>
      </c>
      <c r="N18" s="179">
        <f>SUM(N14:N17)</f>
        <v>4</v>
      </c>
      <c r="O18" s="179">
        <f>SUM(O14:O17)</f>
        <v>64</v>
      </c>
      <c r="P18" s="179"/>
      <c r="Q18" s="179"/>
      <c r="R18" s="179"/>
      <c r="S18" s="179"/>
      <c r="T18" s="180">
        <f>SUM(T14:T17)</f>
        <v>7</v>
      </c>
      <c r="U18" s="181">
        <f>SUM(U14:U17)</f>
        <v>112</v>
      </c>
    </row>
    <row r="19" spans="2:21" ht="16.5" customHeight="1">
      <c r="B19" s="515" t="s">
        <v>650</v>
      </c>
      <c r="C19" s="519">
        <v>7</v>
      </c>
      <c r="D19" s="159" t="s">
        <v>660</v>
      </c>
      <c r="E19" s="159" t="s">
        <v>661</v>
      </c>
      <c r="F19" s="162">
        <v>50</v>
      </c>
      <c r="G19" s="162">
        <v>5</v>
      </c>
      <c r="H19" s="162"/>
      <c r="I19" s="162"/>
      <c r="J19" s="162"/>
      <c r="K19" s="162"/>
      <c r="L19" s="162">
        <v>1</v>
      </c>
      <c r="M19" s="174">
        <f>L19*16</f>
        <v>16</v>
      </c>
      <c r="N19" s="162"/>
      <c r="O19" s="162"/>
      <c r="P19" s="162"/>
      <c r="Q19" s="162"/>
      <c r="R19" s="162"/>
      <c r="S19" s="162"/>
      <c r="T19" s="201">
        <f t="shared" si="1"/>
        <v>1</v>
      </c>
      <c r="U19" s="202">
        <f t="shared" si="1"/>
        <v>16</v>
      </c>
    </row>
    <row r="20" spans="2:21">
      <c r="B20" s="516"/>
      <c r="C20" s="520"/>
      <c r="D20" s="166" t="s">
        <v>662</v>
      </c>
      <c r="E20" s="166" t="s">
        <v>663</v>
      </c>
      <c r="F20" s="174">
        <v>50</v>
      </c>
      <c r="G20" s="174">
        <v>5</v>
      </c>
      <c r="H20" s="174"/>
      <c r="I20" s="174"/>
      <c r="J20" s="174"/>
      <c r="K20" s="174"/>
      <c r="L20" s="174">
        <v>2</v>
      </c>
      <c r="M20" s="174">
        <f>L20*16</f>
        <v>32</v>
      </c>
      <c r="N20" s="174"/>
      <c r="O20" s="169"/>
      <c r="P20" s="174"/>
      <c r="Q20" s="174"/>
      <c r="R20" s="174"/>
      <c r="S20" s="169"/>
      <c r="T20" s="201">
        <f t="shared" si="1"/>
        <v>2</v>
      </c>
      <c r="U20" s="202">
        <f t="shared" si="1"/>
        <v>32</v>
      </c>
    </row>
    <row r="21" spans="2:21">
      <c r="B21" s="516"/>
      <c r="C21" s="520"/>
      <c r="D21" s="166" t="s">
        <v>664</v>
      </c>
      <c r="E21" s="166" t="s">
        <v>665</v>
      </c>
      <c r="F21" s="174">
        <v>50</v>
      </c>
      <c r="G21" s="174">
        <v>5</v>
      </c>
      <c r="H21" s="174"/>
      <c r="I21" s="174"/>
      <c r="J21" s="174"/>
      <c r="K21" s="174"/>
      <c r="L21" s="174"/>
      <c r="M21" s="174"/>
      <c r="N21" s="174">
        <v>2</v>
      </c>
      <c r="O21" s="174">
        <f>N21*16</f>
        <v>32</v>
      </c>
      <c r="P21" s="174"/>
      <c r="Q21" s="174"/>
      <c r="R21" s="174"/>
      <c r="S21" s="169"/>
      <c r="T21" s="201">
        <f t="shared" si="1"/>
        <v>2</v>
      </c>
      <c r="U21" s="202">
        <f t="shared" si="1"/>
        <v>32</v>
      </c>
    </row>
    <row r="22" spans="2:21">
      <c r="B22" s="516"/>
      <c r="C22" s="520"/>
      <c r="D22" s="165" t="s">
        <v>666</v>
      </c>
      <c r="E22" s="165" t="s">
        <v>667</v>
      </c>
      <c r="F22" s="169">
        <v>45</v>
      </c>
      <c r="G22" s="169">
        <v>5</v>
      </c>
      <c r="H22" s="169"/>
      <c r="I22" s="169"/>
      <c r="J22" s="169"/>
      <c r="K22" s="169"/>
      <c r="L22" s="169"/>
      <c r="M22" s="169"/>
      <c r="N22" s="169">
        <v>2</v>
      </c>
      <c r="O22" s="174">
        <f>N22*16</f>
        <v>32</v>
      </c>
      <c r="P22" s="169"/>
      <c r="Q22" s="169"/>
      <c r="R22" s="169"/>
      <c r="S22" s="169"/>
      <c r="T22" s="201">
        <f t="shared" si="1"/>
        <v>2</v>
      </c>
      <c r="U22" s="202">
        <f t="shared" si="1"/>
        <v>32</v>
      </c>
    </row>
    <row r="23" spans="2:21" ht="17.25" thickBot="1">
      <c r="B23" s="518"/>
      <c r="C23" s="521"/>
      <c r="D23" s="439" t="s">
        <v>16</v>
      </c>
      <c r="E23" s="439"/>
      <c r="F23" s="196"/>
      <c r="G23" s="196"/>
      <c r="H23" s="179"/>
      <c r="I23" s="179"/>
      <c r="J23" s="179"/>
      <c r="K23" s="179"/>
      <c r="L23" s="179">
        <f>SUM(L19:L22)</f>
        <v>3</v>
      </c>
      <c r="M23" s="179">
        <f>SUM(M19:M22)</f>
        <v>48</v>
      </c>
      <c r="N23" s="179">
        <f>SUM(N19:N22)</f>
        <v>4</v>
      </c>
      <c r="O23" s="179">
        <f>SUM(O19:O22)</f>
        <v>64</v>
      </c>
      <c r="P23" s="179"/>
      <c r="Q23" s="179"/>
      <c r="R23" s="179"/>
      <c r="S23" s="179"/>
      <c r="T23" s="180">
        <f>SUM(T19:T22)</f>
        <v>7</v>
      </c>
      <c r="U23" s="181">
        <f>SUM(U19:U22)</f>
        <v>112</v>
      </c>
    </row>
    <row r="24" spans="2:21" ht="16.5" customHeight="1">
      <c r="B24" s="516" t="s">
        <v>670</v>
      </c>
      <c r="C24" s="520">
        <v>9</v>
      </c>
      <c r="D24" s="203" t="s">
        <v>669</v>
      </c>
      <c r="E24" s="204" t="s">
        <v>671</v>
      </c>
      <c r="F24" s="165">
        <v>45</v>
      </c>
      <c r="G24" s="166">
        <v>5</v>
      </c>
      <c r="H24" s="174"/>
      <c r="I24" s="174"/>
      <c r="J24" s="174"/>
      <c r="K24" s="174"/>
      <c r="L24" s="174"/>
      <c r="M24" s="174"/>
      <c r="N24" s="174"/>
      <c r="O24" s="174"/>
      <c r="P24" s="198">
        <v>2</v>
      </c>
      <c r="Q24" s="174">
        <f>P24*16</f>
        <v>32</v>
      </c>
      <c r="R24" s="162"/>
      <c r="S24" s="162"/>
      <c r="T24" s="201">
        <f t="shared" ref="T24:U27" si="2">SUM(H24,J24,L24,N24,P24,R24)</f>
        <v>2</v>
      </c>
      <c r="U24" s="202">
        <f t="shared" si="2"/>
        <v>32</v>
      </c>
    </row>
    <row r="25" spans="2:21">
      <c r="B25" s="516"/>
      <c r="C25" s="520"/>
      <c r="D25" s="205" t="s">
        <v>672</v>
      </c>
      <c r="E25" s="206" t="s">
        <v>673</v>
      </c>
      <c r="F25" s="166">
        <v>60</v>
      </c>
      <c r="G25" s="166">
        <v>5</v>
      </c>
      <c r="H25" s="174"/>
      <c r="I25" s="174"/>
      <c r="J25" s="174"/>
      <c r="K25" s="174"/>
      <c r="L25" s="174"/>
      <c r="M25" s="174"/>
      <c r="N25" s="174"/>
      <c r="O25" s="174"/>
      <c r="P25" s="174">
        <v>2</v>
      </c>
      <c r="Q25" s="174">
        <f>P25*16</f>
        <v>32</v>
      </c>
      <c r="R25" s="174"/>
      <c r="S25" s="169"/>
      <c r="T25" s="201">
        <f t="shared" si="2"/>
        <v>2</v>
      </c>
      <c r="U25" s="202">
        <f t="shared" si="2"/>
        <v>32</v>
      </c>
    </row>
    <row r="26" spans="2:21">
      <c r="B26" s="523"/>
      <c r="C26" s="524"/>
      <c r="D26" s="207" t="s">
        <v>674</v>
      </c>
      <c r="E26" s="208" t="s">
        <v>675</v>
      </c>
      <c r="F26" s="165">
        <v>45</v>
      </c>
      <c r="G26" s="166">
        <v>5</v>
      </c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>
        <v>2</v>
      </c>
      <c r="S26" s="174">
        <f>R26*16</f>
        <v>32</v>
      </c>
      <c r="T26" s="201">
        <f t="shared" si="2"/>
        <v>2</v>
      </c>
      <c r="U26" s="202">
        <f t="shared" si="2"/>
        <v>32</v>
      </c>
    </row>
    <row r="27" spans="2:21">
      <c r="B27" s="523"/>
      <c r="C27" s="524"/>
      <c r="D27" s="207" t="s">
        <v>676</v>
      </c>
      <c r="E27" s="208" t="s">
        <v>677</v>
      </c>
      <c r="F27" s="209">
        <v>45</v>
      </c>
      <c r="G27" s="165">
        <v>5</v>
      </c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99">
        <v>3</v>
      </c>
      <c r="S27" s="174">
        <f>R27*16</f>
        <v>48</v>
      </c>
      <c r="T27" s="201">
        <f t="shared" si="2"/>
        <v>3</v>
      </c>
      <c r="U27" s="202">
        <f t="shared" si="2"/>
        <v>48</v>
      </c>
    </row>
    <row r="28" spans="2:21" ht="17.25" thickBot="1">
      <c r="B28" s="518"/>
      <c r="C28" s="521"/>
      <c r="D28" s="439" t="s">
        <v>16</v>
      </c>
      <c r="E28" s="439"/>
      <c r="F28" s="196"/>
      <c r="G28" s="196"/>
      <c r="H28" s="179"/>
      <c r="I28" s="179"/>
      <c r="J28" s="179"/>
      <c r="K28" s="179"/>
      <c r="L28" s="179"/>
      <c r="M28" s="179"/>
      <c r="N28" s="179"/>
      <c r="O28" s="179"/>
      <c r="P28" s="179">
        <f t="shared" ref="P28:U28" si="3">SUM(P24:P27)</f>
        <v>4</v>
      </c>
      <c r="Q28" s="179">
        <f t="shared" si="3"/>
        <v>64</v>
      </c>
      <c r="R28" s="179">
        <f t="shared" si="3"/>
        <v>5</v>
      </c>
      <c r="S28" s="179">
        <f t="shared" si="3"/>
        <v>80</v>
      </c>
      <c r="T28" s="180">
        <f t="shared" si="3"/>
        <v>9</v>
      </c>
      <c r="U28" s="181">
        <f t="shared" si="3"/>
        <v>144</v>
      </c>
    </row>
    <row r="29" spans="2:21" ht="16.5" customHeight="1">
      <c r="B29" s="515" t="s">
        <v>668</v>
      </c>
      <c r="C29" s="519">
        <v>9</v>
      </c>
      <c r="D29" s="210" t="s">
        <v>743</v>
      </c>
      <c r="E29" s="159" t="s">
        <v>744</v>
      </c>
      <c r="F29" s="159">
        <v>45</v>
      </c>
      <c r="G29" s="211">
        <v>4</v>
      </c>
      <c r="H29" s="162"/>
      <c r="I29" s="162"/>
      <c r="J29" s="162"/>
      <c r="K29" s="162"/>
      <c r="L29" s="162"/>
      <c r="M29" s="162"/>
      <c r="N29" s="162"/>
      <c r="O29" s="162"/>
      <c r="P29" s="198">
        <v>2</v>
      </c>
      <c r="Q29" s="174">
        <f>P29*16</f>
        <v>32</v>
      </c>
      <c r="R29" s="162"/>
      <c r="S29" s="162"/>
      <c r="T29" s="201">
        <f t="shared" si="1"/>
        <v>2</v>
      </c>
      <c r="U29" s="202">
        <f t="shared" si="1"/>
        <v>32</v>
      </c>
    </row>
    <row r="30" spans="2:21">
      <c r="B30" s="517"/>
      <c r="C30" s="522"/>
      <c r="D30" s="205" t="s">
        <v>745</v>
      </c>
      <c r="E30" s="166" t="s">
        <v>746</v>
      </c>
      <c r="F30" s="166">
        <v>45</v>
      </c>
      <c r="G30" s="166">
        <v>5</v>
      </c>
      <c r="H30" s="174"/>
      <c r="I30" s="174"/>
      <c r="J30" s="174"/>
      <c r="K30" s="174"/>
      <c r="L30" s="174"/>
      <c r="M30" s="174"/>
      <c r="N30" s="174"/>
      <c r="O30" s="174"/>
      <c r="P30" s="174">
        <v>2</v>
      </c>
      <c r="Q30" s="174">
        <f>P30*16</f>
        <v>32</v>
      </c>
      <c r="R30" s="174"/>
      <c r="S30" s="169"/>
      <c r="T30" s="201">
        <f t="shared" si="1"/>
        <v>2</v>
      </c>
      <c r="U30" s="202">
        <f t="shared" si="1"/>
        <v>32</v>
      </c>
    </row>
    <row r="31" spans="2:21">
      <c r="B31" s="517"/>
      <c r="C31" s="522"/>
      <c r="D31" s="203" t="s">
        <v>747</v>
      </c>
      <c r="E31" s="165" t="s">
        <v>748</v>
      </c>
      <c r="F31" s="165">
        <v>45</v>
      </c>
      <c r="G31" s="165">
        <v>5</v>
      </c>
      <c r="H31" s="169"/>
      <c r="I31" s="169"/>
      <c r="J31" s="169"/>
      <c r="K31" s="169"/>
      <c r="L31" s="169"/>
      <c r="M31" s="169"/>
      <c r="N31" s="169"/>
      <c r="O31" s="169"/>
      <c r="P31" s="174"/>
      <c r="Q31" s="174"/>
      <c r="R31" s="174">
        <v>2</v>
      </c>
      <c r="S31" s="174">
        <f>R31*16</f>
        <v>32</v>
      </c>
      <c r="T31" s="201">
        <f t="shared" si="1"/>
        <v>2</v>
      </c>
      <c r="U31" s="202">
        <f t="shared" si="1"/>
        <v>32</v>
      </c>
    </row>
    <row r="32" spans="2:21">
      <c r="B32" s="517"/>
      <c r="C32" s="522"/>
      <c r="D32" s="203" t="s">
        <v>749</v>
      </c>
      <c r="E32" s="165" t="s">
        <v>750</v>
      </c>
      <c r="F32" s="165">
        <v>45</v>
      </c>
      <c r="G32" s="165">
        <v>5</v>
      </c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99">
        <v>3</v>
      </c>
      <c r="S32" s="174">
        <f>R32*16</f>
        <v>48</v>
      </c>
      <c r="T32" s="201">
        <f t="shared" si="1"/>
        <v>3</v>
      </c>
      <c r="U32" s="202">
        <f t="shared" si="1"/>
        <v>48</v>
      </c>
    </row>
    <row r="33" spans="2:21" ht="17.25" thickBot="1">
      <c r="B33" s="518"/>
      <c r="C33" s="521"/>
      <c r="D33" s="439" t="s">
        <v>16</v>
      </c>
      <c r="E33" s="439"/>
      <c r="F33" s="196"/>
      <c r="G33" s="196"/>
      <c r="H33" s="179"/>
      <c r="I33" s="179"/>
      <c r="J33" s="179"/>
      <c r="K33" s="179"/>
      <c r="L33" s="179"/>
      <c r="M33" s="179"/>
      <c r="N33" s="179"/>
      <c r="O33" s="179"/>
      <c r="P33" s="179">
        <f t="shared" ref="P33:U33" si="4">SUM(P29:P32)</f>
        <v>4</v>
      </c>
      <c r="Q33" s="179">
        <f t="shared" si="4"/>
        <v>64</v>
      </c>
      <c r="R33" s="179">
        <f t="shared" si="4"/>
        <v>5</v>
      </c>
      <c r="S33" s="179">
        <f t="shared" si="4"/>
        <v>80</v>
      </c>
      <c r="T33" s="180">
        <f t="shared" si="4"/>
        <v>9</v>
      </c>
      <c r="U33" s="181">
        <f t="shared" si="4"/>
        <v>144</v>
      </c>
    </row>
    <row r="34" spans="2:21" ht="16.5" customHeight="1">
      <c r="B34" s="515" t="s">
        <v>706</v>
      </c>
      <c r="C34" s="519">
        <v>7</v>
      </c>
      <c r="D34" s="212" t="s">
        <v>709</v>
      </c>
      <c r="E34" s="213" t="s">
        <v>710</v>
      </c>
      <c r="F34" s="162">
        <v>30</v>
      </c>
      <c r="G34" s="162">
        <v>5</v>
      </c>
      <c r="H34" s="162"/>
      <c r="I34" s="162"/>
      <c r="J34" s="162"/>
      <c r="K34" s="162"/>
      <c r="L34" s="174"/>
      <c r="M34" s="174"/>
      <c r="N34" s="162"/>
      <c r="O34" s="162"/>
      <c r="P34" s="198">
        <v>1</v>
      </c>
      <c r="Q34" s="162">
        <f>P34*16</f>
        <v>16</v>
      </c>
      <c r="R34" s="162"/>
      <c r="S34" s="162"/>
      <c r="T34" s="201">
        <f t="shared" si="1"/>
        <v>1</v>
      </c>
      <c r="U34" s="202">
        <f t="shared" si="1"/>
        <v>16</v>
      </c>
    </row>
    <row r="35" spans="2:21">
      <c r="B35" s="516"/>
      <c r="C35" s="520"/>
      <c r="D35" s="212" t="s">
        <v>711</v>
      </c>
      <c r="E35" s="213" t="s">
        <v>712</v>
      </c>
      <c r="F35" s="174">
        <v>30</v>
      </c>
      <c r="G35" s="174">
        <v>5</v>
      </c>
      <c r="H35" s="174"/>
      <c r="I35" s="174"/>
      <c r="J35" s="174"/>
      <c r="K35" s="174"/>
      <c r="L35" s="174"/>
      <c r="M35" s="174"/>
      <c r="N35" s="174"/>
      <c r="O35" s="174"/>
      <c r="P35" s="200">
        <v>2</v>
      </c>
      <c r="Q35" s="174">
        <f>P35*16</f>
        <v>32</v>
      </c>
      <c r="R35" s="174"/>
      <c r="S35" s="174"/>
      <c r="T35" s="201">
        <f t="shared" si="1"/>
        <v>2</v>
      </c>
      <c r="U35" s="202">
        <f t="shared" si="1"/>
        <v>32</v>
      </c>
    </row>
    <row r="36" spans="2:21" ht="24">
      <c r="B36" s="516"/>
      <c r="C36" s="520"/>
      <c r="D36" s="212" t="s">
        <v>713</v>
      </c>
      <c r="E36" s="213" t="s">
        <v>714</v>
      </c>
      <c r="F36" s="174">
        <v>45</v>
      </c>
      <c r="G36" s="174">
        <v>3</v>
      </c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200">
        <v>2</v>
      </c>
      <c r="S36" s="174">
        <f>R36*16</f>
        <v>32</v>
      </c>
      <c r="T36" s="201">
        <f t="shared" si="1"/>
        <v>2</v>
      </c>
      <c r="U36" s="202">
        <f t="shared" si="1"/>
        <v>32</v>
      </c>
    </row>
    <row r="37" spans="2:21">
      <c r="B37" s="516"/>
      <c r="C37" s="520"/>
      <c r="D37" s="212" t="s">
        <v>715</v>
      </c>
      <c r="E37" s="213" t="s">
        <v>716</v>
      </c>
      <c r="F37" s="174">
        <v>30</v>
      </c>
      <c r="G37" s="174">
        <v>4</v>
      </c>
      <c r="H37" s="174"/>
      <c r="I37" s="174"/>
      <c r="J37" s="174"/>
      <c r="K37" s="174"/>
      <c r="L37" s="169"/>
      <c r="M37" s="169"/>
      <c r="N37" s="169"/>
      <c r="O37" s="169"/>
      <c r="P37" s="174"/>
      <c r="Q37" s="174"/>
      <c r="R37" s="200">
        <v>2</v>
      </c>
      <c r="S37" s="174">
        <f>R37*16</f>
        <v>32</v>
      </c>
      <c r="T37" s="201">
        <f t="shared" si="1"/>
        <v>2</v>
      </c>
      <c r="U37" s="202">
        <f t="shared" si="1"/>
        <v>32</v>
      </c>
    </row>
    <row r="38" spans="2:21" ht="17.25" thickBot="1">
      <c r="B38" s="518"/>
      <c r="C38" s="521"/>
      <c r="D38" s="439" t="s">
        <v>16</v>
      </c>
      <c r="E38" s="439"/>
      <c r="F38" s="196"/>
      <c r="G38" s="196"/>
      <c r="H38" s="179"/>
      <c r="I38" s="179"/>
      <c r="J38" s="179"/>
      <c r="K38" s="179"/>
      <c r="L38" s="179">
        <f>SUM(L34:L37)</f>
        <v>0</v>
      </c>
      <c r="M38" s="179">
        <f>SUM(M34:M37)</f>
        <v>0</v>
      </c>
      <c r="N38" s="179">
        <f>SUM(N34:N37)</f>
        <v>0</v>
      </c>
      <c r="O38" s="179">
        <f>SUM(O34:O37)</f>
        <v>0</v>
      </c>
      <c r="P38" s="179"/>
      <c r="Q38" s="179"/>
      <c r="R38" s="179"/>
      <c r="S38" s="179"/>
      <c r="T38" s="180">
        <f>SUM(T34:T37)</f>
        <v>7</v>
      </c>
      <c r="U38" s="181">
        <f>SUM(U34:U37)</f>
        <v>112</v>
      </c>
    </row>
    <row r="39" spans="2:21" ht="16.5" customHeight="1">
      <c r="B39" s="515" t="s">
        <v>705</v>
      </c>
      <c r="C39" s="519">
        <v>9</v>
      </c>
      <c r="D39" s="213" t="s">
        <v>717</v>
      </c>
      <c r="E39" s="213" t="s">
        <v>718</v>
      </c>
      <c r="F39" s="162">
        <v>46</v>
      </c>
      <c r="G39" s="162">
        <v>3</v>
      </c>
      <c r="H39" s="162"/>
      <c r="I39" s="162"/>
      <c r="J39" s="162"/>
      <c r="K39" s="162"/>
      <c r="L39" s="162"/>
      <c r="M39" s="162"/>
      <c r="N39" s="162"/>
      <c r="O39" s="162"/>
      <c r="P39" s="198">
        <v>3</v>
      </c>
      <c r="Q39" s="162">
        <f>P39*16</f>
        <v>48</v>
      </c>
      <c r="R39" s="162"/>
      <c r="S39" s="162"/>
      <c r="T39" s="201">
        <f t="shared" si="1"/>
        <v>3</v>
      </c>
      <c r="U39" s="202">
        <f t="shared" si="1"/>
        <v>48</v>
      </c>
    </row>
    <row r="40" spans="2:21">
      <c r="B40" s="516"/>
      <c r="C40" s="520"/>
      <c r="D40" s="213" t="s">
        <v>719</v>
      </c>
      <c r="E40" s="213" t="s">
        <v>751</v>
      </c>
      <c r="F40" s="174">
        <v>90</v>
      </c>
      <c r="G40" s="174">
        <v>6</v>
      </c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200">
        <v>2</v>
      </c>
      <c r="S40" s="174">
        <f>R40*16</f>
        <v>32</v>
      </c>
      <c r="T40" s="201">
        <f t="shared" si="1"/>
        <v>2</v>
      </c>
      <c r="U40" s="202">
        <f t="shared" si="1"/>
        <v>32</v>
      </c>
    </row>
    <row r="41" spans="2:21">
      <c r="B41" s="516"/>
      <c r="C41" s="520"/>
      <c r="D41" s="213" t="s">
        <v>720</v>
      </c>
      <c r="E41" s="213" t="s">
        <v>721</v>
      </c>
      <c r="F41" s="174">
        <v>40</v>
      </c>
      <c r="G41" s="174">
        <v>2</v>
      </c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200">
        <v>2</v>
      </c>
      <c r="S41" s="174">
        <f>R41*16</f>
        <v>32</v>
      </c>
      <c r="T41" s="201">
        <f t="shared" si="1"/>
        <v>2</v>
      </c>
      <c r="U41" s="202">
        <f t="shared" si="1"/>
        <v>32</v>
      </c>
    </row>
    <row r="42" spans="2:21">
      <c r="B42" s="516"/>
      <c r="C42" s="520"/>
      <c r="D42" s="213" t="s">
        <v>722</v>
      </c>
      <c r="E42" s="213" t="s">
        <v>723</v>
      </c>
      <c r="F42" s="174">
        <v>46</v>
      </c>
      <c r="G42" s="174">
        <v>2</v>
      </c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200">
        <v>2</v>
      </c>
      <c r="S42" s="174">
        <f>R42*16</f>
        <v>32</v>
      </c>
      <c r="T42" s="201">
        <f t="shared" si="1"/>
        <v>2</v>
      </c>
      <c r="U42" s="202">
        <f t="shared" si="1"/>
        <v>32</v>
      </c>
    </row>
    <row r="43" spans="2:21" ht="17.25" thickBot="1">
      <c r="B43" s="518"/>
      <c r="C43" s="521"/>
      <c r="D43" s="439" t="s">
        <v>16</v>
      </c>
      <c r="E43" s="439"/>
      <c r="F43" s="196"/>
      <c r="G43" s="196"/>
      <c r="H43" s="179"/>
      <c r="I43" s="179"/>
      <c r="J43" s="179"/>
      <c r="K43" s="179"/>
      <c r="L43" s="179">
        <f>SUM(L39:L42)</f>
        <v>0</v>
      </c>
      <c r="M43" s="179">
        <f>SUM(M39:M42)</f>
        <v>0</v>
      </c>
      <c r="N43" s="179">
        <f>SUM(N40:N42)</f>
        <v>0</v>
      </c>
      <c r="O43" s="179">
        <f>SUM(O40:O42)</f>
        <v>0</v>
      </c>
      <c r="P43" s="179">
        <f t="shared" ref="P43:U43" si="5">SUM(P39:P42)</f>
        <v>3</v>
      </c>
      <c r="Q43" s="179">
        <f t="shared" si="5"/>
        <v>48</v>
      </c>
      <c r="R43" s="179">
        <f t="shared" si="5"/>
        <v>6</v>
      </c>
      <c r="S43" s="179">
        <f t="shared" si="5"/>
        <v>96</v>
      </c>
      <c r="T43" s="180">
        <f t="shared" si="5"/>
        <v>9</v>
      </c>
      <c r="U43" s="181">
        <f t="shared" si="5"/>
        <v>144</v>
      </c>
    </row>
    <row r="44" spans="2:21">
      <c r="B44" s="515" t="s">
        <v>707</v>
      </c>
      <c r="C44" s="519">
        <v>7</v>
      </c>
      <c r="D44" s="213" t="s">
        <v>724</v>
      </c>
      <c r="E44" s="213" t="s">
        <v>725</v>
      </c>
      <c r="F44" s="162">
        <v>50</v>
      </c>
      <c r="G44" s="162">
        <v>3</v>
      </c>
      <c r="H44" s="162"/>
      <c r="I44" s="162"/>
      <c r="J44" s="162"/>
      <c r="K44" s="162"/>
      <c r="L44" s="162"/>
      <c r="M44" s="162"/>
      <c r="N44" s="162"/>
      <c r="O44" s="162"/>
      <c r="P44" s="198">
        <v>2</v>
      </c>
      <c r="Q44" s="198">
        <f>P44*16</f>
        <v>32</v>
      </c>
      <c r="R44" s="198"/>
      <c r="S44" s="198"/>
      <c r="T44" s="201">
        <f t="shared" si="1"/>
        <v>2</v>
      </c>
      <c r="U44" s="202">
        <f t="shared" si="1"/>
        <v>32</v>
      </c>
    </row>
    <row r="45" spans="2:21">
      <c r="B45" s="516"/>
      <c r="C45" s="520"/>
      <c r="D45" s="213" t="s">
        <v>730</v>
      </c>
      <c r="E45" s="213" t="s">
        <v>731</v>
      </c>
      <c r="F45" s="169">
        <v>34</v>
      </c>
      <c r="G45" s="169">
        <v>3</v>
      </c>
      <c r="H45" s="169"/>
      <c r="I45" s="169"/>
      <c r="J45" s="169"/>
      <c r="K45" s="169"/>
      <c r="L45" s="169"/>
      <c r="M45" s="169"/>
      <c r="N45" s="169"/>
      <c r="O45" s="169"/>
      <c r="P45" s="199">
        <v>1</v>
      </c>
      <c r="Q45" s="200">
        <f>P45*16</f>
        <v>16</v>
      </c>
      <c r="R45" s="199"/>
      <c r="S45" s="199"/>
      <c r="T45" s="201">
        <f t="shared" si="1"/>
        <v>1</v>
      </c>
      <c r="U45" s="202">
        <f t="shared" si="1"/>
        <v>16</v>
      </c>
    </row>
    <row r="46" spans="2:21">
      <c r="B46" s="516"/>
      <c r="C46" s="520"/>
      <c r="D46" s="213" t="s">
        <v>726</v>
      </c>
      <c r="E46" s="213" t="s">
        <v>727</v>
      </c>
      <c r="F46" s="174">
        <v>50</v>
      </c>
      <c r="G46" s="174">
        <v>3</v>
      </c>
      <c r="H46" s="174"/>
      <c r="I46" s="174"/>
      <c r="J46" s="174"/>
      <c r="K46" s="174"/>
      <c r="L46" s="174"/>
      <c r="M46" s="174"/>
      <c r="N46" s="174"/>
      <c r="O46" s="174"/>
      <c r="P46" s="200"/>
      <c r="Q46" s="200"/>
      <c r="R46" s="200">
        <v>2</v>
      </c>
      <c r="S46" s="200">
        <f>R46*16</f>
        <v>32</v>
      </c>
      <c r="T46" s="201">
        <f t="shared" si="1"/>
        <v>2</v>
      </c>
      <c r="U46" s="202">
        <f t="shared" si="1"/>
        <v>32</v>
      </c>
    </row>
    <row r="47" spans="2:21">
      <c r="B47" s="516"/>
      <c r="C47" s="520"/>
      <c r="D47" s="213" t="s">
        <v>728</v>
      </c>
      <c r="E47" s="213" t="s">
        <v>729</v>
      </c>
      <c r="F47" s="174">
        <v>50</v>
      </c>
      <c r="G47" s="174">
        <v>3</v>
      </c>
      <c r="H47" s="174"/>
      <c r="I47" s="174"/>
      <c r="J47" s="174"/>
      <c r="K47" s="174"/>
      <c r="L47" s="174"/>
      <c r="M47" s="174"/>
      <c r="N47" s="174"/>
      <c r="O47" s="174"/>
      <c r="P47" s="200"/>
      <c r="Q47" s="200"/>
      <c r="R47" s="200">
        <v>2</v>
      </c>
      <c r="S47" s="200">
        <f>R47*16</f>
        <v>32</v>
      </c>
      <c r="T47" s="201">
        <f t="shared" si="1"/>
        <v>2</v>
      </c>
      <c r="U47" s="202">
        <f t="shared" si="1"/>
        <v>32</v>
      </c>
    </row>
    <row r="48" spans="2:21" ht="17.25" thickBot="1">
      <c r="B48" s="518"/>
      <c r="C48" s="521"/>
      <c r="D48" s="439" t="s">
        <v>16</v>
      </c>
      <c r="E48" s="439"/>
      <c r="F48" s="196"/>
      <c r="G48" s="196"/>
      <c r="H48" s="179"/>
      <c r="I48" s="179"/>
      <c r="J48" s="179"/>
      <c r="K48" s="179"/>
      <c r="L48" s="179"/>
      <c r="M48" s="179"/>
      <c r="N48" s="179"/>
      <c r="O48" s="179"/>
      <c r="P48" s="179">
        <f t="shared" ref="P48:U48" si="6">SUM(P44:P47)</f>
        <v>3</v>
      </c>
      <c r="Q48" s="179">
        <f t="shared" si="6"/>
        <v>48</v>
      </c>
      <c r="R48" s="179">
        <f t="shared" si="6"/>
        <v>4</v>
      </c>
      <c r="S48" s="179">
        <f t="shared" si="6"/>
        <v>64</v>
      </c>
      <c r="T48" s="180">
        <f t="shared" si="6"/>
        <v>7</v>
      </c>
      <c r="U48" s="181">
        <f t="shared" si="6"/>
        <v>112</v>
      </c>
    </row>
    <row r="49" spans="2:21">
      <c r="B49" s="515" t="s">
        <v>708</v>
      </c>
      <c r="C49" s="519">
        <v>9</v>
      </c>
      <c r="D49" s="212" t="s">
        <v>732</v>
      </c>
      <c r="E49" s="213" t="s">
        <v>733</v>
      </c>
      <c r="F49" s="162">
        <v>45</v>
      </c>
      <c r="G49" s="162">
        <v>3</v>
      </c>
      <c r="H49" s="162"/>
      <c r="I49" s="162"/>
      <c r="J49" s="162"/>
      <c r="K49" s="162"/>
      <c r="L49" s="162"/>
      <c r="M49" s="162"/>
      <c r="N49" s="162"/>
      <c r="O49" s="162"/>
      <c r="P49" s="198">
        <v>2</v>
      </c>
      <c r="Q49" s="198">
        <f>P49*16</f>
        <v>32</v>
      </c>
      <c r="R49" s="162"/>
      <c r="S49" s="162"/>
      <c r="T49" s="201">
        <f t="shared" si="1"/>
        <v>2</v>
      </c>
      <c r="U49" s="202">
        <f t="shared" si="1"/>
        <v>32</v>
      </c>
    </row>
    <row r="50" spans="2:21">
      <c r="B50" s="516"/>
      <c r="C50" s="520"/>
      <c r="D50" s="212" t="s">
        <v>734</v>
      </c>
      <c r="E50" s="213" t="s">
        <v>752</v>
      </c>
      <c r="F50" s="174">
        <v>180</v>
      </c>
      <c r="G50" s="174">
        <v>5</v>
      </c>
      <c r="H50" s="174"/>
      <c r="I50" s="174"/>
      <c r="J50" s="174"/>
      <c r="K50" s="174"/>
      <c r="L50" s="174"/>
      <c r="M50" s="174"/>
      <c r="N50" s="174"/>
      <c r="O50" s="174"/>
      <c r="P50" s="200">
        <v>2</v>
      </c>
      <c r="Q50" s="174">
        <f>P50*16</f>
        <v>32</v>
      </c>
      <c r="R50" s="174"/>
      <c r="S50" s="169"/>
      <c r="T50" s="201">
        <f t="shared" si="1"/>
        <v>2</v>
      </c>
      <c r="U50" s="202">
        <f t="shared" si="1"/>
        <v>32</v>
      </c>
    </row>
    <row r="51" spans="2:21">
      <c r="B51" s="516"/>
      <c r="C51" s="520"/>
      <c r="D51" s="212" t="s">
        <v>735</v>
      </c>
      <c r="E51" s="213" t="s">
        <v>736</v>
      </c>
      <c r="F51" s="174">
        <v>45</v>
      </c>
      <c r="G51" s="174">
        <v>3</v>
      </c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200">
        <v>2</v>
      </c>
      <c r="S51" s="174">
        <f>R51*16</f>
        <v>32</v>
      </c>
      <c r="T51" s="201">
        <f t="shared" si="1"/>
        <v>2</v>
      </c>
      <c r="U51" s="202">
        <f t="shared" si="1"/>
        <v>32</v>
      </c>
    </row>
    <row r="52" spans="2:21">
      <c r="B52" s="517"/>
      <c r="C52" s="522"/>
      <c r="D52" s="215" t="s">
        <v>753</v>
      </c>
      <c r="E52" s="213" t="s">
        <v>737</v>
      </c>
      <c r="F52" s="169">
        <v>90</v>
      </c>
      <c r="G52" s="169">
        <v>5</v>
      </c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99">
        <v>3</v>
      </c>
      <c r="S52" s="174">
        <f>R52*16</f>
        <v>48</v>
      </c>
      <c r="T52" s="201">
        <f t="shared" si="1"/>
        <v>3</v>
      </c>
      <c r="U52" s="202">
        <f t="shared" si="1"/>
        <v>48</v>
      </c>
    </row>
    <row r="53" spans="2:21" ht="17.25" thickBot="1">
      <c r="B53" s="518"/>
      <c r="C53" s="521"/>
      <c r="D53" s="439" t="s">
        <v>16</v>
      </c>
      <c r="E53" s="439"/>
      <c r="F53" s="196"/>
      <c r="G53" s="196"/>
      <c r="H53" s="179"/>
      <c r="I53" s="179"/>
      <c r="J53" s="179"/>
      <c r="K53" s="179"/>
      <c r="L53" s="179"/>
      <c r="M53" s="179"/>
      <c r="N53" s="179"/>
      <c r="O53" s="179"/>
      <c r="P53" s="179">
        <f>SUM(P49:P52)</f>
        <v>4</v>
      </c>
      <c r="Q53" s="179">
        <f>SUM(Q49:Q52)</f>
        <v>64</v>
      </c>
      <c r="R53" s="179">
        <f>SUM(R49:R52)</f>
        <v>5</v>
      </c>
      <c r="S53" s="179">
        <f>SUM(S49:S52)</f>
        <v>80</v>
      </c>
      <c r="T53" s="180">
        <f t="shared" ref="T53:U53" si="7">SUM(T49:T52)</f>
        <v>9</v>
      </c>
      <c r="U53" s="181">
        <f t="shared" si="7"/>
        <v>144</v>
      </c>
    </row>
    <row r="54" spans="2:21">
      <c r="B54" s="509" t="s">
        <v>150</v>
      </c>
      <c r="C54" s="512">
        <v>9</v>
      </c>
      <c r="D54" s="159" t="s">
        <v>151</v>
      </c>
      <c r="E54" s="159" t="s">
        <v>693</v>
      </c>
      <c r="F54" s="159">
        <v>40</v>
      </c>
      <c r="G54" s="159">
        <v>2</v>
      </c>
      <c r="H54" s="162"/>
      <c r="I54" s="162"/>
      <c r="J54" s="162"/>
      <c r="K54" s="162"/>
      <c r="L54" s="162"/>
      <c r="M54" s="162"/>
      <c r="N54" s="162"/>
      <c r="O54" s="162"/>
      <c r="P54" s="162">
        <v>2</v>
      </c>
      <c r="Q54" s="197">
        <f>P54*16</f>
        <v>32</v>
      </c>
      <c r="R54" s="197"/>
      <c r="S54" s="197"/>
      <c r="T54" s="201">
        <f t="shared" ref="T54:U58" si="8">SUM(H54,J54,L54,N54,P54,R54)</f>
        <v>2</v>
      </c>
      <c r="U54" s="202">
        <f t="shared" si="8"/>
        <v>32</v>
      </c>
    </row>
    <row r="55" spans="2:21">
      <c r="B55" s="510"/>
      <c r="C55" s="513"/>
      <c r="D55" s="166" t="s">
        <v>152</v>
      </c>
      <c r="E55" s="166" t="s">
        <v>694</v>
      </c>
      <c r="F55" s="166">
        <v>30</v>
      </c>
      <c r="G55" s="166">
        <v>2</v>
      </c>
      <c r="H55" s="174"/>
      <c r="I55" s="174"/>
      <c r="J55" s="174"/>
      <c r="K55" s="174"/>
      <c r="L55" s="174"/>
      <c r="M55" s="174"/>
      <c r="N55" s="174"/>
      <c r="O55" s="174"/>
      <c r="P55" s="174">
        <v>2</v>
      </c>
      <c r="Q55" s="169">
        <f>P55*16</f>
        <v>32</v>
      </c>
      <c r="R55" s="169"/>
      <c r="S55" s="169"/>
      <c r="T55" s="201">
        <f t="shared" si="8"/>
        <v>2</v>
      </c>
      <c r="U55" s="202">
        <f t="shared" si="8"/>
        <v>32</v>
      </c>
    </row>
    <row r="56" spans="2:21">
      <c r="B56" s="510"/>
      <c r="C56" s="513"/>
      <c r="D56" s="166" t="s">
        <v>154</v>
      </c>
      <c r="E56" s="165" t="s">
        <v>695</v>
      </c>
      <c r="F56" s="166">
        <v>30</v>
      </c>
      <c r="G56" s="166">
        <v>2</v>
      </c>
      <c r="H56" s="174"/>
      <c r="I56" s="174"/>
      <c r="J56" s="174"/>
      <c r="K56" s="174"/>
      <c r="L56" s="174"/>
      <c r="M56" s="174"/>
      <c r="N56" s="174"/>
      <c r="O56" s="174"/>
      <c r="P56" s="174"/>
      <c r="Q56" s="169"/>
      <c r="R56" s="169">
        <v>2</v>
      </c>
      <c r="S56" s="169">
        <f>R56*16</f>
        <v>32</v>
      </c>
      <c r="T56" s="201">
        <f t="shared" si="8"/>
        <v>2</v>
      </c>
      <c r="U56" s="202">
        <f t="shared" si="8"/>
        <v>32</v>
      </c>
    </row>
    <row r="57" spans="2:21">
      <c r="B57" s="510"/>
      <c r="C57" s="513"/>
      <c r="D57" s="166" t="s">
        <v>738</v>
      </c>
      <c r="E57" s="195" t="s">
        <v>739</v>
      </c>
      <c r="F57" s="166">
        <v>40</v>
      </c>
      <c r="G57" s="166">
        <v>2</v>
      </c>
      <c r="H57" s="174"/>
      <c r="I57" s="174"/>
      <c r="J57" s="174"/>
      <c r="K57" s="174"/>
      <c r="L57" s="174"/>
      <c r="M57" s="174"/>
      <c r="N57" s="174"/>
      <c r="O57" s="174"/>
      <c r="P57" s="174"/>
      <c r="Q57" s="169"/>
      <c r="R57" s="169">
        <v>2</v>
      </c>
      <c r="S57" s="169">
        <f t="shared" ref="S57:S58" si="9">R57*16</f>
        <v>32</v>
      </c>
      <c r="T57" s="201">
        <f t="shared" si="8"/>
        <v>2</v>
      </c>
      <c r="U57" s="202">
        <f t="shared" si="8"/>
        <v>32</v>
      </c>
    </row>
    <row r="58" spans="2:21">
      <c r="B58" s="525"/>
      <c r="C58" s="526"/>
      <c r="D58" s="166" t="s">
        <v>153</v>
      </c>
      <c r="E58" s="214" t="s">
        <v>696</v>
      </c>
      <c r="F58" s="166">
        <v>20</v>
      </c>
      <c r="G58" s="166">
        <v>2</v>
      </c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>
        <v>1</v>
      </c>
      <c r="S58" s="174">
        <f t="shared" si="9"/>
        <v>16</v>
      </c>
      <c r="T58" s="201">
        <f t="shared" si="8"/>
        <v>1</v>
      </c>
      <c r="U58" s="202">
        <f t="shared" si="8"/>
        <v>16</v>
      </c>
    </row>
    <row r="59" spans="2:21" ht="17.25" thickBot="1">
      <c r="B59" s="511"/>
      <c r="C59" s="514"/>
      <c r="D59" s="439" t="s">
        <v>16</v>
      </c>
      <c r="E59" s="439"/>
      <c r="F59" s="196"/>
      <c r="G59" s="196"/>
      <c r="H59" s="179"/>
      <c r="I59" s="179"/>
      <c r="J59" s="179"/>
      <c r="K59" s="179"/>
      <c r="L59" s="179"/>
      <c r="M59" s="179"/>
      <c r="N59" s="179"/>
      <c r="O59" s="179"/>
      <c r="P59" s="179">
        <f t="shared" ref="P59:U59" si="10">SUM(P54:P58)</f>
        <v>4</v>
      </c>
      <c r="Q59" s="179">
        <f t="shared" si="10"/>
        <v>64</v>
      </c>
      <c r="R59" s="179">
        <f t="shared" si="10"/>
        <v>5</v>
      </c>
      <c r="S59" s="179">
        <f t="shared" si="10"/>
        <v>80</v>
      </c>
      <c r="T59" s="180">
        <f t="shared" si="10"/>
        <v>9</v>
      </c>
      <c r="U59" s="181">
        <f t="shared" si="10"/>
        <v>144</v>
      </c>
    </row>
    <row r="60" spans="2:21">
      <c r="B60" s="509" t="s">
        <v>656</v>
      </c>
      <c r="C60" s="512">
        <v>7</v>
      </c>
      <c r="D60" s="159" t="s">
        <v>697</v>
      </c>
      <c r="E60" s="159" t="s">
        <v>698</v>
      </c>
      <c r="F60" s="159">
        <v>20</v>
      </c>
      <c r="G60" s="159">
        <v>2</v>
      </c>
      <c r="H60" s="162"/>
      <c r="I60" s="162"/>
      <c r="J60" s="162"/>
      <c r="K60" s="162"/>
      <c r="L60" s="162"/>
      <c r="M60" s="162"/>
      <c r="N60" s="162"/>
      <c r="O60" s="162"/>
      <c r="P60" s="162">
        <v>1</v>
      </c>
      <c r="Q60" s="162">
        <v>16</v>
      </c>
      <c r="R60" s="162"/>
      <c r="S60" s="162"/>
      <c r="T60" s="201">
        <f t="shared" ref="T60:T63" si="11">SUM(H60,J60,L60,N60,P60,R60)</f>
        <v>1</v>
      </c>
      <c r="U60" s="202">
        <f>SUM(I60,K60,M60,O60,Q60,S60)</f>
        <v>16</v>
      </c>
    </row>
    <row r="61" spans="2:21">
      <c r="B61" s="510"/>
      <c r="C61" s="513"/>
      <c r="D61" s="166" t="s">
        <v>699</v>
      </c>
      <c r="E61" s="166" t="s">
        <v>700</v>
      </c>
      <c r="F61" s="166">
        <v>20</v>
      </c>
      <c r="G61" s="166">
        <v>3</v>
      </c>
      <c r="H61" s="174"/>
      <c r="I61" s="174"/>
      <c r="J61" s="174"/>
      <c r="K61" s="174"/>
      <c r="L61" s="174"/>
      <c r="M61" s="174"/>
      <c r="N61" s="174"/>
      <c r="O61" s="174"/>
      <c r="P61" s="174">
        <v>2</v>
      </c>
      <c r="Q61" s="174">
        <v>32</v>
      </c>
      <c r="R61" s="174"/>
      <c r="S61" s="169"/>
      <c r="T61" s="201">
        <f t="shared" si="11"/>
        <v>2</v>
      </c>
      <c r="U61" s="202">
        <f>SUM(I61,K61,M61,O61,Q61,S61)</f>
        <v>32</v>
      </c>
    </row>
    <row r="62" spans="2:21">
      <c r="B62" s="510"/>
      <c r="C62" s="513"/>
      <c r="D62" s="166" t="s">
        <v>701</v>
      </c>
      <c r="E62" s="166" t="s">
        <v>702</v>
      </c>
      <c r="F62" s="166">
        <v>20</v>
      </c>
      <c r="G62" s="166">
        <v>3</v>
      </c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>
        <v>2</v>
      </c>
      <c r="S62" s="169">
        <v>32</v>
      </c>
      <c r="T62" s="201">
        <f t="shared" si="11"/>
        <v>2</v>
      </c>
      <c r="U62" s="202">
        <f>SUM(I62,K62,M62,O62,Q62,S62)</f>
        <v>32</v>
      </c>
    </row>
    <row r="63" spans="2:21">
      <c r="B63" s="525"/>
      <c r="C63" s="526"/>
      <c r="D63" s="165" t="s">
        <v>703</v>
      </c>
      <c r="E63" s="165" t="s">
        <v>704</v>
      </c>
      <c r="F63" s="165">
        <v>30</v>
      </c>
      <c r="G63" s="165">
        <v>2</v>
      </c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>
        <v>2</v>
      </c>
      <c r="S63" s="169">
        <v>32</v>
      </c>
      <c r="T63" s="201">
        <f t="shared" si="11"/>
        <v>2</v>
      </c>
      <c r="U63" s="202">
        <f>SUM(I63,K63,M63,O63,Q63,S63)</f>
        <v>32</v>
      </c>
    </row>
    <row r="64" spans="2:21" ht="17.25" thickBot="1">
      <c r="B64" s="511"/>
      <c r="C64" s="514"/>
      <c r="D64" s="439" t="s">
        <v>16</v>
      </c>
      <c r="E64" s="439"/>
      <c r="F64" s="196"/>
      <c r="G64" s="196"/>
      <c r="H64" s="179"/>
      <c r="I64" s="179"/>
      <c r="J64" s="179"/>
      <c r="K64" s="179"/>
      <c r="L64" s="179"/>
      <c r="M64" s="179"/>
      <c r="N64" s="179"/>
      <c r="O64" s="179"/>
      <c r="P64" s="179">
        <f>SUM(P60:P63)</f>
        <v>3</v>
      </c>
      <c r="Q64" s="179">
        <f>SUM(Q60:Q63)</f>
        <v>48</v>
      </c>
      <c r="R64" s="179">
        <f>SUM(R60:R63)</f>
        <v>4</v>
      </c>
      <c r="S64" s="179">
        <f>SUM(S60:S63)</f>
        <v>64</v>
      </c>
      <c r="T64" s="180">
        <f t="shared" ref="T64:U64" si="12">SUM(T60:T63)</f>
        <v>7</v>
      </c>
      <c r="U64" s="181">
        <f t="shared" si="12"/>
        <v>112</v>
      </c>
    </row>
  </sheetData>
  <mergeCells count="60">
    <mergeCell ref="B54:B59"/>
    <mergeCell ref="C54:C59"/>
    <mergeCell ref="D59:E59"/>
    <mergeCell ref="B60:B64"/>
    <mergeCell ref="C60:C64"/>
    <mergeCell ref="D64:E64"/>
    <mergeCell ref="B44:B48"/>
    <mergeCell ref="C44:C48"/>
    <mergeCell ref="D48:E48"/>
    <mergeCell ref="B49:B53"/>
    <mergeCell ref="C49:C53"/>
    <mergeCell ref="D53:E53"/>
    <mergeCell ref="B39:B43"/>
    <mergeCell ref="C39:C43"/>
    <mergeCell ref="D43:E43"/>
    <mergeCell ref="C14:C18"/>
    <mergeCell ref="D18:E18"/>
    <mergeCell ref="B19:B23"/>
    <mergeCell ref="C19:C23"/>
    <mergeCell ref="D23:E23"/>
    <mergeCell ref="B24:B28"/>
    <mergeCell ref="C24:C28"/>
    <mergeCell ref="D28:E28"/>
    <mergeCell ref="D33:E33"/>
    <mergeCell ref="B29:B33"/>
    <mergeCell ref="C29:C33"/>
    <mergeCell ref="B34:B38"/>
    <mergeCell ref="C34:C38"/>
    <mergeCell ref="B9:B13"/>
    <mergeCell ref="C9:C13"/>
    <mergeCell ref="D13:E13"/>
    <mergeCell ref="B14:B18"/>
    <mergeCell ref="D38:E38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2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205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342</v>
      </c>
      <c r="G2" s="5"/>
      <c r="H2" s="3" t="s">
        <v>74</v>
      </c>
      <c r="I2" s="3" t="s">
        <v>66</v>
      </c>
      <c r="J2" s="3" t="s">
        <v>170</v>
      </c>
      <c r="K2" s="3" t="s">
        <v>170</v>
      </c>
      <c r="L2" s="3" t="s">
        <v>123</v>
      </c>
    </row>
    <row r="3" spans="1:12">
      <c r="A3" s="3" t="s">
        <v>206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342</v>
      </c>
      <c r="G3" s="5"/>
      <c r="H3" s="3" t="s">
        <v>75</v>
      </c>
      <c r="I3" s="3" t="s">
        <v>67</v>
      </c>
      <c r="J3" s="3" t="s">
        <v>171</v>
      </c>
      <c r="K3" s="3" t="s">
        <v>171</v>
      </c>
      <c r="L3" s="3" t="s">
        <v>118</v>
      </c>
    </row>
    <row r="4" spans="1:12">
      <c r="A4" s="3" t="s">
        <v>208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345</v>
      </c>
      <c r="G4" s="5"/>
      <c r="H4" s="3" t="s">
        <v>76</v>
      </c>
      <c r="I4" s="3" t="s">
        <v>160</v>
      </c>
      <c r="J4" s="3" t="s">
        <v>93</v>
      </c>
      <c r="K4" s="3" t="s">
        <v>93</v>
      </c>
      <c r="L4" s="3" t="s">
        <v>119</v>
      </c>
    </row>
    <row r="5" spans="1:12">
      <c r="A5" s="3" t="s">
        <v>209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345</v>
      </c>
      <c r="G5" s="5"/>
      <c r="H5" s="3" t="s">
        <v>77</v>
      </c>
      <c r="I5" s="3" t="s">
        <v>161</v>
      </c>
      <c r="J5" s="3" t="s">
        <v>172</v>
      </c>
      <c r="K5" s="3" t="s">
        <v>172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345</v>
      </c>
      <c r="G6" s="5"/>
      <c r="H6" s="3" t="s">
        <v>78</v>
      </c>
      <c r="I6" s="3" t="s">
        <v>162</v>
      </c>
      <c r="J6" s="3" t="s">
        <v>173</v>
      </c>
      <c r="K6" s="3" t="s">
        <v>173</v>
      </c>
      <c r="L6" s="8"/>
    </row>
    <row r="7" spans="1:12">
      <c r="A7" s="3" t="s">
        <v>210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345</v>
      </c>
      <c r="G7" s="5"/>
      <c r="H7" s="3" t="s">
        <v>79</v>
      </c>
      <c r="I7" s="3" t="s">
        <v>168</v>
      </c>
      <c r="J7" s="3" t="s">
        <v>94</v>
      </c>
      <c r="K7" s="3" t="s">
        <v>94</v>
      </c>
      <c r="L7" s="5"/>
    </row>
    <row r="8" spans="1:12">
      <c r="A8" s="3" t="s">
        <v>211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345</v>
      </c>
      <c r="G8" s="5"/>
      <c r="H8" s="3" t="s">
        <v>80</v>
      </c>
      <c r="I8" s="3" t="s">
        <v>163</v>
      </c>
      <c r="J8" s="3" t="s">
        <v>174</v>
      </c>
      <c r="K8" s="3" t="s">
        <v>174</v>
      </c>
      <c r="L8" s="5"/>
    </row>
    <row r="9" spans="1:12">
      <c r="A9" s="3" t="s">
        <v>212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345</v>
      </c>
      <c r="G9" s="5"/>
      <c r="H9" s="3" t="s">
        <v>81</v>
      </c>
      <c r="I9" s="3" t="s">
        <v>68</v>
      </c>
      <c r="J9" s="3" t="s">
        <v>175</v>
      </c>
      <c r="K9" s="3" t="s">
        <v>175</v>
      </c>
      <c r="L9" s="5"/>
    </row>
    <row r="10" spans="1:12">
      <c r="A10" s="3" t="s">
        <v>213</v>
      </c>
      <c r="B10" s="3" t="s">
        <v>17</v>
      </c>
      <c r="C10" s="3" t="s">
        <v>21</v>
      </c>
      <c r="D10" s="3" t="s">
        <v>216</v>
      </c>
      <c r="E10" s="3">
        <v>4</v>
      </c>
      <c r="F10" s="7" t="s">
        <v>345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214</v>
      </c>
      <c r="B11" s="3" t="s">
        <v>17</v>
      </c>
      <c r="C11" s="3" t="s">
        <v>21</v>
      </c>
      <c r="D11" s="3" t="s">
        <v>216</v>
      </c>
      <c r="E11" s="3">
        <v>4</v>
      </c>
      <c r="F11" s="7" t="s">
        <v>345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215</v>
      </c>
      <c r="B12" s="3" t="s">
        <v>17</v>
      </c>
      <c r="C12" s="3" t="s">
        <v>21</v>
      </c>
      <c r="D12" s="3" t="s">
        <v>216</v>
      </c>
      <c r="E12" s="3">
        <v>4</v>
      </c>
      <c r="F12" s="7" t="s">
        <v>345</v>
      </c>
      <c r="G12" s="5"/>
      <c r="H12" s="3" t="s">
        <v>84</v>
      </c>
      <c r="I12" s="3" t="s">
        <v>164</v>
      </c>
      <c r="J12" s="3" t="s">
        <v>96</v>
      </c>
      <c r="K12" s="3" t="s">
        <v>96</v>
      </c>
      <c r="L12" s="5"/>
    </row>
    <row r="13" spans="1:12">
      <c r="A13" s="3" t="s">
        <v>217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342</v>
      </c>
      <c r="G13" s="5"/>
      <c r="H13" s="3" t="s">
        <v>85</v>
      </c>
      <c r="I13" s="3" t="s">
        <v>71</v>
      </c>
      <c r="J13" s="3" t="s">
        <v>176</v>
      </c>
      <c r="K13" s="3" t="s">
        <v>176</v>
      </c>
      <c r="L13" s="5"/>
    </row>
    <row r="14" spans="1:12">
      <c r="A14" s="3" t="s">
        <v>219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342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220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345</v>
      </c>
      <c r="G15" s="5"/>
      <c r="H15" s="3" t="s">
        <v>87</v>
      </c>
      <c r="I15" s="3" t="s">
        <v>165</v>
      </c>
      <c r="J15" s="3" t="s">
        <v>177</v>
      </c>
      <c r="K15" s="3" t="s">
        <v>177</v>
      </c>
      <c r="L15" s="5"/>
    </row>
    <row r="16" spans="1:12">
      <c r="A16" s="3" t="s">
        <v>221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345</v>
      </c>
      <c r="G16" s="5"/>
      <c r="H16" s="3" t="s">
        <v>88</v>
      </c>
      <c r="I16" s="3" t="s">
        <v>166</v>
      </c>
      <c r="J16" s="3" t="s">
        <v>178</v>
      </c>
      <c r="K16" s="3" t="s">
        <v>178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345</v>
      </c>
      <c r="G17" s="5"/>
      <c r="H17" s="3" t="s">
        <v>89</v>
      </c>
      <c r="I17" s="3" t="s">
        <v>167</v>
      </c>
      <c r="J17" s="3" t="s">
        <v>179</v>
      </c>
      <c r="K17" s="3" t="s">
        <v>179</v>
      </c>
      <c r="L17" s="5"/>
    </row>
    <row r="18" spans="1:12">
      <c r="A18" s="3" t="s">
        <v>222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345</v>
      </c>
      <c r="G18" s="5"/>
      <c r="H18" s="3" t="s">
        <v>90</v>
      </c>
      <c r="I18" s="3" t="s">
        <v>169</v>
      </c>
      <c r="J18" s="3" t="s">
        <v>180</v>
      </c>
      <c r="K18" s="3" t="s">
        <v>180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345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345</v>
      </c>
      <c r="G20" s="5"/>
      <c r="J20" s="3" t="s">
        <v>181</v>
      </c>
      <c r="K20" s="3" t="s">
        <v>181</v>
      </c>
      <c r="L20" s="5"/>
    </row>
    <row r="21" spans="1:12">
      <c r="A21" s="3" t="s">
        <v>223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345</v>
      </c>
      <c r="G21" s="5"/>
      <c r="J21" s="3" t="s">
        <v>98</v>
      </c>
      <c r="K21" s="3" t="s">
        <v>98</v>
      </c>
      <c r="L21" s="5"/>
    </row>
    <row r="22" spans="1:12">
      <c r="A22" s="3" t="s">
        <v>225</v>
      </c>
      <c r="B22" s="3" t="s">
        <v>17</v>
      </c>
      <c r="C22" s="3" t="s">
        <v>5</v>
      </c>
      <c r="D22" s="3" t="s">
        <v>226</v>
      </c>
      <c r="E22" s="3">
        <v>4</v>
      </c>
      <c r="F22" s="7" t="s">
        <v>345</v>
      </c>
      <c r="G22" s="5"/>
      <c r="H22" s="3"/>
      <c r="I22" s="3"/>
      <c r="J22" s="3" t="s">
        <v>182</v>
      </c>
      <c r="K22" s="3" t="s">
        <v>182</v>
      </c>
      <c r="L22" s="5"/>
    </row>
    <row r="23" spans="1:12">
      <c r="A23" s="3" t="s">
        <v>227</v>
      </c>
      <c r="B23" s="3" t="s">
        <v>17</v>
      </c>
      <c r="C23" s="3" t="s">
        <v>5</v>
      </c>
      <c r="D23" s="3" t="s">
        <v>216</v>
      </c>
      <c r="E23" s="3">
        <v>4</v>
      </c>
      <c r="F23" s="7" t="s">
        <v>345</v>
      </c>
      <c r="G23" s="5"/>
      <c r="H23" s="3"/>
      <c r="I23" s="3"/>
      <c r="J23" s="3" t="s">
        <v>183</v>
      </c>
      <c r="K23" s="3" t="s">
        <v>183</v>
      </c>
      <c r="L23" s="5"/>
    </row>
    <row r="24" spans="1:12">
      <c r="A24" s="3" t="s">
        <v>228</v>
      </c>
      <c r="B24" s="3" t="s">
        <v>17</v>
      </c>
      <c r="C24" s="3" t="s">
        <v>5</v>
      </c>
      <c r="D24" s="3" t="s">
        <v>216</v>
      </c>
      <c r="E24" s="3">
        <v>4</v>
      </c>
      <c r="F24" s="7" t="s">
        <v>345</v>
      </c>
      <c r="G24" s="5"/>
      <c r="H24" s="3"/>
      <c r="I24" s="3"/>
      <c r="J24" s="3" t="s">
        <v>184</v>
      </c>
      <c r="K24" s="3" t="s">
        <v>184</v>
      </c>
      <c r="L24" s="5"/>
    </row>
    <row r="25" spans="1:12">
      <c r="A25" s="3" t="s">
        <v>229</v>
      </c>
      <c r="B25" s="3" t="s">
        <v>17</v>
      </c>
      <c r="C25" s="3" t="s">
        <v>5</v>
      </c>
      <c r="D25" s="3" t="s">
        <v>216</v>
      </c>
      <c r="E25" s="3">
        <v>4</v>
      </c>
      <c r="F25" s="7" t="s">
        <v>345</v>
      </c>
      <c r="G25" s="5"/>
      <c r="H25" s="3"/>
      <c r="I25" s="3"/>
      <c r="J25" s="3" t="s">
        <v>185</v>
      </c>
      <c r="K25" s="3" t="s">
        <v>185</v>
      </c>
      <c r="L25" s="5"/>
    </row>
    <row r="26" spans="1:12">
      <c r="A26" s="3" t="s">
        <v>224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342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230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345</v>
      </c>
      <c r="G27" s="5"/>
      <c r="H27" s="5"/>
      <c r="I27" s="5"/>
      <c r="J27" s="3" t="s">
        <v>186</v>
      </c>
      <c r="K27" s="3" t="s">
        <v>186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345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345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345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345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231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345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232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345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233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345</v>
      </c>
      <c r="G34" s="5"/>
      <c r="H34" s="5"/>
      <c r="I34" s="5"/>
      <c r="J34" s="3" t="s">
        <v>187</v>
      </c>
      <c r="K34" s="3" t="s">
        <v>187</v>
      </c>
      <c r="L34" s="5"/>
    </row>
    <row r="35" spans="1:12">
      <c r="A35" s="3" t="s">
        <v>234</v>
      </c>
      <c r="B35" s="3" t="s">
        <v>17</v>
      </c>
      <c r="C35" s="3" t="s">
        <v>6</v>
      </c>
      <c r="D35" s="3" t="s">
        <v>226</v>
      </c>
      <c r="E35" s="3">
        <v>4</v>
      </c>
      <c r="F35" s="7" t="s">
        <v>345</v>
      </c>
      <c r="G35" s="5"/>
      <c r="H35" s="5"/>
      <c r="I35" s="5"/>
      <c r="J35" s="3" t="s">
        <v>188</v>
      </c>
      <c r="K35" s="3" t="s">
        <v>188</v>
      </c>
      <c r="L35" s="5"/>
    </row>
    <row r="36" spans="1:12">
      <c r="A36" s="3" t="s">
        <v>235</v>
      </c>
      <c r="B36" s="3" t="s">
        <v>17</v>
      </c>
      <c r="C36" s="3" t="s">
        <v>6</v>
      </c>
      <c r="D36" s="3" t="s">
        <v>216</v>
      </c>
      <c r="E36" s="3">
        <v>4</v>
      </c>
      <c r="F36" s="7" t="s">
        <v>345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236</v>
      </c>
      <c r="B37" s="3" t="s">
        <v>17</v>
      </c>
      <c r="C37" s="3" t="s">
        <v>6</v>
      </c>
      <c r="D37" s="3" t="s">
        <v>216</v>
      </c>
      <c r="E37" s="3">
        <v>4</v>
      </c>
      <c r="F37" s="7" t="s">
        <v>345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237</v>
      </c>
      <c r="B38" s="3" t="s">
        <v>17</v>
      </c>
      <c r="C38" s="3" t="s">
        <v>6</v>
      </c>
      <c r="D38" s="3" t="s">
        <v>216</v>
      </c>
      <c r="E38" s="3">
        <v>4</v>
      </c>
      <c r="F38" s="7" t="s">
        <v>345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238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373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239</v>
      </c>
      <c r="B40" s="3" t="s">
        <v>17</v>
      </c>
      <c r="C40" s="3" t="s">
        <v>7</v>
      </c>
      <c r="D40" s="3" t="s">
        <v>240</v>
      </c>
      <c r="E40" s="3">
        <v>3</v>
      </c>
      <c r="F40" s="7" t="s">
        <v>373</v>
      </c>
      <c r="G40" s="5"/>
      <c r="H40" s="5"/>
      <c r="I40" s="5"/>
      <c r="J40" s="3" t="s">
        <v>189</v>
      </c>
      <c r="K40" s="3" t="s">
        <v>189</v>
      </c>
      <c r="L40" s="5"/>
    </row>
    <row r="41" spans="1:12" ht="17.25" customHeight="1">
      <c r="A41" s="3" t="s">
        <v>241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342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242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342</v>
      </c>
      <c r="G42" s="5"/>
      <c r="H42" s="5"/>
      <c r="I42" s="5"/>
      <c r="J42" s="3" t="s">
        <v>190</v>
      </c>
      <c r="K42" s="3" t="s">
        <v>190</v>
      </c>
      <c r="L42" s="5"/>
    </row>
    <row r="43" spans="1:12" ht="17.25" customHeight="1">
      <c r="A43" s="3" t="s">
        <v>254</v>
      </c>
      <c r="B43" s="3" t="s">
        <v>17</v>
      </c>
      <c r="C43" s="3" t="s">
        <v>25</v>
      </c>
      <c r="D43" s="3" t="s">
        <v>258</v>
      </c>
      <c r="E43" s="3">
        <v>4</v>
      </c>
      <c r="F43" s="7" t="s">
        <v>345</v>
      </c>
      <c r="G43" s="5"/>
      <c r="H43" s="5"/>
      <c r="I43" s="5"/>
      <c r="J43" s="3" t="s">
        <v>191</v>
      </c>
      <c r="K43" s="3" t="s">
        <v>191</v>
      </c>
      <c r="L43" s="5"/>
    </row>
    <row r="44" spans="1:12" ht="17.25" customHeight="1">
      <c r="A44" s="3" t="s">
        <v>255</v>
      </c>
      <c r="B44" s="3" t="s">
        <v>17</v>
      </c>
      <c r="C44" s="3" t="s">
        <v>25</v>
      </c>
      <c r="D44" s="3" t="s">
        <v>258</v>
      </c>
      <c r="E44" s="3">
        <v>4</v>
      </c>
      <c r="F44" s="7" t="s">
        <v>345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256</v>
      </c>
      <c r="B45" s="3" t="s">
        <v>17</v>
      </c>
      <c r="C45" s="3" t="s">
        <v>25</v>
      </c>
      <c r="D45" s="3" t="s">
        <v>258</v>
      </c>
      <c r="E45" s="3">
        <v>4</v>
      </c>
      <c r="F45" s="7" t="s">
        <v>345</v>
      </c>
      <c r="G45" s="5"/>
      <c r="H45" s="5"/>
      <c r="I45" s="5"/>
      <c r="J45" s="3" t="s">
        <v>192</v>
      </c>
      <c r="K45" s="3" t="s">
        <v>192</v>
      </c>
      <c r="L45" s="5"/>
    </row>
    <row r="46" spans="1:12" ht="17.25" customHeight="1">
      <c r="A46" s="3" t="s">
        <v>257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345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243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345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244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345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245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345</v>
      </c>
      <c r="G49" s="5"/>
      <c r="H49" s="5"/>
      <c r="I49" s="5"/>
      <c r="J49" s="5" t="s">
        <v>193</v>
      </c>
      <c r="K49" s="5" t="s">
        <v>193</v>
      </c>
      <c r="L49" s="5"/>
    </row>
    <row r="50" spans="1:12">
      <c r="A50" s="3" t="s">
        <v>246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345</v>
      </c>
      <c r="G50" s="5"/>
      <c r="H50" s="5"/>
      <c r="I50" s="5"/>
      <c r="J50" s="5" t="s">
        <v>194</v>
      </c>
      <c r="K50" s="5" t="s">
        <v>194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345</v>
      </c>
      <c r="G51" s="5"/>
      <c r="H51" s="5"/>
      <c r="I51" s="5"/>
      <c r="J51" s="5" t="s">
        <v>195</v>
      </c>
      <c r="K51" s="5" t="s">
        <v>195</v>
      </c>
      <c r="L51" s="5"/>
    </row>
    <row r="52" spans="1:12">
      <c r="A52" s="3" t="s">
        <v>247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345</v>
      </c>
      <c r="G52" s="5"/>
      <c r="H52" s="5"/>
      <c r="I52" s="5"/>
      <c r="J52" s="5" t="s">
        <v>196</v>
      </c>
      <c r="K52" s="5" t="s">
        <v>196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345</v>
      </c>
      <c r="G53" s="5"/>
      <c r="H53" s="5"/>
      <c r="I53" s="5"/>
      <c r="J53" s="5" t="s">
        <v>197</v>
      </c>
      <c r="K53" s="5" t="s">
        <v>197</v>
      </c>
      <c r="L53" s="5"/>
    </row>
    <row r="54" spans="1:12">
      <c r="A54" s="3" t="s">
        <v>248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345</v>
      </c>
      <c r="G54" s="5"/>
      <c r="H54" s="5"/>
      <c r="I54" s="5"/>
      <c r="J54" s="5" t="s">
        <v>198</v>
      </c>
      <c r="K54" s="5" t="s">
        <v>198</v>
      </c>
      <c r="L54" s="5"/>
    </row>
    <row r="55" spans="1:12">
      <c r="A55" s="3" t="s">
        <v>249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345</v>
      </c>
      <c r="G55" s="5"/>
      <c r="H55" s="5"/>
      <c r="I55" s="5"/>
      <c r="J55" s="5" t="s">
        <v>200</v>
      </c>
      <c r="K55" s="5" t="s">
        <v>200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216</v>
      </c>
      <c r="E56" s="3">
        <v>4</v>
      </c>
      <c r="F56" s="7" t="s">
        <v>345</v>
      </c>
      <c r="G56" s="5"/>
      <c r="H56" s="5"/>
      <c r="I56" s="5"/>
      <c r="J56" s="5" t="s">
        <v>199</v>
      </c>
      <c r="K56" s="5" t="s">
        <v>199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216</v>
      </c>
      <c r="E57" s="3">
        <v>4</v>
      </c>
      <c r="F57" s="7" t="s">
        <v>345</v>
      </c>
      <c r="G57" s="5"/>
      <c r="H57" s="5"/>
      <c r="I57" s="5"/>
      <c r="J57" s="5" t="s">
        <v>201</v>
      </c>
      <c r="K57" s="5" t="s">
        <v>201</v>
      </c>
      <c r="L57" s="5"/>
    </row>
    <row r="58" spans="1:12">
      <c r="A58" s="3" t="s">
        <v>250</v>
      </c>
      <c r="B58" s="3" t="s">
        <v>17</v>
      </c>
      <c r="C58" s="3" t="s">
        <v>25</v>
      </c>
      <c r="D58" s="3" t="s">
        <v>216</v>
      </c>
      <c r="E58" s="3">
        <v>4</v>
      </c>
      <c r="F58" s="7" t="s">
        <v>345</v>
      </c>
      <c r="G58" s="5"/>
      <c r="H58" s="5"/>
      <c r="I58" s="5"/>
      <c r="J58" s="5" t="s">
        <v>202</v>
      </c>
      <c r="K58" s="5" t="s">
        <v>202</v>
      </c>
      <c r="L58" s="5"/>
    </row>
    <row r="59" spans="1:12">
      <c r="A59" s="3" t="s">
        <v>251</v>
      </c>
      <c r="B59" s="3" t="s">
        <v>17</v>
      </c>
      <c r="C59" s="3" t="s">
        <v>25</v>
      </c>
      <c r="D59" s="3" t="s">
        <v>216</v>
      </c>
      <c r="E59" s="3">
        <v>4</v>
      </c>
      <c r="F59" s="7" t="s">
        <v>345</v>
      </c>
      <c r="G59" s="5"/>
      <c r="H59" s="5"/>
      <c r="I59" s="5"/>
      <c r="J59" s="5" t="s">
        <v>203</v>
      </c>
      <c r="K59" s="5" t="s">
        <v>203</v>
      </c>
      <c r="L59" s="5"/>
    </row>
    <row r="60" spans="1:12">
      <c r="A60" s="3" t="s">
        <v>252</v>
      </c>
      <c r="B60" s="3" t="s">
        <v>17</v>
      </c>
      <c r="C60" s="3" t="s">
        <v>25</v>
      </c>
      <c r="D60" s="3" t="s">
        <v>216</v>
      </c>
      <c r="E60" s="3">
        <v>4</v>
      </c>
      <c r="F60" s="7" t="s">
        <v>345</v>
      </c>
      <c r="G60" s="5"/>
      <c r="H60" s="5"/>
      <c r="I60" s="5"/>
      <c r="J60" s="3"/>
      <c r="K60" s="3"/>
      <c r="L60" s="5"/>
    </row>
    <row r="61" spans="1:12">
      <c r="A61" s="3" t="s">
        <v>253</v>
      </c>
      <c r="B61" s="3" t="s">
        <v>17</v>
      </c>
      <c r="C61" s="3" t="s">
        <v>25</v>
      </c>
      <c r="D61" s="3" t="s">
        <v>216</v>
      </c>
      <c r="E61" s="3">
        <v>4</v>
      </c>
      <c r="F61" s="7" t="s">
        <v>345</v>
      </c>
      <c r="G61" s="5"/>
      <c r="H61" s="5"/>
      <c r="I61" s="5"/>
      <c r="J61" s="3"/>
      <c r="K61" s="3"/>
      <c r="L61" s="5"/>
    </row>
    <row r="62" spans="1:12">
      <c r="A62" s="3" t="s">
        <v>259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342</v>
      </c>
      <c r="G62" s="5"/>
      <c r="H62" s="5"/>
      <c r="I62" s="5"/>
      <c r="L62" s="5"/>
    </row>
    <row r="63" spans="1:12">
      <c r="A63" s="3" t="s">
        <v>260</v>
      </c>
      <c r="B63" s="3" t="s">
        <v>17</v>
      </c>
      <c r="C63" s="3" t="s">
        <v>26</v>
      </c>
      <c r="D63" s="3" t="s">
        <v>240</v>
      </c>
      <c r="E63" s="3">
        <v>4</v>
      </c>
      <c r="F63" s="7" t="s">
        <v>342</v>
      </c>
      <c r="G63" s="5"/>
      <c r="H63" s="5"/>
      <c r="I63" s="5"/>
      <c r="J63" s="3"/>
      <c r="K63" s="3"/>
      <c r="L63" s="5"/>
    </row>
    <row r="64" spans="1:12">
      <c r="A64" s="3" t="s">
        <v>261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342</v>
      </c>
      <c r="G64" s="5"/>
      <c r="H64" s="5"/>
      <c r="I64" s="5"/>
      <c r="L64" s="5"/>
    </row>
    <row r="65" spans="1:12">
      <c r="A65" s="3" t="s">
        <v>262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342</v>
      </c>
      <c r="G65" s="5"/>
      <c r="H65" s="5"/>
      <c r="I65" s="5"/>
      <c r="J65" s="3"/>
      <c r="K65" s="3"/>
      <c r="L65" s="5"/>
    </row>
    <row r="66" spans="1:12">
      <c r="A66" s="3" t="s">
        <v>263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345</v>
      </c>
      <c r="G66" s="5"/>
      <c r="H66" s="5"/>
      <c r="I66" s="5"/>
      <c r="J66" s="3"/>
      <c r="K66" s="3"/>
      <c r="L66" s="5"/>
    </row>
    <row r="67" spans="1:12">
      <c r="A67" s="3" t="s">
        <v>264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345</v>
      </c>
      <c r="G67" s="5"/>
      <c r="H67" s="5"/>
      <c r="I67" s="5"/>
      <c r="J67" s="3"/>
      <c r="K67" s="3"/>
      <c r="L67" s="5"/>
    </row>
    <row r="68" spans="1:12">
      <c r="A68" s="3" t="s">
        <v>265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345</v>
      </c>
      <c r="G68" s="5"/>
      <c r="H68" s="5"/>
      <c r="I68" s="5"/>
      <c r="J68" s="3"/>
      <c r="K68" s="3"/>
      <c r="L68" s="5"/>
    </row>
    <row r="69" spans="1:12">
      <c r="A69" s="3" t="s">
        <v>266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345</v>
      </c>
      <c r="G69" s="5"/>
      <c r="H69" s="5"/>
      <c r="I69" s="5"/>
      <c r="L69" s="5"/>
    </row>
    <row r="70" spans="1:12">
      <c r="A70" s="3" t="s">
        <v>267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345</v>
      </c>
      <c r="G70" s="5"/>
      <c r="H70" s="5"/>
      <c r="I70" s="5"/>
      <c r="L70" s="5"/>
    </row>
    <row r="71" spans="1:12">
      <c r="A71" s="3" t="s">
        <v>268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345</v>
      </c>
      <c r="G71" s="5"/>
      <c r="H71" s="5"/>
      <c r="I71" s="5"/>
      <c r="L71" s="5"/>
    </row>
    <row r="72" spans="1:12">
      <c r="A72" s="3" t="s">
        <v>269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345</v>
      </c>
      <c r="G72" s="5"/>
      <c r="H72" s="5"/>
      <c r="I72" s="5"/>
      <c r="L72" s="5"/>
    </row>
    <row r="73" spans="1:12">
      <c r="A73" s="3" t="s">
        <v>270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345</v>
      </c>
      <c r="G73" s="5"/>
      <c r="H73" s="5"/>
      <c r="I73" s="5"/>
      <c r="L73" s="5"/>
    </row>
    <row r="74" spans="1:12">
      <c r="A74" s="3" t="s">
        <v>271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345</v>
      </c>
      <c r="G74" s="5"/>
      <c r="H74" s="5"/>
      <c r="I74" s="5"/>
      <c r="L74" s="5"/>
    </row>
    <row r="75" spans="1:12">
      <c r="A75" s="3" t="s">
        <v>272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345</v>
      </c>
      <c r="G75" s="5"/>
      <c r="H75" s="5"/>
      <c r="I75" s="5"/>
      <c r="L75" s="5"/>
    </row>
    <row r="76" spans="1:12">
      <c r="A76" s="3" t="s">
        <v>273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345</v>
      </c>
      <c r="G76" s="5"/>
      <c r="H76" s="5"/>
      <c r="I76" s="5"/>
      <c r="L76" s="5"/>
    </row>
    <row r="77" spans="1:12">
      <c r="A77" s="3" t="s">
        <v>274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345</v>
      </c>
      <c r="G77" s="5"/>
      <c r="H77" s="5"/>
      <c r="I77" s="5"/>
      <c r="L77" s="5"/>
    </row>
    <row r="78" spans="1:12">
      <c r="A78" s="3" t="s">
        <v>275</v>
      </c>
      <c r="B78" s="3" t="s">
        <v>17</v>
      </c>
      <c r="C78" s="3" t="s">
        <v>26</v>
      </c>
      <c r="D78" s="3" t="s">
        <v>278</v>
      </c>
      <c r="E78" s="3">
        <v>4</v>
      </c>
      <c r="F78" s="7" t="s">
        <v>345</v>
      </c>
      <c r="G78" s="5"/>
      <c r="H78" s="5"/>
      <c r="I78" s="5"/>
      <c r="L78" s="5"/>
    </row>
    <row r="79" spans="1:12">
      <c r="A79" s="3" t="s">
        <v>276</v>
      </c>
      <c r="B79" s="3" t="s">
        <v>17</v>
      </c>
      <c r="C79" s="3" t="s">
        <v>26</v>
      </c>
      <c r="D79" s="3" t="s">
        <v>216</v>
      </c>
      <c r="E79" s="3">
        <v>4</v>
      </c>
      <c r="F79" s="7" t="s">
        <v>345</v>
      </c>
      <c r="G79" s="5"/>
      <c r="H79" s="5"/>
      <c r="I79" s="5"/>
      <c r="L79" s="5"/>
    </row>
    <row r="80" spans="1:12">
      <c r="A80" s="3" t="s">
        <v>277</v>
      </c>
      <c r="B80" s="3" t="s">
        <v>17</v>
      </c>
      <c r="C80" s="3" t="s">
        <v>26</v>
      </c>
      <c r="D80" s="3" t="s">
        <v>216</v>
      </c>
      <c r="E80" s="3">
        <v>4</v>
      </c>
      <c r="F80" s="7" t="s">
        <v>345</v>
      </c>
      <c r="G80" s="5"/>
      <c r="H80" s="5"/>
      <c r="I80" s="5"/>
      <c r="L80" s="5"/>
    </row>
    <row r="81" spans="1:12">
      <c r="A81" s="3" t="s">
        <v>279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356</v>
      </c>
      <c r="G81" s="5"/>
      <c r="H81" s="5"/>
      <c r="I81" s="5"/>
      <c r="L81" s="5"/>
    </row>
    <row r="82" spans="1:12">
      <c r="A82" s="3" t="s">
        <v>280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356</v>
      </c>
      <c r="G82" s="5"/>
      <c r="H82" s="5"/>
      <c r="I82" s="5"/>
      <c r="L82" s="5"/>
    </row>
    <row r="83" spans="1:12">
      <c r="A83" s="3" t="s">
        <v>281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356</v>
      </c>
      <c r="G83" s="5"/>
      <c r="H83" s="5"/>
      <c r="I83" s="5"/>
      <c r="L83" s="5"/>
    </row>
    <row r="84" spans="1:12">
      <c r="A84" s="3" t="s">
        <v>282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356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358</v>
      </c>
      <c r="G85" s="5"/>
      <c r="H85" s="5"/>
      <c r="I85" s="5"/>
      <c r="J85" s="5"/>
      <c r="K85" s="5"/>
      <c r="L85" s="5"/>
    </row>
    <row r="86" spans="1:12">
      <c r="A86" s="3" t="s">
        <v>283</v>
      </c>
      <c r="B86" s="3" t="s">
        <v>17</v>
      </c>
      <c r="C86" s="3" t="s">
        <v>8</v>
      </c>
      <c r="D86" s="3" t="s">
        <v>216</v>
      </c>
      <c r="E86" s="3">
        <v>3</v>
      </c>
      <c r="F86" s="7" t="s">
        <v>356</v>
      </c>
      <c r="G86" s="5"/>
      <c r="H86" s="5"/>
      <c r="I86" s="5"/>
      <c r="J86" s="5"/>
      <c r="K86" s="5"/>
      <c r="L86" s="5"/>
    </row>
    <row r="87" spans="1:12">
      <c r="A87" s="3" t="s">
        <v>284</v>
      </c>
      <c r="B87" s="3" t="s">
        <v>17</v>
      </c>
      <c r="C87" s="3" t="s">
        <v>8</v>
      </c>
      <c r="D87" s="3" t="s">
        <v>216</v>
      </c>
      <c r="E87" s="3">
        <v>2</v>
      </c>
      <c r="F87" s="7" t="s">
        <v>358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356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356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356</v>
      </c>
      <c r="G90" s="5"/>
      <c r="H90" s="5"/>
      <c r="I90" s="5"/>
      <c r="J90" s="5"/>
      <c r="K90" s="5"/>
      <c r="L90" s="5"/>
    </row>
    <row r="91" spans="1:12">
      <c r="A91" s="3" t="s">
        <v>285</v>
      </c>
      <c r="B91" s="3" t="s">
        <v>17</v>
      </c>
      <c r="C91" s="3" t="s">
        <v>28</v>
      </c>
      <c r="D91" s="3" t="s">
        <v>226</v>
      </c>
      <c r="E91" s="3">
        <v>3</v>
      </c>
      <c r="F91" s="7" t="s">
        <v>356</v>
      </c>
      <c r="G91" s="5"/>
      <c r="H91" s="5"/>
      <c r="I91" s="5"/>
      <c r="J91" s="5"/>
      <c r="K91" s="5"/>
      <c r="L91" s="5"/>
    </row>
    <row r="92" spans="1:12">
      <c r="A92" s="3" t="s">
        <v>286</v>
      </c>
      <c r="B92" s="3" t="s">
        <v>17</v>
      </c>
      <c r="C92" s="3" t="s">
        <v>28</v>
      </c>
      <c r="D92" s="3" t="s">
        <v>226</v>
      </c>
      <c r="E92" s="3">
        <v>3</v>
      </c>
      <c r="F92" s="7" t="s">
        <v>356</v>
      </c>
      <c r="G92" s="5"/>
      <c r="H92" s="5"/>
      <c r="I92" s="5"/>
      <c r="J92" s="5"/>
      <c r="K92" s="5"/>
      <c r="L92" s="5"/>
    </row>
    <row r="93" spans="1:12">
      <c r="A93" s="3" t="s">
        <v>287</v>
      </c>
      <c r="B93" s="3" t="s">
        <v>17</v>
      </c>
      <c r="C93" s="3" t="s">
        <v>28</v>
      </c>
      <c r="D93" s="3" t="s">
        <v>226</v>
      </c>
      <c r="E93" s="3">
        <v>3</v>
      </c>
      <c r="F93" s="7" t="s">
        <v>356</v>
      </c>
      <c r="G93" s="5"/>
      <c r="H93" s="5"/>
      <c r="I93" s="5"/>
      <c r="J93" s="5"/>
      <c r="K93" s="5"/>
      <c r="L93" s="5"/>
    </row>
    <row r="94" spans="1:12">
      <c r="A94" s="3" t="s">
        <v>288</v>
      </c>
      <c r="B94" s="3" t="s">
        <v>17</v>
      </c>
      <c r="C94" s="3" t="s">
        <v>28</v>
      </c>
      <c r="D94" s="3" t="s">
        <v>226</v>
      </c>
      <c r="E94" s="3">
        <v>3</v>
      </c>
      <c r="F94" s="7" t="s">
        <v>356</v>
      </c>
      <c r="G94" s="5"/>
      <c r="H94" s="5"/>
      <c r="I94" s="5"/>
      <c r="J94" s="5"/>
      <c r="K94" s="5"/>
      <c r="L94" s="5"/>
    </row>
    <row r="95" spans="1:12">
      <c r="A95" s="3" t="s">
        <v>289</v>
      </c>
      <c r="B95" s="3" t="s">
        <v>17</v>
      </c>
      <c r="C95" s="3" t="s">
        <v>28</v>
      </c>
      <c r="D95" s="3" t="s">
        <v>216</v>
      </c>
      <c r="E95" s="3">
        <v>3</v>
      </c>
      <c r="F95" s="7" t="s">
        <v>356</v>
      </c>
      <c r="G95" s="5"/>
      <c r="H95" s="5"/>
      <c r="I95" s="5"/>
      <c r="J95" s="5"/>
      <c r="K95" s="5"/>
      <c r="L95" s="5"/>
    </row>
    <row r="96" spans="1:12">
      <c r="A96" s="3" t="s">
        <v>290</v>
      </c>
      <c r="B96" s="3" t="s">
        <v>17</v>
      </c>
      <c r="C96" s="3" t="s">
        <v>28</v>
      </c>
      <c r="D96" s="3" t="s">
        <v>216</v>
      </c>
      <c r="E96" s="3">
        <v>3</v>
      </c>
      <c r="F96" s="7" t="s">
        <v>356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345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345</v>
      </c>
      <c r="G98" s="5"/>
      <c r="H98" s="5"/>
      <c r="I98" s="5"/>
      <c r="J98" s="5"/>
      <c r="K98" s="5"/>
      <c r="L98" s="5"/>
    </row>
    <row r="99" spans="1:12">
      <c r="A99" s="3" t="s">
        <v>291</v>
      </c>
      <c r="B99" s="3" t="s">
        <v>17</v>
      </c>
      <c r="C99" s="3" t="s">
        <v>10</v>
      </c>
      <c r="D99" s="3" t="s">
        <v>226</v>
      </c>
      <c r="E99" s="3">
        <v>4</v>
      </c>
      <c r="F99" s="7" t="s">
        <v>345</v>
      </c>
      <c r="G99" s="5"/>
      <c r="H99" s="5"/>
      <c r="I99" s="5"/>
      <c r="J99" s="5"/>
      <c r="K99" s="5"/>
      <c r="L99" s="5"/>
    </row>
    <row r="100" spans="1:12">
      <c r="A100" s="3" t="s">
        <v>292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345</v>
      </c>
      <c r="G100" s="5"/>
      <c r="H100" s="5"/>
      <c r="I100" s="5"/>
      <c r="J100" s="5"/>
      <c r="K100" s="5"/>
      <c r="L100" s="5"/>
    </row>
    <row r="101" spans="1:12">
      <c r="A101" s="3" t="s">
        <v>293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345</v>
      </c>
      <c r="G101" s="5"/>
      <c r="H101" s="5"/>
      <c r="I101" s="5"/>
      <c r="J101" s="5"/>
      <c r="K101" s="5"/>
      <c r="L101" s="5"/>
    </row>
    <row r="102" spans="1:12">
      <c r="A102" s="3" t="s">
        <v>294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345</v>
      </c>
      <c r="G102" s="5"/>
      <c r="H102" s="5"/>
      <c r="I102" s="5"/>
      <c r="J102" s="5"/>
      <c r="K102" s="5"/>
      <c r="L102" s="5"/>
    </row>
    <row r="103" spans="1:12">
      <c r="A103" s="3" t="s">
        <v>295</v>
      </c>
      <c r="B103" s="3" t="s">
        <v>17</v>
      </c>
      <c r="C103" s="3" t="s">
        <v>10</v>
      </c>
      <c r="D103" s="3" t="s">
        <v>216</v>
      </c>
      <c r="E103" s="3">
        <v>4</v>
      </c>
      <c r="F103" s="7" t="s">
        <v>345</v>
      </c>
      <c r="G103" s="5"/>
      <c r="H103" s="5"/>
      <c r="I103" s="5"/>
      <c r="J103" s="5"/>
      <c r="K103" s="5"/>
      <c r="L103" s="5"/>
    </row>
    <row r="104" spans="1:12">
      <c r="A104" s="3" t="s">
        <v>296</v>
      </c>
      <c r="B104" s="3" t="s">
        <v>17</v>
      </c>
      <c r="C104" s="3" t="s">
        <v>10</v>
      </c>
      <c r="D104" s="3" t="s">
        <v>216</v>
      </c>
      <c r="E104" s="3">
        <v>4</v>
      </c>
      <c r="F104" s="7" t="s">
        <v>345</v>
      </c>
      <c r="G104" s="5"/>
      <c r="H104" s="5"/>
      <c r="I104" s="5"/>
      <c r="J104" s="5"/>
      <c r="K104" s="5"/>
      <c r="L104" s="5"/>
    </row>
    <row r="105" spans="1:12">
      <c r="A105" s="3" t="s">
        <v>297</v>
      </c>
      <c r="B105" s="3" t="s">
        <v>17</v>
      </c>
      <c r="C105" s="3" t="s">
        <v>10</v>
      </c>
      <c r="D105" s="3" t="s">
        <v>216</v>
      </c>
      <c r="E105" s="3">
        <v>4</v>
      </c>
      <c r="F105" s="7" t="s">
        <v>345</v>
      </c>
      <c r="G105" s="5"/>
      <c r="H105" s="5"/>
      <c r="I105" s="5"/>
      <c r="J105" s="5"/>
      <c r="K105" s="5"/>
      <c r="L105" s="5"/>
    </row>
    <row r="106" spans="1:12">
      <c r="A106" s="3" t="s">
        <v>298</v>
      </c>
      <c r="B106" s="3" t="s">
        <v>17</v>
      </c>
      <c r="C106" s="3" t="s">
        <v>10</v>
      </c>
      <c r="D106" s="3" t="s">
        <v>216</v>
      </c>
      <c r="E106" s="3">
        <v>2</v>
      </c>
      <c r="F106" s="7" t="s">
        <v>358</v>
      </c>
      <c r="G106" s="5"/>
      <c r="H106" s="5"/>
      <c r="I106" s="5"/>
      <c r="J106" s="5"/>
      <c r="K106" s="5"/>
      <c r="L106" s="5"/>
    </row>
    <row r="107" spans="1:12">
      <c r="A107" s="3" t="s">
        <v>299</v>
      </c>
      <c r="B107" s="3" t="s">
        <v>17</v>
      </c>
      <c r="C107" s="3" t="s">
        <v>10</v>
      </c>
      <c r="D107" s="3" t="s">
        <v>216</v>
      </c>
      <c r="E107" s="3">
        <v>4</v>
      </c>
      <c r="F107" s="7" t="s">
        <v>345</v>
      </c>
      <c r="G107" s="5"/>
      <c r="H107" s="5"/>
      <c r="I107" s="5"/>
      <c r="J107" s="5"/>
      <c r="K107" s="5"/>
      <c r="L107" s="5"/>
    </row>
    <row r="108" spans="1:12">
      <c r="A108" s="3" t="s">
        <v>300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345</v>
      </c>
      <c r="G108" s="5"/>
      <c r="H108" s="5"/>
      <c r="I108" s="5"/>
      <c r="J108" s="5"/>
      <c r="K108" s="5"/>
      <c r="L108" s="5"/>
    </row>
    <row r="109" spans="1:12">
      <c r="A109" s="3" t="s">
        <v>301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345</v>
      </c>
      <c r="G109" s="5"/>
      <c r="H109" s="5"/>
      <c r="I109" s="5"/>
      <c r="J109" s="5"/>
      <c r="K109" s="5"/>
      <c r="L109" s="5"/>
    </row>
    <row r="110" spans="1:12">
      <c r="A110" s="3" t="s">
        <v>302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345</v>
      </c>
      <c r="G110" s="5"/>
      <c r="H110" s="5"/>
      <c r="I110" s="5"/>
      <c r="J110" s="5"/>
      <c r="K110" s="5"/>
      <c r="L110" s="5"/>
    </row>
    <row r="111" spans="1:12">
      <c r="A111" s="3" t="s">
        <v>303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345</v>
      </c>
      <c r="G111" s="5"/>
      <c r="H111" s="5"/>
      <c r="I111" s="5"/>
      <c r="J111" s="5"/>
      <c r="K111" s="5"/>
      <c r="L111" s="5"/>
    </row>
    <row r="112" spans="1:12">
      <c r="A112" s="3" t="s">
        <v>304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345</v>
      </c>
      <c r="G112" s="5"/>
      <c r="H112" s="5"/>
      <c r="I112" s="5"/>
      <c r="J112" s="5"/>
      <c r="K112" s="5"/>
      <c r="L112" s="5"/>
    </row>
    <row r="113" spans="1:12">
      <c r="A113" s="3" t="s">
        <v>305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345</v>
      </c>
      <c r="G113" s="5"/>
      <c r="H113" s="5"/>
      <c r="I113" s="5"/>
      <c r="J113" s="5"/>
      <c r="K113" s="5"/>
      <c r="L113" s="5"/>
    </row>
    <row r="114" spans="1:12">
      <c r="A114" s="3" t="s">
        <v>306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345</v>
      </c>
      <c r="G114" s="5"/>
      <c r="H114" s="5"/>
      <c r="I114" s="5"/>
      <c r="J114" s="5"/>
      <c r="K114" s="5"/>
      <c r="L114" s="5"/>
    </row>
    <row r="115" spans="1:12">
      <c r="A115" s="3" t="s">
        <v>307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345</v>
      </c>
      <c r="G115" s="5"/>
      <c r="H115" s="5"/>
      <c r="I115" s="5"/>
      <c r="J115" s="5"/>
      <c r="K115" s="5"/>
      <c r="L115" s="5"/>
    </row>
    <row r="116" spans="1:12">
      <c r="A116" s="3" t="s">
        <v>308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345</v>
      </c>
      <c r="G116" s="5"/>
      <c r="H116" s="5"/>
      <c r="I116" s="5"/>
      <c r="J116" s="5"/>
      <c r="K116" s="5"/>
      <c r="L116" s="5"/>
    </row>
    <row r="117" spans="1:12">
      <c r="A117" s="3" t="s">
        <v>309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345</v>
      </c>
      <c r="G117" s="5"/>
      <c r="H117" s="5"/>
      <c r="I117" s="5"/>
      <c r="J117" s="5"/>
      <c r="K117" s="5"/>
      <c r="L117" s="5"/>
    </row>
    <row r="118" spans="1:12">
      <c r="A118" s="3" t="s">
        <v>310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345</v>
      </c>
      <c r="G118" s="5"/>
      <c r="H118" s="5"/>
      <c r="I118" s="5"/>
      <c r="J118" s="5"/>
      <c r="K118" s="5"/>
      <c r="L118" s="5"/>
    </row>
    <row r="119" spans="1:12">
      <c r="A119" s="3" t="s">
        <v>311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345</v>
      </c>
      <c r="G119" s="5"/>
      <c r="H119" s="5"/>
      <c r="I119" s="5"/>
      <c r="J119" s="5"/>
      <c r="K119" s="5"/>
      <c r="L119" s="5"/>
    </row>
    <row r="120" spans="1:12">
      <c r="A120" s="3" t="s">
        <v>312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345</v>
      </c>
      <c r="G120" s="5"/>
      <c r="H120" s="5"/>
      <c r="I120" s="5"/>
      <c r="J120" s="5"/>
      <c r="K120" s="5"/>
      <c r="L120" s="5"/>
    </row>
    <row r="121" spans="1:12">
      <c r="A121" s="3" t="s">
        <v>313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345</v>
      </c>
      <c r="G121" s="5"/>
      <c r="H121" s="5"/>
      <c r="I121" s="5"/>
      <c r="J121" s="5"/>
      <c r="K121" s="5"/>
      <c r="L121" s="5"/>
    </row>
    <row r="122" spans="1:12">
      <c r="A122" s="3" t="s">
        <v>314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345</v>
      </c>
      <c r="G122" s="5"/>
      <c r="H122" s="5"/>
      <c r="I122" s="5"/>
      <c r="J122" s="5"/>
      <c r="K122" s="5"/>
      <c r="L122" s="5"/>
    </row>
    <row r="123" spans="1:12">
      <c r="A123" s="3" t="s">
        <v>315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345</v>
      </c>
      <c r="G123" s="5"/>
      <c r="H123" s="5"/>
      <c r="I123" s="5"/>
      <c r="J123" s="5"/>
      <c r="K123" s="5"/>
      <c r="L123" s="5"/>
    </row>
    <row r="124" spans="1:12">
      <c r="A124" s="3" t="s">
        <v>316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345</v>
      </c>
      <c r="G124" s="5"/>
      <c r="H124" s="5"/>
      <c r="I124" s="5"/>
      <c r="J124" s="5"/>
      <c r="K124" s="5"/>
      <c r="L124" s="5"/>
    </row>
    <row r="125" spans="1:12">
      <c r="A125" s="3" t="s">
        <v>317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345</v>
      </c>
      <c r="G125" s="5"/>
      <c r="H125" s="5"/>
      <c r="I125" s="5"/>
      <c r="J125" s="5"/>
      <c r="K125" s="5"/>
      <c r="L125" s="5"/>
    </row>
    <row r="126" spans="1:12">
      <c r="A126" s="3" t="s">
        <v>319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345</v>
      </c>
      <c r="G126" s="5"/>
      <c r="H126" s="5"/>
      <c r="I126" s="5"/>
      <c r="J126" s="5"/>
      <c r="K126" s="5"/>
      <c r="L126" s="5"/>
    </row>
    <row r="127" spans="1:12">
      <c r="A127" s="3" t="s">
        <v>318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345</v>
      </c>
      <c r="G127" s="5"/>
      <c r="H127" s="5"/>
      <c r="I127" s="5"/>
      <c r="J127" s="5"/>
      <c r="K127" s="5"/>
      <c r="L127" s="5"/>
    </row>
    <row r="128" spans="1:12">
      <c r="A128" s="3" t="s">
        <v>320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345</v>
      </c>
      <c r="G128" s="5"/>
      <c r="H128" s="5"/>
      <c r="I128" s="5"/>
      <c r="J128" s="5"/>
      <c r="K128" s="5"/>
      <c r="L128" s="5"/>
    </row>
    <row r="129" spans="1:12">
      <c r="A129" s="3" t="s">
        <v>321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345</v>
      </c>
      <c r="G129" s="5"/>
      <c r="H129" s="5"/>
      <c r="I129" s="5"/>
      <c r="J129" s="5"/>
      <c r="K129" s="5"/>
      <c r="L129" s="5"/>
    </row>
    <row r="130" spans="1:12">
      <c r="A130" s="3" t="s">
        <v>322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345</v>
      </c>
      <c r="G130" s="5"/>
      <c r="H130" s="5"/>
      <c r="I130" s="5"/>
      <c r="J130" s="5"/>
      <c r="K130" s="5"/>
      <c r="L130" s="5"/>
    </row>
    <row r="131" spans="1:12">
      <c r="A131" s="3" t="s">
        <v>326</v>
      </c>
      <c r="B131" s="3" t="s">
        <v>17</v>
      </c>
      <c r="C131" s="3" t="s">
        <v>30</v>
      </c>
      <c r="D131" s="3" t="s">
        <v>216</v>
      </c>
      <c r="E131" s="3">
        <v>4</v>
      </c>
      <c r="F131" s="7" t="s">
        <v>345</v>
      </c>
      <c r="G131" s="5"/>
      <c r="H131" s="5"/>
      <c r="I131" s="5"/>
      <c r="J131" s="5"/>
      <c r="K131" s="5"/>
      <c r="L131" s="5"/>
    </row>
    <row r="132" spans="1:12">
      <c r="A132" s="3" t="s">
        <v>327</v>
      </c>
      <c r="B132" s="3" t="s">
        <v>17</v>
      </c>
      <c r="C132" s="3" t="s">
        <v>30</v>
      </c>
      <c r="D132" s="3" t="s">
        <v>216</v>
      </c>
      <c r="E132" s="3">
        <v>4</v>
      </c>
      <c r="F132" s="7" t="s">
        <v>345</v>
      </c>
      <c r="G132" s="5"/>
      <c r="H132" s="5"/>
      <c r="I132" s="5"/>
      <c r="J132" s="5"/>
      <c r="K132" s="5"/>
      <c r="L132" s="5"/>
    </row>
    <row r="133" spans="1:12">
      <c r="A133" s="3" t="s">
        <v>328</v>
      </c>
      <c r="B133" s="3" t="s">
        <v>17</v>
      </c>
      <c r="C133" s="3" t="s">
        <v>30</v>
      </c>
      <c r="D133" s="3" t="s">
        <v>216</v>
      </c>
      <c r="E133" s="3">
        <v>4</v>
      </c>
      <c r="F133" s="7" t="s">
        <v>345</v>
      </c>
      <c r="G133" s="5"/>
      <c r="H133" s="5"/>
      <c r="I133" s="5"/>
      <c r="J133" s="5"/>
      <c r="K133" s="5"/>
      <c r="L133" s="5"/>
    </row>
    <row r="134" spans="1:12">
      <c r="A134" s="3" t="s">
        <v>329</v>
      </c>
      <c r="B134" s="3" t="s">
        <v>17</v>
      </c>
      <c r="C134" s="3" t="s">
        <v>30</v>
      </c>
      <c r="D134" s="3" t="s">
        <v>216</v>
      </c>
      <c r="E134" s="3">
        <v>4</v>
      </c>
      <c r="F134" s="7" t="s">
        <v>345</v>
      </c>
      <c r="G134" s="5"/>
      <c r="H134" s="5"/>
      <c r="I134" s="5"/>
      <c r="J134" s="5"/>
      <c r="K134" s="5"/>
      <c r="L134" s="5"/>
    </row>
    <row r="135" spans="1:12">
      <c r="A135" s="3" t="s">
        <v>330</v>
      </c>
      <c r="B135" s="3" t="s">
        <v>17</v>
      </c>
      <c r="C135" s="3" t="s">
        <v>30</v>
      </c>
      <c r="D135" s="3" t="s">
        <v>216</v>
      </c>
      <c r="E135" s="3">
        <v>4</v>
      </c>
      <c r="F135" s="7" t="s">
        <v>345</v>
      </c>
      <c r="G135" s="5"/>
      <c r="H135" s="5"/>
      <c r="I135" s="5"/>
      <c r="J135" s="5"/>
      <c r="K135" s="5"/>
      <c r="L135" s="5"/>
    </row>
    <row r="136" spans="1:12">
      <c r="A136" s="3" t="s">
        <v>331</v>
      </c>
      <c r="B136" s="3" t="s">
        <v>17</v>
      </c>
      <c r="C136" s="3" t="s">
        <v>30</v>
      </c>
      <c r="D136" s="3" t="s">
        <v>216</v>
      </c>
      <c r="E136" s="3">
        <v>4</v>
      </c>
      <c r="F136" s="7" t="s">
        <v>345</v>
      </c>
      <c r="G136" s="5"/>
      <c r="H136" s="5"/>
      <c r="I136" s="5"/>
      <c r="J136" s="5"/>
      <c r="K136" s="5"/>
      <c r="L136" s="5"/>
    </row>
    <row r="137" spans="1:12">
      <c r="A137" s="3" t="s">
        <v>332</v>
      </c>
      <c r="B137" s="3" t="s">
        <v>17</v>
      </c>
      <c r="C137" s="3" t="s">
        <v>30</v>
      </c>
      <c r="D137" s="3" t="s">
        <v>216</v>
      </c>
      <c r="E137" s="3">
        <v>4</v>
      </c>
      <c r="F137" s="7" t="s">
        <v>345</v>
      </c>
      <c r="G137" s="5"/>
      <c r="H137" s="5"/>
      <c r="I137" s="5"/>
      <c r="J137" s="5"/>
      <c r="K137" s="5"/>
      <c r="L137" s="5"/>
    </row>
    <row r="138" spans="1:12">
      <c r="A138" s="3" t="s">
        <v>333</v>
      </c>
      <c r="B138" s="3" t="s">
        <v>17</v>
      </c>
      <c r="C138" s="3" t="s">
        <v>30</v>
      </c>
      <c r="D138" s="3" t="s">
        <v>216</v>
      </c>
      <c r="E138" s="3">
        <v>4</v>
      </c>
      <c r="F138" s="7" t="s">
        <v>345</v>
      </c>
      <c r="G138" s="5"/>
      <c r="H138" s="5"/>
      <c r="I138" s="5"/>
      <c r="J138" s="5"/>
      <c r="K138" s="5"/>
      <c r="L138" s="5"/>
    </row>
    <row r="139" spans="1:12">
      <c r="A139" s="3" t="s">
        <v>324</v>
      </c>
      <c r="B139" s="3" t="s">
        <v>17</v>
      </c>
      <c r="C139" s="3" t="s">
        <v>324</v>
      </c>
      <c r="D139" s="3" t="s">
        <v>258</v>
      </c>
      <c r="E139" s="3">
        <v>4</v>
      </c>
      <c r="F139" s="7" t="s">
        <v>345</v>
      </c>
      <c r="G139" s="5"/>
      <c r="H139" s="5"/>
      <c r="I139" s="5"/>
      <c r="J139" s="5"/>
      <c r="K139" s="5"/>
      <c r="L139" s="5"/>
    </row>
    <row r="140" spans="1:12">
      <c r="A140" s="3" t="s">
        <v>323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345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356</v>
      </c>
      <c r="G141" s="5"/>
      <c r="H141" s="5"/>
      <c r="I141" s="5"/>
      <c r="J141" s="5"/>
      <c r="K141" s="5"/>
      <c r="L141" s="5"/>
    </row>
    <row r="142" spans="1:12">
      <c r="A142" s="3" t="s">
        <v>334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356</v>
      </c>
      <c r="G142" s="5"/>
      <c r="H142" s="5"/>
      <c r="I142" s="5"/>
      <c r="J142" s="5"/>
      <c r="K142" s="5"/>
      <c r="L142" s="5"/>
    </row>
    <row r="143" spans="1:12">
      <c r="A143" s="3" t="s">
        <v>335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356</v>
      </c>
      <c r="G143" s="5"/>
      <c r="H143" s="5"/>
      <c r="I143" s="5"/>
      <c r="J143" s="5"/>
      <c r="K143" s="5"/>
      <c r="L143" s="5"/>
    </row>
    <row r="144" spans="1:12">
      <c r="A144" s="3" t="s">
        <v>336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356</v>
      </c>
      <c r="G144" s="5"/>
      <c r="H144" s="5"/>
      <c r="I144" s="5"/>
      <c r="J144" s="5"/>
      <c r="K144" s="5"/>
      <c r="L144" s="5"/>
    </row>
    <row r="145" spans="1:12">
      <c r="A145" s="3" t="s">
        <v>337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356</v>
      </c>
      <c r="G145" s="5"/>
      <c r="H145" s="5"/>
      <c r="I145" s="5"/>
      <c r="J145" s="5"/>
      <c r="K145" s="5"/>
      <c r="L145" s="5"/>
    </row>
    <row r="146" spans="1:12">
      <c r="A146" s="3" t="s">
        <v>338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356</v>
      </c>
      <c r="G146" s="5"/>
      <c r="H146" s="5"/>
      <c r="I146" s="5"/>
      <c r="J146" s="5"/>
      <c r="K146" s="5"/>
      <c r="L146" s="5"/>
    </row>
    <row r="147" spans="1:12">
      <c r="A147" s="3" t="s">
        <v>339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356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356</v>
      </c>
      <c r="G148" s="5"/>
      <c r="H148" s="5"/>
      <c r="I148" s="5"/>
      <c r="J148" s="5"/>
      <c r="K148" s="5"/>
      <c r="L148" s="5"/>
    </row>
    <row r="149" spans="1:12">
      <c r="A149" s="3" t="s">
        <v>340</v>
      </c>
      <c r="B149" s="3" t="s">
        <v>17</v>
      </c>
      <c r="C149" s="3" t="s">
        <v>32</v>
      </c>
      <c r="D149" s="3" t="s">
        <v>278</v>
      </c>
      <c r="E149" s="3">
        <v>3</v>
      </c>
      <c r="F149" s="7" t="s">
        <v>356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216</v>
      </c>
      <c r="E150" s="3">
        <v>3</v>
      </c>
      <c r="F150" s="7" t="s">
        <v>356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3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71" customWidth="1"/>
    <col min="2" max="2" width="7.5" style="71" customWidth="1"/>
    <col min="3" max="3" width="0.875" style="71" customWidth="1"/>
    <col min="4" max="4" width="4" style="71" customWidth="1"/>
    <col min="5" max="5" width="5.875" style="71" customWidth="1"/>
    <col min="6" max="6" width="5.625" style="71" customWidth="1"/>
    <col min="7" max="7" width="11.25" style="71" customWidth="1"/>
    <col min="8" max="8" width="9.125" style="71" customWidth="1"/>
    <col min="9" max="9" width="12.75" style="71" customWidth="1"/>
    <col min="10" max="10" width="1.375" style="71" customWidth="1"/>
    <col min="11" max="11" width="1" style="71" customWidth="1"/>
    <col min="12" max="12" width="10.75" style="71" customWidth="1"/>
    <col min="13" max="13" width="10.125" style="71" customWidth="1"/>
    <col min="14" max="14" width="16.625" style="71" customWidth="1"/>
    <col min="15" max="15" width="8.375" style="71" customWidth="1"/>
    <col min="16" max="16" width="9.5" style="71" customWidth="1"/>
    <col min="17" max="17" width="1.25" style="71" customWidth="1"/>
    <col min="18" max="18" width="0.5" style="71" customWidth="1"/>
    <col min="19" max="26" width="0" style="71" hidden="1" customWidth="1"/>
    <col min="27" max="16384" width="11" style="71" hidden="1"/>
  </cols>
  <sheetData>
    <row r="1" spans="2:26" ht="13.5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2:26" ht="39" thickBot="1">
      <c r="B2" s="531" t="s">
        <v>377</v>
      </c>
      <c r="C2" s="532"/>
      <c r="D2" s="532"/>
      <c r="E2" s="532"/>
      <c r="F2" s="532"/>
      <c r="G2" s="532"/>
      <c r="H2" s="532"/>
      <c r="I2" s="532"/>
      <c r="J2" s="532"/>
      <c r="K2" s="532"/>
      <c r="L2" s="532"/>
      <c r="M2" s="532"/>
      <c r="N2" s="532"/>
      <c r="O2" s="532"/>
      <c r="P2" s="532"/>
      <c r="Q2" s="532"/>
      <c r="R2" s="70"/>
      <c r="S2" s="70"/>
      <c r="T2" s="70"/>
      <c r="U2" s="70"/>
      <c r="V2" s="70"/>
      <c r="W2" s="70"/>
      <c r="X2" s="70"/>
      <c r="Y2" s="70"/>
      <c r="Z2" s="70"/>
    </row>
    <row r="3" spans="2:26" ht="24" customHeight="1" thickBot="1">
      <c r="B3" s="72" t="s">
        <v>378</v>
      </c>
      <c r="C3" s="533" t="s">
        <v>379</v>
      </c>
      <c r="D3" s="534"/>
      <c r="E3" s="534"/>
      <c r="F3" s="534"/>
      <c r="G3" s="534"/>
      <c r="H3" s="534"/>
      <c r="I3" s="534"/>
      <c r="J3" s="535"/>
      <c r="K3" s="536" t="s">
        <v>380</v>
      </c>
      <c r="L3" s="537"/>
      <c r="M3" s="537"/>
      <c r="N3" s="537"/>
      <c r="O3" s="537"/>
      <c r="P3" s="537"/>
      <c r="Q3" s="538"/>
      <c r="R3" s="70"/>
      <c r="S3" s="70"/>
      <c r="T3" s="70"/>
      <c r="U3" s="70"/>
      <c r="V3" s="70"/>
      <c r="W3" s="70"/>
      <c r="X3" s="70"/>
      <c r="Y3" s="70"/>
      <c r="Z3" s="70"/>
    </row>
    <row r="4" spans="2:26" ht="13.5">
      <c r="B4" s="539" t="s">
        <v>381</v>
      </c>
      <c r="C4" s="73" t="s">
        <v>382</v>
      </c>
      <c r="D4" s="74"/>
      <c r="E4" s="74"/>
      <c r="F4" s="74"/>
      <c r="G4" s="74"/>
      <c r="H4" s="74"/>
      <c r="I4" s="74"/>
      <c r="J4" s="75"/>
      <c r="K4" s="76" t="s">
        <v>382</v>
      </c>
      <c r="L4" s="74"/>
      <c r="M4" s="74"/>
      <c r="N4" s="74"/>
      <c r="O4" s="74"/>
      <c r="P4" s="74"/>
      <c r="Q4" s="75"/>
      <c r="R4" s="70"/>
      <c r="S4" s="70"/>
      <c r="T4" s="70"/>
      <c r="U4" s="70"/>
      <c r="V4" s="70"/>
      <c r="W4" s="70"/>
      <c r="X4" s="70"/>
      <c r="Y4" s="70"/>
      <c r="Z4" s="70"/>
    </row>
    <row r="5" spans="2:26" ht="18.75" customHeight="1">
      <c r="B5" s="540"/>
      <c r="C5" s="77"/>
      <c r="D5" s="527" t="s">
        <v>383</v>
      </c>
      <c r="E5" s="528"/>
      <c r="F5" s="528"/>
      <c r="G5" s="529"/>
      <c r="H5" s="530" t="s">
        <v>384</v>
      </c>
      <c r="I5" s="528"/>
      <c r="J5" s="78"/>
      <c r="K5" s="79"/>
      <c r="L5" s="527" t="s">
        <v>383</v>
      </c>
      <c r="M5" s="528"/>
      <c r="N5" s="529"/>
      <c r="O5" s="530" t="s">
        <v>385</v>
      </c>
      <c r="P5" s="528"/>
      <c r="Q5" s="78"/>
      <c r="R5" s="70"/>
      <c r="S5" s="70"/>
      <c r="T5" s="70"/>
      <c r="U5" s="70"/>
      <c r="V5" s="70"/>
      <c r="W5" s="70"/>
      <c r="X5" s="70"/>
      <c r="Y5" s="70"/>
      <c r="Z5" s="70"/>
    </row>
    <row r="6" spans="2:26" ht="18.75" customHeight="1">
      <c r="B6" s="540"/>
      <c r="C6" s="77"/>
      <c r="D6" s="527" t="s">
        <v>386</v>
      </c>
      <c r="E6" s="528"/>
      <c r="F6" s="528"/>
      <c r="G6" s="529"/>
      <c r="H6" s="530" t="s">
        <v>387</v>
      </c>
      <c r="I6" s="528"/>
      <c r="J6" s="78"/>
      <c r="K6" s="79"/>
      <c r="L6" s="527" t="s">
        <v>386</v>
      </c>
      <c r="M6" s="528"/>
      <c r="N6" s="529"/>
      <c r="O6" s="530" t="s">
        <v>388</v>
      </c>
      <c r="P6" s="528"/>
      <c r="Q6" s="78"/>
      <c r="R6" s="70"/>
      <c r="S6" s="70"/>
      <c r="T6" s="70"/>
      <c r="U6" s="70"/>
      <c r="V6" s="70"/>
      <c r="W6" s="70"/>
      <c r="X6" s="70"/>
      <c r="Y6" s="70"/>
      <c r="Z6" s="70"/>
    </row>
    <row r="7" spans="2:26" ht="18.75" customHeight="1">
      <c r="B7" s="540"/>
      <c r="C7" s="77"/>
      <c r="D7" s="527" t="s">
        <v>389</v>
      </c>
      <c r="E7" s="528"/>
      <c r="F7" s="528"/>
      <c r="G7" s="529"/>
      <c r="H7" s="530" t="s">
        <v>390</v>
      </c>
      <c r="I7" s="528"/>
      <c r="J7" s="78"/>
      <c r="K7" s="79"/>
      <c r="L7" s="527" t="s">
        <v>389</v>
      </c>
      <c r="M7" s="528"/>
      <c r="N7" s="529"/>
      <c r="O7" s="530" t="s">
        <v>391</v>
      </c>
      <c r="P7" s="528"/>
      <c r="Q7" s="78"/>
      <c r="R7" s="70"/>
      <c r="S7" s="70"/>
      <c r="T7" s="70"/>
      <c r="U7" s="70"/>
      <c r="V7" s="70"/>
      <c r="W7" s="70"/>
      <c r="X7" s="70"/>
      <c r="Y7" s="70"/>
      <c r="Z7" s="70"/>
    </row>
    <row r="8" spans="2:26" ht="18.75" customHeight="1">
      <c r="B8" s="540"/>
      <c r="C8" s="77"/>
      <c r="D8" s="527" t="s">
        <v>392</v>
      </c>
      <c r="E8" s="528"/>
      <c r="F8" s="528"/>
      <c r="G8" s="529"/>
      <c r="H8" s="530" t="s">
        <v>393</v>
      </c>
      <c r="I8" s="528"/>
      <c r="J8" s="78"/>
      <c r="K8" s="79"/>
      <c r="L8" s="527" t="s">
        <v>392</v>
      </c>
      <c r="M8" s="528"/>
      <c r="N8" s="529"/>
      <c r="O8" s="530" t="s">
        <v>393</v>
      </c>
      <c r="P8" s="528"/>
      <c r="Q8" s="78"/>
      <c r="R8" s="70"/>
      <c r="S8" s="70"/>
      <c r="T8" s="70"/>
      <c r="U8" s="70"/>
      <c r="V8" s="70"/>
      <c r="W8" s="70"/>
      <c r="X8" s="70"/>
      <c r="Y8" s="70"/>
      <c r="Z8" s="70"/>
    </row>
    <row r="9" spans="2:26" ht="8.25" customHeight="1" thickBot="1">
      <c r="B9" s="541"/>
      <c r="C9" s="80"/>
      <c r="D9" s="81"/>
      <c r="E9" s="81"/>
      <c r="F9" s="81"/>
      <c r="G9" s="81"/>
      <c r="H9" s="81"/>
      <c r="I9" s="81"/>
      <c r="J9" s="82"/>
      <c r="K9" s="83"/>
      <c r="L9" s="81"/>
      <c r="M9" s="81"/>
      <c r="N9" s="81"/>
      <c r="O9" s="81"/>
      <c r="P9" s="81"/>
      <c r="Q9" s="82"/>
      <c r="R9" s="70"/>
      <c r="S9" s="70"/>
      <c r="T9" s="70"/>
      <c r="U9" s="70"/>
      <c r="V9" s="70"/>
      <c r="W9" s="70"/>
      <c r="X9" s="70"/>
      <c r="Y9" s="70"/>
      <c r="Z9" s="70"/>
    </row>
    <row r="10" spans="2:26" ht="6.75" customHeight="1">
      <c r="B10" s="539" t="s">
        <v>394</v>
      </c>
      <c r="C10" s="73"/>
      <c r="D10" s="74"/>
      <c r="E10" s="74"/>
      <c r="F10" s="74"/>
      <c r="G10" s="74"/>
      <c r="H10" s="74"/>
      <c r="I10" s="74"/>
      <c r="J10" s="75"/>
      <c r="K10" s="76"/>
      <c r="L10" s="74"/>
      <c r="M10" s="74"/>
      <c r="N10" s="74"/>
      <c r="O10" s="74"/>
      <c r="P10" s="74"/>
      <c r="Q10" s="75"/>
      <c r="R10" s="70"/>
      <c r="S10" s="70"/>
      <c r="T10" s="70"/>
      <c r="U10" s="70"/>
      <c r="V10" s="70"/>
      <c r="W10" s="70"/>
      <c r="X10" s="70"/>
      <c r="Y10" s="70"/>
      <c r="Z10" s="70"/>
    </row>
    <row r="11" spans="2:26" ht="16.5" customHeight="1">
      <c r="B11" s="540"/>
      <c r="C11" s="77"/>
      <c r="D11" s="527" t="s">
        <v>325</v>
      </c>
      <c r="E11" s="528"/>
      <c r="F11" s="528"/>
      <c r="G11" s="530" t="s">
        <v>395</v>
      </c>
      <c r="H11" s="528"/>
      <c r="I11" s="528"/>
      <c r="J11" s="78"/>
      <c r="K11" s="79"/>
      <c r="L11" s="542" t="s">
        <v>325</v>
      </c>
      <c r="M11" s="543"/>
      <c r="N11" s="546" t="s">
        <v>396</v>
      </c>
      <c r="O11" s="547"/>
      <c r="P11" s="547"/>
      <c r="Q11" s="78"/>
      <c r="R11" s="70"/>
      <c r="S11" s="70"/>
      <c r="T11" s="70"/>
      <c r="U11" s="70"/>
      <c r="V11" s="70"/>
      <c r="W11" s="70"/>
      <c r="X11" s="70"/>
      <c r="Y11" s="70"/>
      <c r="Z11" s="70"/>
    </row>
    <row r="12" spans="2:26" ht="16.5" customHeight="1">
      <c r="B12" s="540"/>
      <c r="C12" s="77"/>
      <c r="D12" s="527" t="s">
        <v>397</v>
      </c>
      <c r="E12" s="528"/>
      <c r="F12" s="528"/>
      <c r="G12" s="530" t="s">
        <v>398</v>
      </c>
      <c r="H12" s="528"/>
      <c r="I12" s="528"/>
      <c r="J12" s="78"/>
      <c r="K12" s="79"/>
      <c r="L12" s="544"/>
      <c r="M12" s="545"/>
      <c r="N12" s="548"/>
      <c r="O12" s="544"/>
      <c r="P12" s="544"/>
      <c r="Q12" s="78"/>
      <c r="R12" s="70"/>
      <c r="S12" s="70"/>
      <c r="T12" s="70"/>
      <c r="U12" s="70"/>
      <c r="V12" s="70"/>
      <c r="W12" s="70"/>
      <c r="X12" s="70"/>
      <c r="Y12" s="70"/>
      <c r="Z12" s="70"/>
    </row>
    <row r="13" spans="2:26" ht="16.5" customHeight="1">
      <c r="B13" s="540"/>
      <c r="C13" s="77"/>
      <c r="D13" s="527" t="s">
        <v>399</v>
      </c>
      <c r="E13" s="528"/>
      <c r="F13" s="528"/>
      <c r="G13" s="530" t="s">
        <v>400</v>
      </c>
      <c r="H13" s="528"/>
      <c r="I13" s="528"/>
      <c r="J13" s="78"/>
      <c r="K13" s="79"/>
      <c r="L13" s="527" t="s">
        <v>401</v>
      </c>
      <c r="M13" s="529"/>
      <c r="N13" s="530" t="s">
        <v>400</v>
      </c>
      <c r="O13" s="528"/>
      <c r="P13" s="528"/>
      <c r="Q13" s="78"/>
      <c r="R13" s="70"/>
      <c r="S13" s="70"/>
      <c r="T13" s="70"/>
      <c r="U13" s="70"/>
      <c r="V13" s="70"/>
      <c r="W13" s="70"/>
      <c r="X13" s="70"/>
      <c r="Y13" s="70"/>
      <c r="Z13" s="70"/>
    </row>
    <row r="14" spans="2:26" ht="6.75" customHeight="1" thickBot="1">
      <c r="B14" s="541"/>
      <c r="C14" s="80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1"/>
      <c r="O14" s="81"/>
      <c r="P14" s="81"/>
      <c r="Q14" s="82"/>
      <c r="R14" s="70"/>
      <c r="S14" s="70"/>
      <c r="T14" s="70"/>
      <c r="U14" s="70"/>
      <c r="V14" s="70"/>
      <c r="W14" s="70"/>
      <c r="X14" s="70"/>
      <c r="Y14" s="70"/>
      <c r="Z14" s="70"/>
    </row>
    <row r="15" spans="2:26" ht="6.75" customHeight="1">
      <c r="B15" s="539" t="s">
        <v>402</v>
      </c>
      <c r="C15" s="73"/>
      <c r="D15" s="74"/>
      <c r="E15" s="74"/>
      <c r="F15" s="74"/>
      <c r="G15" s="74"/>
      <c r="H15" s="74"/>
      <c r="I15" s="74"/>
      <c r="J15" s="75"/>
      <c r="K15" s="76"/>
      <c r="L15" s="74"/>
      <c r="M15" s="74"/>
      <c r="N15" s="74"/>
      <c r="O15" s="74"/>
      <c r="P15" s="74"/>
      <c r="Q15" s="75"/>
      <c r="R15" s="70"/>
      <c r="S15" s="70"/>
      <c r="T15" s="70"/>
      <c r="U15" s="70"/>
      <c r="V15" s="70"/>
      <c r="W15" s="70"/>
      <c r="X15" s="70"/>
      <c r="Y15" s="70"/>
      <c r="Z15" s="70"/>
    </row>
    <row r="16" spans="2:26" ht="20.25" customHeight="1">
      <c r="B16" s="540"/>
      <c r="C16" s="77"/>
      <c r="D16" s="527" t="s">
        <v>403</v>
      </c>
      <c r="E16" s="528"/>
      <c r="F16" s="528"/>
      <c r="G16" s="529"/>
      <c r="H16" s="530">
        <v>1</v>
      </c>
      <c r="I16" s="528"/>
      <c r="J16" s="78"/>
      <c r="K16" s="79"/>
      <c r="L16" s="527" t="s">
        <v>403</v>
      </c>
      <c r="M16" s="528"/>
      <c r="N16" s="529"/>
      <c r="O16" s="530" t="s">
        <v>404</v>
      </c>
      <c r="P16" s="528"/>
      <c r="Q16" s="78"/>
      <c r="R16" s="70"/>
      <c r="S16" s="70"/>
      <c r="T16" s="70"/>
      <c r="U16" s="70"/>
      <c r="V16" s="70"/>
      <c r="W16" s="70"/>
      <c r="X16" s="70"/>
      <c r="Y16" s="70"/>
      <c r="Z16" s="70"/>
    </row>
    <row r="17" spans="2:26" ht="20.25" customHeight="1">
      <c r="B17" s="540"/>
      <c r="C17" s="77"/>
      <c r="D17" s="527" t="s">
        <v>405</v>
      </c>
      <c r="E17" s="528"/>
      <c r="F17" s="528"/>
      <c r="G17" s="529"/>
      <c r="H17" s="530">
        <v>179</v>
      </c>
      <c r="I17" s="528"/>
      <c r="J17" s="78"/>
      <c r="K17" s="79"/>
      <c r="L17" s="527" t="s">
        <v>406</v>
      </c>
      <c r="M17" s="528"/>
      <c r="N17" s="529"/>
      <c r="O17" s="530" t="s">
        <v>407</v>
      </c>
      <c r="P17" s="528"/>
      <c r="Q17" s="78"/>
      <c r="R17" s="70"/>
      <c r="S17" s="70"/>
      <c r="T17" s="70"/>
      <c r="U17" s="70"/>
      <c r="V17" s="70"/>
      <c r="W17" s="70"/>
      <c r="X17" s="70"/>
      <c r="Y17" s="70"/>
      <c r="Z17" s="70"/>
    </row>
    <row r="18" spans="2:26" ht="20.25" customHeight="1">
      <c r="B18" s="540"/>
      <c r="C18" s="77"/>
      <c r="D18" s="527" t="s">
        <v>408</v>
      </c>
      <c r="E18" s="528"/>
      <c r="F18" s="528"/>
      <c r="G18" s="529"/>
      <c r="H18" s="530">
        <v>368</v>
      </c>
      <c r="I18" s="528"/>
      <c r="J18" s="78"/>
      <c r="K18" s="79"/>
      <c r="L18" s="527" t="s">
        <v>409</v>
      </c>
      <c r="M18" s="528"/>
      <c r="N18" s="529"/>
      <c r="O18" s="530" t="s">
        <v>410</v>
      </c>
      <c r="P18" s="528"/>
      <c r="Q18" s="78"/>
      <c r="R18" s="70"/>
      <c r="S18" s="70"/>
      <c r="T18" s="70"/>
      <c r="U18" s="70"/>
      <c r="V18" s="70"/>
      <c r="W18" s="70"/>
      <c r="X18" s="70"/>
      <c r="Y18" s="70"/>
      <c r="Z18" s="70"/>
    </row>
    <row r="19" spans="2:26" ht="20.25" customHeight="1">
      <c r="B19" s="540"/>
      <c r="C19" s="77"/>
      <c r="D19" s="527" t="s">
        <v>411</v>
      </c>
      <c r="E19" s="528"/>
      <c r="F19" s="528"/>
      <c r="G19" s="529"/>
      <c r="H19" s="530">
        <v>548</v>
      </c>
      <c r="I19" s="528"/>
      <c r="J19" s="78"/>
      <c r="K19" s="79"/>
      <c r="L19" s="527" t="s">
        <v>411</v>
      </c>
      <c r="M19" s="528"/>
      <c r="N19" s="529"/>
      <c r="O19" s="530" t="s">
        <v>412</v>
      </c>
      <c r="P19" s="528"/>
      <c r="Q19" s="78"/>
      <c r="R19" s="70"/>
      <c r="S19" s="70"/>
      <c r="T19" s="70"/>
      <c r="U19" s="70"/>
      <c r="V19" s="70"/>
      <c r="W19" s="70"/>
      <c r="X19" s="70"/>
      <c r="Y19" s="70"/>
      <c r="Z19" s="70"/>
    </row>
    <row r="20" spans="2:26" ht="5.25" customHeight="1" thickBot="1">
      <c r="B20" s="541"/>
      <c r="C20" s="80"/>
      <c r="D20" s="81"/>
      <c r="E20" s="81"/>
      <c r="F20" s="81"/>
      <c r="G20" s="81"/>
      <c r="H20" s="81"/>
      <c r="I20" s="81"/>
      <c r="J20" s="82"/>
      <c r="K20" s="83"/>
      <c r="L20" s="81"/>
      <c r="M20" s="81"/>
      <c r="N20" s="81"/>
      <c r="O20" s="81"/>
      <c r="P20" s="81"/>
      <c r="Q20" s="82"/>
      <c r="R20" s="70"/>
      <c r="S20" s="70"/>
      <c r="T20" s="70"/>
      <c r="U20" s="70"/>
      <c r="V20" s="70"/>
      <c r="W20" s="70"/>
      <c r="X20" s="70"/>
      <c r="Y20" s="70"/>
      <c r="Z20" s="70"/>
    </row>
    <row r="21" spans="2:26" ht="5.25" customHeight="1">
      <c r="B21" s="539" t="s">
        <v>413</v>
      </c>
      <c r="C21" s="73"/>
      <c r="D21" s="74"/>
      <c r="E21" s="74"/>
      <c r="F21" s="74"/>
      <c r="G21" s="74"/>
      <c r="H21" s="74"/>
      <c r="I21" s="74"/>
      <c r="J21" s="75"/>
      <c r="K21" s="76"/>
      <c r="L21" s="74"/>
      <c r="M21" s="74"/>
      <c r="N21" s="74"/>
      <c r="O21" s="74"/>
      <c r="P21" s="74"/>
      <c r="Q21" s="75"/>
      <c r="R21" s="70"/>
      <c r="S21" s="70"/>
      <c r="T21" s="70"/>
      <c r="U21" s="70"/>
      <c r="V21" s="70"/>
      <c r="W21" s="70"/>
      <c r="X21" s="70"/>
      <c r="Y21" s="70"/>
      <c r="Z21" s="70"/>
    </row>
    <row r="22" spans="2:26" ht="27.75" thickBot="1">
      <c r="B22" s="540"/>
      <c r="C22" s="77"/>
      <c r="D22" s="84"/>
      <c r="E22" s="85"/>
      <c r="F22" s="86" t="s">
        <v>414</v>
      </c>
      <c r="G22" s="86" t="s">
        <v>415</v>
      </c>
      <c r="H22" s="86" t="s">
        <v>416</v>
      </c>
      <c r="I22" s="87" t="s">
        <v>417</v>
      </c>
      <c r="J22" s="88"/>
      <c r="K22" s="89"/>
      <c r="L22" s="84"/>
      <c r="M22" s="86" t="s">
        <v>415</v>
      </c>
      <c r="N22" s="86" t="s">
        <v>418</v>
      </c>
      <c r="O22" s="549" t="s">
        <v>417</v>
      </c>
      <c r="P22" s="550"/>
      <c r="Q22" s="78"/>
      <c r="R22" s="70"/>
      <c r="S22" s="70"/>
      <c r="T22" s="70"/>
      <c r="U22" s="70"/>
      <c r="V22" s="70"/>
      <c r="W22" s="70"/>
      <c r="X22" s="70"/>
      <c r="Y22" s="70"/>
      <c r="Z22" s="70"/>
    </row>
    <row r="23" spans="2:26" ht="14.25" thickTop="1">
      <c r="B23" s="540"/>
      <c r="C23" s="77"/>
      <c r="D23" s="551" t="s">
        <v>415</v>
      </c>
      <c r="E23" s="553" t="s">
        <v>419</v>
      </c>
      <c r="F23" s="553" t="s">
        <v>420</v>
      </c>
      <c r="G23" s="90" t="s">
        <v>421</v>
      </c>
      <c r="H23" s="90" t="s">
        <v>422</v>
      </c>
      <c r="I23" s="556">
        <v>24</v>
      </c>
      <c r="J23" s="88"/>
      <c r="K23" s="89"/>
      <c r="L23" s="551" t="s">
        <v>423</v>
      </c>
      <c r="M23" s="91" t="s">
        <v>421</v>
      </c>
      <c r="N23" s="91" t="s">
        <v>424</v>
      </c>
      <c r="O23" s="556">
        <v>24</v>
      </c>
      <c r="P23" s="564"/>
      <c r="Q23" s="78"/>
      <c r="R23" s="70"/>
      <c r="S23" s="70"/>
      <c r="T23" s="70"/>
      <c r="U23" s="70"/>
      <c r="V23" s="70"/>
      <c r="W23" s="70"/>
      <c r="X23" s="70"/>
      <c r="Y23" s="70"/>
      <c r="Z23" s="70"/>
    </row>
    <row r="24" spans="2:26" ht="13.5">
      <c r="B24" s="540"/>
      <c r="C24" s="77"/>
      <c r="D24" s="552"/>
      <c r="E24" s="554"/>
      <c r="F24" s="554"/>
      <c r="G24" s="92" t="s">
        <v>425</v>
      </c>
      <c r="H24" s="92" t="s">
        <v>426</v>
      </c>
      <c r="I24" s="557"/>
      <c r="J24" s="88"/>
      <c r="K24" s="89"/>
      <c r="L24" s="552"/>
      <c r="M24" s="93" t="s">
        <v>425</v>
      </c>
      <c r="N24" s="93" t="s">
        <v>427</v>
      </c>
      <c r="O24" s="557"/>
      <c r="P24" s="565"/>
      <c r="Q24" s="78"/>
      <c r="R24" s="70"/>
      <c r="S24" s="70"/>
      <c r="T24" s="70"/>
      <c r="U24" s="70"/>
      <c r="V24" s="70"/>
      <c r="W24" s="70"/>
      <c r="X24" s="70"/>
      <c r="Y24" s="70"/>
      <c r="Z24" s="70"/>
    </row>
    <row r="25" spans="2:26" ht="13.5">
      <c r="B25" s="540"/>
      <c r="C25" s="77"/>
      <c r="D25" s="552"/>
      <c r="E25" s="554"/>
      <c r="F25" s="554"/>
      <c r="G25" s="92" t="s">
        <v>428</v>
      </c>
      <c r="H25" s="92" t="s">
        <v>429</v>
      </c>
      <c r="I25" s="558"/>
      <c r="J25" s="88"/>
      <c r="K25" s="89"/>
      <c r="L25" s="552"/>
      <c r="M25" s="93" t="s">
        <v>428</v>
      </c>
      <c r="N25" s="93" t="s">
        <v>430</v>
      </c>
      <c r="O25" s="548"/>
      <c r="P25" s="544"/>
      <c r="Q25" s="78"/>
      <c r="R25" s="70"/>
      <c r="S25" s="70"/>
      <c r="T25" s="70"/>
      <c r="U25" s="70"/>
      <c r="V25" s="70"/>
      <c r="W25" s="70"/>
      <c r="X25" s="70"/>
      <c r="Y25" s="70"/>
      <c r="Z25" s="70"/>
    </row>
    <row r="26" spans="2:26" ht="13.5">
      <c r="B26" s="540"/>
      <c r="C26" s="77"/>
      <c r="D26" s="552"/>
      <c r="E26" s="554"/>
      <c r="F26" s="555"/>
      <c r="G26" s="94" t="s">
        <v>431</v>
      </c>
      <c r="H26" s="94" t="s">
        <v>432</v>
      </c>
      <c r="I26" s="95">
        <v>6</v>
      </c>
      <c r="J26" s="88"/>
      <c r="K26" s="89"/>
      <c r="L26" s="552"/>
      <c r="M26" s="566" t="s">
        <v>433</v>
      </c>
      <c r="N26" s="96" t="s">
        <v>434</v>
      </c>
      <c r="O26" s="567">
        <v>6</v>
      </c>
      <c r="P26" s="568"/>
      <c r="Q26" s="78"/>
      <c r="R26" s="70"/>
      <c r="S26" s="70"/>
      <c r="T26" s="70"/>
      <c r="U26" s="70"/>
      <c r="V26" s="70"/>
      <c r="W26" s="70"/>
      <c r="X26" s="70"/>
      <c r="Y26" s="70"/>
      <c r="Z26" s="70"/>
    </row>
    <row r="27" spans="2:26" ht="40.5">
      <c r="B27" s="540"/>
      <c r="C27" s="77"/>
      <c r="D27" s="552"/>
      <c r="E27" s="554"/>
      <c r="F27" s="566" t="s">
        <v>435</v>
      </c>
      <c r="G27" s="96" t="s">
        <v>433</v>
      </c>
      <c r="H27" s="96" t="s">
        <v>436</v>
      </c>
      <c r="I27" s="569">
        <v>12</v>
      </c>
      <c r="J27" s="88"/>
      <c r="K27" s="89"/>
      <c r="L27" s="552"/>
      <c r="M27" s="555"/>
      <c r="N27" s="94" t="s">
        <v>437</v>
      </c>
      <c r="O27" s="570">
        <v>12</v>
      </c>
      <c r="P27" s="571"/>
      <c r="Q27" s="78"/>
      <c r="R27" s="70"/>
      <c r="S27" s="70"/>
      <c r="T27" s="70"/>
      <c r="U27" s="70"/>
      <c r="V27" s="70"/>
      <c r="W27" s="70"/>
      <c r="X27" s="70"/>
      <c r="Y27" s="70"/>
      <c r="Z27" s="70"/>
    </row>
    <row r="28" spans="2:26" ht="13.5">
      <c r="B28" s="540"/>
      <c r="C28" s="77"/>
      <c r="D28" s="552"/>
      <c r="E28" s="554"/>
      <c r="F28" s="555"/>
      <c r="G28" s="94" t="s">
        <v>438</v>
      </c>
      <c r="H28" s="94" t="s">
        <v>439</v>
      </c>
      <c r="I28" s="548"/>
      <c r="J28" s="88"/>
      <c r="K28" s="89"/>
      <c r="L28" s="552"/>
      <c r="M28" s="93" t="s">
        <v>438</v>
      </c>
      <c r="N28" s="93" t="s">
        <v>440</v>
      </c>
      <c r="O28" s="548"/>
      <c r="P28" s="544"/>
      <c r="Q28" s="78"/>
      <c r="R28" s="70"/>
      <c r="S28" s="70"/>
      <c r="T28" s="70"/>
      <c r="U28" s="70"/>
      <c r="V28" s="70"/>
      <c r="W28" s="70"/>
      <c r="X28" s="70"/>
      <c r="Y28" s="70"/>
      <c r="Z28" s="70"/>
    </row>
    <row r="29" spans="2:26" ht="13.5">
      <c r="B29" s="540"/>
      <c r="C29" s="77"/>
      <c r="D29" s="552"/>
      <c r="E29" s="554"/>
      <c r="F29" s="566" t="s">
        <v>441</v>
      </c>
      <c r="G29" s="96" t="s">
        <v>442</v>
      </c>
      <c r="H29" s="97"/>
      <c r="I29" s="98">
        <v>8</v>
      </c>
      <c r="J29" s="88"/>
      <c r="K29" s="89"/>
      <c r="L29" s="552"/>
      <c r="M29" s="93" t="s">
        <v>442</v>
      </c>
      <c r="N29" s="99"/>
      <c r="O29" s="561">
        <v>8</v>
      </c>
      <c r="P29" s="528"/>
      <c r="Q29" s="78"/>
      <c r="R29" s="70"/>
      <c r="S29" s="70"/>
      <c r="T29" s="70"/>
      <c r="U29" s="70"/>
      <c r="V29" s="70"/>
      <c r="W29" s="70"/>
      <c r="X29" s="70"/>
      <c r="Y29" s="70"/>
      <c r="Z29" s="70"/>
    </row>
    <row r="30" spans="2:26" ht="13.5">
      <c r="B30" s="540"/>
      <c r="C30" s="77"/>
      <c r="D30" s="552"/>
      <c r="E30" s="554"/>
      <c r="F30" s="555"/>
      <c r="G30" s="94" t="s">
        <v>443</v>
      </c>
      <c r="H30" s="100"/>
      <c r="I30" s="95">
        <v>6</v>
      </c>
      <c r="J30" s="88"/>
      <c r="K30" s="89"/>
      <c r="L30" s="552"/>
      <c r="M30" s="93" t="s">
        <v>443</v>
      </c>
      <c r="N30" s="99"/>
      <c r="O30" s="561">
        <v>6</v>
      </c>
      <c r="P30" s="528"/>
      <c r="Q30" s="78"/>
      <c r="R30" s="70"/>
      <c r="S30" s="70"/>
      <c r="T30" s="70"/>
      <c r="U30" s="70"/>
      <c r="V30" s="70"/>
      <c r="W30" s="70"/>
      <c r="X30" s="70"/>
      <c r="Y30" s="70"/>
      <c r="Z30" s="70"/>
    </row>
    <row r="31" spans="2:26" ht="54">
      <c r="B31" s="540"/>
      <c r="C31" s="77"/>
      <c r="D31" s="552"/>
      <c r="E31" s="554"/>
      <c r="F31" s="93" t="s">
        <v>444</v>
      </c>
      <c r="G31" s="93" t="s">
        <v>445</v>
      </c>
      <c r="H31" s="99"/>
      <c r="I31" s="101">
        <v>10</v>
      </c>
      <c r="J31" s="88"/>
      <c r="K31" s="89"/>
      <c r="L31" s="552"/>
      <c r="M31" s="93" t="s">
        <v>446</v>
      </c>
      <c r="N31" s="99"/>
      <c r="O31" s="561">
        <v>8</v>
      </c>
      <c r="P31" s="528"/>
      <c r="Q31" s="78"/>
      <c r="R31" s="70"/>
      <c r="S31" s="70"/>
      <c r="T31" s="70"/>
      <c r="U31" s="70"/>
      <c r="V31" s="70"/>
      <c r="W31" s="70"/>
      <c r="X31" s="70"/>
      <c r="Y31" s="70"/>
      <c r="Z31" s="70"/>
    </row>
    <row r="32" spans="2:26" ht="18.75" customHeight="1">
      <c r="B32" s="540"/>
      <c r="C32" s="77"/>
      <c r="D32" s="552"/>
      <c r="E32" s="555"/>
      <c r="F32" s="562" t="s">
        <v>411</v>
      </c>
      <c r="G32" s="528"/>
      <c r="H32" s="529"/>
      <c r="I32" s="102">
        <v>66</v>
      </c>
      <c r="J32" s="88"/>
      <c r="K32" s="89"/>
      <c r="L32" s="545"/>
      <c r="M32" s="562" t="s">
        <v>411</v>
      </c>
      <c r="N32" s="529"/>
      <c r="O32" s="563">
        <v>64</v>
      </c>
      <c r="P32" s="528"/>
      <c r="Q32" s="78"/>
      <c r="R32" s="70"/>
      <c r="S32" s="70"/>
      <c r="T32" s="70"/>
      <c r="U32" s="70"/>
      <c r="V32" s="70"/>
      <c r="W32" s="70"/>
      <c r="X32" s="70"/>
      <c r="Y32" s="70"/>
      <c r="Z32" s="70"/>
    </row>
    <row r="33" spans="2:26" ht="35.25" customHeight="1">
      <c r="B33" s="540"/>
      <c r="C33" s="77"/>
      <c r="D33" s="545"/>
      <c r="E33" s="103" t="s">
        <v>447</v>
      </c>
      <c r="F33" s="562" t="s">
        <v>448</v>
      </c>
      <c r="G33" s="528"/>
      <c r="H33" s="529"/>
      <c r="I33" s="102">
        <v>86</v>
      </c>
      <c r="J33" s="88"/>
      <c r="K33" s="89"/>
      <c r="L33" s="104" t="s">
        <v>449</v>
      </c>
      <c r="M33" s="562" t="s">
        <v>450</v>
      </c>
      <c r="N33" s="529"/>
      <c r="O33" s="563">
        <v>80</v>
      </c>
      <c r="P33" s="528"/>
      <c r="Q33" s="78"/>
      <c r="R33" s="70"/>
      <c r="S33" s="70"/>
      <c r="T33" s="70"/>
      <c r="U33" s="70"/>
      <c r="V33" s="70"/>
      <c r="W33" s="70"/>
      <c r="X33" s="70"/>
      <c r="Y33" s="70"/>
      <c r="Z33" s="70"/>
    </row>
    <row r="34" spans="2:26" ht="21.75" customHeight="1">
      <c r="B34" s="540"/>
      <c r="C34" s="77"/>
      <c r="D34" s="559" t="s">
        <v>389</v>
      </c>
      <c r="E34" s="528"/>
      <c r="F34" s="528"/>
      <c r="G34" s="528"/>
      <c r="H34" s="529"/>
      <c r="I34" s="105">
        <v>22</v>
      </c>
      <c r="J34" s="88"/>
      <c r="K34" s="89"/>
      <c r="L34" s="559" t="s">
        <v>389</v>
      </c>
      <c r="M34" s="528"/>
      <c r="N34" s="529"/>
      <c r="O34" s="560">
        <v>30</v>
      </c>
      <c r="P34" s="528"/>
      <c r="Q34" s="78"/>
      <c r="R34" s="70"/>
      <c r="S34" s="70"/>
      <c r="T34" s="70"/>
      <c r="U34" s="70"/>
      <c r="V34" s="70"/>
      <c r="W34" s="70"/>
      <c r="X34" s="70"/>
      <c r="Y34" s="70"/>
      <c r="Z34" s="70"/>
    </row>
    <row r="35" spans="2:26" ht="24" customHeight="1">
      <c r="B35" s="540"/>
      <c r="C35" s="77"/>
      <c r="D35" s="559" t="s">
        <v>392</v>
      </c>
      <c r="E35" s="528"/>
      <c r="F35" s="528"/>
      <c r="G35" s="528"/>
      <c r="H35" s="529"/>
      <c r="I35" s="105">
        <v>18</v>
      </c>
      <c r="J35" s="88"/>
      <c r="K35" s="89"/>
      <c r="L35" s="559" t="s">
        <v>392</v>
      </c>
      <c r="M35" s="528"/>
      <c r="N35" s="529"/>
      <c r="O35" s="560">
        <v>18</v>
      </c>
      <c r="P35" s="528"/>
      <c r="Q35" s="78"/>
      <c r="R35" s="70"/>
      <c r="S35" s="70"/>
      <c r="T35" s="70"/>
      <c r="U35" s="70"/>
      <c r="V35" s="70"/>
      <c r="W35" s="70"/>
      <c r="X35" s="70"/>
      <c r="Y35" s="70"/>
      <c r="Z35" s="70"/>
    </row>
    <row r="36" spans="2:26" ht="13.5">
      <c r="B36" s="540"/>
      <c r="C36" s="77"/>
      <c r="D36" s="572" t="s">
        <v>451</v>
      </c>
      <c r="E36" s="528"/>
      <c r="F36" s="528"/>
      <c r="G36" s="528"/>
      <c r="H36" s="529"/>
      <c r="I36" s="102">
        <v>192</v>
      </c>
      <c r="J36" s="88"/>
      <c r="K36" s="89"/>
      <c r="L36" s="572" t="s">
        <v>451</v>
      </c>
      <c r="M36" s="528"/>
      <c r="N36" s="529"/>
      <c r="O36" s="563">
        <v>192</v>
      </c>
      <c r="P36" s="528"/>
      <c r="Q36" s="78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5.25" customHeight="1" thickBot="1">
      <c r="B37" s="541"/>
      <c r="C37" s="80"/>
      <c r="D37" s="81"/>
      <c r="E37" s="81"/>
      <c r="F37" s="81"/>
      <c r="G37" s="81"/>
      <c r="H37" s="81"/>
      <c r="I37" s="81"/>
      <c r="J37" s="82"/>
      <c r="K37" s="83"/>
      <c r="L37" s="81"/>
      <c r="M37" s="81"/>
      <c r="N37" s="81"/>
      <c r="O37" s="81"/>
      <c r="P37" s="81"/>
      <c r="Q37" s="82"/>
      <c r="R37" s="70"/>
      <c r="S37" s="70"/>
      <c r="T37" s="70"/>
      <c r="U37" s="70"/>
      <c r="V37" s="70"/>
      <c r="W37" s="70"/>
      <c r="X37" s="70"/>
      <c r="Y37" s="70"/>
      <c r="Z37" s="70"/>
    </row>
    <row r="38" spans="2:26" ht="5.25" customHeight="1">
      <c r="B38" s="539" t="s">
        <v>452</v>
      </c>
      <c r="C38" s="73"/>
      <c r="D38" s="74"/>
      <c r="E38" s="74"/>
      <c r="F38" s="74"/>
      <c r="G38" s="74"/>
      <c r="H38" s="74"/>
      <c r="I38" s="74"/>
      <c r="J38" s="75"/>
      <c r="K38" s="76"/>
      <c r="L38" s="74"/>
      <c r="M38" s="74"/>
      <c r="N38" s="74"/>
      <c r="O38" s="74"/>
      <c r="P38" s="74"/>
      <c r="Q38" s="75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13.5">
      <c r="B39" s="540"/>
      <c r="C39" s="77" t="s">
        <v>453</v>
      </c>
      <c r="D39" s="106"/>
      <c r="E39" s="106"/>
      <c r="F39" s="106"/>
      <c r="G39" s="106"/>
      <c r="H39" s="106"/>
      <c r="I39" s="106"/>
      <c r="J39" s="78"/>
      <c r="K39" s="79"/>
      <c r="L39" s="106" t="s">
        <v>454</v>
      </c>
      <c r="M39" s="106"/>
      <c r="N39" s="106"/>
      <c r="O39" s="106"/>
      <c r="P39" s="106"/>
      <c r="Q39" s="78"/>
      <c r="R39" s="70"/>
      <c r="S39" s="70"/>
      <c r="T39" s="70"/>
      <c r="U39" s="70"/>
      <c r="V39" s="70"/>
      <c r="W39" s="70"/>
      <c r="X39" s="70"/>
      <c r="Y39" s="70"/>
      <c r="Z39" s="70"/>
    </row>
    <row r="40" spans="2:26" ht="13.5">
      <c r="B40" s="540"/>
      <c r="C40" s="77" t="s">
        <v>455</v>
      </c>
      <c r="D40" s="106"/>
      <c r="E40" s="106"/>
      <c r="F40" s="106"/>
      <c r="G40" s="106"/>
      <c r="H40" s="106"/>
      <c r="I40" s="106"/>
      <c r="J40" s="78"/>
      <c r="K40" s="79"/>
      <c r="L40" s="106" t="s">
        <v>456</v>
      </c>
      <c r="M40" s="106"/>
      <c r="N40" s="106"/>
      <c r="O40" s="106"/>
      <c r="P40" s="106"/>
      <c r="Q40" s="78"/>
      <c r="R40" s="70"/>
      <c r="S40" s="70"/>
      <c r="T40" s="70"/>
      <c r="U40" s="70"/>
      <c r="V40" s="70"/>
      <c r="W40" s="70"/>
      <c r="X40" s="70"/>
      <c r="Y40" s="70"/>
      <c r="Z40" s="70"/>
    </row>
    <row r="41" spans="2:26" ht="5.25" customHeight="1" thickBot="1">
      <c r="B41" s="541"/>
      <c r="C41" s="80"/>
      <c r="D41" s="81"/>
      <c r="E41" s="81"/>
      <c r="F41" s="81"/>
      <c r="G41" s="81"/>
      <c r="H41" s="81"/>
      <c r="I41" s="81"/>
      <c r="J41" s="82"/>
      <c r="K41" s="83"/>
      <c r="L41" s="81"/>
      <c r="M41" s="81"/>
      <c r="N41" s="81"/>
      <c r="O41" s="81"/>
      <c r="P41" s="81"/>
      <c r="Q41" s="82"/>
      <c r="R41" s="70"/>
      <c r="S41" s="70"/>
      <c r="T41" s="70"/>
      <c r="U41" s="70"/>
      <c r="V41" s="70"/>
      <c r="W41" s="70"/>
      <c r="X41" s="70"/>
      <c r="Y41" s="70"/>
      <c r="Z41" s="70"/>
    </row>
    <row r="42" spans="2:26" ht="5.25" customHeight="1">
      <c r="B42" s="539" t="s">
        <v>457</v>
      </c>
      <c r="C42" s="73"/>
      <c r="D42" s="74"/>
      <c r="E42" s="74"/>
      <c r="F42" s="74"/>
      <c r="G42" s="74"/>
      <c r="H42" s="74"/>
      <c r="I42" s="74"/>
      <c r="J42" s="75"/>
      <c r="K42" s="76"/>
      <c r="L42" s="74"/>
      <c r="M42" s="74"/>
      <c r="N42" s="74"/>
      <c r="O42" s="74"/>
      <c r="P42" s="74"/>
      <c r="Q42" s="75"/>
      <c r="R42" s="70"/>
      <c r="S42" s="70"/>
      <c r="T42" s="70"/>
      <c r="U42" s="70"/>
      <c r="V42" s="70"/>
      <c r="W42" s="70"/>
      <c r="X42" s="70"/>
      <c r="Y42" s="70"/>
      <c r="Z42" s="70"/>
    </row>
    <row r="43" spans="2:26" ht="13.5">
      <c r="B43" s="540"/>
      <c r="C43" s="77"/>
      <c r="D43" s="106" t="s">
        <v>458</v>
      </c>
      <c r="E43" s="106"/>
      <c r="F43" s="106"/>
      <c r="G43" s="106"/>
      <c r="H43" s="106"/>
      <c r="I43" s="106"/>
      <c r="J43" s="78"/>
      <c r="K43" s="79"/>
      <c r="L43" s="106" t="s">
        <v>459</v>
      </c>
      <c r="M43" s="106"/>
      <c r="N43" s="106"/>
      <c r="O43" s="106"/>
      <c r="P43" s="106"/>
      <c r="Q43" s="78"/>
      <c r="R43" s="70"/>
      <c r="S43" s="70"/>
      <c r="T43" s="70"/>
      <c r="U43" s="70"/>
      <c r="V43" s="70"/>
      <c r="W43" s="70"/>
      <c r="X43" s="70"/>
      <c r="Y43" s="70"/>
      <c r="Z43" s="70"/>
    </row>
    <row r="44" spans="2:26" ht="13.5">
      <c r="B44" s="540"/>
      <c r="C44" s="77"/>
      <c r="D44" s="106" t="s">
        <v>460</v>
      </c>
      <c r="E44" s="107"/>
      <c r="F44" s="107"/>
      <c r="G44" s="107"/>
      <c r="H44" s="107"/>
      <c r="I44" s="107"/>
      <c r="J44" s="78"/>
      <c r="K44" s="79"/>
      <c r="L44" s="106"/>
      <c r="M44" s="106"/>
      <c r="N44" s="106"/>
      <c r="O44" s="106"/>
      <c r="P44" s="106"/>
      <c r="Q44" s="78"/>
      <c r="R44" s="70"/>
      <c r="S44" s="70"/>
      <c r="T44" s="70"/>
      <c r="U44" s="70"/>
      <c r="V44" s="70"/>
      <c r="W44" s="70"/>
      <c r="X44" s="70"/>
      <c r="Y44" s="70"/>
      <c r="Z44" s="70"/>
    </row>
    <row r="45" spans="2:26" ht="13.5">
      <c r="B45" s="540"/>
      <c r="C45" s="77"/>
      <c r="D45" s="573" t="s">
        <v>378</v>
      </c>
      <c r="E45" s="528"/>
      <c r="F45" s="529"/>
      <c r="G45" s="574" t="s">
        <v>461</v>
      </c>
      <c r="H45" s="529"/>
      <c r="I45" s="108" t="s">
        <v>462</v>
      </c>
      <c r="J45" s="78"/>
      <c r="K45" s="79"/>
      <c r="L45" s="573" t="s">
        <v>378</v>
      </c>
      <c r="M45" s="529"/>
      <c r="N45" s="574" t="s">
        <v>461</v>
      </c>
      <c r="O45" s="529"/>
      <c r="P45" s="108" t="s">
        <v>463</v>
      </c>
      <c r="Q45" s="78"/>
      <c r="R45" s="70"/>
      <c r="S45" s="70"/>
      <c r="T45" s="70"/>
      <c r="U45" s="70"/>
      <c r="V45" s="70"/>
      <c r="W45" s="70"/>
      <c r="X45" s="70"/>
      <c r="Y45" s="70"/>
      <c r="Z45" s="70"/>
    </row>
    <row r="46" spans="2:26" ht="38.25" customHeight="1">
      <c r="B46" s="540"/>
      <c r="C46" s="77"/>
      <c r="D46" s="527" t="s">
        <v>464</v>
      </c>
      <c r="E46" s="529"/>
      <c r="F46" s="109">
        <v>1</v>
      </c>
      <c r="G46" s="575" t="s">
        <v>465</v>
      </c>
      <c r="H46" s="529"/>
      <c r="I46" s="576">
        <v>86</v>
      </c>
      <c r="J46" s="78"/>
      <c r="K46" s="79"/>
      <c r="L46" s="110" t="s">
        <v>464</v>
      </c>
      <c r="M46" s="109">
        <v>3</v>
      </c>
      <c r="N46" s="575" t="s">
        <v>466</v>
      </c>
      <c r="O46" s="529"/>
      <c r="P46" s="576">
        <v>80</v>
      </c>
      <c r="Q46" s="78"/>
      <c r="R46" s="70"/>
      <c r="S46" s="70"/>
      <c r="T46" s="70"/>
      <c r="U46" s="70"/>
      <c r="V46" s="70"/>
      <c r="W46" s="70"/>
      <c r="X46" s="70"/>
      <c r="Y46" s="70"/>
      <c r="Z46" s="70"/>
    </row>
    <row r="47" spans="2:26" ht="16.5" customHeight="1">
      <c r="B47" s="540"/>
      <c r="C47" s="77"/>
      <c r="D47" s="527" t="s">
        <v>467</v>
      </c>
      <c r="E47" s="529"/>
      <c r="F47" s="109">
        <v>179</v>
      </c>
      <c r="G47" s="530" t="s">
        <v>450</v>
      </c>
      <c r="H47" s="529"/>
      <c r="I47" s="557"/>
      <c r="J47" s="78"/>
      <c r="K47" s="79"/>
      <c r="L47" s="110" t="s">
        <v>468</v>
      </c>
      <c r="M47" s="109">
        <v>216</v>
      </c>
      <c r="N47" s="530" t="s">
        <v>450</v>
      </c>
      <c r="O47" s="529"/>
      <c r="P47" s="557"/>
      <c r="Q47" s="78"/>
      <c r="R47" s="70"/>
      <c r="S47" s="70"/>
      <c r="T47" s="70"/>
      <c r="U47" s="70"/>
      <c r="V47" s="70"/>
      <c r="W47" s="70"/>
      <c r="X47" s="70"/>
      <c r="Y47" s="70"/>
      <c r="Z47" s="70"/>
    </row>
    <row r="48" spans="2:26" ht="16.5" customHeight="1">
      <c r="B48" s="540"/>
      <c r="C48" s="77"/>
      <c r="D48" s="527" t="s">
        <v>469</v>
      </c>
      <c r="E48" s="529"/>
      <c r="F48" s="109">
        <v>368</v>
      </c>
      <c r="G48" s="530" t="s">
        <v>450</v>
      </c>
      <c r="H48" s="529"/>
      <c r="I48" s="548"/>
      <c r="J48" s="78"/>
      <c r="K48" s="79"/>
      <c r="L48" s="110" t="s">
        <v>470</v>
      </c>
      <c r="M48" s="109">
        <v>309</v>
      </c>
      <c r="N48" s="530" t="s">
        <v>450</v>
      </c>
      <c r="O48" s="529"/>
      <c r="P48" s="548"/>
      <c r="Q48" s="78"/>
      <c r="R48" s="70"/>
      <c r="S48" s="70"/>
      <c r="T48" s="70"/>
      <c r="U48" s="70"/>
      <c r="V48" s="70"/>
      <c r="W48" s="70"/>
      <c r="X48" s="70"/>
      <c r="Y48" s="70"/>
      <c r="Z48" s="70"/>
    </row>
    <row r="49" spans="2:26" ht="5.25" customHeight="1" thickBot="1">
      <c r="B49" s="541"/>
      <c r="C49" s="80"/>
      <c r="D49" s="81"/>
      <c r="E49" s="81"/>
      <c r="F49" s="81"/>
      <c r="G49" s="81"/>
      <c r="H49" s="81"/>
      <c r="I49" s="81"/>
      <c r="J49" s="82"/>
      <c r="K49" s="83"/>
      <c r="L49" s="81"/>
      <c r="M49" s="81"/>
      <c r="N49" s="81"/>
      <c r="O49" s="81"/>
      <c r="P49" s="81"/>
      <c r="Q49" s="82"/>
      <c r="R49" s="70"/>
      <c r="S49" s="70"/>
      <c r="T49" s="70"/>
      <c r="U49" s="70"/>
      <c r="V49" s="70"/>
      <c r="W49" s="70"/>
      <c r="X49" s="70"/>
      <c r="Y49" s="70"/>
      <c r="Z49" s="70"/>
    </row>
    <row r="50" spans="2:26" ht="5.25" customHeight="1">
      <c r="B50" s="539" t="s">
        <v>471</v>
      </c>
      <c r="C50" s="73"/>
      <c r="D50" s="74"/>
      <c r="E50" s="74"/>
      <c r="F50" s="74"/>
      <c r="G50" s="74"/>
      <c r="H50" s="74"/>
      <c r="I50" s="74"/>
      <c r="J50" s="75"/>
      <c r="K50" s="76"/>
      <c r="L50" s="74"/>
      <c r="M50" s="74"/>
      <c r="N50" s="74"/>
      <c r="O50" s="74"/>
      <c r="P50" s="74"/>
      <c r="Q50" s="75"/>
      <c r="R50" s="70"/>
      <c r="S50" s="70"/>
      <c r="T50" s="70"/>
      <c r="U50" s="70"/>
      <c r="V50" s="70"/>
      <c r="W50" s="70"/>
      <c r="X50" s="70"/>
      <c r="Y50" s="70"/>
      <c r="Z50" s="70"/>
    </row>
    <row r="51" spans="2:26" ht="24">
      <c r="B51" s="540"/>
      <c r="C51" s="77"/>
      <c r="D51" s="578" t="s">
        <v>378</v>
      </c>
      <c r="E51" s="528"/>
      <c r="F51" s="529"/>
      <c r="G51" s="111" t="s">
        <v>472</v>
      </c>
      <c r="H51" s="111" t="s">
        <v>473</v>
      </c>
      <c r="I51" s="112" t="s">
        <v>474</v>
      </c>
      <c r="J51" s="88"/>
      <c r="K51" s="89"/>
      <c r="L51" s="578" t="s">
        <v>378</v>
      </c>
      <c r="M51" s="529"/>
      <c r="N51" s="111" t="s">
        <v>472</v>
      </c>
      <c r="O51" s="111" t="s">
        <v>473</v>
      </c>
      <c r="P51" s="112" t="s">
        <v>475</v>
      </c>
      <c r="Q51" s="78"/>
      <c r="R51" s="70"/>
      <c r="S51" s="70"/>
      <c r="T51" s="70"/>
      <c r="U51" s="70"/>
      <c r="V51" s="70"/>
      <c r="W51" s="70"/>
      <c r="X51" s="70"/>
      <c r="Y51" s="70"/>
      <c r="Z51" s="70"/>
    </row>
    <row r="52" spans="2:26" ht="13.5">
      <c r="B52" s="540"/>
      <c r="C52" s="77"/>
      <c r="D52" s="577" t="s">
        <v>476</v>
      </c>
      <c r="E52" s="528"/>
      <c r="F52" s="529"/>
      <c r="G52" s="113">
        <v>8</v>
      </c>
      <c r="H52" s="113">
        <v>-2</v>
      </c>
      <c r="I52" s="114" t="s">
        <v>477</v>
      </c>
      <c r="J52" s="88"/>
      <c r="K52" s="89"/>
      <c r="L52" s="577" t="s">
        <v>476</v>
      </c>
      <c r="M52" s="529"/>
      <c r="N52" s="113">
        <v>4</v>
      </c>
      <c r="O52" s="113">
        <v>-1</v>
      </c>
      <c r="P52" s="114" t="s">
        <v>372</v>
      </c>
      <c r="Q52" s="78"/>
      <c r="R52" s="70"/>
      <c r="S52" s="70"/>
      <c r="T52" s="70"/>
      <c r="U52" s="70"/>
      <c r="V52" s="70"/>
      <c r="W52" s="70"/>
      <c r="X52" s="70"/>
      <c r="Y52" s="70"/>
      <c r="Z52" s="70"/>
    </row>
    <row r="53" spans="2:26" ht="27.75" customHeight="1">
      <c r="B53" s="540"/>
      <c r="C53" s="77"/>
      <c r="D53" s="577" t="s">
        <v>478</v>
      </c>
      <c r="E53" s="528"/>
      <c r="F53" s="529"/>
      <c r="G53" s="113">
        <v>6</v>
      </c>
      <c r="H53" s="115"/>
      <c r="I53" s="114" t="s">
        <v>479</v>
      </c>
      <c r="J53" s="88"/>
      <c r="K53" s="89"/>
      <c r="L53" s="577" t="s">
        <v>480</v>
      </c>
      <c r="M53" s="529"/>
      <c r="N53" s="113">
        <v>3</v>
      </c>
      <c r="O53" s="115"/>
      <c r="P53" s="114">
        <v>3</v>
      </c>
      <c r="Q53" s="78"/>
      <c r="R53" s="70"/>
      <c r="S53" s="70"/>
      <c r="T53" s="70"/>
      <c r="U53" s="70"/>
      <c r="V53" s="70"/>
      <c r="W53" s="70"/>
      <c r="X53" s="70"/>
      <c r="Y53" s="70"/>
      <c r="Z53" s="70"/>
    </row>
    <row r="54" spans="2:26" ht="13.5">
      <c r="B54" s="540"/>
      <c r="C54" s="77"/>
      <c r="D54" s="577" t="s">
        <v>481</v>
      </c>
      <c r="E54" s="528"/>
      <c r="F54" s="529"/>
      <c r="G54" s="113">
        <v>5</v>
      </c>
      <c r="H54" s="113" t="s">
        <v>482</v>
      </c>
      <c r="I54" s="114" t="s">
        <v>483</v>
      </c>
      <c r="J54" s="88"/>
      <c r="K54" s="89"/>
      <c r="L54" s="577" t="s">
        <v>484</v>
      </c>
      <c r="M54" s="529"/>
      <c r="N54" s="113">
        <v>4</v>
      </c>
      <c r="O54" s="113" t="s">
        <v>485</v>
      </c>
      <c r="P54" s="114" t="s">
        <v>374</v>
      </c>
      <c r="Q54" s="78"/>
      <c r="R54" s="70"/>
      <c r="S54" s="70"/>
      <c r="T54" s="70"/>
      <c r="U54" s="70"/>
      <c r="V54" s="70"/>
      <c r="W54" s="70"/>
      <c r="X54" s="70"/>
      <c r="Y54" s="70"/>
      <c r="Z54" s="70"/>
    </row>
    <row r="55" spans="2:26" ht="13.5">
      <c r="B55" s="540"/>
      <c r="C55" s="77"/>
      <c r="D55" s="577" t="s">
        <v>486</v>
      </c>
      <c r="E55" s="528"/>
      <c r="F55" s="529"/>
      <c r="G55" s="113">
        <v>5</v>
      </c>
      <c r="H55" s="113" t="s">
        <v>487</v>
      </c>
      <c r="I55" s="114" t="s">
        <v>488</v>
      </c>
      <c r="J55" s="88"/>
      <c r="K55" s="89"/>
      <c r="L55" s="577" t="s">
        <v>489</v>
      </c>
      <c r="M55" s="529"/>
      <c r="N55" s="113">
        <v>3</v>
      </c>
      <c r="O55" s="113" t="s">
        <v>485</v>
      </c>
      <c r="P55" s="114" t="s">
        <v>375</v>
      </c>
      <c r="Q55" s="78"/>
      <c r="R55" s="70"/>
      <c r="S55" s="70"/>
      <c r="T55" s="70"/>
      <c r="U55" s="70"/>
      <c r="V55" s="70"/>
      <c r="W55" s="70"/>
      <c r="X55" s="70"/>
      <c r="Y55" s="70"/>
      <c r="Z55" s="70"/>
    </row>
    <row r="56" spans="2:26" ht="13.5">
      <c r="B56" s="540"/>
      <c r="C56" s="77"/>
      <c r="D56" s="577" t="s">
        <v>490</v>
      </c>
      <c r="E56" s="528"/>
      <c r="F56" s="529"/>
      <c r="G56" s="113">
        <v>5</v>
      </c>
      <c r="H56" s="113" t="s">
        <v>487</v>
      </c>
      <c r="I56" s="114" t="s">
        <v>488</v>
      </c>
      <c r="J56" s="88"/>
      <c r="K56" s="89"/>
      <c r="L56" s="577" t="s">
        <v>401</v>
      </c>
      <c r="M56" s="529"/>
      <c r="N56" s="575" t="s">
        <v>491</v>
      </c>
      <c r="O56" s="528"/>
      <c r="P56" s="528"/>
      <c r="Q56" s="78"/>
      <c r="R56" s="70"/>
      <c r="S56" s="70"/>
      <c r="T56" s="70"/>
      <c r="U56" s="70"/>
      <c r="V56" s="70"/>
      <c r="W56" s="70"/>
      <c r="X56" s="70"/>
      <c r="Y56" s="70"/>
      <c r="Z56" s="70"/>
    </row>
    <row r="57" spans="2:26" ht="13.5">
      <c r="B57" s="540"/>
      <c r="C57" s="77"/>
      <c r="D57" s="577" t="s">
        <v>399</v>
      </c>
      <c r="E57" s="528"/>
      <c r="F57" s="529"/>
      <c r="G57" s="575" t="s">
        <v>491</v>
      </c>
      <c r="H57" s="528"/>
      <c r="I57" s="528"/>
      <c r="J57" s="88"/>
      <c r="K57" s="89"/>
      <c r="L57" s="116"/>
      <c r="M57" s="106"/>
      <c r="N57" s="106"/>
      <c r="O57" s="106"/>
      <c r="P57" s="106"/>
      <c r="Q57" s="78"/>
      <c r="R57" s="70"/>
      <c r="S57" s="70"/>
      <c r="T57" s="70"/>
      <c r="U57" s="70"/>
      <c r="V57" s="70"/>
      <c r="W57" s="70"/>
      <c r="X57" s="70"/>
      <c r="Y57" s="70"/>
      <c r="Z57" s="70"/>
    </row>
    <row r="58" spans="2:26" ht="13.5">
      <c r="B58" s="540"/>
      <c r="C58" s="77"/>
      <c r="D58" s="106"/>
      <c r="E58" s="106"/>
      <c r="F58" s="106"/>
      <c r="G58" s="106"/>
      <c r="H58" s="106"/>
      <c r="I58" s="106"/>
      <c r="J58" s="78"/>
      <c r="K58" s="79"/>
      <c r="L58" s="106"/>
      <c r="M58" s="106"/>
      <c r="N58" s="106"/>
      <c r="O58" s="106"/>
      <c r="P58" s="106"/>
      <c r="Q58" s="78"/>
      <c r="R58" s="70"/>
      <c r="S58" s="70"/>
      <c r="T58" s="70"/>
      <c r="U58" s="70"/>
      <c r="V58" s="70"/>
      <c r="W58" s="70"/>
      <c r="X58" s="70"/>
      <c r="Y58" s="70"/>
      <c r="Z58" s="70"/>
    </row>
    <row r="59" spans="2:26" ht="33.75" customHeight="1">
      <c r="B59" s="540"/>
      <c r="C59" s="77"/>
      <c r="D59" s="580" t="s">
        <v>492</v>
      </c>
      <c r="E59" s="565"/>
      <c r="F59" s="565"/>
      <c r="G59" s="565"/>
      <c r="H59" s="565"/>
      <c r="I59" s="565"/>
      <c r="J59" s="78"/>
      <c r="K59" s="79"/>
      <c r="L59" s="580" t="s">
        <v>493</v>
      </c>
      <c r="M59" s="580"/>
      <c r="N59" s="580"/>
      <c r="O59" s="580"/>
      <c r="P59" s="580"/>
      <c r="Q59" s="78"/>
      <c r="R59" s="70"/>
      <c r="S59" s="70"/>
      <c r="T59" s="70"/>
      <c r="U59" s="70"/>
      <c r="V59" s="70"/>
      <c r="W59" s="70"/>
      <c r="X59" s="70"/>
      <c r="Y59" s="70"/>
      <c r="Z59" s="70"/>
    </row>
    <row r="60" spans="2:26" ht="5.25" customHeight="1" thickBot="1">
      <c r="B60" s="541"/>
      <c r="C60" s="80"/>
      <c r="D60" s="81"/>
      <c r="E60" s="81"/>
      <c r="F60" s="81"/>
      <c r="G60" s="81"/>
      <c r="H60" s="81"/>
      <c r="I60" s="81"/>
      <c r="J60" s="82"/>
      <c r="K60" s="83"/>
      <c r="L60" s="81"/>
      <c r="M60" s="81"/>
      <c r="N60" s="81"/>
      <c r="O60" s="81"/>
      <c r="P60" s="81"/>
      <c r="Q60" s="82"/>
      <c r="R60" s="70"/>
      <c r="S60" s="70"/>
      <c r="T60" s="70"/>
      <c r="U60" s="70"/>
      <c r="V60" s="70"/>
      <c r="W60" s="70"/>
      <c r="X60" s="70"/>
      <c r="Y60" s="70"/>
      <c r="Z60" s="70"/>
    </row>
    <row r="61" spans="2:26" ht="5.25" customHeight="1">
      <c r="B61" s="582" t="s">
        <v>494</v>
      </c>
      <c r="C61" s="77"/>
      <c r="D61" s="106"/>
      <c r="E61" s="106"/>
      <c r="F61" s="106"/>
      <c r="G61" s="106"/>
      <c r="H61" s="106"/>
      <c r="I61" s="106"/>
      <c r="J61" s="106"/>
      <c r="K61" s="76"/>
      <c r="L61" s="74"/>
      <c r="M61" s="74"/>
      <c r="N61" s="74"/>
      <c r="O61" s="74"/>
      <c r="P61" s="74"/>
      <c r="Q61" s="75"/>
      <c r="R61" s="70"/>
      <c r="S61" s="70"/>
      <c r="T61" s="70"/>
      <c r="U61" s="70"/>
      <c r="V61" s="70"/>
      <c r="W61" s="70"/>
      <c r="X61" s="70"/>
      <c r="Y61" s="70"/>
      <c r="Z61" s="70"/>
    </row>
    <row r="62" spans="2:26" ht="13.5">
      <c r="B62" s="583"/>
      <c r="C62" s="77"/>
      <c r="D62" s="106"/>
      <c r="E62" s="106"/>
      <c r="F62" s="106"/>
      <c r="G62" s="106"/>
      <c r="H62" s="106"/>
      <c r="I62" s="106"/>
      <c r="J62" s="106"/>
      <c r="K62" s="79"/>
      <c r="L62" s="106" t="s">
        <v>495</v>
      </c>
      <c r="M62" s="106"/>
      <c r="N62" s="106"/>
      <c r="O62" s="106"/>
      <c r="P62" s="106"/>
      <c r="Q62" s="78"/>
      <c r="R62" s="70"/>
      <c r="S62" s="70"/>
      <c r="T62" s="70"/>
      <c r="U62" s="70"/>
      <c r="V62" s="70"/>
      <c r="W62" s="70"/>
      <c r="X62" s="70"/>
      <c r="Y62" s="70"/>
      <c r="Z62" s="70"/>
    </row>
    <row r="63" spans="2:26" ht="13.5">
      <c r="B63" s="583"/>
      <c r="C63" s="77"/>
      <c r="D63" s="106"/>
      <c r="E63" s="106"/>
      <c r="F63" s="106"/>
      <c r="G63" s="106"/>
      <c r="H63" s="106"/>
      <c r="I63" s="106"/>
      <c r="J63" s="106"/>
      <c r="K63" s="79"/>
      <c r="L63" s="106" t="s">
        <v>496</v>
      </c>
      <c r="M63" s="106"/>
      <c r="N63" s="106"/>
      <c r="O63" s="106"/>
      <c r="P63" s="106"/>
      <c r="Q63" s="78"/>
      <c r="R63" s="70"/>
      <c r="S63" s="70"/>
      <c r="T63" s="70"/>
      <c r="U63" s="70"/>
      <c r="V63" s="70"/>
      <c r="W63" s="70"/>
      <c r="X63" s="70"/>
      <c r="Y63" s="70"/>
      <c r="Z63" s="70"/>
    </row>
    <row r="64" spans="2:26" ht="13.5">
      <c r="B64" s="583"/>
      <c r="C64" s="77"/>
      <c r="D64" s="106"/>
      <c r="E64" s="106"/>
      <c r="F64" s="106"/>
      <c r="G64" s="106"/>
      <c r="H64" s="106"/>
      <c r="I64" s="106"/>
      <c r="J64" s="106"/>
      <c r="K64" s="79"/>
      <c r="L64" s="584" t="s">
        <v>378</v>
      </c>
      <c r="M64" s="585" t="s">
        <v>497</v>
      </c>
      <c r="N64" s="529"/>
      <c r="O64" s="585" t="s">
        <v>498</v>
      </c>
      <c r="P64" s="528"/>
      <c r="Q64" s="78"/>
      <c r="R64" s="70"/>
      <c r="S64" s="70"/>
      <c r="T64" s="70"/>
      <c r="U64" s="70"/>
      <c r="V64" s="70"/>
      <c r="W64" s="70"/>
      <c r="X64" s="70"/>
      <c r="Y64" s="70"/>
      <c r="Z64" s="70"/>
    </row>
    <row r="65" spans="2:26" ht="13.5">
      <c r="B65" s="583"/>
      <c r="C65" s="77"/>
      <c r="D65" s="106"/>
      <c r="E65" s="106"/>
      <c r="F65" s="106"/>
      <c r="G65" s="106"/>
      <c r="H65" s="106"/>
      <c r="I65" s="106"/>
      <c r="J65" s="106"/>
      <c r="K65" s="79"/>
      <c r="L65" s="545"/>
      <c r="M65" s="109" t="s">
        <v>0</v>
      </c>
      <c r="N65" s="109" t="s">
        <v>499</v>
      </c>
      <c r="O65" s="109" t="s">
        <v>0</v>
      </c>
      <c r="P65" s="117" t="s">
        <v>499</v>
      </c>
      <c r="Q65" s="78"/>
      <c r="R65" s="70"/>
      <c r="S65" s="70"/>
      <c r="T65" s="70"/>
      <c r="U65" s="70"/>
      <c r="V65" s="70"/>
      <c r="W65" s="70"/>
      <c r="X65" s="70"/>
      <c r="Y65" s="70"/>
      <c r="Z65" s="70"/>
    </row>
    <row r="66" spans="2:26" ht="13.5">
      <c r="B66" s="583"/>
      <c r="C66" s="77"/>
      <c r="D66" s="106"/>
      <c r="E66" s="106"/>
      <c r="F66" s="106"/>
      <c r="G66" s="106"/>
      <c r="H66" s="106"/>
      <c r="I66" s="106"/>
      <c r="J66" s="106"/>
      <c r="K66" s="79"/>
      <c r="L66" s="118" t="s">
        <v>204</v>
      </c>
      <c r="M66" s="119">
        <v>2</v>
      </c>
      <c r="N66" s="119">
        <v>2</v>
      </c>
      <c r="O66" s="119">
        <v>4</v>
      </c>
      <c r="P66" s="108">
        <v>0</v>
      </c>
      <c r="Q66" s="78"/>
      <c r="R66" s="70"/>
      <c r="S66" s="70"/>
      <c r="T66" s="70"/>
      <c r="U66" s="70"/>
      <c r="V66" s="70"/>
      <c r="W66" s="70"/>
      <c r="X66" s="70"/>
      <c r="Y66" s="70"/>
      <c r="Z66" s="70"/>
    </row>
    <row r="67" spans="2:26" ht="13.5">
      <c r="B67" s="583"/>
      <c r="C67" s="77"/>
      <c r="D67" s="106"/>
      <c r="E67" s="106"/>
      <c r="F67" s="106"/>
      <c r="G67" s="106"/>
      <c r="H67" s="106"/>
      <c r="I67" s="106"/>
      <c r="J67" s="106"/>
      <c r="K67" s="79"/>
      <c r="L67" s="118" t="s">
        <v>218</v>
      </c>
      <c r="M67" s="119">
        <v>2</v>
      </c>
      <c r="N67" s="119">
        <v>2</v>
      </c>
      <c r="O67" s="119">
        <v>0</v>
      </c>
      <c r="P67" s="108">
        <v>4</v>
      </c>
      <c r="Q67" s="78"/>
      <c r="R67" s="70"/>
      <c r="S67" s="70"/>
      <c r="T67" s="70"/>
      <c r="U67" s="70"/>
      <c r="V67" s="70"/>
      <c r="W67" s="70"/>
      <c r="X67" s="70"/>
      <c r="Y67" s="70"/>
      <c r="Z67" s="70"/>
    </row>
    <row r="68" spans="2:26" ht="13.5">
      <c r="B68" s="583"/>
      <c r="C68" s="77"/>
      <c r="D68" s="106"/>
      <c r="E68" s="106"/>
      <c r="F68" s="106"/>
      <c r="G68" s="106"/>
      <c r="H68" s="106"/>
      <c r="I68" s="106"/>
      <c r="J68" s="106"/>
      <c r="K68" s="79"/>
      <c r="L68" s="118" t="s">
        <v>207</v>
      </c>
      <c r="M68" s="119">
        <v>2</v>
      </c>
      <c r="N68" s="119">
        <v>2</v>
      </c>
      <c r="O68" s="119">
        <v>4</v>
      </c>
      <c r="P68" s="108">
        <v>0</v>
      </c>
      <c r="Q68" s="78"/>
      <c r="R68" s="70"/>
      <c r="S68" s="70"/>
      <c r="T68" s="70"/>
      <c r="U68" s="70"/>
      <c r="V68" s="70"/>
      <c r="W68" s="70"/>
      <c r="X68" s="70"/>
      <c r="Y68" s="70"/>
      <c r="Z68" s="70"/>
    </row>
    <row r="69" spans="2:26" ht="13.5">
      <c r="B69" s="583"/>
      <c r="C69" s="77"/>
      <c r="D69" s="106"/>
      <c r="E69" s="106"/>
      <c r="F69" s="106"/>
      <c r="G69" s="106"/>
      <c r="H69" s="106"/>
      <c r="I69" s="106"/>
      <c r="J69" s="106"/>
      <c r="K69" s="79"/>
      <c r="L69" s="106" t="s">
        <v>500</v>
      </c>
      <c r="M69" s="106"/>
      <c r="N69" s="106"/>
      <c r="O69" s="106"/>
      <c r="P69" s="106"/>
      <c r="Q69" s="78"/>
      <c r="R69" s="70"/>
      <c r="S69" s="70"/>
      <c r="T69" s="70"/>
      <c r="U69" s="70"/>
      <c r="V69" s="70"/>
      <c r="W69" s="70"/>
      <c r="X69" s="70"/>
      <c r="Y69" s="70"/>
      <c r="Z69" s="70"/>
    </row>
    <row r="70" spans="2:26" ht="13.5">
      <c r="B70" s="583"/>
      <c r="C70" s="77"/>
      <c r="D70" s="106"/>
      <c r="E70" s="106"/>
      <c r="F70" s="106"/>
      <c r="G70" s="106"/>
      <c r="H70" s="106"/>
      <c r="I70" s="106"/>
      <c r="J70" s="106"/>
      <c r="K70" s="79"/>
      <c r="L70" s="584" t="s">
        <v>378</v>
      </c>
      <c r="M70" s="585" t="s">
        <v>497</v>
      </c>
      <c r="N70" s="529"/>
      <c r="O70" s="585" t="s">
        <v>498</v>
      </c>
      <c r="P70" s="528"/>
      <c r="Q70" s="78"/>
      <c r="R70" s="70"/>
      <c r="S70" s="70"/>
      <c r="T70" s="70"/>
      <c r="U70" s="70"/>
      <c r="V70" s="70"/>
      <c r="W70" s="70"/>
      <c r="X70" s="70"/>
      <c r="Y70" s="70"/>
      <c r="Z70" s="70"/>
    </row>
    <row r="71" spans="2:26" ht="13.5">
      <c r="B71" s="583"/>
      <c r="C71" s="77"/>
      <c r="D71" s="106"/>
      <c r="E71" s="106"/>
      <c r="F71" s="106"/>
      <c r="G71" s="106"/>
      <c r="H71" s="106"/>
      <c r="I71" s="106"/>
      <c r="J71" s="106"/>
      <c r="K71" s="79"/>
      <c r="L71" s="545"/>
      <c r="M71" s="109" t="s">
        <v>0</v>
      </c>
      <c r="N71" s="109" t="s">
        <v>499</v>
      </c>
      <c r="O71" s="109" t="s">
        <v>0</v>
      </c>
      <c r="P71" s="117" t="s">
        <v>499</v>
      </c>
      <c r="Q71" s="78"/>
      <c r="R71" s="70"/>
      <c r="S71" s="70"/>
      <c r="T71" s="70"/>
      <c r="U71" s="70"/>
      <c r="V71" s="70"/>
      <c r="W71" s="70"/>
      <c r="X71" s="70"/>
      <c r="Y71" s="70"/>
      <c r="Z71" s="70"/>
    </row>
    <row r="72" spans="2:26" ht="13.5">
      <c r="B72" s="583"/>
      <c r="C72" s="77"/>
      <c r="D72" s="106"/>
      <c r="E72" s="106"/>
      <c r="F72" s="106"/>
      <c r="G72" s="106"/>
      <c r="H72" s="106"/>
      <c r="I72" s="106"/>
      <c r="J72" s="106"/>
      <c r="K72" s="79"/>
      <c r="L72" s="118" t="s">
        <v>464</v>
      </c>
      <c r="M72" s="119">
        <v>1</v>
      </c>
      <c r="N72" s="119">
        <v>1</v>
      </c>
      <c r="O72" s="119">
        <v>2</v>
      </c>
      <c r="P72" s="108">
        <v>0</v>
      </c>
      <c r="Q72" s="78"/>
      <c r="R72" s="70"/>
      <c r="S72" s="70"/>
      <c r="T72" s="70"/>
      <c r="U72" s="70"/>
      <c r="V72" s="70"/>
      <c r="W72" s="70"/>
      <c r="X72" s="70"/>
      <c r="Y72" s="70"/>
      <c r="Z72" s="70"/>
    </row>
    <row r="73" spans="2:26" ht="13.5">
      <c r="B73" s="583"/>
      <c r="C73" s="77"/>
      <c r="D73" s="106"/>
      <c r="E73" s="106"/>
      <c r="F73" s="106"/>
      <c r="G73" s="106"/>
      <c r="H73" s="106"/>
      <c r="I73" s="106"/>
      <c r="J73" s="106"/>
      <c r="K73" s="79"/>
      <c r="L73" s="118" t="s">
        <v>468</v>
      </c>
      <c r="M73" s="119">
        <v>2</v>
      </c>
      <c r="N73" s="119">
        <v>2</v>
      </c>
      <c r="O73" s="119">
        <v>0</v>
      </c>
      <c r="P73" s="108">
        <v>4</v>
      </c>
      <c r="Q73" s="78"/>
      <c r="R73" s="70"/>
      <c r="S73" s="70"/>
      <c r="T73" s="70"/>
      <c r="U73" s="70"/>
      <c r="V73" s="70"/>
      <c r="W73" s="70"/>
      <c r="X73" s="70"/>
      <c r="Y73" s="70"/>
      <c r="Z73" s="70"/>
    </row>
    <row r="74" spans="2:26" ht="13.5">
      <c r="B74" s="583"/>
      <c r="C74" s="77"/>
      <c r="D74" s="106"/>
      <c r="E74" s="106"/>
      <c r="F74" s="106"/>
      <c r="G74" s="106"/>
      <c r="H74" s="106"/>
      <c r="I74" s="106"/>
      <c r="J74" s="106"/>
      <c r="K74" s="79"/>
      <c r="L74" s="586" t="s">
        <v>501</v>
      </c>
      <c r="M74" s="579" t="s">
        <v>502</v>
      </c>
      <c r="N74" s="579" t="s">
        <v>502</v>
      </c>
      <c r="O74" s="120">
        <v>8</v>
      </c>
      <c r="P74" s="121">
        <v>0</v>
      </c>
      <c r="Q74" s="78"/>
      <c r="R74" s="70"/>
      <c r="S74" s="70"/>
      <c r="T74" s="70"/>
      <c r="U74" s="70"/>
      <c r="V74" s="70"/>
      <c r="W74" s="70"/>
      <c r="X74" s="70"/>
      <c r="Y74" s="70"/>
      <c r="Z74" s="70"/>
    </row>
    <row r="75" spans="2:26" ht="13.5">
      <c r="B75" s="583"/>
      <c r="C75" s="77"/>
      <c r="D75" s="106"/>
      <c r="E75" s="106"/>
      <c r="F75" s="106"/>
      <c r="G75" s="106"/>
      <c r="H75" s="106"/>
      <c r="I75" s="106"/>
      <c r="J75" s="106"/>
      <c r="K75" s="79"/>
      <c r="L75" s="587"/>
      <c r="M75" s="555"/>
      <c r="N75" s="555"/>
      <c r="O75" s="120">
        <v>4</v>
      </c>
      <c r="P75" s="121">
        <v>4</v>
      </c>
      <c r="Q75" s="78"/>
      <c r="R75" s="70"/>
      <c r="S75" s="70"/>
      <c r="T75" s="70"/>
      <c r="U75" s="70"/>
      <c r="V75" s="70"/>
      <c r="W75" s="70"/>
      <c r="X75" s="70"/>
      <c r="Y75" s="70"/>
      <c r="Z75" s="70"/>
    </row>
    <row r="76" spans="2:26" ht="33.75" customHeight="1">
      <c r="B76" s="583"/>
      <c r="C76" s="77"/>
      <c r="D76" s="106"/>
      <c r="E76" s="106"/>
      <c r="F76" s="106"/>
      <c r="G76" s="106"/>
      <c r="H76" s="106"/>
      <c r="I76" s="106"/>
      <c r="J76" s="106"/>
      <c r="K76" s="79"/>
      <c r="L76" s="580" t="s">
        <v>503</v>
      </c>
      <c r="M76" s="565"/>
      <c r="N76" s="565"/>
      <c r="O76" s="565"/>
      <c r="P76" s="565"/>
      <c r="Q76" s="78"/>
      <c r="R76" s="70"/>
      <c r="S76" s="70"/>
      <c r="T76" s="70"/>
      <c r="U76" s="70"/>
      <c r="V76" s="70"/>
      <c r="W76" s="70"/>
      <c r="X76" s="70"/>
      <c r="Y76" s="70"/>
      <c r="Z76" s="70"/>
    </row>
    <row r="77" spans="2:26" ht="5.25" customHeight="1">
      <c r="B77" s="583"/>
      <c r="C77" s="122"/>
      <c r="D77" s="123"/>
      <c r="E77" s="123"/>
      <c r="F77" s="123"/>
      <c r="G77" s="123"/>
      <c r="H77" s="123"/>
      <c r="I77" s="123"/>
      <c r="J77" s="123"/>
      <c r="K77" s="124"/>
      <c r="L77" s="123"/>
      <c r="M77" s="123"/>
      <c r="N77" s="123"/>
      <c r="O77" s="123"/>
      <c r="P77" s="123"/>
      <c r="Q77" s="125"/>
      <c r="R77" s="70"/>
      <c r="S77" s="70"/>
      <c r="T77" s="70"/>
      <c r="U77" s="70"/>
      <c r="V77" s="70"/>
      <c r="W77" s="70"/>
      <c r="X77" s="70"/>
      <c r="Y77" s="70"/>
      <c r="Z77" s="70"/>
    </row>
    <row r="78" spans="2:26" ht="5.25" customHeight="1">
      <c r="B78" s="581" t="s">
        <v>504</v>
      </c>
      <c r="C78" s="126"/>
      <c r="D78" s="127"/>
      <c r="E78" s="127"/>
      <c r="F78" s="127"/>
      <c r="G78" s="127"/>
      <c r="H78" s="127"/>
      <c r="I78" s="127"/>
      <c r="J78" s="127"/>
      <c r="K78" s="128"/>
      <c r="L78" s="127"/>
      <c r="M78" s="127"/>
      <c r="N78" s="127"/>
      <c r="O78" s="127"/>
      <c r="P78" s="127"/>
      <c r="Q78" s="129"/>
      <c r="R78" s="70"/>
      <c r="S78" s="70"/>
      <c r="T78" s="70"/>
      <c r="U78" s="70"/>
      <c r="V78" s="70"/>
      <c r="W78" s="70"/>
      <c r="X78" s="70"/>
      <c r="Y78" s="70"/>
      <c r="Z78" s="70"/>
    </row>
    <row r="79" spans="2:26" ht="13.5">
      <c r="B79" s="540"/>
      <c r="C79" s="77"/>
      <c r="D79" s="106" t="s">
        <v>505</v>
      </c>
      <c r="E79" s="106"/>
      <c r="F79" s="106"/>
      <c r="G79" s="106"/>
      <c r="H79" s="106"/>
      <c r="I79" s="106"/>
      <c r="J79" s="106"/>
      <c r="K79" s="79"/>
      <c r="L79" s="106" t="s">
        <v>506</v>
      </c>
      <c r="M79" s="106"/>
      <c r="N79" s="106"/>
      <c r="O79" s="106"/>
      <c r="P79" s="106"/>
      <c r="Q79" s="78"/>
      <c r="R79" s="70"/>
      <c r="S79" s="70"/>
      <c r="T79" s="70"/>
      <c r="U79" s="70"/>
      <c r="V79" s="70"/>
      <c r="W79" s="70"/>
      <c r="X79" s="70"/>
      <c r="Y79" s="70"/>
      <c r="Z79" s="70"/>
    </row>
    <row r="80" spans="2:26" ht="13.5">
      <c r="B80" s="540"/>
      <c r="C80" s="77"/>
      <c r="D80" s="106"/>
      <c r="E80" s="106"/>
      <c r="F80" s="106"/>
      <c r="G80" s="106"/>
      <c r="H80" s="106"/>
      <c r="I80" s="106"/>
      <c r="J80" s="106"/>
      <c r="K80" s="79"/>
      <c r="L80" s="106" t="s">
        <v>507</v>
      </c>
      <c r="M80" s="106"/>
      <c r="N80" s="106"/>
      <c r="O80" s="106"/>
      <c r="P80" s="106"/>
      <c r="Q80" s="78"/>
      <c r="R80" s="70"/>
      <c r="S80" s="70"/>
      <c r="T80" s="70"/>
      <c r="U80" s="70"/>
      <c r="V80" s="70"/>
      <c r="W80" s="70"/>
      <c r="X80" s="70"/>
      <c r="Y80" s="70"/>
      <c r="Z80" s="70"/>
    </row>
    <row r="81" spans="2:26" ht="5.25" customHeight="1" thickBot="1">
      <c r="B81" s="541"/>
      <c r="C81" s="80"/>
      <c r="D81" s="81"/>
      <c r="E81" s="81"/>
      <c r="F81" s="81"/>
      <c r="G81" s="81"/>
      <c r="H81" s="81"/>
      <c r="I81" s="81"/>
      <c r="J81" s="81"/>
      <c r="K81" s="83"/>
      <c r="L81" s="81"/>
      <c r="M81" s="81"/>
      <c r="N81" s="81"/>
      <c r="O81" s="81"/>
      <c r="P81" s="81"/>
      <c r="Q81" s="82"/>
      <c r="R81" s="70"/>
      <c r="S81" s="70"/>
      <c r="T81" s="70"/>
      <c r="U81" s="70"/>
      <c r="V81" s="70"/>
      <c r="W81" s="70"/>
      <c r="X81" s="70"/>
      <c r="Y81" s="70"/>
      <c r="Z81" s="70"/>
    </row>
    <row r="82" spans="2:26" ht="4.5" customHeight="1"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2:26" ht="13.5" hidden="1"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2:26" ht="13.5" hidden="1"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2:26" ht="13.5" hidden="1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2:26" ht="13.5" hidden="1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2:26" ht="13.5" hidden="1"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2:26" ht="13.5" hidden="1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2:26" ht="13.5" hidden="1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2:26" ht="13.5" hidden="1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2:26" ht="13.5" hidden="1"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2:26" ht="13.5" hidden="1"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2:26" ht="13.5" hidden="1"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2:26" ht="13.5" hidden="1"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2:26" ht="13.5" hidden="1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2:26" ht="13.5" hidden="1"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2:26" ht="13.5" hidden="1"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2:26" ht="13.5" hidden="1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2:26" ht="13.5" hidden="1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2:26" ht="13.5" hidden="1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2:26" ht="13.5" hidden="1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2:26" ht="13.5" hidden="1"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2:26" ht="13.5" hidden="1"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2:26" ht="13.5" hidden="1"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2:26" ht="13.5" hidden="1"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2:26" ht="13.5" hidden="1"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2:26" ht="13.5" hidden="1"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2:26" ht="13.5" hidden="1"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2:26" ht="13.5" hidden="1"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2:26" ht="13.5" hidden="1"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2:26" ht="13.5" hidden="1"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2:26" ht="13.5" hidden="1"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2:26" ht="13.5" hidden="1"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2:26" ht="13.5" hidden="1"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2:26" ht="13.5" hidden="1"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2:26" ht="13.5" hidden="1"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2:26" ht="13.5" hidden="1"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2:26" ht="13.5" hidden="1"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2:26" ht="13.5" hidden="1"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2:26" ht="13.5" hidden="1"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2:26" ht="13.5" hidden="1"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2:26" ht="13.5" hidden="1"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2:26" ht="13.5" hidden="1"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2:26" ht="13.5" hidden="1"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2:26" ht="13.5" hidden="1"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2:26" ht="13.5" hidden="1"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2:26" ht="13.5" hidden="1"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2:26" ht="13.5" hidden="1"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2:26" ht="13.5" hidden="1"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2:26" ht="13.5" hidden="1"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2:26" ht="13.5" hidden="1"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2:26" ht="13.5" hidden="1"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2:26" ht="13.5" hidden="1"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2:26" ht="13.5" hidden="1"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2:26" ht="13.5" hidden="1"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2:26" ht="13.5" hidden="1"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2:26" ht="13.5" hidden="1"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2:26" ht="13.5" hidden="1"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2:26" ht="13.5" hidden="1"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2:26" ht="13.5" hidden="1"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2:26" ht="13.5" hidden="1"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2:26" ht="13.5" hidden="1"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2:26" ht="13.5" hidden="1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2:26" ht="13.5" hidden="1"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2:26" ht="13.5" hidden="1"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2:26" ht="13.5" hidden="1"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2:26" ht="13.5" hidden="1"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2:26" ht="13.5" hidden="1"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2:26" ht="13.5" hidden="1"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2:26" ht="13.5" hidden="1"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2:26" ht="13.5" hidden="1"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2:26" ht="13.5" hidden="1"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2:26" ht="13.5" hidden="1"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2:26" ht="13.5" hidden="1"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2:26" ht="13.5" hidden="1"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2:26" ht="13.5" hidden="1"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2:26" ht="13.5" hidden="1"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2:26" ht="13.5" hidden="1"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2:26" ht="13.5" hidden="1"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2:26" ht="13.5" hidden="1"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2:26" ht="13.5" hidden="1"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2:26" ht="13.5" hidden="1"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2:26" ht="13.5" hidden="1"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2:26" ht="13.5" hidden="1"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2:26" ht="13.5" hidden="1"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2:26" ht="13.5" hidden="1"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2:26" ht="13.5" hidden="1"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2:26" ht="13.5" hidden="1"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2:26" ht="13.5" hidden="1"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2:26" ht="13.5" hidden="1"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2:26" ht="13.5" hidden="1"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2:26" ht="13.5" hidden="1"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2:26" ht="13.5" hidden="1"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2:26" ht="13.5" hidden="1"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2:26" ht="13.5" hidden="1"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2:26" ht="13.5" hidden="1"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2:26" ht="13.5" hidden="1"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2:26" ht="13.5" hidden="1"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2:26" ht="13.5" hidden="1"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2:26" ht="13.5" hidden="1"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2:26" ht="13.5" hidden="1"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2:26" ht="13.5" hidden="1"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2:26" ht="13.5" hidden="1"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2:26" ht="13.5" hidden="1"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2:26" ht="13.5" hidden="1"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2:26" ht="13.5" hidden="1"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2:26" ht="13.5" hidden="1"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2:26" ht="13.5" hidden="1"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2:26" ht="13.5" hidden="1"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2:26" ht="13.5" hidden="1"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2:26" ht="13.5" hidden="1"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2:26" ht="13.5" hidden="1"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2:26" ht="13.5" hidden="1"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2:26" ht="13.5" hidden="1"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2:26" ht="13.5" hidden="1"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2:26" ht="13.5" hidden="1"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2:26" ht="13.5" hidden="1"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2:26" ht="13.5" hidden="1"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2:26" ht="13.5" hidden="1"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2:26" ht="13.5" hidden="1"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2:26" ht="13.5" hidden="1"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2:26" ht="13.5" hidden="1"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2:26" ht="13.5" hidden="1"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2:26" ht="13.5" hidden="1"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2:26" ht="13.5" hidden="1"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2:26" ht="13.5" hidden="1"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2:26" ht="13.5" hidden="1"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2:26" ht="13.5" hidden="1"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2:26" ht="13.5" hidden="1"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2:26" ht="13.5" hidden="1"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2:26" ht="13.5" hidden="1"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2:26" ht="13.5" hidden="1"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2:26" ht="13.5" hidden="1"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2:26" ht="13.5" hidden="1"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2:26" ht="13.5" hidden="1"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2:26" ht="13.5" hidden="1"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2:26" ht="13.5" hidden="1"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2:26" ht="13.5" hidden="1"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2:26" ht="13.5" hidden="1"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2:26" ht="13.5" hidden="1"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2:26" ht="13.5" hidden="1"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2:26" ht="13.5" hidden="1"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2:26" ht="13.5" hidden="1"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2:26" ht="13.5" hidden="1"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2:26" ht="13.5" hidden="1"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2:26" ht="13.5" hidden="1"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2:26" ht="13.5" hidden="1"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2:26" ht="13.5" hidden="1"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2:26" ht="13.5" hidden="1"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2:26" ht="13.5" hidden="1"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2:26" ht="13.5" hidden="1"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2:26" ht="13.5" hidden="1"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2:26" ht="13.5" hidden="1"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2:26" ht="13.5" hidden="1"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2:26" ht="13.5" hidden="1"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2:26" ht="13.5" hidden="1"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2:26" ht="13.5" hidden="1"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2:26" ht="13.5" hidden="1"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2:26" ht="13.5" hidden="1"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2:26" ht="13.5" hidden="1"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2:26" ht="13.5" hidden="1"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2:26" ht="13.5" hidden="1"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2:26" ht="13.5" hidden="1"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2:26" ht="13.5" hidden="1"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2:26" ht="13.5" hidden="1"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2:26" ht="13.5" hidden="1"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2:26" ht="13.5" hidden="1"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2:26" ht="13.5" hidden="1"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2:26" ht="13.5" hidden="1"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2:26" ht="13.5" hidden="1"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2:26" ht="13.5" hidden="1"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2:26" ht="13.5" hidden="1"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2:26" ht="13.5" hidden="1"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2:26" ht="13.5" hidden="1"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2:26" ht="13.5" hidden="1"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2:26" ht="13.5" hidden="1"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2:26" ht="13.5" hidden="1"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2:26" ht="13.5" hidden="1"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2:26" ht="13.5" hidden="1"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2:26" ht="13.5" hidden="1"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2:26" ht="13.5" hidden="1"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2:26" ht="13.5" hidden="1"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2:26" ht="13.5" hidden="1"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2:26" ht="13.5" hidden="1"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2:26" ht="13.5" hidden="1"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2:26" ht="13.5" hidden="1"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2:26" ht="13.5" hidden="1"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2:26" ht="13.5" hidden="1"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2:26" ht="13.5" hidden="1"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2:26" ht="13.5" hidden="1"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2:26" ht="13.5" hidden="1"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2:26" ht="13.5" hidden="1"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2:26" ht="13.5" hidden="1"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2:26" ht="13.5" hidden="1"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2:26" ht="13.5" hidden="1"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2:26" ht="13.5" hidden="1"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2:26" ht="13.5" hidden="1"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2:26" ht="13.5" hidden="1"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2:26" ht="13.5" hidden="1"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2:26" ht="13.5" hidden="1"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2:26" ht="13.5" hidden="1"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2:26" ht="13.5" hidden="1"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2:26" ht="13.5" hidden="1"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2:26" ht="13.5" hidden="1"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2:26" ht="13.5" hidden="1"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2:26" ht="13.5" hidden="1"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2:26" ht="13.5" hidden="1"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2:26" ht="13.5" hidden="1"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2:26" ht="13.5" hidden="1"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2:26" ht="13.5" hidden="1"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2:26" ht="13.5" hidden="1"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2:26" ht="13.5" hidden="1"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2:26" ht="13.5" hidden="1"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2:26" ht="13.5" hidden="1"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2:26" ht="13.5" hidden="1"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2:26" ht="13.5" hidden="1"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2:26" ht="13.5" hidden="1"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2:26" ht="13.5" hidden="1"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2:26" ht="13.5" hidden="1"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2:26" ht="13.5" hidden="1"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2:26" ht="13.5" hidden="1"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2:26" ht="13.5" hidden="1"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2:26" ht="13.5" hidden="1"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2:26" ht="13.5" hidden="1"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2:26" ht="13.5" hidden="1"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2:26" ht="13.5" hidden="1"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2:26" ht="13.5" hidden="1"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2:26" ht="13.5" hidden="1"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2:26" ht="13.5" hidden="1"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2:26" ht="13.5" hidden="1"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2:26" ht="13.5" hidden="1"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2:26" ht="13.5" hidden="1"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2:26" ht="13.5" hidden="1"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2:26" ht="13.5" hidden="1"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2:26" ht="13.5" hidden="1"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2:26" ht="13.5" hidden="1"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2:26" ht="13.5" hidden="1"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2:26" ht="13.5" hidden="1"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2:26" ht="13.5" hidden="1"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2:26" ht="13.5" hidden="1"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2:26" ht="13.5" hidden="1"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2:26" ht="13.5" hidden="1"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2:26" ht="13.5" hidden="1"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2:26" ht="13.5" hidden="1"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2:26" ht="13.5" hidden="1"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2:26" ht="13.5" hidden="1"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2:26" ht="13.5" hidden="1"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2:26" ht="13.5" hidden="1"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2:26" ht="13.5" hidden="1"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2:26" ht="13.5" hidden="1"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2:26" ht="13.5" hidden="1"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2:26" ht="13.5" hidden="1"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2:26" ht="13.5" hidden="1"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2:26" ht="13.5" hidden="1"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2:26" ht="13.5" hidden="1"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2:26" ht="13.5" hidden="1"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2:26" ht="13.5" hidden="1"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2:26" ht="13.5" hidden="1"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2:26" ht="13.5" hidden="1"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2:26" ht="13.5" hidden="1"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2:26" ht="13.5" hidden="1"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2:26" ht="13.5" hidden="1"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2:26" ht="13.5" hidden="1"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2:26" ht="13.5" hidden="1"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2:26" ht="13.5" hidden="1"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2:26" ht="13.5" hidden="1"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2:26" ht="13.5" hidden="1"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2:26" ht="13.5" hidden="1"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2:26" ht="13.5" hidden="1"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2:26" ht="13.5" hidden="1"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2:26" ht="13.5" hidden="1"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2:26" ht="13.5" hidden="1"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2:26" ht="13.5" hidden="1"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2:26" ht="13.5" hidden="1"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2:26" ht="13.5" hidden="1"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2:26" ht="13.5" hidden="1"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2:26" ht="13.5" hidden="1"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2:26" ht="13.5" hidden="1"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2:26" ht="13.5" hidden="1"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2:26" ht="13.5" hidden="1"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2:26" ht="13.5" hidden="1"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2:26" ht="13.5" hidden="1"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2:26" ht="13.5" hidden="1"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2:26" ht="13.5" hidden="1"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2:26" ht="13.5" hidden="1"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2:26" ht="13.5" hidden="1"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2:26" ht="13.5" hidden="1"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2:26" ht="13.5" hidden="1"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2:26" ht="13.5" hidden="1"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2:26" ht="13.5" hidden="1"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2:26" ht="13.5" hidden="1"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2:26" ht="13.5" hidden="1"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2:26" ht="13.5" hidden="1"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2:26" ht="13.5" hidden="1"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2:26" ht="13.5" hidden="1"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2:26" ht="13.5" hidden="1"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2:26" ht="13.5" hidden="1"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2:26" ht="13.5" hidden="1"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2:26" ht="13.5" hidden="1"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2:26" ht="13.5" hidden="1"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2:26" ht="13.5" hidden="1"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2:26" ht="13.5" hidden="1"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2:26" ht="13.5" hidden="1"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2:26" ht="13.5" hidden="1"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2:26" ht="13.5" hidden="1"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2:26" ht="13.5" hidden="1"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2:26" ht="13.5" hidden="1"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2:26" ht="13.5" hidden="1"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2:26" ht="13.5" hidden="1"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2:26" ht="13.5" hidden="1"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2:26" ht="13.5" hidden="1"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2:26" ht="13.5" hidden="1"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2:26" ht="13.5" hidden="1"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2:26" ht="13.5" hidden="1"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2:26" ht="13.5" hidden="1"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2:26" ht="13.5" hidden="1"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2:26" ht="13.5" hidden="1"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2:26" ht="13.5" hidden="1"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2:26" ht="13.5" hidden="1"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2:26" ht="13.5" hidden="1"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2:26" ht="13.5" hidden="1"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2:26" ht="13.5" hidden="1"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2:26" ht="13.5" hidden="1"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2:26" ht="13.5" hidden="1"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2:26" ht="13.5" hidden="1"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2:26" ht="13.5" hidden="1"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2:26" ht="13.5" hidden="1"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2:26" ht="13.5" hidden="1"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2:26" ht="13.5" hidden="1"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2:26" ht="13.5" hidden="1"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2:26" ht="13.5" hidden="1"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2:26" ht="13.5" hidden="1"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2:26" ht="13.5" hidden="1"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2:26" ht="13.5" hidden="1"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2:26" ht="13.5" hidden="1"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2:26" ht="13.5" hidden="1"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2:26" ht="13.5" hidden="1"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2:26" ht="13.5" hidden="1"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2:26" ht="13.5" hidden="1"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2:26" ht="13.5" hidden="1"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2:26" ht="13.5" hidden="1"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2:26" ht="13.5" hidden="1"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2:26" ht="13.5" hidden="1"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2:26" ht="13.5" hidden="1"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2:26" ht="13.5" hidden="1"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2:26" ht="13.5" hidden="1"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2:26" ht="13.5" hidden="1"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2:26" ht="13.5" hidden="1"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2:26" ht="13.5" hidden="1"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2:26" ht="13.5" hidden="1"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2:26" ht="13.5" hidden="1"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2:26" ht="13.5" hidden="1"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2:26" ht="13.5" hidden="1"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2:26" ht="13.5" hidden="1"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2:26" ht="13.5" hidden="1"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2:26" ht="13.5" hidden="1"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2:26" ht="13.5" hidden="1"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2:26" ht="13.5" hidden="1"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2:26" ht="13.5" hidden="1"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2:26" ht="13.5" hidden="1"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2:26" ht="13.5" hidden="1"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2:26" ht="13.5" hidden="1"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2:26" ht="13.5" hidden="1"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2:26" ht="13.5" hidden="1"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2:26" ht="13.5" hidden="1"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2:26" ht="13.5" hidden="1"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2:26" ht="13.5" hidden="1"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2:26" ht="13.5" hidden="1"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2:26" ht="13.5" hidden="1"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2:26" ht="13.5" hidden="1"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2:26" ht="13.5" hidden="1"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2:26" ht="13.5" hidden="1"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2:26" ht="13.5" hidden="1"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2:26" ht="13.5" hidden="1"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2:26" ht="13.5" hidden="1"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2:26" ht="13.5" hidden="1"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2:26" ht="13.5" hidden="1"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2:26" ht="13.5" hidden="1"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2:26" ht="13.5" hidden="1"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2:26" ht="13.5" hidden="1"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2:26" ht="13.5" hidden="1"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2:26" ht="13.5" hidden="1"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2:26" ht="13.5" hidden="1"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2:26" ht="13.5" hidden="1"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2:26" ht="13.5" hidden="1"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2:26" ht="13.5" hidden="1"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2:26" ht="13.5" hidden="1"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2:26" ht="13.5" hidden="1"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2:26" ht="13.5" hidden="1"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2:26" ht="13.5" hidden="1"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2:26" ht="13.5" hidden="1"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2:26" ht="13.5" hidden="1"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2:26" ht="13.5" hidden="1"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2:26" ht="13.5" hidden="1"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2:26" ht="13.5" hidden="1"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2:26" ht="13.5" hidden="1"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2:26" ht="13.5" hidden="1"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2:26" ht="13.5" hidden="1"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2:26" ht="13.5" hidden="1"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2:26" ht="13.5" hidden="1"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2:26" ht="13.5" hidden="1"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2:26" ht="13.5" hidden="1"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2:26" ht="13.5" hidden="1"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2:26" ht="13.5" hidden="1"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2:26" ht="13.5" hidden="1"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2:26" ht="13.5" hidden="1"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2:26" ht="13.5" hidden="1"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2:26" ht="13.5" hidden="1"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2:26" ht="13.5" hidden="1"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2:26" ht="13.5" hidden="1"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2:26" ht="13.5" hidden="1"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2:26" ht="13.5" hidden="1"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2:26" ht="13.5" hidden="1"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2:26" ht="13.5" hidden="1"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2:26" ht="13.5" hidden="1"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2:26" ht="13.5" hidden="1"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2:26" ht="13.5" hidden="1"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2:26" ht="13.5" hidden="1"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2:26" ht="13.5" hidden="1"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2:26" ht="13.5" hidden="1"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2:26" ht="13.5" hidden="1"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2:26" ht="13.5" hidden="1"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2:26" ht="13.5" hidden="1"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2:26" ht="13.5" hidden="1"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2:26" ht="13.5" hidden="1"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2:26" ht="13.5" hidden="1"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2:26" ht="13.5" hidden="1"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2:26" ht="13.5" hidden="1"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2:26" ht="13.5" hidden="1"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2:26" ht="13.5" hidden="1"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2:26" ht="13.5" hidden="1"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2:26" ht="13.5" hidden="1"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2:26" ht="13.5" hidden="1"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2:26" ht="13.5" hidden="1"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2:26" ht="13.5" hidden="1"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2:26" ht="13.5" hidden="1"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2:26" ht="13.5" hidden="1"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2:26" ht="13.5" hidden="1"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2:26" ht="13.5" hidden="1"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2:26" ht="13.5" hidden="1"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2:26" ht="13.5" hidden="1"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2:26" ht="13.5" hidden="1"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2:26" ht="13.5" hidden="1"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2:26" ht="13.5" hidden="1"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2:26" ht="13.5" hidden="1"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2:26" ht="13.5" hidden="1"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2:26" ht="13.5" hidden="1"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2:26" ht="13.5" hidden="1"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2:26" ht="13.5" hidden="1"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2:26" ht="13.5" hidden="1"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2:26" ht="13.5" hidden="1"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2:26" ht="13.5" hidden="1"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2:26" ht="13.5" hidden="1"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2:26" ht="13.5" hidden="1"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2:26" ht="13.5" hidden="1"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2:26" ht="13.5" hidden="1"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2:26" ht="13.5" hidden="1"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2:26" ht="13.5" hidden="1"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2:26" ht="13.5" hidden="1"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2:26" ht="13.5" hidden="1"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2:26" ht="13.5" hidden="1"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2:26" ht="13.5" hidden="1"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2:26" ht="13.5" hidden="1"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2:26" ht="13.5" hidden="1"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2:26" ht="13.5" hidden="1"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2:26" ht="13.5" hidden="1"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2:26" ht="13.5" hidden="1"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2:26" ht="13.5" hidden="1"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2:26" ht="13.5" hidden="1"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2:26" ht="13.5" hidden="1"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2:26" ht="13.5" hidden="1"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2:26" ht="13.5" hidden="1"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2:26" ht="13.5" hidden="1"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2:26" ht="13.5" hidden="1"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2:26" ht="13.5" hidden="1"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2:26" ht="13.5" hidden="1"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2:26" ht="13.5" hidden="1"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2:26" ht="13.5" hidden="1"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2:26" ht="13.5" hidden="1"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2:26" ht="13.5" hidden="1"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2:26" ht="13.5" hidden="1"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2:26" ht="13.5" hidden="1"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2:26" ht="13.5" hidden="1"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2:26" ht="13.5" hidden="1"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2:26" ht="13.5" hidden="1"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2:26" ht="13.5" hidden="1"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2:26" ht="13.5" hidden="1"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2:26" ht="13.5" hidden="1"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2:26" ht="13.5" hidden="1"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2:26" ht="13.5" hidden="1"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2:26" ht="13.5" hidden="1"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2:26" ht="13.5" hidden="1"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2:26" ht="13.5" hidden="1"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2:26" ht="13.5" hidden="1"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2:26" ht="13.5" hidden="1"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2:26" ht="13.5" hidden="1"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2:26" ht="13.5" hidden="1"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2:26" ht="13.5" hidden="1"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2:26" ht="13.5" hidden="1"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2:26" ht="13.5" hidden="1"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2:26" ht="13.5" hidden="1"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2:26" ht="13.5" hidden="1"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2:26" ht="13.5" hidden="1"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2:26" ht="13.5" hidden="1"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2:26" ht="13.5" hidden="1"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2:26" ht="13.5" hidden="1"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2:26" ht="13.5" hidden="1"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2:26" ht="13.5" hidden="1"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2:26" ht="13.5" hidden="1"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2:26" ht="13.5" hidden="1"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2:26" ht="13.5" hidden="1"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2:26" ht="13.5" hidden="1"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2:26" ht="13.5" hidden="1"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2:26" ht="13.5" hidden="1"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2:26" ht="13.5" hidden="1"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2:26" ht="13.5" hidden="1"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2:26" ht="13.5" hidden="1"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2:26" ht="13.5" hidden="1"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2:26" ht="13.5" hidden="1"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2:26" ht="13.5" hidden="1"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2:26" ht="13.5" hidden="1"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2:26" ht="13.5" hidden="1"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2:26" ht="13.5" hidden="1"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2:26" ht="13.5" hidden="1"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2:26" ht="13.5" hidden="1"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2:26" ht="13.5" hidden="1"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2:26" ht="13.5" hidden="1"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2:26" ht="13.5" hidden="1"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2:26" ht="13.5" hidden="1"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2:26" ht="13.5" hidden="1"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2:26" ht="13.5" hidden="1"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2:26" ht="13.5" hidden="1"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2:26" ht="13.5" hidden="1"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2:26" ht="13.5" hidden="1"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2:26" ht="13.5" hidden="1"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2:26" ht="13.5" hidden="1"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2:26" ht="13.5" hidden="1"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2:26" ht="13.5" hidden="1"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2:26" ht="13.5" hidden="1"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2:26" ht="13.5" hidden="1"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2:26" ht="13.5" hidden="1"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2:26" ht="13.5" hidden="1"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2:26" ht="13.5" hidden="1"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2:26" ht="13.5" hidden="1"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2:26" ht="13.5" hidden="1"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2:26" ht="13.5" hidden="1"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2:26" ht="13.5" hidden="1"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2:26" ht="13.5" hidden="1"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2:26" ht="13.5" hidden="1"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2:26" ht="13.5" hidden="1"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2:26" ht="13.5" hidden="1"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2:26" ht="13.5" hidden="1"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2:26" ht="13.5" hidden="1"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2:26" ht="13.5" hidden="1"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2:26" ht="13.5" hidden="1"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2:26" ht="13.5" hidden="1"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2:26" ht="13.5" hidden="1"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2:26" ht="13.5" hidden="1"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2:26" ht="13.5" hidden="1"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2:26" ht="13.5" hidden="1"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2:26" ht="13.5" hidden="1"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2:26" ht="13.5" hidden="1"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2:26" ht="13.5" hidden="1"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2:26" ht="13.5" hidden="1"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2:26" ht="13.5" hidden="1"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2:26" ht="13.5" hidden="1"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2:26" ht="13.5" hidden="1"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2:26" ht="13.5" hidden="1"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2:26" ht="13.5" hidden="1"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2:26" ht="13.5" hidden="1"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2:26" ht="13.5" hidden="1"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2:26" ht="13.5" hidden="1"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2:26" ht="13.5" hidden="1"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2:26" ht="13.5" hidden="1"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2:26" ht="13.5" hidden="1"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2:26" ht="13.5" hidden="1"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2:26" ht="13.5" hidden="1"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2:26" ht="13.5" hidden="1"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2:26" ht="13.5" hidden="1"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2:26" ht="13.5" hidden="1"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2:26" ht="13.5" hidden="1"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2:26" ht="13.5" hidden="1"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2:26" ht="13.5" hidden="1"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2:26" ht="13.5" hidden="1"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2:26" ht="13.5" hidden="1"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2:26" ht="13.5" hidden="1"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2:26" ht="13.5" hidden="1"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2:26" ht="13.5" hidden="1"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2:26" ht="13.5" hidden="1"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2:26" ht="13.5" hidden="1"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2:26" ht="13.5" hidden="1"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2:26" ht="13.5" hidden="1"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2:26" ht="13.5" hidden="1"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2:26" ht="13.5" hidden="1"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2:26" ht="13.5" hidden="1"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2:26" ht="13.5" hidden="1"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2:26" ht="13.5" hidden="1"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2:26" ht="13.5" hidden="1"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2:26" ht="13.5" hidden="1"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2:26" ht="13.5" hidden="1"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2:26" ht="13.5" hidden="1"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2:26" ht="13.5" hidden="1"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2:26" ht="13.5" hidden="1"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2:26" ht="13.5" hidden="1"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2:26" ht="13.5" hidden="1"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2:26" ht="13.5" hidden="1"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2:26" ht="13.5" hidden="1"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2:26" ht="13.5" hidden="1"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2:26" ht="13.5" hidden="1"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2:26" ht="13.5" hidden="1"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2:26" ht="13.5" hidden="1"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2:26" ht="13.5" hidden="1"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2:26" ht="13.5" hidden="1"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2:26" ht="13.5" hidden="1"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2:26" ht="13.5" hidden="1"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2:26" ht="13.5" hidden="1"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2:26" ht="13.5" hidden="1"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2:26" ht="13.5" hidden="1"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2:26" ht="13.5" hidden="1"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2:26" ht="13.5" hidden="1"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2:26" ht="13.5" hidden="1"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2:26" ht="13.5" hidden="1"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2:26" ht="13.5" hidden="1"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2:26" ht="13.5" hidden="1"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2:26" ht="13.5" hidden="1"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2:26" ht="13.5" hidden="1"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2:26" ht="13.5" hidden="1"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2:26" ht="13.5" hidden="1"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2:26" ht="13.5" hidden="1"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2:26" ht="13.5" hidden="1"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2:26" ht="13.5" hidden="1"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2:26" ht="13.5" hidden="1"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2:26" ht="13.5" hidden="1"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2:26" ht="13.5" hidden="1"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2:26" ht="13.5" hidden="1"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2:26" ht="13.5" hidden="1"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2:26" ht="13.5" hidden="1"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2:26" ht="13.5" hidden="1"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2:26" ht="13.5" hidden="1"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2:26" ht="13.5" hidden="1"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2:26" ht="13.5" hidden="1"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2:26" ht="13.5" hidden="1"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2:26" ht="13.5" hidden="1"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2:26" ht="13.5" hidden="1"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2:26" ht="13.5" hidden="1"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2:26" ht="13.5" hidden="1"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2:26" ht="13.5" hidden="1"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2:26" ht="13.5" hidden="1"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2:26" ht="13.5" hidden="1"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2:26" ht="13.5" hidden="1"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2:26" ht="13.5" hidden="1"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2:26" ht="13.5" hidden="1"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2:26" ht="13.5" hidden="1"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2:26" ht="13.5" hidden="1"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2:26" ht="13.5" hidden="1"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2:26" ht="13.5" hidden="1"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2:26" ht="13.5" hidden="1"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2:26" ht="13.5" hidden="1"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2:26" ht="13.5" hidden="1"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2:26" ht="13.5" hidden="1"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2:26" ht="13.5" hidden="1"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2:26" ht="13.5" hidden="1"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2:26" ht="13.5" hidden="1"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2:26" ht="13.5" hidden="1"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2:26" ht="13.5" hidden="1"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2:26" ht="13.5" hidden="1"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2:26" ht="13.5" hidden="1"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2:26" ht="13.5" hidden="1"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2:26" ht="13.5" hidden="1"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2:26" ht="13.5" hidden="1"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2:26" ht="13.5" hidden="1"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2:26" ht="13.5" hidden="1"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2:26" ht="13.5" hidden="1"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2:26" ht="13.5" hidden="1"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2:26" ht="13.5" hidden="1"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2:26" ht="13.5" hidden="1"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2:26" ht="13.5" hidden="1"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2:26" ht="13.5" hidden="1"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2:26" ht="13.5" hidden="1"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2:26" ht="13.5" hidden="1"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2:26" ht="13.5" hidden="1"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2:26" ht="13.5" hidden="1"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2:26" ht="13.5" hidden="1"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2:26" ht="13.5" hidden="1"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2:26" ht="13.5" hidden="1"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2:26" ht="13.5" hidden="1"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2:26" ht="13.5" hidden="1"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2:26" ht="13.5" hidden="1"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2:26" ht="13.5" hidden="1"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2:26" ht="13.5" hidden="1"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2:26" ht="13.5" hidden="1"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2:26" ht="13.5" hidden="1"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2:26" ht="13.5" hidden="1"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2:26" ht="13.5" hidden="1"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2:26" ht="13.5" hidden="1"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2:26" ht="13.5" hidden="1"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2:26" ht="13.5" hidden="1"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2:26" ht="13.5" hidden="1"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2:26" ht="13.5" hidden="1"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2:26" ht="13.5" hidden="1"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2:26" ht="13.5" hidden="1"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2:26" ht="13.5" hidden="1"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2:26" ht="13.5" hidden="1"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2:26" ht="13.5" hidden="1"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2:26" ht="13.5" hidden="1"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2:26" ht="13.5" hidden="1"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2:26" ht="13.5" hidden="1"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2:26" ht="13.5" hidden="1"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2:26" ht="13.5" hidden="1"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2:26" ht="13.5" hidden="1"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2:26" ht="13.5" hidden="1"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2:26" ht="13.5" hidden="1"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2:26" ht="13.5" hidden="1"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2:26" ht="13.5" hidden="1"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2:26" ht="13.5" hidden="1"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2:26" ht="13.5" hidden="1"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2:26" ht="13.5" hidden="1"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2:26" ht="13.5" hidden="1"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2:26" ht="13.5" hidden="1"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2:26" ht="13.5" hidden="1"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2:26" ht="13.5" hidden="1"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2:26" ht="13.5" hidden="1"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2:26" ht="13.5" hidden="1"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2:26" ht="13.5" hidden="1"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2:26" ht="13.5" hidden="1"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2:26" ht="13.5" hidden="1"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2:26" ht="13.5" hidden="1"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2:26" ht="13.5" hidden="1"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2:26" ht="13.5" hidden="1"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2:26" ht="13.5" hidden="1"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2:26" ht="13.5" hidden="1"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2:26" ht="13.5" hidden="1"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2:26" ht="13.5" hidden="1"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2:26" ht="13.5" hidden="1"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2:26" ht="13.5" hidden="1"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2:26" ht="13.5" hidden="1"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2:26" ht="13.5" hidden="1"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2:26" ht="13.5" hidden="1"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2:26" ht="13.5" hidden="1"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2:26" ht="13.5" hidden="1"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2:26" ht="13.5" hidden="1"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2:26" ht="13.5" hidden="1"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2:26" ht="13.5" hidden="1"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2:26" ht="13.5" hidden="1"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2:26" ht="13.5" hidden="1"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2:26" ht="13.5" hidden="1"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2:26" ht="13.5" hidden="1"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2:26" ht="13.5" hidden="1"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2:26" ht="13.5" hidden="1"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2:26" ht="13.5" hidden="1"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2:26" ht="13.5" hidden="1"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2:26" ht="13.5" hidden="1"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2:26" ht="13.5" hidden="1"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2:26" ht="13.5" hidden="1"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2:26" ht="13.5" hidden="1"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2:26" ht="13.5" hidden="1"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2:26" ht="13.5" hidden="1"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2:26" ht="13.5" hidden="1"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2:26" ht="13.5" hidden="1"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2:26" ht="13.5" hidden="1"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2:26" ht="13.5" hidden="1"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2:26" ht="13.5" hidden="1"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2:26" ht="13.5" hidden="1"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2:26" ht="13.5" hidden="1"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2:26" ht="13.5" hidden="1"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2:26" ht="13.5" hidden="1"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2:26" ht="13.5" hidden="1"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2:26" ht="13.5" hidden="1"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2:26" ht="13.5" hidden="1"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2:26" ht="13.5" hidden="1"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2:26" ht="13.5" hidden="1"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2:26" ht="13.5" hidden="1"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2:26" ht="13.5" hidden="1"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2:26" ht="13.5" hidden="1"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2:26" ht="13.5" hidden="1"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2:26" ht="13.5" hidden="1"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2:26" ht="13.5" hidden="1"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2:26" ht="13.5" hidden="1"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2:26" ht="13.5" hidden="1"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2:26" ht="13.5" hidden="1"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2:26" ht="13.5" hidden="1"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2:26" ht="13.5" hidden="1"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2:26" ht="13.5" hidden="1"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2:26" ht="13.5" hidden="1"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2:26" ht="13.5" hidden="1"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2:26" ht="13.5" hidden="1"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2:26" ht="13.5" hidden="1"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2:26" ht="13.5" hidden="1"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2:26" ht="13.5" hidden="1"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2:26" ht="13.5" hidden="1"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2:26" ht="13.5" hidden="1"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2:26" ht="13.5" hidden="1"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2:26" ht="13.5" hidden="1"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2:26" ht="13.5" hidden="1"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2:26" ht="13.5" hidden="1"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2:26" ht="13.5" hidden="1"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2:26" ht="13.5" hidden="1"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2:26" ht="13.5" hidden="1"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2:26" ht="13.5" hidden="1"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2:26" ht="13.5" hidden="1"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2:26" ht="13.5" hidden="1"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2:26" ht="13.5" hidden="1"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2:26" ht="13.5" hidden="1"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2:26" ht="13.5" hidden="1"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2:26" ht="13.5" hidden="1"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2:26" ht="13.5" hidden="1"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2:26" ht="13.5" hidden="1"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2:26" ht="13.5" hidden="1"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2:26" ht="13.5" hidden="1"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2:26" ht="13.5" hidden="1"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2:26" ht="13.5" hidden="1"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2:26" ht="13.5" hidden="1"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2:26" ht="13.5" hidden="1"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2:26" ht="13.5" hidden="1"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2:26" ht="13.5" hidden="1"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2:26" ht="13.5" hidden="1"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2:26" ht="13.5" hidden="1"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2:26" ht="13.5" hidden="1"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2:26" ht="13.5" hidden="1"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2:26" ht="13.5" hidden="1"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2:26" ht="13.5" hidden="1"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2:26" ht="13.5" hidden="1"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2:26" ht="13.5" hidden="1"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2:26" ht="13.5" hidden="1"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2:26" ht="13.5" hidden="1"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2:26" ht="13.5" hidden="1"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2:26" ht="13.5" hidden="1"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2:26" ht="13.5" hidden="1"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2:26" ht="13.5" hidden="1"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2:26" ht="13.5" hidden="1"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2:26" ht="13.5" hidden="1"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2:26" ht="13.5" hidden="1"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2:26" ht="13.5" hidden="1"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2:26" ht="13.5" hidden="1"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2:26" ht="13.5" hidden="1"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2:26" ht="13.5" hidden="1"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2:26" ht="13.5" hidden="1"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2:26" ht="13.5" hidden="1"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2:26" ht="13.5" hidden="1"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2:26" ht="13.5" hidden="1"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2:26" ht="13.5" hidden="1"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2:26" ht="13.5" hidden="1"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2:26" ht="13.5" hidden="1"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2:26" ht="13.5" hidden="1"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2:26" ht="13.5" hidden="1"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2:26" ht="13.5" hidden="1"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2:26" ht="13.5" hidden="1"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2:26" ht="13.5" hidden="1"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2:26" ht="13.5" hidden="1"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2:26" ht="13.5" hidden="1"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2:26" ht="13.5" hidden="1"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2:26" ht="13.5" hidden="1"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2:26" ht="13.5" hidden="1"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2:26" ht="13.5" hidden="1"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2:26" ht="13.5" hidden="1"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2:26" ht="13.5" hidden="1"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2:26" ht="13.5" hidden="1"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2:26" ht="13.5" hidden="1"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2:26" ht="13.5" hidden="1"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2:26" ht="13.5" hidden="1"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2:26" ht="13.5" hidden="1"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2:26" ht="13.5" hidden="1"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2:26" ht="13.5" hidden="1"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2:26" ht="13.5" hidden="1"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2:26" ht="13.5" hidden="1"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2:26" ht="13.5" hidden="1"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2:26" ht="13.5" hidden="1"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2:26" ht="13.5" hidden="1"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2:26" ht="13.5" hidden="1"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2:26" ht="13.5" hidden="1"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2:26" ht="13.5" hidden="1"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2:26" ht="13.5" hidden="1"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2:26" ht="13.5" hidden="1"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2:26" ht="13.5" hidden="1"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2:26" ht="13.5" hidden="1"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2:26" ht="13.5" hidden="1"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2:26" ht="13.5" hidden="1"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2:26" ht="13.5" hidden="1"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2:26" ht="13.5" hidden="1"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2:26" ht="13.5" hidden="1"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2:26" ht="13.5" hidden="1"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2:26" ht="13.5" hidden="1"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2:26" ht="13.5" hidden="1"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2:26" ht="13.5" hidden="1"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2:26" ht="13.5" hidden="1"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2:26" ht="13.5" hidden="1"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2:26" ht="13.5" hidden="1"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2:26" ht="13.5" hidden="1"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2:26" ht="13.5" hidden="1"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2:26" ht="13.5" hidden="1"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2:26" ht="13.5" hidden="1"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2:26" ht="13.5" hidden="1"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2:26" ht="13.5" hidden="1"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2:26" ht="13.5" hidden="1"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2:26" ht="13.5" hidden="1"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2:26" ht="13.5" hidden="1"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2:26" ht="13.5" hidden="1"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2:26" ht="13.5" hidden="1"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2:26" ht="13.5" hidden="1"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2:26" ht="13.5" hidden="1"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2:26" ht="13.5" hidden="1"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2:26" ht="13.5" hidden="1"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2:26" ht="13.5" hidden="1"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2:26" ht="13.5" hidden="1"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2:26" ht="13.5" hidden="1"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2:26" ht="13.5" hidden="1"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2:26" ht="13.5" hidden="1"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2:26" ht="13.5" hidden="1"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2:26" ht="13.5" hidden="1"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2:26" ht="13.5" hidden="1"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2:26" ht="13.5" hidden="1"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2:26" ht="13.5" hidden="1"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2:26" ht="13.5" hidden="1"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2:26" ht="13.5" hidden="1"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2:26" ht="13.5" hidden="1"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2:26" ht="13.5" hidden="1"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2:26" ht="13.5" hidden="1"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2:26" ht="13.5" hidden="1"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2:26" ht="13.5" hidden="1"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교육과정편제표(글로벌외식조리과)</vt:lpstr>
      <vt:lpstr>실무과목 능력단위(글로벌외식조리과)</vt:lpstr>
      <vt:lpstr>교육과정편제표(미디어콘텐츠과)</vt:lpstr>
      <vt:lpstr>실무과목 능력단위(미디어콘텐츠과)</vt:lpstr>
      <vt:lpstr>삭제금지</vt:lpstr>
      <vt:lpstr>(참고1) 편성 기준🔐</vt:lpstr>
      <vt:lpstr>'교육과정편제표(글로벌외식조리과)'!Print_Area</vt:lpstr>
      <vt:lpstr>'교육과정편제표(미디어콘텐츠과)'!Print_Area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2026-10-15T01:26:33Z</cp:lastPrinted>
  <dcterms:created xsi:type="dcterms:W3CDTF">2020-03-04T02:26:59Z</dcterms:created>
  <dcterms:modified xsi:type="dcterms:W3CDTF">2026-10-23T08:15:03Z</dcterms:modified>
</cp:coreProperties>
</file>