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주산산업고등학교(2026)\주산산업고등학교 교육과정부 기획 업무\2027학년도 입학생 편제표\"/>
    </mc:Choice>
  </mc:AlternateContent>
  <xr:revisionPtr revIDLastSave="0" documentId="13_ncr:1_{11EDB14E-960A-43AD-A0DE-222562ED874C}" xr6:coauthVersionLast="36" xr6:coauthVersionMax="36" xr10:uidLastSave="{00000000-0000-0000-0000-000000000000}"/>
  <bookViews>
    <workbookView xWindow="-108" yWindow="0" windowWidth="14616" windowHeight="15588" tabRatio="795" xr2:uid="{00000000-000D-0000-FFFF-FFFF00000000}"/>
  </bookViews>
  <sheets>
    <sheet name="교육과정편제표(식품제조과)" sheetId="17" r:id="rId1"/>
    <sheet name="실무과목 능력단위(식품제조과)" sheetId="23" r:id="rId2"/>
    <sheet name="삭제금지" sheetId="4" r:id="rId3"/>
    <sheet name="(참고1) 편성 기준🔐" sheetId="16" r:id="rId4"/>
  </sheets>
  <definedNames>
    <definedName name="_xlnm._FilterDatabase" localSheetId="0" hidden="1">'교육과정편제표(식품제조과)'!$M$3:$P$4</definedName>
    <definedName name="_xlnm._FilterDatabase" localSheetId="2" hidden="1">삭제금지!$A$1:$F$151</definedName>
    <definedName name="_xlnm._FilterDatabase" localSheetId="1" hidden="1">'실무과목 능력단위(식품제조과)'!#REF!</definedName>
    <definedName name="_xlnm.Print_Area" localSheetId="0">'교육과정편제표(식품제조과)'!$A$1:$AE$66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23" l="1"/>
  <c r="U9" i="23" s="1"/>
  <c r="K9" i="23"/>
  <c r="T9" i="23"/>
  <c r="I10" i="23"/>
  <c r="K10" i="23"/>
  <c r="T10" i="23"/>
  <c r="U10" i="23"/>
  <c r="T11" i="23"/>
  <c r="U11" i="23"/>
  <c r="T12" i="23"/>
  <c r="U12" i="23"/>
  <c r="T13" i="23"/>
  <c r="U13" i="23"/>
  <c r="T14" i="23"/>
  <c r="U14" i="23"/>
  <c r="H15" i="23"/>
  <c r="I15" i="23"/>
  <c r="J15" i="23"/>
  <c r="K15" i="23"/>
  <c r="P15" i="23"/>
  <c r="Q15" i="23"/>
  <c r="R15" i="23"/>
  <c r="S15" i="23"/>
  <c r="T16" i="23"/>
  <c r="U16" i="23"/>
  <c r="T17" i="23"/>
  <c r="U17" i="23"/>
  <c r="T18" i="23"/>
  <c r="U18" i="23"/>
  <c r="T19" i="23"/>
  <c r="U19" i="23"/>
  <c r="T20" i="23"/>
  <c r="U20" i="23"/>
  <c r="L21" i="23"/>
  <c r="M21" i="23"/>
  <c r="N21" i="23"/>
  <c r="O21" i="23"/>
  <c r="T22" i="23"/>
  <c r="U22" i="23"/>
  <c r="T23" i="23"/>
  <c r="U23" i="23"/>
  <c r="T24" i="23"/>
  <c r="U24" i="23"/>
  <c r="T25" i="23"/>
  <c r="U25" i="23"/>
  <c r="T26" i="23"/>
  <c r="U26" i="23"/>
  <c r="P27" i="23"/>
  <c r="Q27" i="23"/>
  <c r="R27" i="23"/>
  <c r="S27" i="23"/>
  <c r="T28" i="23"/>
  <c r="U28" i="23"/>
  <c r="T29" i="23"/>
  <c r="U29" i="23"/>
  <c r="T30" i="23"/>
  <c r="U30" i="23"/>
  <c r="U32" i="23" s="1"/>
  <c r="T31" i="23"/>
  <c r="U31" i="23"/>
  <c r="L32" i="23"/>
  <c r="M32" i="23"/>
  <c r="N32" i="23"/>
  <c r="O32" i="23"/>
  <c r="T33" i="23"/>
  <c r="U33" i="23"/>
  <c r="T34" i="23"/>
  <c r="U34" i="23"/>
  <c r="T35" i="23"/>
  <c r="U35" i="23"/>
  <c r="T36" i="23"/>
  <c r="U36" i="23"/>
  <c r="P37" i="23"/>
  <c r="Q37" i="23"/>
  <c r="R37" i="23"/>
  <c r="S37" i="23"/>
  <c r="T21" i="23" l="1"/>
  <c r="T27" i="23"/>
  <c r="U27" i="23"/>
  <c r="U37" i="23"/>
  <c r="U21" i="23"/>
  <c r="T37" i="23"/>
  <c r="T32" i="23"/>
  <c r="T15" i="23"/>
  <c r="U15" i="23"/>
  <c r="H36" i="17"/>
  <c r="W25" i="17"/>
  <c r="W26" i="17"/>
  <c r="W15" i="17"/>
  <c r="S64" i="17" l="1"/>
  <c r="O64" i="17"/>
  <c r="K64" i="17"/>
  <c r="W64" i="17" s="1"/>
  <c r="W63" i="17"/>
  <c r="W62" i="17"/>
  <c r="AA63" i="17" s="1"/>
  <c r="Y59" i="17"/>
  <c r="W59" i="17"/>
  <c r="I58" i="17"/>
  <c r="H58" i="17"/>
  <c r="Y56" i="17"/>
  <c r="Y58" i="17" s="1"/>
  <c r="U56" i="17"/>
  <c r="S56" i="17"/>
  <c r="Q56" i="17"/>
  <c r="O56" i="17"/>
  <c r="M56" i="17"/>
  <c r="K56" i="17"/>
  <c r="J56" i="17"/>
  <c r="I56" i="17"/>
  <c r="H56" i="17"/>
  <c r="W52" i="17"/>
  <c r="W48" i="17"/>
  <c r="W44" i="17"/>
  <c r="W43" i="17"/>
  <c r="W42" i="17"/>
  <c r="W41" i="17"/>
  <c r="W40" i="17"/>
  <c r="W39" i="17"/>
  <c r="W38" i="17"/>
  <c r="W37" i="17"/>
  <c r="Y36" i="17"/>
  <c r="U36" i="17"/>
  <c r="S36" i="17"/>
  <c r="Q36" i="17"/>
  <c r="O36" i="17"/>
  <c r="M36" i="17"/>
  <c r="K36" i="17"/>
  <c r="W33" i="17"/>
  <c r="W30" i="17"/>
  <c r="W29" i="17"/>
  <c r="W28" i="17"/>
  <c r="W27" i="17"/>
  <c r="J26" i="17"/>
  <c r="X25" i="17"/>
  <c r="J25" i="17"/>
  <c r="J36" i="17" s="1"/>
  <c r="W24" i="17"/>
  <c r="W23" i="17"/>
  <c r="W22" i="17"/>
  <c r="W21" i="17"/>
  <c r="W20" i="17"/>
  <c r="W19" i="17"/>
  <c r="X19" i="17" s="1"/>
  <c r="W18" i="17"/>
  <c r="W17" i="17"/>
  <c r="X17" i="17" s="1"/>
  <c r="W16" i="17"/>
  <c r="W14" i="17"/>
  <c r="X14" i="17" s="1"/>
  <c r="W13" i="17"/>
  <c r="W12" i="17"/>
  <c r="X12" i="17" s="1"/>
  <c r="W11" i="17"/>
  <c r="W10" i="17"/>
  <c r="W9" i="17"/>
  <c r="O58" i="17" l="1"/>
  <c r="M58" i="17"/>
  <c r="Q58" i="17"/>
  <c r="J58" i="17"/>
  <c r="K58" i="17"/>
  <c r="W56" i="17"/>
  <c r="Y63" i="17"/>
  <c r="AA65" i="17" s="1"/>
  <c r="S58" i="17"/>
  <c r="U58" i="17"/>
  <c r="X21" i="17"/>
  <c r="X9" i="17"/>
  <c r="W36" i="17"/>
  <c r="AA36" i="17" s="1"/>
  <c r="W58" i="17" l="1"/>
  <c r="AA60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7" authorId="0" shapeId="0" xr:uid="{640A7006-6F54-4D7C-8472-BF30D33FC087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8" authorId="0" shapeId="0" xr:uid="{04C1F9DF-9E05-42B2-8AF8-92B8AF385A3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4" authorId="0" shapeId="0" xr:uid="{D4BE6883-06E7-4B75-9E4E-8B8C0E3E2FE6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8" authorId="0" shapeId="0" xr:uid="{F5AA21F3-A569-42A2-83A6-BC10448B40D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2" authorId="0" shapeId="0" xr:uid="{D50CBDB6-4B2B-4BCC-B131-8EA8F1BA084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6" authorId="0" shapeId="0" xr:uid="{B736AAA1-F60F-4CB6-BD24-9E4BAFC6400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<sst xmlns="http://schemas.openxmlformats.org/spreadsheetml/2006/main" count="1427" uniqueCount="598">
  <si>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</si>
  <si>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</si>
  <si>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</si>
  <si>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</si>
  <si>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</si>
  <si>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</si>
  <si>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</si>
  <si>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</si>
  <si>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</si>
  <si>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</si>
  <si>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</si>
  <si>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</si>
  <si>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</si>
  <si>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</si>
  <si>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</si>
  <si>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</si>
  <si>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</si>
  <si>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</si>
  <si>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</si>
  <si>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</si>
  <si>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</si>
  <si>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</si>
  <si>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</si>
  <si>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</si>
  <si>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</si>
  <si>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</si>
  <si>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</si>
  <si>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</si>
  <si>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</si>
  <si>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</si>
  <si>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</si>
  <si>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</si>
  <si>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</si>
  <si>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</si>
  <si>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</si>
  <si>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</si>
  <si>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</si>
  <si>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</si>
  <si>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</si>
  <si>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</si>
  <si>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</si>
  <si>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</si>
  <si>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</si>
  <si>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</si>
  <si>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</si>
  <si>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</si>
  <si>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</si>
  <si>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</si>
  <si>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</si>
  <si>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</si>
  <si>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</si>
  <si>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</si>
  <si>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</si>
  <si>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</si>
  <si>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</si>
  <si>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</si>
  <si>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</si>
  <si>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</si>
  <si>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</si>
  <si>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</si>
  <si>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</si>
  <si>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</si>
  <si>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</si>
  <si>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</si>
  <si>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</si>
  <si>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</si>
  <si>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</si>
  <si>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</si>
  <si>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</si>
  <si>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</si>
  <si>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</si>
  <si>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</si>
  <si>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</si>
  <si>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</si>
  <si>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</si>
  <si>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</si>
  <si>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</si>
  <si>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</si>
  <si>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</si>
  <si>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</si>
  <si>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</si>
  <si>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</si>
  <si>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</si>
  <si>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</si>
  <si>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</si>
  <si>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</si>
  <si>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</si>
  <si>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</si>
  <si>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</si>
  <si>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</si>
  <si>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</si>
  <si>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</si>
  <si>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</si>
  <si>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</si>
  <si>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</si>
  <si>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</si>
  <si>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</si>
  <si>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</si>
  <si>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</si>
  <si>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</si>
  <si>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</si>
  <si>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</si>
  <si>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</si>
  <si>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</si>
  <si>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</si>
  <si>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</si>
  <si>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</si>
  <si>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</si>
  <si>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</si>
  <si>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</si>
  <si>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</si>
  <si>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</si>
  <si>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</si>
  <si>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</si>
  <si>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</si>
  <si>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</si>
  <si>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</si>
  <si>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</si>
  <si>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</si>
  <si>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</si>
  <si>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</si>
  <si>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</si>
  <si>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</si>
  <si>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</si>
  <si>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</si>
  <si>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</si>
  <si>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</si>
  <si>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</si>
  <si>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</si>
  <si>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</si>
  <si>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</si>
  <si>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</si>
  <si>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</si>
  <si>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</si>
  <si>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</si>
  <si>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</si>
  <si>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</si>
  <si>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</si>
  <si>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</si>
  <si>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</si>
  <si>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</si>
  <si>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</si>
  <si>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</si>
  <si>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</si>
  <si>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</si>
  <si>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</si>
  <si>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</si>
  <si>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</si>
  <si>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</si>
  <si>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</si>
  <si>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</si>
  <si>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</si>
  <si>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</si>
  <si>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</si>
  <si>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</si>
  <si>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</si>
  <si>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</si>
  <si>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</si>
  <si>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</si>
  <si>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</si>
  <si>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</si>
  <si>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</si>
  <si>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</si>
  <si>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</si>
  <si>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</si>
  <si>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</si>
  <si>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</si>
  <si>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</si>
  <si>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</si>
  <si>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</si>
  <si>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</si>
  <si>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</si>
  <si>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</si>
  <si>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</si>
  <si>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</si>
  <si>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</si>
  <si>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</si>
  <si>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</si>
  <si>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</si>
  <si>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</si>
  <si>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</si>
  <si>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</si>
  <si>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</si>
  <si>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</si>
  <si>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</si>
  <si>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</si>
  <si>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</si>
  <si>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</si>
  <si>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</si>
  <si>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</si>
  <si>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</si>
  <si>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</si>
  <si>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</si>
  <si>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</si>
  <si>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</si>
  <si>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</si>
  <si>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</si>
  <si>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</si>
  <si>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</si>
  <si>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</si>
  <si>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</si>
  <si>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</si>
  <si>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</si>
  <si>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</si>
  <si>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</si>
  <si>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</si>
  <si>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</si>
  <si>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</si>
  <si>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</si>
  <si>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</si>
  <si>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</si>
  <si>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</si>
  <si>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</si>
  <si>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</si>
  <si>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</si>
  <si>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</si>
  <si>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</si>
  <si>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</si>
  <si>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</si>
  <si>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</si>
  <si>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</si>
  <si>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</si>
  <si>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</si>
  <si>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</si>
  <si>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</si>
  <si>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</si>
  <si>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</si>
  <si>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</si>
  <si>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</si>
  <si>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</si>
  <si>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</si>
  <si>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</si>
  <si>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</si>
  <si>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</si>
  <si>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</si>
  <si>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</si>
  <si>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</si>
  <si>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</si>
  <si>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</si>
  <si>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</si>
  <si>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</si>
  <si>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</si>
  <si>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</si>
  <si>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</si>
  <si>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</si>
  <si>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</si>
  <si>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</si>
  <si>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</si>
  <si>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</si>
  <si>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</si>
  <si>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</si>
  <si>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</si>
  <si>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</si>
  <si>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</si>
  <si>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</si>
  <si>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</si>
  <si>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</si>
  <si>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</si>
  <si>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</si>
  <si>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</si>
  <si>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</si>
  <si>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</si>
  <si>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</si>
  <si>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</si>
  <si>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</si>
  <si>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</si>
  <si>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</si>
  <si>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</si>
  <si>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</si>
  <si>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</si>
  <si>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</si>
  <si>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</si>
  <si>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</si>
  <si>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</si>
  <si>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</si>
  <si>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</si>
  <si>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</si>
  <si>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</si>
  <si>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</si>
  <si>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</si>
  <si>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</si>
  <si>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</si>
  <si>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</si>
  <si>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</si>
  <si>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</si>
  <si>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</si>
  <si>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</si>
  <si>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</si>
  <si>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</si>
  <si>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</si>
  <si>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</si>
  <si>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</si>
  <si>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</si>
  <si>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</si>
  <si>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</si>
  <si>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</si>
  <si>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</si>
  <si>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</si>
  <si>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</si>
  <si>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</si>
  <si>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</si>
  <si>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</si>
  <si>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</si>
  <si>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</si>
  <si>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</si>
  <si>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</si>
  <si>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</si>
  <si>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</si>
  <si>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</si>
  <si>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</si>
  <si>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</si>
  <si>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</si>
  <si>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</si>
  <si>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</si>
  <si>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</si>
  <si>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</si>
  <si>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</si>
  <si>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</si>
  <si>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</si>
  <si>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</si>
  <si>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</si>
  <si>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</si>
  <si>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</si>
  <si>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</si>
  <si>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</si>
  <si>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</si>
  <si>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</si>
  <si>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</si>
  <si>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</si>
  <si>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</si>
  <si>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</si>
  <si>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</si>
  <si>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</si>
  <si>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</si>
  <si>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</si>
  <si>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</si>
  <si>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</si>
  <si>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</si>
  <si>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</si>
  <si>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</si>
  <si>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</si>
  <si>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사회(역사/도덕 포함)</t>
    <phoneticPr fontId="9" type="noConversion"/>
  </si>
  <si>
    <t>3~</t>
    <phoneticPr fontId="9" type="noConversion"/>
  </si>
  <si>
    <t>융합선택</t>
    <phoneticPr fontId="9" type="noConversion"/>
  </si>
  <si>
    <t>기후변화와 환경생태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</si>
  <si>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</si>
  <si>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</si>
  <si>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</si>
  <si>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</si>
  <si>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</si>
  <si>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</si>
  <si>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</si>
  <si>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</si>
  <si>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</si>
  <si>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</si>
  <si>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</si>
  <si>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</si>
  <si>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</si>
  <si>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</si>
  <si>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</si>
  <si>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</si>
  <si>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</si>
  <si>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</si>
  <si>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</si>
  <si>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</si>
  <si>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</si>
  <si>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</si>
  <si>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</si>
  <si>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</si>
  <si>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</si>
  <si>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</si>
  <si>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</si>
  <si>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</si>
  <si>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</si>
  <si>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</si>
  <si>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</si>
  <si>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</si>
  <si>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</si>
  <si>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</si>
  <si>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</si>
  <si>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</si>
  <si>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</si>
  <si>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</si>
  <si>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</si>
  <si>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</si>
  <si>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</si>
  <si>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</si>
  <si>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</si>
  <si>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</si>
  <si>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</si>
  <si>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</si>
  <si>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</si>
  <si>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</si>
  <si>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</si>
  <si>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</si>
  <si>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</si>
  <si>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</si>
  <si>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</si>
  <si>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</si>
  <si>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</si>
  <si>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</si>
  <si>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</si>
  <si>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</si>
  <si>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</si>
  <si>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</si>
  <si>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</si>
  <si>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</si>
  <si>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</si>
  <si>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</si>
  <si>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</si>
  <si>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</si>
  <si>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</si>
  <si>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</si>
  <si>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</si>
  <si>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</si>
  <si>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</si>
  <si>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</si>
  <si>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</si>
  <si>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</si>
  <si>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</si>
  <si>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</si>
  <si>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</si>
  <si>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</si>
  <si>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</si>
  <si>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</si>
  <si>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</si>
  <si>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</si>
  <si>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</si>
  <si>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</si>
  <si>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</si>
  <si>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</si>
  <si>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</si>
  <si>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</si>
  <si>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</si>
  <si>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</si>
  <si>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</si>
  <si>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</si>
  <si>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</si>
  <si>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</si>
  <si>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</si>
  <si>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</si>
  <si>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</si>
  <si>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</si>
  <si>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</si>
  <si>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</si>
  <si>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</si>
  <si>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</si>
  <si>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</si>
  <si>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</si>
  <si>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</si>
  <si>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</si>
  <si>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</si>
  <si>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</si>
  <si>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</si>
  <si>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</si>
  <si>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</si>
  <si>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</si>
  <si>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</si>
  <si>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</si>
  <si>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</si>
  <si>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</si>
  <si>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</si>
  <si>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</si>
  <si>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</si>
  <si>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</si>
  <si>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</si>
  <si>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</si>
  <si>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</si>
  <si>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</si>
  <si>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</si>
  <si>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</si>
  <si>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</si>
  <si>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</si>
  <si>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</si>
  <si>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</si>
  <si>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</si>
  <si>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</si>
  <si>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</si>
  <si>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</si>
  <si>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</si>
  <si>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</si>
  <si>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</si>
  <si>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</si>
  <si>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</si>
  <si>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</si>
  <si>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</si>
  <si>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</si>
  <si>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</si>
  <si>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</si>
  <si>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</si>
  <si>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</si>
  <si>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</si>
  <si>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</si>
  <si>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</si>
  <si>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</si>
  <si>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</si>
  <si>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</si>
  <si>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</si>
  <si>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</si>
  <si>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</si>
  <si>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</si>
  <si>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</si>
  <si>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</si>
  <si>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</si>
  <si>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충남</t>
  </si>
  <si>
    <t>주산산업고등학교</t>
    <phoneticPr fontId="9" type="noConversion"/>
  </si>
  <si>
    <t>일반</t>
  </si>
  <si>
    <t>조배현</t>
    <phoneticPr fontId="9" type="noConversion"/>
  </si>
  <si>
    <t>041-928-8100</t>
    <phoneticPr fontId="9" type="noConversion"/>
  </si>
  <si>
    <t>김흥수</t>
    <phoneticPr fontId="9" type="noConversion"/>
  </si>
  <si>
    <t>041-928-8112</t>
    <phoneticPr fontId="9" type="noConversion"/>
  </si>
  <si>
    <t>운동과 건강</t>
    <phoneticPr fontId="9" type="noConversion"/>
  </si>
  <si>
    <t>스포츠 과학</t>
    <phoneticPr fontId="9" type="noConversion"/>
  </si>
  <si>
    <t>디지털과 직업 생활(정보 대체)</t>
    <phoneticPr fontId="9" type="noConversion"/>
  </si>
  <si>
    <t>성공적인 직업 생활</t>
    <phoneticPr fontId="9" type="noConversion"/>
  </si>
  <si>
    <t>041-928-8172</t>
    <phoneticPr fontId="9" type="noConversion"/>
  </si>
  <si>
    <t>조경</t>
    <phoneticPr fontId="9" type="noConversion"/>
  </si>
  <si>
    <t>식품과 영양</t>
    <phoneticPr fontId="9" type="noConversion"/>
  </si>
  <si>
    <t>1학기)건축 도면 해석과 제도
2학기)토목 도면 해석과 제도</t>
    <phoneticPr fontId="9" type="noConversion"/>
  </si>
  <si>
    <t>바리스타</t>
    <phoneticPr fontId="9" type="noConversion"/>
  </si>
  <si>
    <t>조경 설계</t>
    <phoneticPr fontId="9" type="noConversion"/>
  </si>
  <si>
    <t>피복 아크 용접</t>
    <phoneticPr fontId="9" type="noConversion"/>
  </si>
  <si>
    <t>떡 제조</t>
    <phoneticPr fontId="9" type="noConversion"/>
  </si>
  <si>
    <t>조경 시공</t>
    <phoneticPr fontId="9" type="noConversion"/>
  </si>
  <si>
    <t>스포츠 문화</t>
    <phoneticPr fontId="9" type="noConversion"/>
  </si>
  <si>
    <t>농림·축산</t>
    <phoneticPr fontId="9" type="noConversion"/>
  </si>
  <si>
    <t>건축·토목</t>
    <phoneticPr fontId="9" type="noConversion"/>
  </si>
  <si>
    <t>식품·조리</t>
    <phoneticPr fontId="9" type="noConversion"/>
  </si>
  <si>
    <t>식품제조과</t>
    <phoneticPr fontId="9" type="noConversion"/>
  </si>
  <si>
    <t>제빵원 및 제과원, 식품제조원(식음료), 한식 조리사 및 주방장</t>
    <phoneticPr fontId="9" type="noConversion"/>
  </si>
  <si>
    <t>식품 과학</t>
    <phoneticPr fontId="5" type="noConversion"/>
  </si>
  <si>
    <t>식품 위생</t>
    <phoneticPr fontId="9" type="noConversion"/>
  </si>
  <si>
    <t>식품 가공 기술</t>
    <phoneticPr fontId="9" type="noConversion"/>
  </si>
  <si>
    <t xml:space="preserve">제빵 </t>
    <phoneticPr fontId="9" type="noConversion"/>
  </si>
  <si>
    <t>제과</t>
    <phoneticPr fontId="9" type="noConversion"/>
  </si>
  <si>
    <t>한식 조리</t>
    <phoneticPr fontId="9" type="noConversion"/>
  </si>
  <si>
    <t>식품조리</t>
  </si>
  <si>
    <t>식품가공과</t>
  </si>
  <si>
    <t>조리과</t>
  </si>
  <si>
    <t>제빵</t>
    <phoneticPr fontId="9" type="noConversion"/>
  </si>
  <si>
    <t>한식조리</t>
    <phoneticPr fontId="9" type="noConversion"/>
  </si>
  <si>
    <t>2102010214_18v4</t>
  </si>
  <si>
    <t>2102010203_18v4</t>
  </si>
  <si>
    <t>2102010204_18v4</t>
  </si>
  <si>
    <t>2102010205_18v3</t>
  </si>
  <si>
    <t>2102010206_18v3</t>
  </si>
  <si>
    <t>2102010102_18v4</t>
  </si>
  <si>
    <t>2102010112_18v2</t>
  </si>
  <si>
    <t>2102010103_18v4</t>
  </si>
  <si>
    <t>2102010104_18v4</t>
  </si>
  <si>
    <t>2102010108_18v4</t>
  </si>
  <si>
    <t>1301010120_21v4</t>
  </si>
  <si>
    <t>1301010129_21v4</t>
  </si>
  <si>
    <t>1301010121_21v4</t>
  </si>
  <si>
    <t>1301010122_21v4</t>
  </si>
  <si>
    <t>1301010127_21v4</t>
  </si>
  <si>
    <t>1301020313_18v3</t>
  </si>
  <si>
    <t>1301020314_18v3</t>
  </si>
  <si>
    <t>1301020315_18v3</t>
  </si>
  <si>
    <t>커피 음료 제조</t>
  </si>
  <si>
    <t>1301020316_18v3</t>
  </si>
  <si>
    <t>2102010327_18v1</t>
  </si>
  <si>
    <t>2102010321_18v2</t>
  </si>
  <si>
    <t>떡 제품 개발</t>
  </si>
  <si>
    <t>2102010329_18v1</t>
  </si>
  <si>
    <t>2102010322_18v2</t>
  </si>
  <si>
    <t>이주현</t>
    <phoneticPr fontId="9" type="noConversion"/>
  </si>
  <si>
    <t>2027학년도 교육과정 편제 및 학점배당표(마이스터고/특성화고)</t>
    <phoneticPr fontId="9" type="noConversion"/>
  </si>
  <si>
    <r>
      <t>식품</t>
    </r>
    <r>
      <rPr>
        <sz val="10"/>
        <color theme="1"/>
        <rFont val="한컴 말랑말랑 Bold"/>
        <family val="3"/>
        <charset val="129"/>
      </rPr>
      <t>·</t>
    </r>
    <r>
      <rPr>
        <sz val="10"/>
        <color theme="1"/>
        <rFont val="맑은 고딕"/>
        <family val="3"/>
        <charset val="129"/>
      </rPr>
      <t>조리</t>
    </r>
    <phoneticPr fontId="9" type="noConversion"/>
  </si>
  <si>
    <r>
      <t>농업 기초 기술(기술</t>
    </r>
    <r>
      <rPr>
        <sz val="10"/>
        <color theme="1"/>
        <rFont val="맑은 고딕"/>
        <family val="3"/>
        <charset val="129"/>
      </rPr>
      <t>·가정 대체)</t>
    </r>
    <phoneticPr fontId="9" type="noConversion"/>
  </si>
  <si>
    <t>2102010209_18v4</t>
  </si>
  <si>
    <t>산업설비</t>
    <phoneticPr fontId="9" type="noConversion"/>
  </si>
  <si>
    <t>건축도장시공</t>
    <phoneticPr fontId="9" type="noConversion"/>
  </si>
  <si>
    <t>부전공(택1)</t>
    <phoneticPr fontId="9" type="noConversion"/>
  </si>
  <si>
    <t>기계 일반</t>
    <phoneticPr fontId="9" type="noConversion"/>
  </si>
  <si>
    <t>건축기초실습</t>
    <phoneticPr fontId="9" type="noConversion"/>
  </si>
  <si>
    <t>빵류 제품 스트레이트 반죽</t>
    <phoneticPr fontId="9" type="noConversion"/>
  </si>
  <si>
    <t>빵류 제품 반죽 발효</t>
    <phoneticPr fontId="9" type="noConversion"/>
  </si>
  <si>
    <t>빵류 제품 반죽 정형</t>
    <phoneticPr fontId="9" type="noConversion"/>
  </si>
  <si>
    <t>빵류 제품 반죽 익힘</t>
    <phoneticPr fontId="9" type="noConversion"/>
  </si>
  <si>
    <t>빵류 제품 위생 안전 관리</t>
    <phoneticPr fontId="9" type="noConversion"/>
  </si>
  <si>
    <t>빵류 제품 마무리</t>
    <phoneticPr fontId="9" type="noConversion"/>
  </si>
  <si>
    <t>과자류 제품 재료 혼합</t>
    <phoneticPr fontId="9" type="noConversion"/>
  </si>
  <si>
    <t>과자류 제품 생산 작업 준비</t>
    <phoneticPr fontId="9" type="noConversion"/>
  </si>
  <si>
    <t>과자류 제품 반죽 정형</t>
    <phoneticPr fontId="9" type="noConversion"/>
  </si>
  <si>
    <t>과자류 제품 반죽 익힘</t>
    <phoneticPr fontId="9" type="noConversion"/>
  </si>
  <si>
    <t>과자류 제품 위생 안전 관리</t>
    <phoneticPr fontId="9" type="noConversion"/>
  </si>
  <si>
    <t>한식 기초 조리 실무</t>
    <phoneticPr fontId="9" type="noConversion"/>
  </si>
  <si>
    <t>한식 밥 조리</t>
    <phoneticPr fontId="9" type="noConversion"/>
  </si>
  <si>
    <t>한식 죽 조리</t>
    <phoneticPr fontId="9" type="noConversion"/>
  </si>
  <si>
    <t>커피 기계 운용</t>
    <phoneticPr fontId="9" type="noConversion"/>
  </si>
  <si>
    <t>에스프레소 음료 제조</t>
    <phoneticPr fontId="9" type="noConversion"/>
  </si>
  <si>
    <t>커피 추출 운용</t>
    <phoneticPr fontId="9" type="noConversion"/>
  </si>
  <si>
    <t>떡 기초 제조 실무</t>
    <phoneticPr fontId="9" type="noConversion"/>
  </si>
  <si>
    <t>떡 제조 위생 관리</t>
    <phoneticPr fontId="9" type="noConversion"/>
  </si>
  <si>
    <t>떡 제조 안전 관리</t>
    <phoneticPr fontId="9" type="noConversion"/>
  </si>
  <si>
    <t>한식 생채 · 회 조리</t>
    <phoneticPr fontId="9" type="noConversion"/>
  </si>
  <si>
    <t>한식 전 · 적 조리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</si>
</sst>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한컴 말랑말랑 Bold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i/>
      <sz val="10"/>
      <color rgb="FF0070C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6" fillId="0" borderId="0"/>
  </cellStyleXfs>
  <cellXfs count="5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8" xfId="4" applyFont="1" applyFill="1" applyBorder="1" applyAlignment="1" applyProtection="1">
      <alignment horizontal="center" vertical="center" wrapText="1"/>
    </xf>
    <xf numFmtId="0" fontId="30" fillId="0" borderId="6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0" fillId="0" borderId="6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0" fillId="0" borderId="20" xfId="0" applyFont="1" applyBorder="1" applyAlignment="1">
      <alignment vertical="center"/>
    </xf>
    <xf numFmtId="0" fontId="12" fillId="12" borderId="95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24" fillId="3" borderId="55" xfId="3" applyFont="1" applyBorder="1" applyAlignment="1" applyProtection="1">
      <alignment horizontal="center" vertical="center"/>
      <protection locked="0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12" fillId="12" borderId="111" xfId="0" applyFont="1" applyFill="1" applyBorder="1" applyAlignment="1" applyProtection="1">
      <alignment horizontal="center" vertical="center"/>
      <protection locked="0"/>
    </xf>
    <xf numFmtId="0" fontId="13" fillId="6" borderId="24" xfId="4" applyFont="1" applyFill="1" applyBorder="1" applyAlignment="1" applyProtection="1">
      <alignment horizontal="center" vertical="center" wrapText="1"/>
    </xf>
    <xf numFmtId="0" fontId="12" fillId="0" borderId="109" xfId="0" applyFont="1" applyBorder="1" applyAlignment="1" applyProtection="1">
      <alignment horizontal="center" vertical="center"/>
      <protection locked="0"/>
    </xf>
    <xf numFmtId="0" fontId="12" fillId="0" borderId="109" xfId="0" applyFont="1" applyBorder="1" applyAlignment="1" applyProtection="1">
      <alignment horizontal="center" vertical="center" shrinkToFit="1"/>
      <protection locked="0"/>
    </xf>
    <xf numFmtId="0" fontId="13" fillId="15" borderId="40" xfId="5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6" borderId="72" xfId="4" applyFont="1" applyFill="1" applyBorder="1" applyAlignment="1" applyProtection="1">
      <alignment horizontal="center" vertical="center" wrapText="1"/>
    </xf>
    <xf numFmtId="0" fontId="21" fillId="0" borderId="121" xfId="0" applyFont="1" applyBorder="1" applyAlignment="1" applyProtection="1">
      <alignment horizontal="center" vertical="center"/>
      <protection locked="0"/>
    </xf>
    <xf numFmtId="0" fontId="33" fillId="0" borderId="0" xfId="16" applyFont="1" applyAlignment="1">
      <alignment vertical="center"/>
    </xf>
    <xf numFmtId="0" fontId="16" fillId="0" borderId="0" xfId="16" applyFont="1" applyAlignment="1"/>
    <xf numFmtId="0" fontId="33" fillId="18" borderId="122" xfId="16" applyFont="1" applyFill="1" applyBorder="1" applyAlignment="1">
      <alignment horizontal="center" vertical="center"/>
    </xf>
    <xf numFmtId="0" fontId="33" fillId="0" borderId="123" xfId="16" applyFont="1" applyBorder="1" applyAlignment="1">
      <alignment vertical="center"/>
    </xf>
    <xf numFmtId="0" fontId="33" fillId="0" borderId="27" xfId="16" applyFont="1" applyBorder="1" applyAlignment="1">
      <alignment vertical="center"/>
    </xf>
    <xf numFmtId="0" fontId="33" fillId="0" borderId="24" xfId="16" applyFont="1" applyBorder="1" applyAlignment="1">
      <alignment vertical="center"/>
    </xf>
    <xf numFmtId="0" fontId="33" fillId="0" borderId="4" xfId="16" applyFont="1" applyBorder="1" applyAlignment="1">
      <alignment vertical="center"/>
    </xf>
    <xf numFmtId="0" fontId="33" fillId="0" borderId="125" xfId="16" applyFont="1" applyBorder="1" applyAlignment="1">
      <alignment vertical="center"/>
    </xf>
    <xf numFmtId="0" fontId="33" fillId="0" borderId="20" xfId="16" applyFont="1" applyBorder="1" applyAlignment="1">
      <alignment vertical="center"/>
    </xf>
    <xf numFmtId="0" fontId="33" fillId="0" borderId="6" xfId="16" applyFont="1" applyBorder="1" applyAlignment="1">
      <alignment vertical="center"/>
    </xf>
    <xf numFmtId="0" fontId="33" fillId="0" borderId="130" xfId="16" applyFont="1" applyBorder="1" applyAlignment="1">
      <alignment vertical="center"/>
    </xf>
    <xf numFmtId="0" fontId="33" fillId="0" borderId="3" xfId="16" applyFont="1" applyBorder="1" applyAlignment="1">
      <alignment vertical="center"/>
    </xf>
    <xf numFmtId="0" fontId="33" fillId="0" borderId="21" xfId="16" applyFont="1" applyBorder="1" applyAlignment="1">
      <alignment vertical="center"/>
    </xf>
    <xf numFmtId="0" fontId="33" fillId="0" borderId="18" xfId="16" applyFont="1" applyBorder="1" applyAlignment="1">
      <alignment vertical="center"/>
    </xf>
    <xf numFmtId="0" fontId="33" fillId="20" borderId="136" xfId="16" applyFont="1" applyFill="1" applyBorder="1" applyAlignment="1">
      <alignment horizontal="center" vertical="center" wrapText="1"/>
    </xf>
    <xf numFmtId="0" fontId="33" fillId="20" borderId="137" xfId="16" applyFont="1" applyFill="1" applyBorder="1" applyAlignment="1">
      <alignment horizontal="center" vertical="center" wrapText="1"/>
    </xf>
    <xf numFmtId="0" fontId="42" fillId="20" borderId="137" xfId="16" applyFont="1" applyFill="1" applyBorder="1" applyAlignment="1">
      <alignment horizontal="center" vertical="center" wrapText="1"/>
    </xf>
    <xf numFmtId="0" fontId="42" fillId="20" borderId="138" xfId="16" applyFont="1" applyFill="1" applyBorder="1" applyAlignment="1">
      <alignment horizontal="center" vertical="center" wrapText="1"/>
    </xf>
    <xf numFmtId="0" fontId="33" fillId="0" borderId="20" xfId="16" applyFont="1" applyBorder="1" applyAlignment="1">
      <alignment vertical="center" wrapText="1"/>
    </xf>
    <xf numFmtId="0" fontId="33" fillId="0" borderId="6" xfId="16" applyFont="1" applyBorder="1" applyAlignment="1">
      <alignment vertical="center" wrapText="1"/>
    </xf>
    <xf numFmtId="0" fontId="43" fillId="0" borderId="142" xfId="16" applyFont="1" applyBorder="1" applyAlignment="1">
      <alignment horizontal="center" vertical="center" wrapText="1"/>
    </xf>
    <xf numFmtId="0" fontId="43" fillId="0" borderId="144" xfId="16" applyFont="1" applyBorder="1" applyAlignment="1">
      <alignment horizontal="center" vertical="center" wrapText="1"/>
    </xf>
    <xf numFmtId="0" fontId="43" fillId="0" borderId="148" xfId="16" applyFont="1" applyBorder="1" applyAlignment="1">
      <alignment horizontal="center" vertical="center" wrapText="1"/>
    </xf>
    <xf numFmtId="0" fontId="43" fillId="0" borderId="149" xfId="16" applyFont="1" applyBorder="1" applyAlignment="1">
      <alignment horizontal="center" vertical="center" wrapText="1"/>
    </xf>
    <xf numFmtId="0" fontId="43" fillId="0" borderId="152" xfId="16" applyFont="1" applyBorder="1" applyAlignment="1">
      <alignment horizontal="center" vertical="center" wrapText="1"/>
    </xf>
    <xf numFmtId="0" fontId="43" fillId="0" borderId="153" xfId="16" applyFont="1" applyBorder="1" applyAlignment="1">
      <alignment horizontal="center" vertical="center" wrapText="1"/>
    </xf>
    <xf numFmtId="0" fontId="43" fillId="0" borderId="155" xfId="16" applyFont="1" applyBorder="1" applyAlignment="1">
      <alignment horizontal="center" vertical="center" wrapText="1"/>
    </xf>
    <xf numFmtId="0" fontId="33" fillId="0" borderId="155" xfId="16" applyFont="1" applyBorder="1" applyAlignment="1">
      <alignment horizontal="center" vertical="center" wrapText="1"/>
    </xf>
    <xf numFmtId="0" fontId="43" fillId="0" borderId="156" xfId="16" applyFont="1" applyBorder="1" applyAlignment="1">
      <alignment horizontal="center" vertical="center" wrapText="1"/>
    </xf>
    <xf numFmtId="0" fontId="33" fillId="0" borderId="149" xfId="16" applyFont="1" applyBorder="1" applyAlignment="1">
      <alignment horizontal="center" vertical="center" wrapText="1"/>
    </xf>
    <xf numFmtId="0" fontId="33" fillId="0" borderId="152" xfId="16" applyFont="1" applyBorder="1" applyAlignment="1">
      <alignment horizontal="center" vertical="center" wrapText="1"/>
    </xf>
    <xf numFmtId="0" fontId="43" fillId="0" borderId="128" xfId="16" applyFont="1" applyBorder="1" applyAlignment="1">
      <alignment horizontal="center" vertical="center" wrapText="1"/>
    </xf>
    <xf numFmtId="0" fontId="45" fillId="20" borderId="128" xfId="16" applyFont="1" applyFill="1" applyBorder="1" applyAlignment="1">
      <alignment horizontal="center" vertical="center" wrapText="1"/>
    </xf>
    <xf numFmtId="0" fontId="46" fillId="0" borderId="149" xfId="16" applyFont="1" applyBorder="1" applyAlignment="1">
      <alignment horizontal="center" vertical="center" wrapText="1"/>
    </xf>
    <xf numFmtId="0" fontId="46" fillId="0" borderId="127" xfId="16" applyFont="1" applyBorder="1" applyAlignment="1">
      <alignment horizontal="center" vertical="center" wrapText="1"/>
    </xf>
    <xf numFmtId="0" fontId="45" fillId="0" borderId="128" xfId="16" applyFont="1" applyBorder="1" applyAlignment="1">
      <alignment horizontal="center" vertical="center" wrapText="1"/>
    </xf>
    <xf numFmtId="0" fontId="33" fillId="0" borderId="0" xfId="16" applyFont="1" applyBorder="1" applyAlignment="1">
      <alignment vertical="center"/>
    </xf>
    <xf numFmtId="0" fontId="47" fillId="0" borderId="0" xfId="16" applyFont="1" applyBorder="1" applyAlignment="1">
      <alignment horizontal="center" vertical="center"/>
    </xf>
    <xf numFmtId="0" fontId="41" fillId="0" borderId="128" xfId="16" applyFont="1" applyBorder="1" applyAlignment="1">
      <alignment horizontal="center" vertical="center"/>
    </xf>
    <xf numFmtId="0" fontId="41" fillId="19" borderId="149" xfId="16" applyFont="1" applyFill="1" applyBorder="1" applyAlignment="1">
      <alignment horizontal="center" vertical="center"/>
    </xf>
    <xf numFmtId="0" fontId="41" fillId="19" borderId="127" xfId="16" applyFont="1" applyFill="1" applyBorder="1" applyAlignment="1">
      <alignment horizontal="center" vertical="center" wrapText="1"/>
    </xf>
    <xf numFmtId="0" fontId="47" fillId="0" borderId="149" xfId="16" applyFont="1" applyBorder="1" applyAlignment="1">
      <alignment horizontal="center" vertical="center" wrapText="1"/>
    </xf>
    <xf numFmtId="0" fontId="47" fillId="0" borderId="128" xfId="16" applyFont="1" applyBorder="1" applyAlignment="1">
      <alignment horizontal="center" vertical="center" wrapText="1"/>
    </xf>
    <xf numFmtId="0" fontId="41" fillId="0" borderId="149" xfId="16" applyFont="1" applyBorder="1" applyAlignment="1">
      <alignment horizontal="center" vertical="center" wrapText="1"/>
    </xf>
    <xf numFmtId="0" fontId="41" fillId="0" borderId="128" xfId="16" applyFont="1" applyBorder="1" applyAlignment="1">
      <alignment horizontal="center" vertical="center" wrapText="1"/>
    </xf>
    <xf numFmtId="0" fontId="33" fillId="0" borderId="149" xfId="16" applyFont="1" applyBorder="1" applyAlignment="1">
      <alignment vertical="center" wrapText="1"/>
    </xf>
    <xf numFmtId="0" fontId="33" fillId="0" borderId="0" xfId="16" applyFont="1" applyBorder="1" applyAlignment="1">
      <alignment vertical="center" wrapText="1"/>
    </xf>
    <xf numFmtId="0" fontId="41" fillId="19" borderId="128" xfId="16" applyFont="1" applyFill="1" applyBorder="1" applyAlignment="1">
      <alignment horizontal="center" vertical="center"/>
    </xf>
    <xf numFmtId="0" fontId="41" fillId="0" borderId="127" xfId="16" applyFont="1" applyBorder="1" applyAlignment="1">
      <alignment horizontal="center" vertical="center"/>
    </xf>
    <xf numFmtId="0" fontId="41" fillId="0" borderId="149" xfId="16" applyFont="1" applyBorder="1" applyAlignment="1">
      <alignment horizontal="center" vertical="center"/>
    </xf>
    <xf numFmtId="0" fontId="48" fillId="0" borderId="149" xfId="16" applyFont="1" applyBorder="1" applyAlignment="1">
      <alignment horizontal="center" vertical="center"/>
    </xf>
    <xf numFmtId="0" fontId="48" fillId="0" borderId="128" xfId="16" applyFont="1" applyBorder="1" applyAlignment="1">
      <alignment horizontal="center" vertical="center"/>
    </xf>
    <xf numFmtId="0" fontId="33" fillId="0" borderId="135" xfId="16" applyFont="1" applyBorder="1" applyAlignment="1">
      <alignment vertical="center"/>
    </xf>
    <xf numFmtId="0" fontId="33" fillId="0" borderId="133" xfId="16" applyFont="1" applyBorder="1" applyAlignment="1">
      <alignment vertical="center"/>
    </xf>
    <xf numFmtId="0" fontId="33" fillId="0" borderId="160" xfId="16" applyFont="1" applyBorder="1" applyAlignment="1">
      <alignment vertical="center"/>
    </xf>
    <xf numFmtId="0" fontId="33" fillId="0" borderId="161" xfId="16" applyFont="1" applyBorder="1" applyAlignment="1">
      <alignment vertical="center"/>
    </xf>
    <xf numFmtId="0" fontId="33" fillId="0" borderId="110" xfId="16" applyFont="1" applyBorder="1" applyAlignment="1">
      <alignment vertical="center"/>
    </xf>
    <xf numFmtId="0" fontId="33" fillId="0" borderId="131" xfId="16" applyFont="1" applyBorder="1" applyAlignment="1">
      <alignment vertical="center"/>
    </xf>
    <xf numFmtId="0" fontId="33" fillId="0" borderId="163" xfId="16" applyFont="1" applyBorder="1" applyAlignment="1">
      <alignment vertical="center"/>
    </xf>
    <xf numFmtId="0" fontId="33" fillId="0" borderId="164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0" fillId="0" borderId="30" xfId="0" applyBorder="1" applyAlignment="1" applyProtection="1">
      <alignment horizontal="center" vertical="center"/>
      <protection locked="0"/>
    </xf>
    <xf numFmtId="0" fontId="13" fillId="15" borderId="172" xfId="5" applyFont="1" applyFill="1" applyBorder="1" applyAlignment="1" applyProtection="1">
      <alignment horizontal="center" vertical="center" wrapText="1"/>
    </xf>
    <xf numFmtId="0" fontId="13" fillId="15" borderId="173" xfId="5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0" borderId="8" xfId="0" applyFont="1" applyBorder="1" applyAlignment="1" applyProtection="1">
      <alignment horizontal="center" vertical="center"/>
      <protection locked="0"/>
    </xf>
    <xf numFmtId="176" fontId="21" fillId="15" borderId="37" xfId="0" applyNumberFormat="1" applyFont="1" applyFill="1" applyBorder="1" applyAlignment="1">
      <alignment horizontal="center" vertical="center" wrapText="1"/>
    </xf>
    <xf numFmtId="0" fontId="21" fillId="15" borderId="40" xfId="4" applyFont="1" applyFill="1" applyBorder="1" applyAlignment="1" applyProtection="1">
      <alignment horizontal="center" vertical="center" wrapText="1"/>
    </xf>
    <xf numFmtId="0" fontId="21" fillId="15" borderId="65" xfId="4" applyFont="1" applyFill="1" applyBorder="1" applyAlignment="1" applyProtection="1">
      <alignment horizontal="center" vertical="center" wrapText="1"/>
    </xf>
    <xf numFmtId="0" fontId="21" fillId="15" borderId="42" xfId="4" applyFont="1" applyFill="1" applyBorder="1" applyAlignment="1" applyProtection="1">
      <alignment horizontal="center" vertical="center" wrapText="1"/>
    </xf>
    <xf numFmtId="176" fontId="21" fillId="15" borderId="38" xfId="0" applyNumberFormat="1" applyFont="1" applyFill="1" applyBorder="1" applyAlignment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0" fontId="21" fillId="15" borderId="33" xfId="4" applyFont="1" applyFill="1" applyBorder="1" applyAlignment="1" applyProtection="1">
      <alignment horizontal="center" vertical="center" wrapText="1"/>
    </xf>
    <xf numFmtId="0" fontId="21" fillId="15" borderId="44" xfId="4" applyFont="1" applyFill="1" applyBorder="1" applyAlignment="1" applyProtection="1">
      <alignment horizontal="center" vertical="center" wrapText="1"/>
    </xf>
    <xf numFmtId="176" fontId="21" fillId="15" borderId="98" xfId="0" applyNumberFormat="1" applyFont="1" applyFill="1" applyBorder="1" applyAlignment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21" fillId="15" borderId="47" xfId="4" applyFont="1" applyFill="1" applyBorder="1" applyAlignment="1" applyProtection="1">
      <alignment horizontal="center" vertical="center" wrapText="1"/>
    </xf>
    <xf numFmtId="0" fontId="21" fillId="15" borderId="41" xfId="4" applyFont="1" applyFill="1" applyBorder="1" applyAlignment="1" applyProtection="1">
      <alignment horizontal="center" vertical="center" wrapText="1"/>
    </xf>
    <xf numFmtId="176" fontId="21" fillId="15" borderId="78" xfId="0" applyNumberFormat="1" applyFont="1" applyFill="1" applyBorder="1" applyAlignment="1">
      <alignment horizontal="center" vertical="center" wrapText="1"/>
    </xf>
    <xf numFmtId="0" fontId="21" fillId="15" borderId="73" xfId="4" applyFont="1" applyFill="1" applyBorder="1" applyAlignment="1" applyProtection="1">
      <alignment horizontal="center" vertical="center" wrapText="1"/>
    </xf>
    <xf numFmtId="0" fontId="21" fillId="15" borderId="54" xfId="4" applyFont="1" applyFill="1" applyBorder="1" applyAlignment="1" applyProtection="1">
      <alignment horizontal="center" vertical="center" wrapText="1"/>
    </xf>
    <xf numFmtId="0" fontId="21" fillId="15" borderId="61" xfId="4" applyFont="1" applyFill="1" applyBorder="1" applyAlignment="1" applyProtection="1">
      <alignment horizontal="center" vertical="center" wrapText="1"/>
    </xf>
    <xf numFmtId="176" fontId="21" fillId="15" borderId="39" xfId="0" applyNumberFormat="1" applyFont="1" applyFill="1" applyBorder="1" applyAlignment="1">
      <alignment horizontal="center" vertical="center" wrapText="1"/>
    </xf>
    <xf numFmtId="176" fontId="21" fillId="15" borderId="99" xfId="0" applyNumberFormat="1" applyFont="1" applyFill="1" applyBorder="1" applyAlignment="1">
      <alignment horizontal="center" vertical="center" wrapText="1"/>
    </xf>
    <xf numFmtId="0" fontId="21" fillId="15" borderId="68" xfId="4" applyFont="1" applyFill="1" applyBorder="1" applyAlignment="1" applyProtection="1">
      <alignment horizontal="center" vertical="center" wrapText="1"/>
    </xf>
    <xf numFmtId="0" fontId="21" fillId="15" borderId="93" xfId="4" applyFont="1" applyFill="1" applyBorder="1" applyAlignment="1" applyProtection="1">
      <alignment horizontal="center" vertical="center" wrapText="1"/>
    </xf>
    <xf numFmtId="0" fontId="21" fillId="15" borderId="101" xfId="4" applyFont="1" applyFill="1" applyBorder="1" applyAlignment="1" applyProtection="1">
      <alignment horizontal="center" vertical="center" wrapText="1"/>
    </xf>
    <xf numFmtId="0" fontId="21" fillId="10" borderId="64" xfId="6" applyFont="1" applyFill="1" applyBorder="1" applyAlignment="1" applyProtection="1">
      <alignment horizontal="center" vertical="center" wrapText="1"/>
    </xf>
    <xf numFmtId="0" fontId="21" fillId="10" borderId="94" xfId="6" applyFont="1" applyFill="1" applyBorder="1" applyAlignment="1" applyProtection="1">
      <alignment horizontal="center" vertical="center" wrapText="1"/>
    </xf>
    <xf numFmtId="0" fontId="21" fillId="10" borderId="58" xfId="6" applyFont="1" applyFill="1" applyBorder="1" applyAlignment="1" applyProtection="1">
      <alignment horizontal="center" vertical="center" wrapText="1"/>
    </xf>
    <xf numFmtId="0" fontId="21" fillId="15" borderId="99" xfId="4" applyFont="1" applyFill="1" applyBorder="1" applyAlignment="1" applyProtection="1">
      <alignment horizontal="center" vertical="center" shrinkToFit="1"/>
    </xf>
    <xf numFmtId="0" fontId="21" fillId="15" borderId="38" xfId="4" applyFont="1" applyFill="1" applyBorder="1" applyAlignment="1" applyProtection="1">
      <alignment horizontal="center" vertical="center" wrapText="1"/>
    </xf>
    <xf numFmtId="0" fontId="21" fillId="15" borderId="39" xfId="4" applyFont="1" applyFill="1" applyBorder="1" applyAlignment="1" applyProtection="1">
      <alignment horizontal="center" vertical="center" wrapText="1"/>
    </xf>
    <xf numFmtId="0" fontId="21" fillId="15" borderId="37" xfId="4" applyFont="1" applyFill="1" applyBorder="1" applyAlignment="1" applyProtection="1">
      <alignment horizontal="center" vertical="center" shrinkToFit="1"/>
    </xf>
    <xf numFmtId="0" fontId="21" fillId="15" borderId="98" xfId="4" applyFont="1" applyFill="1" applyBorder="1" applyAlignment="1" applyProtection="1">
      <alignment horizontal="center" vertical="center" wrapText="1"/>
    </xf>
    <xf numFmtId="0" fontId="21" fillId="15" borderId="39" xfId="4" applyFont="1" applyFill="1" applyBorder="1" applyAlignment="1" applyProtection="1">
      <alignment horizontal="center" vertical="center" shrinkToFit="1"/>
    </xf>
    <xf numFmtId="0" fontId="21" fillId="15" borderId="16" xfId="4" applyFont="1" applyFill="1" applyBorder="1" applyAlignment="1" applyProtection="1">
      <alignment horizontal="center" vertical="center" shrinkToFit="1"/>
    </xf>
    <xf numFmtId="0" fontId="21" fillId="15" borderId="56" xfId="4" applyFont="1" applyFill="1" applyBorder="1" applyAlignment="1" applyProtection="1">
      <alignment horizontal="center" vertical="center" wrapText="1"/>
    </xf>
    <xf numFmtId="0" fontId="21" fillId="0" borderId="57" xfId="4" applyFont="1" applyFill="1" applyBorder="1" applyAlignment="1" applyProtection="1">
      <alignment horizontal="center" vertical="center" wrapText="1"/>
    </xf>
    <xf numFmtId="0" fontId="21" fillId="15" borderId="58" xfId="4" applyFont="1" applyFill="1" applyBorder="1" applyAlignment="1" applyProtection="1">
      <alignment horizontal="center" vertical="center" wrapText="1"/>
    </xf>
    <xf numFmtId="0" fontId="21" fillId="0" borderId="100" xfId="4" applyFont="1" applyFill="1" applyBorder="1" applyAlignment="1" applyProtection="1">
      <alignment horizontal="center" vertical="center" wrapText="1"/>
    </xf>
    <xf numFmtId="0" fontId="21" fillId="0" borderId="46" xfId="4" applyFont="1" applyFill="1" applyBorder="1" applyAlignment="1" applyProtection="1">
      <alignment horizontal="center" vertical="center" wrapText="1"/>
    </xf>
    <xf numFmtId="0" fontId="27" fillId="11" borderId="31" xfId="7" applyFont="1" applyFill="1" applyBorder="1" applyAlignment="1" applyProtection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54" fillId="0" borderId="111" xfId="0" applyFont="1" applyBorder="1" applyAlignment="1">
      <alignment horizontal="center" vertical="center" wrapText="1"/>
    </xf>
    <xf numFmtId="0" fontId="54" fillId="0" borderId="95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 wrapText="1"/>
    </xf>
    <xf numFmtId="0" fontId="54" fillId="0" borderId="109" xfId="0" applyFont="1" applyBorder="1" applyAlignment="1">
      <alignment horizontal="center" vertical="center" wrapText="1"/>
    </xf>
    <xf numFmtId="0" fontId="54" fillId="0" borderId="14" xfId="0" applyFont="1" applyBorder="1" applyAlignment="1">
      <alignment horizontal="center" vertical="center" wrapText="1"/>
    </xf>
    <xf numFmtId="0" fontId="54" fillId="0" borderId="109" xfId="0" applyFont="1" applyBorder="1" applyAlignment="1">
      <alignment horizontal="center" vertical="center"/>
    </xf>
    <xf numFmtId="0" fontId="54" fillId="0" borderId="180" xfId="0" applyFont="1" applyBorder="1" applyAlignment="1">
      <alignment horizontal="center" vertical="center" wrapText="1"/>
    </xf>
    <xf numFmtId="0" fontId="54" fillId="0" borderId="186" xfId="0" applyFont="1" applyBorder="1" applyAlignment="1">
      <alignment horizontal="center" vertical="center" wrapText="1"/>
    </xf>
    <xf numFmtId="0" fontId="54" fillId="0" borderId="185" xfId="0" applyFont="1" applyBorder="1" applyAlignment="1">
      <alignment horizontal="center" vertical="center" wrapText="1"/>
    </xf>
    <xf numFmtId="0" fontId="54" fillId="0" borderId="184" xfId="0" applyFont="1" applyBorder="1" applyAlignment="1">
      <alignment horizontal="center" vertical="center" wrapText="1"/>
    </xf>
    <xf numFmtId="0" fontId="54" fillId="0" borderId="175" xfId="0" applyFont="1" applyBorder="1" applyAlignment="1">
      <alignment horizontal="center" vertical="center" wrapText="1"/>
    </xf>
    <xf numFmtId="0" fontId="54" fillId="0" borderId="177" xfId="0" applyFont="1" applyBorder="1" applyAlignment="1">
      <alignment horizontal="center" vertical="center" wrapText="1"/>
    </xf>
    <xf numFmtId="0" fontId="54" fillId="0" borderId="161" xfId="0" applyFont="1" applyBorder="1" applyAlignment="1">
      <alignment horizontal="center" vertical="center" wrapText="1"/>
    </xf>
    <xf numFmtId="0" fontId="54" fillId="0" borderId="183" xfId="0" applyFont="1" applyBorder="1" applyAlignment="1">
      <alignment horizontal="center" vertical="center" wrapText="1"/>
    </xf>
    <xf numFmtId="0" fontId="54" fillId="0" borderId="149" xfId="0" applyFont="1" applyBorder="1" applyAlignment="1">
      <alignment horizontal="center" vertical="center" wrapText="1"/>
    </xf>
    <xf numFmtId="0" fontId="54" fillId="0" borderId="174" xfId="0" applyFont="1" applyBorder="1" applyAlignment="1">
      <alignment horizontal="center" vertical="center" wrapText="1"/>
    </xf>
    <xf numFmtId="0" fontId="54" fillId="0" borderId="179" xfId="0" applyFont="1" applyBorder="1" applyAlignment="1">
      <alignment horizontal="center" vertical="center" wrapText="1"/>
    </xf>
    <xf numFmtId="0" fontId="54" fillId="0" borderId="133" xfId="0" applyFont="1" applyBorder="1" applyAlignment="1">
      <alignment horizontal="center" vertical="center" wrapText="1"/>
    </xf>
    <xf numFmtId="0" fontId="54" fillId="0" borderId="181" xfId="0" applyFont="1" applyBorder="1" applyAlignment="1">
      <alignment horizontal="center" vertical="center" wrapText="1"/>
    </xf>
    <xf numFmtId="0" fontId="54" fillId="0" borderId="126" xfId="0" applyFont="1" applyBorder="1" applyAlignment="1">
      <alignment horizontal="center" vertical="center" wrapText="1"/>
    </xf>
    <xf numFmtId="0" fontId="55" fillId="0" borderId="95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/>
    </xf>
    <xf numFmtId="0" fontId="55" fillId="0" borderId="14" xfId="0" applyFont="1" applyBorder="1" applyAlignment="1">
      <alignment horizontal="center" vertical="center" wrapText="1"/>
    </xf>
    <xf numFmtId="0" fontId="55" fillId="9" borderId="5" xfId="7" applyNumberFormat="1" applyFont="1" applyFill="1" applyBorder="1" applyAlignment="1" applyProtection="1">
      <alignment horizontal="center" vertical="center" shrinkToFit="1"/>
    </xf>
    <xf numFmtId="0" fontId="55" fillId="9" borderId="95" xfId="7" applyNumberFormat="1" applyFont="1" applyFill="1" applyBorder="1" applyAlignment="1" applyProtection="1">
      <alignment horizontal="center" vertical="center" shrinkToFit="1"/>
    </xf>
    <xf numFmtId="176" fontId="56" fillId="9" borderId="95" xfId="7" applyNumberFormat="1" applyFont="1" applyFill="1" applyBorder="1" applyAlignment="1" applyProtection="1">
      <alignment horizontal="center" vertical="center" shrinkToFit="1"/>
    </xf>
    <xf numFmtId="176" fontId="55" fillId="0" borderId="95" xfId="0" applyNumberFormat="1" applyFont="1" applyBorder="1">
      <alignment vertical="center"/>
    </xf>
    <xf numFmtId="176" fontId="55" fillId="0" borderId="29" xfId="0" applyNumberFormat="1" applyFont="1" applyBorder="1">
      <alignment vertical="center"/>
    </xf>
    <xf numFmtId="0" fontId="55" fillId="9" borderId="12" xfId="7" applyNumberFormat="1" applyFont="1" applyFill="1" applyBorder="1" applyAlignment="1" applyProtection="1">
      <alignment horizontal="center" vertical="center" shrinkToFit="1"/>
    </xf>
    <xf numFmtId="0" fontId="55" fillId="9" borderId="14" xfId="7" applyNumberFormat="1" applyFont="1" applyFill="1" applyBorder="1" applyAlignment="1" applyProtection="1">
      <alignment horizontal="center" vertical="center" shrinkToFit="1"/>
    </xf>
    <xf numFmtId="176" fontId="56" fillId="9" borderId="14" xfId="7" applyNumberFormat="1" applyFont="1" applyFill="1" applyBorder="1" applyAlignment="1" applyProtection="1">
      <alignment horizontal="center" vertical="center" shrinkToFit="1"/>
    </xf>
    <xf numFmtId="176" fontId="55" fillId="0" borderId="14" xfId="0" applyNumberFormat="1" applyFont="1" applyBorder="1">
      <alignment vertical="center"/>
    </xf>
    <xf numFmtId="176" fontId="55" fillId="0" borderId="10" xfId="0" applyNumberFormat="1" applyFont="1" applyBorder="1">
      <alignment vertical="center"/>
    </xf>
    <xf numFmtId="0" fontId="57" fillId="16" borderId="9" xfId="7" applyNumberFormat="1" applyFont="1" applyFill="1" applyBorder="1" applyAlignment="1" applyProtection="1">
      <alignment horizontal="center" vertical="center" shrinkToFit="1"/>
    </xf>
    <xf numFmtId="0" fontId="57" fillId="16" borderId="96" xfId="7" applyNumberFormat="1" applyFont="1" applyFill="1" applyBorder="1" applyAlignment="1" applyProtection="1">
      <alignment horizontal="center" vertical="center" shrinkToFit="1"/>
    </xf>
    <xf numFmtId="176" fontId="57" fillId="16" borderId="96" xfId="7" applyNumberFormat="1" applyFont="1" applyFill="1" applyBorder="1" applyAlignment="1" applyProtection="1">
      <alignment horizontal="center" vertical="center" shrinkToFit="1"/>
    </xf>
    <xf numFmtId="176" fontId="57" fillId="16" borderId="96" xfId="7" applyNumberFormat="1" applyFont="1" applyFill="1" applyBorder="1" applyAlignment="1" applyProtection="1">
      <alignment horizontal="right" vertical="center" shrinkToFit="1"/>
    </xf>
    <xf numFmtId="176" fontId="57" fillId="16" borderId="30" xfId="7" applyNumberFormat="1" applyFont="1" applyFill="1" applyBorder="1" applyAlignment="1" applyProtection="1">
      <alignment horizontal="right" vertical="center" shrinkToFit="1"/>
    </xf>
    <xf numFmtId="176" fontId="55" fillId="9" borderId="95" xfId="7" applyNumberFormat="1" applyFont="1" applyFill="1" applyBorder="1" applyAlignment="1" applyProtection="1">
      <alignment horizontal="center" vertical="center" shrinkToFit="1"/>
    </xf>
    <xf numFmtId="0" fontId="55" fillId="9" borderId="104" xfId="7" applyNumberFormat="1" applyFont="1" applyFill="1" applyBorder="1" applyAlignment="1" applyProtection="1">
      <alignment horizontal="center" vertical="center" shrinkToFit="1"/>
    </xf>
    <xf numFmtId="0" fontId="55" fillId="9" borderId="11" xfId="7" applyNumberFormat="1" applyFont="1" applyFill="1" applyBorder="1" applyAlignment="1" applyProtection="1">
      <alignment horizontal="center" vertical="center" shrinkToFit="1"/>
    </xf>
    <xf numFmtId="176" fontId="55" fillId="9" borderId="11" xfId="7" applyNumberFormat="1" applyFont="1" applyFill="1" applyBorder="1" applyAlignment="1" applyProtection="1">
      <alignment horizontal="center" vertical="center" shrinkToFit="1"/>
    </xf>
    <xf numFmtId="176" fontId="55" fillId="0" borderId="105" xfId="0" applyNumberFormat="1" applyFont="1" applyBorder="1">
      <alignment vertical="center"/>
    </xf>
    <xf numFmtId="176" fontId="55" fillId="9" borderId="14" xfId="7" applyNumberFormat="1" applyFont="1" applyFill="1" applyBorder="1" applyAlignment="1" applyProtection="1">
      <alignment horizontal="center" vertical="center" shrinkToFit="1"/>
    </xf>
    <xf numFmtId="0" fontId="57" fillId="16" borderId="106" xfId="7" applyNumberFormat="1" applyFont="1" applyFill="1" applyBorder="1" applyAlignment="1" applyProtection="1">
      <alignment horizontal="center" vertical="center" shrinkToFit="1"/>
    </xf>
    <xf numFmtId="0" fontId="57" fillId="16" borderId="31" xfId="7" applyNumberFormat="1" applyFont="1" applyFill="1" applyBorder="1" applyAlignment="1" applyProtection="1">
      <alignment horizontal="center" vertical="center" shrinkToFit="1"/>
    </xf>
    <xf numFmtId="176" fontId="57" fillId="16" borderId="31" xfId="7" applyNumberFormat="1" applyFont="1" applyFill="1" applyBorder="1" applyAlignment="1" applyProtection="1">
      <alignment horizontal="center" vertical="center" shrinkToFit="1"/>
    </xf>
    <xf numFmtId="176" fontId="57" fillId="16" borderId="31" xfId="0" applyNumberFormat="1" applyFont="1" applyFill="1" applyBorder="1" applyAlignment="1">
      <alignment horizontal="right" vertical="center"/>
    </xf>
    <xf numFmtId="176" fontId="57" fillId="16" borderId="107" xfId="0" applyNumberFormat="1" applyFont="1" applyFill="1" applyBorder="1" applyAlignment="1">
      <alignment horizontal="right" vertical="center"/>
    </xf>
    <xf numFmtId="176" fontId="57" fillId="16" borderId="107" xfId="7" applyNumberFormat="1" applyFont="1" applyFill="1" applyBorder="1" applyAlignment="1" applyProtection="1">
      <alignment horizontal="center" vertical="center" shrinkToFit="1"/>
    </xf>
    <xf numFmtId="0" fontId="55" fillId="0" borderId="95" xfId="7" applyNumberFormat="1" applyFont="1" applyFill="1" applyBorder="1" applyAlignment="1" applyProtection="1">
      <alignment horizontal="center" vertical="center" shrinkToFit="1"/>
    </xf>
    <xf numFmtId="0" fontId="58" fillId="16" borderId="9" xfId="7" applyNumberFormat="1" applyFont="1" applyFill="1" applyBorder="1" applyAlignment="1" applyProtection="1">
      <alignment horizontal="center" vertical="center" shrinkToFit="1"/>
    </xf>
    <xf numFmtId="0" fontId="58" fillId="16" borderId="96" xfId="7" applyNumberFormat="1" applyFont="1" applyFill="1" applyBorder="1" applyAlignment="1" applyProtection="1">
      <alignment horizontal="center" vertical="center" shrinkToFit="1"/>
    </xf>
    <xf numFmtId="176" fontId="58" fillId="16" borderId="96" xfId="7" applyNumberFormat="1" applyFont="1" applyFill="1" applyBorder="1" applyAlignment="1" applyProtection="1">
      <alignment horizontal="center" vertical="center" shrinkToFit="1"/>
    </xf>
    <xf numFmtId="176" fontId="57" fillId="16" borderId="96" xfId="0" applyNumberFormat="1" applyFont="1" applyFill="1" applyBorder="1" applyAlignment="1">
      <alignment horizontal="right" vertical="center"/>
    </xf>
    <xf numFmtId="176" fontId="57" fillId="16" borderId="30" xfId="0" applyNumberFormat="1" applyFont="1" applyFill="1" applyBorder="1" applyAlignment="1">
      <alignment horizontal="right" vertical="center"/>
    </xf>
    <xf numFmtId="0" fontId="12" fillId="12" borderId="96" xfId="0" applyFont="1" applyFill="1" applyBorder="1" applyAlignment="1" applyProtection="1">
      <alignment horizontal="center" vertical="center"/>
      <protection locked="0"/>
    </xf>
    <xf numFmtId="0" fontId="28" fillId="0" borderId="3" xfId="0" applyFont="1" applyBorder="1" applyAlignment="1" applyProtection="1">
      <alignment horizontal="center" vertical="center"/>
      <protection locked="0"/>
    </xf>
    <xf numFmtId="0" fontId="28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12" fillId="8" borderId="97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0" fontId="21" fillId="0" borderId="108" xfId="0" applyFont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5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 wrapText="1"/>
      <protection locked="0"/>
    </xf>
    <xf numFmtId="0" fontId="21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4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0" xfId="4" applyFont="1" applyFill="1" applyBorder="1" applyAlignment="1" applyProtection="1">
      <alignment horizontal="center" vertical="center" wrapText="1"/>
    </xf>
    <xf numFmtId="0" fontId="21" fillId="15" borderId="18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0" fontId="21" fillId="15" borderId="13" xfId="0" applyFont="1" applyFill="1" applyBorder="1" applyAlignment="1">
      <alignment horizontal="center" vertical="center" wrapText="1"/>
    </xf>
    <xf numFmtId="0" fontId="21" fillId="15" borderId="16" xfId="0" applyFont="1" applyFill="1" applyBorder="1" applyAlignment="1">
      <alignment horizontal="center" vertical="center" wrapText="1"/>
    </xf>
    <xf numFmtId="0" fontId="21" fillId="15" borderId="78" xfId="0" applyFont="1" applyFill="1" applyBorder="1" applyAlignment="1">
      <alignment horizontal="center" vertical="center" wrapText="1"/>
    </xf>
    <xf numFmtId="0" fontId="21" fillId="0" borderId="48" xfId="4" applyFont="1" applyFill="1" applyBorder="1" applyAlignment="1" applyProtection="1">
      <alignment horizontal="center" vertical="center" wrapText="1"/>
      <protection locked="0"/>
    </xf>
    <xf numFmtId="0" fontId="21" fillId="0" borderId="59" xfId="4" applyFont="1" applyFill="1" applyBorder="1" applyAlignment="1" applyProtection="1">
      <alignment horizontal="center" vertical="center" wrapText="1"/>
      <protection locked="0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70" xfId="4" applyFont="1" applyFill="1" applyBorder="1" applyAlignment="1" applyProtection="1">
      <alignment horizontal="center" vertical="center" wrapText="1"/>
      <protection locked="0"/>
    </xf>
    <xf numFmtId="0" fontId="21" fillId="0" borderId="112" xfId="4" applyFont="1" applyFill="1" applyBorder="1" applyAlignment="1" applyProtection="1">
      <alignment horizontal="center" vertical="center" wrapText="1"/>
      <protection locked="0"/>
    </xf>
    <xf numFmtId="0" fontId="21" fillId="0" borderId="113" xfId="4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4" fillId="3" borderId="36" xfId="3" applyFont="1" applyBorder="1" applyAlignment="1" applyProtection="1">
      <alignment horizontal="center" vertical="center"/>
      <protection locked="0"/>
    </xf>
    <xf numFmtId="0" fontId="24" fillId="3" borderId="72" xfId="3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21" fillId="0" borderId="49" xfId="4" applyFont="1" applyFill="1" applyBorder="1" applyAlignment="1" applyProtection="1">
      <alignment horizontal="center" vertical="center" wrapText="1"/>
      <protection locked="0"/>
    </xf>
    <xf numFmtId="0" fontId="21" fillId="0" borderId="53" xfId="4" applyFont="1" applyFill="1" applyBorder="1" applyAlignment="1" applyProtection="1">
      <alignment horizontal="center" vertical="center" wrapText="1"/>
      <protection locked="0"/>
    </xf>
    <xf numFmtId="0" fontId="21" fillId="0" borderId="35" xfId="4" applyFont="1" applyFill="1" applyBorder="1" applyAlignment="1" applyProtection="1">
      <alignment horizontal="center" vertical="center" wrapText="1"/>
      <protection locked="0"/>
    </xf>
    <xf numFmtId="0" fontId="21" fillId="0" borderId="34" xfId="4" applyFont="1" applyFill="1" applyBorder="1" applyAlignment="1" applyProtection="1">
      <alignment horizontal="center" vertical="center" wrapText="1"/>
      <protection locked="0"/>
    </xf>
    <xf numFmtId="0" fontId="21" fillId="0" borderId="114" xfId="4" applyFont="1" applyFill="1" applyBorder="1" applyAlignment="1" applyProtection="1">
      <alignment horizontal="center" vertical="center" wrapText="1"/>
      <protection locked="0"/>
    </xf>
    <xf numFmtId="0" fontId="21" fillId="0" borderId="115" xfId="4" applyFont="1" applyFill="1" applyBorder="1" applyAlignment="1" applyProtection="1">
      <alignment horizontal="center" vertical="center" wrapTex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13" fillId="6" borderId="32" xfId="4" applyFont="1" applyFill="1" applyBorder="1" applyAlignment="1" applyProtection="1">
      <alignment horizontal="center" vertical="center" wrapText="1"/>
    </xf>
    <xf numFmtId="0" fontId="21" fillId="0" borderId="55" xfId="4" applyFont="1" applyFill="1" applyBorder="1" applyAlignment="1" applyProtection="1">
      <alignment horizontal="center" vertical="center" wrapText="1"/>
      <protection locked="0"/>
    </xf>
    <xf numFmtId="0" fontId="21" fillId="0" borderId="52" xfId="4" applyFont="1" applyFill="1" applyBorder="1" applyAlignment="1" applyProtection="1">
      <alignment horizontal="center" vertical="center" wrapText="1"/>
      <protection locked="0"/>
    </xf>
    <xf numFmtId="0" fontId="21" fillId="0" borderId="51" xfId="4" applyFont="1" applyFill="1" applyBorder="1" applyAlignment="1" applyProtection="1">
      <alignment horizontal="center" vertical="center" wrapText="1"/>
      <protection locked="0"/>
    </xf>
    <xf numFmtId="0" fontId="21" fillId="0" borderId="116" xfId="4" applyFont="1" applyFill="1" applyBorder="1" applyAlignment="1" applyProtection="1">
      <alignment horizontal="center" vertical="center" wrapText="1"/>
      <protection locked="0"/>
    </xf>
    <xf numFmtId="0" fontId="21" fillId="0" borderId="117" xfId="4" applyFont="1" applyFill="1" applyBorder="1" applyAlignment="1" applyProtection="1">
      <alignment horizontal="center" vertical="center" wrapText="1"/>
      <protection locked="0"/>
    </xf>
    <xf numFmtId="0" fontId="21" fillId="0" borderId="118" xfId="4" applyFont="1" applyFill="1" applyBorder="1" applyAlignment="1" applyProtection="1">
      <alignment horizontal="center" vertical="center" wrapText="1"/>
      <protection locked="0"/>
    </xf>
    <xf numFmtId="0" fontId="21" fillId="0" borderId="4" xfId="4" applyFont="1" applyFill="1" applyBorder="1" applyAlignment="1" applyProtection="1">
      <alignment horizontal="center" vertical="center" wrapText="1"/>
      <protection locked="0"/>
    </xf>
    <xf numFmtId="0" fontId="21" fillId="0" borderId="67" xfId="4" applyFont="1" applyFill="1" applyBorder="1" applyAlignment="1" applyProtection="1">
      <alignment horizontal="center" vertical="center" wrapText="1"/>
      <protection locked="0"/>
    </xf>
    <xf numFmtId="0" fontId="21" fillId="0" borderId="66" xfId="4" applyFont="1" applyFill="1" applyBorder="1" applyAlignment="1" applyProtection="1">
      <alignment horizontal="center" vertical="center" wrapText="1"/>
      <protection locked="0"/>
    </xf>
    <xf numFmtId="0" fontId="21" fillId="0" borderId="119" xfId="4" applyFont="1" applyFill="1" applyBorder="1" applyAlignment="1" applyProtection="1">
      <alignment horizontal="center" vertical="center" wrapText="1"/>
      <protection locked="0"/>
    </xf>
    <xf numFmtId="0" fontId="21" fillId="0" borderId="120" xfId="4" applyFont="1" applyFill="1" applyBorder="1" applyAlignment="1" applyProtection="1">
      <alignment horizontal="center" vertical="center" wrapText="1"/>
      <protection locked="0"/>
    </xf>
    <xf numFmtId="0" fontId="21" fillId="0" borderId="24" xfId="4" applyFont="1" applyFill="1" applyBorder="1" applyAlignment="1" applyProtection="1">
      <alignment horizontal="center" vertical="center" wrapText="1"/>
      <protection locked="0"/>
    </xf>
    <xf numFmtId="0" fontId="13" fillId="15" borderId="61" xfId="4" applyFont="1" applyFill="1" applyBorder="1" applyAlignment="1" applyProtection="1">
      <alignment horizontal="center" vertical="center" wrapText="1"/>
    </xf>
    <xf numFmtId="0" fontId="21" fillId="0" borderId="18" xfId="4" applyFont="1" applyFill="1" applyBorder="1" applyAlignment="1" applyProtection="1">
      <alignment horizontal="center" vertical="center" wrapText="1"/>
      <protection locked="0"/>
    </xf>
    <xf numFmtId="0" fontId="21" fillId="0" borderId="21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21" fillId="0" borderId="102" xfId="4" applyFont="1" applyFill="1" applyBorder="1" applyAlignment="1" applyProtection="1">
      <alignment horizontal="center" vertical="center" wrapText="1"/>
      <protection locked="0"/>
    </xf>
    <xf numFmtId="0" fontId="21" fillId="0" borderId="103" xfId="4" applyFont="1" applyFill="1" applyBorder="1" applyAlignment="1" applyProtection="1">
      <alignment horizontal="center" vertical="center" wrapText="1"/>
      <protection locked="0"/>
    </xf>
    <xf numFmtId="0" fontId="21" fillId="0" borderId="165" xfId="4" applyFont="1" applyFill="1" applyBorder="1" applyAlignment="1" applyProtection="1">
      <alignment horizontal="center" vertical="center" wrapText="1"/>
      <protection locked="0"/>
    </xf>
    <xf numFmtId="0" fontId="21" fillId="0" borderId="166" xfId="4" applyFont="1" applyFill="1" applyBorder="1" applyAlignment="1" applyProtection="1">
      <alignment horizontal="center" vertical="center" wrapText="1"/>
      <protection locked="0"/>
    </xf>
    <xf numFmtId="0" fontId="21" fillId="0" borderId="167" xfId="4" applyFont="1" applyFill="1" applyBorder="1" applyAlignment="1" applyProtection="1">
      <alignment horizontal="center" vertical="center" wrapText="1"/>
      <protection locked="0"/>
    </xf>
    <xf numFmtId="0" fontId="21" fillId="0" borderId="168" xfId="4" applyFont="1" applyFill="1" applyBorder="1" applyAlignment="1" applyProtection="1">
      <alignment horizontal="center" vertical="center" wrapText="1"/>
      <protection locked="0"/>
    </xf>
    <xf numFmtId="0" fontId="52" fillId="15" borderId="13" xfId="0" applyFont="1" applyFill="1" applyBorder="1" applyAlignment="1">
      <alignment horizontal="center" vertical="center" wrapText="1"/>
    </xf>
    <xf numFmtId="0" fontId="52" fillId="15" borderId="16" xfId="0" applyFont="1" applyFill="1" applyBorder="1" applyAlignment="1">
      <alignment horizontal="center" vertical="center" wrapText="1"/>
    </xf>
    <xf numFmtId="0" fontId="21" fillId="10" borderId="57" xfId="6" applyFont="1" applyFill="1" applyBorder="1" applyAlignment="1" applyProtection="1">
      <alignment horizontal="center" vertical="center" wrapText="1"/>
    </xf>
    <xf numFmtId="0" fontId="21" fillId="10" borderId="58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22" fillId="13" borderId="23" xfId="0" applyFont="1" applyFill="1" applyBorder="1" applyAlignment="1" applyProtection="1">
      <alignment horizontal="center" vertical="center"/>
      <protection locked="0"/>
    </xf>
    <xf numFmtId="0" fontId="22" fillId="13" borderId="28" xfId="0" applyFont="1" applyFill="1" applyBorder="1" applyAlignment="1" applyProtection="1">
      <alignment horizontal="center" vertical="center"/>
      <protection locked="0"/>
    </xf>
    <xf numFmtId="176" fontId="21" fillId="15" borderId="23" xfId="0" applyNumberFormat="1" applyFont="1" applyFill="1" applyBorder="1" applyAlignment="1">
      <alignment horizontal="center" vertical="center" wrapText="1"/>
    </xf>
    <xf numFmtId="176" fontId="21" fillId="15" borderId="28" xfId="0" applyNumberFormat="1" applyFont="1" applyFill="1" applyBorder="1" applyAlignment="1">
      <alignment horizontal="center" vertical="center" wrapText="1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23" xfId="4" applyFont="1" applyFill="1" applyBorder="1" applyAlignment="1" applyProtection="1">
      <alignment horizontal="center" vertical="center" wrapText="1"/>
      <protection locked="0"/>
    </xf>
    <xf numFmtId="0" fontId="21" fillId="0" borderId="64" xfId="4" applyFont="1" applyFill="1" applyBorder="1" applyAlignment="1" applyProtection="1">
      <alignment horizontal="center" vertical="center" wrapText="1"/>
      <protection locked="0"/>
    </xf>
    <xf numFmtId="0" fontId="21" fillId="0" borderId="63" xfId="4" applyFont="1" applyFill="1" applyBorder="1" applyAlignment="1" applyProtection="1">
      <alignment horizontal="center" vertical="center" wrapText="1"/>
      <protection locked="0"/>
    </xf>
    <xf numFmtId="0" fontId="21" fillId="0" borderId="108" xfId="4" applyFont="1" applyFill="1" applyBorder="1" applyAlignment="1" applyProtection="1">
      <alignment horizontal="center" vertical="center" wrapText="1"/>
      <protection locked="0"/>
    </xf>
    <xf numFmtId="0" fontId="21" fillId="0" borderId="15" xfId="4" applyFont="1" applyFill="1" applyBorder="1" applyAlignment="1" applyProtection="1">
      <alignment horizontal="center" vertical="center" wrapText="1"/>
      <protection locked="0"/>
    </xf>
    <xf numFmtId="0" fontId="21" fillId="10" borderId="23" xfId="6" applyFont="1" applyFill="1" applyBorder="1" applyAlignment="1" applyProtection="1">
      <alignment horizontal="center" vertical="center" wrapText="1"/>
    </xf>
    <xf numFmtId="0" fontId="21" fillId="10" borderId="22" xfId="6" applyFont="1" applyFill="1" applyBorder="1" applyAlignment="1" applyProtection="1">
      <alignment horizontal="center" vertical="center" wrapText="1"/>
    </xf>
    <xf numFmtId="0" fontId="21" fillId="10" borderId="28" xfId="6" applyFont="1" applyFill="1" applyBorder="1" applyAlignment="1" applyProtection="1">
      <alignment horizontal="center" vertical="center" wrapText="1"/>
    </xf>
    <xf numFmtId="0" fontId="21" fillId="10" borderId="56" xfId="6" applyFont="1" applyFill="1" applyBorder="1" applyAlignment="1" applyProtection="1">
      <alignment horizontal="center" vertical="center" wrapText="1"/>
    </xf>
    <xf numFmtId="0" fontId="21" fillId="10" borderId="63" xfId="6" applyFont="1" applyFill="1" applyBorder="1" applyAlignment="1" applyProtection="1">
      <alignment horizontal="center" vertical="center" wrapText="1"/>
    </xf>
    <xf numFmtId="0" fontId="21" fillId="10" borderId="81" xfId="6" applyFont="1" applyFill="1" applyBorder="1" applyAlignment="1" applyProtection="1">
      <alignment horizontal="center" vertical="center" wrapText="1"/>
    </xf>
    <xf numFmtId="0" fontId="21" fillId="10" borderId="85" xfId="6" applyFont="1" applyFill="1" applyBorder="1" applyAlignment="1" applyProtection="1">
      <alignment horizontal="center" vertical="center" wrapText="1"/>
    </xf>
    <xf numFmtId="0" fontId="21" fillId="10" borderId="64" xfId="6" applyFont="1" applyFill="1" applyBorder="1" applyAlignment="1" applyProtection="1">
      <alignment horizontal="center" vertical="center" wrapText="1"/>
    </xf>
    <xf numFmtId="0" fontId="21" fillId="0" borderId="28" xfId="4" applyFont="1" applyFill="1" applyBorder="1" applyAlignment="1" applyProtection="1">
      <alignment horizontal="center" vertical="center" wrapText="1"/>
      <protection locked="0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28" xfId="5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21" fillId="0" borderId="49" xfId="2" applyFont="1" applyBorder="1" applyAlignment="1" applyProtection="1">
      <alignment horizontal="center" vertical="center" wrapText="1"/>
      <protection locked="0"/>
    </xf>
    <xf numFmtId="0" fontId="21" fillId="0" borderId="53" xfId="2" applyFont="1" applyBorder="1" applyAlignment="1" applyProtection="1">
      <alignment horizontal="center" vertical="center" wrapText="1"/>
      <protection locked="0"/>
    </xf>
    <xf numFmtId="0" fontId="21" fillId="0" borderId="69" xfId="4" applyFont="1" applyFill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21" fillId="0" borderId="49" xfId="0" applyFont="1" applyFill="1" applyBorder="1" applyAlignment="1" applyProtection="1">
      <alignment horizontal="center" vertical="center" shrinkToFit="1"/>
      <protection locked="0"/>
    </xf>
    <xf numFmtId="0" fontId="21" fillId="0" borderId="53" xfId="0" applyFont="1" applyFill="1" applyBorder="1" applyAlignment="1" applyProtection="1">
      <alignment horizontal="center" vertical="center" shrinkToFit="1"/>
      <protection locked="0"/>
    </xf>
    <xf numFmtId="0" fontId="21" fillId="0" borderId="71" xfId="4" applyFont="1" applyFill="1" applyBorder="1" applyAlignment="1" applyProtection="1">
      <alignment horizontal="center" vertical="center" wrapText="1"/>
      <protection locked="0"/>
    </xf>
    <xf numFmtId="0" fontId="13" fillId="15" borderId="169" xfId="5" applyFont="1" applyFill="1" applyBorder="1" applyAlignment="1" applyProtection="1">
      <alignment horizontal="center" vertical="center" wrapText="1"/>
    </xf>
    <xf numFmtId="0" fontId="13" fillId="15" borderId="72" xfId="5" applyFont="1" applyFill="1" applyBorder="1" applyAlignment="1" applyProtection="1">
      <alignment horizontal="center" vertical="center" wrapText="1"/>
    </xf>
    <xf numFmtId="0" fontId="21" fillId="0" borderId="4" xfId="0" applyFont="1" applyBorder="1" applyAlignment="1" applyProtection="1">
      <alignment horizontal="center" vertical="center" shrinkToFit="1"/>
      <protection locked="0"/>
    </xf>
    <xf numFmtId="0" fontId="21" fillId="0" borderId="27" xfId="0" applyFont="1" applyBorder="1" applyAlignment="1" applyProtection="1">
      <alignment horizontal="center" vertical="center" shrinkToFit="1"/>
      <protection locked="0"/>
    </xf>
    <xf numFmtId="0" fontId="21" fillId="15" borderId="74" xfId="4" applyFont="1" applyFill="1" applyBorder="1" applyAlignment="1" applyProtection="1">
      <alignment horizontal="center" vertical="center" wrapText="1"/>
    </xf>
    <xf numFmtId="0" fontId="21" fillId="15" borderId="76" xfId="4" applyFont="1" applyFill="1" applyBorder="1" applyAlignment="1" applyProtection="1">
      <alignment horizontal="center" vertical="center" wrapText="1"/>
    </xf>
    <xf numFmtId="0" fontId="21" fillId="15" borderId="61" xfId="4" applyFont="1" applyFill="1" applyBorder="1" applyAlignment="1" applyProtection="1">
      <alignment horizontal="center" vertical="center" wrapText="1"/>
    </xf>
    <xf numFmtId="0" fontId="21" fillId="0" borderId="75" xfId="4" applyFont="1" applyFill="1" applyBorder="1" applyAlignment="1" applyProtection="1">
      <alignment horizontal="center" vertical="center" wrapText="1"/>
      <protection locked="0"/>
    </xf>
    <xf numFmtId="0" fontId="21" fillId="0" borderId="7" xfId="4" applyFont="1" applyFill="1" applyBorder="1" applyAlignment="1" applyProtection="1">
      <alignment horizontal="center" vertical="center" wrapText="1"/>
      <protection locked="0"/>
    </xf>
    <xf numFmtId="0" fontId="21" fillId="0" borderId="62" xfId="4" applyFont="1" applyFill="1" applyBorder="1" applyAlignment="1" applyProtection="1">
      <alignment horizontal="center" vertical="center" wrapText="1"/>
      <protection locked="0"/>
    </xf>
    <xf numFmtId="0" fontId="21" fillId="0" borderId="88" xfId="4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shrinkToFit="1"/>
      <protection locked="0"/>
    </xf>
    <xf numFmtId="0" fontId="21" fillId="0" borderId="0" xfId="0" applyFont="1" applyBorder="1" applyAlignment="1" applyProtection="1">
      <alignment horizontal="center" vertical="center" shrinkToFit="1"/>
      <protection locked="0"/>
    </xf>
    <xf numFmtId="0" fontId="21" fillId="0" borderId="18" xfId="0" applyFont="1" applyBorder="1" applyAlignment="1" applyProtection="1">
      <alignment horizontal="center" vertical="center" shrinkToFit="1"/>
      <protection locked="0"/>
    </xf>
    <xf numFmtId="0" fontId="21" fillId="0" borderId="3" xfId="0" applyFont="1" applyBorder="1" applyAlignment="1" applyProtection="1">
      <alignment horizontal="center" vertical="center" shrinkToFit="1"/>
      <protection locked="0"/>
    </xf>
    <xf numFmtId="0" fontId="21" fillId="0" borderId="6" xfId="0" applyFont="1" applyBorder="1" applyAlignment="1" applyProtection="1">
      <alignment horizontal="center" vertical="center" wrapText="1" shrinkToFit="1"/>
      <protection locked="0"/>
    </xf>
    <xf numFmtId="0" fontId="21" fillId="0" borderId="4" xfId="0" applyFont="1" applyBorder="1" applyAlignment="1" applyProtection="1">
      <alignment horizontal="center" vertical="center" wrapText="1" shrinkToFit="1"/>
      <protection locked="0"/>
    </xf>
    <xf numFmtId="0" fontId="21" fillId="0" borderId="171" xfId="4" applyFont="1" applyFill="1" applyBorder="1" applyAlignment="1" applyProtection="1">
      <alignment horizontal="center" vertical="center" wrapText="1"/>
      <protection locked="0"/>
    </xf>
    <xf numFmtId="0" fontId="21" fillId="0" borderId="19" xfId="4" applyFont="1" applyFill="1" applyBorder="1" applyAlignment="1" applyProtection="1">
      <alignment horizontal="center" vertical="center" wrapText="1"/>
      <protection locked="0"/>
    </xf>
    <xf numFmtId="0" fontId="21" fillId="0" borderId="89" xfId="4" applyFont="1" applyFill="1" applyBorder="1" applyAlignment="1" applyProtection="1">
      <alignment horizontal="center" vertical="center" wrapText="1"/>
      <protection locked="0"/>
    </xf>
    <xf numFmtId="0" fontId="21" fillId="0" borderId="79" xfId="4" applyFont="1" applyFill="1" applyBorder="1" applyAlignment="1" applyProtection="1">
      <alignment horizontal="center" vertical="center" wrapText="1"/>
      <protection locked="0"/>
    </xf>
    <xf numFmtId="0" fontId="21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21" fillId="0" borderId="20" xfId="4" applyFont="1" applyFill="1" applyBorder="1" applyAlignment="1" applyProtection="1">
      <alignment horizontal="center" vertical="center" wrapText="1"/>
      <protection locked="0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89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13" fillId="10" borderId="0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170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93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112" xfId="4" applyFont="1" applyFill="1" applyBorder="1" applyAlignment="1" applyProtection="1">
      <alignment horizontal="center" vertical="center" wrapText="1"/>
      <protection locked="0"/>
    </xf>
    <xf numFmtId="0" fontId="13" fillId="0" borderId="113" xfId="4" applyFont="1" applyFill="1" applyBorder="1" applyAlignment="1" applyProtection="1">
      <alignment horizontal="center" vertical="center" wrapText="1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108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102" xfId="6" applyFont="1" applyFill="1" applyBorder="1" applyAlignment="1" applyProtection="1">
      <alignment horizontal="center" vertical="center" wrapText="1"/>
    </xf>
    <xf numFmtId="0" fontId="13" fillId="15" borderId="103" xfId="6" applyFont="1" applyFill="1" applyBorder="1" applyAlignment="1" applyProtection="1">
      <alignment horizontal="center" vertical="center" wrapText="1"/>
    </xf>
    <xf numFmtId="0" fontId="13" fillId="6" borderId="98" xfId="4" applyFont="1" applyFill="1" applyBorder="1" applyAlignment="1" applyProtection="1">
      <alignment horizontal="center" vertical="center" wrapText="1"/>
    </xf>
    <xf numFmtId="0" fontId="13" fillId="15" borderId="11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17" xfId="4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26" fillId="9" borderId="104" xfId="7" applyFont="1" applyFill="1" applyBorder="1" applyAlignment="1" applyProtection="1">
      <alignment horizontal="center" vertical="center" wrapText="1"/>
    </xf>
    <xf numFmtId="0" fontId="26" fillId="9" borderId="106" xfId="7" applyFont="1" applyFill="1" applyBorder="1" applyAlignment="1" applyProtection="1">
      <alignment horizontal="center" vertical="center" wrapText="1"/>
    </xf>
    <xf numFmtId="0" fontId="26" fillId="9" borderId="9" xfId="7" applyFont="1" applyFill="1" applyBorder="1" applyAlignment="1" applyProtection="1">
      <alignment horizontal="center" vertical="center" wrapText="1"/>
    </xf>
    <xf numFmtId="176" fontId="26" fillId="9" borderId="178" xfId="7" applyNumberFormat="1" applyFont="1" applyFill="1" applyBorder="1" applyAlignment="1" applyProtection="1">
      <alignment horizontal="center" vertical="center" wrapText="1"/>
    </xf>
    <xf numFmtId="0" fontId="26" fillId="9" borderId="176" xfId="7" applyFont="1" applyFill="1" applyBorder="1" applyAlignment="1" applyProtection="1">
      <alignment horizontal="center" vertical="center" wrapText="1"/>
    </xf>
    <xf numFmtId="0" fontId="26" fillId="9" borderId="8" xfId="7" applyFont="1" applyFill="1" applyBorder="1" applyAlignment="1" applyProtection="1">
      <alignment horizontal="center" vertical="center" wrapText="1"/>
    </xf>
    <xf numFmtId="0" fontId="57" fillId="16" borderId="92" xfId="7" applyNumberFormat="1" applyFont="1" applyFill="1" applyBorder="1" applyAlignment="1" applyProtection="1">
      <alignment horizontal="center" vertical="center" shrinkToFit="1"/>
    </xf>
    <xf numFmtId="0" fontId="57" fillId="16" borderId="80" xfId="7" applyNumberFormat="1" applyFont="1" applyFill="1" applyBorder="1" applyAlignment="1" applyProtection="1">
      <alignment horizontal="center" vertical="center" shrinkToFit="1"/>
    </xf>
    <xf numFmtId="0" fontId="26" fillId="9" borderId="25" xfId="7" applyFont="1" applyFill="1" applyBorder="1" applyAlignment="1" applyProtection="1">
      <alignment horizontal="center" vertical="center" wrapText="1"/>
    </xf>
    <xf numFmtId="0" fontId="26" fillId="9" borderId="26" xfId="7" applyFont="1" applyFill="1" applyBorder="1" applyAlignment="1" applyProtection="1">
      <alignment horizontal="center" vertical="center" wrapText="1"/>
    </xf>
    <xf numFmtId="0" fontId="26" fillId="9" borderId="120" xfId="7" applyFont="1" applyFill="1" applyBorder="1" applyAlignment="1" applyProtection="1">
      <alignment horizontal="center" vertical="center" wrapText="1"/>
    </xf>
    <xf numFmtId="0" fontId="26" fillId="9" borderId="19" xfId="7" applyFont="1" applyFill="1" applyBorder="1" applyAlignment="1" applyProtection="1">
      <alignment horizontal="center" vertical="center" wrapText="1"/>
    </xf>
    <xf numFmtId="0" fontId="26" fillId="9" borderId="79" xfId="7" applyFont="1" applyFill="1" applyBorder="1" applyAlignment="1" applyProtection="1">
      <alignment horizontal="center" vertical="center" wrapText="1"/>
    </xf>
    <xf numFmtId="0" fontId="26" fillId="9" borderId="5" xfId="7" applyFont="1" applyFill="1" applyBorder="1" applyAlignment="1" applyProtection="1">
      <alignment horizontal="center" vertical="center" wrapText="1"/>
    </xf>
    <xf numFmtId="0" fontId="26" fillId="9" borderId="12" xfId="7" applyFont="1" applyFill="1" applyBorder="1" applyAlignment="1" applyProtection="1">
      <alignment horizontal="center" vertical="center" wrapText="1"/>
    </xf>
    <xf numFmtId="176" fontId="26" fillId="9" borderId="111" xfId="7" applyNumberFormat="1" applyFont="1" applyFill="1" applyBorder="1" applyAlignment="1" applyProtection="1">
      <alignment horizontal="center" vertical="center" wrapText="1"/>
    </xf>
    <xf numFmtId="0" fontId="26" fillId="9" borderId="109" xfId="7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31" xfId="7" applyNumberFormat="1" applyFont="1" applyFill="1" applyBorder="1" applyAlignment="1" applyProtection="1">
      <alignment horizontal="center" vertical="center" shrinkToFit="1"/>
    </xf>
    <xf numFmtId="0" fontId="17" fillId="11" borderId="95" xfId="7" applyFont="1" applyFill="1" applyBorder="1" applyAlignment="1">
      <alignment horizontal="center" vertical="center"/>
    </xf>
    <xf numFmtId="0" fontId="26" fillId="11" borderId="29" xfId="7" applyFont="1" applyFill="1" applyBorder="1" applyAlignment="1">
      <alignment horizontal="center" vertical="center" wrapText="1"/>
    </xf>
    <xf numFmtId="0" fontId="26" fillId="11" borderId="10" xfId="7" applyFont="1" applyFill="1" applyBorder="1" applyAlignment="1">
      <alignment horizontal="center" vertical="center"/>
    </xf>
    <xf numFmtId="0" fontId="26" fillId="11" borderId="107" xfId="7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/>
    </xf>
    <xf numFmtId="0" fontId="30" fillId="0" borderId="24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26" fillId="11" borderId="95" xfId="7" applyFont="1" applyFill="1" applyBorder="1" applyAlignment="1">
      <alignment horizontal="center" vertical="center" wrapText="1"/>
    </xf>
    <xf numFmtId="0" fontId="26" fillId="11" borderId="14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6" xfId="7" applyFont="1" applyFill="1" applyBorder="1" applyAlignment="1" applyProtection="1">
      <alignment horizontal="center" vertical="center" wrapText="1"/>
    </xf>
    <xf numFmtId="0" fontId="57" fillId="16" borderId="182" xfId="7" applyNumberFormat="1" applyFont="1" applyFill="1" applyBorder="1" applyAlignment="1" applyProtection="1">
      <alignment horizontal="center" vertical="center" shrinkToFit="1"/>
    </xf>
    <xf numFmtId="0" fontId="40" fillId="9" borderId="97" xfId="7" applyFont="1" applyFill="1" applyBorder="1" applyAlignment="1" applyProtection="1">
      <alignment horizontal="center" vertical="center" wrapText="1"/>
    </xf>
    <xf numFmtId="0" fontId="40" fillId="9" borderId="25" xfId="7" applyFont="1" applyFill="1" applyBorder="1" applyAlignment="1" applyProtection="1">
      <alignment horizontal="center" vertical="center" wrapText="1"/>
    </xf>
    <xf numFmtId="0" fontId="40" fillId="9" borderId="26" xfId="7" applyFont="1" applyFill="1" applyBorder="1" applyAlignment="1" applyProtection="1">
      <alignment horizontal="center" vertical="center" wrapText="1"/>
    </xf>
    <xf numFmtId="176" fontId="40" fillId="9" borderId="120" xfId="7" applyNumberFormat="1" applyFont="1" applyFill="1" applyBorder="1" applyAlignment="1" applyProtection="1">
      <alignment horizontal="center" vertical="center" wrapText="1"/>
    </xf>
    <xf numFmtId="176" fontId="40" fillId="9" borderId="19" xfId="7" applyNumberFormat="1" applyFont="1" applyFill="1" applyBorder="1" applyAlignment="1" applyProtection="1">
      <alignment horizontal="center" vertical="center" wrapText="1"/>
    </xf>
    <xf numFmtId="176" fontId="40" fillId="9" borderId="79" xfId="7" applyNumberFormat="1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5" fillId="8" borderId="82" xfId="0" applyFont="1" applyFill="1" applyBorder="1" applyAlignment="1">
      <alignment horizontal="center" vertical="center"/>
    </xf>
    <xf numFmtId="0" fontId="25" fillId="8" borderId="90" xfId="0" applyFont="1" applyFill="1" applyBorder="1" applyAlignment="1">
      <alignment horizontal="center" vertical="center"/>
    </xf>
    <xf numFmtId="0" fontId="25" fillId="8" borderId="91" xfId="0" applyFont="1" applyFill="1" applyBorder="1" applyAlignment="1">
      <alignment horizontal="center" vertical="center"/>
    </xf>
    <xf numFmtId="0" fontId="25" fillId="8" borderId="56" xfId="0" applyFont="1" applyFill="1" applyBorder="1" applyAlignment="1">
      <alignment horizontal="center" vertical="center"/>
    </xf>
    <xf numFmtId="0" fontId="25" fillId="8" borderId="58" xfId="0" applyFont="1" applyFill="1" applyBorder="1" applyAlignment="1">
      <alignment horizontal="center" vertical="center"/>
    </xf>
    <xf numFmtId="0" fontId="0" fillId="0" borderId="92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80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49" fillId="0" borderId="154" xfId="16" applyFont="1" applyBorder="1" applyAlignment="1">
      <alignment horizontal="center" vertical="center"/>
    </xf>
    <xf numFmtId="0" fontId="34" fillId="0" borderId="151" xfId="16" applyFont="1" applyBorder="1"/>
    <xf numFmtId="0" fontId="33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3" fillId="18" borderId="162" xfId="16" applyFont="1" applyFill="1" applyBorder="1" applyAlignment="1">
      <alignment horizontal="center" vertical="center" wrapText="1"/>
    </xf>
    <xf numFmtId="0" fontId="34" fillId="0" borderId="124" xfId="16" applyFont="1" applyBorder="1"/>
    <xf numFmtId="0" fontId="34" fillId="0" borderId="129" xfId="16" applyFont="1" applyBorder="1"/>
    <xf numFmtId="0" fontId="33" fillId="18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47" fillId="19" borderId="132" xfId="16" applyFont="1" applyFill="1" applyBorder="1" applyAlignment="1">
      <alignment horizontal="center" vertical="center"/>
    </xf>
    <xf numFmtId="0" fontId="34" fillId="0" borderId="134" xfId="16" applyFont="1" applyBorder="1"/>
    <xf numFmtId="0" fontId="47" fillId="19" borderId="128" xfId="16" applyFont="1" applyFill="1" applyBorder="1" applyAlignment="1">
      <alignment horizontal="center" vertical="center"/>
    </xf>
    <xf numFmtId="0" fontId="34" fillId="0" borderId="127" xfId="16" applyFont="1" applyBorder="1"/>
    <xf numFmtId="0" fontId="34" fillId="0" borderId="126" xfId="16" applyFont="1" applyBorder="1"/>
    <xf numFmtId="0" fontId="48" fillId="0" borderId="132" xfId="16" applyFont="1" applyBorder="1" applyAlignment="1">
      <alignment horizontal="center" vertical="center"/>
    </xf>
    <xf numFmtId="0" fontId="50" fillId="0" borderId="134" xfId="16" applyFont="1" applyBorder="1"/>
    <xf numFmtId="0" fontId="41" fillId="19" borderId="126" xfId="16" applyFont="1" applyFill="1" applyBorder="1" applyAlignment="1">
      <alignment horizontal="center" vertical="center" wrapText="1"/>
    </xf>
    <xf numFmtId="0" fontId="41" fillId="0" borderId="128" xfId="16" applyFont="1" applyBorder="1" applyAlignment="1">
      <alignment horizontal="center" vertical="center" wrapText="1"/>
    </xf>
    <xf numFmtId="0" fontId="33" fillId="18" borderId="122" xfId="16" applyFont="1" applyFill="1" applyBorder="1" applyAlignment="1">
      <alignment horizontal="center" vertical="center" wrapText="1"/>
    </xf>
    <xf numFmtId="0" fontId="47" fillId="19" borderId="126" xfId="16" applyFont="1" applyFill="1" applyBorder="1" applyAlignment="1">
      <alignment horizontal="center" vertical="center" wrapText="1"/>
    </xf>
    <xf numFmtId="0" fontId="43" fillId="20" borderId="126" xfId="16" applyFont="1" applyFill="1" applyBorder="1" applyAlignment="1">
      <alignment horizontal="center" vertical="center" wrapText="1"/>
    </xf>
    <xf numFmtId="0" fontId="45" fillId="20" borderId="128" xfId="16" applyFont="1" applyFill="1" applyBorder="1" applyAlignment="1">
      <alignment horizontal="center" vertical="center" wrapText="1"/>
    </xf>
    <xf numFmtId="0" fontId="47" fillId="19" borderId="126" xfId="16" applyFont="1" applyFill="1" applyBorder="1" applyAlignment="1">
      <alignment horizontal="center" vertical="center"/>
    </xf>
    <xf numFmtId="0" fontId="47" fillId="0" borderId="128" xfId="16" applyFont="1" applyBorder="1" applyAlignment="1">
      <alignment horizontal="center" vertical="center"/>
    </xf>
    <xf numFmtId="0" fontId="41" fillId="19" borderId="126" xfId="16" applyFont="1" applyFill="1" applyBorder="1" applyAlignment="1">
      <alignment horizontal="center" vertical="center"/>
    </xf>
    <xf numFmtId="0" fontId="41" fillId="0" borderId="110" xfId="16" applyFont="1" applyBorder="1" applyAlignment="1">
      <alignment horizontal="center" vertical="center"/>
    </xf>
    <xf numFmtId="0" fontId="34" fillId="0" borderId="125" xfId="16" applyFont="1" applyBorder="1"/>
    <xf numFmtId="0" fontId="34" fillId="0" borderId="135" xfId="16" applyFont="1" applyBorder="1"/>
    <xf numFmtId="0" fontId="41" fillId="0" borderId="128" xfId="16" applyFont="1" applyBorder="1" applyAlignment="1">
      <alignment horizontal="center" vertical="center"/>
    </xf>
    <xf numFmtId="0" fontId="43" fillId="0" borderId="140" xfId="16" applyFont="1" applyBorder="1" applyAlignment="1">
      <alignment horizontal="center" vertical="center" wrapText="1"/>
    </xf>
    <xf numFmtId="0" fontId="34" fillId="0" borderId="146" xfId="16" applyFont="1" applyBorder="1"/>
    <xf numFmtId="0" fontId="43" fillId="0" borderId="143" xfId="16" applyFont="1" applyBorder="1" applyAlignment="1">
      <alignment horizontal="center" vertical="center" wrapText="1"/>
    </xf>
    <xf numFmtId="0" fontId="34" fillId="0" borderId="145" xfId="16" applyFont="1" applyBorder="1"/>
    <xf numFmtId="0" fontId="34" fillId="0" borderId="133" xfId="16" applyFont="1" applyBorder="1"/>
    <xf numFmtId="0" fontId="43" fillId="0" borderId="154" xfId="16" applyFont="1" applyBorder="1" applyAlignment="1">
      <alignment horizontal="center" vertical="center" wrapText="1"/>
    </xf>
    <xf numFmtId="0" fontId="43" fillId="0" borderId="156" xfId="16" applyFont="1" applyBorder="1" applyAlignment="1">
      <alignment horizontal="center" vertical="center" wrapText="1"/>
    </xf>
    <xf numFmtId="0" fontId="34" fillId="0" borderId="157" xfId="16" applyFont="1" applyBorder="1"/>
    <xf numFmtId="0" fontId="43" fillId="0" borderId="110" xfId="16" applyFont="1" applyBorder="1" applyAlignment="1">
      <alignment horizontal="center" vertical="center" wrapText="1"/>
    </xf>
    <xf numFmtId="0" fontId="43" fillId="0" borderId="158" xfId="16" applyFont="1" applyBorder="1" applyAlignment="1">
      <alignment horizontal="center" vertical="center" wrapText="1"/>
    </xf>
    <xf numFmtId="0" fontId="34" fillId="0" borderId="159" xfId="16" applyFont="1" applyBorder="1"/>
    <xf numFmtId="0" fontId="43" fillId="0" borderId="128" xfId="16" applyFont="1" applyBorder="1" applyAlignment="1">
      <alignment horizontal="center" vertical="center" wrapText="1"/>
    </xf>
    <xf numFmtId="0" fontId="42" fillId="20" borderId="138" xfId="16" applyFont="1" applyFill="1" applyBorder="1" applyAlignment="1">
      <alignment horizontal="center" vertical="center" wrapText="1"/>
    </xf>
    <xf numFmtId="0" fontId="34" fillId="0" borderId="139" xfId="16" applyFont="1" applyBorder="1"/>
    <xf numFmtId="0" fontId="43" fillId="0" borderId="141" xfId="16" applyFont="1" applyBorder="1" applyAlignment="1">
      <alignment horizontal="center" vertical="center" wrapText="1"/>
    </xf>
    <xf numFmtId="0" fontId="34" fillId="0" borderId="147" xfId="16" applyFont="1" applyBorder="1"/>
    <xf numFmtId="0" fontId="34" fillId="0" borderId="150" xfId="16" applyFont="1" applyBorder="1"/>
    <xf numFmtId="0" fontId="43" fillId="0" borderId="126" xfId="16" applyFont="1" applyBorder="1" applyAlignment="1">
      <alignment horizontal="center" vertical="center" wrapText="1"/>
    </xf>
    <xf numFmtId="0" fontId="45" fillId="0" borderId="128" xfId="16" applyFont="1" applyBorder="1" applyAlignment="1">
      <alignment horizontal="center" vertical="center" wrapText="1"/>
    </xf>
    <xf numFmtId="0" fontId="43" fillId="20" borderId="128" xfId="16" applyFont="1" applyFill="1" applyBorder="1" applyAlignment="1">
      <alignment horizontal="center" vertical="center" wrapText="1"/>
    </xf>
    <xf numFmtId="0" fontId="41" fillId="19" borderId="131" xfId="16" applyFont="1" applyFill="1" applyBorder="1" applyAlignment="1">
      <alignment horizontal="center" vertical="center"/>
    </xf>
    <xf numFmtId="0" fontId="34" fillId="0" borderId="132" xfId="16" applyFont="1" applyBorder="1"/>
    <xf numFmtId="0" fontId="41" fillId="0" borderId="110" xfId="16" applyFont="1" applyBorder="1" applyAlignment="1">
      <alignment horizontal="center" vertical="center" wrapText="1"/>
    </xf>
    <xf numFmtId="0" fontId="34" fillId="0" borderId="131" xfId="16" applyFont="1" applyBorder="1"/>
    <xf numFmtId="0" fontId="37" fillId="0" borderId="0" xfId="16" applyFont="1" applyAlignment="1">
      <alignment horizontal="center" vertical="center"/>
    </xf>
    <xf numFmtId="0" fontId="39" fillId="0" borderId="0" xfId="16" applyFont="1" applyAlignment="1"/>
    <xf numFmtId="0" fontId="40" fillId="0" borderId="123" xfId="16" applyFont="1" applyBorder="1" applyAlignment="1">
      <alignment horizontal="center" vertical="center"/>
    </xf>
    <xf numFmtId="0" fontId="34" fillId="0" borderId="27" xfId="16" applyFont="1" applyBorder="1"/>
    <xf numFmtId="0" fontId="34" fillId="0" borderId="24" xfId="16" applyFont="1" applyBorder="1"/>
    <xf numFmtId="0" fontId="40" fillId="8" borderId="4" xfId="16" applyFont="1" applyFill="1" applyBorder="1" applyAlignment="1">
      <alignment horizontal="center" vertical="center"/>
    </xf>
    <xf numFmtId="0" fontId="34" fillId="8" borderId="27" xfId="16" applyFont="1" applyFill="1" applyBorder="1"/>
    <xf numFmtId="0" fontId="34" fillId="8" borderId="24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C21AB20C-0550-4452-8DF6-CE157B755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8520" y="162306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307D-9337-4B43-8734-EB8F305927A7}">
  <sheetPr>
    <pageSetUpPr fitToPage="1"/>
  </sheetPr>
  <dimension ref="B1:AD97"/>
  <sheetViews>
    <sheetView tabSelected="1" view="pageBreakPreview" topLeftCell="D1" zoomScaleNormal="100" zoomScaleSheetLayoutView="100" workbookViewId="0">
      <pane ySplit="8" topLeftCell="A33" activePane="bottomLeft" state="frozen"/>
      <selection pane="bottomLeft" activeCell="B2" sqref="B2:U2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8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5" width="6.3984375" style="4" customWidth="1"/>
    <col min="26" max="26" width="8.69921875" style="4"/>
    <col min="27" max="27" width="16.3984375" style="4" customWidth="1"/>
    <col min="28" max="29" width="12.8984375" style="4" customWidth="1"/>
    <col min="30" max="30" width="13.8984375" style="4" customWidth="1"/>
    <col min="31" max="16384" width="8.69921875" style="4"/>
  </cols>
  <sheetData>
    <row r="1" spans="2:30" ht="18" thickBot="1"/>
    <row r="2" spans="2:30" ht="30.75" customHeight="1" thickBot="1">
      <c r="B2" s="205" t="s">
        <v>567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6"/>
      <c r="V2" s="207" t="s">
        <v>130</v>
      </c>
      <c r="W2" s="208"/>
      <c r="X2" s="209">
        <v>2027</v>
      </c>
      <c r="Y2" s="210"/>
      <c r="AA2" s="211" t="s">
        <v>143</v>
      </c>
      <c r="AB2" s="18" t="s">
        <v>144</v>
      </c>
      <c r="AC2" s="25" t="s">
        <v>151</v>
      </c>
      <c r="AD2" s="19" t="s">
        <v>145</v>
      </c>
    </row>
    <row r="3" spans="2:30" ht="18" thickBot="1">
      <c r="B3" s="214" t="s">
        <v>356</v>
      </c>
      <c r="C3" s="216" t="s">
        <v>53</v>
      </c>
      <c r="D3" s="217"/>
      <c r="E3" s="217"/>
      <c r="F3" s="216" t="s">
        <v>64</v>
      </c>
      <c r="G3" s="220"/>
      <c r="H3" s="216" t="s">
        <v>54</v>
      </c>
      <c r="I3" s="217"/>
      <c r="J3" s="217"/>
      <c r="K3" s="216" t="s">
        <v>55</v>
      </c>
      <c r="L3" s="217"/>
      <c r="M3" s="217"/>
      <c r="N3" s="217"/>
      <c r="O3" s="220"/>
      <c r="P3" s="222" t="s">
        <v>56</v>
      </c>
      <c r="Q3" s="223"/>
      <c r="R3" s="223"/>
      <c r="S3" s="223"/>
      <c r="T3" s="223"/>
      <c r="U3" s="223"/>
      <c r="V3" s="223"/>
      <c r="W3" s="223"/>
      <c r="X3" s="223"/>
      <c r="Y3" s="224"/>
      <c r="AA3" s="212"/>
      <c r="AB3" s="20" t="s">
        <v>146</v>
      </c>
      <c r="AC3" s="27" t="s">
        <v>507</v>
      </c>
      <c r="AD3" s="21" t="s">
        <v>508</v>
      </c>
    </row>
    <row r="4" spans="2:30" ht="18" thickBot="1">
      <c r="B4" s="215"/>
      <c r="C4" s="218"/>
      <c r="D4" s="219"/>
      <c r="E4" s="219"/>
      <c r="F4" s="218"/>
      <c r="G4" s="221"/>
      <c r="H4" s="218"/>
      <c r="I4" s="219"/>
      <c r="J4" s="219"/>
      <c r="K4" s="218"/>
      <c r="L4" s="219"/>
      <c r="M4" s="219"/>
      <c r="N4" s="219"/>
      <c r="O4" s="221"/>
      <c r="P4" s="222" t="s">
        <v>127</v>
      </c>
      <c r="Q4" s="223"/>
      <c r="R4" s="223"/>
      <c r="S4" s="223"/>
      <c r="T4" s="222" t="s">
        <v>61</v>
      </c>
      <c r="U4" s="223"/>
      <c r="V4" s="224"/>
      <c r="W4" s="223" t="s">
        <v>128</v>
      </c>
      <c r="X4" s="223"/>
      <c r="Y4" s="224"/>
      <c r="AA4" s="212"/>
      <c r="AB4" s="22" t="s">
        <v>147</v>
      </c>
      <c r="AC4" s="28" t="s">
        <v>509</v>
      </c>
      <c r="AD4" s="21" t="s">
        <v>515</v>
      </c>
    </row>
    <row r="5" spans="2:30" ht="26.25" customHeight="1" thickBot="1">
      <c r="B5" s="34" t="s">
        <v>504</v>
      </c>
      <c r="C5" s="225" t="s">
        <v>505</v>
      </c>
      <c r="D5" s="226"/>
      <c r="E5" s="227"/>
      <c r="F5" s="225" t="s">
        <v>536</v>
      </c>
      <c r="G5" s="228"/>
      <c r="H5" s="229" t="s">
        <v>537</v>
      </c>
      <c r="I5" s="226"/>
      <c r="J5" s="227"/>
      <c r="K5" s="225" t="s">
        <v>538</v>
      </c>
      <c r="L5" s="226"/>
      <c r="M5" s="226"/>
      <c r="N5" s="226"/>
      <c r="O5" s="228"/>
      <c r="P5" s="229" t="s">
        <v>528</v>
      </c>
      <c r="Q5" s="226"/>
      <c r="R5" s="226"/>
      <c r="S5" s="227"/>
      <c r="T5" s="225" t="s">
        <v>506</v>
      </c>
      <c r="U5" s="226"/>
      <c r="V5" s="227"/>
      <c r="W5" s="230" t="s">
        <v>529</v>
      </c>
      <c r="X5" s="231"/>
      <c r="Y5" s="232"/>
      <c r="AA5" s="213"/>
      <c r="AB5" s="204" t="s">
        <v>148</v>
      </c>
      <c r="AC5" s="108" t="s">
        <v>566</v>
      </c>
      <c r="AD5" s="104" t="s">
        <v>510</v>
      </c>
    </row>
    <row r="6" spans="2:30" ht="15.75" customHeight="1" thickBot="1">
      <c r="U6" s="233"/>
      <c r="V6" s="233"/>
      <c r="W6" s="233"/>
      <c r="X6" s="233"/>
      <c r="Y6" s="233"/>
    </row>
    <row r="7" spans="2:30" s="10" customFormat="1" ht="22.5" customHeight="1">
      <c r="B7" s="234" t="s">
        <v>2</v>
      </c>
      <c r="C7" s="235"/>
      <c r="D7" s="238" t="s">
        <v>120</v>
      </c>
      <c r="E7" s="240" t="s">
        <v>57</v>
      </c>
      <c r="F7" s="241"/>
      <c r="G7" s="242"/>
      <c r="H7" s="243" t="s">
        <v>133</v>
      </c>
      <c r="I7" s="245" t="s">
        <v>134</v>
      </c>
      <c r="J7" s="247" t="s">
        <v>135</v>
      </c>
      <c r="K7" s="249" t="s">
        <v>58</v>
      </c>
      <c r="L7" s="245"/>
      <c r="M7" s="245"/>
      <c r="N7" s="250"/>
      <c r="O7" s="251" t="s">
        <v>59</v>
      </c>
      <c r="P7" s="245"/>
      <c r="Q7" s="245"/>
      <c r="R7" s="250"/>
      <c r="S7" s="249" t="s">
        <v>60</v>
      </c>
      <c r="T7" s="245"/>
      <c r="U7" s="245"/>
      <c r="V7" s="252"/>
      <c r="W7" s="243" t="s">
        <v>136</v>
      </c>
      <c r="X7" s="247"/>
      <c r="Y7" s="242" t="s">
        <v>137</v>
      </c>
      <c r="Z7" s="9"/>
    </row>
    <row r="8" spans="2:30" s="10" customFormat="1" ht="22.5" customHeight="1" thickBot="1">
      <c r="B8" s="236"/>
      <c r="C8" s="237"/>
      <c r="D8" s="239"/>
      <c r="E8" s="23" t="s">
        <v>18</v>
      </c>
      <c r="F8" s="270" t="s">
        <v>19</v>
      </c>
      <c r="G8" s="271"/>
      <c r="H8" s="244"/>
      <c r="I8" s="246"/>
      <c r="J8" s="248"/>
      <c r="K8" s="272" t="s">
        <v>0</v>
      </c>
      <c r="L8" s="246"/>
      <c r="M8" s="246" t="s">
        <v>62</v>
      </c>
      <c r="N8" s="273"/>
      <c r="O8" s="274" t="s">
        <v>0</v>
      </c>
      <c r="P8" s="246"/>
      <c r="Q8" s="246" t="s">
        <v>62</v>
      </c>
      <c r="R8" s="273"/>
      <c r="S8" s="272" t="s">
        <v>0</v>
      </c>
      <c r="T8" s="246"/>
      <c r="U8" s="246" t="s">
        <v>62</v>
      </c>
      <c r="V8" s="275"/>
      <c r="W8" s="244"/>
      <c r="X8" s="248"/>
      <c r="Y8" s="269"/>
      <c r="AA8" s="253" t="s">
        <v>495</v>
      </c>
      <c r="AB8" s="253"/>
      <c r="AC8" s="253"/>
      <c r="AD8" s="253"/>
    </row>
    <row r="9" spans="2:30" ht="16.5" customHeight="1" thickBot="1">
      <c r="B9" s="254" t="s">
        <v>336</v>
      </c>
      <c r="C9" s="255"/>
      <c r="D9" s="260" t="s">
        <v>21</v>
      </c>
      <c r="E9" s="109" t="s">
        <v>12</v>
      </c>
      <c r="F9" s="263" t="s">
        <v>200</v>
      </c>
      <c r="G9" s="264"/>
      <c r="H9" s="110">
        <v>4</v>
      </c>
      <c r="I9" s="111" t="s">
        <v>337</v>
      </c>
      <c r="J9" s="112">
        <v>3</v>
      </c>
      <c r="K9" s="263">
        <v>3</v>
      </c>
      <c r="L9" s="265"/>
      <c r="M9" s="266"/>
      <c r="N9" s="267"/>
      <c r="O9" s="268"/>
      <c r="P9" s="265"/>
      <c r="Q9" s="266"/>
      <c r="R9" s="267"/>
      <c r="S9" s="268"/>
      <c r="T9" s="265"/>
      <c r="U9" s="266"/>
      <c r="V9" s="264"/>
      <c r="W9" s="29">
        <f>SUM(K9:V9)</f>
        <v>3</v>
      </c>
      <c r="X9" s="282">
        <f>SUM(W9:W11)</f>
        <v>9</v>
      </c>
      <c r="Y9" s="284">
        <v>24</v>
      </c>
      <c r="AA9" s="95" t="s">
        <v>18</v>
      </c>
      <c r="AB9" s="96" t="s">
        <v>500</v>
      </c>
      <c r="AC9" s="96" t="s">
        <v>501</v>
      </c>
      <c r="AD9" s="97" t="s">
        <v>502</v>
      </c>
    </row>
    <row r="10" spans="2:30" ht="18" thickBot="1">
      <c r="B10" s="256"/>
      <c r="C10" s="257"/>
      <c r="D10" s="261"/>
      <c r="E10" s="113" t="s">
        <v>12</v>
      </c>
      <c r="F10" s="276" t="s">
        <v>201</v>
      </c>
      <c r="G10" s="277"/>
      <c r="H10" s="114">
        <v>4</v>
      </c>
      <c r="I10" s="115" t="s">
        <v>337</v>
      </c>
      <c r="J10" s="116">
        <v>4</v>
      </c>
      <c r="K10" s="276"/>
      <c r="L10" s="278"/>
      <c r="M10" s="279">
        <v>3</v>
      </c>
      <c r="N10" s="280"/>
      <c r="O10" s="281"/>
      <c r="P10" s="278"/>
      <c r="Q10" s="279"/>
      <c r="R10" s="280"/>
      <c r="S10" s="281"/>
      <c r="T10" s="278"/>
      <c r="U10" s="279"/>
      <c r="V10" s="277"/>
      <c r="W10" s="30">
        <f t="shared" ref="W10:W26" si="0">SUM(K10:V10)</f>
        <v>3</v>
      </c>
      <c r="X10" s="283"/>
      <c r="Y10" s="284"/>
      <c r="AA10" s="98" t="s">
        <v>496</v>
      </c>
      <c r="AB10" s="99">
        <v>4</v>
      </c>
      <c r="AC10" s="99">
        <v>-1</v>
      </c>
      <c r="AD10" s="21" t="s">
        <v>337</v>
      </c>
    </row>
    <row r="11" spans="2:30" ht="18" thickBot="1">
      <c r="B11" s="256"/>
      <c r="C11" s="257"/>
      <c r="D11" s="262"/>
      <c r="E11" s="117" t="s">
        <v>338</v>
      </c>
      <c r="F11" s="285" t="s">
        <v>339</v>
      </c>
      <c r="G11" s="286"/>
      <c r="H11" s="118">
        <v>4</v>
      </c>
      <c r="I11" s="119" t="s">
        <v>340</v>
      </c>
      <c r="J11" s="120">
        <v>3</v>
      </c>
      <c r="K11" s="285"/>
      <c r="L11" s="287"/>
      <c r="M11" s="288"/>
      <c r="N11" s="289"/>
      <c r="O11" s="290">
        <v>3</v>
      </c>
      <c r="P11" s="287"/>
      <c r="Q11" s="288"/>
      <c r="R11" s="289"/>
      <c r="S11" s="290"/>
      <c r="T11" s="287"/>
      <c r="U11" s="288"/>
      <c r="V11" s="286"/>
      <c r="W11" s="30">
        <f t="shared" si="0"/>
        <v>3</v>
      </c>
      <c r="X11" s="283"/>
      <c r="Y11" s="284"/>
      <c r="AA11" s="98" t="s">
        <v>497</v>
      </c>
      <c r="AB11" s="99">
        <v>3</v>
      </c>
      <c r="AC11" s="99"/>
      <c r="AD11" s="21">
        <v>3</v>
      </c>
    </row>
    <row r="12" spans="2:30" ht="18" thickBot="1">
      <c r="B12" s="256"/>
      <c r="C12" s="257"/>
      <c r="D12" s="260" t="s">
        <v>5</v>
      </c>
      <c r="E12" s="109" t="s">
        <v>12</v>
      </c>
      <c r="F12" s="263" t="s">
        <v>212</v>
      </c>
      <c r="G12" s="264"/>
      <c r="H12" s="110">
        <v>4</v>
      </c>
      <c r="I12" s="111" t="s">
        <v>337</v>
      </c>
      <c r="J12" s="112">
        <v>3</v>
      </c>
      <c r="K12" s="263">
        <v>3</v>
      </c>
      <c r="L12" s="265"/>
      <c r="M12" s="266"/>
      <c r="N12" s="267"/>
      <c r="O12" s="268"/>
      <c r="P12" s="265"/>
      <c r="Q12" s="266"/>
      <c r="R12" s="267"/>
      <c r="S12" s="268"/>
      <c r="T12" s="265"/>
      <c r="U12" s="266"/>
      <c r="V12" s="264"/>
      <c r="W12" s="29">
        <f t="shared" si="0"/>
        <v>3</v>
      </c>
      <c r="X12" s="282">
        <f>SUM(W12:W13)</f>
        <v>6</v>
      </c>
      <c r="Y12" s="284"/>
      <c r="AA12" s="98" t="s">
        <v>498</v>
      </c>
      <c r="AB12" s="99">
        <v>4</v>
      </c>
      <c r="AC12" s="99" t="s">
        <v>503</v>
      </c>
      <c r="AD12" s="21" t="s">
        <v>340</v>
      </c>
    </row>
    <row r="13" spans="2:30" ht="18" thickBot="1">
      <c r="B13" s="256"/>
      <c r="C13" s="257"/>
      <c r="D13" s="261"/>
      <c r="E13" s="113" t="s">
        <v>12</v>
      </c>
      <c r="F13" s="276" t="s">
        <v>214</v>
      </c>
      <c r="G13" s="277"/>
      <c r="H13" s="114">
        <v>4</v>
      </c>
      <c r="I13" s="115" t="s">
        <v>337</v>
      </c>
      <c r="J13" s="116">
        <v>4</v>
      </c>
      <c r="K13" s="276"/>
      <c r="L13" s="278"/>
      <c r="M13" s="279">
        <v>3</v>
      </c>
      <c r="N13" s="280"/>
      <c r="O13" s="281"/>
      <c r="P13" s="278"/>
      <c r="Q13" s="279"/>
      <c r="R13" s="280"/>
      <c r="S13" s="281"/>
      <c r="T13" s="278"/>
      <c r="U13" s="279"/>
      <c r="V13" s="277"/>
      <c r="W13" s="30">
        <f t="shared" si="0"/>
        <v>3</v>
      </c>
      <c r="X13" s="283"/>
      <c r="Y13" s="284"/>
      <c r="AA13" s="98" t="s">
        <v>499</v>
      </c>
      <c r="AB13" s="99">
        <v>3</v>
      </c>
      <c r="AC13" s="99" t="s">
        <v>503</v>
      </c>
      <c r="AD13" s="21" t="s">
        <v>347</v>
      </c>
    </row>
    <row r="14" spans="2:30" ht="18" thickBot="1">
      <c r="B14" s="256"/>
      <c r="C14" s="257"/>
      <c r="D14" s="260" t="s">
        <v>6</v>
      </c>
      <c r="E14" s="109" t="s">
        <v>12</v>
      </c>
      <c r="F14" s="263" t="s">
        <v>219</v>
      </c>
      <c r="G14" s="264"/>
      <c r="H14" s="110">
        <v>4</v>
      </c>
      <c r="I14" s="111" t="s">
        <v>337</v>
      </c>
      <c r="J14" s="112">
        <v>4</v>
      </c>
      <c r="K14" s="263">
        <v>3</v>
      </c>
      <c r="L14" s="265"/>
      <c r="M14" s="266"/>
      <c r="N14" s="267"/>
      <c r="O14" s="268"/>
      <c r="P14" s="265"/>
      <c r="Q14" s="266"/>
      <c r="R14" s="267"/>
      <c r="S14" s="268"/>
      <c r="T14" s="265"/>
      <c r="U14" s="266"/>
      <c r="V14" s="264"/>
      <c r="W14" s="105">
        <f t="shared" si="0"/>
        <v>3</v>
      </c>
      <c r="X14" s="282">
        <f>SUM(W14:W16)</f>
        <v>9</v>
      </c>
      <c r="Y14" s="284"/>
    </row>
    <row r="15" spans="2:30" ht="18" thickBot="1">
      <c r="B15" s="256"/>
      <c r="C15" s="257"/>
      <c r="D15" s="261"/>
      <c r="E15" s="113" t="s">
        <v>12</v>
      </c>
      <c r="F15" s="276" t="s">
        <v>225</v>
      </c>
      <c r="G15" s="277"/>
      <c r="H15" s="114">
        <v>4</v>
      </c>
      <c r="I15" s="115" t="s">
        <v>337</v>
      </c>
      <c r="J15" s="116">
        <v>3</v>
      </c>
      <c r="K15" s="276"/>
      <c r="L15" s="278"/>
      <c r="M15" s="279">
        <v>3</v>
      </c>
      <c r="N15" s="280"/>
      <c r="O15" s="281"/>
      <c r="P15" s="278"/>
      <c r="Q15" s="279"/>
      <c r="R15" s="280"/>
      <c r="S15" s="281"/>
      <c r="T15" s="278"/>
      <c r="U15" s="279"/>
      <c r="V15" s="277"/>
      <c r="W15" s="30">
        <f t="shared" si="0"/>
        <v>3</v>
      </c>
      <c r="X15" s="283"/>
      <c r="Y15" s="284"/>
    </row>
    <row r="16" spans="2:30" ht="18" thickBot="1">
      <c r="B16" s="256"/>
      <c r="C16" s="257"/>
      <c r="D16" s="261"/>
      <c r="E16" s="113" t="s">
        <v>12</v>
      </c>
      <c r="F16" s="276" t="s">
        <v>227</v>
      </c>
      <c r="G16" s="277"/>
      <c r="H16" s="114">
        <v>4</v>
      </c>
      <c r="I16" s="115" t="s">
        <v>337</v>
      </c>
      <c r="J16" s="116">
        <v>3</v>
      </c>
      <c r="K16" s="276"/>
      <c r="L16" s="278"/>
      <c r="M16" s="279"/>
      <c r="N16" s="280"/>
      <c r="O16" s="281"/>
      <c r="P16" s="278"/>
      <c r="Q16" s="279">
        <v>3</v>
      </c>
      <c r="R16" s="280"/>
      <c r="S16" s="281"/>
      <c r="T16" s="278"/>
      <c r="U16" s="279"/>
      <c r="V16" s="277"/>
      <c r="W16" s="30">
        <f>SUM(K15:V15)</f>
        <v>3</v>
      </c>
      <c r="X16" s="283"/>
      <c r="Y16" s="284"/>
    </row>
    <row r="17" spans="2:29" ht="18" thickBot="1">
      <c r="B17" s="256"/>
      <c r="C17" s="257"/>
      <c r="D17" s="260" t="s">
        <v>341</v>
      </c>
      <c r="E17" s="109" t="s">
        <v>12</v>
      </c>
      <c r="F17" s="263" t="s">
        <v>233</v>
      </c>
      <c r="G17" s="264"/>
      <c r="H17" s="110">
        <v>3</v>
      </c>
      <c r="I17" s="121" t="s">
        <v>342</v>
      </c>
      <c r="J17" s="112">
        <v>3</v>
      </c>
      <c r="K17" s="291">
        <v>3</v>
      </c>
      <c r="L17" s="292"/>
      <c r="M17" s="293"/>
      <c r="N17" s="294"/>
      <c r="O17" s="295"/>
      <c r="P17" s="292"/>
      <c r="Q17" s="293"/>
      <c r="R17" s="294"/>
      <c r="S17" s="295"/>
      <c r="T17" s="292"/>
      <c r="U17" s="293"/>
      <c r="V17" s="296"/>
      <c r="W17" s="29">
        <f t="shared" si="0"/>
        <v>3</v>
      </c>
      <c r="X17" s="282">
        <f>SUM(W17:W18)</f>
        <v>6</v>
      </c>
      <c r="Y17" s="284">
        <v>6</v>
      </c>
    </row>
    <row r="18" spans="2:29" ht="18" thickBot="1">
      <c r="B18" s="256"/>
      <c r="C18" s="257"/>
      <c r="D18" s="261"/>
      <c r="E18" s="122" t="s">
        <v>12</v>
      </c>
      <c r="F18" s="298" t="s">
        <v>234</v>
      </c>
      <c r="G18" s="299"/>
      <c r="H18" s="123">
        <v>3</v>
      </c>
      <c r="I18" s="124" t="s">
        <v>342</v>
      </c>
      <c r="J18" s="125">
        <v>3</v>
      </c>
      <c r="K18" s="285"/>
      <c r="L18" s="287"/>
      <c r="M18" s="288">
        <v>3</v>
      </c>
      <c r="N18" s="289"/>
      <c r="O18" s="290"/>
      <c r="P18" s="287"/>
      <c r="Q18" s="288"/>
      <c r="R18" s="289"/>
      <c r="S18" s="290"/>
      <c r="T18" s="287"/>
      <c r="U18" s="288"/>
      <c r="V18" s="286"/>
      <c r="W18" s="31">
        <f t="shared" si="0"/>
        <v>3</v>
      </c>
      <c r="X18" s="297"/>
      <c r="Y18" s="284"/>
      <c r="AA18" s="300"/>
      <c r="AB18" s="300"/>
      <c r="AC18" s="102"/>
    </row>
    <row r="19" spans="2:29" ht="18" thickBot="1">
      <c r="B19" s="256"/>
      <c r="C19" s="257"/>
      <c r="D19" s="261"/>
      <c r="E19" s="109" t="s">
        <v>12</v>
      </c>
      <c r="F19" s="263" t="s">
        <v>236</v>
      </c>
      <c r="G19" s="264"/>
      <c r="H19" s="110">
        <v>4</v>
      </c>
      <c r="I19" s="121" t="s">
        <v>337</v>
      </c>
      <c r="J19" s="112">
        <v>3</v>
      </c>
      <c r="K19" s="263">
        <v>4</v>
      </c>
      <c r="L19" s="265"/>
      <c r="M19" s="266"/>
      <c r="N19" s="267"/>
      <c r="O19" s="268"/>
      <c r="P19" s="265"/>
      <c r="Q19" s="266"/>
      <c r="R19" s="267"/>
      <c r="S19" s="268"/>
      <c r="T19" s="265"/>
      <c r="U19" s="266"/>
      <c r="V19" s="264"/>
      <c r="W19" s="29">
        <f t="shared" si="0"/>
        <v>4</v>
      </c>
      <c r="X19" s="282">
        <f>SUM(W19:W20)</f>
        <v>8</v>
      </c>
      <c r="Y19" s="284">
        <v>12</v>
      </c>
    </row>
    <row r="20" spans="2:29" ht="18" thickBot="1">
      <c r="B20" s="256"/>
      <c r="C20" s="257"/>
      <c r="D20" s="262"/>
      <c r="E20" s="126" t="s">
        <v>12</v>
      </c>
      <c r="F20" s="285" t="s">
        <v>237</v>
      </c>
      <c r="G20" s="286"/>
      <c r="H20" s="118">
        <v>4</v>
      </c>
      <c r="I20" s="119" t="s">
        <v>337</v>
      </c>
      <c r="J20" s="120">
        <v>3</v>
      </c>
      <c r="K20" s="285"/>
      <c r="L20" s="287"/>
      <c r="M20" s="288">
        <v>4</v>
      </c>
      <c r="N20" s="289"/>
      <c r="O20" s="290"/>
      <c r="P20" s="287"/>
      <c r="Q20" s="288"/>
      <c r="R20" s="289"/>
      <c r="S20" s="290"/>
      <c r="T20" s="287"/>
      <c r="U20" s="288"/>
      <c r="V20" s="286"/>
      <c r="W20" s="31">
        <f t="shared" si="0"/>
        <v>4</v>
      </c>
      <c r="X20" s="297"/>
      <c r="Y20" s="284"/>
    </row>
    <row r="21" spans="2:29" ht="18" thickBot="1">
      <c r="B21" s="256"/>
      <c r="C21" s="257"/>
      <c r="D21" s="260" t="s">
        <v>26</v>
      </c>
      <c r="E21" s="109" t="s">
        <v>12</v>
      </c>
      <c r="F21" s="263" t="s">
        <v>254</v>
      </c>
      <c r="G21" s="264"/>
      <c r="H21" s="110">
        <v>4</v>
      </c>
      <c r="I21" s="121" t="s">
        <v>337</v>
      </c>
      <c r="J21" s="112">
        <v>4</v>
      </c>
      <c r="K21" s="263">
        <v>4</v>
      </c>
      <c r="L21" s="265"/>
      <c r="M21" s="266"/>
      <c r="N21" s="267"/>
      <c r="O21" s="268"/>
      <c r="P21" s="265"/>
      <c r="Q21" s="266"/>
      <c r="R21" s="267"/>
      <c r="S21" s="268"/>
      <c r="T21" s="265"/>
      <c r="U21" s="266"/>
      <c r="V21" s="264"/>
      <c r="W21" s="29">
        <f t="shared" si="0"/>
        <v>4</v>
      </c>
      <c r="X21" s="301">
        <f>SUM(W21:W24)</f>
        <v>16</v>
      </c>
      <c r="Y21" s="284"/>
    </row>
    <row r="22" spans="2:29" ht="18" thickBot="1">
      <c r="B22" s="256"/>
      <c r="C22" s="257"/>
      <c r="D22" s="261"/>
      <c r="E22" s="113" t="s">
        <v>12</v>
      </c>
      <c r="F22" s="276" t="s">
        <v>255</v>
      </c>
      <c r="G22" s="277"/>
      <c r="H22" s="114">
        <v>4</v>
      </c>
      <c r="I22" s="115" t="s">
        <v>337</v>
      </c>
      <c r="J22" s="116">
        <v>3</v>
      </c>
      <c r="K22" s="276"/>
      <c r="L22" s="278"/>
      <c r="M22" s="279">
        <v>4</v>
      </c>
      <c r="N22" s="280"/>
      <c r="O22" s="281"/>
      <c r="P22" s="278"/>
      <c r="Q22" s="279"/>
      <c r="R22" s="280"/>
      <c r="S22" s="281"/>
      <c r="T22" s="278"/>
      <c r="U22" s="279"/>
      <c r="V22" s="277"/>
      <c r="W22" s="30">
        <f t="shared" si="0"/>
        <v>4</v>
      </c>
      <c r="X22" s="302"/>
      <c r="Y22" s="284"/>
    </row>
    <row r="23" spans="2:29" ht="18" thickBot="1">
      <c r="B23" s="256"/>
      <c r="C23" s="257"/>
      <c r="D23" s="261"/>
      <c r="E23" s="127" t="s">
        <v>345</v>
      </c>
      <c r="F23" s="276" t="s">
        <v>260</v>
      </c>
      <c r="G23" s="277"/>
      <c r="H23" s="114">
        <v>4</v>
      </c>
      <c r="I23" s="115" t="s">
        <v>340</v>
      </c>
      <c r="J23" s="116">
        <v>5</v>
      </c>
      <c r="K23" s="276"/>
      <c r="L23" s="278"/>
      <c r="M23" s="279"/>
      <c r="N23" s="280"/>
      <c r="O23" s="281">
        <v>5</v>
      </c>
      <c r="P23" s="278"/>
      <c r="Q23" s="279"/>
      <c r="R23" s="280"/>
      <c r="S23" s="281"/>
      <c r="T23" s="278"/>
      <c r="U23" s="279"/>
      <c r="V23" s="277"/>
      <c r="W23" s="30">
        <f t="shared" si="0"/>
        <v>5</v>
      </c>
      <c r="X23" s="302"/>
      <c r="Y23" s="284"/>
    </row>
    <row r="24" spans="2:29" ht="18" thickBot="1">
      <c r="B24" s="256"/>
      <c r="C24" s="257"/>
      <c r="D24" s="262"/>
      <c r="E24" s="126" t="s">
        <v>343</v>
      </c>
      <c r="F24" s="285" t="s">
        <v>344</v>
      </c>
      <c r="G24" s="286"/>
      <c r="H24" s="118">
        <v>4</v>
      </c>
      <c r="I24" s="119" t="s">
        <v>340</v>
      </c>
      <c r="J24" s="120">
        <v>3</v>
      </c>
      <c r="K24" s="285"/>
      <c r="L24" s="287"/>
      <c r="M24" s="288"/>
      <c r="N24" s="289"/>
      <c r="O24" s="290"/>
      <c r="P24" s="287"/>
      <c r="Q24" s="288">
        <v>3</v>
      </c>
      <c r="R24" s="289"/>
      <c r="S24" s="290"/>
      <c r="T24" s="287"/>
      <c r="U24" s="288"/>
      <c r="V24" s="286"/>
      <c r="W24" s="31">
        <f t="shared" si="0"/>
        <v>3</v>
      </c>
      <c r="X24" s="303"/>
      <c r="Y24" s="284"/>
    </row>
    <row r="25" spans="2:29" ht="16.5" customHeight="1" thickBot="1">
      <c r="B25" s="256"/>
      <c r="C25" s="257"/>
      <c r="D25" s="260" t="s">
        <v>8</v>
      </c>
      <c r="E25" s="109" t="s">
        <v>345</v>
      </c>
      <c r="F25" s="263" t="s">
        <v>346</v>
      </c>
      <c r="G25" s="264"/>
      <c r="H25" s="110">
        <v>3</v>
      </c>
      <c r="I25" s="121" t="s">
        <v>347</v>
      </c>
      <c r="J25" s="112">
        <f t="shared" ref="J25:J26" si="1">SUM(K25:V25)</f>
        <v>2</v>
      </c>
      <c r="K25" s="263">
        <v>2</v>
      </c>
      <c r="L25" s="265"/>
      <c r="M25" s="266"/>
      <c r="N25" s="267"/>
      <c r="O25" s="268"/>
      <c r="P25" s="265"/>
      <c r="Q25" s="266"/>
      <c r="R25" s="267"/>
      <c r="S25" s="268"/>
      <c r="T25" s="265"/>
      <c r="U25" s="266"/>
      <c r="V25" s="264"/>
      <c r="W25" s="106">
        <f t="shared" si="0"/>
        <v>2</v>
      </c>
      <c r="X25" s="304">
        <f>SUM(W25:W29)</f>
        <v>8</v>
      </c>
      <c r="Y25" s="284">
        <v>8</v>
      </c>
    </row>
    <row r="26" spans="2:29" ht="18" thickBot="1">
      <c r="B26" s="256"/>
      <c r="C26" s="257"/>
      <c r="D26" s="261"/>
      <c r="E26" s="113" t="s">
        <v>345</v>
      </c>
      <c r="F26" s="276" t="s">
        <v>348</v>
      </c>
      <c r="G26" s="277"/>
      <c r="H26" s="114">
        <v>3</v>
      </c>
      <c r="I26" s="115" t="s">
        <v>347</v>
      </c>
      <c r="J26" s="116">
        <f t="shared" si="1"/>
        <v>2</v>
      </c>
      <c r="K26" s="276"/>
      <c r="L26" s="278"/>
      <c r="M26" s="279">
        <v>2</v>
      </c>
      <c r="N26" s="280"/>
      <c r="O26" s="281"/>
      <c r="P26" s="278"/>
      <c r="Q26" s="279"/>
      <c r="R26" s="280"/>
      <c r="S26" s="281"/>
      <c r="T26" s="278"/>
      <c r="U26" s="279"/>
      <c r="V26" s="277"/>
      <c r="W26" s="30">
        <f t="shared" si="0"/>
        <v>2</v>
      </c>
      <c r="X26" s="305"/>
      <c r="Y26" s="284"/>
    </row>
    <row r="27" spans="2:29" ht="18" thickBot="1">
      <c r="B27" s="256"/>
      <c r="C27" s="257"/>
      <c r="D27" s="261"/>
      <c r="E27" s="113" t="s">
        <v>338</v>
      </c>
      <c r="F27" s="276" t="s">
        <v>524</v>
      </c>
      <c r="G27" s="277"/>
      <c r="H27" s="114">
        <v>2</v>
      </c>
      <c r="I27" s="115" t="s">
        <v>349</v>
      </c>
      <c r="J27" s="116">
        <v>1</v>
      </c>
      <c r="K27" s="276"/>
      <c r="L27" s="278"/>
      <c r="M27" s="279"/>
      <c r="N27" s="280"/>
      <c r="O27" s="281">
        <v>1</v>
      </c>
      <c r="P27" s="278"/>
      <c r="Q27" s="279"/>
      <c r="R27" s="280"/>
      <c r="S27" s="281"/>
      <c r="T27" s="278"/>
      <c r="U27" s="279"/>
      <c r="V27" s="277"/>
      <c r="W27" s="30">
        <f t="shared" ref="W27:W29" si="2">SUM(K27:V27)</f>
        <v>1</v>
      </c>
      <c r="X27" s="305"/>
      <c r="Y27" s="284"/>
    </row>
    <row r="28" spans="2:29" ht="18" thickBot="1">
      <c r="B28" s="256"/>
      <c r="C28" s="257"/>
      <c r="D28" s="261"/>
      <c r="E28" s="113" t="s">
        <v>338</v>
      </c>
      <c r="F28" s="276" t="s">
        <v>511</v>
      </c>
      <c r="G28" s="277"/>
      <c r="H28" s="114">
        <v>2</v>
      </c>
      <c r="I28" s="115" t="s">
        <v>347</v>
      </c>
      <c r="J28" s="116">
        <v>2</v>
      </c>
      <c r="K28" s="276"/>
      <c r="L28" s="278"/>
      <c r="M28" s="279"/>
      <c r="N28" s="280"/>
      <c r="O28" s="281"/>
      <c r="P28" s="278"/>
      <c r="Q28" s="279">
        <v>2</v>
      </c>
      <c r="R28" s="280"/>
      <c r="S28" s="281"/>
      <c r="T28" s="278"/>
      <c r="U28" s="279"/>
      <c r="V28" s="277"/>
      <c r="W28" s="30">
        <f t="shared" si="2"/>
        <v>2</v>
      </c>
      <c r="X28" s="305"/>
      <c r="Y28" s="284"/>
    </row>
    <row r="29" spans="2:29" ht="18" thickBot="1">
      <c r="B29" s="256"/>
      <c r="C29" s="257"/>
      <c r="D29" s="262"/>
      <c r="E29" s="126" t="s">
        <v>338</v>
      </c>
      <c r="F29" s="285" t="s">
        <v>512</v>
      </c>
      <c r="G29" s="286"/>
      <c r="H29" s="118">
        <v>2</v>
      </c>
      <c r="I29" s="119" t="s">
        <v>349</v>
      </c>
      <c r="J29" s="120">
        <v>1</v>
      </c>
      <c r="K29" s="285"/>
      <c r="L29" s="287"/>
      <c r="M29" s="288"/>
      <c r="N29" s="289"/>
      <c r="O29" s="290"/>
      <c r="P29" s="287"/>
      <c r="Q29" s="288"/>
      <c r="R29" s="289"/>
      <c r="S29" s="290">
        <v>1</v>
      </c>
      <c r="T29" s="287"/>
      <c r="U29" s="288"/>
      <c r="V29" s="286"/>
      <c r="W29" s="31">
        <f t="shared" si="2"/>
        <v>1</v>
      </c>
      <c r="X29" s="306"/>
      <c r="Y29" s="284"/>
    </row>
    <row r="30" spans="2:29" ht="18" thickBot="1">
      <c r="B30" s="256"/>
      <c r="C30" s="257"/>
      <c r="D30" s="260" t="s">
        <v>28</v>
      </c>
      <c r="E30" s="109" t="s">
        <v>345</v>
      </c>
      <c r="F30" s="263" t="s">
        <v>9</v>
      </c>
      <c r="G30" s="264"/>
      <c r="H30" s="110">
        <v>3</v>
      </c>
      <c r="I30" s="121" t="s">
        <v>347</v>
      </c>
      <c r="J30" s="112">
        <v>2</v>
      </c>
      <c r="K30" s="263">
        <v>2</v>
      </c>
      <c r="L30" s="265"/>
      <c r="M30" s="266"/>
      <c r="N30" s="267"/>
      <c r="O30" s="268"/>
      <c r="P30" s="265"/>
      <c r="Q30" s="266"/>
      <c r="R30" s="267"/>
      <c r="S30" s="268"/>
      <c r="T30" s="265"/>
      <c r="U30" s="266"/>
      <c r="V30" s="264"/>
      <c r="W30" s="307">
        <f>SUM(K30:V32)</f>
        <v>8</v>
      </c>
      <c r="X30" s="308"/>
      <c r="Y30" s="284">
        <v>6</v>
      </c>
    </row>
    <row r="31" spans="2:29" ht="18" thickBot="1">
      <c r="B31" s="256"/>
      <c r="C31" s="257"/>
      <c r="D31" s="261"/>
      <c r="E31" s="117" t="s">
        <v>338</v>
      </c>
      <c r="F31" s="311" t="s">
        <v>280</v>
      </c>
      <c r="G31" s="312"/>
      <c r="H31" s="128">
        <v>3</v>
      </c>
      <c r="I31" s="129" t="s">
        <v>347</v>
      </c>
      <c r="J31" s="130">
        <v>2</v>
      </c>
      <c r="K31" s="311"/>
      <c r="L31" s="313"/>
      <c r="M31" s="314">
        <v>2</v>
      </c>
      <c r="N31" s="315"/>
      <c r="O31" s="316"/>
      <c r="P31" s="313"/>
      <c r="Q31" s="314"/>
      <c r="R31" s="315"/>
      <c r="S31" s="316"/>
      <c r="T31" s="313"/>
      <c r="U31" s="314"/>
      <c r="V31" s="312"/>
      <c r="W31" s="309"/>
      <c r="X31" s="310"/>
      <c r="Y31" s="284"/>
    </row>
    <row r="32" spans="2:29" ht="18" thickBot="1">
      <c r="B32" s="256"/>
      <c r="C32" s="257"/>
      <c r="D32" s="261"/>
      <c r="E32" s="117" t="s">
        <v>345</v>
      </c>
      <c r="F32" s="276" t="s">
        <v>281</v>
      </c>
      <c r="G32" s="277"/>
      <c r="H32" s="114">
        <v>3</v>
      </c>
      <c r="I32" s="115" t="s">
        <v>347</v>
      </c>
      <c r="J32" s="116">
        <v>4</v>
      </c>
      <c r="K32" s="276"/>
      <c r="L32" s="278"/>
      <c r="M32" s="279"/>
      <c r="N32" s="280"/>
      <c r="O32" s="281"/>
      <c r="P32" s="278"/>
      <c r="Q32" s="279">
        <v>4</v>
      </c>
      <c r="R32" s="280"/>
      <c r="S32" s="281"/>
      <c r="T32" s="278"/>
      <c r="U32" s="279"/>
      <c r="V32" s="277"/>
      <c r="W32" s="309"/>
      <c r="X32" s="310"/>
      <c r="Y32" s="284"/>
    </row>
    <row r="33" spans="2:28" ht="16.5" customHeight="1" thickBot="1">
      <c r="B33" s="256"/>
      <c r="C33" s="257"/>
      <c r="D33" s="317" t="s">
        <v>350</v>
      </c>
      <c r="E33" s="109" t="s">
        <v>338</v>
      </c>
      <c r="F33" s="263" t="s">
        <v>51</v>
      </c>
      <c r="G33" s="264"/>
      <c r="H33" s="110">
        <v>3</v>
      </c>
      <c r="I33" s="121" t="s">
        <v>347</v>
      </c>
      <c r="J33" s="112">
        <v>2</v>
      </c>
      <c r="K33" s="263"/>
      <c r="L33" s="265"/>
      <c r="M33" s="266"/>
      <c r="N33" s="267"/>
      <c r="O33" s="268">
        <v>2</v>
      </c>
      <c r="P33" s="265"/>
      <c r="Q33" s="266"/>
      <c r="R33" s="267"/>
      <c r="S33" s="268"/>
      <c r="T33" s="265"/>
      <c r="U33" s="266"/>
      <c r="V33" s="264"/>
      <c r="W33" s="307">
        <f>SUM(K33:V35)</f>
        <v>10</v>
      </c>
      <c r="X33" s="308"/>
      <c r="Y33" s="284">
        <v>8</v>
      </c>
    </row>
    <row r="34" spans="2:28" ht="16.5" customHeight="1" thickBot="1">
      <c r="B34" s="256"/>
      <c r="C34" s="257"/>
      <c r="D34" s="318"/>
      <c r="E34" s="117" t="s">
        <v>345</v>
      </c>
      <c r="F34" s="276" t="s">
        <v>569</v>
      </c>
      <c r="G34" s="277"/>
      <c r="H34" s="114">
        <v>4</v>
      </c>
      <c r="I34" s="115" t="s">
        <v>340</v>
      </c>
      <c r="J34" s="116">
        <v>5</v>
      </c>
      <c r="K34" s="276"/>
      <c r="L34" s="278"/>
      <c r="M34" s="279"/>
      <c r="N34" s="280"/>
      <c r="O34" s="281">
        <v>5</v>
      </c>
      <c r="P34" s="278"/>
      <c r="Q34" s="279"/>
      <c r="R34" s="280"/>
      <c r="S34" s="281"/>
      <c r="T34" s="278"/>
      <c r="U34" s="279"/>
      <c r="V34" s="277"/>
      <c r="W34" s="309"/>
      <c r="X34" s="310"/>
      <c r="Y34" s="284"/>
    </row>
    <row r="35" spans="2:28" ht="18" thickBot="1">
      <c r="B35" s="258"/>
      <c r="C35" s="259"/>
      <c r="D35" s="318"/>
      <c r="E35" s="117" t="s">
        <v>345</v>
      </c>
      <c r="F35" s="285" t="s">
        <v>513</v>
      </c>
      <c r="G35" s="286"/>
      <c r="H35" s="118">
        <v>4</v>
      </c>
      <c r="I35" s="119" t="s">
        <v>340</v>
      </c>
      <c r="J35" s="120">
        <v>3</v>
      </c>
      <c r="K35" s="285"/>
      <c r="L35" s="287"/>
      <c r="M35" s="288"/>
      <c r="N35" s="289"/>
      <c r="O35" s="281"/>
      <c r="P35" s="278"/>
      <c r="Q35" s="279">
        <v>3</v>
      </c>
      <c r="R35" s="280"/>
      <c r="S35" s="281"/>
      <c r="T35" s="278"/>
      <c r="U35" s="279"/>
      <c r="V35" s="277"/>
      <c r="W35" s="309"/>
      <c r="X35" s="310"/>
      <c r="Y35" s="284"/>
    </row>
    <row r="36" spans="2:28" ht="24.75" customHeight="1" thickBot="1">
      <c r="B36" s="333" t="s">
        <v>357</v>
      </c>
      <c r="C36" s="334"/>
      <c r="D36" s="334"/>
      <c r="E36" s="334"/>
      <c r="F36" s="334"/>
      <c r="G36" s="335"/>
      <c r="H36" s="131">
        <f>SUM(H9:H35)</f>
        <v>94</v>
      </c>
      <c r="I36" s="132"/>
      <c r="J36" s="133">
        <f>SUM(J9:J35)</f>
        <v>80</v>
      </c>
      <c r="K36" s="336">
        <f>SUM(K9:L35)</f>
        <v>24</v>
      </c>
      <c r="L36" s="319"/>
      <c r="M36" s="319">
        <f>SUM(M9:N35)</f>
        <v>24</v>
      </c>
      <c r="N36" s="337"/>
      <c r="O36" s="338">
        <f>SUM(O9:P35)</f>
        <v>16</v>
      </c>
      <c r="P36" s="319"/>
      <c r="Q36" s="319">
        <f>SUM(Q9:R35)</f>
        <v>15</v>
      </c>
      <c r="R36" s="339"/>
      <c r="S36" s="340">
        <f>SUM(S9:T35)</f>
        <v>1</v>
      </c>
      <c r="T36" s="319"/>
      <c r="U36" s="319">
        <f>SUM(U9:V35)</f>
        <v>0</v>
      </c>
      <c r="V36" s="320"/>
      <c r="W36" s="321">
        <f>SUM(K36:V36)</f>
        <v>80</v>
      </c>
      <c r="X36" s="322"/>
      <c r="Y36" s="101">
        <f>SUM(Y9:Y35)</f>
        <v>64</v>
      </c>
      <c r="AA36" s="323" t="b">
        <f>W36&gt;=Y36</f>
        <v>1</v>
      </c>
      <c r="AB36" s="324"/>
    </row>
    <row r="37" spans="2:28" ht="17.25" customHeight="1" thickBot="1">
      <c r="B37" s="254" t="s">
        <v>351</v>
      </c>
      <c r="C37" s="255"/>
      <c r="D37" s="325" t="s">
        <v>352</v>
      </c>
      <c r="E37" s="326"/>
      <c r="F37" s="327" t="s">
        <v>514</v>
      </c>
      <c r="G37" s="232"/>
      <c r="H37" s="141"/>
      <c r="I37" s="142"/>
      <c r="J37" s="143">
        <v>2</v>
      </c>
      <c r="K37" s="328"/>
      <c r="L37" s="329"/>
      <c r="M37" s="330"/>
      <c r="N37" s="331"/>
      <c r="O37" s="332"/>
      <c r="P37" s="329"/>
      <c r="Q37" s="330"/>
      <c r="R37" s="331"/>
      <c r="S37" s="332">
        <v>2</v>
      </c>
      <c r="T37" s="329"/>
      <c r="U37" s="330"/>
      <c r="V37" s="341"/>
      <c r="W37" s="342">
        <f>SUM(K37:V37)</f>
        <v>2</v>
      </c>
      <c r="X37" s="343"/>
      <c r="Y37" s="344">
        <v>80</v>
      </c>
    </row>
    <row r="38" spans="2:28" ht="17.25" customHeight="1">
      <c r="B38" s="256"/>
      <c r="C38" s="257"/>
      <c r="D38" s="134" t="s">
        <v>527</v>
      </c>
      <c r="E38" s="135" t="s">
        <v>353</v>
      </c>
      <c r="F38" s="347" t="s">
        <v>530</v>
      </c>
      <c r="G38" s="348"/>
      <c r="H38" s="128"/>
      <c r="I38" s="144"/>
      <c r="J38" s="130">
        <v>5</v>
      </c>
      <c r="K38" s="276">
        <v>5</v>
      </c>
      <c r="L38" s="278"/>
      <c r="M38" s="279"/>
      <c r="N38" s="349"/>
      <c r="O38" s="281"/>
      <c r="P38" s="278"/>
      <c r="Q38" s="279"/>
      <c r="R38" s="280"/>
      <c r="S38" s="349"/>
      <c r="T38" s="278"/>
      <c r="U38" s="279"/>
      <c r="V38" s="277"/>
      <c r="W38" s="350">
        <f t="shared" ref="W38:W52" si="3">SUM(K38:V38)</f>
        <v>5</v>
      </c>
      <c r="X38" s="351"/>
      <c r="Y38" s="345"/>
    </row>
    <row r="39" spans="2:28" ht="17.25" customHeight="1">
      <c r="B39" s="256"/>
      <c r="C39" s="257"/>
      <c r="D39" s="134" t="s">
        <v>527</v>
      </c>
      <c r="E39" s="135" t="s">
        <v>353</v>
      </c>
      <c r="F39" s="347" t="s">
        <v>531</v>
      </c>
      <c r="G39" s="348"/>
      <c r="H39" s="128"/>
      <c r="I39" s="144"/>
      <c r="J39" s="130">
        <v>4</v>
      </c>
      <c r="K39" s="276"/>
      <c r="L39" s="278"/>
      <c r="M39" s="279"/>
      <c r="N39" s="280"/>
      <c r="O39" s="281">
        <v>5</v>
      </c>
      <c r="P39" s="278"/>
      <c r="Q39" s="279"/>
      <c r="R39" s="280"/>
      <c r="S39" s="281"/>
      <c r="T39" s="278"/>
      <c r="U39" s="279"/>
      <c r="V39" s="277"/>
      <c r="W39" s="350">
        <f t="shared" si="3"/>
        <v>5</v>
      </c>
      <c r="X39" s="351"/>
      <c r="Y39" s="345"/>
    </row>
    <row r="40" spans="2:28" ht="17.25" customHeight="1">
      <c r="B40" s="256"/>
      <c r="C40" s="257"/>
      <c r="D40" s="134" t="s">
        <v>527</v>
      </c>
      <c r="E40" s="135" t="s">
        <v>353</v>
      </c>
      <c r="F40" s="347" t="s">
        <v>532</v>
      </c>
      <c r="G40" s="348"/>
      <c r="H40" s="128"/>
      <c r="I40" s="144"/>
      <c r="J40" s="130">
        <v>5</v>
      </c>
      <c r="K40" s="276"/>
      <c r="L40" s="278"/>
      <c r="M40" s="279"/>
      <c r="N40" s="280"/>
      <c r="O40" s="281"/>
      <c r="P40" s="278"/>
      <c r="Q40" s="279"/>
      <c r="R40" s="280"/>
      <c r="S40" s="281">
        <v>4</v>
      </c>
      <c r="T40" s="278"/>
      <c r="U40" s="279"/>
      <c r="V40" s="277"/>
      <c r="W40" s="350">
        <f t="shared" si="3"/>
        <v>4</v>
      </c>
      <c r="X40" s="351"/>
      <c r="Y40" s="345"/>
    </row>
    <row r="41" spans="2:28" ht="17.25" customHeight="1">
      <c r="B41" s="256"/>
      <c r="C41" s="257"/>
      <c r="D41" s="134" t="s">
        <v>527</v>
      </c>
      <c r="E41" s="135" t="s">
        <v>354</v>
      </c>
      <c r="F41" s="352" t="s">
        <v>533</v>
      </c>
      <c r="G41" s="353"/>
      <c r="H41" s="128"/>
      <c r="I41" s="144"/>
      <c r="J41" s="130">
        <v>24</v>
      </c>
      <c r="K41" s="276"/>
      <c r="L41" s="278"/>
      <c r="M41" s="279"/>
      <c r="N41" s="280"/>
      <c r="O41" s="281"/>
      <c r="P41" s="278"/>
      <c r="Q41" s="279"/>
      <c r="R41" s="280"/>
      <c r="S41" s="281">
        <v>12</v>
      </c>
      <c r="T41" s="278"/>
      <c r="U41" s="279">
        <v>12</v>
      </c>
      <c r="V41" s="277"/>
      <c r="W41" s="350">
        <f t="shared" si="3"/>
        <v>24</v>
      </c>
      <c r="X41" s="351"/>
      <c r="Y41" s="345"/>
    </row>
    <row r="42" spans="2:28" ht="17.25" customHeight="1">
      <c r="B42" s="256"/>
      <c r="C42" s="257"/>
      <c r="D42" s="134" t="s">
        <v>527</v>
      </c>
      <c r="E42" s="135" t="s">
        <v>354</v>
      </c>
      <c r="F42" s="352" t="s">
        <v>534</v>
      </c>
      <c r="G42" s="353"/>
      <c r="H42" s="128"/>
      <c r="I42" s="144"/>
      <c r="J42" s="130">
        <v>14</v>
      </c>
      <c r="K42" s="276"/>
      <c r="L42" s="278"/>
      <c r="M42" s="279"/>
      <c r="N42" s="349"/>
      <c r="O42" s="281">
        <v>4</v>
      </c>
      <c r="P42" s="278"/>
      <c r="Q42" s="279">
        <v>10</v>
      </c>
      <c r="R42" s="280"/>
      <c r="S42" s="349"/>
      <c r="T42" s="278"/>
      <c r="U42" s="279"/>
      <c r="V42" s="277"/>
      <c r="W42" s="350">
        <f t="shared" si="3"/>
        <v>14</v>
      </c>
      <c r="X42" s="351"/>
      <c r="Y42" s="345"/>
    </row>
    <row r="43" spans="2:28" ht="17.25" customHeight="1" thickBot="1">
      <c r="B43" s="256"/>
      <c r="C43" s="257"/>
      <c r="D43" s="134" t="s">
        <v>527</v>
      </c>
      <c r="E43" s="136" t="s">
        <v>354</v>
      </c>
      <c r="F43" s="352" t="s">
        <v>535</v>
      </c>
      <c r="G43" s="353"/>
      <c r="H43" s="118"/>
      <c r="I43" s="145"/>
      <c r="J43" s="120">
        <v>15</v>
      </c>
      <c r="K43" s="285"/>
      <c r="L43" s="287"/>
      <c r="M43" s="288"/>
      <c r="N43" s="354"/>
      <c r="O43" s="290"/>
      <c r="P43" s="287"/>
      <c r="Q43" s="288"/>
      <c r="R43" s="289"/>
      <c r="S43" s="354">
        <v>4</v>
      </c>
      <c r="T43" s="287"/>
      <c r="U43" s="288">
        <v>11</v>
      </c>
      <c r="V43" s="286"/>
      <c r="W43" s="355">
        <f t="shared" si="3"/>
        <v>15</v>
      </c>
      <c r="X43" s="356"/>
      <c r="Y43" s="345"/>
    </row>
    <row r="44" spans="2:28" ht="17.25" customHeight="1">
      <c r="B44" s="254" t="s">
        <v>573</v>
      </c>
      <c r="C44" s="255"/>
      <c r="D44" s="137" t="s">
        <v>525</v>
      </c>
      <c r="E44" s="138" t="s">
        <v>353</v>
      </c>
      <c r="F44" s="357" t="s">
        <v>516</v>
      </c>
      <c r="G44" s="358"/>
      <c r="H44" s="128"/>
      <c r="I44" s="144"/>
      <c r="J44" s="359">
        <v>5</v>
      </c>
      <c r="K44" s="276"/>
      <c r="L44" s="278"/>
      <c r="M44" s="293">
        <v>5</v>
      </c>
      <c r="N44" s="294"/>
      <c r="O44" s="281"/>
      <c r="P44" s="278"/>
      <c r="Q44" s="279"/>
      <c r="R44" s="280"/>
      <c r="S44" s="349"/>
      <c r="T44" s="278"/>
      <c r="U44" s="279"/>
      <c r="V44" s="277"/>
      <c r="W44" s="307">
        <f t="shared" si="3"/>
        <v>5</v>
      </c>
      <c r="X44" s="308"/>
      <c r="Y44" s="345"/>
    </row>
    <row r="45" spans="2:28" ht="17.25" customHeight="1">
      <c r="B45" s="256"/>
      <c r="C45" s="257"/>
      <c r="D45" s="134" t="s">
        <v>568</v>
      </c>
      <c r="E45" s="135" t="s">
        <v>353</v>
      </c>
      <c r="F45" s="366" t="s">
        <v>517</v>
      </c>
      <c r="G45" s="367"/>
      <c r="H45" s="128"/>
      <c r="I45" s="144"/>
      <c r="J45" s="360"/>
      <c r="K45" s="276"/>
      <c r="L45" s="278"/>
      <c r="M45" s="362"/>
      <c r="N45" s="363"/>
      <c r="O45" s="281"/>
      <c r="P45" s="278"/>
      <c r="Q45" s="279"/>
      <c r="R45" s="280"/>
      <c r="S45" s="281"/>
      <c r="T45" s="278"/>
      <c r="U45" s="279"/>
      <c r="V45" s="277"/>
      <c r="W45" s="309"/>
      <c r="X45" s="310"/>
      <c r="Y45" s="345"/>
    </row>
    <row r="46" spans="2:28" ht="17.25" customHeight="1">
      <c r="B46" s="256"/>
      <c r="C46" s="257"/>
      <c r="D46" s="134" t="s">
        <v>68</v>
      </c>
      <c r="E46" s="135" t="s">
        <v>353</v>
      </c>
      <c r="F46" s="366" t="s">
        <v>574</v>
      </c>
      <c r="G46" s="367"/>
      <c r="H46" s="128"/>
      <c r="I46" s="144"/>
      <c r="J46" s="360"/>
      <c r="K46" s="276"/>
      <c r="L46" s="349"/>
      <c r="M46" s="362"/>
      <c r="N46" s="363"/>
      <c r="O46" s="349"/>
      <c r="P46" s="278"/>
      <c r="Q46" s="279"/>
      <c r="R46" s="280"/>
      <c r="S46" s="281"/>
      <c r="T46" s="278"/>
      <c r="U46" s="279"/>
      <c r="V46" s="277"/>
      <c r="W46" s="309"/>
      <c r="X46" s="310"/>
      <c r="Y46" s="345"/>
    </row>
    <row r="47" spans="2:28" ht="17.25" customHeight="1" thickBot="1">
      <c r="B47" s="258"/>
      <c r="C47" s="259"/>
      <c r="D47" s="139" t="s">
        <v>526</v>
      </c>
      <c r="E47" s="136" t="s">
        <v>353</v>
      </c>
      <c r="F47" s="368" t="s">
        <v>575</v>
      </c>
      <c r="G47" s="369"/>
      <c r="H47" s="118"/>
      <c r="I47" s="145"/>
      <c r="J47" s="361"/>
      <c r="K47" s="285"/>
      <c r="L47" s="287"/>
      <c r="M47" s="364"/>
      <c r="N47" s="365"/>
      <c r="O47" s="290"/>
      <c r="P47" s="287"/>
      <c r="Q47" s="288"/>
      <c r="R47" s="289"/>
      <c r="S47" s="290"/>
      <c r="T47" s="287"/>
      <c r="U47" s="288"/>
      <c r="V47" s="286"/>
      <c r="W47" s="309"/>
      <c r="X47" s="310"/>
      <c r="Y47" s="345"/>
    </row>
    <row r="48" spans="2:28" ht="17.25" customHeight="1">
      <c r="B48" s="254" t="s">
        <v>573</v>
      </c>
      <c r="C48" s="255"/>
      <c r="D48" s="140" t="s">
        <v>68</v>
      </c>
      <c r="E48" s="135" t="s">
        <v>353</v>
      </c>
      <c r="F48" s="371" t="s">
        <v>571</v>
      </c>
      <c r="G48" s="358"/>
      <c r="H48" s="128"/>
      <c r="I48" s="144"/>
      <c r="J48" s="359">
        <v>8</v>
      </c>
      <c r="K48" s="311"/>
      <c r="L48" s="313"/>
      <c r="M48" s="314"/>
      <c r="N48" s="372"/>
      <c r="O48" s="295">
        <v>4</v>
      </c>
      <c r="P48" s="292"/>
      <c r="Q48" s="293">
        <v>4</v>
      </c>
      <c r="R48" s="294"/>
      <c r="S48" s="372"/>
      <c r="T48" s="313"/>
      <c r="U48" s="314"/>
      <c r="V48" s="312"/>
      <c r="W48" s="307">
        <f t="shared" si="3"/>
        <v>8</v>
      </c>
      <c r="X48" s="308"/>
      <c r="Y48" s="345"/>
    </row>
    <row r="49" spans="2:29" ht="30" customHeight="1">
      <c r="B49" s="256"/>
      <c r="C49" s="257"/>
      <c r="D49" s="134" t="s">
        <v>526</v>
      </c>
      <c r="E49" s="135" t="s">
        <v>353</v>
      </c>
      <c r="F49" s="370" t="s">
        <v>518</v>
      </c>
      <c r="G49" s="367"/>
      <c r="H49" s="128"/>
      <c r="I49" s="144"/>
      <c r="J49" s="360"/>
      <c r="K49" s="276"/>
      <c r="L49" s="278"/>
      <c r="M49" s="279"/>
      <c r="N49" s="280"/>
      <c r="O49" s="373"/>
      <c r="P49" s="374"/>
      <c r="Q49" s="362"/>
      <c r="R49" s="363"/>
      <c r="S49" s="281"/>
      <c r="T49" s="278"/>
      <c r="U49" s="279"/>
      <c r="V49" s="277"/>
      <c r="W49" s="309"/>
      <c r="X49" s="310"/>
      <c r="Y49" s="345"/>
    </row>
    <row r="50" spans="2:29" ht="17.25" customHeight="1">
      <c r="B50" s="256"/>
      <c r="C50" s="257"/>
      <c r="D50" s="134" t="s">
        <v>527</v>
      </c>
      <c r="E50" s="135" t="s">
        <v>354</v>
      </c>
      <c r="F50" s="366" t="s">
        <v>519</v>
      </c>
      <c r="G50" s="367"/>
      <c r="H50" s="128"/>
      <c r="I50" s="144"/>
      <c r="J50" s="360"/>
      <c r="K50" s="276"/>
      <c r="L50" s="278"/>
      <c r="M50" s="279"/>
      <c r="N50" s="280"/>
      <c r="O50" s="373"/>
      <c r="P50" s="374"/>
      <c r="Q50" s="362"/>
      <c r="R50" s="363"/>
      <c r="S50" s="281"/>
      <c r="T50" s="278"/>
      <c r="U50" s="279"/>
      <c r="V50" s="277"/>
      <c r="W50" s="309"/>
      <c r="X50" s="310"/>
      <c r="Y50" s="345"/>
    </row>
    <row r="51" spans="2:29" ht="17.25" customHeight="1" thickBot="1">
      <c r="B51" s="258"/>
      <c r="C51" s="259"/>
      <c r="D51" s="139" t="s">
        <v>525</v>
      </c>
      <c r="E51" s="136" t="s">
        <v>354</v>
      </c>
      <c r="F51" s="368" t="s">
        <v>520</v>
      </c>
      <c r="G51" s="369"/>
      <c r="H51" s="118"/>
      <c r="I51" s="145"/>
      <c r="J51" s="361"/>
      <c r="K51" s="285"/>
      <c r="L51" s="287"/>
      <c r="M51" s="288"/>
      <c r="N51" s="289"/>
      <c r="O51" s="375"/>
      <c r="P51" s="376"/>
      <c r="Q51" s="364"/>
      <c r="R51" s="365"/>
      <c r="S51" s="290"/>
      <c r="T51" s="287"/>
      <c r="U51" s="288"/>
      <c r="V51" s="286"/>
      <c r="W51" s="309"/>
      <c r="X51" s="310"/>
      <c r="Y51" s="345"/>
    </row>
    <row r="52" spans="2:29">
      <c r="B52" s="254" t="s">
        <v>573</v>
      </c>
      <c r="C52" s="255"/>
      <c r="D52" s="140" t="s">
        <v>68</v>
      </c>
      <c r="E52" s="135" t="s">
        <v>354</v>
      </c>
      <c r="F52" s="357" t="s">
        <v>521</v>
      </c>
      <c r="G52" s="358"/>
      <c r="H52" s="128"/>
      <c r="I52" s="144"/>
      <c r="J52" s="359">
        <v>12</v>
      </c>
      <c r="K52" s="311"/>
      <c r="L52" s="313"/>
      <c r="M52" s="314"/>
      <c r="N52" s="372"/>
      <c r="O52" s="316"/>
      <c r="P52" s="313"/>
      <c r="Q52" s="314"/>
      <c r="R52" s="315"/>
      <c r="S52" s="295">
        <v>6</v>
      </c>
      <c r="T52" s="292"/>
      <c r="U52" s="293">
        <v>6</v>
      </c>
      <c r="V52" s="296"/>
      <c r="W52" s="307">
        <f t="shared" si="3"/>
        <v>12</v>
      </c>
      <c r="X52" s="308"/>
      <c r="Y52" s="345"/>
    </row>
    <row r="53" spans="2:29">
      <c r="B53" s="256"/>
      <c r="C53" s="257"/>
      <c r="D53" s="134" t="s">
        <v>526</v>
      </c>
      <c r="E53" s="135" t="s">
        <v>354</v>
      </c>
      <c r="F53" s="366" t="s">
        <v>572</v>
      </c>
      <c r="G53" s="367"/>
      <c r="H53" s="128"/>
      <c r="I53" s="144"/>
      <c r="J53" s="360"/>
      <c r="K53" s="276"/>
      <c r="L53" s="278"/>
      <c r="M53" s="279"/>
      <c r="N53" s="280"/>
      <c r="O53" s="281"/>
      <c r="P53" s="278"/>
      <c r="Q53" s="279"/>
      <c r="R53" s="280"/>
      <c r="S53" s="373"/>
      <c r="T53" s="374"/>
      <c r="U53" s="362"/>
      <c r="V53" s="379"/>
      <c r="W53" s="309"/>
      <c r="X53" s="310"/>
      <c r="Y53" s="345"/>
    </row>
    <row r="54" spans="2:29">
      <c r="B54" s="256"/>
      <c r="C54" s="257"/>
      <c r="D54" s="134" t="s">
        <v>527</v>
      </c>
      <c r="E54" s="135" t="s">
        <v>354</v>
      </c>
      <c r="F54" s="366" t="s">
        <v>522</v>
      </c>
      <c r="G54" s="367"/>
      <c r="H54" s="128"/>
      <c r="I54" s="144"/>
      <c r="J54" s="360"/>
      <c r="K54" s="276"/>
      <c r="L54" s="278"/>
      <c r="M54" s="279"/>
      <c r="N54" s="280"/>
      <c r="O54" s="281"/>
      <c r="P54" s="278"/>
      <c r="Q54" s="279"/>
      <c r="R54" s="280"/>
      <c r="S54" s="373"/>
      <c r="T54" s="374"/>
      <c r="U54" s="362"/>
      <c r="V54" s="379"/>
      <c r="W54" s="309"/>
      <c r="X54" s="310"/>
      <c r="Y54" s="345"/>
      <c r="AC54" s="102"/>
    </row>
    <row r="55" spans="2:29" ht="16.5" customHeight="1" thickBot="1">
      <c r="B55" s="258"/>
      <c r="C55" s="259"/>
      <c r="D55" s="134" t="s">
        <v>525</v>
      </c>
      <c r="E55" s="136" t="s">
        <v>354</v>
      </c>
      <c r="F55" s="368" t="s">
        <v>523</v>
      </c>
      <c r="G55" s="369"/>
      <c r="H55" s="118"/>
      <c r="I55" s="145"/>
      <c r="J55" s="361"/>
      <c r="K55" s="285"/>
      <c r="L55" s="287"/>
      <c r="M55" s="288"/>
      <c r="N55" s="289"/>
      <c r="O55" s="290"/>
      <c r="P55" s="287"/>
      <c r="Q55" s="288"/>
      <c r="R55" s="289"/>
      <c r="S55" s="375"/>
      <c r="T55" s="376"/>
      <c r="U55" s="364"/>
      <c r="V55" s="299"/>
      <c r="W55" s="377"/>
      <c r="X55" s="378"/>
      <c r="Y55" s="346"/>
      <c r="AC55" s="32"/>
    </row>
    <row r="56" spans="2:29" ht="24.75" customHeight="1">
      <c r="B56" s="392" t="s">
        <v>358</v>
      </c>
      <c r="C56" s="395"/>
      <c r="D56" s="395"/>
      <c r="E56" s="395"/>
      <c r="F56" s="395"/>
      <c r="G56" s="393"/>
      <c r="H56" s="396">
        <f>SUM(H37:H43)</f>
        <v>0</v>
      </c>
      <c r="I56" s="398">
        <f>SUM(I37:I43)</f>
        <v>0</v>
      </c>
      <c r="J56" s="400">
        <f>SUM(J37:J55)</f>
        <v>94</v>
      </c>
      <c r="K56" s="402">
        <f>SUM(K37:L55)</f>
        <v>5</v>
      </c>
      <c r="L56" s="381"/>
      <c r="M56" s="384">
        <f>SUM(M37:N55)</f>
        <v>5</v>
      </c>
      <c r="N56" s="388"/>
      <c r="O56" s="380">
        <f>SUM(O37:P55)</f>
        <v>13</v>
      </c>
      <c r="P56" s="381"/>
      <c r="Q56" s="384">
        <f>SUM(Q37:R55)</f>
        <v>14</v>
      </c>
      <c r="R56" s="385"/>
      <c r="S56" s="388">
        <f>SUM(S37:T55)</f>
        <v>28</v>
      </c>
      <c r="T56" s="381"/>
      <c r="U56" s="384">
        <f>SUM(U37:V55)</f>
        <v>29</v>
      </c>
      <c r="V56" s="390"/>
      <c r="W56" s="392">
        <f>SUM(K56:V57)</f>
        <v>94</v>
      </c>
      <c r="X56" s="393"/>
      <c r="Y56" s="344">
        <f>SUM(Y37:Y43)</f>
        <v>80</v>
      </c>
      <c r="AC56" s="102"/>
    </row>
    <row r="57" spans="2:29" ht="18" thickBot="1">
      <c r="B57" s="394"/>
      <c r="C57" s="389"/>
      <c r="D57" s="389"/>
      <c r="E57" s="389"/>
      <c r="F57" s="389"/>
      <c r="G57" s="391"/>
      <c r="H57" s="397"/>
      <c r="I57" s="399"/>
      <c r="J57" s="401"/>
      <c r="K57" s="394"/>
      <c r="L57" s="383"/>
      <c r="M57" s="386"/>
      <c r="N57" s="389"/>
      <c r="O57" s="382"/>
      <c r="P57" s="383"/>
      <c r="Q57" s="386"/>
      <c r="R57" s="387"/>
      <c r="S57" s="389"/>
      <c r="T57" s="383"/>
      <c r="U57" s="386"/>
      <c r="V57" s="391"/>
      <c r="W57" s="394"/>
      <c r="X57" s="391"/>
      <c r="Y57" s="346"/>
      <c r="AC57" s="32"/>
    </row>
    <row r="58" spans="2:29" ht="17.25" customHeight="1" thickBot="1">
      <c r="B58" s="321"/>
      <c r="C58" s="423"/>
      <c r="D58" s="423"/>
      <c r="E58" s="423"/>
      <c r="F58" s="423"/>
      <c r="G58" s="404"/>
      <c r="H58" s="103">
        <f>SUM(H36,H56)</f>
        <v>94</v>
      </c>
      <c r="I58" s="100">
        <f>SUM(I36,I56)</f>
        <v>0</v>
      </c>
      <c r="J58" s="101">
        <f>SUM(J36,J56)</f>
        <v>174</v>
      </c>
      <c r="K58" s="321">
        <f>SUM(K36,K56)</f>
        <v>29</v>
      </c>
      <c r="L58" s="322"/>
      <c r="M58" s="403">
        <f>SUM(M36,M56)</f>
        <v>29</v>
      </c>
      <c r="N58" s="424"/>
      <c r="O58" s="425">
        <f>SUM(O36,O56)</f>
        <v>29</v>
      </c>
      <c r="P58" s="322"/>
      <c r="Q58" s="403">
        <f>SUM(Q36,Q56)</f>
        <v>29</v>
      </c>
      <c r="R58" s="424"/>
      <c r="S58" s="425">
        <f>SUM(S36,S56)</f>
        <v>29</v>
      </c>
      <c r="T58" s="322"/>
      <c r="U58" s="403">
        <f>SUM(U36,U56)</f>
        <v>29</v>
      </c>
      <c r="V58" s="404"/>
      <c r="W58" s="321">
        <f>SUM(K58:V58)</f>
        <v>174</v>
      </c>
      <c r="X58" s="404"/>
      <c r="Y58" s="11">
        <f>Y56+Y36</f>
        <v>144</v>
      </c>
      <c r="AA58" s="300" t="s">
        <v>153</v>
      </c>
      <c r="AB58" s="300"/>
    </row>
    <row r="59" spans="2:29" ht="18.75" customHeight="1" thickBot="1">
      <c r="B59" s="406" t="s">
        <v>359</v>
      </c>
      <c r="C59" s="407"/>
      <c r="D59" s="407"/>
      <c r="E59" s="408"/>
      <c r="F59" s="415" t="s">
        <v>355</v>
      </c>
      <c r="G59" s="416"/>
      <c r="H59" s="416"/>
      <c r="I59" s="416"/>
      <c r="J59" s="417"/>
      <c r="K59" s="418">
        <v>16</v>
      </c>
      <c r="L59" s="419"/>
      <c r="M59" s="420">
        <v>16</v>
      </c>
      <c r="N59" s="421"/>
      <c r="O59" s="422">
        <v>16</v>
      </c>
      <c r="P59" s="419"/>
      <c r="Q59" s="420">
        <v>16</v>
      </c>
      <c r="R59" s="421"/>
      <c r="S59" s="422">
        <v>16</v>
      </c>
      <c r="T59" s="419"/>
      <c r="U59" s="420">
        <v>16</v>
      </c>
      <c r="V59" s="435"/>
      <c r="W59" s="406">
        <f>SUM(K59:V61)</f>
        <v>288</v>
      </c>
      <c r="X59" s="408"/>
      <c r="Y59" s="344">
        <f>Y62*16</f>
        <v>288</v>
      </c>
      <c r="AA59" s="405"/>
      <c r="AB59" s="405"/>
    </row>
    <row r="60" spans="2:29" ht="17.25" customHeight="1" thickBot="1">
      <c r="B60" s="409"/>
      <c r="C60" s="410"/>
      <c r="D60" s="410"/>
      <c r="E60" s="411"/>
      <c r="F60" s="426" t="s">
        <v>63</v>
      </c>
      <c r="G60" s="427"/>
      <c r="H60" s="427"/>
      <c r="I60" s="427"/>
      <c r="J60" s="428"/>
      <c r="K60" s="429">
        <v>16</v>
      </c>
      <c r="L60" s="430"/>
      <c r="M60" s="431">
        <v>16</v>
      </c>
      <c r="N60" s="432"/>
      <c r="O60" s="433">
        <v>16</v>
      </c>
      <c r="P60" s="430"/>
      <c r="Q60" s="431">
        <v>16</v>
      </c>
      <c r="R60" s="432"/>
      <c r="S60" s="433">
        <v>16</v>
      </c>
      <c r="T60" s="430"/>
      <c r="U60" s="431">
        <v>16</v>
      </c>
      <c r="V60" s="434"/>
      <c r="W60" s="409"/>
      <c r="X60" s="411"/>
      <c r="Y60" s="345"/>
      <c r="AA60" s="323" t="b">
        <f>W58&gt;=Y58</f>
        <v>1</v>
      </c>
      <c r="AB60" s="324"/>
    </row>
    <row r="61" spans="2:29" ht="17.25" customHeight="1">
      <c r="B61" s="409"/>
      <c r="C61" s="410"/>
      <c r="D61" s="410"/>
      <c r="E61" s="411"/>
      <c r="F61" s="426" t="s">
        <v>11</v>
      </c>
      <c r="G61" s="427"/>
      <c r="H61" s="427"/>
      <c r="I61" s="427"/>
      <c r="J61" s="428"/>
      <c r="K61" s="429">
        <v>16</v>
      </c>
      <c r="L61" s="430"/>
      <c r="M61" s="431">
        <v>16</v>
      </c>
      <c r="N61" s="432"/>
      <c r="O61" s="433">
        <v>16</v>
      </c>
      <c r="P61" s="430"/>
      <c r="Q61" s="431">
        <v>16</v>
      </c>
      <c r="R61" s="432"/>
      <c r="S61" s="433">
        <v>16</v>
      </c>
      <c r="T61" s="430"/>
      <c r="U61" s="431">
        <v>16</v>
      </c>
      <c r="V61" s="434"/>
      <c r="W61" s="436"/>
      <c r="X61" s="437"/>
      <c r="Y61" s="438"/>
    </row>
    <row r="62" spans="2:29" ht="17.25" customHeight="1" thickBot="1">
      <c r="B62" s="412"/>
      <c r="C62" s="413"/>
      <c r="D62" s="413"/>
      <c r="E62" s="414"/>
      <c r="F62" s="441" t="s">
        <v>149</v>
      </c>
      <c r="G62" s="443"/>
      <c r="H62" s="443"/>
      <c r="I62" s="443"/>
      <c r="J62" s="442"/>
      <c r="K62" s="444">
        <v>3</v>
      </c>
      <c r="L62" s="445"/>
      <c r="M62" s="439">
        <v>3</v>
      </c>
      <c r="N62" s="446"/>
      <c r="O62" s="447">
        <v>3</v>
      </c>
      <c r="P62" s="445"/>
      <c r="Q62" s="439">
        <v>3</v>
      </c>
      <c r="R62" s="446"/>
      <c r="S62" s="447">
        <v>3</v>
      </c>
      <c r="T62" s="445"/>
      <c r="U62" s="439">
        <v>3</v>
      </c>
      <c r="V62" s="440"/>
      <c r="W62" s="441">
        <f>SUM(K62:V62)</f>
        <v>18</v>
      </c>
      <c r="X62" s="442"/>
      <c r="Y62" s="33">
        <v>18</v>
      </c>
      <c r="AA62" s="300" t="s">
        <v>154</v>
      </c>
      <c r="AB62" s="300"/>
    </row>
    <row r="63" spans="2:29" ht="17.25" customHeight="1" thickBot="1">
      <c r="B63" s="321"/>
      <c r="C63" s="423"/>
      <c r="D63" s="423"/>
      <c r="E63" s="423"/>
      <c r="F63" s="423"/>
      <c r="G63" s="423"/>
      <c r="H63" s="423"/>
      <c r="I63" s="423"/>
      <c r="J63" s="404"/>
      <c r="K63" s="321">
        <v>32</v>
      </c>
      <c r="L63" s="322"/>
      <c r="M63" s="403">
        <v>32</v>
      </c>
      <c r="N63" s="424"/>
      <c r="O63" s="425">
        <v>32</v>
      </c>
      <c r="P63" s="322"/>
      <c r="Q63" s="403">
        <v>32</v>
      </c>
      <c r="R63" s="424"/>
      <c r="S63" s="425">
        <v>32</v>
      </c>
      <c r="T63" s="322"/>
      <c r="U63" s="403">
        <v>32</v>
      </c>
      <c r="V63" s="404"/>
      <c r="W63" s="321">
        <f>SUM(K63:V63)</f>
        <v>192</v>
      </c>
      <c r="X63" s="404"/>
      <c r="Y63" s="26">
        <f>W63</f>
        <v>192</v>
      </c>
      <c r="AA63" s="323" t="b">
        <f>W62&gt;=Y62</f>
        <v>1</v>
      </c>
      <c r="AB63" s="324"/>
    </row>
    <row r="64" spans="2:29" ht="17.25" customHeight="1" thickBot="1">
      <c r="B64" s="321"/>
      <c r="C64" s="423"/>
      <c r="D64" s="423"/>
      <c r="E64" s="423"/>
      <c r="F64" s="423"/>
      <c r="G64" s="423"/>
      <c r="H64" s="423"/>
      <c r="I64" s="423"/>
      <c r="J64" s="404"/>
      <c r="K64" s="321">
        <f>SUM(K63:N63)</f>
        <v>64</v>
      </c>
      <c r="L64" s="423"/>
      <c r="M64" s="423"/>
      <c r="N64" s="424"/>
      <c r="O64" s="425">
        <f>SUM(O63:R63)</f>
        <v>64</v>
      </c>
      <c r="P64" s="423"/>
      <c r="Q64" s="423"/>
      <c r="R64" s="424"/>
      <c r="S64" s="425">
        <f>SUM(S63:V63)</f>
        <v>64</v>
      </c>
      <c r="T64" s="423"/>
      <c r="U64" s="423"/>
      <c r="V64" s="404"/>
      <c r="W64" s="321">
        <f>SUM(K64:V64)</f>
        <v>192</v>
      </c>
      <c r="X64" s="404"/>
      <c r="Y64" s="11"/>
      <c r="AA64" s="300" t="s">
        <v>152</v>
      </c>
      <c r="AB64" s="300"/>
    </row>
    <row r="65" spans="27:28" ht="17.25" customHeight="1" thickBot="1">
      <c r="AA65" s="323" t="b">
        <f>W63&gt;=Y63</f>
        <v>1</v>
      </c>
      <c r="AB65" s="324"/>
    </row>
    <row r="66" spans="27:28" ht="17.25" customHeight="1"/>
    <row r="67" spans="27:28" ht="17.25" customHeight="1"/>
    <row r="68" spans="27:28" ht="17.25" customHeight="1"/>
    <row r="70" spans="27:28" ht="24.9" customHeight="1"/>
    <row r="71" spans="27:28" ht="24.9" customHeight="1"/>
    <row r="72" spans="27:28" ht="32.25" customHeight="1"/>
    <row r="73" spans="27:28" ht="24.9" customHeight="1"/>
    <row r="75" spans="27:28" ht="16.5" customHeight="1"/>
    <row r="76" spans="27:28" ht="17.25" customHeight="1"/>
    <row r="77" spans="27:28" ht="16.5" customHeight="1"/>
    <row r="78" spans="27:28" ht="16.5" customHeight="1"/>
    <row r="79" spans="27:28" ht="16.5" customHeight="1"/>
    <row r="80" spans="27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244.5" customHeight="1"/>
  </sheetData>
  <mergeCells count="471">
    <mergeCell ref="AA65:AB65"/>
    <mergeCell ref="W63:X63"/>
    <mergeCell ref="AA63:AB63"/>
    <mergeCell ref="B64:J64"/>
    <mergeCell ref="K64:N64"/>
    <mergeCell ref="O64:R64"/>
    <mergeCell ref="S64:V64"/>
    <mergeCell ref="W64:X64"/>
    <mergeCell ref="AA64:AB64"/>
    <mergeCell ref="U62:V62"/>
    <mergeCell ref="W62:X62"/>
    <mergeCell ref="AA62:AB62"/>
    <mergeCell ref="B63:J63"/>
    <mergeCell ref="K63:L63"/>
    <mergeCell ref="M63:N63"/>
    <mergeCell ref="O63:P63"/>
    <mergeCell ref="Q63:R63"/>
    <mergeCell ref="S63:T63"/>
    <mergeCell ref="U63:V63"/>
    <mergeCell ref="F62:J62"/>
    <mergeCell ref="K62:L62"/>
    <mergeCell ref="M62:N62"/>
    <mergeCell ref="O62:P62"/>
    <mergeCell ref="Q62:R62"/>
    <mergeCell ref="S62:T62"/>
    <mergeCell ref="U59:V59"/>
    <mergeCell ref="W59:X61"/>
    <mergeCell ref="Y59:Y61"/>
    <mergeCell ref="F60:J60"/>
    <mergeCell ref="K60:L60"/>
    <mergeCell ref="M60:N60"/>
    <mergeCell ref="O60:P60"/>
    <mergeCell ref="Q60:R60"/>
    <mergeCell ref="S60:T60"/>
    <mergeCell ref="U60:V60"/>
    <mergeCell ref="U58:V58"/>
    <mergeCell ref="W58:X58"/>
    <mergeCell ref="AA58:AB59"/>
    <mergeCell ref="B59:E62"/>
    <mergeCell ref="F59:J59"/>
    <mergeCell ref="K59:L59"/>
    <mergeCell ref="M59:N59"/>
    <mergeCell ref="O59:P59"/>
    <mergeCell ref="Q59:R59"/>
    <mergeCell ref="S59:T59"/>
    <mergeCell ref="B58:G58"/>
    <mergeCell ref="K58:L58"/>
    <mergeCell ref="M58:N58"/>
    <mergeCell ref="O58:P58"/>
    <mergeCell ref="Q58:R58"/>
    <mergeCell ref="S58:T58"/>
    <mergeCell ref="AA60:AB60"/>
    <mergeCell ref="F61:J61"/>
    <mergeCell ref="K61:L61"/>
    <mergeCell ref="M61:N61"/>
    <mergeCell ref="O61:P61"/>
    <mergeCell ref="Q61:R61"/>
    <mergeCell ref="S61:T61"/>
    <mergeCell ref="U61:V61"/>
    <mergeCell ref="S52:T55"/>
    <mergeCell ref="U52:V55"/>
    <mergeCell ref="O56:P57"/>
    <mergeCell ref="Q56:R57"/>
    <mergeCell ref="S56:T57"/>
    <mergeCell ref="U56:V57"/>
    <mergeCell ref="W56:X57"/>
    <mergeCell ref="Y56:Y57"/>
    <mergeCell ref="B56:G57"/>
    <mergeCell ref="H56:H57"/>
    <mergeCell ref="I56:I57"/>
    <mergeCell ref="J56:J57"/>
    <mergeCell ref="K56:L57"/>
    <mergeCell ref="M56:N57"/>
    <mergeCell ref="U48:V48"/>
    <mergeCell ref="W52:X55"/>
    <mergeCell ref="F53:G53"/>
    <mergeCell ref="K53:L53"/>
    <mergeCell ref="M53:N53"/>
    <mergeCell ref="O53:P53"/>
    <mergeCell ref="Q53:R53"/>
    <mergeCell ref="F54:G54"/>
    <mergeCell ref="B52:C55"/>
    <mergeCell ref="F52:G52"/>
    <mergeCell ref="J52:J55"/>
    <mergeCell ref="K52:L52"/>
    <mergeCell ref="M52:N52"/>
    <mergeCell ref="O52:P52"/>
    <mergeCell ref="K54:L54"/>
    <mergeCell ref="M54:N54"/>
    <mergeCell ref="O54:P54"/>
    <mergeCell ref="Q54:R54"/>
    <mergeCell ref="F55:G55"/>
    <mergeCell ref="K55:L55"/>
    <mergeCell ref="M55:N55"/>
    <mergeCell ref="O55:P55"/>
    <mergeCell ref="Q55:R55"/>
    <mergeCell ref="Q52:R52"/>
    <mergeCell ref="W48:X51"/>
    <mergeCell ref="F49:G49"/>
    <mergeCell ref="K49:L49"/>
    <mergeCell ref="M49:N49"/>
    <mergeCell ref="S49:T49"/>
    <mergeCell ref="U49:V49"/>
    <mergeCell ref="F50:G50"/>
    <mergeCell ref="B48:C51"/>
    <mergeCell ref="F48:G48"/>
    <mergeCell ref="J48:J51"/>
    <mergeCell ref="K48:L48"/>
    <mergeCell ref="M48:N48"/>
    <mergeCell ref="O48:P51"/>
    <mergeCell ref="K50:L50"/>
    <mergeCell ref="M50:N50"/>
    <mergeCell ref="S50:T50"/>
    <mergeCell ref="U50:V50"/>
    <mergeCell ref="F51:G51"/>
    <mergeCell ref="K51:L51"/>
    <mergeCell ref="M51:N51"/>
    <mergeCell ref="S51:T51"/>
    <mergeCell ref="U51:V51"/>
    <mergeCell ref="Q48:R51"/>
    <mergeCell ref="S48:T48"/>
    <mergeCell ref="Q44:R44"/>
    <mergeCell ref="S44:T44"/>
    <mergeCell ref="U44:V44"/>
    <mergeCell ref="W44:X47"/>
    <mergeCell ref="F45:G45"/>
    <mergeCell ref="K45:L45"/>
    <mergeCell ref="O45:P45"/>
    <mergeCell ref="Q45:R45"/>
    <mergeCell ref="S45:T45"/>
    <mergeCell ref="U45:V45"/>
    <mergeCell ref="Q46:R46"/>
    <mergeCell ref="S46:T46"/>
    <mergeCell ref="U46:V46"/>
    <mergeCell ref="F47:G47"/>
    <mergeCell ref="K47:L47"/>
    <mergeCell ref="O47:P47"/>
    <mergeCell ref="Q47:R47"/>
    <mergeCell ref="S47:T47"/>
    <mergeCell ref="U47:V47"/>
    <mergeCell ref="B44:C47"/>
    <mergeCell ref="F44:G44"/>
    <mergeCell ref="J44:J47"/>
    <mergeCell ref="K44:L44"/>
    <mergeCell ref="M44:N47"/>
    <mergeCell ref="O44:P44"/>
    <mergeCell ref="F46:G46"/>
    <mergeCell ref="K46:L46"/>
    <mergeCell ref="O46:P46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U40:V40"/>
    <mergeCell ref="W40:X40"/>
    <mergeCell ref="F41:G41"/>
    <mergeCell ref="K41:L41"/>
    <mergeCell ref="M41:N41"/>
    <mergeCell ref="O41:P41"/>
    <mergeCell ref="Q41:R41"/>
    <mergeCell ref="S41:T41"/>
    <mergeCell ref="U41:V41"/>
    <mergeCell ref="W41:X41"/>
    <mergeCell ref="F40:G40"/>
    <mergeCell ref="K40:L40"/>
    <mergeCell ref="M40:N40"/>
    <mergeCell ref="O40:P40"/>
    <mergeCell ref="Q40:R40"/>
    <mergeCell ref="S40:T40"/>
    <mergeCell ref="Q38:R38"/>
    <mergeCell ref="S38:T38"/>
    <mergeCell ref="U38:V38"/>
    <mergeCell ref="W38:X38"/>
    <mergeCell ref="F39:G39"/>
    <mergeCell ref="K39:L39"/>
    <mergeCell ref="M39:N39"/>
    <mergeCell ref="O39:P39"/>
    <mergeCell ref="Q39:R39"/>
    <mergeCell ref="S39:T39"/>
    <mergeCell ref="U39:V39"/>
    <mergeCell ref="W39:X39"/>
    <mergeCell ref="U36:V36"/>
    <mergeCell ref="W36:X36"/>
    <mergeCell ref="AA36:AB36"/>
    <mergeCell ref="B37:C43"/>
    <mergeCell ref="D37:E37"/>
    <mergeCell ref="F37:G37"/>
    <mergeCell ref="K37:L37"/>
    <mergeCell ref="M37:N37"/>
    <mergeCell ref="O37:P37"/>
    <mergeCell ref="Q37:R37"/>
    <mergeCell ref="B36:G36"/>
    <mergeCell ref="K36:L36"/>
    <mergeCell ref="M36:N36"/>
    <mergeCell ref="O36:P36"/>
    <mergeCell ref="Q36:R36"/>
    <mergeCell ref="S36:T36"/>
    <mergeCell ref="S37:T37"/>
    <mergeCell ref="U37:V37"/>
    <mergeCell ref="W37:X37"/>
    <mergeCell ref="Y37:Y55"/>
    <mergeCell ref="F38:G38"/>
    <mergeCell ref="K38:L38"/>
    <mergeCell ref="M38:N38"/>
    <mergeCell ref="O38:P38"/>
    <mergeCell ref="W33:X35"/>
    <mergeCell ref="Y33:Y35"/>
    <mergeCell ref="F34:G34"/>
    <mergeCell ref="K34:L34"/>
    <mergeCell ref="M34:N34"/>
    <mergeCell ref="O34:P34"/>
    <mergeCell ref="Q34:R34"/>
    <mergeCell ref="S34:T34"/>
    <mergeCell ref="D33:D35"/>
    <mergeCell ref="F33:G33"/>
    <mergeCell ref="K33:L33"/>
    <mergeCell ref="M33:N33"/>
    <mergeCell ref="O33:P33"/>
    <mergeCell ref="Q33:R33"/>
    <mergeCell ref="U34:V34"/>
    <mergeCell ref="F35:G35"/>
    <mergeCell ref="K35:L35"/>
    <mergeCell ref="M35:N35"/>
    <mergeCell ref="O35:P35"/>
    <mergeCell ref="Q35:R35"/>
    <mergeCell ref="S35:T35"/>
    <mergeCell ref="U35:V35"/>
    <mergeCell ref="S33:T33"/>
    <mergeCell ref="U33:V33"/>
    <mergeCell ref="W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F27:G27"/>
    <mergeCell ref="K27:L27"/>
    <mergeCell ref="M27:N27"/>
    <mergeCell ref="O27:P27"/>
    <mergeCell ref="Q27:R27"/>
    <mergeCell ref="Q28:R28"/>
    <mergeCell ref="F29:G29"/>
    <mergeCell ref="K29:L29"/>
    <mergeCell ref="M29:N29"/>
    <mergeCell ref="O29:P29"/>
    <mergeCell ref="Q29:R29"/>
    <mergeCell ref="X25:X29"/>
    <mergeCell ref="Y25:Y29"/>
    <mergeCell ref="F26:G26"/>
    <mergeCell ref="K26:L26"/>
    <mergeCell ref="M26:N26"/>
    <mergeCell ref="O26:P26"/>
    <mergeCell ref="Q26:R26"/>
    <mergeCell ref="S26:T26"/>
    <mergeCell ref="U26:V26"/>
    <mergeCell ref="S27:T27"/>
    <mergeCell ref="U27:V27"/>
    <mergeCell ref="S25:T25"/>
    <mergeCell ref="U25:V25"/>
    <mergeCell ref="S28:T28"/>
    <mergeCell ref="U28:V28"/>
    <mergeCell ref="S29:T29"/>
    <mergeCell ref="U29:V29"/>
    <mergeCell ref="D21:D24"/>
    <mergeCell ref="F21:G21"/>
    <mergeCell ref="K21:L21"/>
    <mergeCell ref="M21:N21"/>
    <mergeCell ref="O21:P21"/>
    <mergeCell ref="Q21:R21"/>
    <mergeCell ref="M23:N23"/>
    <mergeCell ref="O23:P23"/>
    <mergeCell ref="Q23:R23"/>
    <mergeCell ref="F22:G22"/>
    <mergeCell ref="K22:L22"/>
    <mergeCell ref="M22:N22"/>
    <mergeCell ref="O22:P22"/>
    <mergeCell ref="Q22:R22"/>
    <mergeCell ref="F23:G23"/>
    <mergeCell ref="K23:L23"/>
    <mergeCell ref="F24:G24"/>
    <mergeCell ref="K24:L24"/>
    <mergeCell ref="M24:N24"/>
    <mergeCell ref="O24:P24"/>
    <mergeCell ref="Q24:R24"/>
    <mergeCell ref="U19:V19"/>
    <mergeCell ref="X19:X20"/>
    <mergeCell ref="Y19:Y24"/>
    <mergeCell ref="F20:G20"/>
    <mergeCell ref="K20:L20"/>
    <mergeCell ref="M20:N20"/>
    <mergeCell ref="O20:P20"/>
    <mergeCell ref="Q20:R20"/>
    <mergeCell ref="S20:T20"/>
    <mergeCell ref="U20:V20"/>
    <mergeCell ref="S21:T21"/>
    <mergeCell ref="U21:V21"/>
    <mergeCell ref="X21:X24"/>
    <mergeCell ref="S22:T22"/>
    <mergeCell ref="U22:V22"/>
    <mergeCell ref="S23:T23"/>
    <mergeCell ref="U23:V23"/>
    <mergeCell ref="S24:T24"/>
    <mergeCell ref="U24:V24"/>
    <mergeCell ref="Y17:Y18"/>
    <mergeCell ref="F18:G18"/>
    <mergeCell ref="K18:L18"/>
    <mergeCell ref="M18:N18"/>
    <mergeCell ref="O18:P18"/>
    <mergeCell ref="Q18:R18"/>
    <mergeCell ref="S18:T18"/>
    <mergeCell ref="U18:V18"/>
    <mergeCell ref="AA18:AB18"/>
    <mergeCell ref="X14:X16"/>
    <mergeCell ref="F15:G15"/>
    <mergeCell ref="K15:L15"/>
    <mergeCell ref="M15:N15"/>
    <mergeCell ref="O15:P15"/>
    <mergeCell ref="Q15:R15"/>
    <mergeCell ref="S15:T15"/>
    <mergeCell ref="U15:V15"/>
    <mergeCell ref="S17:T17"/>
    <mergeCell ref="U17:V17"/>
    <mergeCell ref="X17:X18"/>
    <mergeCell ref="D17:D20"/>
    <mergeCell ref="F17:G17"/>
    <mergeCell ref="K17:L17"/>
    <mergeCell ref="M17:N17"/>
    <mergeCell ref="O17:P17"/>
    <mergeCell ref="Q17:R17"/>
    <mergeCell ref="O13:P13"/>
    <mergeCell ref="Q13:R13"/>
    <mergeCell ref="S14:T14"/>
    <mergeCell ref="F19:G19"/>
    <mergeCell ref="K19:L19"/>
    <mergeCell ref="M19:N19"/>
    <mergeCell ref="O19:P19"/>
    <mergeCell ref="Q19:R19"/>
    <mergeCell ref="S19:T19"/>
    <mergeCell ref="Q12:R12"/>
    <mergeCell ref="K11:L11"/>
    <mergeCell ref="M11:N11"/>
    <mergeCell ref="O11:P11"/>
    <mergeCell ref="Q11:R11"/>
    <mergeCell ref="S11:T11"/>
    <mergeCell ref="U11:V11"/>
    <mergeCell ref="D14:D16"/>
    <mergeCell ref="F14:G14"/>
    <mergeCell ref="K14:L14"/>
    <mergeCell ref="M14:N14"/>
    <mergeCell ref="O14:P14"/>
    <mergeCell ref="Q14:R14"/>
    <mergeCell ref="D12:D13"/>
    <mergeCell ref="U14:V14"/>
    <mergeCell ref="X9:X11"/>
    <mergeCell ref="Y9:Y16"/>
    <mergeCell ref="F10:G10"/>
    <mergeCell ref="K10:L10"/>
    <mergeCell ref="M10:N10"/>
    <mergeCell ref="O10:P10"/>
    <mergeCell ref="Q10:R10"/>
    <mergeCell ref="S10:T10"/>
    <mergeCell ref="U10:V10"/>
    <mergeCell ref="F11:G11"/>
    <mergeCell ref="S16:T16"/>
    <mergeCell ref="U16:V16"/>
    <mergeCell ref="S12:T12"/>
    <mergeCell ref="U12:V12"/>
    <mergeCell ref="X12:X13"/>
    <mergeCell ref="F13:G13"/>
    <mergeCell ref="K13:L13"/>
    <mergeCell ref="M13:N13"/>
    <mergeCell ref="S13:T13"/>
    <mergeCell ref="U13:V13"/>
    <mergeCell ref="F12:G12"/>
    <mergeCell ref="K12:L12"/>
    <mergeCell ref="M12:N12"/>
    <mergeCell ref="O12:P12"/>
    <mergeCell ref="AA8:AD8"/>
    <mergeCell ref="B9:C35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F16:G16"/>
    <mergeCell ref="K16:L16"/>
    <mergeCell ref="M16:N16"/>
    <mergeCell ref="O16:P16"/>
    <mergeCell ref="Q16:R16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6:AB36 AC55 AC57 AA60:AB60 AA63:AB63 AA65:AB65">
    <cfRule type="containsText" dxfId="0" priority="1" operator="containsText" text="FALSE">
      <formula>NOT(ISERROR(SEARCH("FALSE",AA36)))</formula>
    </cfRule>
  </conditionalFormatting>
  <printOptions horizontalCentered="1" verticalCentered="1"/>
  <pageMargins left="0.25" right="0.25" top="0.75" bottom="0.75" header="0.3" footer="0.3"/>
  <pageSetup paperSize="12" scale="53" orientation="portrait" cellComments="asDisplayed" r:id="rId1"/>
  <rowBreaks count="1" manualBreakCount="1">
    <brk id="56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88C1DB7F-DD52-4355-B853-7597A820F5EB}">
          <x14:formula1>
            <xm:f>삭제금지!$J$2:$J$59</xm:f>
          </x14:formula1>
          <xm:sqref>H5:J5</xm:sqref>
        </x14:dataValidation>
        <x14:dataValidation type="list" allowBlank="1" showInputMessage="1" showErrorMessage="1" xr:uid="{80315154-2D05-477C-99FD-EA32D8186155}">
          <x14:formula1>
            <xm:f>삭제금지!$I$2:$I$18</xm:f>
          </x14:formula1>
          <xm:sqref>F5:G5</xm:sqref>
        </x14:dataValidation>
        <x14:dataValidation type="list" allowBlank="1" showInputMessage="1" showErrorMessage="1" xr:uid="{B76F7931-B927-49AC-8193-F740D0D46B26}">
          <x14:formula1>
            <xm:f>삭제금지!$K$2:$K$59</xm:f>
          </x14:formula1>
          <xm:sqref>K5:O5</xm:sqref>
        </x14:dataValidation>
        <x14:dataValidation type="list" allowBlank="1" showInputMessage="1" showErrorMessage="1" xr:uid="{6FEDB9E7-7485-4A2D-A7E5-EF0C72870E8F}">
          <x14:formula1>
            <xm:f>삭제금지!$L$2:$L$4</xm:f>
          </x14:formula1>
          <xm:sqref>T5:V5</xm:sqref>
        </x14:dataValidation>
        <x14:dataValidation type="list" allowBlank="1" showInputMessage="1" showErrorMessage="1" xr:uid="{590BC444-B1F8-4FFA-8C4F-59EA075454F4}">
          <x14:formula1>
            <xm:f>삭제금지!$H$2:$H$18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7B07-1EE4-4307-9E6B-E6FA8FCD5B1C}">
  <sheetPr>
    <pageSetUpPr fitToPage="1"/>
  </sheetPr>
  <dimension ref="B2:AG37"/>
  <sheetViews>
    <sheetView showGridLines="0" view="pageBreakPreview" zoomScale="90" zoomScaleNormal="85" zoomScaleSheetLayoutView="90" workbookViewId="0">
      <selection activeCell="B2" sqref="B2:U2"/>
    </sheetView>
  </sheetViews>
  <sheetFormatPr defaultRowHeight="17.399999999999999"/>
  <cols>
    <col min="1" max="1" width="3" customWidth="1"/>
    <col min="2" max="2" width="9.59765625" customWidth="1"/>
    <col min="3" max="3" width="5.59765625" customWidth="1"/>
    <col min="4" max="4" width="21.8984375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496" t="s">
        <v>150</v>
      </c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</row>
    <row r="3" spans="2:33" ht="27" customHeight="1" thickBot="1"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497" t="s">
        <v>129</v>
      </c>
      <c r="O3" s="498"/>
      <c r="P3" s="499"/>
      <c r="Q3" s="497" t="s">
        <v>127</v>
      </c>
      <c r="R3" s="498"/>
      <c r="S3" s="499"/>
      <c r="T3" s="500" t="s">
        <v>130</v>
      </c>
      <c r="U3" s="501"/>
    </row>
    <row r="4" spans="2:33" ht="27" customHeight="1" thickBot="1"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502" t="s">
        <v>505</v>
      </c>
      <c r="O4" s="503"/>
      <c r="P4" s="504"/>
      <c r="Q4" s="505" t="s">
        <v>528</v>
      </c>
      <c r="R4" s="506"/>
      <c r="S4" s="507"/>
      <c r="T4" s="508">
        <v>2027</v>
      </c>
      <c r="U4" s="509"/>
    </row>
    <row r="5" spans="2:33" ht="24" customHeight="1" thickBot="1">
      <c r="B5" s="495"/>
      <c r="C5" s="495"/>
    </row>
    <row r="6" spans="2:33" ht="20.25" customHeight="1">
      <c r="B6" s="482" t="s">
        <v>13</v>
      </c>
      <c r="C6" s="485" t="s">
        <v>140</v>
      </c>
      <c r="D6" s="468" t="s">
        <v>14</v>
      </c>
      <c r="E6" s="468" t="s">
        <v>15</v>
      </c>
      <c r="F6" s="468" t="s">
        <v>141</v>
      </c>
      <c r="G6" s="468" t="s">
        <v>142</v>
      </c>
      <c r="H6" s="471" t="s">
        <v>58</v>
      </c>
      <c r="I6" s="471"/>
      <c r="J6" s="471"/>
      <c r="K6" s="471"/>
      <c r="L6" s="471" t="s">
        <v>59</v>
      </c>
      <c r="M6" s="471"/>
      <c r="N6" s="471"/>
      <c r="O6" s="471"/>
      <c r="P6" s="471" t="s">
        <v>60</v>
      </c>
      <c r="Q6" s="471"/>
      <c r="R6" s="471"/>
      <c r="S6" s="471"/>
      <c r="T6" s="479" t="s">
        <v>139</v>
      </c>
      <c r="U6" s="472" t="s">
        <v>126</v>
      </c>
      <c r="W6" s="475" t="s">
        <v>131</v>
      </c>
      <c r="X6" s="476"/>
      <c r="Y6" s="476"/>
      <c r="Z6" s="476"/>
      <c r="AA6" s="476"/>
      <c r="AB6" s="476"/>
      <c r="AC6" s="476"/>
      <c r="AD6" s="476"/>
      <c r="AE6" s="476"/>
      <c r="AF6" s="477"/>
      <c r="AG6" s="13"/>
    </row>
    <row r="7" spans="2:33" ht="16.5" customHeight="1">
      <c r="B7" s="483"/>
      <c r="C7" s="486"/>
      <c r="D7" s="469"/>
      <c r="E7" s="469"/>
      <c r="F7" s="469"/>
      <c r="G7" s="469"/>
      <c r="H7" s="478" t="s">
        <v>124</v>
      </c>
      <c r="I7" s="478"/>
      <c r="J7" s="478" t="s">
        <v>62</v>
      </c>
      <c r="K7" s="478"/>
      <c r="L7" s="478" t="s">
        <v>124</v>
      </c>
      <c r="M7" s="478"/>
      <c r="N7" s="478" t="s">
        <v>62</v>
      </c>
      <c r="O7" s="478"/>
      <c r="P7" s="478" t="s">
        <v>124</v>
      </c>
      <c r="Q7" s="478"/>
      <c r="R7" s="478" t="s">
        <v>62</v>
      </c>
      <c r="S7" s="478"/>
      <c r="T7" s="480"/>
      <c r="U7" s="473"/>
      <c r="W7" s="465" t="s">
        <v>132</v>
      </c>
      <c r="X7" s="466"/>
      <c r="Y7" s="466"/>
      <c r="Z7" s="466"/>
      <c r="AA7" s="466"/>
      <c r="AB7" s="466"/>
      <c r="AC7" s="466"/>
      <c r="AD7" s="466"/>
      <c r="AE7" s="466"/>
      <c r="AF7" s="467"/>
      <c r="AG7" s="13"/>
    </row>
    <row r="8" spans="2:33" ht="17.25" customHeight="1" thickBot="1">
      <c r="B8" s="484"/>
      <c r="C8" s="487"/>
      <c r="D8" s="470"/>
      <c r="E8" s="470"/>
      <c r="F8" s="470"/>
      <c r="G8" s="470"/>
      <c r="H8" s="146" t="s">
        <v>138</v>
      </c>
      <c r="I8" s="146" t="s">
        <v>125</v>
      </c>
      <c r="J8" s="146" t="s">
        <v>138</v>
      </c>
      <c r="K8" s="146" t="s">
        <v>125</v>
      </c>
      <c r="L8" s="146" t="s">
        <v>138</v>
      </c>
      <c r="M8" s="146" t="s">
        <v>125</v>
      </c>
      <c r="N8" s="146" t="s">
        <v>138</v>
      </c>
      <c r="O8" s="146" t="s">
        <v>125</v>
      </c>
      <c r="P8" s="146" t="s">
        <v>138</v>
      </c>
      <c r="Q8" s="146" t="s">
        <v>125</v>
      </c>
      <c r="R8" s="146" t="s">
        <v>138</v>
      </c>
      <c r="S8" s="146" t="s">
        <v>125</v>
      </c>
      <c r="T8" s="481"/>
      <c r="U8" s="4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489" t="s">
        <v>539</v>
      </c>
      <c r="C9" s="492">
        <v>24</v>
      </c>
      <c r="D9" s="147" t="s">
        <v>576</v>
      </c>
      <c r="E9" s="148" t="s">
        <v>541</v>
      </c>
      <c r="F9" s="171">
        <v>30</v>
      </c>
      <c r="G9" s="172">
        <v>2</v>
      </c>
      <c r="H9" s="173"/>
      <c r="I9" s="173">
        <f>H9*16</f>
        <v>0</v>
      </c>
      <c r="J9" s="173"/>
      <c r="K9" s="173">
        <f>J9*16</f>
        <v>0</v>
      </c>
      <c r="L9" s="173"/>
      <c r="M9" s="173"/>
      <c r="N9" s="173"/>
      <c r="O9" s="173"/>
      <c r="P9" s="149">
        <v>4</v>
      </c>
      <c r="Q9" s="149">
        <v>64</v>
      </c>
      <c r="R9" s="149"/>
      <c r="S9" s="149"/>
      <c r="T9" s="174">
        <f>SUM(H9,J9,L9,N9,P9,R9)</f>
        <v>4</v>
      </c>
      <c r="U9" s="175">
        <f>SUM(I9,K9,M9,O9,Q9,S9)</f>
        <v>64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490"/>
      <c r="C10" s="493"/>
      <c r="D10" s="150" t="s">
        <v>577</v>
      </c>
      <c r="E10" s="151" t="s">
        <v>542</v>
      </c>
      <c r="F10" s="176">
        <v>40</v>
      </c>
      <c r="G10" s="177">
        <v>2</v>
      </c>
      <c r="H10" s="178"/>
      <c r="I10" s="178">
        <f>H10*16</f>
        <v>0</v>
      </c>
      <c r="J10" s="178"/>
      <c r="K10" s="178">
        <f>J10*16</f>
        <v>0</v>
      </c>
      <c r="L10" s="178"/>
      <c r="M10" s="178"/>
      <c r="N10" s="178"/>
      <c r="O10" s="178"/>
      <c r="P10" s="152">
        <v>4</v>
      </c>
      <c r="Q10" s="152">
        <v>64</v>
      </c>
      <c r="R10" s="152"/>
      <c r="S10" s="152"/>
      <c r="T10" s="179">
        <f>SUM(H10,J10,L10,N10,P10,R10)</f>
        <v>4</v>
      </c>
      <c r="U10" s="180">
        <f>SUM(I10,K10,M10,O10,Q10,S10)</f>
        <v>64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490"/>
      <c r="C11" s="493"/>
      <c r="D11" s="150" t="s">
        <v>578</v>
      </c>
      <c r="E11" s="151" t="s">
        <v>543</v>
      </c>
      <c r="F11" s="176">
        <v>40</v>
      </c>
      <c r="G11" s="177">
        <v>2</v>
      </c>
      <c r="H11" s="178"/>
      <c r="I11" s="178"/>
      <c r="J11" s="178"/>
      <c r="K11" s="178"/>
      <c r="L11" s="178"/>
      <c r="M11" s="178"/>
      <c r="N11" s="178"/>
      <c r="O11" s="178"/>
      <c r="P11" s="152">
        <v>4</v>
      </c>
      <c r="Q11" s="152">
        <v>64</v>
      </c>
      <c r="R11" s="152"/>
      <c r="S11" s="152"/>
      <c r="T11" s="179">
        <f>SUM(H11,J11,L11,N11,P11,R11)</f>
        <v>4</v>
      </c>
      <c r="U11" s="180">
        <f>Q11+S11</f>
        <v>64</v>
      </c>
    </row>
    <row r="12" spans="2:33">
      <c r="B12" s="490"/>
      <c r="C12" s="493"/>
      <c r="D12" s="150" t="s">
        <v>579</v>
      </c>
      <c r="E12" s="151" t="s">
        <v>544</v>
      </c>
      <c r="F12" s="176">
        <v>40</v>
      </c>
      <c r="G12" s="177">
        <v>2</v>
      </c>
      <c r="H12" s="178"/>
      <c r="I12" s="178"/>
      <c r="J12" s="178"/>
      <c r="K12" s="178"/>
      <c r="L12" s="178"/>
      <c r="M12" s="178"/>
      <c r="N12" s="178"/>
      <c r="O12" s="178"/>
      <c r="P12" s="152"/>
      <c r="Q12" s="152"/>
      <c r="R12" s="152">
        <v>4</v>
      </c>
      <c r="S12" s="152">
        <v>64</v>
      </c>
      <c r="T12" s="179">
        <f>SUM(H12,J12,L12,N12,P12,R12)</f>
        <v>4</v>
      </c>
      <c r="U12" s="180">
        <f>SUM(I12,K12,M12,O12,Q12,S12)</f>
        <v>64</v>
      </c>
    </row>
    <row r="13" spans="2:33">
      <c r="B13" s="490"/>
      <c r="C13" s="493"/>
      <c r="D13" s="150" t="s">
        <v>581</v>
      </c>
      <c r="E13" s="151" t="s">
        <v>545</v>
      </c>
      <c r="F13" s="176">
        <v>20</v>
      </c>
      <c r="G13" s="177">
        <v>2</v>
      </c>
      <c r="H13" s="178"/>
      <c r="I13" s="178"/>
      <c r="J13" s="178"/>
      <c r="K13" s="178"/>
      <c r="L13" s="178"/>
      <c r="M13" s="178"/>
      <c r="N13" s="178"/>
      <c r="O13" s="178"/>
      <c r="P13" s="152"/>
      <c r="Q13" s="152"/>
      <c r="R13" s="152">
        <v>2</v>
      </c>
      <c r="S13" s="152">
        <v>32</v>
      </c>
      <c r="T13" s="179">
        <f>SUM(H13,J13,L13,N13,P13,R13)</f>
        <v>2</v>
      </c>
      <c r="U13" s="180">
        <f>SUM(I13,K13,M13,O13,Q13,S13)</f>
        <v>32</v>
      </c>
    </row>
    <row r="14" spans="2:33">
      <c r="B14" s="490"/>
      <c r="C14" s="493"/>
      <c r="D14" s="150" t="s">
        <v>580</v>
      </c>
      <c r="E14" s="153" t="s">
        <v>570</v>
      </c>
      <c r="F14" s="176">
        <v>20</v>
      </c>
      <c r="G14" s="177">
        <v>3</v>
      </c>
      <c r="H14" s="178"/>
      <c r="I14" s="178"/>
      <c r="J14" s="178"/>
      <c r="K14" s="178"/>
      <c r="L14" s="178"/>
      <c r="M14" s="178"/>
      <c r="N14" s="178"/>
      <c r="O14" s="178"/>
      <c r="P14" s="152"/>
      <c r="Q14" s="152"/>
      <c r="R14" s="152">
        <v>4</v>
      </c>
      <c r="S14" s="152">
        <v>64</v>
      </c>
      <c r="T14" s="179">
        <f>SUM(H14,J14,L14,N14,P14,R14)</f>
        <v>4</v>
      </c>
      <c r="U14" s="180">
        <f>SUM(I14,K14,M14,O14,Q14,S14)</f>
        <v>64</v>
      </c>
    </row>
    <row r="15" spans="2:33" ht="18" thickBot="1">
      <c r="B15" s="491"/>
      <c r="C15" s="494"/>
      <c r="D15" s="454" t="s">
        <v>16</v>
      </c>
      <c r="E15" s="455"/>
      <c r="F15" s="181">
        <v>190</v>
      </c>
      <c r="G15" s="182">
        <v>13</v>
      </c>
      <c r="H15" s="183">
        <f>SUM(H11:H14)</f>
        <v>0</v>
      </c>
      <c r="I15" s="183">
        <f>SUM(I11:I14)</f>
        <v>0</v>
      </c>
      <c r="J15" s="183">
        <f>SUM(J11:J14)</f>
        <v>0</v>
      </c>
      <c r="K15" s="183">
        <f>SUM(K11:K14)</f>
        <v>0</v>
      </c>
      <c r="L15" s="183"/>
      <c r="M15" s="183"/>
      <c r="N15" s="183"/>
      <c r="O15" s="183"/>
      <c r="P15" s="183">
        <f t="shared" ref="P15:U15" si="0">SUM(P9:P14)</f>
        <v>12</v>
      </c>
      <c r="Q15" s="183">
        <f t="shared" si="0"/>
        <v>192</v>
      </c>
      <c r="R15" s="183">
        <f t="shared" si="0"/>
        <v>10</v>
      </c>
      <c r="S15" s="183">
        <f t="shared" si="0"/>
        <v>160</v>
      </c>
      <c r="T15" s="184">
        <f t="shared" si="0"/>
        <v>22</v>
      </c>
      <c r="U15" s="185">
        <f t="shared" si="0"/>
        <v>352</v>
      </c>
    </row>
    <row r="16" spans="2:33">
      <c r="B16" s="461" t="s">
        <v>534</v>
      </c>
      <c r="C16" s="463">
        <v>14</v>
      </c>
      <c r="D16" s="154" t="s">
        <v>582</v>
      </c>
      <c r="E16" s="155" t="s">
        <v>546</v>
      </c>
      <c r="F16" s="171">
        <v>40</v>
      </c>
      <c r="G16" s="172">
        <v>2</v>
      </c>
      <c r="H16" s="186"/>
      <c r="I16" s="186"/>
      <c r="J16" s="186"/>
      <c r="K16" s="186"/>
      <c r="L16" s="156">
        <v>2</v>
      </c>
      <c r="M16" s="157">
        <v>32</v>
      </c>
      <c r="N16" s="157"/>
      <c r="O16" s="158"/>
      <c r="P16" s="186"/>
      <c r="Q16" s="186"/>
      <c r="R16" s="186"/>
      <c r="S16" s="186"/>
      <c r="T16" s="174">
        <f t="shared" ref="T16:U20" si="1">SUM(H16,J16,L16,N16,P16,R16)</f>
        <v>2</v>
      </c>
      <c r="U16" s="175">
        <f t="shared" si="1"/>
        <v>32</v>
      </c>
      <c r="W16" s="24"/>
    </row>
    <row r="17" spans="2:23">
      <c r="B17" s="448"/>
      <c r="C17" s="451"/>
      <c r="D17" s="159" t="s">
        <v>583</v>
      </c>
      <c r="E17" s="160" t="s">
        <v>547</v>
      </c>
      <c r="F17" s="187">
        <v>20</v>
      </c>
      <c r="G17" s="188">
        <v>2</v>
      </c>
      <c r="H17" s="189"/>
      <c r="I17" s="189"/>
      <c r="J17" s="189"/>
      <c r="K17" s="189"/>
      <c r="L17" s="161">
        <v>2</v>
      </c>
      <c r="M17" s="162">
        <v>32</v>
      </c>
      <c r="N17" s="162"/>
      <c r="O17" s="163"/>
      <c r="P17" s="189"/>
      <c r="Q17" s="189"/>
      <c r="R17" s="189"/>
      <c r="S17" s="189"/>
      <c r="T17" s="179">
        <f t="shared" si="1"/>
        <v>2</v>
      </c>
      <c r="U17" s="190">
        <f t="shared" si="1"/>
        <v>32</v>
      </c>
      <c r="W17" s="24"/>
    </row>
    <row r="18" spans="2:23">
      <c r="B18" s="448"/>
      <c r="C18" s="451"/>
      <c r="D18" s="159" t="s">
        <v>584</v>
      </c>
      <c r="E18" s="160" t="s">
        <v>548</v>
      </c>
      <c r="F18" s="187">
        <v>40</v>
      </c>
      <c r="G18" s="188">
        <v>2</v>
      </c>
      <c r="H18" s="189"/>
      <c r="I18" s="189"/>
      <c r="J18" s="189"/>
      <c r="K18" s="189"/>
      <c r="L18" s="161"/>
      <c r="M18" s="162"/>
      <c r="N18" s="162">
        <v>4</v>
      </c>
      <c r="O18" s="163">
        <v>64</v>
      </c>
      <c r="P18" s="189"/>
      <c r="Q18" s="189"/>
      <c r="R18" s="189"/>
      <c r="S18" s="191"/>
      <c r="T18" s="179">
        <f t="shared" si="1"/>
        <v>4</v>
      </c>
      <c r="U18" s="190">
        <f t="shared" si="1"/>
        <v>64</v>
      </c>
    </row>
    <row r="19" spans="2:23">
      <c r="B19" s="448"/>
      <c r="C19" s="451"/>
      <c r="D19" s="159" t="s">
        <v>585</v>
      </c>
      <c r="E19" s="160" t="s">
        <v>549</v>
      </c>
      <c r="F19" s="187">
        <v>40</v>
      </c>
      <c r="G19" s="188">
        <v>2</v>
      </c>
      <c r="H19" s="189"/>
      <c r="I19" s="189"/>
      <c r="J19" s="189"/>
      <c r="K19" s="189"/>
      <c r="L19" s="161"/>
      <c r="M19" s="162"/>
      <c r="N19" s="162">
        <v>4</v>
      </c>
      <c r="O19" s="163">
        <v>64</v>
      </c>
      <c r="P19" s="189"/>
      <c r="Q19" s="189"/>
      <c r="R19" s="189"/>
      <c r="S19" s="191"/>
      <c r="T19" s="179">
        <f t="shared" si="1"/>
        <v>4</v>
      </c>
      <c r="U19" s="190">
        <f t="shared" si="1"/>
        <v>64</v>
      </c>
    </row>
    <row r="20" spans="2:23">
      <c r="B20" s="462"/>
      <c r="C20" s="464"/>
      <c r="D20" s="159" t="s">
        <v>586</v>
      </c>
      <c r="E20" s="160" t="s">
        <v>550</v>
      </c>
      <c r="F20" s="176">
        <v>20</v>
      </c>
      <c r="G20" s="177">
        <v>3</v>
      </c>
      <c r="H20" s="191"/>
      <c r="I20" s="191"/>
      <c r="J20" s="191"/>
      <c r="K20" s="191"/>
      <c r="L20" s="161"/>
      <c r="M20" s="162"/>
      <c r="N20" s="162">
        <v>2</v>
      </c>
      <c r="O20" s="163">
        <v>32</v>
      </c>
      <c r="P20" s="191"/>
      <c r="Q20" s="191"/>
      <c r="R20" s="191"/>
      <c r="S20" s="191"/>
      <c r="T20" s="179">
        <f t="shared" si="1"/>
        <v>2</v>
      </c>
      <c r="U20" s="190">
        <f t="shared" si="1"/>
        <v>32</v>
      </c>
    </row>
    <row r="21" spans="2:23" ht="18" thickBot="1">
      <c r="B21" s="450"/>
      <c r="C21" s="453"/>
      <c r="D21" s="454" t="s">
        <v>16</v>
      </c>
      <c r="E21" s="488"/>
      <c r="F21" s="192">
        <v>160</v>
      </c>
      <c r="G21" s="193">
        <v>11</v>
      </c>
      <c r="H21" s="194"/>
      <c r="I21" s="194"/>
      <c r="J21" s="194"/>
      <c r="K21" s="194"/>
      <c r="L21" s="194">
        <f>SUM(L16:L20)</f>
        <v>4</v>
      </c>
      <c r="M21" s="194">
        <f>SUM(M16:M20)</f>
        <v>64</v>
      </c>
      <c r="N21" s="194">
        <f>SUM(N16:N20)</f>
        <v>10</v>
      </c>
      <c r="O21" s="194">
        <f>SUM(O16:O20)</f>
        <v>160</v>
      </c>
      <c r="P21" s="194"/>
      <c r="Q21" s="194"/>
      <c r="R21" s="194"/>
      <c r="S21" s="194"/>
      <c r="T21" s="195">
        <f>SUM(T16:T20)</f>
        <v>14</v>
      </c>
      <c r="U21" s="196">
        <f>SUM(U16:U20)</f>
        <v>224</v>
      </c>
    </row>
    <row r="22" spans="2:23">
      <c r="B22" s="456" t="s">
        <v>540</v>
      </c>
      <c r="C22" s="458">
        <v>15</v>
      </c>
      <c r="D22" s="154" t="s">
        <v>587</v>
      </c>
      <c r="E22" s="164" t="s">
        <v>551</v>
      </c>
      <c r="F22" s="171">
        <v>40</v>
      </c>
      <c r="G22" s="172">
        <v>2</v>
      </c>
      <c r="H22" s="186"/>
      <c r="I22" s="186"/>
      <c r="J22" s="186"/>
      <c r="K22" s="186"/>
      <c r="L22" s="186"/>
      <c r="M22" s="186"/>
      <c r="N22" s="186"/>
      <c r="O22" s="186"/>
      <c r="P22" s="149">
        <v>2</v>
      </c>
      <c r="Q22" s="149">
        <v>32</v>
      </c>
      <c r="R22" s="149"/>
      <c r="S22" s="149"/>
      <c r="T22" s="174">
        <f t="shared" ref="T22:U26" si="2">SUM(H22,J22,L22,N22,P22,R22)</f>
        <v>2</v>
      </c>
      <c r="U22" s="175">
        <f t="shared" si="2"/>
        <v>32</v>
      </c>
    </row>
    <row r="23" spans="2:23">
      <c r="B23" s="456"/>
      <c r="C23" s="459"/>
      <c r="D23" s="159" t="s">
        <v>596</v>
      </c>
      <c r="E23" s="165" t="s">
        <v>552</v>
      </c>
      <c r="F23" s="176">
        <v>40</v>
      </c>
      <c r="G23" s="177">
        <v>2</v>
      </c>
      <c r="H23" s="191"/>
      <c r="I23" s="191"/>
      <c r="J23" s="191"/>
      <c r="K23" s="191"/>
      <c r="L23" s="191"/>
      <c r="M23" s="191"/>
      <c r="N23" s="191"/>
      <c r="O23" s="191"/>
      <c r="P23" s="152">
        <v>2</v>
      </c>
      <c r="Q23" s="152">
        <v>32</v>
      </c>
      <c r="R23" s="152"/>
      <c r="S23" s="152"/>
      <c r="T23" s="179">
        <f t="shared" si="2"/>
        <v>2</v>
      </c>
      <c r="U23" s="180">
        <f t="shared" si="2"/>
        <v>32</v>
      </c>
    </row>
    <row r="24" spans="2:23">
      <c r="B24" s="456"/>
      <c r="C24" s="459"/>
      <c r="D24" s="159" t="s">
        <v>588</v>
      </c>
      <c r="E24" s="165" t="s">
        <v>553</v>
      </c>
      <c r="F24" s="176">
        <v>40</v>
      </c>
      <c r="G24" s="177">
        <v>2</v>
      </c>
      <c r="H24" s="191"/>
      <c r="I24" s="191"/>
      <c r="J24" s="191"/>
      <c r="K24" s="191"/>
      <c r="L24" s="191"/>
      <c r="M24" s="191"/>
      <c r="N24" s="191"/>
      <c r="O24" s="191"/>
      <c r="P24" s="152"/>
      <c r="Q24" s="152"/>
      <c r="R24" s="152">
        <v>4</v>
      </c>
      <c r="S24" s="152">
        <v>64</v>
      </c>
      <c r="T24" s="179">
        <f t="shared" si="2"/>
        <v>4</v>
      </c>
      <c r="U24" s="180">
        <f t="shared" si="2"/>
        <v>64</v>
      </c>
    </row>
    <row r="25" spans="2:23">
      <c r="B25" s="456"/>
      <c r="C25" s="459"/>
      <c r="D25" s="159" t="s">
        <v>589</v>
      </c>
      <c r="E25" s="165" t="s">
        <v>554</v>
      </c>
      <c r="F25" s="176">
        <v>40</v>
      </c>
      <c r="G25" s="177">
        <v>2</v>
      </c>
      <c r="H25" s="191"/>
      <c r="I25" s="191"/>
      <c r="J25" s="191"/>
      <c r="K25" s="191"/>
      <c r="L25" s="191"/>
      <c r="M25" s="191"/>
      <c r="N25" s="191"/>
      <c r="O25" s="191"/>
      <c r="P25" s="152"/>
      <c r="Q25" s="152"/>
      <c r="R25" s="152">
        <v>3</v>
      </c>
      <c r="S25" s="152">
        <v>48</v>
      </c>
      <c r="T25" s="179">
        <f t="shared" si="2"/>
        <v>3</v>
      </c>
      <c r="U25" s="180">
        <f t="shared" si="2"/>
        <v>48</v>
      </c>
    </row>
    <row r="26" spans="2:23">
      <c r="B26" s="456"/>
      <c r="C26" s="459"/>
      <c r="D26" s="166" t="s">
        <v>597</v>
      </c>
      <c r="E26" s="167" t="s">
        <v>555</v>
      </c>
      <c r="F26" s="176">
        <v>45</v>
      </c>
      <c r="G26" s="177">
        <v>2</v>
      </c>
      <c r="H26" s="191"/>
      <c r="I26" s="191"/>
      <c r="J26" s="191"/>
      <c r="K26" s="191"/>
      <c r="L26" s="191"/>
      <c r="M26" s="191"/>
      <c r="N26" s="191"/>
      <c r="O26" s="191"/>
      <c r="P26" s="152"/>
      <c r="Q26" s="152"/>
      <c r="R26" s="152">
        <v>4</v>
      </c>
      <c r="S26" s="152">
        <v>64</v>
      </c>
      <c r="T26" s="179">
        <f t="shared" si="2"/>
        <v>4</v>
      </c>
      <c r="U26" s="180">
        <f t="shared" si="2"/>
        <v>64</v>
      </c>
    </row>
    <row r="27" spans="2:23" ht="18" thickBot="1">
      <c r="B27" s="457"/>
      <c r="C27" s="460"/>
      <c r="D27" s="454" t="s">
        <v>16</v>
      </c>
      <c r="E27" s="455"/>
      <c r="F27" s="192">
        <v>205</v>
      </c>
      <c r="G27" s="193">
        <v>10</v>
      </c>
      <c r="H27" s="194"/>
      <c r="I27" s="194"/>
      <c r="J27" s="194"/>
      <c r="K27" s="194"/>
      <c r="L27" s="194"/>
      <c r="M27" s="194"/>
      <c r="N27" s="194"/>
      <c r="O27" s="194"/>
      <c r="P27" s="194">
        <f t="shared" ref="P27:U27" si="3">SUM(P22:P26)</f>
        <v>4</v>
      </c>
      <c r="Q27" s="194">
        <f t="shared" si="3"/>
        <v>64</v>
      </c>
      <c r="R27" s="194">
        <f t="shared" si="3"/>
        <v>11</v>
      </c>
      <c r="S27" s="194">
        <f t="shared" si="3"/>
        <v>176</v>
      </c>
      <c r="T27" s="194">
        <f t="shared" si="3"/>
        <v>15</v>
      </c>
      <c r="U27" s="197">
        <f t="shared" si="3"/>
        <v>240</v>
      </c>
    </row>
    <row r="28" spans="2:23">
      <c r="B28" s="461" t="s">
        <v>519</v>
      </c>
      <c r="C28" s="463">
        <v>8</v>
      </c>
      <c r="D28" s="147" t="s">
        <v>590</v>
      </c>
      <c r="E28" s="148" t="s">
        <v>556</v>
      </c>
      <c r="F28" s="171">
        <v>20</v>
      </c>
      <c r="G28" s="198">
        <v>3</v>
      </c>
      <c r="H28" s="186"/>
      <c r="I28" s="186"/>
      <c r="J28" s="186"/>
      <c r="K28" s="186"/>
      <c r="L28" s="168"/>
      <c r="M28" s="168"/>
      <c r="N28" s="168">
        <v>2</v>
      </c>
      <c r="O28" s="168">
        <v>32</v>
      </c>
      <c r="P28" s="186"/>
      <c r="Q28" s="186"/>
      <c r="R28" s="186"/>
      <c r="S28" s="186"/>
      <c r="T28" s="174">
        <f t="shared" ref="T28:U31" si="4">SUM(H28,J28,L28,N28,P28,R28)</f>
        <v>2</v>
      </c>
      <c r="U28" s="175">
        <f t="shared" si="4"/>
        <v>32</v>
      </c>
    </row>
    <row r="29" spans="2:23">
      <c r="B29" s="462"/>
      <c r="C29" s="464"/>
      <c r="D29" s="169" t="s">
        <v>591</v>
      </c>
      <c r="E29" s="151" t="s">
        <v>557</v>
      </c>
      <c r="F29" s="176">
        <v>20</v>
      </c>
      <c r="G29" s="177">
        <v>2</v>
      </c>
      <c r="H29" s="191"/>
      <c r="I29" s="191"/>
      <c r="J29" s="191"/>
      <c r="K29" s="191"/>
      <c r="L29" s="170"/>
      <c r="M29" s="170"/>
      <c r="N29" s="170">
        <v>2</v>
      </c>
      <c r="O29" s="170">
        <v>32</v>
      </c>
      <c r="P29" s="191"/>
      <c r="Q29" s="191"/>
      <c r="R29" s="191"/>
      <c r="S29" s="191"/>
      <c r="T29" s="179">
        <f t="shared" si="4"/>
        <v>2</v>
      </c>
      <c r="U29" s="180">
        <f t="shared" si="4"/>
        <v>32</v>
      </c>
    </row>
    <row r="30" spans="2:23">
      <c r="B30" s="462"/>
      <c r="C30" s="464"/>
      <c r="D30" s="150" t="s">
        <v>592</v>
      </c>
      <c r="E30" s="151" t="s">
        <v>558</v>
      </c>
      <c r="F30" s="176">
        <v>40</v>
      </c>
      <c r="G30" s="177">
        <v>3</v>
      </c>
      <c r="H30" s="191"/>
      <c r="I30" s="191"/>
      <c r="J30" s="191"/>
      <c r="K30" s="191"/>
      <c r="L30" s="170">
        <v>2</v>
      </c>
      <c r="M30" s="170">
        <v>32</v>
      </c>
      <c r="N30" s="170"/>
      <c r="O30" s="170"/>
      <c r="P30" s="191"/>
      <c r="Q30" s="191"/>
      <c r="R30" s="191"/>
      <c r="S30" s="191"/>
      <c r="T30" s="179">
        <f t="shared" si="4"/>
        <v>2</v>
      </c>
      <c r="U30" s="180">
        <f t="shared" si="4"/>
        <v>32</v>
      </c>
    </row>
    <row r="31" spans="2:23">
      <c r="B31" s="462"/>
      <c r="C31" s="464"/>
      <c r="D31" s="150" t="s">
        <v>559</v>
      </c>
      <c r="E31" s="151" t="s">
        <v>560</v>
      </c>
      <c r="F31" s="176">
        <v>40</v>
      </c>
      <c r="G31" s="177">
        <v>3</v>
      </c>
      <c r="H31" s="191"/>
      <c r="I31" s="191"/>
      <c r="J31" s="191"/>
      <c r="K31" s="191"/>
      <c r="L31" s="170">
        <v>2</v>
      </c>
      <c r="M31" s="170">
        <v>32</v>
      </c>
      <c r="N31" s="170"/>
      <c r="O31" s="170"/>
      <c r="P31" s="191"/>
      <c r="Q31" s="191"/>
      <c r="R31" s="191"/>
      <c r="S31" s="191"/>
      <c r="T31" s="179">
        <f t="shared" si="4"/>
        <v>2</v>
      </c>
      <c r="U31" s="180">
        <f t="shared" si="4"/>
        <v>32</v>
      </c>
    </row>
    <row r="32" spans="2:23" ht="18" thickBot="1">
      <c r="B32" s="450"/>
      <c r="C32" s="453"/>
      <c r="D32" s="454" t="s">
        <v>16</v>
      </c>
      <c r="E32" s="455"/>
      <c r="F32" s="192">
        <v>120</v>
      </c>
      <c r="G32" s="193">
        <v>11</v>
      </c>
      <c r="H32" s="194"/>
      <c r="I32" s="194"/>
      <c r="J32" s="194"/>
      <c r="K32" s="194"/>
      <c r="L32" s="194">
        <f>SUM(L30:L31)</f>
        <v>4</v>
      </c>
      <c r="M32" s="194">
        <f>SUM(M30:M31)</f>
        <v>64</v>
      </c>
      <c r="N32" s="194">
        <f>SUM(N28:N31)</f>
        <v>4</v>
      </c>
      <c r="O32" s="194">
        <f>SUM(O28:O31)</f>
        <v>64</v>
      </c>
      <c r="P32" s="194"/>
      <c r="Q32" s="194"/>
      <c r="R32" s="194"/>
      <c r="S32" s="194"/>
      <c r="T32" s="195">
        <f>SUM(T28:T31)</f>
        <v>8</v>
      </c>
      <c r="U32" s="196">
        <f>SUM(U28:U31)</f>
        <v>128</v>
      </c>
    </row>
    <row r="33" spans="2:21">
      <c r="B33" s="448" t="s">
        <v>522</v>
      </c>
      <c r="C33" s="451">
        <v>12</v>
      </c>
      <c r="D33" s="154" t="s">
        <v>593</v>
      </c>
      <c r="E33" s="164" t="s">
        <v>561</v>
      </c>
      <c r="F33" s="171">
        <v>20</v>
      </c>
      <c r="G33" s="172">
        <v>2</v>
      </c>
      <c r="H33" s="186"/>
      <c r="I33" s="186"/>
      <c r="J33" s="186"/>
      <c r="K33" s="186"/>
      <c r="L33" s="186"/>
      <c r="M33" s="186"/>
      <c r="N33" s="186"/>
      <c r="O33" s="186"/>
      <c r="P33" s="149">
        <v>4</v>
      </c>
      <c r="Q33" s="149">
        <v>64</v>
      </c>
      <c r="R33" s="149"/>
      <c r="S33" s="149"/>
      <c r="T33" s="174">
        <f t="shared" ref="T33:U36" si="5">SUM(H33,J33,L33,N33,P33,R33)</f>
        <v>4</v>
      </c>
      <c r="U33" s="175">
        <f t="shared" si="5"/>
        <v>64</v>
      </c>
    </row>
    <row r="34" spans="2:21">
      <c r="B34" s="448"/>
      <c r="C34" s="451"/>
      <c r="D34" s="159" t="s">
        <v>594</v>
      </c>
      <c r="E34" s="165" t="s">
        <v>562</v>
      </c>
      <c r="F34" s="176">
        <v>20</v>
      </c>
      <c r="G34" s="177">
        <v>2</v>
      </c>
      <c r="H34" s="191"/>
      <c r="I34" s="191"/>
      <c r="J34" s="191"/>
      <c r="K34" s="191"/>
      <c r="L34" s="191"/>
      <c r="M34" s="191"/>
      <c r="N34" s="191"/>
      <c r="O34" s="191"/>
      <c r="P34" s="152">
        <v>2</v>
      </c>
      <c r="Q34" s="152">
        <v>32</v>
      </c>
      <c r="R34" s="152"/>
      <c r="S34" s="152"/>
      <c r="T34" s="179">
        <f t="shared" si="5"/>
        <v>2</v>
      </c>
      <c r="U34" s="180">
        <f t="shared" si="5"/>
        <v>32</v>
      </c>
    </row>
    <row r="35" spans="2:21">
      <c r="B35" s="449"/>
      <c r="C35" s="452"/>
      <c r="D35" s="159" t="s">
        <v>563</v>
      </c>
      <c r="E35" s="165" t="s">
        <v>564</v>
      </c>
      <c r="F35" s="176">
        <v>50</v>
      </c>
      <c r="G35" s="177">
        <v>4</v>
      </c>
      <c r="H35" s="191"/>
      <c r="I35" s="191"/>
      <c r="J35" s="191"/>
      <c r="K35" s="191"/>
      <c r="L35" s="191"/>
      <c r="M35" s="191"/>
      <c r="N35" s="191"/>
      <c r="O35" s="191"/>
      <c r="P35" s="152"/>
      <c r="Q35" s="152"/>
      <c r="R35" s="152">
        <v>4</v>
      </c>
      <c r="S35" s="152">
        <v>64</v>
      </c>
      <c r="T35" s="179">
        <f t="shared" si="5"/>
        <v>4</v>
      </c>
      <c r="U35" s="180">
        <f t="shared" si="5"/>
        <v>64</v>
      </c>
    </row>
    <row r="36" spans="2:21">
      <c r="B36" s="449"/>
      <c r="C36" s="452"/>
      <c r="D36" s="159" t="s">
        <v>595</v>
      </c>
      <c r="E36" s="165" t="s">
        <v>565</v>
      </c>
      <c r="F36" s="176">
        <v>20</v>
      </c>
      <c r="G36" s="177">
        <v>2</v>
      </c>
      <c r="H36" s="191"/>
      <c r="I36" s="191"/>
      <c r="J36" s="191"/>
      <c r="K36" s="191"/>
      <c r="L36" s="191"/>
      <c r="M36" s="191"/>
      <c r="N36" s="191"/>
      <c r="O36" s="191"/>
      <c r="P36" s="152"/>
      <c r="Q36" s="152"/>
      <c r="R36" s="152">
        <v>2</v>
      </c>
      <c r="S36" s="152">
        <v>32</v>
      </c>
      <c r="T36" s="179">
        <f t="shared" si="5"/>
        <v>2</v>
      </c>
      <c r="U36" s="180">
        <f t="shared" si="5"/>
        <v>32</v>
      </c>
    </row>
    <row r="37" spans="2:21" ht="18" thickBot="1">
      <c r="B37" s="450"/>
      <c r="C37" s="453"/>
      <c r="D37" s="454" t="s">
        <v>16</v>
      </c>
      <c r="E37" s="455"/>
      <c r="F37" s="199">
        <v>110</v>
      </c>
      <c r="G37" s="200">
        <v>10</v>
      </c>
      <c r="H37" s="201"/>
      <c r="I37" s="201"/>
      <c r="J37" s="201"/>
      <c r="K37" s="201"/>
      <c r="L37" s="201"/>
      <c r="M37" s="201"/>
      <c r="N37" s="201"/>
      <c r="O37" s="201"/>
      <c r="P37" s="201">
        <f t="shared" ref="P37:U37" si="6">SUM(P33:P36)</f>
        <v>6</v>
      </c>
      <c r="Q37" s="201">
        <f t="shared" si="6"/>
        <v>96</v>
      </c>
      <c r="R37" s="201">
        <f t="shared" si="6"/>
        <v>6</v>
      </c>
      <c r="S37" s="201">
        <f t="shared" si="6"/>
        <v>96</v>
      </c>
      <c r="T37" s="202">
        <f t="shared" si="6"/>
        <v>12</v>
      </c>
      <c r="U37" s="203">
        <f t="shared" si="6"/>
        <v>192</v>
      </c>
    </row>
  </sheetData>
  <mergeCells count="42">
    <mergeCell ref="B5:C5"/>
    <mergeCell ref="B2:U2"/>
    <mergeCell ref="N3:P3"/>
    <mergeCell ref="Q3:S3"/>
    <mergeCell ref="T3:U3"/>
    <mergeCell ref="N4:P4"/>
    <mergeCell ref="Q4:S4"/>
    <mergeCell ref="T4:U4"/>
    <mergeCell ref="B16:B21"/>
    <mergeCell ref="C16:C21"/>
    <mergeCell ref="D21:E21"/>
    <mergeCell ref="D15:E15"/>
    <mergeCell ref="B9:B15"/>
    <mergeCell ref="C9:C15"/>
    <mergeCell ref="B6:B8"/>
    <mergeCell ref="C6:C8"/>
    <mergeCell ref="D6:D8"/>
    <mergeCell ref="E6:E8"/>
    <mergeCell ref="F6:F8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R7:S7"/>
    <mergeCell ref="P7:Q7"/>
    <mergeCell ref="P6:S6"/>
    <mergeCell ref="T6:T8"/>
    <mergeCell ref="B33:B37"/>
    <mergeCell ref="C33:C37"/>
    <mergeCell ref="D37:E37"/>
    <mergeCell ref="B22:B27"/>
    <mergeCell ref="C22:C27"/>
    <mergeCell ref="D27:E27"/>
    <mergeCell ref="B28:B32"/>
    <mergeCell ref="C28:C32"/>
    <mergeCell ref="D32:E32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63" activePane="bottomLeft" state="frozen"/>
      <selection pane="bottomLeft" activeCell="E86" sqref="E86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337</v>
      </c>
      <c r="G2" s="5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337</v>
      </c>
      <c r="G3" s="5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340</v>
      </c>
      <c r="G4" s="5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340</v>
      </c>
      <c r="G5" s="5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340</v>
      </c>
      <c r="G6" s="5"/>
      <c r="H6" s="3" t="s">
        <v>78</v>
      </c>
      <c r="I6" s="3" t="s">
        <v>157</v>
      </c>
      <c r="J6" s="3" t="s">
        <v>168</v>
      </c>
      <c r="K6" s="3" t="s">
        <v>168</v>
      </c>
      <c r="L6" s="8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340</v>
      </c>
      <c r="G7" s="5"/>
      <c r="H7" s="3" t="s">
        <v>79</v>
      </c>
      <c r="I7" s="3" t="s">
        <v>163</v>
      </c>
      <c r="J7" s="3" t="s">
        <v>94</v>
      </c>
      <c r="K7" s="3" t="s">
        <v>94</v>
      </c>
      <c r="L7" s="5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340</v>
      </c>
      <c r="G8" s="5"/>
      <c r="H8" s="3" t="s">
        <v>80</v>
      </c>
      <c r="I8" s="3" t="s">
        <v>158</v>
      </c>
      <c r="J8" s="3" t="s">
        <v>169</v>
      </c>
      <c r="K8" s="3" t="s">
        <v>169</v>
      </c>
      <c r="L8" s="5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340</v>
      </c>
      <c r="G9" s="5"/>
      <c r="H9" s="3" t="s">
        <v>81</v>
      </c>
      <c r="I9" s="3" t="s">
        <v>68</v>
      </c>
      <c r="J9" s="3" t="s">
        <v>170</v>
      </c>
      <c r="K9" s="3" t="s">
        <v>170</v>
      </c>
      <c r="L9" s="5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7" t="s">
        <v>340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7" t="s">
        <v>340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7" t="s">
        <v>340</v>
      </c>
      <c r="G12" s="5"/>
      <c r="H12" s="3" t="s">
        <v>84</v>
      </c>
      <c r="I12" s="3" t="s">
        <v>159</v>
      </c>
      <c r="J12" s="3" t="s">
        <v>96</v>
      </c>
      <c r="K12" s="3" t="s">
        <v>96</v>
      </c>
      <c r="L12" s="5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337</v>
      </c>
      <c r="G13" s="5"/>
      <c r="H13" s="3" t="s">
        <v>85</v>
      </c>
      <c r="I13" s="3" t="s">
        <v>71</v>
      </c>
      <c r="J13" s="3" t="s">
        <v>171</v>
      </c>
      <c r="K13" s="3" t="s">
        <v>171</v>
      </c>
      <c r="L13" s="5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337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340</v>
      </c>
      <c r="G15" s="5"/>
      <c r="H15" s="3" t="s">
        <v>87</v>
      </c>
      <c r="I15" s="3" t="s">
        <v>160</v>
      </c>
      <c r="J15" s="3" t="s">
        <v>172</v>
      </c>
      <c r="K15" s="3" t="s">
        <v>172</v>
      </c>
      <c r="L15" s="5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340</v>
      </c>
      <c r="G16" s="5"/>
      <c r="H16" s="3" t="s">
        <v>88</v>
      </c>
      <c r="I16" s="3" t="s">
        <v>161</v>
      </c>
      <c r="J16" s="3" t="s">
        <v>173</v>
      </c>
      <c r="K16" s="3" t="s">
        <v>173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340</v>
      </c>
      <c r="G17" s="5"/>
      <c r="H17" s="3" t="s">
        <v>89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340</v>
      </c>
      <c r="G18" s="5"/>
      <c r="H18" s="3" t="s">
        <v>90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340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340</v>
      </c>
      <c r="G20" s="5"/>
      <c r="J20" s="3" t="s">
        <v>176</v>
      </c>
      <c r="K20" s="3" t="s">
        <v>176</v>
      </c>
      <c r="L20" s="5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340</v>
      </c>
      <c r="G21" s="5"/>
      <c r="J21" s="3" t="s">
        <v>98</v>
      </c>
      <c r="K21" s="3" t="s">
        <v>98</v>
      </c>
      <c r="L21" s="5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7" t="s">
        <v>340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7" t="s">
        <v>340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7" t="s">
        <v>340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7" t="s">
        <v>340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337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340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340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340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340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340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340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340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340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7" t="s">
        <v>340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7" t="s">
        <v>340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7" t="s">
        <v>340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7" t="s">
        <v>340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361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7" t="s">
        <v>361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337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337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7" t="s">
        <v>340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7" t="s">
        <v>340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7" t="s">
        <v>340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340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340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340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340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340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340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340</v>
      </c>
      <c r="G52" s="5"/>
      <c r="H52" s="5"/>
      <c r="I52" s="5"/>
      <c r="J52" s="5" t="s">
        <v>191</v>
      </c>
      <c r="K52" s="5" t="s">
        <v>191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340</v>
      </c>
      <c r="G53" s="5"/>
      <c r="H53" s="5"/>
      <c r="I53" s="5"/>
      <c r="J53" s="5" t="s">
        <v>192</v>
      </c>
      <c r="K53" s="5" t="s">
        <v>192</v>
      </c>
      <c r="L53" s="5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340</v>
      </c>
      <c r="G54" s="5"/>
      <c r="H54" s="5"/>
      <c r="I54" s="5"/>
      <c r="J54" s="5" t="s">
        <v>193</v>
      </c>
      <c r="K54" s="5" t="s">
        <v>193</v>
      </c>
      <c r="L54" s="5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340</v>
      </c>
      <c r="G55" s="5"/>
      <c r="H55" s="5"/>
      <c r="I55" s="5"/>
      <c r="J55" s="5" t="s">
        <v>195</v>
      </c>
      <c r="K55" s="5" t="s">
        <v>195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7" t="s">
        <v>340</v>
      </c>
      <c r="G56" s="5"/>
      <c r="H56" s="5"/>
      <c r="I56" s="5"/>
      <c r="J56" s="5" t="s">
        <v>194</v>
      </c>
      <c r="K56" s="5" t="s">
        <v>194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7" t="s">
        <v>340</v>
      </c>
      <c r="G57" s="5"/>
      <c r="H57" s="5"/>
      <c r="I57" s="5"/>
      <c r="J57" s="5" t="s">
        <v>196</v>
      </c>
      <c r="K57" s="5" t="s">
        <v>196</v>
      </c>
      <c r="L57" s="5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7" t="s">
        <v>340</v>
      </c>
      <c r="G58" s="5"/>
      <c r="H58" s="5"/>
      <c r="I58" s="5"/>
      <c r="J58" s="5" t="s">
        <v>197</v>
      </c>
      <c r="K58" s="5" t="s">
        <v>197</v>
      </c>
      <c r="L58" s="5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7" t="s">
        <v>340</v>
      </c>
      <c r="G59" s="5"/>
      <c r="H59" s="5"/>
      <c r="I59" s="5"/>
      <c r="J59" s="5" t="s">
        <v>198</v>
      </c>
      <c r="K59" s="5" t="s">
        <v>198</v>
      </c>
      <c r="L59" s="5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337</v>
      </c>
      <c r="G62" s="5"/>
      <c r="H62" s="5"/>
      <c r="I62" s="5"/>
      <c r="L62" s="5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7" t="s">
        <v>337</v>
      </c>
      <c r="G63" s="5"/>
      <c r="H63" s="5"/>
      <c r="I63" s="5"/>
      <c r="J63" s="3"/>
      <c r="K63" s="3"/>
      <c r="L63" s="5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337</v>
      </c>
      <c r="G64" s="5"/>
      <c r="H64" s="5"/>
      <c r="I64" s="5"/>
      <c r="L64" s="5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337</v>
      </c>
      <c r="G65" s="5"/>
      <c r="H65" s="5"/>
      <c r="I65" s="5"/>
      <c r="J65" s="3"/>
      <c r="K65" s="3"/>
      <c r="L65" s="5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340</v>
      </c>
      <c r="G69" s="5"/>
      <c r="H69" s="5"/>
      <c r="I69" s="5"/>
      <c r="L69" s="5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340</v>
      </c>
      <c r="G70" s="5"/>
      <c r="H70" s="5"/>
      <c r="I70" s="5"/>
      <c r="L70" s="5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340</v>
      </c>
      <c r="G71" s="5"/>
      <c r="H71" s="5"/>
      <c r="I71" s="5"/>
      <c r="L71" s="5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340</v>
      </c>
      <c r="G72" s="5"/>
      <c r="H72" s="5"/>
      <c r="I72" s="5"/>
      <c r="L72" s="5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340</v>
      </c>
      <c r="G73" s="5"/>
      <c r="H73" s="5"/>
      <c r="I73" s="5"/>
      <c r="L73" s="5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340</v>
      </c>
      <c r="G74" s="5"/>
      <c r="H74" s="5"/>
      <c r="I74" s="5"/>
      <c r="L74" s="5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340</v>
      </c>
      <c r="G75" s="5"/>
      <c r="H75" s="5"/>
      <c r="I75" s="5"/>
      <c r="L75" s="5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340</v>
      </c>
      <c r="G76" s="5"/>
      <c r="H76" s="5"/>
      <c r="I76" s="5"/>
      <c r="L76" s="5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340</v>
      </c>
      <c r="G77" s="5"/>
      <c r="H77" s="5"/>
      <c r="I77" s="5"/>
      <c r="L77" s="5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7" t="s">
        <v>340</v>
      </c>
      <c r="G78" s="5"/>
      <c r="H78" s="5"/>
      <c r="I78" s="5"/>
      <c r="L78" s="5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7" t="s">
        <v>340</v>
      </c>
      <c r="G79" s="5"/>
      <c r="H79" s="5"/>
      <c r="I79" s="5"/>
      <c r="L79" s="5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7" t="s">
        <v>340</v>
      </c>
      <c r="G80" s="5"/>
      <c r="H80" s="5"/>
      <c r="I80" s="5"/>
      <c r="L80" s="5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347</v>
      </c>
      <c r="G81" s="5"/>
      <c r="H81" s="5"/>
      <c r="I81" s="5"/>
      <c r="L81" s="5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347</v>
      </c>
      <c r="G82" s="5"/>
      <c r="H82" s="5"/>
      <c r="I82" s="5"/>
      <c r="L82" s="5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347</v>
      </c>
      <c r="G83" s="5"/>
      <c r="H83" s="5"/>
      <c r="I83" s="5"/>
      <c r="L83" s="5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347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349</v>
      </c>
      <c r="G85" s="5"/>
      <c r="H85" s="5"/>
      <c r="I85" s="5"/>
      <c r="J85" s="5"/>
      <c r="K85" s="5"/>
      <c r="L85" s="5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7" t="s">
        <v>347</v>
      </c>
      <c r="G86" s="5"/>
      <c r="H86" s="5"/>
      <c r="I86" s="5"/>
      <c r="J86" s="5"/>
      <c r="K86" s="5"/>
      <c r="L86" s="5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7" t="s">
        <v>349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347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347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347</v>
      </c>
      <c r="G90" s="5"/>
      <c r="H90" s="5"/>
      <c r="I90" s="5"/>
      <c r="J90" s="5"/>
      <c r="K90" s="5"/>
      <c r="L90" s="5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7" t="s">
        <v>347</v>
      </c>
      <c r="G91" s="5"/>
      <c r="H91" s="5"/>
      <c r="I91" s="5"/>
      <c r="J91" s="5"/>
      <c r="K91" s="5"/>
      <c r="L91" s="5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7" t="s">
        <v>347</v>
      </c>
      <c r="G92" s="5"/>
      <c r="H92" s="5"/>
      <c r="I92" s="5"/>
      <c r="J92" s="5"/>
      <c r="K92" s="5"/>
      <c r="L92" s="5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7" t="s">
        <v>347</v>
      </c>
      <c r="G93" s="5"/>
      <c r="H93" s="5"/>
      <c r="I93" s="5"/>
      <c r="J93" s="5"/>
      <c r="K93" s="5"/>
      <c r="L93" s="5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7" t="s">
        <v>347</v>
      </c>
      <c r="G94" s="5"/>
      <c r="H94" s="5"/>
      <c r="I94" s="5"/>
      <c r="J94" s="5"/>
      <c r="K94" s="5"/>
      <c r="L94" s="5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7" t="s">
        <v>347</v>
      </c>
      <c r="G95" s="5"/>
      <c r="H95" s="5"/>
      <c r="I95" s="5"/>
      <c r="J95" s="5"/>
      <c r="K95" s="5"/>
      <c r="L95" s="5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7" t="s">
        <v>347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7" t="s">
        <v>349</v>
      </c>
      <c r="G106" s="5"/>
      <c r="H106" s="5"/>
      <c r="I106" s="5"/>
      <c r="J106" s="5"/>
      <c r="K106" s="5"/>
      <c r="L106" s="5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347</v>
      </c>
      <c r="G141" s="5"/>
      <c r="H141" s="5"/>
      <c r="I141" s="5"/>
      <c r="J141" s="5"/>
      <c r="K141" s="5"/>
      <c r="L141" s="5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347</v>
      </c>
      <c r="G142" s="5"/>
      <c r="H142" s="5"/>
      <c r="I142" s="5"/>
      <c r="J142" s="5"/>
      <c r="K142" s="5"/>
      <c r="L142" s="5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347</v>
      </c>
      <c r="G143" s="5"/>
      <c r="H143" s="5"/>
      <c r="I143" s="5"/>
      <c r="J143" s="5"/>
      <c r="K143" s="5"/>
      <c r="L143" s="5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347</v>
      </c>
      <c r="G144" s="5"/>
      <c r="H144" s="5"/>
      <c r="I144" s="5"/>
      <c r="J144" s="5"/>
      <c r="K144" s="5"/>
      <c r="L144" s="5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347</v>
      </c>
      <c r="G145" s="5"/>
      <c r="H145" s="5"/>
      <c r="I145" s="5"/>
      <c r="J145" s="5"/>
      <c r="K145" s="5"/>
      <c r="L145" s="5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347</v>
      </c>
      <c r="G146" s="5"/>
      <c r="H146" s="5"/>
      <c r="I146" s="5"/>
      <c r="J146" s="5"/>
      <c r="K146" s="5"/>
      <c r="L146" s="5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347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347</v>
      </c>
      <c r="G148" s="5"/>
      <c r="H148" s="5"/>
      <c r="I148" s="5"/>
      <c r="J148" s="5"/>
      <c r="K148" s="5"/>
      <c r="L148" s="5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7" t="s">
        <v>347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7" t="s">
        <v>347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42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36" customWidth="1"/>
    <col min="2" max="2" width="7.5" style="36" customWidth="1"/>
    <col min="3" max="3" width="0.8984375" style="36" customWidth="1"/>
    <col min="4" max="4" width="4" style="36" customWidth="1"/>
    <col min="5" max="5" width="5.8984375" style="36" customWidth="1"/>
    <col min="6" max="6" width="5.59765625" style="36" customWidth="1"/>
    <col min="7" max="7" width="11.19921875" style="36" customWidth="1"/>
    <col min="8" max="8" width="9.09765625" style="36" customWidth="1"/>
    <col min="9" max="9" width="12.69921875" style="36" customWidth="1"/>
    <col min="10" max="10" width="1.3984375" style="36" customWidth="1"/>
    <col min="11" max="11" width="1" style="36" customWidth="1"/>
    <col min="12" max="12" width="10.69921875" style="36" customWidth="1"/>
    <col min="13" max="13" width="10.09765625" style="36" customWidth="1"/>
    <col min="14" max="14" width="16.59765625" style="36" customWidth="1"/>
    <col min="15" max="15" width="8.3984375" style="36" customWidth="1"/>
    <col min="16" max="16" width="9.5" style="36" customWidth="1"/>
    <col min="17" max="17" width="1.19921875" style="36" customWidth="1"/>
    <col min="18" max="18" width="0.5" style="36" customWidth="1"/>
    <col min="19" max="26" width="0" style="36" hidden="1" customWidth="1"/>
    <col min="27" max="16384" width="11" style="36" hidden="1"/>
  </cols>
  <sheetData>
    <row r="1" spans="2:26" ht="15.6"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2:26" ht="36.6" thickBot="1">
      <c r="B2" s="563" t="s">
        <v>364</v>
      </c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35"/>
      <c r="S2" s="35"/>
      <c r="T2" s="35"/>
      <c r="U2" s="35"/>
      <c r="V2" s="35"/>
      <c r="W2" s="35"/>
      <c r="X2" s="35"/>
      <c r="Y2" s="35"/>
      <c r="Z2" s="35"/>
    </row>
    <row r="3" spans="2:26" ht="24" customHeight="1" thickBot="1">
      <c r="B3" s="37" t="s">
        <v>365</v>
      </c>
      <c r="C3" s="565" t="s">
        <v>366</v>
      </c>
      <c r="D3" s="566"/>
      <c r="E3" s="566"/>
      <c r="F3" s="566"/>
      <c r="G3" s="566"/>
      <c r="H3" s="566"/>
      <c r="I3" s="566"/>
      <c r="J3" s="567"/>
      <c r="K3" s="568" t="s">
        <v>367</v>
      </c>
      <c r="L3" s="569"/>
      <c r="M3" s="569"/>
      <c r="N3" s="569"/>
      <c r="O3" s="569"/>
      <c r="P3" s="569"/>
      <c r="Q3" s="570"/>
      <c r="R3" s="35"/>
      <c r="S3" s="35"/>
      <c r="T3" s="35"/>
      <c r="U3" s="35"/>
      <c r="V3" s="35"/>
      <c r="W3" s="35"/>
      <c r="X3" s="35"/>
      <c r="Y3" s="35"/>
      <c r="Z3" s="35"/>
    </row>
    <row r="4" spans="2:26" ht="15.6">
      <c r="B4" s="528" t="s">
        <v>368</v>
      </c>
      <c r="C4" s="38" t="s">
        <v>369</v>
      </c>
      <c r="D4" s="39"/>
      <c r="E4" s="39"/>
      <c r="F4" s="39"/>
      <c r="G4" s="39"/>
      <c r="H4" s="39"/>
      <c r="I4" s="39"/>
      <c r="J4" s="40"/>
      <c r="K4" s="41" t="s">
        <v>369</v>
      </c>
      <c r="L4" s="39"/>
      <c r="M4" s="39"/>
      <c r="N4" s="39"/>
      <c r="O4" s="39"/>
      <c r="P4" s="39"/>
      <c r="Q4" s="40"/>
      <c r="R4" s="35"/>
      <c r="S4" s="35"/>
      <c r="T4" s="35"/>
      <c r="U4" s="35"/>
      <c r="V4" s="35"/>
      <c r="W4" s="35"/>
      <c r="X4" s="35"/>
      <c r="Y4" s="35"/>
      <c r="Z4" s="35"/>
    </row>
    <row r="5" spans="2:26" ht="18.75" customHeight="1">
      <c r="B5" s="515"/>
      <c r="C5" s="42"/>
      <c r="D5" s="534" t="s">
        <v>370</v>
      </c>
      <c r="E5" s="523"/>
      <c r="F5" s="523"/>
      <c r="G5" s="522"/>
      <c r="H5" s="538" t="s">
        <v>371</v>
      </c>
      <c r="I5" s="523"/>
      <c r="J5" s="43"/>
      <c r="K5" s="44"/>
      <c r="L5" s="534" t="s">
        <v>370</v>
      </c>
      <c r="M5" s="523"/>
      <c r="N5" s="522"/>
      <c r="O5" s="538" t="s">
        <v>372</v>
      </c>
      <c r="P5" s="523"/>
      <c r="Q5" s="43"/>
      <c r="R5" s="35"/>
      <c r="S5" s="35"/>
      <c r="T5" s="35"/>
      <c r="U5" s="35"/>
      <c r="V5" s="35"/>
      <c r="W5" s="35"/>
      <c r="X5" s="35"/>
      <c r="Y5" s="35"/>
      <c r="Z5" s="35"/>
    </row>
    <row r="6" spans="2:26" ht="18.75" customHeight="1">
      <c r="B6" s="515"/>
      <c r="C6" s="42"/>
      <c r="D6" s="534" t="s">
        <v>373</v>
      </c>
      <c r="E6" s="523"/>
      <c r="F6" s="523"/>
      <c r="G6" s="522"/>
      <c r="H6" s="538" t="s">
        <v>374</v>
      </c>
      <c r="I6" s="523"/>
      <c r="J6" s="43"/>
      <c r="K6" s="44"/>
      <c r="L6" s="534" t="s">
        <v>373</v>
      </c>
      <c r="M6" s="523"/>
      <c r="N6" s="522"/>
      <c r="O6" s="538" t="s">
        <v>375</v>
      </c>
      <c r="P6" s="523"/>
      <c r="Q6" s="43"/>
      <c r="R6" s="35"/>
      <c r="S6" s="35"/>
      <c r="T6" s="35"/>
      <c r="U6" s="35"/>
      <c r="V6" s="35"/>
      <c r="W6" s="35"/>
      <c r="X6" s="35"/>
      <c r="Y6" s="35"/>
      <c r="Z6" s="35"/>
    </row>
    <row r="7" spans="2:26" ht="18.75" customHeight="1">
      <c r="B7" s="515"/>
      <c r="C7" s="42"/>
      <c r="D7" s="534" t="s">
        <v>376</v>
      </c>
      <c r="E7" s="523"/>
      <c r="F7" s="523"/>
      <c r="G7" s="522"/>
      <c r="H7" s="538" t="s">
        <v>377</v>
      </c>
      <c r="I7" s="523"/>
      <c r="J7" s="43"/>
      <c r="K7" s="44"/>
      <c r="L7" s="534" t="s">
        <v>376</v>
      </c>
      <c r="M7" s="523"/>
      <c r="N7" s="522"/>
      <c r="O7" s="538" t="s">
        <v>378</v>
      </c>
      <c r="P7" s="523"/>
      <c r="Q7" s="43"/>
      <c r="R7" s="35"/>
      <c r="S7" s="35"/>
      <c r="T7" s="35"/>
      <c r="U7" s="35"/>
      <c r="V7" s="35"/>
      <c r="W7" s="35"/>
      <c r="X7" s="35"/>
      <c r="Y7" s="35"/>
      <c r="Z7" s="35"/>
    </row>
    <row r="8" spans="2:26" ht="18.75" customHeight="1">
      <c r="B8" s="515"/>
      <c r="C8" s="42"/>
      <c r="D8" s="534" t="s">
        <v>379</v>
      </c>
      <c r="E8" s="523"/>
      <c r="F8" s="523"/>
      <c r="G8" s="522"/>
      <c r="H8" s="538" t="s">
        <v>380</v>
      </c>
      <c r="I8" s="523"/>
      <c r="J8" s="43"/>
      <c r="K8" s="44"/>
      <c r="L8" s="534" t="s">
        <v>379</v>
      </c>
      <c r="M8" s="523"/>
      <c r="N8" s="522"/>
      <c r="O8" s="538" t="s">
        <v>380</v>
      </c>
      <c r="P8" s="523"/>
      <c r="Q8" s="43"/>
      <c r="R8" s="35"/>
      <c r="S8" s="35"/>
      <c r="T8" s="35"/>
      <c r="U8" s="35"/>
      <c r="V8" s="35"/>
      <c r="W8" s="35"/>
      <c r="X8" s="35"/>
      <c r="Y8" s="35"/>
      <c r="Z8" s="35"/>
    </row>
    <row r="9" spans="2:26" ht="8.25" customHeight="1" thickBot="1">
      <c r="B9" s="516"/>
      <c r="C9" s="45"/>
      <c r="D9" s="46"/>
      <c r="E9" s="46"/>
      <c r="F9" s="46"/>
      <c r="G9" s="46"/>
      <c r="H9" s="46"/>
      <c r="I9" s="46"/>
      <c r="J9" s="47"/>
      <c r="K9" s="48"/>
      <c r="L9" s="46"/>
      <c r="M9" s="46"/>
      <c r="N9" s="46"/>
      <c r="O9" s="46"/>
      <c r="P9" s="46"/>
      <c r="Q9" s="47"/>
      <c r="R9" s="35"/>
      <c r="S9" s="35"/>
      <c r="T9" s="35"/>
      <c r="U9" s="35"/>
      <c r="V9" s="35"/>
      <c r="W9" s="35"/>
      <c r="X9" s="35"/>
      <c r="Y9" s="35"/>
      <c r="Z9" s="35"/>
    </row>
    <row r="10" spans="2:26" ht="6.75" customHeight="1">
      <c r="B10" s="528" t="s">
        <v>381</v>
      </c>
      <c r="C10" s="38"/>
      <c r="D10" s="39"/>
      <c r="E10" s="39"/>
      <c r="F10" s="39"/>
      <c r="G10" s="39"/>
      <c r="H10" s="39"/>
      <c r="I10" s="39"/>
      <c r="J10" s="40"/>
      <c r="K10" s="41"/>
      <c r="L10" s="39"/>
      <c r="M10" s="39"/>
      <c r="N10" s="39"/>
      <c r="O10" s="39"/>
      <c r="P10" s="39"/>
      <c r="Q10" s="40"/>
      <c r="R10" s="35"/>
      <c r="S10" s="35"/>
      <c r="T10" s="35"/>
      <c r="U10" s="35"/>
      <c r="V10" s="35"/>
      <c r="W10" s="35"/>
      <c r="X10" s="35"/>
      <c r="Y10" s="35"/>
      <c r="Z10" s="35"/>
    </row>
    <row r="11" spans="2:26" ht="16.5" customHeight="1">
      <c r="B11" s="515"/>
      <c r="C11" s="42"/>
      <c r="D11" s="534" t="s">
        <v>320</v>
      </c>
      <c r="E11" s="523"/>
      <c r="F11" s="523"/>
      <c r="G11" s="538" t="s">
        <v>382</v>
      </c>
      <c r="H11" s="523"/>
      <c r="I11" s="523"/>
      <c r="J11" s="43"/>
      <c r="K11" s="44"/>
      <c r="L11" s="559" t="s">
        <v>320</v>
      </c>
      <c r="M11" s="560"/>
      <c r="N11" s="561" t="s">
        <v>383</v>
      </c>
      <c r="O11" s="562"/>
      <c r="P11" s="562"/>
      <c r="Q11" s="43"/>
      <c r="R11" s="35"/>
      <c r="S11" s="35"/>
      <c r="T11" s="35"/>
      <c r="U11" s="35"/>
      <c r="V11" s="35"/>
      <c r="W11" s="35"/>
      <c r="X11" s="35"/>
      <c r="Y11" s="35"/>
      <c r="Z11" s="35"/>
    </row>
    <row r="12" spans="2:26" ht="16.5" customHeight="1">
      <c r="B12" s="515"/>
      <c r="C12" s="42"/>
      <c r="D12" s="534" t="s">
        <v>384</v>
      </c>
      <c r="E12" s="523"/>
      <c r="F12" s="523"/>
      <c r="G12" s="538" t="s">
        <v>385</v>
      </c>
      <c r="H12" s="523"/>
      <c r="I12" s="523"/>
      <c r="J12" s="43"/>
      <c r="K12" s="44"/>
      <c r="L12" s="543"/>
      <c r="M12" s="520"/>
      <c r="N12" s="537"/>
      <c r="O12" s="543"/>
      <c r="P12" s="543"/>
      <c r="Q12" s="43"/>
      <c r="R12" s="35"/>
      <c r="S12" s="35"/>
      <c r="T12" s="35"/>
      <c r="U12" s="35"/>
      <c r="V12" s="35"/>
      <c r="W12" s="35"/>
      <c r="X12" s="35"/>
      <c r="Y12" s="35"/>
      <c r="Z12" s="35"/>
    </row>
    <row r="13" spans="2:26" ht="16.5" customHeight="1">
      <c r="B13" s="515"/>
      <c r="C13" s="42"/>
      <c r="D13" s="534" t="s">
        <v>386</v>
      </c>
      <c r="E13" s="523"/>
      <c r="F13" s="523"/>
      <c r="G13" s="538" t="s">
        <v>387</v>
      </c>
      <c r="H13" s="523"/>
      <c r="I13" s="523"/>
      <c r="J13" s="43"/>
      <c r="K13" s="44"/>
      <c r="L13" s="534" t="s">
        <v>388</v>
      </c>
      <c r="M13" s="522"/>
      <c r="N13" s="538" t="s">
        <v>387</v>
      </c>
      <c r="O13" s="523"/>
      <c r="P13" s="523"/>
      <c r="Q13" s="43"/>
      <c r="R13" s="35"/>
      <c r="S13" s="35"/>
      <c r="T13" s="35"/>
      <c r="U13" s="35"/>
      <c r="V13" s="35"/>
      <c r="W13" s="35"/>
      <c r="X13" s="35"/>
      <c r="Y13" s="35"/>
      <c r="Z13" s="35"/>
    </row>
    <row r="14" spans="2:26" ht="6.75" customHeight="1" thickBot="1">
      <c r="B14" s="516"/>
      <c r="C14" s="45"/>
      <c r="D14" s="46"/>
      <c r="E14" s="46"/>
      <c r="F14" s="46"/>
      <c r="G14" s="46"/>
      <c r="H14" s="46"/>
      <c r="I14" s="46"/>
      <c r="J14" s="47"/>
      <c r="K14" s="48"/>
      <c r="L14" s="46"/>
      <c r="M14" s="46"/>
      <c r="N14" s="46"/>
      <c r="O14" s="46"/>
      <c r="P14" s="46"/>
      <c r="Q14" s="47"/>
      <c r="R14" s="35"/>
      <c r="S14" s="35"/>
      <c r="T14" s="35"/>
      <c r="U14" s="35"/>
      <c r="V14" s="35"/>
      <c r="W14" s="35"/>
      <c r="X14" s="35"/>
      <c r="Y14" s="35"/>
      <c r="Z14" s="35"/>
    </row>
    <row r="15" spans="2:26" ht="6.75" customHeight="1">
      <c r="B15" s="528" t="s">
        <v>389</v>
      </c>
      <c r="C15" s="38"/>
      <c r="D15" s="39"/>
      <c r="E15" s="39"/>
      <c r="F15" s="39"/>
      <c r="G15" s="39"/>
      <c r="H15" s="39"/>
      <c r="I15" s="39"/>
      <c r="J15" s="40"/>
      <c r="K15" s="41"/>
      <c r="L15" s="39"/>
      <c r="M15" s="39"/>
      <c r="N15" s="39"/>
      <c r="O15" s="39"/>
      <c r="P15" s="39"/>
      <c r="Q15" s="40"/>
      <c r="R15" s="35"/>
      <c r="S15" s="35"/>
      <c r="T15" s="35"/>
      <c r="U15" s="35"/>
      <c r="V15" s="35"/>
      <c r="W15" s="35"/>
      <c r="X15" s="35"/>
      <c r="Y15" s="35"/>
      <c r="Z15" s="35"/>
    </row>
    <row r="16" spans="2:26" ht="20.25" customHeight="1">
      <c r="B16" s="515"/>
      <c r="C16" s="42"/>
      <c r="D16" s="534" t="s">
        <v>390</v>
      </c>
      <c r="E16" s="523"/>
      <c r="F16" s="523"/>
      <c r="G16" s="522"/>
      <c r="H16" s="538">
        <v>1</v>
      </c>
      <c r="I16" s="523"/>
      <c r="J16" s="43"/>
      <c r="K16" s="44"/>
      <c r="L16" s="534" t="s">
        <v>390</v>
      </c>
      <c r="M16" s="523"/>
      <c r="N16" s="522"/>
      <c r="O16" s="538" t="s">
        <v>391</v>
      </c>
      <c r="P16" s="523"/>
      <c r="Q16" s="43"/>
      <c r="R16" s="35"/>
      <c r="S16" s="35"/>
      <c r="T16" s="35"/>
      <c r="U16" s="35"/>
      <c r="V16" s="35"/>
      <c r="W16" s="35"/>
      <c r="X16" s="35"/>
      <c r="Y16" s="35"/>
      <c r="Z16" s="35"/>
    </row>
    <row r="17" spans="2:26" ht="20.25" customHeight="1">
      <c r="B17" s="515"/>
      <c r="C17" s="42"/>
      <c r="D17" s="534" t="s">
        <v>392</v>
      </c>
      <c r="E17" s="523"/>
      <c r="F17" s="523"/>
      <c r="G17" s="522"/>
      <c r="H17" s="538">
        <v>179</v>
      </c>
      <c r="I17" s="523"/>
      <c r="J17" s="43"/>
      <c r="K17" s="44"/>
      <c r="L17" s="534" t="s">
        <v>393</v>
      </c>
      <c r="M17" s="523"/>
      <c r="N17" s="522"/>
      <c r="O17" s="538" t="s">
        <v>394</v>
      </c>
      <c r="P17" s="523"/>
      <c r="Q17" s="43"/>
      <c r="R17" s="35"/>
      <c r="S17" s="35"/>
      <c r="T17" s="35"/>
      <c r="U17" s="35"/>
      <c r="V17" s="35"/>
      <c r="W17" s="35"/>
      <c r="X17" s="35"/>
      <c r="Y17" s="35"/>
      <c r="Z17" s="35"/>
    </row>
    <row r="18" spans="2:26" ht="20.25" customHeight="1">
      <c r="B18" s="515"/>
      <c r="C18" s="42"/>
      <c r="D18" s="534" t="s">
        <v>395</v>
      </c>
      <c r="E18" s="523"/>
      <c r="F18" s="523"/>
      <c r="G18" s="522"/>
      <c r="H18" s="538">
        <v>368</v>
      </c>
      <c r="I18" s="523"/>
      <c r="J18" s="43"/>
      <c r="K18" s="44"/>
      <c r="L18" s="534" t="s">
        <v>396</v>
      </c>
      <c r="M18" s="523"/>
      <c r="N18" s="522"/>
      <c r="O18" s="538" t="s">
        <v>397</v>
      </c>
      <c r="P18" s="523"/>
      <c r="Q18" s="43"/>
      <c r="R18" s="35"/>
      <c r="S18" s="35"/>
      <c r="T18" s="35"/>
      <c r="U18" s="35"/>
      <c r="V18" s="35"/>
      <c r="W18" s="35"/>
      <c r="X18" s="35"/>
      <c r="Y18" s="35"/>
      <c r="Z18" s="35"/>
    </row>
    <row r="19" spans="2:26" ht="20.25" customHeight="1">
      <c r="B19" s="515"/>
      <c r="C19" s="42"/>
      <c r="D19" s="534" t="s">
        <v>398</v>
      </c>
      <c r="E19" s="523"/>
      <c r="F19" s="523"/>
      <c r="G19" s="522"/>
      <c r="H19" s="538">
        <v>548</v>
      </c>
      <c r="I19" s="523"/>
      <c r="J19" s="43"/>
      <c r="K19" s="44"/>
      <c r="L19" s="534" t="s">
        <v>398</v>
      </c>
      <c r="M19" s="523"/>
      <c r="N19" s="522"/>
      <c r="O19" s="538" t="s">
        <v>399</v>
      </c>
      <c r="P19" s="523"/>
      <c r="Q19" s="43"/>
      <c r="R19" s="35"/>
      <c r="S19" s="35"/>
      <c r="T19" s="35"/>
      <c r="U19" s="35"/>
      <c r="V19" s="35"/>
      <c r="W19" s="35"/>
      <c r="X19" s="35"/>
      <c r="Y19" s="35"/>
      <c r="Z19" s="35"/>
    </row>
    <row r="20" spans="2:26" ht="5.25" customHeight="1" thickBot="1">
      <c r="B20" s="516"/>
      <c r="C20" s="45"/>
      <c r="D20" s="46"/>
      <c r="E20" s="46"/>
      <c r="F20" s="46"/>
      <c r="G20" s="46"/>
      <c r="H20" s="46"/>
      <c r="I20" s="46"/>
      <c r="J20" s="47"/>
      <c r="K20" s="48"/>
      <c r="L20" s="46"/>
      <c r="M20" s="46"/>
      <c r="N20" s="46"/>
      <c r="O20" s="46"/>
      <c r="P20" s="46"/>
      <c r="Q20" s="47"/>
      <c r="R20" s="35"/>
      <c r="S20" s="35"/>
      <c r="T20" s="35"/>
      <c r="U20" s="35"/>
      <c r="V20" s="35"/>
      <c r="W20" s="35"/>
      <c r="X20" s="35"/>
      <c r="Y20" s="35"/>
      <c r="Z20" s="35"/>
    </row>
    <row r="21" spans="2:26" ht="5.25" customHeight="1">
      <c r="B21" s="528" t="s">
        <v>400</v>
      </c>
      <c r="C21" s="38"/>
      <c r="D21" s="39"/>
      <c r="E21" s="39"/>
      <c r="F21" s="39"/>
      <c r="G21" s="39"/>
      <c r="H21" s="39"/>
      <c r="I21" s="39"/>
      <c r="J21" s="40"/>
      <c r="K21" s="41"/>
      <c r="L21" s="39"/>
      <c r="M21" s="39"/>
      <c r="N21" s="39"/>
      <c r="O21" s="39"/>
      <c r="P21" s="39"/>
      <c r="Q21" s="40"/>
      <c r="R21" s="35"/>
      <c r="S21" s="35"/>
      <c r="T21" s="35"/>
      <c r="U21" s="35"/>
      <c r="V21" s="35"/>
      <c r="W21" s="35"/>
      <c r="X21" s="35"/>
      <c r="Y21" s="35"/>
      <c r="Z21" s="35"/>
    </row>
    <row r="22" spans="2:26" ht="31.8" thickBot="1">
      <c r="B22" s="515"/>
      <c r="C22" s="42"/>
      <c r="D22" s="49"/>
      <c r="E22" s="50"/>
      <c r="F22" s="51" t="s">
        <v>401</v>
      </c>
      <c r="G22" s="51" t="s">
        <v>402</v>
      </c>
      <c r="H22" s="51" t="s">
        <v>403</v>
      </c>
      <c r="I22" s="52" t="s">
        <v>404</v>
      </c>
      <c r="J22" s="53"/>
      <c r="K22" s="54"/>
      <c r="L22" s="49"/>
      <c r="M22" s="51" t="s">
        <v>402</v>
      </c>
      <c r="N22" s="51" t="s">
        <v>405</v>
      </c>
      <c r="O22" s="551" t="s">
        <v>404</v>
      </c>
      <c r="P22" s="552"/>
      <c r="Q22" s="43"/>
      <c r="R22" s="35"/>
      <c r="S22" s="35"/>
      <c r="T22" s="35"/>
      <c r="U22" s="35"/>
      <c r="V22" s="35"/>
      <c r="W22" s="35"/>
      <c r="X22" s="35"/>
      <c r="Y22" s="35"/>
      <c r="Z22" s="35"/>
    </row>
    <row r="23" spans="2:26" ht="16.2" thickTop="1">
      <c r="B23" s="515"/>
      <c r="C23" s="42"/>
      <c r="D23" s="539" t="s">
        <v>402</v>
      </c>
      <c r="E23" s="553" t="s">
        <v>406</v>
      </c>
      <c r="F23" s="553" t="s">
        <v>407</v>
      </c>
      <c r="G23" s="55" t="s">
        <v>408</v>
      </c>
      <c r="H23" s="55" t="s">
        <v>409</v>
      </c>
      <c r="I23" s="541">
        <v>24</v>
      </c>
      <c r="J23" s="53"/>
      <c r="K23" s="54"/>
      <c r="L23" s="539" t="s">
        <v>410</v>
      </c>
      <c r="M23" s="56" t="s">
        <v>408</v>
      </c>
      <c r="N23" s="56" t="s">
        <v>411</v>
      </c>
      <c r="O23" s="541">
        <v>24</v>
      </c>
      <c r="P23" s="542"/>
      <c r="Q23" s="43"/>
      <c r="R23" s="35"/>
      <c r="S23" s="35"/>
      <c r="T23" s="35"/>
      <c r="U23" s="35"/>
      <c r="V23" s="35"/>
      <c r="W23" s="35"/>
      <c r="X23" s="35"/>
      <c r="Y23" s="35"/>
      <c r="Z23" s="35"/>
    </row>
    <row r="24" spans="2:26" ht="15.6">
      <c r="B24" s="515"/>
      <c r="C24" s="42"/>
      <c r="D24" s="540"/>
      <c r="E24" s="554"/>
      <c r="F24" s="554"/>
      <c r="G24" s="57" t="s">
        <v>412</v>
      </c>
      <c r="H24" s="57" t="s">
        <v>413</v>
      </c>
      <c r="I24" s="536"/>
      <c r="J24" s="53"/>
      <c r="K24" s="54"/>
      <c r="L24" s="540"/>
      <c r="M24" s="58" t="s">
        <v>412</v>
      </c>
      <c r="N24" s="58" t="s">
        <v>414</v>
      </c>
      <c r="O24" s="536"/>
      <c r="P24" s="513"/>
      <c r="Q24" s="43"/>
      <c r="R24" s="35"/>
      <c r="S24" s="35"/>
      <c r="T24" s="35"/>
      <c r="U24" s="35"/>
      <c r="V24" s="35"/>
      <c r="W24" s="35"/>
      <c r="X24" s="35"/>
      <c r="Y24" s="35"/>
      <c r="Z24" s="35"/>
    </row>
    <row r="25" spans="2:26" ht="15.6">
      <c r="B25" s="515"/>
      <c r="C25" s="42"/>
      <c r="D25" s="540"/>
      <c r="E25" s="554"/>
      <c r="F25" s="554"/>
      <c r="G25" s="57" t="s">
        <v>415</v>
      </c>
      <c r="H25" s="57" t="s">
        <v>416</v>
      </c>
      <c r="I25" s="555"/>
      <c r="J25" s="53"/>
      <c r="K25" s="54"/>
      <c r="L25" s="540"/>
      <c r="M25" s="58" t="s">
        <v>415</v>
      </c>
      <c r="N25" s="58" t="s">
        <v>417</v>
      </c>
      <c r="O25" s="537"/>
      <c r="P25" s="543"/>
      <c r="Q25" s="43"/>
      <c r="R25" s="35"/>
      <c r="S25" s="35"/>
      <c r="T25" s="35"/>
      <c r="U25" s="35"/>
      <c r="V25" s="35"/>
      <c r="W25" s="35"/>
      <c r="X25" s="35"/>
      <c r="Y25" s="35"/>
      <c r="Z25" s="35"/>
    </row>
    <row r="26" spans="2:26" ht="15.6">
      <c r="B26" s="515"/>
      <c r="C26" s="42"/>
      <c r="D26" s="540"/>
      <c r="E26" s="554"/>
      <c r="F26" s="511"/>
      <c r="G26" s="59" t="s">
        <v>418</v>
      </c>
      <c r="H26" s="59" t="s">
        <v>419</v>
      </c>
      <c r="I26" s="60">
        <v>6</v>
      </c>
      <c r="J26" s="53"/>
      <c r="K26" s="54"/>
      <c r="L26" s="540"/>
      <c r="M26" s="544" t="s">
        <v>420</v>
      </c>
      <c r="N26" s="61" t="s">
        <v>421</v>
      </c>
      <c r="O26" s="545">
        <v>6</v>
      </c>
      <c r="P26" s="546"/>
      <c r="Q26" s="43"/>
      <c r="R26" s="35"/>
      <c r="S26" s="35"/>
      <c r="T26" s="35"/>
      <c r="U26" s="35"/>
      <c r="V26" s="35"/>
      <c r="W26" s="35"/>
      <c r="X26" s="35"/>
      <c r="Y26" s="35"/>
      <c r="Z26" s="35"/>
    </row>
    <row r="27" spans="2:26" ht="46.8">
      <c r="B27" s="515"/>
      <c r="C27" s="42"/>
      <c r="D27" s="540"/>
      <c r="E27" s="554"/>
      <c r="F27" s="544" t="s">
        <v>422</v>
      </c>
      <c r="G27" s="61" t="s">
        <v>420</v>
      </c>
      <c r="H27" s="61" t="s">
        <v>423</v>
      </c>
      <c r="I27" s="547">
        <v>12</v>
      </c>
      <c r="J27" s="53"/>
      <c r="K27" s="54"/>
      <c r="L27" s="540"/>
      <c r="M27" s="511"/>
      <c r="N27" s="59" t="s">
        <v>424</v>
      </c>
      <c r="O27" s="548">
        <v>12</v>
      </c>
      <c r="P27" s="549"/>
      <c r="Q27" s="43"/>
      <c r="R27" s="35"/>
      <c r="S27" s="35"/>
      <c r="T27" s="35"/>
      <c r="U27" s="35"/>
      <c r="V27" s="35"/>
      <c r="W27" s="35"/>
      <c r="X27" s="35"/>
      <c r="Y27" s="35"/>
      <c r="Z27" s="35"/>
    </row>
    <row r="28" spans="2:26" ht="31.2">
      <c r="B28" s="515"/>
      <c r="C28" s="42"/>
      <c r="D28" s="540"/>
      <c r="E28" s="554"/>
      <c r="F28" s="511"/>
      <c r="G28" s="59" t="s">
        <v>425</v>
      </c>
      <c r="H28" s="59" t="s">
        <v>426</v>
      </c>
      <c r="I28" s="537"/>
      <c r="J28" s="53"/>
      <c r="K28" s="54"/>
      <c r="L28" s="540"/>
      <c r="M28" s="58" t="s">
        <v>425</v>
      </c>
      <c r="N28" s="58" t="s">
        <v>427</v>
      </c>
      <c r="O28" s="537"/>
      <c r="P28" s="543"/>
      <c r="Q28" s="43"/>
      <c r="R28" s="35"/>
      <c r="S28" s="35"/>
      <c r="T28" s="35"/>
      <c r="U28" s="35"/>
      <c r="V28" s="35"/>
      <c r="W28" s="35"/>
      <c r="X28" s="35"/>
      <c r="Y28" s="35"/>
      <c r="Z28" s="35"/>
    </row>
    <row r="29" spans="2:26" ht="15.6">
      <c r="B29" s="515"/>
      <c r="C29" s="42"/>
      <c r="D29" s="540"/>
      <c r="E29" s="554"/>
      <c r="F29" s="544" t="s">
        <v>428</v>
      </c>
      <c r="G29" s="61" t="s">
        <v>429</v>
      </c>
      <c r="H29" s="62"/>
      <c r="I29" s="63">
        <v>8</v>
      </c>
      <c r="J29" s="53"/>
      <c r="K29" s="54"/>
      <c r="L29" s="540"/>
      <c r="M29" s="58" t="s">
        <v>429</v>
      </c>
      <c r="N29" s="64"/>
      <c r="O29" s="550">
        <v>8</v>
      </c>
      <c r="P29" s="523"/>
      <c r="Q29" s="43"/>
      <c r="R29" s="35"/>
      <c r="S29" s="35"/>
      <c r="T29" s="35"/>
      <c r="U29" s="35"/>
      <c r="V29" s="35"/>
      <c r="W29" s="35"/>
      <c r="X29" s="35"/>
      <c r="Y29" s="35"/>
      <c r="Z29" s="35"/>
    </row>
    <row r="30" spans="2:26" ht="15.6">
      <c r="B30" s="515"/>
      <c r="C30" s="42"/>
      <c r="D30" s="540"/>
      <c r="E30" s="554"/>
      <c r="F30" s="511"/>
      <c r="G30" s="59" t="s">
        <v>430</v>
      </c>
      <c r="H30" s="65"/>
      <c r="I30" s="60">
        <v>6</v>
      </c>
      <c r="J30" s="53"/>
      <c r="K30" s="54"/>
      <c r="L30" s="540"/>
      <c r="M30" s="58" t="s">
        <v>430</v>
      </c>
      <c r="N30" s="64"/>
      <c r="O30" s="550">
        <v>6</v>
      </c>
      <c r="P30" s="523"/>
      <c r="Q30" s="43"/>
      <c r="R30" s="35"/>
      <c r="S30" s="35"/>
      <c r="T30" s="35"/>
      <c r="U30" s="35"/>
      <c r="V30" s="35"/>
      <c r="W30" s="35"/>
      <c r="X30" s="35"/>
      <c r="Y30" s="35"/>
      <c r="Z30" s="35"/>
    </row>
    <row r="31" spans="2:26" ht="62.4">
      <c r="B31" s="515"/>
      <c r="C31" s="42"/>
      <c r="D31" s="540"/>
      <c r="E31" s="554"/>
      <c r="F31" s="58" t="s">
        <v>431</v>
      </c>
      <c r="G31" s="58" t="s">
        <v>432</v>
      </c>
      <c r="H31" s="64"/>
      <c r="I31" s="66">
        <v>10</v>
      </c>
      <c r="J31" s="53"/>
      <c r="K31" s="54"/>
      <c r="L31" s="540"/>
      <c r="M31" s="58" t="s">
        <v>433</v>
      </c>
      <c r="N31" s="64"/>
      <c r="O31" s="550">
        <v>8</v>
      </c>
      <c r="P31" s="523"/>
      <c r="Q31" s="43"/>
      <c r="R31" s="35"/>
      <c r="S31" s="35"/>
      <c r="T31" s="35"/>
      <c r="U31" s="35"/>
      <c r="V31" s="35"/>
      <c r="W31" s="35"/>
      <c r="X31" s="35"/>
      <c r="Y31" s="35"/>
      <c r="Z31" s="35"/>
    </row>
    <row r="32" spans="2:26" ht="18.75" customHeight="1">
      <c r="B32" s="515"/>
      <c r="C32" s="42"/>
      <c r="D32" s="540"/>
      <c r="E32" s="511"/>
      <c r="F32" s="558" t="s">
        <v>398</v>
      </c>
      <c r="G32" s="523"/>
      <c r="H32" s="522"/>
      <c r="I32" s="67">
        <v>66</v>
      </c>
      <c r="J32" s="53"/>
      <c r="K32" s="54"/>
      <c r="L32" s="520"/>
      <c r="M32" s="558" t="s">
        <v>398</v>
      </c>
      <c r="N32" s="522"/>
      <c r="O32" s="531">
        <v>64</v>
      </c>
      <c r="P32" s="523"/>
      <c r="Q32" s="43"/>
      <c r="R32" s="35"/>
      <c r="S32" s="35"/>
      <c r="T32" s="35"/>
      <c r="U32" s="35"/>
      <c r="V32" s="35"/>
      <c r="W32" s="35"/>
      <c r="X32" s="35"/>
      <c r="Y32" s="35"/>
      <c r="Z32" s="35"/>
    </row>
    <row r="33" spans="2:26" ht="35.25" customHeight="1">
      <c r="B33" s="515"/>
      <c r="C33" s="42"/>
      <c r="D33" s="520"/>
      <c r="E33" s="68" t="s">
        <v>434</v>
      </c>
      <c r="F33" s="558" t="s">
        <v>435</v>
      </c>
      <c r="G33" s="523"/>
      <c r="H33" s="522"/>
      <c r="I33" s="67">
        <v>86</v>
      </c>
      <c r="J33" s="53"/>
      <c r="K33" s="54"/>
      <c r="L33" s="69" t="s">
        <v>436</v>
      </c>
      <c r="M33" s="558" t="s">
        <v>437</v>
      </c>
      <c r="N33" s="522"/>
      <c r="O33" s="531">
        <v>80</v>
      </c>
      <c r="P33" s="523"/>
      <c r="Q33" s="43"/>
      <c r="R33" s="35"/>
      <c r="S33" s="35"/>
      <c r="T33" s="35"/>
      <c r="U33" s="35"/>
      <c r="V33" s="35"/>
      <c r="W33" s="35"/>
      <c r="X33" s="35"/>
      <c r="Y33" s="35"/>
      <c r="Z33" s="35"/>
    </row>
    <row r="34" spans="2:26" ht="21.75" customHeight="1">
      <c r="B34" s="515"/>
      <c r="C34" s="42"/>
      <c r="D34" s="556" t="s">
        <v>376</v>
      </c>
      <c r="E34" s="523"/>
      <c r="F34" s="523"/>
      <c r="G34" s="523"/>
      <c r="H34" s="522"/>
      <c r="I34" s="70">
        <v>22</v>
      </c>
      <c r="J34" s="53"/>
      <c r="K34" s="54"/>
      <c r="L34" s="556" t="s">
        <v>376</v>
      </c>
      <c r="M34" s="523"/>
      <c r="N34" s="522"/>
      <c r="O34" s="557">
        <v>30</v>
      </c>
      <c r="P34" s="523"/>
      <c r="Q34" s="43"/>
      <c r="R34" s="35"/>
      <c r="S34" s="35"/>
      <c r="T34" s="35"/>
      <c r="U34" s="35"/>
      <c r="V34" s="35"/>
      <c r="W34" s="35"/>
      <c r="X34" s="35"/>
      <c r="Y34" s="35"/>
      <c r="Z34" s="35"/>
    </row>
    <row r="35" spans="2:26" ht="24" customHeight="1">
      <c r="B35" s="515"/>
      <c r="C35" s="42"/>
      <c r="D35" s="556" t="s">
        <v>379</v>
      </c>
      <c r="E35" s="523"/>
      <c r="F35" s="523"/>
      <c r="G35" s="523"/>
      <c r="H35" s="522"/>
      <c r="I35" s="70">
        <v>18</v>
      </c>
      <c r="J35" s="53"/>
      <c r="K35" s="54"/>
      <c r="L35" s="556" t="s">
        <v>379</v>
      </c>
      <c r="M35" s="523"/>
      <c r="N35" s="522"/>
      <c r="O35" s="557">
        <v>18</v>
      </c>
      <c r="P35" s="523"/>
      <c r="Q35" s="43"/>
      <c r="R35" s="35"/>
      <c r="S35" s="35"/>
      <c r="T35" s="35"/>
      <c r="U35" s="35"/>
      <c r="V35" s="35"/>
      <c r="W35" s="35"/>
      <c r="X35" s="35"/>
      <c r="Y35" s="35"/>
      <c r="Z35" s="35"/>
    </row>
    <row r="36" spans="2:26" ht="15.6">
      <c r="B36" s="515"/>
      <c r="C36" s="42"/>
      <c r="D36" s="530" t="s">
        <v>438</v>
      </c>
      <c r="E36" s="523"/>
      <c r="F36" s="523"/>
      <c r="G36" s="523"/>
      <c r="H36" s="522"/>
      <c r="I36" s="67">
        <v>192</v>
      </c>
      <c r="J36" s="53"/>
      <c r="K36" s="54"/>
      <c r="L36" s="530" t="s">
        <v>438</v>
      </c>
      <c r="M36" s="523"/>
      <c r="N36" s="522"/>
      <c r="O36" s="531">
        <v>192</v>
      </c>
      <c r="P36" s="523"/>
      <c r="Q36" s="43"/>
      <c r="R36" s="35"/>
      <c r="S36" s="35"/>
      <c r="T36" s="35"/>
      <c r="U36" s="35"/>
      <c r="V36" s="35"/>
      <c r="W36" s="35"/>
      <c r="X36" s="35"/>
      <c r="Y36" s="35"/>
      <c r="Z36" s="35"/>
    </row>
    <row r="37" spans="2:26" ht="5.25" customHeight="1" thickBot="1">
      <c r="B37" s="516"/>
      <c r="C37" s="45"/>
      <c r="D37" s="46"/>
      <c r="E37" s="46"/>
      <c r="F37" s="46"/>
      <c r="G37" s="46"/>
      <c r="H37" s="46"/>
      <c r="I37" s="46"/>
      <c r="J37" s="47"/>
      <c r="K37" s="48"/>
      <c r="L37" s="46"/>
      <c r="M37" s="46"/>
      <c r="N37" s="46"/>
      <c r="O37" s="46"/>
      <c r="P37" s="46"/>
      <c r="Q37" s="47"/>
      <c r="R37" s="35"/>
      <c r="S37" s="35"/>
      <c r="T37" s="35"/>
      <c r="U37" s="35"/>
      <c r="V37" s="35"/>
      <c r="W37" s="35"/>
      <c r="X37" s="35"/>
      <c r="Y37" s="35"/>
      <c r="Z37" s="35"/>
    </row>
    <row r="38" spans="2:26" ht="5.25" customHeight="1">
      <c r="B38" s="528" t="s">
        <v>439</v>
      </c>
      <c r="C38" s="38"/>
      <c r="D38" s="39"/>
      <c r="E38" s="39"/>
      <c r="F38" s="39"/>
      <c r="G38" s="39"/>
      <c r="H38" s="39"/>
      <c r="I38" s="39"/>
      <c r="J38" s="40"/>
      <c r="K38" s="41"/>
      <c r="L38" s="39"/>
      <c r="M38" s="39"/>
      <c r="N38" s="39"/>
      <c r="O38" s="39"/>
      <c r="P38" s="39"/>
      <c r="Q38" s="40"/>
      <c r="R38" s="35"/>
      <c r="S38" s="35"/>
      <c r="T38" s="35"/>
      <c r="U38" s="35"/>
      <c r="V38" s="35"/>
      <c r="W38" s="35"/>
      <c r="X38" s="35"/>
      <c r="Y38" s="35"/>
      <c r="Z38" s="35"/>
    </row>
    <row r="39" spans="2:26" ht="15.6">
      <c r="B39" s="515"/>
      <c r="C39" s="42" t="s">
        <v>440</v>
      </c>
      <c r="D39" s="71"/>
      <c r="E39" s="71"/>
      <c r="F39" s="71"/>
      <c r="G39" s="71"/>
      <c r="H39" s="71"/>
      <c r="I39" s="71"/>
      <c r="J39" s="43"/>
      <c r="K39" s="44"/>
      <c r="L39" s="71" t="s">
        <v>441</v>
      </c>
      <c r="M39" s="71"/>
      <c r="N39" s="71"/>
      <c r="O39" s="71"/>
      <c r="P39" s="71"/>
      <c r="Q39" s="43"/>
      <c r="R39" s="35"/>
      <c r="S39" s="35"/>
      <c r="T39" s="35"/>
      <c r="U39" s="35"/>
      <c r="V39" s="35"/>
      <c r="W39" s="35"/>
      <c r="X39" s="35"/>
      <c r="Y39" s="35"/>
      <c r="Z39" s="35"/>
    </row>
    <row r="40" spans="2:26" ht="15.6">
      <c r="B40" s="515"/>
      <c r="C40" s="42" t="s">
        <v>442</v>
      </c>
      <c r="D40" s="71"/>
      <c r="E40" s="71"/>
      <c r="F40" s="71"/>
      <c r="G40" s="71"/>
      <c r="H40" s="71"/>
      <c r="I40" s="71"/>
      <c r="J40" s="43"/>
      <c r="K40" s="44"/>
      <c r="L40" s="71" t="s">
        <v>443</v>
      </c>
      <c r="M40" s="71"/>
      <c r="N40" s="71"/>
      <c r="O40" s="71"/>
      <c r="P40" s="71"/>
      <c r="Q40" s="43"/>
      <c r="R40" s="35"/>
      <c r="S40" s="35"/>
      <c r="T40" s="35"/>
      <c r="U40" s="35"/>
      <c r="V40" s="35"/>
      <c r="W40" s="35"/>
      <c r="X40" s="35"/>
      <c r="Y40" s="35"/>
      <c r="Z40" s="35"/>
    </row>
    <row r="41" spans="2:26" ht="5.25" customHeight="1" thickBot="1">
      <c r="B41" s="516"/>
      <c r="C41" s="45"/>
      <c r="D41" s="46"/>
      <c r="E41" s="46"/>
      <c r="F41" s="46"/>
      <c r="G41" s="46"/>
      <c r="H41" s="46"/>
      <c r="I41" s="46"/>
      <c r="J41" s="47"/>
      <c r="K41" s="48"/>
      <c r="L41" s="46"/>
      <c r="M41" s="46"/>
      <c r="N41" s="46"/>
      <c r="O41" s="46"/>
      <c r="P41" s="46"/>
      <c r="Q41" s="47"/>
      <c r="R41" s="35"/>
      <c r="S41" s="35"/>
      <c r="T41" s="35"/>
      <c r="U41" s="35"/>
      <c r="V41" s="35"/>
      <c r="W41" s="35"/>
      <c r="X41" s="35"/>
      <c r="Y41" s="35"/>
      <c r="Z41" s="35"/>
    </row>
    <row r="42" spans="2:26" ht="5.25" customHeight="1">
      <c r="B42" s="528" t="s">
        <v>444</v>
      </c>
      <c r="C42" s="38"/>
      <c r="D42" s="39"/>
      <c r="E42" s="39"/>
      <c r="F42" s="39"/>
      <c r="G42" s="39"/>
      <c r="H42" s="39"/>
      <c r="I42" s="39"/>
      <c r="J42" s="40"/>
      <c r="K42" s="41"/>
      <c r="L42" s="39"/>
      <c r="M42" s="39"/>
      <c r="N42" s="39"/>
      <c r="O42" s="39"/>
      <c r="P42" s="39"/>
      <c r="Q42" s="40"/>
      <c r="R42" s="35"/>
      <c r="S42" s="35"/>
      <c r="T42" s="35"/>
      <c r="U42" s="35"/>
      <c r="V42" s="35"/>
      <c r="W42" s="35"/>
      <c r="X42" s="35"/>
      <c r="Y42" s="35"/>
      <c r="Z42" s="35"/>
    </row>
    <row r="43" spans="2:26" ht="15.6">
      <c r="B43" s="515"/>
      <c r="C43" s="42"/>
      <c r="D43" s="71" t="s">
        <v>445</v>
      </c>
      <c r="E43" s="71"/>
      <c r="F43" s="71"/>
      <c r="G43" s="71"/>
      <c r="H43" s="71"/>
      <c r="I43" s="71"/>
      <c r="J43" s="43"/>
      <c r="K43" s="44"/>
      <c r="L43" s="71" t="s">
        <v>446</v>
      </c>
      <c r="M43" s="71"/>
      <c r="N43" s="71"/>
      <c r="O43" s="71"/>
      <c r="P43" s="71"/>
      <c r="Q43" s="43"/>
      <c r="R43" s="35"/>
      <c r="S43" s="35"/>
      <c r="T43" s="35"/>
      <c r="U43" s="35"/>
      <c r="V43" s="35"/>
      <c r="W43" s="35"/>
      <c r="X43" s="35"/>
      <c r="Y43" s="35"/>
      <c r="Z43" s="35"/>
    </row>
    <row r="44" spans="2:26" ht="15.6">
      <c r="B44" s="515"/>
      <c r="C44" s="42"/>
      <c r="D44" s="71" t="s">
        <v>447</v>
      </c>
      <c r="E44" s="72"/>
      <c r="F44" s="72"/>
      <c r="G44" s="72"/>
      <c r="H44" s="72"/>
      <c r="I44" s="72"/>
      <c r="J44" s="43"/>
      <c r="K44" s="44"/>
      <c r="L44" s="71"/>
      <c r="M44" s="71"/>
      <c r="N44" s="71"/>
      <c r="O44" s="71"/>
      <c r="P44" s="71"/>
      <c r="Q44" s="43"/>
      <c r="R44" s="35"/>
      <c r="S44" s="35"/>
      <c r="T44" s="35"/>
      <c r="U44" s="35"/>
      <c r="V44" s="35"/>
      <c r="W44" s="35"/>
      <c r="X44" s="35"/>
      <c r="Y44" s="35"/>
      <c r="Z44" s="35"/>
    </row>
    <row r="45" spans="2:26" ht="15.6">
      <c r="B45" s="515"/>
      <c r="C45" s="42"/>
      <c r="D45" s="532" t="s">
        <v>365</v>
      </c>
      <c r="E45" s="523"/>
      <c r="F45" s="522"/>
      <c r="G45" s="533" t="s">
        <v>448</v>
      </c>
      <c r="H45" s="522"/>
      <c r="I45" s="73" t="s">
        <v>449</v>
      </c>
      <c r="J45" s="43"/>
      <c r="K45" s="44"/>
      <c r="L45" s="532" t="s">
        <v>365</v>
      </c>
      <c r="M45" s="522"/>
      <c r="N45" s="533" t="s">
        <v>448</v>
      </c>
      <c r="O45" s="522"/>
      <c r="P45" s="73" t="s">
        <v>450</v>
      </c>
      <c r="Q45" s="43"/>
      <c r="R45" s="35"/>
      <c r="S45" s="35"/>
      <c r="T45" s="35"/>
      <c r="U45" s="35"/>
      <c r="V45" s="35"/>
      <c r="W45" s="35"/>
      <c r="X45" s="35"/>
      <c r="Y45" s="35"/>
      <c r="Z45" s="35"/>
    </row>
    <row r="46" spans="2:26" ht="38.25" customHeight="1">
      <c r="B46" s="515"/>
      <c r="C46" s="42"/>
      <c r="D46" s="534" t="s">
        <v>451</v>
      </c>
      <c r="E46" s="522"/>
      <c r="F46" s="74">
        <v>1</v>
      </c>
      <c r="G46" s="527" t="s">
        <v>452</v>
      </c>
      <c r="H46" s="522"/>
      <c r="I46" s="535">
        <v>86</v>
      </c>
      <c r="J46" s="43"/>
      <c r="K46" s="44"/>
      <c r="L46" s="75" t="s">
        <v>451</v>
      </c>
      <c r="M46" s="74">
        <v>3</v>
      </c>
      <c r="N46" s="527" t="s">
        <v>453</v>
      </c>
      <c r="O46" s="522"/>
      <c r="P46" s="535">
        <v>80</v>
      </c>
      <c r="Q46" s="43"/>
      <c r="R46" s="35"/>
      <c r="S46" s="35"/>
      <c r="T46" s="35"/>
      <c r="U46" s="35"/>
      <c r="V46" s="35"/>
      <c r="W46" s="35"/>
      <c r="X46" s="35"/>
      <c r="Y46" s="35"/>
      <c r="Z46" s="35"/>
    </row>
    <row r="47" spans="2:26" ht="16.5" customHeight="1">
      <c r="B47" s="515"/>
      <c r="C47" s="42"/>
      <c r="D47" s="534" t="s">
        <v>454</v>
      </c>
      <c r="E47" s="522"/>
      <c r="F47" s="74">
        <v>179</v>
      </c>
      <c r="G47" s="538" t="s">
        <v>437</v>
      </c>
      <c r="H47" s="522"/>
      <c r="I47" s="536"/>
      <c r="J47" s="43"/>
      <c r="K47" s="44"/>
      <c r="L47" s="75" t="s">
        <v>455</v>
      </c>
      <c r="M47" s="74">
        <v>216</v>
      </c>
      <c r="N47" s="538" t="s">
        <v>437</v>
      </c>
      <c r="O47" s="522"/>
      <c r="P47" s="536"/>
      <c r="Q47" s="43"/>
      <c r="R47" s="35"/>
      <c r="S47" s="35"/>
      <c r="T47" s="35"/>
      <c r="U47" s="35"/>
      <c r="V47" s="35"/>
      <c r="W47" s="35"/>
      <c r="X47" s="35"/>
      <c r="Y47" s="35"/>
      <c r="Z47" s="35"/>
    </row>
    <row r="48" spans="2:26" ht="16.5" customHeight="1">
      <c r="B48" s="515"/>
      <c r="C48" s="42"/>
      <c r="D48" s="534" t="s">
        <v>456</v>
      </c>
      <c r="E48" s="522"/>
      <c r="F48" s="74">
        <v>368</v>
      </c>
      <c r="G48" s="538" t="s">
        <v>437</v>
      </c>
      <c r="H48" s="522"/>
      <c r="I48" s="537"/>
      <c r="J48" s="43"/>
      <c r="K48" s="44"/>
      <c r="L48" s="75" t="s">
        <v>457</v>
      </c>
      <c r="M48" s="74">
        <v>309</v>
      </c>
      <c r="N48" s="538" t="s">
        <v>437</v>
      </c>
      <c r="O48" s="522"/>
      <c r="P48" s="537"/>
      <c r="Q48" s="43"/>
      <c r="R48" s="35"/>
      <c r="S48" s="35"/>
      <c r="T48" s="35"/>
      <c r="U48" s="35"/>
      <c r="V48" s="35"/>
      <c r="W48" s="35"/>
      <c r="X48" s="35"/>
      <c r="Y48" s="35"/>
      <c r="Z48" s="35"/>
    </row>
    <row r="49" spans="2:26" ht="5.25" customHeight="1" thickBot="1">
      <c r="B49" s="516"/>
      <c r="C49" s="45"/>
      <c r="D49" s="46"/>
      <c r="E49" s="46"/>
      <c r="F49" s="46"/>
      <c r="G49" s="46"/>
      <c r="H49" s="46"/>
      <c r="I49" s="46"/>
      <c r="J49" s="47"/>
      <c r="K49" s="48"/>
      <c r="L49" s="46"/>
      <c r="M49" s="46"/>
      <c r="N49" s="46"/>
      <c r="O49" s="46"/>
      <c r="P49" s="46"/>
      <c r="Q49" s="47"/>
      <c r="R49" s="35"/>
      <c r="S49" s="35"/>
      <c r="T49" s="35"/>
      <c r="U49" s="35"/>
      <c r="V49" s="35"/>
      <c r="W49" s="35"/>
      <c r="X49" s="35"/>
      <c r="Y49" s="35"/>
      <c r="Z49" s="35"/>
    </row>
    <row r="50" spans="2:26" ht="5.25" customHeight="1">
      <c r="B50" s="528" t="s">
        <v>458</v>
      </c>
      <c r="C50" s="38"/>
      <c r="D50" s="39"/>
      <c r="E50" s="39"/>
      <c r="F50" s="39"/>
      <c r="G50" s="39"/>
      <c r="H50" s="39"/>
      <c r="I50" s="39"/>
      <c r="J50" s="40"/>
      <c r="K50" s="41"/>
      <c r="L50" s="39"/>
      <c r="M50" s="39"/>
      <c r="N50" s="39"/>
      <c r="O50" s="39"/>
      <c r="P50" s="39"/>
      <c r="Q50" s="40"/>
      <c r="R50" s="35"/>
      <c r="S50" s="35"/>
      <c r="T50" s="35"/>
      <c r="U50" s="35"/>
      <c r="V50" s="35"/>
      <c r="W50" s="35"/>
      <c r="X50" s="35"/>
      <c r="Y50" s="35"/>
      <c r="Z50" s="35"/>
    </row>
    <row r="51" spans="2:26" ht="26.4">
      <c r="B51" s="515"/>
      <c r="C51" s="42"/>
      <c r="D51" s="529" t="s">
        <v>365</v>
      </c>
      <c r="E51" s="523"/>
      <c r="F51" s="522"/>
      <c r="G51" s="76" t="s">
        <v>459</v>
      </c>
      <c r="H51" s="76" t="s">
        <v>460</v>
      </c>
      <c r="I51" s="77" t="s">
        <v>461</v>
      </c>
      <c r="J51" s="53"/>
      <c r="K51" s="54"/>
      <c r="L51" s="529" t="s">
        <v>365</v>
      </c>
      <c r="M51" s="522"/>
      <c r="N51" s="76" t="s">
        <v>459</v>
      </c>
      <c r="O51" s="76" t="s">
        <v>460</v>
      </c>
      <c r="P51" s="77" t="s">
        <v>462</v>
      </c>
      <c r="Q51" s="43"/>
      <c r="R51" s="35"/>
      <c r="S51" s="35"/>
      <c r="T51" s="35"/>
      <c r="U51" s="35"/>
      <c r="V51" s="35"/>
      <c r="W51" s="35"/>
      <c r="X51" s="35"/>
      <c r="Y51" s="35"/>
      <c r="Z51" s="35"/>
    </row>
    <row r="52" spans="2:26" ht="15.6">
      <c r="B52" s="515"/>
      <c r="C52" s="42"/>
      <c r="D52" s="526" t="s">
        <v>463</v>
      </c>
      <c r="E52" s="523"/>
      <c r="F52" s="522"/>
      <c r="G52" s="78">
        <v>8</v>
      </c>
      <c r="H52" s="78">
        <v>-2</v>
      </c>
      <c r="I52" s="79" t="s">
        <v>464</v>
      </c>
      <c r="J52" s="53"/>
      <c r="K52" s="54"/>
      <c r="L52" s="526" t="s">
        <v>463</v>
      </c>
      <c r="M52" s="522"/>
      <c r="N52" s="78">
        <v>4</v>
      </c>
      <c r="O52" s="78">
        <v>-1</v>
      </c>
      <c r="P52" s="79" t="s">
        <v>360</v>
      </c>
      <c r="Q52" s="43"/>
      <c r="R52" s="35"/>
      <c r="S52" s="35"/>
      <c r="T52" s="35"/>
      <c r="U52" s="35"/>
      <c r="V52" s="35"/>
      <c r="W52" s="35"/>
      <c r="X52" s="35"/>
      <c r="Y52" s="35"/>
      <c r="Z52" s="35"/>
    </row>
    <row r="53" spans="2:26" ht="27.75" customHeight="1">
      <c r="B53" s="515"/>
      <c r="C53" s="42"/>
      <c r="D53" s="526" t="s">
        <v>465</v>
      </c>
      <c r="E53" s="523"/>
      <c r="F53" s="522"/>
      <c r="G53" s="78">
        <v>6</v>
      </c>
      <c r="H53" s="80"/>
      <c r="I53" s="79" t="s">
        <v>466</v>
      </c>
      <c r="J53" s="53"/>
      <c r="K53" s="54"/>
      <c r="L53" s="526" t="s">
        <v>467</v>
      </c>
      <c r="M53" s="522"/>
      <c r="N53" s="78">
        <v>3</v>
      </c>
      <c r="O53" s="80"/>
      <c r="P53" s="79">
        <v>3</v>
      </c>
      <c r="Q53" s="43"/>
      <c r="R53" s="35"/>
      <c r="S53" s="35"/>
      <c r="T53" s="35"/>
      <c r="U53" s="35"/>
      <c r="V53" s="35"/>
      <c r="W53" s="35"/>
      <c r="X53" s="35"/>
      <c r="Y53" s="35"/>
      <c r="Z53" s="35"/>
    </row>
    <row r="54" spans="2:26" ht="15.6">
      <c r="B54" s="515"/>
      <c r="C54" s="42"/>
      <c r="D54" s="526" t="s">
        <v>468</v>
      </c>
      <c r="E54" s="523"/>
      <c r="F54" s="522"/>
      <c r="G54" s="78">
        <v>5</v>
      </c>
      <c r="H54" s="78" t="s">
        <v>469</v>
      </c>
      <c r="I54" s="79" t="s">
        <v>470</v>
      </c>
      <c r="J54" s="53"/>
      <c r="K54" s="54"/>
      <c r="L54" s="526" t="s">
        <v>471</v>
      </c>
      <c r="M54" s="522"/>
      <c r="N54" s="78">
        <v>4</v>
      </c>
      <c r="O54" s="78" t="s">
        <v>472</v>
      </c>
      <c r="P54" s="79" t="s">
        <v>362</v>
      </c>
      <c r="Q54" s="43"/>
      <c r="R54" s="35"/>
      <c r="S54" s="35"/>
      <c r="T54" s="35"/>
      <c r="U54" s="35"/>
      <c r="V54" s="35"/>
      <c r="W54" s="35"/>
      <c r="X54" s="35"/>
      <c r="Y54" s="35"/>
      <c r="Z54" s="35"/>
    </row>
    <row r="55" spans="2:26" ht="15.6">
      <c r="B55" s="515"/>
      <c r="C55" s="42"/>
      <c r="D55" s="526" t="s">
        <v>473</v>
      </c>
      <c r="E55" s="523"/>
      <c r="F55" s="522"/>
      <c r="G55" s="78">
        <v>5</v>
      </c>
      <c r="H55" s="78" t="s">
        <v>474</v>
      </c>
      <c r="I55" s="79" t="s">
        <v>475</v>
      </c>
      <c r="J55" s="53"/>
      <c r="K55" s="54"/>
      <c r="L55" s="526" t="s">
        <v>476</v>
      </c>
      <c r="M55" s="522"/>
      <c r="N55" s="78">
        <v>3</v>
      </c>
      <c r="O55" s="78" t="s">
        <v>472</v>
      </c>
      <c r="P55" s="79" t="s">
        <v>363</v>
      </c>
      <c r="Q55" s="43"/>
      <c r="R55" s="35"/>
      <c r="S55" s="35"/>
      <c r="T55" s="35"/>
      <c r="U55" s="35"/>
      <c r="V55" s="35"/>
      <c r="W55" s="35"/>
      <c r="X55" s="35"/>
      <c r="Y55" s="35"/>
      <c r="Z55" s="35"/>
    </row>
    <row r="56" spans="2:26" ht="15.6">
      <c r="B56" s="515"/>
      <c r="C56" s="42"/>
      <c r="D56" s="526" t="s">
        <v>477</v>
      </c>
      <c r="E56" s="523"/>
      <c r="F56" s="522"/>
      <c r="G56" s="78">
        <v>5</v>
      </c>
      <c r="H56" s="78" t="s">
        <v>474</v>
      </c>
      <c r="I56" s="79" t="s">
        <v>475</v>
      </c>
      <c r="J56" s="53"/>
      <c r="K56" s="54"/>
      <c r="L56" s="526" t="s">
        <v>388</v>
      </c>
      <c r="M56" s="522"/>
      <c r="N56" s="527" t="s">
        <v>478</v>
      </c>
      <c r="O56" s="523"/>
      <c r="P56" s="523"/>
      <c r="Q56" s="43"/>
      <c r="R56" s="35"/>
      <c r="S56" s="35"/>
      <c r="T56" s="35"/>
      <c r="U56" s="35"/>
      <c r="V56" s="35"/>
      <c r="W56" s="35"/>
      <c r="X56" s="35"/>
      <c r="Y56" s="35"/>
      <c r="Z56" s="35"/>
    </row>
    <row r="57" spans="2:26" ht="15.6">
      <c r="B57" s="515"/>
      <c r="C57" s="42"/>
      <c r="D57" s="526" t="s">
        <v>386</v>
      </c>
      <c r="E57" s="523"/>
      <c r="F57" s="522"/>
      <c r="G57" s="527" t="s">
        <v>478</v>
      </c>
      <c r="H57" s="523"/>
      <c r="I57" s="523"/>
      <c r="J57" s="53"/>
      <c r="K57" s="54"/>
      <c r="L57" s="81"/>
      <c r="M57" s="71"/>
      <c r="N57" s="71"/>
      <c r="O57" s="71"/>
      <c r="P57" s="71"/>
      <c r="Q57" s="43"/>
      <c r="R57" s="35"/>
      <c r="S57" s="35"/>
      <c r="T57" s="35"/>
      <c r="U57" s="35"/>
      <c r="V57" s="35"/>
      <c r="W57" s="35"/>
      <c r="X57" s="35"/>
      <c r="Y57" s="35"/>
      <c r="Z57" s="35"/>
    </row>
    <row r="58" spans="2:26" ht="15.6">
      <c r="B58" s="515"/>
      <c r="C58" s="42"/>
      <c r="D58" s="71"/>
      <c r="E58" s="71"/>
      <c r="F58" s="71"/>
      <c r="G58" s="71"/>
      <c r="H58" s="71"/>
      <c r="I58" s="71"/>
      <c r="J58" s="43"/>
      <c r="K58" s="44"/>
      <c r="L58" s="71"/>
      <c r="M58" s="71"/>
      <c r="N58" s="71"/>
      <c r="O58" s="71"/>
      <c r="P58" s="71"/>
      <c r="Q58" s="43"/>
      <c r="R58" s="35"/>
      <c r="S58" s="35"/>
      <c r="T58" s="35"/>
      <c r="U58" s="35"/>
      <c r="V58" s="35"/>
      <c r="W58" s="35"/>
      <c r="X58" s="35"/>
      <c r="Y58" s="35"/>
      <c r="Z58" s="35"/>
    </row>
    <row r="59" spans="2:26" ht="33.75" customHeight="1">
      <c r="B59" s="515"/>
      <c r="C59" s="42"/>
      <c r="D59" s="512" t="s">
        <v>479</v>
      </c>
      <c r="E59" s="513"/>
      <c r="F59" s="513"/>
      <c r="G59" s="513"/>
      <c r="H59" s="513"/>
      <c r="I59" s="513"/>
      <c r="J59" s="43"/>
      <c r="K59" s="44"/>
      <c r="L59" s="512" t="s">
        <v>480</v>
      </c>
      <c r="M59" s="512"/>
      <c r="N59" s="512"/>
      <c r="O59" s="512"/>
      <c r="P59" s="512"/>
      <c r="Q59" s="43"/>
      <c r="R59" s="35"/>
      <c r="S59" s="35"/>
      <c r="T59" s="35"/>
      <c r="U59" s="35"/>
      <c r="V59" s="35"/>
      <c r="W59" s="35"/>
      <c r="X59" s="35"/>
      <c r="Y59" s="35"/>
      <c r="Z59" s="35"/>
    </row>
    <row r="60" spans="2:26" ht="5.25" customHeight="1" thickBot="1">
      <c r="B60" s="516"/>
      <c r="C60" s="45"/>
      <c r="D60" s="46"/>
      <c r="E60" s="46"/>
      <c r="F60" s="46"/>
      <c r="G60" s="46"/>
      <c r="H60" s="46"/>
      <c r="I60" s="46"/>
      <c r="J60" s="47"/>
      <c r="K60" s="48"/>
      <c r="L60" s="46"/>
      <c r="M60" s="46"/>
      <c r="N60" s="46"/>
      <c r="O60" s="46"/>
      <c r="P60" s="46"/>
      <c r="Q60" s="47"/>
      <c r="R60" s="35"/>
      <c r="S60" s="35"/>
      <c r="T60" s="35"/>
      <c r="U60" s="35"/>
      <c r="V60" s="35"/>
      <c r="W60" s="35"/>
      <c r="X60" s="35"/>
      <c r="Y60" s="35"/>
      <c r="Z60" s="35"/>
    </row>
    <row r="61" spans="2:26" ht="5.25" customHeight="1">
      <c r="B61" s="517" t="s">
        <v>481</v>
      </c>
      <c r="C61" s="42"/>
      <c r="D61" s="71"/>
      <c r="E61" s="71"/>
      <c r="F61" s="71"/>
      <c r="G61" s="71"/>
      <c r="H61" s="71"/>
      <c r="I61" s="71"/>
      <c r="J61" s="71"/>
      <c r="K61" s="41"/>
      <c r="L61" s="39"/>
      <c r="M61" s="39"/>
      <c r="N61" s="39"/>
      <c r="O61" s="39"/>
      <c r="P61" s="39"/>
      <c r="Q61" s="40"/>
      <c r="R61" s="35"/>
      <c r="S61" s="35"/>
      <c r="T61" s="35"/>
      <c r="U61" s="35"/>
      <c r="V61" s="35"/>
      <c r="W61" s="35"/>
      <c r="X61" s="35"/>
      <c r="Y61" s="35"/>
      <c r="Z61" s="35"/>
    </row>
    <row r="62" spans="2:26" ht="15.6">
      <c r="B62" s="518"/>
      <c r="C62" s="42"/>
      <c r="D62" s="71"/>
      <c r="E62" s="71"/>
      <c r="F62" s="71"/>
      <c r="G62" s="71"/>
      <c r="H62" s="71"/>
      <c r="I62" s="71"/>
      <c r="J62" s="71"/>
      <c r="K62" s="44"/>
      <c r="L62" s="71" t="s">
        <v>482</v>
      </c>
      <c r="M62" s="71"/>
      <c r="N62" s="71"/>
      <c r="O62" s="71"/>
      <c r="P62" s="71"/>
      <c r="Q62" s="43"/>
      <c r="R62" s="35"/>
      <c r="S62" s="35"/>
      <c r="T62" s="35"/>
      <c r="U62" s="35"/>
      <c r="V62" s="35"/>
      <c r="W62" s="35"/>
      <c r="X62" s="35"/>
      <c r="Y62" s="35"/>
      <c r="Z62" s="35"/>
    </row>
    <row r="63" spans="2:26" ht="15.6">
      <c r="B63" s="518"/>
      <c r="C63" s="42"/>
      <c r="D63" s="71"/>
      <c r="E63" s="71"/>
      <c r="F63" s="71"/>
      <c r="G63" s="71"/>
      <c r="H63" s="71"/>
      <c r="I63" s="71"/>
      <c r="J63" s="71"/>
      <c r="K63" s="44"/>
      <c r="L63" s="71" t="s">
        <v>483</v>
      </c>
      <c r="M63" s="71"/>
      <c r="N63" s="71"/>
      <c r="O63" s="71"/>
      <c r="P63" s="71"/>
      <c r="Q63" s="43"/>
      <c r="R63" s="35"/>
      <c r="S63" s="35"/>
      <c r="T63" s="35"/>
      <c r="U63" s="35"/>
      <c r="V63" s="35"/>
      <c r="W63" s="35"/>
      <c r="X63" s="35"/>
      <c r="Y63" s="35"/>
      <c r="Z63" s="35"/>
    </row>
    <row r="64" spans="2:26" ht="15.6">
      <c r="B64" s="518"/>
      <c r="C64" s="42"/>
      <c r="D64" s="71"/>
      <c r="E64" s="71"/>
      <c r="F64" s="71"/>
      <c r="G64" s="71"/>
      <c r="H64" s="71"/>
      <c r="I64" s="71"/>
      <c r="J64" s="71"/>
      <c r="K64" s="44"/>
      <c r="L64" s="519" t="s">
        <v>365</v>
      </c>
      <c r="M64" s="521" t="s">
        <v>484</v>
      </c>
      <c r="N64" s="522"/>
      <c r="O64" s="521" t="s">
        <v>485</v>
      </c>
      <c r="P64" s="523"/>
      <c r="Q64" s="43"/>
      <c r="R64" s="35"/>
      <c r="S64" s="35"/>
      <c r="T64" s="35"/>
      <c r="U64" s="35"/>
      <c r="V64" s="35"/>
      <c r="W64" s="35"/>
      <c r="X64" s="35"/>
      <c r="Y64" s="35"/>
      <c r="Z64" s="35"/>
    </row>
    <row r="65" spans="2:26" ht="15.6">
      <c r="B65" s="518"/>
      <c r="C65" s="42"/>
      <c r="D65" s="71"/>
      <c r="E65" s="71"/>
      <c r="F65" s="71"/>
      <c r="G65" s="71"/>
      <c r="H65" s="71"/>
      <c r="I65" s="71"/>
      <c r="J65" s="71"/>
      <c r="K65" s="44"/>
      <c r="L65" s="520"/>
      <c r="M65" s="74" t="s">
        <v>0</v>
      </c>
      <c r="N65" s="74" t="s">
        <v>486</v>
      </c>
      <c r="O65" s="74" t="s">
        <v>0</v>
      </c>
      <c r="P65" s="82" t="s">
        <v>486</v>
      </c>
      <c r="Q65" s="43"/>
      <c r="R65" s="35"/>
      <c r="S65" s="35"/>
      <c r="T65" s="35"/>
      <c r="U65" s="35"/>
      <c r="V65" s="35"/>
      <c r="W65" s="35"/>
      <c r="X65" s="35"/>
      <c r="Y65" s="35"/>
      <c r="Z65" s="35"/>
    </row>
    <row r="66" spans="2:26" ht="15.6">
      <c r="B66" s="518"/>
      <c r="C66" s="42"/>
      <c r="D66" s="71"/>
      <c r="E66" s="71"/>
      <c r="F66" s="71"/>
      <c r="G66" s="71"/>
      <c r="H66" s="71"/>
      <c r="I66" s="71"/>
      <c r="J66" s="71"/>
      <c r="K66" s="44"/>
      <c r="L66" s="83" t="s">
        <v>199</v>
      </c>
      <c r="M66" s="84">
        <v>2</v>
      </c>
      <c r="N66" s="84">
        <v>2</v>
      </c>
      <c r="O66" s="84">
        <v>4</v>
      </c>
      <c r="P66" s="73">
        <v>0</v>
      </c>
      <c r="Q66" s="43"/>
      <c r="R66" s="35"/>
      <c r="S66" s="35"/>
      <c r="T66" s="35"/>
      <c r="U66" s="35"/>
      <c r="V66" s="35"/>
      <c r="W66" s="35"/>
      <c r="X66" s="35"/>
      <c r="Y66" s="35"/>
      <c r="Z66" s="35"/>
    </row>
    <row r="67" spans="2:26" ht="15.6">
      <c r="B67" s="518"/>
      <c r="C67" s="42"/>
      <c r="D67" s="71"/>
      <c r="E67" s="71"/>
      <c r="F67" s="71"/>
      <c r="G67" s="71"/>
      <c r="H67" s="71"/>
      <c r="I67" s="71"/>
      <c r="J67" s="71"/>
      <c r="K67" s="44"/>
      <c r="L67" s="83" t="s">
        <v>213</v>
      </c>
      <c r="M67" s="84">
        <v>2</v>
      </c>
      <c r="N67" s="84">
        <v>2</v>
      </c>
      <c r="O67" s="84">
        <v>0</v>
      </c>
      <c r="P67" s="73">
        <v>4</v>
      </c>
      <c r="Q67" s="43"/>
      <c r="R67" s="35"/>
      <c r="S67" s="35"/>
      <c r="T67" s="35"/>
      <c r="U67" s="35"/>
      <c r="V67" s="35"/>
      <c r="W67" s="35"/>
      <c r="X67" s="35"/>
      <c r="Y67" s="35"/>
      <c r="Z67" s="35"/>
    </row>
    <row r="68" spans="2:26" ht="15.6">
      <c r="B68" s="518"/>
      <c r="C68" s="42"/>
      <c r="D68" s="71"/>
      <c r="E68" s="71"/>
      <c r="F68" s="71"/>
      <c r="G68" s="71"/>
      <c r="H68" s="71"/>
      <c r="I68" s="71"/>
      <c r="J68" s="71"/>
      <c r="K68" s="44"/>
      <c r="L68" s="83" t="s">
        <v>202</v>
      </c>
      <c r="M68" s="84">
        <v>2</v>
      </c>
      <c r="N68" s="84">
        <v>2</v>
      </c>
      <c r="O68" s="84">
        <v>4</v>
      </c>
      <c r="P68" s="73">
        <v>0</v>
      </c>
      <c r="Q68" s="43"/>
      <c r="R68" s="35"/>
      <c r="S68" s="35"/>
      <c r="T68" s="35"/>
      <c r="U68" s="35"/>
      <c r="V68" s="35"/>
      <c r="W68" s="35"/>
      <c r="X68" s="35"/>
      <c r="Y68" s="35"/>
      <c r="Z68" s="35"/>
    </row>
    <row r="69" spans="2:26" ht="15.6">
      <c r="B69" s="518"/>
      <c r="C69" s="42"/>
      <c r="D69" s="71"/>
      <c r="E69" s="71"/>
      <c r="F69" s="71"/>
      <c r="G69" s="71"/>
      <c r="H69" s="71"/>
      <c r="I69" s="71"/>
      <c r="J69" s="71"/>
      <c r="K69" s="44"/>
      <c r="L69" s="71" t="s">
        <v>487</v>
      </c>
      <c r="M69" s="71"/>
      <c r="N69" s="71"/>
      <c r="O69" s="71"/>
      <c r="P69" s="71"/>
      <c r="Q69" s="43"/>
      <c r="R69" s="35"/>
      <c r="S69" s="35"/>
      <c r="T69" s="35"/>
      <c r="U69" s="35"/>
      <c r="V69" s="35"/>
      <c r="W69" s="35"/>
      <c r="X69" s="35"/>
      <c r="Y69" s="35"/>
      <c r="Z69" s="35"/>
    </row>
    <row r="70" spans="2:26" ht="15.6">
      <c r="B70" s="518"/>
      <c r="C70" s="42"/>
      <c r="D70" s="71"/>
      <c r="E70" s="71"/>
      <c r="F70" s="71"/>
      <c r="G70" s="71"/>
      <c r="H70" s="71"/>
      <c r="I70" s="71"/>
      <c r="J70" s="71"/>
      <c r="K70" s="44"/>
      <c r="L70" s="519" t="s">
        <v>365</v>
      </c>
      <c r="M70" s="521" t="s">
        <v>484</v>
      </c>
      <c r="N70" s="522"/>
      <c r="O70" s="521" t="s">
        <v>485</v>
      </c>
      <c r="P70" s="523"/>
      <c r="Q70" s="43"/>
      <c r="R70" s="35"/>
      <c r="S70" s="35"/>
      <c r="T70" s="35"/>
      <c r="U70" s="35"/>
      <c r="V70" s="35"/>
      <c r="W70" s="35"/>
      <c r="X70" s="35"/>
      <c r="Y70" s="35"/>
      <c r="Z70" s="35"/>
    </row>
    <row r="71" spans="2:26" ht="15.6">
      <c r="B71" s="518"/>
      <c r="C71" s="42"/>
      <c r="D71" s="71"/>
      <c r="E71" s="71"/>
      <c r="F71" s="71"/>
      <c r="G71" s="71"/>
      <c r="H71" s="71"/>
      <c r="I71" s="71"/>
      <c r="J71" s="71"/>
      <c r="K71" s="44"/>
      <c r="L71" s="520"/>
      <c r="M71" s="74" t="s">
        <v>0</v>
      </c>
      <c r="N71" s="74" t="s">
        <v>486</v>
      </c>
      <c r="O71" s="74" t="s">
        <v>0</v>
      </c>
      <c r="P71" s="82" t="s">
        <v>486</v>
      </c>
      <c r="Q71" s="43"/>
      <c r="R71" s="35"/>
      <c r="S71" s="35"/>
      <c r="T71" s="35"/>
      <c r="U71" s="35"/>
      <c r="V71" s="35"/>
      <c r="W71" s="35"/>
      <c r="X71" s="35"/>
      <c r="Y71" s="35"/>
      <c r="Z71" s="35"/>
    </row>
    <row r="72" spans="2:26" ht="15.6">
      <c r="B72" s="518"/>
      <c r="C72" s="42"/>
      <c r="D72" s="71"/>
      <c r="E72" s="71"/>
      <c r="F72" s="71"/>
      <c r="G72" s="71"/>
      <c r="H72" s="71"/>
      <c r="I72" s="71"/>
      <c r="J72" s="71"/>
      <c r="K72" s="44"/>
      <c r="L72" s="83" t="s">
        <v>451</v>
      </c>
      <c r="M72" s="84">
        <v>1</v>
      </c>
      <c r="N72" s="84">
        <v>1</v>
      </c>
      <c r="O72" s="84">
        <v>2</v>
      </c>
      <c r="P72" s="73">
        <v>0</v>
      </c>
      <c r="Q72" s="43"/>
      <c r="R72" s="35"/>
      <c r="S72" s="35"/>
      <c r="T72" s="35"/>
      <c r="U72" s="35"/>
      <c r="V72" s="35"/>
      <c r="W72" s="35"/>
      <c r="X72" s="35"/>
      <c r="Y72" s="35"/>
      <c r="Z72" s="35"/>
    </row>
    <row r="73" spans="2:26" ht="15.6">
      <c r="B73" s="518"/>
      <c r="C73" s="42"/>
      <c r="D73" s="71"/>
      <c r="E73" s="71"/>
      <c r="F73" s="71"/>
      <c r="G73" s="71"/>
      <c r="H73" s="71"/>
      <c r="I73" s="71"/>
      <c r="J73" s="71"/>
      <c r="K73" s="44"/>
      <c r="L73" s="83" t="s">
        <v>455</v>
      </c>
      <c r="M73" s="84">
        <v>2</v>
      </c>
      <c r="N73" s="84">
        <v>2</v>
      </c>
      <c r="O73" s="84">
        <v>0</v>
      </c>
      <c r="P73" s="73">
        <v>4</v>
      </c>
      <c r="Q73" s="43"/>
      <c r="R73" s="35"/>
      <c r="S73" s="35"/>
      <c r="T73" s="35"/>
      <c r="U73" s="35"/>
      <c r="V73" s="35"/>
      <c r="W73" s="35"/>
      <c r="X73" s="35"/>
      <c r="Y73" s="35"/>
      <c r="Z73" s="35"/>
    </row>
    <row r="74" spans="2:26" ht="15.6">
      <c r="B74" s="518"/>
      <c r="C74" s="42"/>
      <c r="D74" s="71"/>
      <c r="E74" s="71"/>
      <c r="F74" s="71"/>
      <c r="G74" s="71"/>
      <c r="H74" s="71"/>
      <c r="I74" s="71"/>
      <c r="J74" s="71"/>
      <c r="K74" s="44"/>
      <c r="L74" s="524" t="s">
        <v>488</v>
      </c>
      <c r="M74" s="510" t="s">
        <v>489</v>
      </c>
      <c r="N74" s="510" t="s">
        <v>489</v>
      </c>
      <c r="O74" s="85">
        <v>8</v>
      </c>
      <c r="P74" s="86">
        <v>0</v>
      </c>
      <c r="Q74" s="43"/>
      <c r="R74" s="35"/>
      <c r="S74" s="35"/>
      <c r="T74" s="35"/>
      <c r="U74" s="35"/>
      <c r="V74" s="35"/>
      <c r="W74" s="35"/>
      <c r="X74" s="35"/>
      <c r="Y74" s="35"/>
      <c r="Z74" s="35"/>
    </row>
    <row r="75" spans="2:26" ht="15.6">
      <c r="B75" s="518"/>
      <c r="C75" s="42"/>
      <c r="D75" s="71"/>
      <c r="E75" s="71"/>
      <c r="F75" s="71"/>
      <c r="G75" s="71"/>
      <c r="H75" s="71"/>
      <c r="I75" s="71"/>
      <c r="J75" s="71"/>
      <c r="K75" s="44"/>
      <c r="L75" s="525"/>
      <c r="M75" s="511"/>
      <c r="N75" s="511"/>
      <c r="O75" s="85">
        <v>4</v>
      </c>
      <c r="P75" s="86">
        <v>4</v>
      </c>
      <c r="Q75" s="43"/>
      <c r="R75" s="35"/>
      <c r="S75" s="35"/>
      <c r="T75" s="35"/>
      <c r="U75" s="35"/>
      <c r="V75" s="35"/>
      <c r="W75" s="35"/>
      <c r="X75" s="35"/>
      <c r="Y75" s="35"/>
      <c r="Z75" s="35"/>
    </row>
    <row r="76" spans="2:26" ht="33.75" customHeight="1">
      <c r="B76" s="518"/>
      <c r="C76" s="42"/>
      <c r="D76" s="71"/>
      <c r="E76" s="71"/>
      <c r="F76" s="71"/>
      <c r="G76" s="71"/>
      <c r="H76" s="71"/>
      <c r="I76" s="71"/>
      <c r="J76" s="71"/>
      <c r="K76" s="44"/>
      <c r="L76" s="512" t="s">
        <v>490</v>
      </c>
      <c r="M76" s="513"/>
      <c r="N76" s="513"/>
      <c r="O76" s="513"/>
      <c r="P76" s="513"/>
      <c r="Q76" s="43"/>
      <c r="R76" s="35"/>
      <c r="S76" s="35"/>
      <c r="T76" s="35"/>
      <c r="U76" s="35"/>
      <c r="V76" s="35"/>
      <c r="W76" s="35"/>
      <c r="X76" s="35"/>
      <c r="Y76" s="35"/>
      <c r="Z76" s="35"/>
    </row>
    <row r="77" spans="2:26" ht="5.25" customHeight="1">
      <c r="B77" s="518"/>
      <c r="C77" s="87"/>
      <c r="D77" s="88"/>
      <c r="E77" s="88"/>
      <c r="F77" s="88"/>
      <c r="G77" s="88"/>
      <c r="H77" s="88"/>
      <c r="I77" s="88"/>
      <c r="J77" s="88"/>
      <c r="K77" s="89"/>
      <c r="L77" s="88"/>
      <c r="M77" s="88"/>
      <c r="N77" s="88"/>
      <c r="O77" s="88"/>
      <c r="P77" s="88"/>
      <c r="Q77" s="90"/>
      <c r="R77" s="35"/>
      <c r="S77" s="35"/>
      <c r="T77" s="35"/>
      <c r="U77" s="35"/>
      <c r="V77" s="35"/>
      <c r="W77" s="35"/>
      <c r="X77" s="35"/>
      <c r="Y77" s="35"/>
      <c r="Z77" s="35"/>
    </row>
    <row r="78" spans="2:26" ht="5.25" customHeight="1">
      <c r="B78" s="514" t="s">
        <v>491</v>
      </c>
      <c r="C78" s="91"/>
      <c r="D78" s="92"/>
      <c r="E78" s="92"/>
      <c r="F78" s="92"/>
      <c r="G78" s="92"/>
      <c r="H78" s="92"/>
      <c r="I78" s="92"/>
      <c r="J78" s="92"/>
      <c r="K78" s="93"/>
      <c r="L78" s="92"/>
      <c r="M78" s="92"/>
      <c r="N78" s="92"/>
      <c r="O78" s="92"/>
      <c r="P78" s="92"/>
      <c r="Q78" s="94"/>
      <c r="R78" s="35"/>
      <c r="S78" s="35"/>
      <c r="T78" s="35"/>
      <c r="U78" s="35"/>
      <c r="V78" s="35"/>
      <c r="W78" s="35"/>
      <c r="X78" s="35"/>
      <c r="Y78" s="35"/>
      <c r="Z78" s="35"/>
    </row>
    <row r="79" spans="2:26" ht="15.6">
      <c r="B79" s="515"/>
      <c r="C79" s="42"/>
      <c r="D79" s="71" t="s">
        <v>492</v>
      </c>
      <c r="E79" s="71"/>
      <c r="F79" s="71"/>
      <c r="G79" s="71"/>
      <c r="H79" s="71"/>
      <c r="I79" s="71"/>
      <c r="J79" s="71"/>
      <c r="K79" s="44"/>
      <c r="L79" s="71" t="s">
        <v>493</v>
      </c>
      <c r="M79" s="71"/>
      <c r="N79" s="71"/>
      <c r="O79" s="71"/>
      <c r="P79" s="71"/>
      <c r="Q79" s="43"/>
      <c r="R79" s="35"/>
      <c r="S79" s="35"/>
      <c r="T79" s="35"/>
      <c r="U79" s="35"/>
      <c r="V79" s="35"/>
      <c r="W79" s="35"/>
      <c r="X79" s="35"/>
      <c r="Y79" s="35"/>
      <c r="Z79" s="35"/>
    </row>
    <row r="80" spans="2:26" ht="15.6">
      <c r="B80" s="515"/>
      <c r="C80" s="42"/>
      <c r="D80" s="71"/>
      <c r="E80" s="71"/>
      <c r="F80" s="71"/>
      <c r="G80" s="71"/>
      <c r="H80" s="71"/>
      <c r="I80" s="71"/>
      <c r="J80" s="71"/>
      <c r="K80" s="44"/>
      <c r="L80" s="71" t="s">
        <v>494</v>
      </c>
      <c r="M80" s="71"/>
      <c r="N80" s="71"/>
      <c r="O80" s="71"/>
      <c r="P80" s="71"/>
      <c r="Q80" s="43"/>
      <c r="R80" s="35"/>
      <c r="S80" s="35"/>
      <c r="T80" s="35"/>
      <c r="U80" s="35"/>
      <c r="V80" s="35"/>
      <c r="W80" s="35"/>
      <c r="X80" s="35"/>
      <c r="Y80" s="35"/>
      <c r="Z80" s="35"/>
    </row>
    <row r="81" spans="2:26" ht="5.25" customHeight="1" thickBot="1">
      <c r="B81" s="516"/>
      <c r="C81" s="45"/>
      <c r="D81" s="46"/>
      <c r="E81" s="46"/>
      <c r="F81" s="46"/>
      <c r="G81" s="46"/>
      <c r="H81" s="46"/>
      <c r="I81" s="46"/>
      <c r="J81" s="46"/>
      <c r="K81" s="48"/>
      <c r="L81" s="46"/>
      <c r="M81" s="46"/>
      <c r="N81" s="46"/>
      <c r="O81" s="46"/>
      <c r="P81" s="46"/>
      <c r="Q81" s="47"/>
      <c r="R81" s="35"/>
      <c r="S81" s="35"/>
      <c r="T81" s="35"/>
      <c r="U81" s="35"/>
      <c r="V81" s="35"/>
      <c r="W81" s="35"/>
      <c r="X81" s="35"/>
      <c r="Y81" s="35"/>
      <c r="Z81" s="35"/>
    </row>
    <row r="82" spans="2:26" ht="4.5" customHeight="1"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2:26" ht="15.6" hidden="1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2:26" ht="15.6" hidden="1"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2:26" ht="15.6" hidden="1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2:26" ht="15.6" hidden="1"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2:26" ht="15.6" hidden="1"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2:26" ht="15.6" hidden="1"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2:26" ht="15.6" hidden="1"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2:26" ht="15.6" hidden="1"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2:26" ht="15.6" hidden="1"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2:26" ht="15.6" hidden="1"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2:26" ht="15.6" hidden="1"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2:26" ht="15.6" hidden="1"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2:26" ht="15.6" hidden="1"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2:26" ht="15.6" hidden="1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2:26" ht="15.6" hidden="1"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2:26" ht="15.6" hidden="1"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2:26" ht="15.6" hidden="1"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2:26" ht="15.6" hidden="1"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2:26" ht="15.6" hidden="1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2:26" ht="15.6" hidden="1"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2:26" ht="15.6" hidden="1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2:26" ht="15.6" hidden="1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2:26" ht="15.6" hidden="1"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2:26" ht="15.6" hidden="1"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2:26" ht="15.6" hidden="1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2:26" ht="15.6" hidden="1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2:26" ht="15.6" hidden="1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2:26" ht="15.6" hidden="1"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2:26" ht="15.6" hidden="1"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2:26" ht="15.6" hidden="1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2:26" ht="15.6" hidden="1"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2:26" ht="15.6" hidden="1"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2:26" ht="15.6" hidden="1"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2:26" ht="15.6" hidden="1"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2:26" ht="15.6" hidden="1"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2:26" ht="15.6" hidden="1"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2:26" ht="15.6" hidden="1"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2:26" ht="15.6" hidden="1"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2:26" ht="15.6" hidden="1"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2:26" ht="15.6" hidden="1"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2:26" ht="15.6" hidden="1"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2:26" ht="15.6" hidden="1"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2:26" ht="15.6" hidden="1"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2:26" ht="15.6" hidden="1"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2:26" ht="15.6" hidden="1"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2:26" ht="15.6" hidden="1"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2:26" ht="15.6" hidden="1"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2:26" ht="15.6" hidden="1"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2:26" ht="15.6" hidden="1"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2:26" ht="15.6" hidden="1"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2:26" ht="15.6" hidden="1"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2:26" ht="15.6" hidden="1"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2:26" ht="15.6" hidden="1"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2:26" ht="15.6" hidden="1"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2:26" ht="15.6" hidden="1"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2:26" ht="15.6" hidden="1"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2:26" ht="15.6" hidden="1"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2:26" ht="15.6" hidden="1"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2:26" ht="15.6" hidden="1"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2:26" ht="15.6" hidden="1"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2:26" ht="15.6" hidden="1"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2:26" ht="15.6" hidden="1"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2:26" ht="15.6" hidden="1"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2:26" ht="15.6" hidden="1"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2:26" ht="15.6" hidden="1"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2:26" ht="15.6" hidden="1"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2:26" ht="15.6" hidden="1"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2:26" ht="15.6" hidden="1"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2:26" ht="15.6" hidden="1"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2:26" ht="15.6" hidden="1"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2:26" ht="15.6" hidden="1"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2:26" ht="15.6" hidden="1"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2:26" ht="15.6" hidden="1"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2:26" ht="15.6" hidden="1"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2:26" ht="15.6" hidden="1"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2:26" ht="15.6" hidden="1"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2:26" ht="15.6" hidden="1"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2:26" ht="15.6" hidden="1"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2:26" ht="15.6" hidden="1"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2:26" ht="15.6" hidden="1"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2:26" ht="15.6" hidden="1"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2:26" ht="15.6" hidden="1"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2:26" ht="15.6" hidden="1"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2:26" ht="15.6" hidden="1"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2:26" ht="15.6" hidden="1"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2:26" ht="15.6" hidden="1"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2:26" ht="15.6" hidden="1"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2:26" ht="15.6" hidden="1"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2:26" ht="15.6" hidden="1"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2:26" ht="15.6" hidden="1"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2:26" ht="15.6" hidden="1"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2:26" ht="15.6" hidden="1"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2:26" ht="15.6" hidden="1"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2:26" ht="15.6" hidden="1"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2:26" ht="15.6" hidden="1"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2:26" ht="15.6" hidden="1"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2:26" ht="15.6" hidden="1"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2:26" ht="15.6" hidden="1"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2:26" ht="15.6" hidden="1"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2:26" ht="15.6" hidden="1"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2:26" ht="15.6" hidden="1"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2:26" ht="15.6" hidden="1"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2:26" ht="15.6" hidden="1"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2:26" ht="15.6" hidden="1"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2:26" ht="15.6" hidden="1"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2:26" ht="15.6" hidden="1"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2:26" ht="15.6" hidden="1"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2:26" ht="15.6" hidden="1"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2:26" ht="15.6" hidden="1"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2:26" ht="15.6" hidden="1"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2:26" ht="15.6" hidden="1"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2:26" ht="15.6" hidden="1"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2:26" ht="15.6" hidden="1"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2:26" ht="15.6" hidden="1"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2:26" ht="15.6" hidden="1"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2:26" ht="15.6" hidden="1"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2:26" ht="15.6" hidden="1"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2:26" ht="15.6" hidden="1"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2:26" ht="15.6" hidden="1"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2:26" ht="15.6" hidden="1"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2:26" ht="15.6" hidden="1"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2:26" ht="15.6" hidden="1"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2:26" ht="15.6" hidden="1"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2:26" ht="15.6" hidden="1"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2:26" ht="15.6" hidden="1"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2:26" ht="15.6" hidden="1"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2:26" ht="15.6" hidden="1"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2:26" ht="15.6" hidden="1"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2:26" ht="15.6" hidden="1"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2:26" ht="15.6" hidden="1"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2:26" ht="15.6" hidden="1"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2:26" ht="15.6" hidden="1"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2:26" ht="15.6" hidden="1"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2:26" ht="15.6" hidden="1"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2:26" ht="15.6" hidden="1"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2:26" ht="15.6" hidden="1"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2:26" ht="15.6" hidden="1"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2:26" ht="15.6" hidden="1"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2:26" ht="15.6" hidden="1"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2:26" ht="15.6" hidden="1"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2:26" ht="15.6" hidden="1"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2:26" ht="15.6" hidden="1"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2:26" ht="15.6" hidden="1"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2:26" ht="15.6" hidden="1"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2:26" ht="15.6" hidden="1"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2:26" ht="15.6" hidden="1"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2:26" ht="15.6" hidden="1"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2:26" ht="15.6" hidden="1"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2:26" ht="15.6" hidden="1"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2:26" ht="15.6" hidden="1"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2:26" ht="15.6" hidden="1"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2:26" ht="15.6" hidden="1"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2:26" ht="15.6" hidden="1"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2:26" ht="15.6" hidden="1"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2:26" ht="15.6" hidden="1"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2:26" ht="15.6" hidden="1"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2:26" ht="15.6" hidden="1"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2:26" ht="15.6" hidden="1"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2:26" ht="15.6" hidden="1"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2:26" ht="15.6" hidden="1"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2:26" ht="15.6" hidden="1"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2:26" ht="15.6" hidden="1"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2:26" ht="15.6" hidden="1"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2:26" ht="15.6" hidden="1"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2:26" ht="15.6" hidden="1"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2:26" ht="15.6" hidden="1"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2:26" ht="15.6" hidden="1"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2:26" ht="15.6" hidden="1"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2:26" ht="15.6" hidden="1"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2:26" ht="15.6" hidden="1"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2:26" ht="15.6" hidden="1"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2:26" ht="15.6" hidden="1"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2:26" ht="15.6" hidden="1"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2:26" ht="15.6" hidden="1"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2:26" ht="15.6" hidden="1"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2:26" ht="15.6" hidden="1"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2:26" ht="15.6" hidden="1"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2:26" ht="15.6" hidden="1"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2:26" ht="15.6" hidden="1"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2:26" ht="15.6" hidden="1"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2:26" ht="15.6" hidden="1"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2:26" ht="15.6" hidden="1"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2:26" ht="15.6" hidden="1"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2:26" ht="15.6" hidden="1"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2:26" ht="15.6" hidden="1"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2:26" ht="15.6" hidden="1"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2:26" ht="15.6" hidden="1"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2:26" ht="15.6" hidden="1"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2:26" ht="15.6" hidden="1"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2:26" ht="15.6" hidden="1"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2:26" ht="15.6" hidden="1"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2:26" ht="15.6" hidden="1"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2:26" ht="15.6" hidden="1"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2:26" ht="15.6" hidden="1"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2:26" ht="15.6" hidden="1"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2:26" ht="15.6" hidden="1"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2:26" ht="15.6" hidden="1"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2:26" ht="15.6" hidden="1"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2:26" ht="15.6" hidden="1"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2:26" ht="15.6" hidden="1"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2:26" ht="15.6" hidden="1"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2:26" ht="15.6" hidden="1"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2:26" ht="15.6" hidden="1"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2:26" ht="15.6" hidden="1"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2:26" ht="15.6" hidden="1"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2:26" ht="15.6" hidden="1"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2:26" ht="15.6" hidden="1"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2:26" ht="15.6" hidden="1"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2:26" ht="15.6" hidden="1"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2:26" ht="15.6" hidden="1"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2:26" ht="15.6" hidden="1"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2:26" ht="15.6" hidden="1"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2:26" ht="15.6" hidden="1"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2:26" ht="15.6" hidden="1"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2:26" ht="15.6" hidden="1"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2:26" ht="15.6" hidden="1"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2:26" ht="15.6" hidden="1"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2:26" ht="15.6" hidden="1"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2:26" ht="15.6" hidden="1"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2:26" ht="15.6" hidden="1"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2:26" ht="15.6" hidden="1"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2:26" ht="15.6" hidden="1"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2:26" ht="15.6" hidden="1"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2:26" ht="15.6" hidden="1"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2:26" ht="15.6" hidden="1"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2:26" ht="15.6" hidden="1"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2:26" ht="15.6" hidden="1"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2:26" ht="15.6" hidden="1"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2:26" ht="15.6" hidden="1"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2:26" ht="15.6" hidden="1"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2:26" ht="15.6" hidden="1"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2:26" ht="15.6" hidden="1"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2:26" ht="15.6" hidden="1"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2:26" ht="15.6" hidden="1"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2:26" ht="15.6" hidden="1"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2:26" ht="15.6" hidden="1"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2:26" ht="15.6" hidden="1"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2:26" ht="15.6" hidden="1"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2:26" ht="15.6" hidden="1"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2:26" ht="15.6" hidden="1"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2:26" ht="15.6" hidden="1"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2:26" ht="15.6" hidden="1"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2:26" ht="15.6" hidden="1"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2:26" ht="15.6" hidden="1"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2:26" ht="15.6" hidden="1"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2:26" ht="15.6" hidden="1"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2:26" ht="15.6" hidden="1"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2:26" ht="15.6" hidden="1"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2:26" ht="15.6" hidden="1"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2:26" ht="15.6" hidden="1"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2:26" ht="15.6" hidden="1"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2:26" ht="15.6" hidden="1"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2:26" ht="15.6" hidden="1"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2:26" ht="15.6" hidden="1"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2:26" ht="15.6" hidden="1"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2:26" ht="15.6" hidden="1"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2:26" ht="15.6" hidden="1"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2:26" ht="15.6" hidden="1"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2:26" ht="15.6" hidden="1"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2:26" ht="15.6" hidden="1"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2:26" ht="15.6" hidden="1"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2:26" ht="15.6" hidden="1"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2:26" ht="15.6" hidden="1"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2:26" ht="15.6" hidden="1"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2:26" ht="15.6" hidden="1"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2:26" ht="15.6" hidden="1"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2:26" ht="15.6" hidden="1"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2:26" ht="15.6" hidden="1"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2:26" ht="15.6" hidden="1"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2:26" ht="15.6" hidden="1"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2:26" ht="15.6" hidden="1"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2:26" ht="15.6" hidden="1"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2:26" ht="15.6" hidden="1"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2:26" ht="15.6" hidden="1"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2:26" ht="15.6" hidden="1"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2:26" ht="15.6" hidden="1"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2:26" ht="15.6" hidden="1"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2:26" ht="15.6" hidden="1"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2:26" ht="15.6" hidden="1"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2:26" ht="15.6" hidden="1"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2:26" ht="15.6" hidden="1"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2:26" ht="15.6" hidden="1"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2:26" ht="15.6" hidden="1"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2:26" ht="15.6" hidden="1"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2:26" ht="15.6" hidden="1"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2:26" ht="15.6" hidden="1"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2:26" ht="15.6" hidden="1"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2:26" ht="15.6" hidden="1"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2:26" ht="15.6" hidden="1"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2:26" ht="15.6" hidden="1"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2:26" ht="15.6" hidden="1"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2:26" ht="15.6" hidden="1"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2:26" ht="15.6" hidden="1"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2:26" ht="15.6" hidden="1"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2:26" ht="15.6" hidden="1"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2:26" ht="15.6" hidden="1"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2:26" ht="15.6" hidden="1"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2:26" ht="15.6" hidden="1"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2:26" ht="15.6" hidden="1"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2:26" ht="15.6" hidden="1"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2:26" ht="15.6" hidden="1"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2:26" ht="15.6" hidden="1"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2:26" ht="15.6" hidden="1"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2:26" ht="15.6" hidden="1"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2:26" ht="15.6" hidden="1"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2:26" ht="15.6" hidden="1"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2:26" ht="15.6" hidden="1"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2:26" ht="15.6" hidden="1"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2:26" ht="15.6" hidden="1"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2:26" ht="15.6" hidden="1"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2:26" ht="15.6" hidden="1"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2:26" ht="15.6" hidden="1"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2:26" ht="15.6" hidden="1"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2:26" ht="15.6" hidden="1"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2:26" ht="15.6" hidden="1"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2:26" ht="15.6" hidden="1"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2:26" ht="15.6" hidden="1"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2:26" ht="15.6" hidden="1"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2:26" ht="15.6" hidden="1"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2:26" ht="15.6" hidden="1"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2:26" ht="15.6" hidden="1"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2:26" ht="15.6" hidden="1"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2:26" ht="15.6" hidden="1"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2:26" ht="15.6" hidden="1"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2:26" ht="15.6" hidden="1"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2:26" ht="15.6" hidden="1"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2:26" ht="15.6" hidden="1"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2:26" ht="15.6" hidden="1"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2:26" ht="15.6" hidden="1"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2:26" ht="15.6" hidden="1"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2:26" ht="15.6" hidden="1"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2:26" ht="15.6" hidden="1"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2:26" ht="15.6" hidden="1"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2:26" ht="15.6" hidden="1"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2:26" ht="15.6" hidden="1"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2:26" ht="15.6" hidden="1"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2:26" ht="15.6" hidden="1"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2:26" ht="15.6" hidden="1"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2:26" ht="15.6" hidden="1"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2:26" ht="15.6" hidden="1"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2:26" ht="15.6" hidden="1"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2:26" ht="15.6" hidden="1"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2:26" ht="15.6" hidden="1"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2:26" ht="15.6" hidden="1"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2:26" ht="15.6" hidden="1"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2:26" ht="15.6" hidden="1"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2:26" ht="15.6" hidden="1"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2:26" ht="15.6" hidden="1"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2:26" ht="15.6" hidden="1"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2:26" ht="15.6" hidden="1"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2:26" ht="15.6" hidden="1"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2:26" ht="15.6" hidden="1"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2:26" ht="15.6" hidden="1"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2:26" ht="15.6" hidden="1"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2:26" ht="15.6" hidden="1"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2:26" ht="15.6" hidden="1"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2:26" ht="15.6" hidden="1"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2:26" ht="15.6" hidden="1"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2:26" ht="15.6" hidden="1"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2:26" ht="15.6" hidden="1"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2:26" ht="15.6" hidden="1"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2:26" ht="15.6" hidden="1"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2:26" ht="15.6" hidden="1"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2:26" ht="15.6" hidden="1"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2:26" ht="15.6" hidden="1"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2:26" ht="15.6" hidden="1"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2:26" ht="15.6" hidden="1"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2:26" ht="15.6" hidden="1"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2:26" ht="15.6" hidden="1"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2:26" ht="15.6" hidden="1"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2:26" ht="15.6" hidden="1"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2:26" ht="15.6" hidden="1"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2:26" ht="15.6" hidden="1"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2:26" ht="15.6" hidden="1"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2:26" ht="15.6" hidden="1"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2:26" ht="15.6" hidden="1"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2:26" ht="15.6" hidden="1"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2:26" ht="15.6" hidden="1"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2:26" ht="15.6" hidden="1"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2:26" ht="15.6" hidden="1"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2:26" ht="15.6" hidden="1"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2:26" ht="15.6" hidden="1"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2:26" ht="15.6" hidden="1"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2:26" ht="15.6" hidden="1"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2:26" ht="15.6" hidden="1"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2:26" ht="15.6" hidden="1"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2:26" ht="15.6" hidden="1"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2:26" ht="15.6" hidden="1"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2:26" ht="15.6" hidden="1"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2:26" ht="15.6" hidden="1"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2:26" ht="15.6" hidden="1"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2:26" ht="15.6" hidden="1"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2:26" ht="15.6" hidden="1"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2:26" ht="15.6" hidden="1"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2:26" ht="15.6" hidden="1"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2:26" ht="15.6" hidden="1"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2:26" ht="15.6" hidden="1"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2:26" ht="15.6" hidden="1"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2:26" ht="15.6" hidden="1"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2:26" ht="15.6" hidden="1"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2:26" ht="15.6" hidden="1"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2:26" ht="15.6" hidden="1"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2:26" ht="15.6" hidden="1"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2:26" ht="15.6" hidden="1"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2:26" ht="15.6" hidden="1"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2:26" ht="15.6" hidden="1"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2:26" ht="15.6" hidden="1"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2:26" ht="15.6" hidden="1"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2:26" ht="15.6" hidden="1"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2:26" ht="15.6" hidden="1"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2:26" ht="15.6" hidden="1"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2:26" ht="15.6" hidden="1"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2:26" ht="15.6" hidden="1"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2:26" ht="15.6" hidden="1"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2:26" ht="15.6" hidden="1"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2:26" ht="15.6" hidden="1"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2:26" ht="15.6" hidden="1"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2:26" ht="15.6" hidden="1"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2:26" ht="15.6" hidden="1"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2:26" ht="15.6" hidden="1"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2:26" ht="15.6" hidden="1"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2:26" ht="15.6" hidden="1"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2:26" ht="15.6" hidden="1"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2:26" ht="15.6" hidden="1"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2:26" ht="15.6" hidden="1"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2:26" ht="15.6" hidden="1"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2:26" ht="15.6" hidden="1"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2:26" ht="15.6" hidden="1"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2:26" ht="15.6" hidden="1"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2:26" ht="15.6" hidden="1"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2:26" ht="15.6" hidden="1"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2:26" ht="15.6" hidden="1"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2:26" ht="15.6" hidden="1"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2:26" ht="15.6" hidden="1"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2:26" ht="15.6" hidden="1"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2:26" ht="15.6" hidden="1"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2:26" ht="15.6" hidden="1"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2:26" ht="15.6" hidden="1"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2:26" ht="15.6" hidden="1"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2:26" ht="15.6" hidden="1"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2:26" ht="15.6" hidden="1"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2:26" ht="15.6" hidden="1"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2:26" ht="15.6" hidden="1"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2:26" ht="15.6" hidden="1"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2:26" ht="15.6" hidden="1"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2:26" ht="15.6" hidden="1"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2:26" ht="15.6" hidden="1"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2:26" ht="15.6" hidden="1"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2:26" ht="15.6" hidden="1"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2:26" ht="15.6" hidden="1"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2:26" ht="15.6" hidden="1"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2:26" ht="15.6" hidden="1"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2:26" ht="15.6" hidden="1"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2:26" ht="15.6" hidden="1"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2:26" ht="15.6" hidden="1"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2:26" ht="15.6" hidden="1"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2:26" ht="15.6" hidden="1"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2:26" ht="15.6" hidden="1"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2:26" ht="15.6" hidden="1"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2:26" ht="15.6" hidden="1"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2:26" ht="15.6" hidden="1"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2:26" ht="15.6" hidden="1"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2:26" ht="15.6" hidden="1"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2:26" ht="15.6" hidden="1"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2:26" ht="15.6" hidden="1"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2:26" ht="15.6" hidden="1"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2:26" ht="15.6" hidden="1"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2:26" ht="15.6" hidden="1"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2:26" ht="15.6" hidden="1"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2:26" ht="15.6" hidden="1"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2:26" ht="15.6" hidden="1"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2:26" ht="15.6" hidden="1"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2:26" ht="15.6" hidden="1"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2:26" ht="15.6" hidden="1"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2:26" ht="15.6" hidden="1"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2:26" ht="15.6" hidden="1"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2:26" ht="15.6" hidden="1"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2:26" ht="15.6" hidden="1"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2:26" ht="15.6" hidden="1"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2:26" ht="15.6" hidden="1"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2:26" ht="15.6" hidden="1"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2:26" ht="15.6" hidden="1"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2:26" ht="15.6" hidden="1"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2:26" ht="15.6" hidden="1"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2:26" ht="15.6" hidden="1"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2:26" ht="15.6" hidden="1"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2:26" ht="15.6" hidden="1"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2:26" ht="15.6" hidden="1"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2:26" ht="15.6" hidden="1"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2:26" ht="15.6" hidden="1"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2:26" ht="15.6" hidden="1"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2:26" ht="15.6" hidden="1"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2:26" ht="15.6" hidden="1"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2:26" ht="15.6" hidden="1"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2:26" ht="15.6" hidden="1"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2:26" ht="15.6" hidden="1"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2:26" ht="15.6" hidden="1"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2:26" ht="15.6" hidden="1"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2:26" ht="15.6" hidden="1"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2:26" ht="15.6" hidden="1"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2:26" ht="15.6" hidden="1"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2:26" ht="15.6" hidden="1"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2:26" ht="15.6" hidden="1"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2:26" ht="15.6" hidden="1"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2:26" ht="15.6" hidden="1"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2:26" ht="15.6" hidden="1"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2:26" ht="15.6" hidden="1"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2:26" ht="15.6" hidden="1"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2:26" ht="15.6" hidden="1"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2:26" ht="15.6" hidden="1"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2:26" ht="15.6" hidden="1"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2:26" ht="15.6" hidden="1"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2:26" ht="15.6" hidden="1"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2:26" ht="15.6" hidden="1"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2:26" ht="15.6" hidden="1"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2:26" ht="15.6" hidden="1"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2:26" ht="15.6" hidden="1"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2:26" ht="15.6" hidden="1"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2:26" ht="15.6" hidden="1"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2:26" ht="15.6" hidden="1"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2:26" ht="15.6" hidden="1"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2:26" ht="15.6" hidden="1"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2:26" ht="15.6" hidden="1"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2:26" ht="15.6" hidden="1"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2:26" ht="15.6" hidden="1"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2:26" ht="15.6" hidden="1"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2:26" ht="15.6" hidden="1"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2:26" ht="15.6" hidden="1"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2:26" ht="15.6" hidden="1"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2:26" ht="15.6" hidden="1"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2:26" ht="15.6" hidden="1"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2:26" ht="15.6" hidden="1"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2:26" ht="15.6" hidden="1"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2:26" ht="15.6" hidden="1"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2:26" ht="15.6" hidden="1"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2:26" ht="15.6" hidden="1"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2:26" ht="15.6" hidden="1"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2:26" ht="15.6" hidden="1"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2:26" ht="15.6" hidden="1"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2:26" ht="15.6" hidden="1"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2:26" ht="15.6" hidden="1"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2:26" ht="15.6" hidden="1"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2:26" ht="15.6" hidden="1"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2:26" ht="15.6" hidden="1"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2:26" ht="15.6" hidden="1"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2:26" ht="15.6" hidden="1"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2:26" ht="15.6" hidden="1"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2:26" ht="15.6" hidden="1"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2:26" ht="15.6" hidden="1"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2:26" ht="15.6" hidden="1"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2:26" ht="15.6" hidden="1"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2:26" ht="15.6" hidden="1"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2:26" ht="15.6" hidden="1"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2:26" ht="15.6" hidden="1"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2:26" ht="15.6" hidden="1"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2:26" ht="15.6" hidden="1"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2:26" ht="15.6" hidden="1"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2:26" ht="15.6" hidden="1"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2:26" ht="15.6" hidden="1"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2:26" ht="15.6" hidden="1"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2:26" ht="15.6" hidden="1"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2:26" ht="15.6" hidden="1"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2:26" ht="15.6" hidden="1"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2:26" ht="15.6" hidden="1"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2:26" ht="15.6" hidden="1"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2:26" ht="15.6" hidden="1"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2:26" ht="15.6" hidden="1"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2:26" ht="15.6" hidden="1"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2:26" ht="15.6" hidden="1"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2:26" ht="15.6" hidden="1"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2:26" ht="15.6" hidden="1"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2:26" ht="15.6" hidden="1"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2:26" ht="15.6" hidden="1"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2:26" ht="15.6" hidden="1"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2:26" ht="15.6" hidden="1"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2:26" ht="15.6" hidden="1"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2:26" ht="15.6" hidden="1"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2:26" ht="15.6" hidden="1"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2:26" ht="15.6" hidden="1"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2:26" ht="15.6" hidden="1"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2:26" ht="15.6" hidden="1"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2:26" ht="15.6" hidden="1"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2:26" ht="15.6" hidden="1"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2:26" ht="15.6" hidden="1"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2:26" ht="15.6" hidden="1"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2:26" ht="15.6" hidden="1"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2:26" ht="15.6" hidden="1"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2:26" ht="15.6" hidden="1"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2:26" ht="15.6" hidden="1"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2:26" ht="15.6" hidden="1"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2:26" ht="15.6" hidden="1"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2:26" ht="15.6" hidden="1"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2:26" ht="15.6" hidden="1"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2:26" ht="15.6" hidden="1"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2:26" ht="15.6" hidden="1"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2:26" ht="15.6" hidden="1"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2:26" ht="15.6" hidden="1"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2:26" ht="15.6" hidden="1"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2:26" ht="15.6" hidden="1"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2:26" ht="15.6" hidden="1"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2:26" ht="15.6" hidden="1"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2:26" ht="15.6" hidden="1"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2:26" ht="15.6" hidden="1"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2:26" ht="15.6" hidden="1"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2:26" ht="15.6" hidden="1"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2:26" ht="15.6" hidden="1"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2:26" ht="15.6" hidden="1"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2:26" ht="15.6" hidden="1"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2:26" ht="15.6" hidden="1"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2:26" ht="15.6" hidden="1"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2:26" ht="15.6" hidden="1"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2:26" ht="15.6" hidden="1"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2:26" ht="15.6" hidden="1"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2:26" ht="15.6" hidden="1"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2:26" ht="15.6" hidden="1"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2:26" ht="15.6" hidden="1"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2:26" ht="15.6" hidden="1"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2:26" ht="15.6" hidden="1"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2:26" ht="15.6" hidden="1"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2:26" ht="15.6" hidden="1"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2:26" ht="15.6" hidden="1"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2:26" ht="15.6" hidden="1"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2:26" ht="15.6" hidden="1"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2:26" ht="15.6" hidden="1"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2:26" ht="15.6" hidden="1"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2:26" ht="15.6" hidden="1"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2:26" ht="15.6" hidden="1"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2:26" ht="15.6" hidden="1"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2:26" ht="15.6" hidden="1"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2:26" ht="15.6" hidden="1"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2:26" ht="15.6" hidden="1"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2:26" ht="15.6" hidden="1"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2:26" ht="15.6" hidden="1"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2:26" ht="15.6" hidden="1"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2:26" ht="15.6" hidden="1"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2:26" ht="15.6" hidden="1"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2:26" ht="15.6" hidden="1"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2:26" ht="15.6" hidden="1"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2:26" ht="15.6" hidden="1"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2:26" ht="15.6" hidden="1"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2:26" ht="15.6" hidden="1"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2:26" ht="15.6" hidden="1"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2:26" ht="15.6" hidden="1"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2:26" ht="15.6" hidden="1"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2:26" ht="15.6" hidden="1"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2:26" ht="15.6" hidden="1"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2:26" ht="15.6" hidden="1"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2:26" ht="15.6" hidden="1"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2:26" ht="15.6" hidden="1"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2:26" ht="15.6" hidden="1"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2:26" ht="15.6" hidden="1"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2:26" ht="15.6" hidden="1"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2:26" ht="15.6" hidden="1"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2:26" ht="15.6" hidden="1"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2:26" ht="15.6" hidden="1"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2:26" ht="15.6" hidden="1"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2:26" ht="15.6" hidden="1"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2:26" ht="15.6" hidden="1"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2:26" ht="15.6" hidden="1"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2:26" ht="15.6" hidden="1"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2:26" ht="15.6" hidden="1"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2:26" ht="15.6" hidden="1"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2:26" ht="15.6" hidden="1"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2:26" ht="15.6" hidden="1"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2:26" ht="15.6" hidden="1"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2:26" ht="15.6" hidden="1"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2:26" ht="15.6" hidden="1"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2:26" ht="15.6" hidden="1"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2:26" ht="15.6" hidden="1"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2:26" ht="15.6" hidden="1"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2:26" ht="15.6" hidden="1"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2:26" ht="15.6" hidden="1"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2:26" ht="15.6" hidden="1"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2:26" ht="15.6" hidden="1"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2:26" ht="15.6" hidden="1"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2:26" ht="15.6" hidden="1"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2:26" ht="15.6" hidden="1"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2:26" ht="15.6" hidden="1"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2:26" ht="15.6" hidden="1"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2:26" ht="15.6" hidden="1"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2:26" ht="15.6" hidden="1"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2:26" ht="15.6" hidden="1"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2:26" ht="15.6" hidden="1"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2:26" ht="15.6" hidden="1"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2:26" ht="15.6" hidden="1"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2:26" ht="15.6" hidden="1"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2:26" ht="15.6" hidden="1"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2:26" ht="15.6" hidden="1"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2:26" ht="15.6" hidden="1"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2:26" ht="15.6" hidden="1"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2:26" ht="15.6" hidden="1"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2:26" ht="15.6" hidden="1"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2:26" ht="15.6" hidden="1"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2:26" ht="15.6" hidden="1"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2:26" ht="15.6" hidden="1"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2:26" ht="15.6" hidden="1"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2:26" ht="15.6" hidden="1"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2:26" ht="15.6" hidden="1"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2:26" ht="15.6" hidden="1"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2:26" ht="15.6" hidden="1"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2:26" ht="15.6" hidden="1"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2:26" ht="15.6" hidden="1"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2:26" ht="15.6" hidden="1"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2:26" ht="15.6" hidden="1"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2:26" ht="15.6" hidden="1"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2:26" ht="15.6" hidden="1"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2:26" ht="15.6" hidden="1"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2:26" ht="15.6" hidden="1"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2:26" ht="15.6" hidden="1"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2:26" ht="15.6" hidden="1"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2:26" ht="15.6" hidden="1"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2:26" ht="15.6" hidden="1"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2:26" ht="15.6" hidden="1"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2:26" ht="15.6" hidden="1"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2:26" ht="15.6" hidden="1"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2:26" ht="15.6" hidden="1"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2:26" ht="15.6" hidden="1"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2:26" ht="15.6" hidden="1"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2:26" ht="15.6" hidden="1"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2:26" ht="15.6" hidden="1"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2:26" ht="15.6" hidden="1"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2:26" ht="15.6" hidden="1"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2:26" ht="15.6" hidden="1"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2:26" ht="15.6" hidden="1"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2:26" ht="15.6" hidden="1"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2:26" ht="15.6" hidden="1"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2:26" ht="15.6" hidden="1"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2:26" ht="15.6" hidden="1"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2:26" ht="15.6" hidden="1"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2:26" ht="15.6" hidden="1"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2:26" ht="15.6" hidden="1"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2:26" ht="15.6" hidden="1"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2:26" ht="15.6" hidden="1"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2:26" ht="15.6" hidden="1"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2:26" ht="15.6" hidden="1"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2:26" ht="15.6" hidden="1"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2:26" ht="15.6" hidden="1"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2:26" ht="15.6" hidden="1"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2:26" ht="15.6" hidden="1"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2:26" ht="15.6" hidden="1"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2:26" ht="15.6" hidden="1"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2:26" ht="15.6" hidden="1"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2:26" ht="15.6" hidden="1"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2:26" ht="15.6" hidden="1"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2:26" ht="15.6" hidden="1"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2:26" ht="15.6" hidden="1"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2:26" ht="15.6" hidden="1"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2:26" ht="15.6" hidden="1"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2:26" ht="15.6" hidden="1"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2:26" ht="15.6" hidden="1"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2:26" ht="15.6" hidden="1"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2:26" ht="15.6" hidden="1"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2:26" ht="15.6" hidden="1"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2:26" ht="15.6" hidden="1"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2:26" ht="15.6" hidden="1"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2:26" ht="15.6" hidden="1"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2:26" ht="15.6" hidden="1"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2:26" ht="15.6" hidden="1"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2:26" ht="15.6" hidden="1"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2:26" ht="15.6" hidden="1"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2:26" ht="15.6" hidden="1"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2:26" ht="15.6" hidden="1"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2:26" ht="15.6" hidden="1"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2:26" ht="15.6" hidden="1"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2:26" ht="15.6" hidden="1"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2:26" ht="15.6" hidden="1"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2:26" ht="15.6" hidden="1"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2:26" ht="15.6" hidden="1"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2:26" ht="15.6" hidden="1"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2:26" ht="15.6" hidden="1"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2:26" ht="15.6" hidden="1"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2:26" ht="15.6" hidden="1"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2:26" ht="15.6" hidden="1"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2:26" ht="15.6" hidden="1"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2:26" ht="15.6" hidden="1"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2:26" ht="15.6" hidden="1"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2:26" ht="15.6" hidden="1"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2:26" ht="15.6" hidden="1"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2:26" ht="15.6" hidden="1"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2:26" ht="15.6" hidden="1"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2:26" ht="15.6" hidden="1"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2:26" ht="15.6" hidden="1"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2:26" ht="15.6" hidden="1"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2:26" ht="15.6" hidden="1"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2:26" ht="15.6" hidden="1"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2:26" ht="15.6" hidden="1"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2:26" ht="15.6" hidden="1"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2:26" ht="15.6" hidden="1"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2:26" ht="15.6" hidden="1"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2:26" ht="15.6" hidden="1"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2:26" ht="15.6" hidden="1"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2:26" ht="15.6" hidden="1"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2:26" ht="15.6" hidden="1"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2:26" ht="15.6" hidden="1"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2:26" ht="15.6" hidden="1"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2:26" ht="15.6" hidden="1"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2:26" ht="15.6" hidden="1"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2:26" ht="15.6" hidden="1"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2:26" ht="15.6" hidden="1"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2:26" ht="15.6" hidden="1"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2:26" ht="15.6" hidden="1"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2:26" ht="15.6" hidden="1"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2:26" ht="15.6" hidden="1"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2:26" ht="15.6" hidden="1"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2:26" ht="15.6" hidden="1"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2:26" ht="15.6" hidden="1"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2:26" ht="15.6" hidden="1"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2:26" ht="15.6" hidden="1"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2:26" ht="15.6" hidden="1"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2:26" ht="15.6" hidden="1"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2:26" ht="15.6" hidden="1"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2:26" ht="15.6" hidden="1"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2:26" ht="15.6" hidden="1"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2:26" ht="15.6" hidden="1"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2:26" ht="15.6" hidden="1"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2:26" ht="15.6" hidden="1"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2:26" ht="15.6" hidden="1"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2:26" ht="15.6" hidden="1"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2:26" ht="15.6" hidden="1"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2:26" ht="15.6" hidden="1"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2:26" ht="15.6" hidden="1"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2:26" ht="15.6" hidden="1"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2:26" ht="15.6" hidden="1"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2:26" ht="15.6" hidden="1"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2:26" ht="15.6" hidden="1"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2:26" ht="15.6" hidden="1"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2:26" ht="15.6" hidden="1"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2:26" ht="15.6" hidden="1"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2:26" ht="15.6" hidden="1"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2:26" ht="15.6" hidden="1"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2:26" ht="15.6" hidden="1"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2:26" ht="15.6" hidden="1"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2:26" ht="15.6" hidden="1"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2:26" ht="15.6" hidden="1"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2:26" ht="15.6" hidden="1"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2:26" ht="15.6" hidden="1"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2:26" ht="15.6" hidden="1"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2:26" ht="15.6" hidden="1"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2:26" ht="15.6" hidden="1"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2:26" ht="15.6" hidden="1"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2:26" ht="15.6" hidden="1"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2:26" ht="15.6" hidden="1"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2:26" ht="15.6" hidden="1"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2:26" ht="15.6" hidden="1"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2:26" ht="15.6" hidden="1"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2:26" ht="15.6" hidden="1"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2:26" ht="15.6" hidden="1"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2:26" ht="15.6" hidden="1"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2:26" ht="15.6" hidden="1"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2:26" ht="15.6" hidden="1"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2:26" ht="15.6" hidden="1"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2:26" ht="15.6" hidden="1"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2:26" ht="15.6" hidden="1"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2:26" ht="15.6" hidden="1"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2:26" ht="15.6" hidden="1"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2:26" ht="15.6" hidden="1"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2:26" ht="15.6" hidden="1"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2:26" ht="15.6" hidden="1"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2:26" ht="15.6" hidden="1"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2:26" ht="15.6" hidden="1"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2:26" ht="15.6" hidden="1"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2:26" ht="15.6" hidden="1"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2:26" ht="15.6" hidden="1"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2:26" ht="15.6" hidden="1"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2:26" ht="15.6" hidden="1"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2:26" ht="15.6" hidden="1"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2:26" ht="15.6" hidden="1"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2:26" ht="15.6" hidden="1"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2:26" ht="15.6" hidden="1"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2:26" ht="15.6" hidden="1"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2:26" ht="15.6" hidden="1"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2:26" ht="15.6" hidden="1"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2:26" ht="15.6" hidden="1"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2:26" ht="15.6" hidden="1"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2:26" ht="15.6" hidden="1"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2:26" ht="15.6" hidden="1"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2:26" ht="15.6" hidden="1"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2:26" ht="15.6" hidden="1"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2:26" ht="15.6" hidden="1"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2:26" ht="15.6" hidden="1"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2:26" ht="15.6" hidden="1"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2:26" ht="15.6" hidden="1"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2:26" ht="15.6" hidden="1"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2:26" ht="15.6" hidden="1"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2:26" ht="15.6" hidden="1"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2:26" ht="15.6" hidden="1"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2:26" ht="15.6" hidden="1"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2:26" ht="15.6" hidden="1"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2:26" ht="15.6" hidden="1"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2:26" ht="15.6" hidden="1"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2:26" ht="15.6" hidden="1"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2:26" ht="15.6" hidden="1"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2:26" ht="15.6" hidden="1"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2:26" ht="15.6" hidden="1"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2:26" ht="15.6" hidden="1"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2:26" ht="15.6" hidden="1"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2:26" ht="15.6" hidden="1"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2:26" ht="15.6" hidden="1"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2:26" ht="15.6" hidden="1"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2:26" ht="15.6" hidden="1"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2:26" ht="15.6" hidden="1"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2:26" ht="15.6" hidden="1"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2:26" ht="15.6" hidden="1"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2:26" ht="15.6" hidden="1"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2:26" ht="15.6" hidden="1"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2:26" ht="15.6" hidden="1"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2:26" ht="15.6" hidden="1"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2:26" ht="15.6" hidden="1"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2:26" ht="15.6" hidden="1"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2:26" ht="15.6" hidden="1"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2:26" ht="15.6" hidden="1"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2:26" ht="15.6" hidden="1"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2:26" ht="15.6" hidden="1"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2:26" ht="15.6" hidden="1"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2:26" ht="15.6" hidden="1"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2:26" ht="15.6" hidden="1"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2:26" ht="15.6" hidden="1"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교육과정편제표(식품제조과)</vt:lpstr>
      <vt:lpstr>실무과목 능력단위(식품제조과)</vt:lpstr>
      <vt:lpstr>삭제금지</vt:lpstr>
      <vt:lpstr>(참고1) 편성 기준🔐</vt:lpstr>
      <vt:lpstr>'교육과정편제표(식품제조과)'!Print_Area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2026-10-21T23:42:58Z</dcterms:modified>
</cp:coreProperties>
</file>