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★2027 교육과정 편성 협의\"/>
    </mc:Choice>
  </mc:AlternateContent>
  <xr:revisionPtr revIDLastSave="0" documentId="13_ncr:1_{059BF472-C5B0-4CA9-9787-A4494EB835C2}" xr6:coauthVersionLast="47" xr6:coauthVersionMax="47" xr10:uidLastSave="{00000000-0000-0000-0000-000000000000}"/>
  <bookViews>
    <workbookView xWindow="-120" yWindow="-120" windowWidth="29040" windowHeight="15720" tabRatio="795" xr2:uid="{00000000-000D-0000-FFFF-FFFF00000000}"/>
  </bookViews>
  <sheets>
    <sheet name="교육과정편제표(트래블테크과)" sheetId="8" r:id="rId1"/>
    <sheet name="교육과정편제표(소방안전과)" sheetId="20" r:id="rId2"/>
    <sheet name="교육과정편제표(보건간호과)" sheetId="19" r:id="rId3"/>
    <sheet name="실무과목 능력단위(트래블테크과)" sheetId="23" r:id="rId4"/>
    <sheet name="실무과목 능력단위(소방안전과)" sheetId="14" r:id="rId5"/>
    <sheet name="실무과목 능력단위(보건간호과)" sheetId="22" r:id="rId6"/>
    <sheet name="삭제금지" sheetId="4" r:id="rId7"/>
    <sheet name="(참고1) 편성 기준🔐" sheetId="16" r:id="rId8"/>
  </sheets>
  <definedNames>
    <definedName name="_xlnm._FilterDatabase" localSheetId="0" hidden="1">'교육과정편제표(트래블테크과)'!$M$3:$P$4</definedName>
    <definedName name="_xlnm._FilterDatabase" localSheetId="6" hidden="1">삭제금지!$A$1:$F$151</definedName>
    <definedName name="_xlnm._FilterDatabase" localSheetId="4" hidden="1">'실무과목 능력단위(소방안전과)'!#REF!</definedName>
    <definedName name="_xlnm.Print_Area" localSheetId="0">'교육과정편제표(트래블테크과)'!$A$1:$AE$64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9" i="14" l="1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U17" i="14"/>
  <c r="T17" i="14"/>
  <c r="S17" i="14"/>
  <c r="R17" i="14"/>
  <c r="Q17" i="14"/>
  <c r="P17" i="14"/>
  <c r="O17" i="14"/>
  <c r="N17" i="14"/>
  <c r="M17" i="14"/>
  <c r="L17" i="14"/>
  <c r="J17" i="14"/>
  <c r="H17" i="14"/>
  <c r="K10" i="14"/>
  <c r="I10" i="14"/>
  <c r="K9" i="14"/>
  <c r="K17" i="14" s="1"/>
  <c r="I9" i="14"/>
  <c r="I17" i="14" s="1"/>
  <c r="F10" i="23"/>
  <c r="L10" i="23"/>
  <c r="M10" i="23"/>
  <c r="N10" i="23"/>
  <c r="O10" i="23"/>
  <c r="P10" i="23"/>
  <c r="Q10" i="23"/>
  <c r="R10" i="23"/>
  <c r="S10" i="23"/>
  <c r="T10" i="23"/>
  <c r="U10" i="23"/>
  <c r="F18" i="23"/>
  <c r="L18" i="23"/>
  <c r="M18" i="23"/>
  <c r="N18" i="23"/>
  <c r="O18" i="23"/>
  <c r="T18" i="23"/>
  <c r="U18" i="23"/>
  <c r="F20" i="23"/>
  <c r="G20" i="23"/>
  <c r="N20" i="23"/>
  <c r="O20" i="23"/>
  <c r="T20" i="23"/>
  <c r="U20" i="23"/>
  <c r="F25" i="23"/>
  <c r="P25" i="23"/>
  <c r="Q25" i="23"/>
  <c r="R25" i="23"/>
  <c r="S25" i="23"/>
  <c r="T25" i="23"/>
  <c r="U25" i="23"/>
  <c r="F28" i="23"/>
  <c r="P28" i="23"/>
  <c r="Q28" i="23"/>
  <c r="R28" i="23"/>
  <c r="S28" i="23"/>
  <c r="T28" i="23"/>
  <c r="U28" i="23"/>
  <c r="F33" i="23"/>
  <c r="P33" i="23"/>
  <c r="Q33" i="23"/>
  <c r="R33" i="23"/>
  <c r="S33" i="23"/>
  <c r="T33" i="23"/>
  <c r="U33" i="23"/>
  <c r="F38" i="23"/>
  <c r="P38" i="23"/>
  <c r="Q38" i="23"/>
  <c r="R38" i="23"/>
  <c r="S38" i="23"/>
  <c r="T38" i="23"/>
  <c r="U38" i="23"/>
  <c r="F43" i="23"/>
  <c r="P43" i="23"/>
  <c r="Q43" i="23"/>
  <c r="R43" i="23"/>
  <c r="S43" i="23"/>
  <c r="T43" i="23"/>
  <c r="U43" i="23"/>
  <c r="P25" i="22"/>
  <c r="R25" i="22"/>
  <c r="S25" i="22"/>
  <c r="T25" i="22"/>
  <c r="Q25" i="22"/>
  <c r="U25" i="22"/>
  <c r="U28" i="22"/>
  <c r="T28" i="22"/>
  <c r="O28" i="22"/>
  <c r="N28" i="22"/>
  <c r="M28" i="22"/>
  <c r="L28" i="22"/>
  <c r="P34" i="22"/>
  <c r="Q34" i="22"/>
  <c r="R34" i="22"/>
  <c r="S34" i="22"/>
  <c r="T34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S20" i="22"/>
  <c r="Q54" i="8" l="1"/>
  <c r="W54" i="8" s="1"/>
  <c r="U54" i="8"/>
  <c r="S54" i="8"/>
  <c r="S56" i="19"/>
  <c r="W50" i="8"/>
  <c r="W41" i="8"/>
  <c r="W42" i="8"/>
  <c r="W43" i="8"/>
  <c r="W44" i="8"/>
  <c r="W45" i="8"/>
  <c r="W46" i="8"/>
  <c r="W47" i="8"/>
  <c r="W48" i="8"/>
  <c r="W49" i="8"/>
  <c r="W38" i="8"/>
  <c r="W39" i="8"/>
  <c r="W40" i="8"/>
  <c r="T19" i="22"/>
  <c r="S19" i="22"/>
  <c r="U19" i="22" s="1"/>
  <c r="T18" i="22"/>
  <c r="S18" i="22"/>
  <c r="U18" i="22" s="1"/>
  <c r="T17" i="22"/>
  <c r="S17" i="22"/>
  <c r="U17" i="22" s="1"/>
  <c r="Q16" i="22"/>
  <c r="U16" i="22" s="1"/>
  <c r="T15" i="22"/>
  <c r="S15" i="22"/>
  <c r="Q15" i="22"/>
  <c r="K15" i="22"/>
  <c r="I15" i="22"/>
  <c r="T14" i="22"/>
  <c r="S14" i="22"/>
  <c r="Q14" i="22"/>
  <c r="K14" i="22"/>
  <c r="I14" i="22"/>
  <c r="U15" i="22" l="1"/>
  <c r="U14" i="22"/>
  <c r="U20" i="22" s="1"/>
  <c r="R13" i="22" l="1"/>
  <c r="P13" i="22"/>
  <c r="O13" i="22"/>
  <c r="N13" i="22"/>
  <c r="M13" i="22"/>
  <c r="L13" i="22"/>
  <c r="K13" i="22"/>
  <c r="J13" i="22"/>
  <c r="I13" i="22"/>
  <c r="H13" i="22"/>
  <c r="Q13" i="22" l="1"/>
  <c r="S13" i="22"/>
  <c r="T13" i="22"/>
  <c r="U13" i="22" l="1"/>
  <c r="O56" i="19" l="1"/>
  <c r="Q56" i="19"/>
  <c r="S58" i="19"/>
  <c r="U56" i="19"/>
  <c r="U58" i="19" s="1"/>
  <c r="M56" i="19"/>
  <c r="K56" i="19"/>
  <c r="J56" i="19"/>
  <c r="W55" i="19"/>
  <c r="W53" i="19"/>
  <c r="J53" i="20"/>
  <c r="U53" i="20"/>
  <c r="S53" i="20"/>
  <c r="W18" i="20"/>
  <c r="W17" i="20"/>
  <c r="S64" i="19"/>
  <c r="O64" i="19"/>
  <c r="K64" i="19"/>
  <c r="W63" i="19"/>
  <c r="W62" i="19"/>
  <c r="AA63" i="19" s="1"/>
  <c r="Y59" i="19"/>
  <c r="W59" i="19"/>
  <c r="Y56" i="19"/>
  <c r="W50" i="19"/>
  <c r="W48" i="19"/>
  <c r="W47" i="19"/>
  <c r="W46" i="19"/>
  <c r="W45" i="19"/>
  <c r="W44" i="19"/>
  <c r="W43" i="19"/>
  <c r="W42" i="19"/>
  <c r="W41" i="19"/>
  <c r="W40" i="19"/>
  <c r="W39" i="19"/>
  <c r="W38" i="19"/>
  <c r="W37" i="19"/>
  <c r="W36" i="19"/>
  <c r="Y35" i="19"/>
  <c r="U35" i="19"/>
  <c r="S35" i="19"/>
  <c r="Q35" i="19"/>
  <c r="O35" i="19"/>
  <c r="M35" i="19"/>
  <c r="M58" i="19" s="1"/>
  <c r="K35" i="19"/>
  <c r="W32" i="19"/>
  <c r="W30" i="19"/>
  <c r="W29" i="19"/>
  <c r="W28" i="19"/>
  <c r="W27" i="19"/>
  <c r="W26" i="19"/>
  <c r="J26" i="19"/>
  <c r="W25" i="19"/>
  <c r="X25" i="19" s="1"/>
  <c r="J25" i="19"/>
  <c r="J35" i="19" s="1"/>
  <c r="W24" i="19"/>
  <c r="W23" i="19"/>
  <c r="W22" i="19"/>
  <c r="W21" i="19"/>
  <c r="W20" i="19"/>
  <c r="W19" i="19"/>
  <c r="W18" i="19"/>
  <c r="W17" i="19"/>
  <c r="W16" i="19"/>
  <c r="W15" i="19"/>
  <c r="W14" i="19"/>
  <c r="W13" i="19"/>
  <c r="X13" i="19" s="1"/>
  <c r="W12" i="19"/>
  <c r="W11" i="19"/>
  <c r="W10" i="19"/>
  <c r="W9" i="19"/>
  <c r="S61" i="20"/>
  <c r="O61" i="20"/>
  <c r="K61" i="20"/>
  <c r="W60" i="20"/>
  <c r="W59" i="20"/>
  <c r="AA60" i="20" s="1"/>
  <c r="Y56" i="20"/>
  <c r="W56" i="20"/>
  <c r="Y53" i="20"/>
  <c r="Y55" i="20" s="1"/>
  <c r="Q53" i="20"/>
  <c r="O53" i="20"/>
  <c r="M53" i="20"/>
  <c r="K53" i="20"/>
  <c r="W52" i="20"/>
  <c r="W50" i="20"/>
  <c r="W49" i="20"/>
  <c r="W48" i="20"/>
  <c r="W47" i="20"/>
  <c r="W46" i="20"/>
  <c r="W45" i="20"/>
  <c r="W44" i="20"/>
  <c r="W43" i="20"/>
  <c r="W42" i="20"/>
  <c r="W41" i="20"/>
  <c r="W40" i="20"/>
  <c r="W39" i="20"/>
  <c r="W38" i="20"/>
  <c r="Y37" i="20"/>
  <c r="U37" i="20"/>
  <c r="S37" i="20"/>
  <c r="Q37" i="20"/>
  <c r="O37" i="20"/>
  <c r="M37" i="20"/>
  <c r="K37" i="20"/>
  <c r="K55" i="20" s="1"/>
  <c r="W34" i="20"/>
  <c r="W32" i="20"/>
  <c r="W31" i="20"/>
  <c r="W30" i="20"/>
  <c r="W29" i="20"/>
  <c r="W28" i="20"/>
  <c r="J28" i="20"/>
  <c r="W27" i="20"/>
  <c r="J27" i="20"/>
  <c r="J37" i="20" s="1"/>
  <c r="W26" i="20"/>
  <c r="W25" i="20"/>
  <c r="X25" i="20" s="1"/>
  <c r="W24" i="20"/>
  <c r="W23" i="20"/>
  <c r="W22" i="20"/>
  <c r="W21" i="20"/>
  <c r="X21" i="20" s="1"/>
  <c r="W20" i="20"/>
  <c r="W19" i="20"/>
  <c r="W16" i="20"/>
  <c r="W15" i="20"/>
  <c r="W14" i="20"/>
  <c r="W13" i="20"/>
  <c r="X13" i="20" s="1"/>
  <c r="W12" i="20"/>
  <c r="W11" i="20"/>
  <c r="W10" i="20"/>
  <c r="W9" i="20"/>
  <c r="Q58" i="19" l="1"/>
  <c r="O58" i="19"/>
  <c r="K58" i="19"/>
  <c r="J58" i="19"/>
  <c r="M55" i="20"/>
  <c r="O55" i="20"/>
  <c r="J55" i="20"/>
  <c r="U55" i="20"/>
  <c r="X15" i="19"/>
  <c r="W61" i="20"/>
  <c r="X19" i="19"/>
  <c r="Y58" i="19"/>
  <c r="X9" i="19"/>
  <c r="X9" i="20"/>
  <c r="X23" i="20"/>
  <c r="W35" i="19"/>
  <c r="AA35" i="19" s="1"/>
  <c r="Q55" i="20"/>
  <c r="X23" i="19"/>
  <c r="W64" i="19"/>
  <c r="W56" i="19"/>
  <c r="X21" i="19"/>
  <c r="S55" i="20"/>
  <c r="W53" i="20"/>
  <c r="X27" i="20"/>
  <c r="W37" i="20"/>
  <c r="AA37" i="20" s="1"/>
  <c r="X15" i="20"/>
  <c r="Y63" i="19"/>
  <c r="AA65" i="19" s="1"/>
  <c r="Y60" i="20"/>
  <c r="AA62" i="20" s="1"/>
  <c r="W17" i="8"/>
  <c r="W37" i="8"/>
  <c r="W11" i="8"/>
  <c r="W58" i="19" l="1"/>
  <c r="AA60" i="19" s="1"/>
  <c r="W55" i="20"/>
  <c r="AA57" i="20" s="1"/>
  <c r="S62" i="8"/>
  <c r="O62" i="8"/>
  <c r="K62" i="8"/>
  <c r="W61" i="8"/>
  <c r="Y61" i="8" s="1"/>
  <c r="W60" i="8"/>
  <c r="AA61" i="8" s="1"/>
  <c r="Y57" i="8"/>
  <c r="W57" i="8"/>
  <c r="Y54" i="8"/>
  <c r="O54" i="8"/>
  <c r="M54" i="8"/>
  <c r="K54" i="8"/>
  <c r="J54" i="8"/>
  <c r="W36" i="8"/>
  <c r="Y35" i="8"/>
  <c r="U35" i="8"/>
  <c r="S35" i="8"/>
  <c r="Q35" i="8"/>
  <c r="O35" i="8"/>
  <c r="M35" i="8"/>
  <c r="K35" i="8"/>
  <c r="W32" i="8"/>
  <c r="W30" i="8"/>
  <c r="W29" i="8"/>
  <c r="W28" i="8"/>
  <c r="W27" i="8"/>
  <c r="W26" i="8"/>
  <c r="J26" i="8"/>
  <c r="W25" i="8"/>
  <c r="J25" i="8"/>
  <c r="W24" i="8"/>
  <c r="W23" i="8"/>
  <c r="W22" i="8"/>
  <c r="W21" i="8"/>
  <c r="W20" i="8"/>
  <c r="W19" i="8"/>
  <c r="W18" i="8"/>
  <c r="W16" i="8"/>
  <c r="W15" i="8"/>
  <c r="W14" i="8"/>
  <c r="W13" i="8"/>
  <c r="W12" i="8"/>
  <c r="W10" i="8"/>
  <c r="W9" i="8"/>
  <c r="J35" i="8" l="1"/>
  <c r="J56" i="8" s="1"/>
  <c r="X25" i="8"/>
  <c r="O56" i="8"/>
  <c r="X21" i="8"/>
  <c r="X15" i="8"/>
  <c r="M56" i="8"/>
  <c r="W62" i="8"/>
  <c r="Q56" i="8"/>
  <c r="U56" i="8"/>
  <c r="X23" i="8"/>
  <c r="S56" i="8"/>
  <c r="X13" i="8"/>
  <c r="X9" i="8"/>
  <c r="AA63" i="8"/>
  <c r="Y56" i="8"/>
  <c r="W35" i="8"/>
  <c r="AA35" i="8" s="1"/>
  <c r="X19" i="8"/>
  <c r="K56" i="8"/>
  <c r="W56" i="8" l="1"/>
  <c r="AA5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8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4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0" authorId="0" shapeId="0" xr:uid="{8D8E7502-3F6E-40C4-96ED-12EFEDF9865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3" authorId="0" shapeId="0" xr:uid="{8BCDE96B-A4A0-4BE9-BE5E-F7DDE331E4F6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8" authorId="0" shapeId="0" xr:uid="{171D570B-6ADF-4DFB-BDE7-3475A921DE07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6" authorId="0" shapeId="0" xr:uid="{48EB375E-BAA2-4B77-B3E8-76B6116FD02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<sst xmlns="http://schemas.openxmlformats.org/spreadsheetml/2006/main" count="2061" uniqueCount="775">
  <si>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</si>
  <si>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</si>
  <si>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</si>
  <si>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</si>
  <si>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</si>
  <si>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</si>
  <si>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</si>
  <si>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</si>
  <si>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</si>
  <si>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</si>
  <si>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</si>
  <si>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</si>
  <si>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</si>
  <si>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</si>
  <si>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</si>
  <si>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</si>
  <si>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</si>
  <si>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</si>
  <si>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</si>
  <si>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</si>
  <si>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</si>
  <si>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</si>
  <si>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</si>
  <si>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</si>
  <si>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</si>
  <si>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</si>
  <si>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</si>
  <si>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</si>
  <si>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</si>
  <si>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</si>
  <si>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</si>
  <si>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</si>
  <si>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</si>
  <si>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</si>
  <si>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</si>
  <si>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</si>
  <si>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</si>
  <si>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</si>
  <si>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</si>
  <si>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</si>
  <si>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</si>
  <si>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</si>
  <si>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</si>
  <si>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</si>
  <si>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</si>
  <si>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</si>
  <si>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</si>
  <si>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</si>
  <si>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</si>
  <si>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</si>
  <si>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</si>
  <si>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</si>
  <si>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</si>
  <si>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</si>
  <si>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</si>
  <si>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</si>
  <si>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</si>
  <si>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</si>
  <si>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</si>
  <si>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</si>
  <si>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</si>
  <si>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</si>
  <si>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</si>
  <si>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</si>
  <si>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</si>
  <si>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</si>
  <si>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</si>
  <si>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</si>
  <si>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</si>
  <si>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</si>
  <si>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</si>
  <si>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</si>
  <si>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</si>
  <si>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</si>
  <si>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</si>
  <si>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</si>
  <si>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</si>
  <si>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</si>
  <si>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</si>
  <si>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</si>
  <si>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</si>
  <si>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</si>
  <si>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</si>
  <si>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</si>
  <si>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</si>
  <si>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</si>
  <si>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</si>
  <si>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</si>
  <si>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</si>
  <si>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</si>
  <si>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</si>
  <si>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</si>
  <si>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</si>
  <si>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</si>
  <si>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</si>
  <si>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</si>
  <si>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</si>
  <si>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</si>
  <si>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</si>
  <si>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</si>
  <si>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</si>
  <si>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</si>
  <si>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</si>
  <si>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</si>
  <si>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</si>
  <si>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</si>
  <si>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</si>
  <si>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</si>
  <si>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</si>
  <si>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</si>
  <si>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</si>
  <si>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</si>
  <si>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</si>
  <si>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</si>
  <si>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</si>
  <si>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</si>
  <si>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</si>
  <si>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</si>
  <si>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</si>
  <si>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</si>
  <si>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</si>
  <si>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</si>
  <si>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</si>
  <si>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</si>
  <si>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</si>
  <si>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</si>
  <si>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</si>
  <si>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</si>
  <si>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</si>
  <si>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</si>
  <si>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</si>
  <si>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</si>
  <si>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</si>
  <si>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</si>
  <si>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</si>
  <si>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</si>
  <si>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</si>
  <si>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</si>
  <si>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</si>
  <si>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</si>
  <si>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</si>
  <si>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</si>
  <si>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</si>
  <si>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</si>
  <si>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</si>
  <si>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</si>
  <si>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</si>
  <si>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</si>
  <si>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</si>
  <si>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</si>
  <si>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</si>
  <si>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</si>
  <si>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</si>
  <si>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</si>
  <si>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</si>
  <si>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</si>
  <si>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</si>
  <si>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</si>
  <si>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</si>
  <si>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</si>
  <si>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</si>
  <si>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</si>
  <si>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</si>
  <si>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</si>
  <si>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</si>
  <si>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</si>
  <si>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</si>
  <si>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</si>
  <si>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</si>
  <si>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</si>
  <si>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</si>
  <si>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</si>
  <si>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</si>
  <si>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</si>
  <si>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</si>
  <si>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</si>
  <si>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</si>
  <si>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</si>
  <si>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</si>
  <si>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</si>
  <si>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</si>
  <si>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</si>
  <si>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</si>
  <si>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</si>
  <si>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</si>
  <si>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</si>
  <si>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</si>
  <si>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</si>
  <si>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</si>
  <si>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</si>
  <si>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</si>
  <si>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</si>
  <si>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</si>
  <si>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</si>
  <si>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</si>
  <si>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</si>
  <si>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</si>
  <si>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</si>
  <si>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</si>
  <si>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</si>
  <si>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</si>
  <si>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</si>
  <si>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</si>
  <si>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</si>
  <si>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</si>
  <si>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</si>
  <si>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</si>
  <si>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</si>
  <si>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</si>
  <si>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</si>
  <si>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</si>
  <si>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</si>
  <si>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</si>
  <si>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</si>
  <si>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</si>
  <si>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</si>
  <si>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</si>
  <si>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</si>
  <si>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</si>
  <si>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</si>
  <si>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</si>
  <si>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</si>
  <si>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</si>
  <si>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</si>
  <si>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</si>
  <si>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</si>
  <si>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</si>
  <si>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</si>
  <si>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</si>
  <si>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</si>
  <si>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</si>
  <si>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</si>
  <si>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</si>
  <si>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</si>
  <si>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</si>
  <si>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</si>
  <si>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</si>
  <si>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</si>
  <si>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</si>
  <si>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</si>
  <si>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</si>
  <si>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</si>
  <si>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</si>
  <si>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</si>
  <si>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</si>
  <si>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</si>
  <si>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</si>
  <si>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</si>
  <si>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</si>
  <si>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</si>
  <si>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</si>
  <si>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</si>
  <si>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</si>
  <si>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</si>
  <si>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</si>
  <si>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</si>
  <si>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</si>
  <si>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</si>
  <si>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</si>
  <si>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</si>
  <si>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</si>
  <si>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</si>
  <si>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</si>
  <si>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</si>
  <si>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</si>
  <si>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</si>
  <si>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</si>
  <si>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</si>
  <si>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</si>
  <si>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</si>
  <si>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</si>
  <si>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</si>
  <si>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</si>
  <si>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</si>
  <si>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</si>
  <si>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</si>
  <si>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</si>
  <si>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</si>
  <si>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</si>
  <si>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</si>
  <si>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</si>
  <si>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</si>
  <si>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</si>
  <si>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</si>
  <si>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</si>
  <si>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</si>
  <si>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</si>
  <si>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</si>
  <si>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</si>
  <si>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</si>
  <si>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</si>
  <si>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</si>
  <si>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</si>
  <si>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</si>
  <si>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</si>
  <si>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</si>
  <si>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</si>
  <si>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</si>
  <si>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</si>
  <si>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</si>
  <si>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</si>
  <si>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</si>
  <si>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</si>
  <si>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</si>
  <si>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</si>
  <si>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</si>
  <si>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</si>
  <si>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</si>
  <si>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</si>
  <si>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</si>
  <si>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</si>
  <si>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</si>
  <si>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</si>
  <si>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</si>
  <si>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</si>
  <si>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</si>
  <si>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</si>
  <si>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</si>
  <si>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</si>
  <si>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</si>
  <si>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</si>
  <si>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</si>
  <si>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</si>
  <si>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</si>
  <si>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</si>
  <si>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</si>
  <si>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</si>
  <si>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</si>
  <si>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</si>
  <si>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</si>
  <si>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</si>
  <si>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</si>
  <si>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</si>
  <si>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</si>
  <si>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</si>
  <si>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</si>
  <si>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</si>
  <si>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</si>
  <si>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</si>
  <si>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</si>
  <si>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</si>
  <si>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</si>
  <si>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</si>
  <si>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</si>
  <si>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</si>
  <si>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</si>
  <si>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</si>
  <si>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</si>
  <si>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</si>
  <si>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</si>
  <si>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</si>
  <si>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</si>
  <si>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</si>
  <si>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</si>
  <si>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</si>
  <si>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</si>
  <si>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</si>
  <si>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</si>
  <si>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</si>
  <si>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</si>
  <si>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</si>
  <si>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</si>
  <si>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</si>
  <si>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</si>
  <si>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</si>
  <si>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</si>
  <si>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</si>
  <si>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</si>
  <si>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</si>
  <si>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</si>
  <si>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</si>
  <si>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</si>
  <si>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</si>
  <si>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</si>
  <si>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</si>
  <si>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</si>
  <si>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</si>
  <si>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</si>
  <si>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</si>
  <si>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</si>
  <si>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</si>
  <si>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</si>
  <si>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</si>
  <si>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</si>
  <si>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</si>
  <si>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</si>
  <si>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</si>
  <si>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</si>
  <si>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</si>
  <si>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</si>
  <si>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</si>
  <si>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</si>
  <si>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</si>
  <si>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</si>
  <si>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</si>
  <si>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</si>
  <si>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</si>
  <si>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</si>
  <si>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</si>
  <si>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</si>
  <si>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</si>
  <si>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</si>
  <si>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</si>
  <si>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</si>
  <si>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</si>
  <si>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</si>
  <si>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</si>
  <si>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</si>
  <si>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</si>
  <si>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</si>
  <si>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</si>
  <si>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</si>
  <si>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</si>
  <si>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</si>
  <si>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</si>
  <si>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</si>
  <si>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</si>
  <si>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</si>
  <si>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</si>
  <si>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</si>
  <si>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</si>
  <si>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</si>
  <si>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</si>
  <si>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</si>
  <si>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</si>
  <si>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</si>
  <si>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</si>
  <si>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</si>
  <si>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</si>
  <si>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</si>
  <si>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</si>
  <si>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</si>
  <si>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</si>
  <si>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</si>
  <si>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</si>
  <si>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</si>
  <si>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</si>
  <si>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</si>
  <si>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</si>
  <si>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</si>
  <si>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</si>
  <si>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</si>
  <si>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</si>
  <si>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</si>
  <si>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</si>
  <si>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</si>
  <si>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</si>
  <si>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</si>
  <si>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</si>
  <si>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</si>
  <si>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</si>
  <si>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</si>
  <si>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</si>
  <si>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</si>
  <si>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</si>
  <si>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</si>
  <si>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</si>
  <si>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</si>
  <si>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</si>
  <si>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</si>
  <si>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</si>
  <si>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</si>
  <si>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</si>
  <si>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</si>
  <si>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</si>
  <si>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</si>
  <si>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</si>
  <si>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</si>
  <si>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</si>
  <si>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</si>
  <si>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</si>
  <si>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</si>
  <si>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</si>
  <si>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</si>
  <si>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</si>
  <si>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</si>
  <si>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</si>
  <si>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</si>
  <si>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</si>
  <si>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</si>
  <si>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</si>
  <si>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</si>
  <si>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</si>
  <si>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</si>
  <si>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</si>
  <si>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</si>
  <si>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</si>
  <si>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</si>
  <si>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</si>
  <si>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</si>
  <si>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</si>
  <si>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</si>
  <si>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</si>
  <si>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</si>
  <si>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</si>
  <si>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</si>
  <si>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</si>
  <si>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</si>
  <si>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</si>
  <si>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</si>
  <si>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</si>
  <si>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</si>
  <si>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</si>
  <si>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</si>
  <si>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</si>
  <si>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</si>
  <si>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</si>
  <si>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</si>
  <si>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</si>
  <si>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</si>
  <si>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</si>
  <si>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최홍미</t>
    <phoneticPr fontId="9" type="noConversion"/>
  </si>
  <si>
    <t>962-0017</t>
    <phoneticPr fontId="9" type="noConversion"/>
  </si>
  <si>
    <t>960-0111</t>
    <phoneticPr fontId="9" type="noConversion"/>
  </si>
  <si>
    <t>공주정보고등학교</t>
    <phoneticPr fontId="9" type="noConversion"/>
  </si>
  <si>
    <t>문학</t>
    <phoneticPr fontId="9" type="noConversion"/>
  </si>
  <si>
    <t>영어 2</t>
    <phoneticPr fontId="9" type="noConversion"/>
  </si>
  <si>
    <t>영어 1</t>
    <phoneticPr fontId="9" type="noConversion"/>
  </si>
  <si>
    <t>스포츠 과학</t>
    <phoneticPr fontId="9" type="noConversion"/>
  </si>
  <si>
    <t>운동과 건강</t>
    <phoneticPr fontId="9" type="noConversion"/>
  </si>
  <si>
    <t>스포츠 문화</t>
    <phoneticPr fontId="9" type="noConversion"/>
  </si>
  <si>
    <t>인공지능기초</t>
    <phoneticPr fontId="9" type="noConversion"/>
  </si>
  <si>
    <t>환경안전소방</t>
  </si>
  <si>
    <t>환경·안전·소방</t>
    <phoneticPr fontId="9" type="noConversion"/>
  </si>
  <si>
    <t>타학과
융합형</t>
    <phoneticPr fontId="9" type="noConversion"/>
  </si>
  <si>
    <t>보건·복지</t>
  </si>
  <si>
    <t>소방과</t>
  </si>
  <si>
    <t>소방안전과</t>
    <phoneticPr fontId="9" type="noConversion"/>
  </si>
  <si>
    <t>간호과</t>
  </si>
  <si>
    <t>보건간호과</t>
    <phoneticPr fontId="9" type="noConversion"/>
  </si>
  <si>
    <t>인체구조와 기능</t>
    <phoneticPr fontId="5" type="noConversion"/>
  </si>
  <si>
    <t>간호의 기초</t>
    <phoneticPr fontId="5" type="noConversion"/>
  </si>
  <si>
    <t>보건·간호</t>
  </si>
  <si>
    <t>보건·간호</t>
    <phoneticPr fontId="9" type="noConversion"/>
  </si>
  <si>
    <t>미용의 기초</t>
    <phoneticPr fontId="9" type="noConversion"/>
  </si>
  <si>
    <t>일반선택</t>
    <phoneticPr fontId="9" type="noConversion"/>
  </si>
  <si>
    <t>공주정보고등학교</t>
    <phoneticPr fontId="5" type="noConversion"/>
  </si>
  <si>
    <t>소방안전과</t>
    <phoneticPr fontId="5" type="noConversion"/>
  </si>
  <si>
    <t>경보 설비 점검</t>
    <phoneticPr fontId="9" type="noConversion"/>
  </si>
  <si>
    <t>피난·소화 활동·방화 시설 점검</t>
    <phoneticPr fontId="9" type="noConversion"/>
  </si>
  <si>
    <t>점검 장비 관리</t>
    <phoneticPr fontId="9" type="noConversion"/>
  </si>
  <si>
    <t>소방 시설 점검 행정</t>
    <phoneticPr fontId="9" type="noConversion"/>
  </si>
  <si>
    <t>자율 점검</t>
    <phoneticPr fontId="9" type="noConversion"/>
  </si>
  <si>
    <t>소방 시설 유지 보수</t>
    <phoneticPr fontId="9" type="noConversion"/>
  </si>
  <si>
    <t>위험물질실무</t>
    <phoneticPr fontId="5" type="noConversion"/>
  </si>
  <si>
    <t>위험시설실무</t>
    <phoneticPr fontId="5" type="noConversion"/>
  </si>
  <si>
    <t>0502010601_22v2</t>
    <phoneticPr fontId="9" type="noConversion"/>
  </si>
  <si>
    <t>0502010503_20v2</t>
    <phoneticPr fontId="9" type="noConversion"/>
  </si>
  <si>
    <t>0502010504_20v2</t>
    <phoneticPr fontId="9" type="noConversion"/>
  </si>
  <si>
    <t>0502010505_20v2</t>
    <phoneticPr fontId="9" type="noConversion"/>
  </si>
  <si>
    <t>0502010507_20v2</t>
    <phoneticPr fontId="9" type="noConversion"/>
  </si>
  <si>
    <t>0502010611_22v2</t>
    <phoneticPr fontId="9" type="noConversion"/>
  </si>
  <si>
    <t>0502010602_22v2</t>
    <phoneticPr fontId="9" type="noConversion"/>
  </si>
  <si>
    <t>0502010605_14v1</t>
    <phoneticPr fontId="9" type="noConversion"/>
  </si>
  <si>
    <t>0502010606_14v1</t>
    <phoneticPr fontId="9" type="noConversion"/>
  </si>
  <si>
    <t>0502010607_14v1</t>
    <phoneticPr fontId="9" type="noConversion"/>
  </si>
  <si>
    <t>0502010612_20v1</t>
    <phoneticPr fontId="9" type="noConversion"/>
  </si>
  <si>
    <t>보건간호과</t>
    <phoneticPr fontId="5" type="noConversion"/>
  </si>
  <si>
    <t>물품전달</t>
    <phoneticPr fontId="5" type="noConversion"/>
  </si>
  <si>
    <t>0601010802_23v3</t>
  </si>
  <si>
    <t>환자이송지원</t>
    <phoneticPr fontId="5" type="noConversion"/>
  </si>
  <si>
    <t>0601010803_23v3</t>
  </si>
  <si>
    <t>일상생활수행지원</t>
    <phoneticPr fontId="5" type="noConversion"/>
  </si>
  <si>
    <t xml:space="preserve">0601010804_23v3	</t>
    <phoneticPr fontId="5" type="noConversion"/>
  </si>
  <si>
    <t>신체청결지원</t>
    <phoneticPr fontId="5" type="noConversion"/>
  </si>
  <si>
    <t>0601010805_23v3</t>
  </si>
  <si>
    <t>물품세척</t>
    <phoneticPr fontId="9" type="noConversion"/>
  </si>
  <si>
    <t>0601010806_23v3</t>
  </si>
  <si>
    <t>오염물처리</t>
    <phoneticPr fontId="9" type="noConversion"/>
  </si>
  <si>
    <t>0601010807_23v3</t>
  </si>
  <si>
    <t>산모관리</t>
    <phoneticPr fontId="5" type="noConversion"/>
  </si>
  <si>
    <t>0703010203_21v2</t>
  </si>
  <si>
    <t>신생아관리</t>
    <phoneticPr fontId="5" type="noConversion"/>
  </si>
  <si>
    <t>0703010204_21v2</t>
  </si>
  <si>
    <t>일상생활지원</t>
    <phoneticPr fontId="5" type="noConversion"/>
  </si>
  <si>
    <t>0703010206_15v1</t>
  </si>
  <si>
    <t>건강안전돌봄</t>
    <phoneticPr fontId="5" type="noConversion"/>
  </si>
  <si>
    <t>0703010303_23v2</t>
  </si>
  <si>
    <t>주거환경 위생관리</t>
    <phoneticPr fontId="5" type="noConversion"/>
  </si>
  <si>
    <t>0601020505_20v2</t>
  </si>
  <si>
    <t>보건 대상자별 위생관리</t>
    <phoneticPr fontId="5" type="noConversion"/>
  </si>
  <si>
    <t>0601020506_20v2</t>
  </si>
  <si>
    <t>감염병 예방관리</t>
    <phoneticPr fontId="5" type="noConversion"/>
  </si>
  <si>
    <t>0601020509_20v2</t>
  </si>
  <si>
    <t>보건교육기획</t>
    <phoneticPr fontId="5" type="noConversion"/>
  </si>
  <si>
    <t>0601020302_19v2</t>
    <phoneticPr fontId="5" type="noConversion"/>
  </si>
  <si>
    <t>진료서비스지원관리</t>
    <phoneticPr fontId="5" type="noConversion"/>
  </si>
  <si>
    <t>0601020204_17v2</t>
  </si>
  <si>
    <t>고객상담관리</t>
    <phoneticPr fontId="5" type="noConversion"/>
  </si>
  <si>
    <t>0601020205_17v2</t>
  </si>
  <si>
    <t>병원경영기획</t>
    <phoneticPr fontId="5" type="noConversion"/>
  </si>
  <si>
    <t>0601020103_13v1</t>
    <phoneticPr fontId="5" type="noConversion"/>
  </si>
  <si>
    <t>외래원무관리</t>
  </si>
  <si>
    <t>0601020108_22v3</t>
  </si>
  <si>
    <t>피부미용 얼굴 매뉴얼테크닉</t>
    <phoneticPr fontId="5" type="noConversion"/>
  </si>
  <si>
    <t>1201010213_20v6</t>
  </si>
  <si>
    <t>신체 피부미용 전면관리</t>
    <phoneticPr fontId="5" type="noConversion"/>
  </si>
  <si>
    <t>1201010241_20v6</t>
  </si>
  <si>
    <t>응급처치</t>
    <phoneticPr fontId="5" type="noConversion"/>
  </si>
  <si>
    <t>0502010308_22v2</t>
  </si>
  <si>
    <t>고객응대관리</t>
    <phoneticPr fontId="5" type="noConversion"/>
  </si>
  <si>
    <t>0601020201_17v2</t>
  </si>
  <si>
    <t>수납관리</t>
    <phoneticPr fontId="5" type="noConversion"/>
  </si>
  <si>
    <t>0601020206_17v2</t>
  </si>
  <si>
    <t>신체활동지원</t>
    <phoneticPr fontId="5" type="noConversion"/>
  </si>
  <si>
    <t>0701020201_20v2</t>
  </si>
  <si>
    <t>트래블테크과</t>
    <phoneticPr fontId="5" type="noConversion"/>
  </si>
  <si>
    <t xml:space="preserve"> </t>
    <phoneticPr fontId="9" type="noConversion"/>
  </si>
  <si>
    <t>요양 지원</t>
    <phoneticPr fontId="5" type="noConversion"/>
  </si>
  <si>
    <t>데이터베이스 프로그래밍</t>
    <phoneticPr fontId="9" type="noConversion"/>
  </si>
  <si>
    <t>응용 프로그래밍 화면구현</t>
    <phoneticPr fontId="5" type="noConversion"/>
  </si>
  <si>
    <t>응용 프로그래밍 개발</t>
    <phoneticPr fontId="5" type="noConversion"/>
  </si>
  <si>
    <t>스마트 문화 앱 콘텐츠 제작</t>
    <phoneticPr fontId="5" type="noConversion"/>
  </si>
  <si>
    <t>인공지능 모델링</t>
    <phoneticPr fontId="5" type="noConversion"/>
  </si>
  <si>
    <t>빅데이터 분석</t>
    <phoneticPr fontId="5" type="noConversion"/>
  </si>
  <si>
    <t>국내 여행 서비스 실무</t>
    <phoneticPr fontId="5" type="noConversion"/>
  </si>
  <si>
    <t>트래블테크과</t>
    <phoneticPr fontId="9" type="noConversion"/>
  </si>
  <si>
    <t>직무 영어</t>
    <phoneticPr fontId="9" type="noConversion"/>
  </si>
  <si>
    <t>성공적인 직업 생황</t>
    <phoneticPr fontId="9" type="noConversion"/>
  </si>
  <si>
    <t>디지털과 직업 생활</t>
    <phoneticPr fontId="9" type="noConversion"/>
  </si>
  <si>
    <t>소방 기초</t>
    <phoneticPr fontId="5" type="noConversion"/>
  </si>
  <si>
    <t>소방 기계</t>
    <phoneticPr fontId="5" type="noConversion"/>
  </si>
  <si>
    <t>소방 법규</t>
    <phoneticPr fontId="9" type="noConversion"/>
  </si>
  <si>
    <t>소방 전기</t>
    <phoneticPr fontId="9" type="noConversion"/>
  </si>
  <si>
    <t>소방 안전 관리</t>
    <phoneticPr fontId="9" type="noConversion"/>
  </si>
  <si>
    <t xml:space="preserve">소방 시설 공사 </t>
    <phoneticPr fontId="9" type="noConversion"/>
  </si>
  <si>
    <t>소방공무원
소방안전관리자</t>
    <phoneticPr fontId="9" type="noConversion"/>
  </si>
  <si>
    <t>김지혜</t>
    <phoneticPr fontId="9" type="noConversion"/>
  </si>
  <si>
    <t>교육기획부장</t>
  </si>
  <si>
    <t>교육기획부장</t>
    <phoneticPr fontId="9" type="noConversion"/>
  </si>
  <si>
    <t>보건 간호</t>
    <phoneticPr fontId="9" type="noConversion"/>
  </si>
  <si>
    <t>기초 간호 임상 실무</t>
    <phoneticPr fontId="9" type="noConversion"/>
  </si>
  <si>
    <t>공중 보건</t>
    <phoneticPr fontId="9" type="noConversion"/>
  </si>
  <si>
    <t>보건 의료 법규</t>
    <phoneticPr fontId="9" type="noConversion"/>
  </si>
  <si>
    <t>인간 발달</t>
    <phoneticPr fontId="9" type="noConversion"/>
  </si>
  <si>
    <t>요양 지원</t>
    <phoneticPr fontId="9" type="noConversion"/>
  </si>
  <si>
    <t>미용 안전·보건</t>
    <phoneticPr fontId="9" type="noConversion"/>
  </si>
  <si>
    <t>피부 미용</t>
    <phoneticPr fontId="9" type="noConversion"/>
  </si>
  <si>
    <t>간호조무사
피부미용사</t>
    <phoneticPr fontId="9" type="noConversion"/>
  </si>
  <si>
    <t>성공적인 직업 생활</t>
    <phoneticPr fontId="9" type="noConversion"/>
  </si>
  <si>
    <t>2027학년도 교육과정 편제 및 학점배당표(마이스터고/특성화고)</t>
    <phoneticPr fontId="9" type="noConversion"/>
  </si>
  <si>
    <t>관광 일반</t>
    <phoneticPr fontId="5" type="noConversion"/>
  </si>
  <si>
    <t>정보 처리와 관리</t>
    <phoneticPr fontId="5" type="noConversion"/>
  </si>
  <si>
    <t>관광 문화와 자원</t>
    <phoneticPr fontId="9" type="noConversion"/>
  </si>
  <si>
    <t>컴퓨터 시스템 일반</t>
    <phoneticPr fontId="9" type="noConversion"/>
  </si>
  <si>
    <t>관광 서비스</t>
    <phoneticPr fontId="9" type="noConversion"/>
  </si>
  <si>
    <t>프로그래밍</t>
    <phoneticPr fontId="9" type="noConversion"/>
  </si>
  <si>
    <t>인공지능 일반</t>
    <phoneticPr fontId="9" type="noConversion"/>
  </si>
  <si>
    <t>응용 프로그래밍 개발</t>
    <phoneticPr fontId="9" type="noConversion"/>
  </si>
  <si>
    <t>스마트 문화 앱 콘텐츠 제작</t>
    <phoneticPr fontId="9" type="noConversion"/>
  </si>
  <si>
    <t>인공지능 모델링</t>
    <phoneticPr fontId="9" type="noConversion"/>
  </si>
  <si>
    <t>빅데이터 분석</t>
    <phoneticPr fontId="9" type="noConversion"/>
  </si>
  <si>
    <t>관광 콘텐츠 개발</t>
    <phoneticPr fontId="9" type="noConversion"/>
  </si>
  <si>
    <t>국내 여행 서비스 실무</t>
    <phoneticPr fontId="9" type="noConversion"/>
  </si>
  <si>
    <t>관광레저</t>
  </si>
  <si>
    <t>응용 프로그래밍 화면 구현</t>
    <phoneticPr fontId="9" type="noConversion"/>
  </si>
  <si>
    <t>소프트웨어과</t>
  </si>
  <si>
    <t>관광과</t>
  </si>
  <si>
    <t>정보·통신/관광레저</t>
    <phoneticPr fontId="9" type="noConversion"/>
  </si>
  <si>
    <t>대상자별 간호 보조 실무</t>
    <phoneticPr fontId="5" type="noConversion"/>
  </si>
  <si>
    <t>지역사회 간호 보조</t>
    <phoneticPr fontId="5" type="noConversion"/>
  </si>
  <si>
    <t>병원 안내</t>
    <phoneticPr fontId="5" type="noConversion"/>
  </si>
  <si>
    <t>병원 행정</t>
    <phoneticPr fontId="5" type="noConversion"/>
  </si>
  <si>
    <t>피부 미용</t>
    <phoneticPr fontId="5" type="noConversion"/>
  </si>
  <si>
    <t>소방 시설 공사</t>
    <phoneticPr fontId="5" type="noConversion"/>
  </si>
  <si>
    <t>보건행정코스</t>
    <phoneticPr fontId="9" type="noConversion"/>
  </si>
  <si>
    <t>보건미용코스</t>
    <phoneticPr fontId="9" type="noConversion"/>
  </si>
  <si>
    <t>타학과
융합형
(택1)</t>
    <phoneticPr fontId="9" type="noConversion"/>
  </si>
  <si>
    <t>소방행정(고시외)</t>
    <phoneticPr fontId="9" type="noConversion"/>
  </si>
  <si>
    <t>소방학개론(고시외)</t>
    <phoneticPr fontId="9" type="noConversion"/>
  </si>
  <si>
    <t>위험물질실무(고시외)</t>
    <phoneticPr fontId="9" type="noConversion"/>
  </si>
  <si>
    <t>위험시설실무(고시외)</t>
    <phoneticPr fontId="9" type="noConversion"/>
  </si>
  <si>
    <t>응급처치(고시외)</t>
    <phoneticPr fontId="9" type="noConversion"/>
  </si>
  <si>
    <t>재난관리(고시외)</t>
    <phoneticPr fontId="9" type="noConversion"/>
  </si>
  <si>
    <t>병원실기(고시외)</t>
    <phoneticPr fontId="9" type="noConversion"/>
  </si>
  <si>
    <r>
      <t>자율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맑은 고딕"/>
        <family val="3"/>
        <charset val="129"/>
        <scheme val="minor"/>
      </rPr>
      <t>자치활동</t>
    </r>
    <phoneticPr fontId="9" type="noConversion"/>
  </si>
  <si>
    <t>대상자별 간호 보조 실무(고시외)</t>
    <phoneticPr fontId="9" type="noConversion"/>
  </si>
  <si>
    <t>지역사회 간호 보조(고시외)</t>
    <phoneticPr fontId="9" type="noConversion"/>
  </si>
  <si>
    <t>병원 안내(고시외)</t>
    <phoneticPr fontId="9" type="noConversion"/>
  </si>
  <si>
    <t>병원 행정(고시외)</t>
    <phoneticPr fontId="9" type="noConversion"/>
  </si>
  <si>
    <t>병원실기</t>
    <phoneticPr fontId="5" type="noConversion"/>
  </si>
  <si>
    <t>1203010305_22v3</t>
  </si>
  <si>
    <t>1203010303_22v3</t>
  </si>
  <si>
    <t>1203010302_22v2</t>
  </si>
  <si>
    <t>1203010301_22v3</t>
  </si>
  <si>
    <t>2001010516_21v1</t>
  </si>
  <si>
    <t>데이터 분석 기초 기술 활용</t>
    <phoneticPr fontId="9" type="noConversion"/>
  </si>
  <si>
    <t>2001010511_21v4</t>
  </si>
  <si>
    <t>탐색적 데이터 분석</t>
    <phoneticPr fontId="9" type="noConversion"/>
  </si>
  <si>
    <t>2001010510_21v4</t>
  </si>
  <si>
    <t>분석 데이터 전처리</t>
    <phoneticPr fontId="9" type="noConversion"/>
  </si>
  <si>
    <t>2001010509_21v4</t>
  </si>
  <si>
    <t>2001070305_23v2</t>
  </si>
  <si>
    <t>인공지능 데이터 특징 추출</t>
    <phoneticPr fontId="9" type="noConversion"/>
  </si>
  <si>
    <t>2001070304_23v2</t>
  </si>
  <si>
    <t>인공지능 데이터 전처리</t>
    <phoneticPr fontId="9" type="noConversion"/>
  </si>
  <si>
    <t>2001070303_23v2</t>
  </si>
  <si>
    <t>인공지능 데이터 확보</t>
    <phoneticPr fontId="9" type="noConversion"/>
  </si>
  <si>
    <t>2001070302_23v2</t>
  </si>
  <si>
    <t>인공지능 모델 준비</t>
    <phoneticPr fontId="9" type="noConversion"/>
  </si>
  <si>
    <t>2002040310_22v1</t>
  </si>
  <si>
    <t>2002040309_22v2</t>
  </si>
  <si>
    <t>0803020913_24v4</t>
  </si>
  <si>
    <t>0803020912_24v4</t>
  </si>
  <si>
    <t>0803020911_24v4</t>
  </si>
  <si>
    <t>0803020904_24v4</t>
  </si>
  <si>
    <t>2001020709_19v3</t>
  </si>
  <si>
    <t>2001020233_23v5</t>
  </si>
  <si>
    <t>2001020232_23v5</t>
  </si>
  <si>
    <t>2001020231_23v5</t>
  </si>
  <si>
    <t>2001020230_23v5</t>
  </si>
  <si>
    <t>2001020227_23v6</t>
  </si>
  <si>
    <t>2001020225_23v6</t>
  </si>
  <si>
    <t>2001020214_23v6</t>
  </si>
  <si>
    <t>2001020413_19v4</t>
  </si>
  <si>
    <t>LM0502010405_17v2</t>
    <phoneticPr fontId="9" type="noConversion"/>
  </si>
  <si>
    <t>LM0502010406_17v2</t>
    <phoneticPr fontId="9" type="noConversion"/>
  </si>
  <si>
    <t>LM0502010407_13v1</t>
    <phoneticPr fontId="9" type="noConversion"/>
  </si>
  <si>
    <t>LM0502010408_13v1</t>
    <phoneticPr fontId="9" type="noConversion"/>
  </si>
  <si>
    <t>LM0502010409_13v1</t>
    <phoneticPr fontId="9" type="noConversion"/>
  </si>
  <si>
    <t>LM0502010410_13v1</t>
    <phoneticPr fontId="9" type="noConversion"/>
  </si>
  <si>
    <t>소화 기구·수계 소화 설비 점검</t>
    <phoneticPr fontId="9" type="noConversion"/>
  </si>
  <si>
    <t>LM0502010412_17v2</t>
    <phoneticPr fontId="9" type="noConversion"/>
  </si>
  <si>
    <t>가스계·분말 소화 설비 점검</t>
    <phoneticPr fontId="9" type="noConversion"/>
  </si>
  <si>
    <t>LM0502010413_17v2</t>
    <phoneticPr fontId="9" type="noConversion"/>
  </si>
  <si>
    <t>제4류 위험물 취급</t>
    <phoneticPr fontId="9" type="noConversion"/>
  </si>
  <si>
    <t>제1류, 제6류 위험물 취급</t>
    <phoneticPr fontId="9" type="noConversion"/>
  </si>
  <si>
    <t>제2류, 제5류 위험물 취급</t>
    <phoneticPr fontId="9" type="noConversion"/>
  </si>
  <si>
    <t>제3류 위험물 취급</t>
    <phoneticPr fontId="9" type="noConversion"/>
  </si>
  <si>
    <t>0502010506_20v2</t>
    <phoneticPr fontId="9" type="noConversion"/>
  </si>
  <si>
    <t>위험물 운송, 운반시설 기준 파악</t>
    <phoneticPr fontId="9" type="noConversion"/>
  </si>
  <si>
    <t>위험물 안전계획 수립</t>
    <phoneticPr fontId="9" type="noConversion"/>
  </si>
  <si>
    <t>위험물 행정관리</t>
    <phoneticPr fontId="9" type="noConversion"/>
  </si>
  <si>
    <t>저장·취급·위험물 분류</t>
    <phoneticPr fontId="9" type="noConversion"/>
  </si>
  <si>
    <t>위험물 제조소 유지관리</t>
    <phoneticPr fontId="9" type="noConversion"/>
  </si>
  <si>
    <t>위험물 저장소 유지관리</t>
    <phoneticPr fontId="9" type="noConversion"/>
  </si>
  <si>
    <t>위험물 취급소 유지관리</t>
    <phoneticPr fontId="9" type="noConversion"/>
  </si>
  <si>
    <t>위험물 화재예방·소화방법</t>
    <phoneticPr fontId="9" type="noConversion"/>
  </si>
  <si>
    <t>애플리케이션 배포</t>
    <phoneticPr fontId="9" type="noConversion"/>
  </si>
  <si>
    <t>화면 구현</t>
    <phoneticPr fontId="9" type="noConversion"/>
  </si>
  <si>
    <t>애플리케이션 테스트 수행</t>
    <phoneticPr fontId="9" type="noConversion"/>
  </si>
  <si>
    <t>프로그래밍 언어 응용</t>
    <phoneticPr fontId="9" type="noConversion"/>
  </si>
  <si>
    <t>프로그래밍 언어 활용</t>
    <phoneticPr fontId="9" type="noConversion"/>
  </si>
  <si>
    <t>응용 SW 기초 기술 활용</t>
    <phoneticPr fontId="9" type="noConversion"/>
  </si>
  <si>
    <t>개발자 환경 구축</t>
    <phoneticPr fontId="9" type="noConversion"/>
  </si>
  <si>
    <t>UI테스트</t>
    <phoneticPr fontId="9" type="noConversion"/>
  </si>
  <si>
    <t>SQL활용</t>
    <phoneticPr fontId="9" type="noConversion"/>
  </si>
  <si>
    <t>스마트문화앱 개발환경 구축</t>
    <phoneticPr fontId="9" type="noConversion"/>
  </si>
  <si>
    <t>스마트문화앱 UX 설계</t>
    <phoneticPr fontId="9" type="noConversion"/>
  </si>
  <si>
    <t>스마트문화앱 UI 디자인</t>
    <phoneticPr fontId="9" type="noConversion"/>
  </si>
  <si>
    <t>스마트문화앱 구현</t>
    <phoneticPr fontId="9" type="noConversion"/>
  </si>
  <si>
    <t>증강현실 콘텐츠 데이터 관리</t>
    <phoneticPr fontId="9" type="noConversion"/>
  </si>
  <si>
    <t>증강현실 제작 리소스 개발</t>
    <phoneticPr fontId="9" type="noConversion"/>
  </si>
  <si>
    <t>빅데이터 분석 결과 시각화</t>
    <phoneticPr fontId="9" type="noConversion"/>
  </si>
  <si>
    <t>국내여행안내 행사지시서 확인</t>
    <phoneticPr fontId="9" type="noConversion"/>
  </si>
  <si>
    <t>국내여행안내 행사준비</t>
    <phoneticPr fontId="9" type="noConversion"/>
  </si>
  <si>
    <t>미팅(meeting)</t>
    <phoneticPr fontId="9" type="noConversion"/>
  </si>
  <si>
    <t>관광자원 해설</t>
    <phoneticPr fontId="9" type="noConversion"/>
  </si>
  <si>
    <t>시공계획수립</t>
    <phoneticPr fontId="9" type="noConversion"/>
  </si>
  <si>
    <t>LM0502010201_14v1</t>
  </si>
  <si>
    <t>수계 소화 설비 시공</t>
    <phoneticPr fontId="5" type="noConversion"/>
  </si>
  <si>
    <t>LM0502010203_20v2</t>
  </si>
  <si>
    <t>가스계 소화 설비 시공</t>
    <phoneticPr fontId="5" type="noConversion"/>
  </si>
  <si>
    <t>LM0502010204_14v1</t>
  </si>
  <si>
    <t>경보 설비 시공</t>
    <phoneticPr fontId="5" type="noConversion"/>
  </si>
  <si>
    <t>LM0502010205_14v1</t>
  </si>
  <si>
    <t>피난 소화 용수 설비 시공</t>
    <phoneticPr fontId="5" type="noConversion"/>
  </si>
  <si>
    <t>LM0502010207_14v1</t>
  </si>
  <si>
    <t>소화 활동 설비 시공</t>
    <phoneticPr fontId="5" type="noConversion"/>
  </si>
  <si>
    <t>LM0502010208_14v1</t>
  </si>
  <si>
    <t>재연 설비 시공</t>
    <phoneticPr fontId="5" type="noConversion"/>
  </si>
  <si>
    <t>LM0502010209_14v1</t>
  </si>
  <si>
    <t>VR・AR 콘텐츠 제작</t>
    <phoneticPr fontId="5" type="noConversion"/>
  </si>
  <si>
    <r>
      <t>VR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맑은 고딕"/>
        <family val="3"/>
        <charset val="129"/>
        <scheme val="minor"/>
      </rPr>
      <t>AR 콘텐츠 제작</t>
    </r>
    <phoneticPr fontId="9" type="noConversion"/>
  </si>
  <si>
    <t>트래블테크 데이터운영원
트래블테크 콘텐츠관리원
트래블테크 플랫폼운영원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</si>
</sst>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theme="1"/>
      <name val="Malgun Gothic Semilight"/>
      <family val="2"/>
      <charset val="129"/>
    </font>
    <font>
      <b/>
      <sz val="18"/>
      <color theme="1"/>
      <name val="Malgun Gothic Semilight"/>
      <family val="2"/>
      <charset val="129"/>
    </font>
    <font>
      <b/>
      <sz val="18"/>
      <color theme="1"/>
      <name val="Malgun Gothic Semilight"/>
      <family val="3"/>
      <charset val="129"/>
    </font>
    <font>
      <b/>
      <sz val="12"/>
      <color theme="1"/>
      <name val="Malgun Gothic Semilight"/>
      <family val="3"/>
      <charset val="129"/>
    </font>
    <font>
      <sz val="11"/>
      <color theme="1"/>
      <name val="Malgun Gothic Semilight"/>
      <family val="3"/>
      <charset val="129"/>
    </font>
    <font>
      <sz val="12"/>
      <color theme="1"/>
      <name val="Malgun Gothic Semilight"/>
      <family val="3"/>
      <charset val="129"/>
    </font>
    <font>
      <b/>
      <sz val="11"/>
      <color theme="1"/>
      <name val="Malgun Gothic Semilight"/>
      <family val="3"/>
      <charset val="129"/>
    </font>
    <font>
      <b/>
      <sz val="11"/>
      <color rgb="FF000000"/>
      <name val="Malgun Gothic Semilight"/>
      <family val="3"/>
      <charset val="129"/>
    </font>
    <font>
      <b/>
      <sz val="10"/>
      <color rgb="FF000000"/>
      <name val="Malgun Gothic Semilight"/>
      <family val="3"/>
      <charset val="129"/>
    </font>
    <font>
      <b/>
      <sz val="14"/>
      <color theme="1"/>
      <name val="Malgun Gothic Semilight"/>
      <family val="3"/>
      <charset val="129"/>
    </font>
    <font>
      <b/>
      <sz val="9"/>
      <color rgb="FF000000"/>
      <name val="Malgun Gothic Semilight"/>
      <family val="3"/>
      <charset val="129"/>
    </font>
    <font>
      <b/>
      <sz val="11"/>
      <name val="Malgun Gothic Semilight"/>
      <family val="3"/>
      <charset val="129"/>
    </font>
    <font>
      <sz val="11"/>
      <color rgb="FF333333"/>
      <name val="Malgun Gothic Semilight"/>
      <family val="3"/>
      <charset val="129"/>
    </font>
    <font>
      <sz val="11"/>
      <name val="Malgun Gothic Semilight"/>
      <family val="3"/>
      <charset val="129"/>
    </font>
    <font>
      <sz val="10"/>
      <color rgb="FF000000"/>
      <name val="Malgun Gothic Semilight"/>
      <family val="3"/>
      <charset val="129"/>
    </font>
    <font>
      <sz val="7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8" fillId="0" borderId="0"/>
  </cellStyleXfs>
  <cellXfs count="6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3" fillId="12" borderId="31" xfId="3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3" fillId="12" borderId="74" xfId="3" applyFont="1" applyFill="1" applyBorder="1" applyAlignment="1">
      <alignment horizontal="center" vertical="center" wrapText="1"/>
    </xf>
    <xf numFmtId="177" fontId="17" fillId="0" borderId="0" xfId="0" applyNumberFormat="1" applyFont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2" fillId="12" borderId="88" xfId="0" applyFont="1" applyFill="1" applyBorder="1" applyAlignment="1" applyProtection="1">
      <alignment horizontal="center" vertical="center"/>
      <protection locked="0"/>
    </xf>
    <xf numFmtId="0" fontId="12" fillId="12" borderId="27" xfId="0" applyFont="1" applyFill="1" applyBorder="1" applyAlignment="1" applyProtection="1">
      <alignment horizontal="center" vertical="center"/>
      <protection locked="0"/>
    </xf>
    <xf numFmtId="0" fontId="12" fillId="12" borderId="13" xfId="0" applyFont="1" applyFill="1" applyBorder="1" applyAlignment="1" applyProtection="1">
      <alignment horizontal="center" vertical="center"/>
      <protection locked="0"/>
    </xf>
    <xf numFmtId="0" fontId="12" fillId="12" borderId="13" xfId="0" applyFont="1" applyFill="1" applyBorder="1" applyAlignment="1" applyProtection="1">
      <alignment horizontal="center" vertical="center" shrinkToFit="1"/>
      <protection locked="0"/>
    </xf>
    <xf numFmtId="0" fontId="21" fillId="12" borderId="89" xfId="0" applyFont="1" applyFill="1" applyBorder="1" applyAlignment="1" applyProtection="1">
      <alignment horizontal="center" vertical="center"/>
      <protection locked="0"/>
    </xf>
    <xf numFmtId="0" fontId="12" fillId="12" borderId="107" xfId="0" applyFont="1" applyFill="1" applyBorder="1" applyAlignment="1" applyProtection="1">
      <alignment horizontal="center" vertical="center"/>
      <protection locked="0"/>
    </xf>
    <xf numFmtId="0" fontId="12" fillId="0" borderId="100" xfId="0" applyFont="1" applyBorder="1" applyAlignment="1" applyProtection="1">
      <alignment horizontal="center" vertical="center"/>
      <protection locked="0"/>
    </xf>
    <xf numFmtId="0" fontId="12" fillId="0" borderId="100" xfId="0" applyFont="1" applyBorder="1" applyAlignment="1" applyProtection="1">
      <alignment horizontal="center" vertical="center" shrinkToFit="1"/>
      <protection locked="0"/>
    </xf>
    <xf numFmtId="0" fontId="17" fillId="0" borderId="117" xfId="0" applyFont="1" applyBorder="1" applyAlignment="1" applyProtection="1">
      <alignment horizontal="center" vertical="center"/>
      <protection locked="0"/>
    </xf>
    <xf numFmtId="0" fontId="24" fillId="0" borderId="0" xfId="16" applyFont="1" applyAlignment="1">
      <alignment vertical="center"/>
    </xf>
    <xf numFmtId="0" fontId="15" fillId="0" borderId="0" xfId="16" applyFont="1" applyAlignment="1"/>
    <xf numFmtId="0" fontId="24" fillId="19" borderId="118" xfId="16" applyFont="1" applyFill="1" applyBorder="1" applyAlignment="1">
      <alignment horizontal="center" vertical="center"/>
    </xf>
    <xf numFmtId="0" fontId="24" fillId="0" borderId="119" xfId="16" applyFont="1" applyBorder="1" applyAlignment="1">
      <alignment vertical="center"/>
    </xf>
    <xf numFmtId="0" fontId="24" fillId="0" borderId="25" xfId="16" applyFont="1" applyBorder="1" applyAlignment="1">
      <alignment vertical="center"/>
    </xf>
    <xf numFmtId="0" fontId="24" fillId="0" borderId="22" xfId="16" applyFont="1" applyBorder="1" applyAlignment="1">
      <alignment vertical="center"/>
    </xf>
    <xf numFmtId="0" fontId="24" fillId="0" borderId="4" xfId="16" applyFont="1" applyBorder="1" applyAlignment="1">
      <alignment vertical="center"/>
    </xf>
    <xf numFmtId="0" fontId="24" fillId="0" borderId="121" xfId="16" applyFont="1" applyBorder="1" applyAlignment="1">
      <alignment vertical="center"/>
    </xf>
    <xf numFmtId="0" fontId="24" fillId="0" borderId="18" xfId="16" applyFont="1" applyBorder="1" applyAlignment="1">
      <alignment vertical="center"/>
    </xf>
    <xf numFmtId="0" fontId="24" fillId="0" borderId="6" xfId="16" applyFont="1" applyBorder="1" applyAlignment="1">
      <alignment vertical="center"/>
    </xf>
    <xf numFmtId="0" fontId="24" fillId="0" borderId="126" xfId="16" applyFont="1" applyBorder="1" applyAlignment="1">
      <alignment vertical="center"/>
    </xf>
    <xf numFmtId="0" fontId="24" fillId="0" borderId="3" xfId="16" applyFont="1" applyBorder="1" applyAlignment="1">
      <alignment vertical="center"/>
    </xf>
    <xf numFmtId="0" fontId="24" fillId="0" borderId="19" xfId="16" applyFont="1" applyBorder="1" applyAlignment="1">
      <alignment vertical="center"/>
    </xf>
    <xf numFmtId="0" fontId="24" fillId="0" borderId="17" xfId="16" applyFont="1" applyBorder="1" applyAlignment="1">
      <alignment vertical="center"/>
    </xf>
    <xf numFmtId="0" fontId="24" fillId="21" borderId="132" xfId="16" applyFont="1" applyFill="1" applyBorder="1" applyAlignment="1">
      <alignment horizontal="center" vertical="center" wrapText="1"/>
    </xf>
    <xf numFmtId="0" fontId="24" fillId="21" borderId="133" xfId="16" applyFont="1" applyFill="1" applyBorder="1" applyAlignment="1">
      <alignment horizontal="center" vertical="center" wrapText="1"/>
    </xf>
    <xf numFmtId="0" fontId="34" fillId="21" borderId="133" xfId="16" applyFont="1" applyFill="1" applyBorder="1" applyAlignment="1">
      <alignment horizontal="center" vertical="center" wrapText="1"/>
    </xf>
    <xf numFmtId="0" fontId="34" fillId="21" borderId="134" xfId="16" applyFont="1" applyFill="1" applyBorder="1" applyAlignment="1">
      <alignment horizontal="center" vertical="center" wrapText="1"/>
    </xf>
    <xf numFmtId="0" fontId="24" fillId="0" borderId="18" xfId="16" applyFont="1" applyBorder="1" applyAlignment="1">
      <alignment vertical="center" wrapText="1"/>
    </xf>
    <xf numFmtId="0" fontId="24" fillId="0" borderId="6" xfId="16" applyFont="1" applyBorder="1" applyAlignment="1">
      <alignment vertical="center" wrapText="1"/>
    </xf>
    <xf numFmtId="0" fontId="35" fillId="0" borderId="138" xfId="16" applyFont="1" applyBorder="1" applyAlignment="1">
      <alignment horizontal="center" vertical="center" wrapText="1"/>
    </xf>
    <xf numFmtId="0" fontId="35" fillId="0" borderId="140" xfId="16" applyFont="1" applyBorder="1" applyAlignment="1">
      <alignment horizontal="center" vertical="center" wrapText="1"/>
    </xf>
    <xf numFmtId="0" fontId="35" fillId="0" borderId="144" xfId="16" applyFont="1" applyBorder="1" applyAlignment="1">
      <alignment horizontal="center" vertical="center" wrapText="1"/>
    </xf>
    <xf numFmtId="0" fontId="35" fillId="0" borderId="145" xfId="16" applyFont="1" applyBorder="1" applyAlignment="1">
      <alignment horizontal="center" vertical="center" wrapText="1"/>
    </xf>
    <xf numFmtId="0" fontId="35" fillId="0" borderId="148" xfId="16" applyFont="1" applyBorder="1" applyAlignment="1">
      <alignment horizontal="center" vertical="center" wrapText="1"/>
    </xf>
    <xf numFmtId="0" fontId="35" fillId="0" borderId="149" xfId="16" applyFont="1" applyBorder="1" applyAlignment="1">
      <alignment horizontal="center" vertical="center" wrapText="1"/>
    </xf>
    <xf numFmtId="0" fontId="35" fillId="0" borderId="151" xfId="16" applyFont="1" applyBorder="1" applyAlignment="1">
      <alignment horizontal="center" vertical="center" wrapText="1"/>
    </xf>
    <xf numFmtId="0" fontId="24" fillId="0" borderId="151" xfId="16" applyFont="1" applyBorder="1" applyAlignment="1">
      <alignment horizontal="center" vertical="center" wrapText="1"/>
    </xf>
    <xf numFmtId="0" fontId="35" fillId="0" borderId="152" xfId="16" applyFont="1" applyBorder="1" applyAlignment="1">
      <alignment horizontal="center" vertical="center" wrapText="1"/>
    </xf>
    <xf numFmtId="0" fontId="24" fillId="0" borderId="145" xfId="16" applyFont="1" applyBorder="1" applyAlignment="1">
      <alignment horizontal="center" vertical="center" wrapText="1"/>
    </xf>
    <xf numFmtId="0" fontId="24" fillId="0" borderId="148" xfId="16" applyFont="1" applyBorder="1" applyAlignment="1">
      <alignment horizontal="center" vertical="center" wrapText="1"/>
    </xf>
    <xf numFmtId="0" fontId="35" fillId="0" borderId="124" xfId="16" applyFont="1" applyBorder="1" applyAlignment="1">
      <alignment horizontal="center" vertical="center" wrapText="1"/>
    </xf>
    <xf numFmtId="0" fontId="37" fillId="21" borderId="124" xfId="16" applyFont="1" applyFill="1" applyBorder="1" applyAlignment="1">
      <alignment horizontal="center" vertical="center" wrapText="1"/>
    </xf>
    <xf numFmtId="0" fontId="38" fillId="0" borderId="145" xfId="16" applyFont="1" applyBorder="1" applyAlignment="1">
      <alignment horizontal="center" vertical="center" wrapText="1"/>
    </xf>
    <xf numFmtId="0" fontId="38" fillId="0" borderId="123" xfId="16" applyFont="1" applyBorder="1" applyAlignment="1">
      <alignment horizontal="center" vertical="center" wrapText="1"/>
    </xf>
    <xf numFmtId="0" fontId="37" fillId="0" borderId="124" xfId="16" applyFont="1" applyBorder="1" applyAlignment="1">
      <alignment horizontal="center" vertical="center" wrapText="1"/>
    </xf>
    <xf numFmtId="0" fontId="24" fillId="0" borderId="0" xfId="16" applyFont="1" applyBorder="1" applyAlignment="1">
      <alignment vertical="center"/>
    </xf>
    <xf numFmtId="0" fontId="39" fillId="0" borderId="0" xfId="16" applyFont="1" applyBorder="1" applyAlignment="1">
      <alignment horizontal="center" vertical="center"/>
    </xf>
    <xf numFmtId="0" fontId="33" fillId="0" borderId="124" xfId="16" applyFont="1" applyBorder="1" applyAlignment="1">
      <alignment horizontal="center" vertical="center"/>
    </xf>
    <xf numFmtId="0" fontId="33" fillId="20" borderId="145" xfId="16" applyFont="1" applyFill="1" applyBorder="1" applyAlignment="1">
      <alignment horizontal="center" vertical="center"/>
    </xf>
    <xf numFmtId="0" fontId="33" fillId="20" borderId="123" xfId="16" applyFont="1" applyFill="1" applyBorder="1" applyAlignment="1">
      <alignment horizontal="center" vertical="center" wrapText="1"/>
    </xf>
    <xf numFmtId="0" fontId="39" fillId="0" borderId="145" xfId="16" applyFont="1" applyBorder="1" applyAlignment="1">
      <alignment horizontal="center" vertical="center" wrapText="1"/>
    </xf>
    <xf numFmtId="0" fontId="39" fillId="0" borderId="124" xfId="16" applyFont="1" applyBorder="1" applyAlignment="1">
      <alignment horizontal="center" vertical="center" wrapText="1"/>
    </xf>
    <xf numFmtId="0" fontId="33" fillId="0" borderId="145" xfId="16" applyFont="1" applyBorder="1" applyAlignment="1">
      <alignment horizontal="center" vertical="center" wrapText="1"/>
    </xf>
    <xf numFmtId="0" fontId="33" fillId="0" borderId="124" xfId="16" applyFont="1" applyBorder="1" applyAlignment="1">
      <alignment horizontal="center" vertical="center" wrapText="1"/>
    </xf>
    <xf numFmtId="0" fontId="24" fillId="0" borderId="145" xfId="16" applyFont="1" applyBorder="1" applyAlignment="1">
      <alignment vertical="center" wrapText="1"/>
    </xf>
    <xf numFmtId="0" fontId="24" fillId="0" borderId="0" xfId="16" applyFont="1" applyBorder="1" applyAlignment="1">
      <alignment vertical="center" wrapText="1"/>
    </xf>
    <xf numFmtId="0" fontId="33" fillId="20" borderId="124" xfId="16" applyFont="1" applyFill="1" applyBorder="1" applyAlignment="1">
      <alignment horizontal="center" vertical="center"/>
    </xf>
    <xf numFmtId="0" fontId="33" fillId="0" borderId="123" xfId="16" applyFont="1" applyBorder="1" applyAlignment="1">
      <alignment horizontal="center" vertical="center"/>
    </xf>
    <xf numFmtId="0" fontId="33" fillId="0" borderId="145" xfId="16" applyFont="1" applyBorder="1" applyAlignment="1">
      <alignment horizontal="center" vertical="center"/>
    </xf>
    <xf numFmtId="0" fontId="40" fillId="0" borderId="145" xfId="16" applyFont="1" applyBorder="1" applyAlignment="1">
      <alignment horizontal="center" vertical="center"/>
    </xf>
    <xf numFmtId="0" fontId="40" fillId="0" borderId="124" xfId="16" applyFont="1" applyBorder="1" applyAlignment="1">
      <alignment horizontal="center" vertical="center"/>
    </xf>
    <xf numFmtId="0" fontId="24" fillId="0" borderId="131" xfId="16" applyFont="1" applyBorder="1" applyAlignment="1">
      <alignment vertical="center"/>
    </xf>
    <xf numFmtId="0" fontId="24" fillId="0" borderId="129" xfId="16" applyFont="1" applyBorder="1" applyAlignment="1">
      <alignment vertical="center"/>
    </xf>
    <xf numFmtId="0" fontId="24" fillId="0" borderId="156" xfId="16" applyFont="1" applyBorder="1" applyAlignment="1">
      <alignment vertical="center"/>
    </xf>
    <xf numFmtId="0" fontId="24" fillId="0" borderId="157" xfId="16" applyFont="1" applyBorder="1" applyAlignment="1">
      <alignment vertical="center"/>
    </xf>
    <xf numFmtId="0" fontId="24" fillId="0" borderId="103" xfId="16" applyFont="1" applyBorder="1" applyAlignment="1">
      <alignment vertical="center"/>
    </xf>
    <xf numFmtId="0" fontId="24" fillId="0" borderId="127" xfId="16" applyFont="1" applyBorder="1" applyAlignment="1">
      <alignment vertical="center"/>
    </xf>
    <xf numFmtId="0" fontId="24" fillId="0" borderId="159" xfId="16" applyFont="1" applyBorder="1" applyAlignment="1">
      <alignment vertical="center"/>
    </xf>
    <xf numFmtId="0" fontId="24" fillId="0" borderId="160" xfId="16" applyFont="1" applyBorder="1" applyAlignment="1">
      <alignment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12" borderId="89" xfId="0" applyFont="1" applyFill="1" applyBorder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0" fontId="0" fillId="0" borderId="9" xfId="0" applyFont="1" applyBorder="1" applyAlignment="1" applyProtection="1">
      <alignment horizontal="center" vertical="center"/>
      <protection locked="0"/>
    </xf>
    <xf numFmtId="0" fontId="0" fillId="0" borderId="5" xfId="0" applyFont="1" applyBorder="1" applyAlignment="1" applyProtection="1">
      <alignment horizontal="center" vertical="center"/>
      <protection locked="0"/>
    </xf>
    <xf numFmtId="0" fontId="0" fillId="0" borderId="88" xfId="0" applyFont="1" applyBorder="1" applyAlignment="1" applyProtection="1">
      <alignment horizontal="center" vertical="center"/>
      <protection locked="0"/>
    </xf>
    <xf numFmtId="0" fontId="0" fillId="0" borderId="27" xfId="0" applyFont="1" applyBorder="1" applyAlignment="1" applyProtection="1">
      <alignment horizontal="center" vertical="center"/>
      <protection locked="0"/>
    </xf>
    <xf numFmtId="0" fontId="0" fillId="0" borderId="11" xfId="0" applyFont="1" applyBorder="1" applyAlignment="1" applyProtection="1">
      <alignment horizontal="center" vertical="center"/>
      <protection locked="0"/>
    </xf>
    <xf numFmtId="0" fontId="0" fillId="0" borderId="13" xfId="0" applyFont="1" applyBorder="1" applyAlignment="1" applyProtection="1">
      <alignment horizontal="center" vertical="center"/>
      <protection locked="0"/>
    </xf>
    <xf numFmtId="0" fontId="0" fillId="0" borderId="28" xfId="0" applyFont="1" applyBorder="1" applyAlignment="1" applyProtection="1">
      <alignment horizontal="center" vertical="center"/>
      <protection locked="0"/>
    </xf>
    <xf numFmtId="0" fontId="44" fillId="0" borderId="178" xfId="0" applyFont="1" applyBorder="1" applyAlignment="1" applyProtection="1">
      <alignment horizontal="center" vertical="center"/>
      <protection locked="0"/>
    </xf>
    <xf numFmtId="0" fontId="0" fillId="0" borderId="89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32" fillId="3" borderId="53" xfId="3" applyFont="1" applyBorder="1" applyAlignment="1" applyProtection="1">
      <alignment horizontal="center" vertical="center"/>
      <protection locked="0"/>
    </xf>
    <xf numFmtId="176" fontId="17" fillId="15" borderId="35" xfId="0" applyNumberFormat="1" applyFont="1" applyFill="1" applyBorder="1" applyAlignment="1">
      <alignment horizontal="center" vertical="center" wrapText="1"/>
    </xf>
    <xf numFmtId="0" fontId="17" fillId="15" borderId="38" xfId="4" applyFont="1" applyFill="1" applyBorder="1" applyAlignment="1" applyProtection="1">
      <alignment horizontal="center" vertical="center" wrapText="1"/>
    </xf>
    <xf numFmtId="0" fontId="17" fillId="15" borderId="63" xfId="4" applyFont="1" applyFill="1" applyBorder="1" applyAlignment="1" applyProtection="1">
      <alignment horizontal="center" vertical="center" wrapText="1"/>
    </xf>
    <xf numFmtId="0" fontId="17" fillId="15" borderId="40" xfId="4" applyFont="1" applyFill="1" applyBorder="1" applyAlignment="1" applyProtection="1">
      <alignment horizontal="center" vertical="center" wrapText="1"/>
    </xf>
    <xf numFmtId="0" fontId="17" fillId="15" borderId="38" xfId="5" applyFont="1" applyFill="1" applyBorder="1" applyAlignment="1" applyProtection="1">
      <alignment horizontal="center" vertical="center" wrapText="1"/>
    </xf>
    <xf numFmtId="176" fontId="17" fillId="15" borderId="36" xfId="0" applyNumberFormat="1" applyFont="1" applyFill="1" applyBorder="1" applyAlignment="1">
      <alignment horizontal="center" vertical="center" wrapText="1"/>
    </xf>
    <xf numFmtId="0" fontId="17" fillId="15" borderId="41" xfId="4" applyFont="1" applyFill="1" applyBorder="1" applyAlignment="1" applyProtection="1">
      <alignment horizontal="center" vertical="center" wrapText="1"/>
    </xf>
    <xf numFmtId="0" fontId="17" fillId="15" borderId="31" xfId="4" applyFont="1" applyFill="1" applyBorder="1" applyAlignment="1" applyProtection="1">
      <alignment horizontal="center" vertical="center" wrapText="1"/>
    </xf>
    <xf numFmtId="0" fontId="17" fillId="15" borderId="42" xfId="4" applyFont="1" applyFill="1" applyBorder="1" applyAlignment="1" applyProtection="1">
      <alignment horizontal="center" vertical="center" wrapText="1"/>
    </xf>
    <xf numFmtId="0" fontId="17" fillId="15" borderId="41" xfId="5" applyFont="1" applyFill="1" applyBorder="1" applyAlignment="1" applyProtection="1">
      <alignment horizontal="center" vertical="center" wrapText="1"/>
    </xf>
    <xf numFmtId="176" fontId="17" fillId="15" borderId="91" xfId="0" applyNumberFormat="1" applyFont="1" applyFill="1" applyBorder="1" applyAlignment="1">
      <alignment horizontal="center" vertical="center" wrapText="1"/>
    </xf>
    <xf numFmtId="0" fontId="17" fillId="15" borderId="43" xfId="4" applyFont="1" applyFill="1" applyBorder="1" applyAlignment="1" applyProtection="1">
      <alignment horizontal="center" vertical="center" wrapText="1"/>
    </xf>
    <xf numFmtId="0" fontId="17" fillId="15" borderId="44" xfId="4" applyFont="1" applyFill="1" applyBorder="1" applyAlignment="1" applyProtection="1">
      <alignment horizontal="center" vertical="center" wrapText="1"/>
    </xf>
    <xf numFmtId="0" fontId="17" fillId="15" borderId="45" xfId="4" applyFont="1" applyFill="1" applyBorder="1" applyAlignment="1" applyProtection="1">
      <alignment horizontal="center" vertical="center" wrapText="1"/>
    </xf>
    <xf numFmtId="176" fontId="17" fillId="15" borderId="92" xfId="0" applyNumberFormat="1" applyFont="1" applyFill="1" applyBorder="1" applyAlignment="1">
      <alignment horizontal="center" vertical="center" wrapText="1"/>
    </xf>
    <xf numFmtId="176" fontId="17" fillId="15" borderId="15" xfId="0" applyNumberFormat="1" applyFont="1" applyFill="1" applyBorder="1" applyAlignment="1">
      <alignment horizontal="center" vertical="center" wrapText="1"/>
    </xf>
    <xf numFmtId="0" fontId="17" fillId="15" borderId="66" xfId="4" applyFont="1" applyFill="1" applyBorder="1" applyAlignment="1" applyProtection="1">
      <alignment horizontal="center" vertical="center" wrapText="1"/>
    </xf>
    <xf numFmtId="0" fontId="17" fillId="15" borderId="93" xfId="4" applyFont="1" applyFill="1" applyBorder="1" applyAlignment="1" applyProtection="1">
      <alignment horizontal="center" vertical="center" wrapText="1"/>
    </xf>
    <xf numFmtId="0" fontId="17" fillId="15" borderId="94" xfId="4" applyFont="1" applyFill="1" applyBorder="1" applyAlignment="1" applyProtection="1">
      <alignment horizontal="center" vertical="center" wrapText="1"/>
    </xf>
    <xf numFmtId="176" fontId="17" fillId="15" borderId="37" xfId="0" applyNumberFormat="1" applyFont="1" applyFill="1" applyBorder="1" applyAlignment="1">
      <alignment horizontal="center" vertical="center" wrapText="1"/>
    </xf>
    <xf numFmtId="0" fontId="17" fillId="15" borderId="39" xfId="4" applyFont="1" applyFill="1" applyBorder="1" applyAlignment="1" applyProtection="1">
      <alignment horizontal="center" vertical="center" wrapText="1"/>
    </xf>
    <xf numFmtId="176" fontId="17" fillId="15" borderId="77" xfId="0" applyNumberFormat="1" applyFont="1" applyFill="1" applyBorder="1" applyAlignment="1">
      <alignment horizontal="center" vertical="center" wrapText="1"/>
    </xf>
    <xf numFmtId="0" fontId="17" fillId="15" borderId="71" xfId="4" applyFont="1" applyFill="1" applyBorder="1" applyAlignment="1" applyProtection="1">
      <alignment horizontal="center" vertical="center" wrapText="1"/>
    </xf>
    <xf numFmtId="0" fontId="17" fillId="15" borderId="52" xfId="4" applyFont="1" applyFill="1" applyBorder="1" applyAlignment="1" applyProtection="1">
      <alignment horizontal="center" vertical="center" wrapText="1"/>
    </xf>
    <xf numFmtId="0" fontId="17" fillId="15" borderId="59" xfId="4" applyFont="1" applyFill="1" applyBorder="1" applyAlignment="1" applyProtection="1">
      <alignment horizontal="center" vertical="center" wrapText="1"/>
    </xf>
    <xf numFmtId="0" fontId="17" fillId="15" borderId="43" xfId="5" applyFont="1" applyFill="1" applyBorder="1" applyAlignment="1" applyProtection="1">
      <alignment horizontal="center" vertical="center" wrapText="1"/>
    </xf>
    <xf numFmtId="0" fontId="17" fillId="15" borderId="86" xfId="4" applyFont="1" applyFill="1" applyBorder="1" applyAlignment="1" applyProtection="1">
      <alignment horizontal="center" vertical="center" wrapText="1"/>
    </xf>
    <xf numFmtId="0" fontId="17" fillId="10" borderId="62" xfId="6" applyFont="1" applyFill="1" applyBorder="1" applyAlignment="1" applyProtection="1">
      <alignment horizontal="center" vertical="center" wrapText="1"/>
    </xf>
    <xf numFmtId="0" fontId="17" fillId="10" borderId="87" xfId="6" applyFont="1" applyFill="1" applyBorder="1" applyAlignment="1" applyProtection="1">
      <alignment horizontal="center" vertical="center" wrapText="1"/>
    </xf>
    <xf numFmtId="0" fontId="17" fillId="10" borderId="56" xfId="6" applyFont="1" applyFill="1" applyBorder="1" applyAlignment="1" applyProtection="1">
      <alignment horizontal="center" vertical="center" wrapText="1"/>
    </xf>
    <xf numFmtId="0" fontId="17" fillId="0" borderId="39" xfId="4" applyFont="1" applyFill="1" applyBorder="1" applyAlignment="1" applyProtection="1">
      <alignment horizontal="center" vertical="center" wrapText="1"/>
    </xf>
    <xf numFmtId="0" fontId="17" fillId="0" borderId="52" xfId="4" applyFont="1" applyFill="1" applyBorder="1" applyAlignment="1" applyProtection="1">
      <alignment horizontal="center" vertical="center" wrapText="1"/>
    </xf>
    <xf numFmtId="0" fontId="17" fillId="15" borderId="92" xfId="4" applyFont="1" applyFill="1" applyBorder="1" applyAlignment="1" applyProtection="1">
      <alignment horizontal="center" vertical="center" shrinkToFit="1"/>
    </xf>
    <xf numFmtId="0" fontId="17" fillId="15" borderId="36" xfId="4" applyFont="1" applyFill="1" applyBorder="1" applyAlignment="1" applyProtection="1">
      <alignment horizontal="center" vertical="center" wrapText="1"/>
    </xf>
    <xf numFmtId="0" fontId="17" fillId="0" borderId="93" xfId="4" applyFont="1" applyFill="1" applyBorder="1" applyAlignment="1" applyProtection="1">
      <alignment horizontal="center" vertical="center" wrapText="1"/>
    </xf>
    <xf numFmtId="0" fontId="17" fillId="0" borderId="31" xfId="4" applyFont="1" applyFill="1" applyBorder="1" applyAlignment="1" applyProtection="1">
      <alignment horizontal="center" vertical="center" wrapText="1"/>
    </xf>
    <xf numFmtId="0" fontId="17" fillId="15" borderId="92" xfId="4" applyFont="1" applyFill="1" applyBorder="1" applyAlignment="1" applyProtection="1">
      <alignment horizontal="center" vertical="center" wrapText="1"/>
    </xf>
    <xf numFmtId="0" fontId="17" fillId="15" borderId="166" xfId="4" applyFont="1" applyFill="1" applyBorder="1" applyAlignment="1" applyProtection="1">
      <alignment horizontal="center" vertical="center" wrapText="1"/>
    </xf>
    <xf numFmtId="0" fontId="17" fillId="0" borderId="167" xfId="4" applyFont="1" applyFill="1" applyBorder="1" applyAlignment="1" applyProtection="1">
      <alignment horizontal="center" vertical="center" wrapText="1"/>
    </xf>
    <xf numFmtId="0" fontId="17" fillId="15" borderId="168" xfId="4" applyFont="1" applyFill="1" applyBorder="1" applyAlignment="1" applyProtection="1">
      <alignment horizontal="center" vertical="center" wrapText="1"/>
    </xf>
    <xf numFmtId="0" fontId="17" fillId="15" borderId="35" xfId="4" applyFont="1" applyFill="1" applyBorder="1" applyAlignment="1" applyProtection="1">
      <alignment horizontal="center" vertical="center" shrinkToFit="1"/>
    </xf>
    <xf numFmtId="0" fontId="17" fillId="15" borderId="35" xfId="4" applyFont="1" applyFill="1" applyBorder="1" applyAlignment="1" applyProtection="1">
      <alignment horizontal="center" vertical="center" wrapText="1"/>
    </xf>
    <xf numFmtId="0" fontId="17" fillId="15" borderId="36" xfId="4" applyFont="1" applyFill="1" applyBorder="1" applyAlignment="1" applyProtection="1">
      <alignment horizontal="center" vertical="center" shrinkToFit="1"/>
    </xf>
    <xf numFmtId="0" fontId="17" fillId="15" borderId="91" xfId="4" applyFont="1" applyFill="1" applyBorder="1" applyAlignment="1" applyProtection="1">
      <alignment horizontal="center" vertical="center" wrapText="1"/>
    </xf>
    <xf numFmtId="0" fontId="17" fillId="15" borderId="37" xfId="4" applyFont="1" applyFill="1" applyBorder="1" applyAlignment="1" applyProtection="1">
      <alignment horizontal="center" vertical="center" shrinkToFit="1"/>
    </xf>
    <xf numFmtId="0" fontId="17" fillId="15" borderId="37" xfId="4" applyFont="1" applyFill="1" applyBorder="1" applyAlignment="1" applyProtection="1">
      <alignment horizontal="center" vertical="center" wrapText="1"/>
    </xf>
    <xf numFmtId="0" fontId="17" fillId="0" borderId="44" xfId="4" applyFont="1" applyFill="1" applyBorder="1" applyAlignment="1" applyProtection="1">
      <alignment horizontal="center" vertical="center" wrapText="1"/>
    </xf>
    <xf numFmtId="0" fontId="17" fillId="10" borderId="54" xfId="6" applyFont="1" applyFill="1" applyBorder="1" applyAlignment="1" applyProtection="1">
      <alignment horizontal="center" vertical="center" wrapText="1"/>
    </xf>
    <xf numFmtId="0" fontId="17" fillId="10" borderId="55" xfId="6" applyFont="1" applyFill="1" applyBorder="1" applyAlignment="1" applyProtection="1">
      <alignment horizontal="center" vertical="center" wrapText="1"/>
    </xf>
    <xf numFmtId="0" fontId="17" fillId="6" borderId="26" xfId="4" applyFont="1" applyFill="1" applyBorder="1" applyAlignment="1" applyProtection="1">
      <alignment horizontal="center" vertical="center" wrapText="1"/>
    </xf>
    <xf numFmtId="0" fontId="17" fillId="6" borderId="70" xfId="4" applyFont="1" applyFill="1" applyBorder="1" applyAlignment="1" applyProtection="1">
      <alignment horizontal="center" vertical="center" wrapText="1"/>
    </xf>
    <xf numFmtId="0" fontId="17" fillId="6" borderId="22" xfId="4" applyFont="1" applyFill="1" applyBorder="1" applyAlignment="1" applyProtection="1">
      <alignment horizontal="center" vertical="center" wrapText="1"/>
    </xf>
    <xf numFmtId="0" fontId="17" fillId="15" borderId="91" xfId="4" applyFont="1" applyFill="1" applyBorder="1" applyAlignment="1" applyProtection="1">
      <alignment horizontal="center" vertical="center" shrinkToFit="1"/>
    </xf>
    <xf numFmtId="0" fontId="45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4" fillId="0" borderId="0" xfId="0" applyFont="1" applyBorder="1" applyAlignment="1">
      <alignment vertical="center"/>
    </xf>
    <xf numFmtId="0" fontId="55" fillId="11" borderId="29" xfId="7" applyFont="1" applyFill="1" applyBorder="1" applyAlignment="1" applyProtection="1">
      <alignment horizontal="center" vertical="center" wrapText="1"/>
    </xf>
    <xf numFmtId="0" fontId="54" fillId="0" borderId="6" xfId="0" applyFont="1" applyBorder="1" applyAlignment="1">
      <alignment horizontal="left" vertical="center"/>
    </xf>
    <xf numFmtId="0" fontId="54" fillId="0" borderId="0" xfId="0" applyFont="1" applyBorder="1" applyAlignment="1">
      <alignment horizontal="left" vertical="center"/>
    </xf>
    <xf numFmtId="0" fontId="54" fillId="0" borderId="18" xfId="0" applyFont="1" applyBorder="1" applyAlignment="1">
      <alignment horizontal="left" vertical="center"/>
    </xf>
    <xf numFmtId="0" fontId="49" fillId="9" borderId="88" xfId="7" applyNumberFormat="1" applyFont="1" applyFill="1" applyBorder="1" applyAlignment="1" applyProtection="1">
      <alignment horizontal="center" vertical="center" shrinkToFit="1"/>
    </xf>
    <xf numFmtId="0" fontId="57" fillId="0" borderId="88" xfId="0" applyFont="1" applyBorder="1" applyAlignment="1">
      <alignment horizontal="center" vertical="center" wrapText="1"/>
    </xf>
    <xf numFmtId="0" fontId="58" fillId="9" borderId="88" xfId="7" applyNumberFormat="1" applyFont="1" applyFill="1" applyBorder="1" applyAlignment="1" applyProtection="1">
      <alignment horizontal="center" vertical="center" shrinkToFit="1"/>
    </xf>
    <xf numFmtId="176" fontId="49" fillId="9" borderId="88" xfId="7" applyNumberFormat="1" applyFont="1" applyFill="1" applyBorder="1" applyAlignment="1" applyProtection="1">
      <alignment horizontal="center" vertical="center" shrinkToFit="1"/>
    </xf>
    <xf numFmtId="176" fontId="49" fillId="0" borderId="88" xfId="0" applyNumberFormat="1" applyFont="1" applyBorder="1" applyAlignment="1">
      <alignment horizontal="center" vertical="center"/>
    </xf>
    <xf numFmtId="176" fontId="49" fillId="9" borderId="27" xfId="7" applyNumberFormat="1" applyFont="1" applyFill="1" applyBorder="1" applyAlignment="1" applyProtection="1">
      <alignment horizontal="center" vertical="center" shrinkToFit="1"/>
    </xf>
    <xf numFmtId="0" fontId="54" fillId="0" borderId="6" xfId="0" applyFont="1" applyBorder="1" applyAlignment="1">
      <alignment vertical="center"/>
    </xf>
    <xf numFmtId="0" fontId="54" fillId="0" borderId="18" xfId="0" applyFont="1" applyBorder="1" applyAlignment="1">
      <alignment vertical="center"/>
    </xf>
    <xf numFmtId="0" fontId="49" fillId="9" borderId="13" xfId="7" applyNumberFormat="1" applyFont="1" applyFill="1" applyBorder="1" applyAlignment="1" applyProtection="1">
      <alignment horizontal="center" vertical="center" shrinkToFit="1"/>
    </xf>
    <xf numFmtId="0" fontId="57" fillId="0" borderId="13" xfId="0" applyFont="1" applyBorder="1" applyAlignment="1">
      <alignment horizontal="center" vertical="center"/>
    </xf>
    <xf numFmtId="0" fontId="58" fillId="9" borderId="13" xfId="7" applyNumberFormat="1" applyFont="1" applyFill="1" applyBorder="1" applyAlignment="1" applyProtection="1">
      <alignment horizontal="center" vertical="center" shrinkToFit="1"/>
    </xf>
    <xf numFmtId="176" fontId="49" fillId="9" borderId="10" xfId="7" applyNumberFormat="1" applyFont="1" applyFill="1" applyBorder="1" applyAlignment="1" applyProtection="1">
      <alignment horizontal="center" vertical="center" shrinkToFit="1"/>
    </xf>
    <xf numFmtId="176" fontId="49" fillId="9" borderId="13" xfId="7" applyNumberFormat="1" applyFont="1" applyFill="1" applyBorder="1" applyAlignment="1" applyProtection="1">
      <alignment horizontal="center" vertical="center" shrinkToFit="1"/>
    </xf>
    <xf numFmtId="176" fontId="49" fillId="0" borderId="10" xfId="0" applyNumberFormat="1" applyFont="1" applyBorder="1" applyAlignment="1">
      <alignment horizontal="center" vertical="center"/>
    </xf>
    <xf numFmtId="176" fontId="49" fillId="9" borderId="97" xfId="7" applyNumberFormat="1" applyFont="1" applyFill="1" applyBorder="1" applyAlignment="1" applyProtection="1">
      <alignment horizontal="center" vertical="center" shrinkToFit="1"/>
    </xf>
    <xf numFmtId="0" fontId="57" fillId="0" borderId="13" xfId="0" applyFont="1" applyBorder="1" applyAlignment="1">
      <alignment horizontal="center" vertical="center" wrapText="1"/>
    </xf>
    <xf numFmtId="0" fontId="49" fillId="0" borderId="6" xfId="0" applyFont="1" applyBorder="1">
      <alignment vertical="center"/>
    </xf>
    <xf numFmtId="0" fontId="49" fillId="0" borderId="0" xfId="0" applyFont="1" applyBorder="1">
      <alignment vertical="center"/>
    </xf>
    <xf numFmtId="0" fontId="49" fillId="0" borderId="18" xfId="0" applyFont="1" applyBorder="1">
      <alignment vertical="center"/>
    </xf>
    <xf numFmtId="0" fontId="49" fillId="9" borderId="10" xfId="7" applyNumberFormat="1" applyFont="1" applyFill="1" applyBorder="1" applyAlignment="1" applyProtection="1">
      <alignment horizontal="center" vertical="center" shrinkToFit="1"/>
    </xf>
    <xf numFmtId="0" fontId="57" fillId="0" borderId="10" xfId="0" applyFont="1" applyBorder="1" applyAlignment="1">
      <alignment horizontal="center" vertical="center" wrapText="1"/>
    </xf>
    <xf numFmtId="0" fontId="58" fillId="9" borderId="10" xfId="7" applyNumberFormat="1" applyFont="1" applyFill="1" applyBorder="1" applyAlignment="1" applyProtection="1">
      <alignment horizontal="center" vertical="center" shrinkToFit="1"/>
    </xf>
    <xf numFmtId="176" fontId="49" fillId="0" borderId="13" xfId="0" applyNumberFormat="1" applyFont="1" applyBorder="1" applyAlignment="1">
      <alignment horizontal="center" vertical="center"/>
    </xf>
    <xf numFmtId="176" fontId="49" fillId="9" borderId="9" xfId="7" applyNumberFormat="1" applyFont="1" applyFill="1" applyBorder="1" applyAlignment="1" applyProtection="1">
      <alignment horizontal="center" vertical="center" shrinkToFit="1"/>
    </xf>
    <xf numFmtId="0" fontId="58" fillId="16" borderId="29" xfId="7" applyNumberFormat="1" applyFont="1" applyFill="1" applyBorder="1" applyAlignment="1" applyProtection="1">
      <alignment horizontal="center" vertical="center" shrinkToFit="1"/>
    </xf>
    <xf numFmtId="176" fontId="51" fillId="16" borderId="89" xfId="0" applyNumberFormat="1" applyFont="1" applyFill="1" applyBorder="1" applyAlignment="1">
      <alignment horizontal="center" vertical="center"/>
    </xf>
    <xf numFmtId="176" fontId="51" fillId="16" borderId="28" xfId="0" applyNumberFormat="1" applyFont="1" applyFill="1" applyBorder="1" applyAlignment="1">
      <alignment horizontal="center" vertical="center"/>
    </xf>
    <xf numFmtId="0" fontId="49" fillId="0" borderId="17" xfId="0" applyFont="1" applyBorder="1">
      <alignment vertical="center"/>
    </xf>
    <xf numFmtId="0" fontId="49" fillId="0" borderId="3" xfId="0" applyFont="1" applyBorder="1">
      <alignment vertical="center"/>
    </xf>
    <xf numFmtId="0" fontId="49" fillId="0" borderId="19" xfId="0" applyFont="1" applyBorder="1">
      <alignment vertical="center"/>
    </xf>
    <xf numFmtId="0" fontId="57" fillId="0" borderId="88" xfId="0" applyFont="1" applyBorder="1" applyAlignment="1">
      <alignment horizontal="center" vertical="center"/>
    </xf>
    <xf numFmtId="176" fontId="58" fillId="9" borderId="88" xfId="7" applyNumberFormat="1" applyFont="1" applyFill="1" applyBorder="1" applyAlignment="1" applyProtection="1">
      <alignment horizontal="center" vertical="center" shrinkToFit="1"/>
    </xf>
    <xf numFmtId="176" fontId="58" fillId="0" borderId="88" xfId="0" applyNumberFormat="1" applyFont="1" applyBorder="1" applyAlignment="1">
      <alignment horizontal="center" vertical="center"/>
    </xf>
    <xf numFmtId="176" fontId="58" fillId="0" borderId="27" xfId="0" applyNumberFormat="1" applyFont="1" applyBorder="1" applyAlignment="1">
      <alignment horizontal="center" vertical="center"/>
    </xf>
    <xf numFmtId="176" fontId="58" fillId="9" borderId="13" xfId="7" applyNumberFormat="1" applyFont="1" applyFill="1" applyBorder="1" applyAlignment="1" applyProtection="1">
      <alignment horizontal="center" vertical="center" shrinkToFit="1"/>
    </xf>
    <xf numFmtId="176" fontId="58" fillId="0" borderId="13" xfId="0" applyNumberFormat="1" applyFont="1" applyBorder="1" applyAlignment="1">
      <alignment horizontal="center" vertical="center"/>
    </xf>
    <xf numFmtId="176" fontId="58" fillId="0" borderId="9" xfId="0" applyNumberFormat="1" applyFont="1" applyBorder="1" applyAlignment="1">
      <alignment horizontal="center" vertical="center"/>
    </xf>
    <xf numFmtId="176" fontId="58" fillId="9" borderId="10" xfId="7" applyNumberFormat="1" applyFont="1" applyFill="1" applyBorder="1" applyAlignment="1" applyProtection="1">
      <alignment horizontal="center" vertical="center" shrinkToFit="1"/>
    </xf>
    <xf numFmtId="176" fontId="58" fillId="0" borderId="10" xfId="0" applyNumberFormat="1" applyFont="1" applyBorder="1" applyAlignment="1">
      <alignment horizontal="center" vertical="center"/>
    </xf>
    <xf numFmtId="176" fontId="58" fillId="0" borderId="97" xfId="0" applyNumberFormat="1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 wrapText="1"/>
    </xf>
    <xf numFmtId="0" fontId="51" fillId="16" borderId="102" xfId="7" applyNumberFormat="1" applyFont="1" applyFill="1" applyBorder="1" applyAlignment="1" applyProtection="1">
      <alignment horizontal="center" vertical="center" shrinkToFit="1"/>
    </xf>
    <xf numFmtId="0" fontId="49" fillId="9" borderId="172" xfId="7" applyNumberFormat="1" applyFont="1" applyFill="1" applyBorder="1" applyAlignment="1" applyProtection="1">
      <alignment horizontal="center" vertical="center" shrinkToFit="1"/>
    </xf>
    <xf numFmtId="0" fontId="49" fillId="9" borderId="88" xfId="7" applyFont="1" applyFill="1" applyBorder="1" applyAlignment="1">
      <alignment horizontal="center" vertical="center" shrinkToFit="1"/>
    </xf>
    <xf numFmtId="176" fontId="49" fillId="9" borderId="88" xfId="7" applyNumberFormat="1" applyFont="1" applyFill="1" applyBorder="1" applyAlignment="1">
      <alignment horizontal="center" vertical="center" shrinkToFit="1"/>
    </xf>
    <xf numFmtId="176" fontId="49" fillId="0" borderId="27" xfId="0" applyNumberFormat="1" applyFont="1" applyBorder="1" applyAlignment="1">
      <alignment horizontal="center" vertical="center"/>
    </xf>
    <xf numFmtId="0" fontId="49" fillId="9" borderId="179" xfId="7" applyNumberFormat="1" applyFont="1" applyFill="1" applyBorder="1" applyAlignment="1" applyProtection="1">
      <alignment horizontal="center" vertical="center" shrinkToFit="1"/>
    </xf>
    <xf numFmtId="0" fontId="49" fillId="9" borderId="13" xfId="7" applyFont="1" applyFill="1" applyBorder="1" applyAlignment="1">
      <alignment horizontal="center" vertical="center" shrinkToFit="1"/>
    </xf>
    <xf numFmtId="176" fontId="49" fillId="9" borderId="10" xfId="7" applyNumberFormat="1" applyFont="1" applyFill="1" applyBorder="1" applyAlignment="1">
      <alignment horizontal="center" vertical="center" shrinkToFit="1"/>
    </xf>
    <xf numFmtId="176" fontId="49" fillId="0" borderId="97" xfId="0" applyNumberFormat="1" applyFont="1" applyBorder="1" applyAlignment="1">
      <alignment horizontal="center" vertical="center"/>
    </xf>
    <xf numFmtId="0" fontId="51" fillId="16" borderId="89" xfId="7" applyNumberFormat="1" applyFont="1" applyFill="1" applyBorder="1" applyAlignment="1" applyProtection="1">
      <alignment horizontal="center" vertical="center" shrinkToFit="1"/>
    </xf>
    <xf numFmtId="176" fontId="51" fillId="16" borderId="89" xfId="7" applyNumberFormat="1" applyFont="1" applyFill="1" applyBorder="1" applyAlignment="1" applyProtection="1">
      <alignment horizontal="center" vertical="center" shrinkToFit="1"/>
    </xf>
    <xf numFmtId="0" fontId="49" fillId="0" borderId="10" xfId="7" applyFont="1" applyBorder="1" applyAlignment="1">
      <alignment horizontal="center" vertical="center" shrinkToFit="1"/>
    </xf>
    <xf numFmtId="0" fontId="49" fillId="9" borderId="10" xfId="7" applyFont="1" applyFill="1" applyBorder="1" applyAlignment="1">
      <alignment horizontal="center" vertical="center" shrinkToFit="1"/>
    </xf>
    <xf numFmtId="176" fontId="49" fillId="9" borderId="104" xfId="7" applyNumberFormat="1" applyFont="1" applyFill="1" applyBorder="1" applyAlignment="1">
      <alignment horizontal="center" vertical="center" shrinkToFit="1"/>
    </xf>
    <xf numFmtId="0" fontId="49" fillId="0" borderId="13" xfId="7" applyFont="1" applyBorder="1" applyAlignment="1">
      <alignment horizontal="center" vertical="center" shrinkToFit="1"/>
    </xf>
    <xf numFmtId="0" fontId="49" fillId="0" borderId="13" xfId="0" applyFont="1" applyBorder="1" applyAlignment="1">
      <alignment horizontal="center" vertical="center"/>
    </xf>
    <xf numFmtId="0" fontId="51" fillId="16" borderId="102" xfId="7" applyFont="1" applyFill="1" applyBorder="1" applyAlignment="1">
      <alignment horizontal="center" vertical="center" shrinkToFit="1"/>
    </xf>
    <xf numFmtId="0" fontId="49" fillId="0" borderId="88" xfId="7" applyFont="1" applyBorder="1" applyAlignment="1">
      <alignment horizontal="center" vertical="center" shrinkToFit="1"/>
    </xf>
    <xf numFmtId="0" fontId="57" fillId="0" borderId="101" xfId="0" applyFont="1" applyBorder="1" applyAlignment="1">
      <alignment horizontal="center" vertical="center"/>
    </xf>
    <xf numFmtId="176" fontId="49" fillId="18" borderId="10" xfId="0" applyNumberFormat="1" applyFont="1" applyFill="1" applyBorder="1" applyAlignment="1">
      <alignment horizontal="center" vertical="center" shrinkToFit="1"/>
    </xf>
    <xf numFmtId="0" fontId="56" fillId="16" borderId="29" xfId="7" applyFont="1" applyFill="1" applyBorder="1" applyAlignment="1">
      <alignment horizontal="center" vertical="center" shrinkToFit="1"/>
    </xf>
    <xf numFmtId="176" fontId="49" fillId="18" borderId="88" xfId="0" applyNumberFormat="1" applyFont="1" applyFill="1" applyBorder="1" applyAlignment="1">
      <alignment horizontal="center" vertical="center" shrinkToFit="1"/>
    </xf>
    <xf numFmtId="176" fontId="49" fillId="18" borderId="13" xfId="0" applyNumberFormat="1" applyFont="1" applyFill="1" applyBorder="1" applyAlignment="1">
      <alignment horizontal="center" vertical="center" shrinkToFit="1"/>
    </xf>
    <xf numFmtId="176" fontId="49" fillId="0" borderId="9" xfId="0" applyNumberFormat="1" applyFont="1" applyBorder="1" applyAlignment="1">
      <alignment horizontal="center" vertical="center"/>
    </xf>
    <xf numFmtId="0" fontId="56" fillId="16" borderId="89" xfId="7" applyNumberFormat="1" applyFont="1" applyFill="1" applyBorder="1" applyAlignment="1" applyProtection="1">
      <alignment horizontal="center" vertical="center" shrinkToFit="1"/>
    </xf>
    <xf numFmtId="0" fontId="49" fillId="0" borderId="88" xfId="7" applyNumberFormat="1" applyFont="1" applyFill="1" applyBorder="1" applyAlignment="1" applyProtection="1">
      <alignment horizontal="center" vertical="center" shrinkToFit="1"/>
    </xf>
    <xf numFmtId="0" fontId="49" fillId="0" borderId="13" xfId="7" applyNumberFormat="1" applyFont="1" applyFill="1" applyBorder="1" applyAlignment="1" applyProtection="1">
      <alignment horizontal="center" vertical="center" shrinkToFit="1"/>
    </xf>
    <xf numFmtId="0" fontId="49" fillId="0" borderId="0" xfId="0" applyFont="1">
      <alignment vertical="center"/>
    </xf>
    <xf numFmtId="0" fontId="55" fillId="11" borderId="89" xfId="7" applyFont="1" applyFill="1" applyBorder="1" applyAlignment="1" applyProtection="1">
      <alignment horizontal="center" vertical="center" wrapText="1"/>
    </xf>
    <xf numFmtId="0" fontId="49" fillId="0" borderId="10" xfId="0" applyFont="1" applyBorder="1" applyAlignment="1">
      <alignment horizontal="center" vertical="center"/>
    </xf>
    <xf numFmtId="0" fontId="49" fillId="9" borderId="104" xfId="7" applyFont="1" applyFill="1" applyBorder="1" applyAlignment="1">
      <alignment horizontal="center" vertical="center" shrinkToFit="1"/>
    </xf>
    <xf numFmtId="0" fontId="49" fillId="9" borderId="106" xfId="7" applyFont="1" applyFill="1" applyBorder="1" applyAlignment="1">
      <alignment horizontal="center" vertical="center" shrinkToFit="1"/>
    </xf>
    <xf numFmtId="0" fontId="49" fillId="0" borderId="13" xfId="0" applyFont="1" applyBorder="1" applyAlignment="1">
      <alignment horizontal="center" vertical="center" wrapText="1"/>
    </xf>
    <xf numFmtId="176" fontId="51" fillId="16" borderId="89" xfId="7" applyNumberFormat="1" applyFont="1" applyFill="1" applyBorder="1" applyAlignment="1">
      <alignment horizontal="center" vertical="center" shrinkToFit="1"/>
    </xf>
    <xf numFmtId="0" fontId="49" fillId="0" borderId="88" xfId="0" applyFont="1" applyBorder="1" applyAlignment="1">
      <alignment horizontal="center" vertical="center"/>
    </xf>
    <xf numFmtId="0" fontId="58" fillId="9" borderId="0" xfId="7" applyNumberFormat="1" applyFont="1" applyFill="1" applyBorder="1" applyAlignment="1" applyProtection="1">
      <alignment horizontal="center" vertical="center" shrinkToFit="1"/>
    </xf>
    <xf numFmtId="176" fontId="49" fillId="9" borderId="13" xfId="7" applyNumberFormat="1" applyFont="1" applyFill="1" applyBorder="1" applyAlignment="1">
      <alignment horizontal="center" vertical="center" shrinkToFit="1"/>
    </xf>
    <xf numFmtId="0" fontId="57" fillId="0" borderId="25" xfId="0" applyFont="1" applyBorder="1" applyAlignment="1">
      <alignment horizontal="center" vertical="center"/>
    </xf>
    <xf numFmtId="0" fontId="57" fillId="0" borderId="0" xfId="0" applyFont="1" applyBorder="1" applyAlignment="1">
      <alignment horizontal="center" vertical="center"/>
    </xf>
    <xf numFmtId="176" fontId="56" fillId="16" borderId="89" xfId="7" applyNumberFormat="1" applyFont="1" applyFill="1" applyBorder="1" applyAlignment="1" applyProtection="1">
      <alignment horizontal="center" vertical="center" shrinkToFit="1"/>
    </xf>
    <xf numFmtId="0" fontId="54" fillId="0" borderId="0" xfId="0" applyFont="1">
      <alignment vertical="center"/>
    </xf>
    <xf numFmtId="0" fontId="55" fillId="11" borderId="29" xfId="7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4" fillId="0" borderId="6" xfId="0" applyFont="1" applyBorder="1">
      <alignment vertical="center"/>
    </xf>
    <xf numFmtId="0" fontId="54" fillId="0" borderId="0" xfId="0" applyFont="1" applyBorder="1">
      <alignment vertical="center"/>
    </xf>
    <xf numFmtId="0" fontId="54" fillId="0" borderId="18" xfId="0" applyFont="1" applyBorder="1">
      <alignment vertical="center"/>
    </xf>
    <xf numFmtId="0" fontId="51" fillId="16" borderId="89" xfId="7" applyFont="1" applyFill="1" applyBorder="1" applyAlignment="1">
      <alignment horizontal="center" vertical="center" shrinkToFit="1"/>
    </xf>
    <xf numFmtId="176" fontId="51" fillId="16" borderId="102" xfId="7" applyNumberFormat="1" applyFont="1" applyFill="1" applyBorder="1" applyAlignment="1">
      <alignment horizontal="center" vertical="center" shrinkToFit="1"/>
    </xf>
    <xf numFmtId="176" fontId="51" fillId="16" borderId="175" xfId="7" applyNumberFormat="1" applyFont="1" applyFill="1" applyBorder="1" applyAlignment="1">
      <alignment horizontal="center" vertical="center" shrinkToFit="1"/>
    </xf>
    <xf numFmtId="0" fontId="59" fillId="0" borderId="147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59" fillId="0" borderId="105" xfId="0" applyFont="1" applyBorder="1" applyAlignment="1">
      <alignment horizontal="center" vertical="center"/>
    </xf>
    <xf numFmtId="176" fontId="51" fillId="16" borderId="29" xfId="7" applyNumberFormat="1" applyFont="1" applyFill="1" applyBorder="1" applyAlignment="1">
      <alignment horizontal="center" vertical="center" shrinkToFit="1"/>
    </xf>
    <xf numFmtId="0" fontId="49" fillId="0" borderId="10" xfId="0" applyFont="1" applyBorder="1" applyAlignment="1">
      <alignment horizontal="center" vertical="center" wrapText="1"/>
    </xf>
    <xf numFmtId="176" fontId="58" fillId="9" borderId="10" xfId="7" applyNumberFormat="1" applyFont="1" applyFill="1" applyBorder="1" applyAlignment="1">
      <alignment horizontal="center" vertical="center" shrinkToFit="1"/>
    </xf>
    <xf numFmtId="176" fontId="58" fillId="9" borderId="13" xfId="7" applyNumberFormat="1" applyFont="1" applyFill="1" applyBorder="1" applyAlignment="1">
      <alignment horizontal="center" vertical="center" shrinkToFit="1"/>
    </xf>
    <xf numFmtId="176" fontId="56" fillId="16" borderId="89" xfId="7" applyNumberFormat="1" applyFont="1" applyFill="1" applyBorder="1" applyAlignment="1">
      <alignment horizontal="center" vertical="center" shrinkToFit="1"/>
    </xf>
    <xf numFmtId="176" fontId="56" fillId="16" borderId="28" xfId="7" applyNumberFormat="1" applyFont="1" applyFill="1" applyBorder="1" applyAlignment="1">
      <alignment horizontal="center" vertical="center" shrinkToFit="1"/>
    </xf>
    <xf numFmtId="0" fontId="58" fillId="0" borderId="88" xfId="0" applyFont="1" applyBorder="1">
      <alignment vertical="center"/>
    </xf>
    <xf numFmtId="0" fontId="58" fillId="0" borderId="88" xfId="0" applyFont="1" applyBorder="1" applyAlignment="1">
      <alignment horizontal="center" vertical="center"/>
    </xf>
    <xf numFmtId="176" fontId="58" fillId="9" borderId="88" xfId="7" applyNumberFormat="1" applyFont="1" applyFill="1" applyBorder="1" applyAlignment="1">
      <alignment horizontal="center" vertical="center" shrinkToFit="1"/>
    </xf>
    <xf numFmtId="176" fontId="58" fillId="9" borderId="27" xfId="7" applyNumberFormat="1" applyFont="1" applyFill="1" applyBorder="1" applyAlignment="1">
      <alignment horizontal="center" vertical="center" shrinkToFit="1"/>
    </xf>
    <xf numFmtId="176" fontId="58" fillId="9" borderId="9" xfId="7" applyNumberFormat="1" applyFont="1" applyFill="1" applyBorder="1" applyAlignment="1">
      <alignment horizontal="center" vertical="center" shrinkToFit="1"/>
    </xf>
    <xf numFmtId="176" fontId="58" fillId="9" borderId="97" xfId="7" applyNumberFormat="1" applyFont="1" applyFill="1" applyBorder="1" applyAlignment="1">
      <alignment horizontal="center" vertical="center" shrinkToFit="1"/>
    </xf>
    <xf numFmtId="176" fontId="58" fillId="18" borderId="88" xfId="0" applyNumberFormat="1" applyFont="1" applyFill="1" applyBorder="1" applyAlignment="1">
      <alignment horizontal="center" vertical="center" shrinkToFit="1"/>
    </xf>
    <xf numFmtId="176" fontId="58" fillId="18" borderId="10" xfId="0" applyNumberFormat="1" applyFont="1" applyFill="1" applyBorder="1" applyAlignment="1">
      <alignment horizontal="center" vertical="center" shrinkToFit="1"/>
    </xf>
    <xf numFmtId="176" fontId="58" fillId="18" borderId="13" xfId="0" applyNumberFormat="1" applyFont="1" applyFill="1" applyBorder="1" applyAlignment="1">
      <alignment horizontal="center" vertical="center" shrinkToFit="1"/>
    </xf>
    <xf numFmtId="0" fontId="12" fillId="0" borderId="0" xfId="0" applyFont="1" applyAlignment="1" applyProtection="1">
      <alignment horizontal="center" vertical="center"/>
      <protection locked="0"/>
    </xf>
    <xf numFmtId="0" fontId="17" fillId="15" borderId="38" xfId="4" applyFont="1" applyFill="1" applyBorder="1" applyAlignment="1" applyProtection="1">
      <alignment horizontal="center" vertical="center" wrapText="1"/>
    </xf>
    <xf numFmtId="0" fontId="17" fillId="15" borderId="41" xfId="4" applyFont="1" applyFill="1" applyBorder="1" applyAlignment="1" applyProtection="1">
      <alignment horizontal="center" vertical="center" wrapText="1"/>
    </xf>
    <xf numFmtId="0" fontId="17" fillId="10" borderId="62" xfId="6" applyFont="1" applyFill="1" applyBorder="1" applyAlignment="1" applyProtection="1">
      <alignment horizontal="center" vertical="center" wrapText="1"/>
    </xf>
    <xf numFmtId="0" fontId="17" fillId="15" borderId="40" xfId="4" applyFont="1" applyFill="1" applyBorder="1" applyAlignment="1" applyProtection="1">
      <alignment horizontal="center" vertical="center" wrapText="1"/>
    </xf>
    <xf numFmtId="0" fontId="17" fillId="15" borderId="42" xfId="4" applyFont="1" applyFill="1" applyBorder="1" applyAlignment="1" applyProtection="1">
      <alignment horizontal="center" vertical="center" wrapText="1"/>
    </xf>
    <xf numFmtId="0" fontId="17" fillId="15" borderId="45" xfId="4" applyFont="1" applyFill="1" applyBorder="1" applyAlignment="1" applyProtection="1">
      <alignment horizontal="center" vertical="center" wrapText="1"/>
    </xf>
    <xf numFmtId="0" fontId="17" fillId="0" borderId="39" xfId="4" applyFont="1" applyFill="1" applyBorder="1" applyAlignment="1" applyProtection="1">
      <alignment horizontal="center" vertical="center" wrapText="1"/>
    </xf>
    <xf numFmtId="0" fontId="17" fillId="0" borderId="31" xfId="4" applyFont="1" applyFill="1" applyBorder="1" applyAlignment="1" applyProtection="1">
      <alignment horizontal="center" vertical="center" wrapText="1"/>
    </xf>
    <xf numFmtId="0" fontId="17" fillId="10" borderId="55" xfId="6" applyFont="1" applyFill="1" applyBorder="1" applyAlignment="1" applyProtection="1">
      <alignment horizontal="center" vertical="center" wrapText="1"/>
    </xf>
    <xf numFmtId="0" fontId="17" fillId="10" borderId="56" xfId="6" applyFont="1" applyFill="1" applyBorder="1" applyAlignment="1" applyProtection="1">
      <alignment horizontal="center" vertical="center" wrapText="1"/>
    </xf>
    <xf numFmtId="0" fontId="17" fillId="10" borderId="54" xfId="6" applyFont="1" applyFill="1" applyBorder="1" applyAlignment="1" applyProtection="1">
      <alignment horizontal="center" vertical="center" wrapText="1"/>
    </xf>
    <xf numFmtId="0" fontId="17" fillId="15" borderId="59" xfId="4" applyFont="1" applyFill="1" applyBorder="1" applyAlignment="1" applyProtection="1">
      <alignment horizontal="center" vertical="center" wrapText="1"/>
    </xf>
    <xf numFmtId="0" fontId="17" fillId="0" borderId="52" xfId="4" applyFont="1" applyFill="1" applyBorder="1" applyAlignment="1" applyProtection="1">
      <alignment horizontal="center" vertical="center" wrapText="1"/>
    </xf>
    <xf numFmtId="0" fontId="17" fillId="15" borderId="15" xfId="4" applyFont="1" applyFill="1" applyBorder="1" applyAlignment="1" applyProtection="1">
      <alignment horizontal="center" vertical="center" shrinkToFit="1"/>
    </xf>
    <xf numFmtId="0" fontId="17" fillId="15" borderId="17" xfId="5" applyFont="1" applyFill="1" applyBorder="1" applyAlignment="1" applyProtection="1">
      <alignment horizontal="center" vertical="center" wrapText="1"/>
    </xf>
    <xf numFmtId="0" fontId="17" fillId="15" borderId="19" xfId="5" applyFont="1" applyFill="1" applyBorder="1" applyAlignment="1" applyProtection="1">
      <alignment horizontal="center" vertical="center" wrapText="1"/>
    </xf>
    <xf numFmtId="0" fontId="17" fillId="15" borderId="47" xfId="5" applyFont="1" applyFill="1" applyBorder="1" applyAlignment="1" applyProtection="1">
      <alignment horizontal="center" vertical="center" wrapText="1"/>
    </xf>
    <xf numFmtId="0" fontId="17" fillId="15" borderId="51" xfId="5" applyFont="1" applyFill="1" applyBorder="1" applyAlignment="1" applyProtection="1">
      <alignment horizontal="center" vertical="center" wrapText="1"/>
    </xf>
    <xf numFmtId="0" fontId="17" fillId="0" borderId="32" xfId="4" applyFont="1" applyFill="1" applyBorder="1" applyAlignment="1" applyProtection="1">
      <alignment horizontal="center" vertical="center" wrapText="1"/>
      <protection locked="0"/>
    </xf>
    <xf numFmtId="0" fontId="17" fillId="0" borderId="110" xfId="4" applyFont="1" applyFill="1" applyBorder="1" applyAlignment="1" applyProtection="1">
      <alignment horizontal="center" vertical="center" wrapText="1"/>
      <protection locked="0"/>
    </xf>
    <xf numFmtId="0" fontId="17" fillId="0" borderId="111" xfId="4" applyFont="1" applyFill="1" applyBorder="1" applyAlignment="1" applyProtection="1">
      <alignment horizontal="center" vertical="center" wrapText="1"/>
      <protection locked="0"/>
    </xf>
    <xf numFmtId="0" fontId="17" fillId="0" borderId="33" xfId="4" applyFont="1" applyFill="1" applyBorder="1" applyAlignment="1" applyProtection="1">
      <alignment horizontal="center" vertical="center" wrapText="1"/>
      <protection locked="0"/>
    </xf>
    <xf numFmtId="0" fontId="17" fillId="0" borderId="51" xfId="4" applyFont="1" applyFill="1" applyBorder="1" applyAlignment="1" applyProtection="1">
      <alignment horizontal="center" vertical="center" wrapText="1"/>
      <protection locked="0"/>
    </xf>
    <xf numFmtId="0" fontId="17" fillId="0" borderId="67" xfId="4" applyFont="1" applyFill="1" applyBorder="1" applyAlignment="1" applyProtection="1">
      <alignment horizontal="center" vertical="center" wrapText="1"/>
      <protection locked="0"/>
    </xf>
    <xf numFmtId="0" fontId="17" fillId="0" borderId="109" xfId="4" applyFont="1" applyFill="1" applyBorder="1" applyAlignment="1" applyProtection="1">
      <alignment horizontal="center" vertical="center" wrapText="1"/>
      <protection locked="0"/>
    </xf>
    <xf numFmtId="0" fontId="17" fillId="0" borderId="48" xfId="4" applyFont="1" applyFill="1" applyBorder="1" applyAlignment="1" applyProtection="1">
      <alignment horizontal="center" vertical="center" wrapText="1"/>
      <protection locked="0"/>
    </xf>
    <xf numFmtId="0" fontId="17" fillId="15" borderId="46" xfId="5" applyFont="1" applyFill="1" applyBorder="1" applyAlignment="1" applyProtection="1">
      <alignment horizontal="center" vertical="center" wrapText="1"/>
    </xf>
    <xf numFmtId="0" fontId="17" fillId="15" borderId="57" xfId="5" applyFont="1" applyFill="1" applyBorder="1" applyAlignment="1" applyProtection="1">
      <alignment horizontal="center" vertical="center" wrapText="1"/>
    </xf>
    <xf numFmtId="0" fontId="17" fillId="0" borderId="68" xfId="4" applyFont="1" applyFill="1" applyBorder="1" applyAlignment="1" applyProtection="1">
      <alignment horizontal="center" vertical="center" wrapText="1"/>
      <protection locked="0"/>
    </xf>
    <xf numFmtId="0" fontId="17" fillId="0" borderId="108" xfId="4" applyFont="1" applyFill="1" applyBorder="1" applyAlignment="1" applyProtection="1">
      <alignment horizontal="center" vertical="center" wrapText="1"/>
      <protection locked="0"/>
    </xf>
    <xf numFmtId="0" fontId="17" fillId="0" borderId="57" xfId="4" applyFont="1" applyFill="1" applyBorder="1" applyAlignment="1" applyProtection="1">
      <alignment horizontal="center" vertical="center" wrapText="1"/>
      <protection locked="0"/>
    </xf>
    <xf numFmtId="0" fontId="17" fillId="6" borderId="30" xfId="4" applyFont="1" applyFill="1" applyBorder="1" applyAlignment="1" applyProtection="1">
      <alignment horizontal="center" vertical="center" wrapText="1"/>
    </xf>
    <xf numFmtId="0" fontId="17" fillId="10" borderId="55" xfId="6" applyFont="1" applyFill="1" applyBorder="1" applyAlignment="1" applyProtection="1">
      <alignment horizontal="center" vertical="center" wrapText="1"/>
    </xf>
    <xf numFmtId="0" fontId="17" fillId="10" borderId="61" xfId="6" applyFont="1" applyFill="1" applyBorder="1" applyAlignment="1" applyProtection="1">
      <alignment horizontal="center" vertical="center" wrapText="1"/>
    </xf>
    <xf numFmtId="0" fontId="17" fillId="10" borderId="79" xfId="6" applyFont="1" applyFill="1" applyBorder="1" applyAlignment="1" applyProtection="1">
      <alignment horizontal="center" vertical="center" wrapText="1"/>
    </xf>
    <xf numFmtId="0" fontId="17" fillId="0" borderId="112" xfId="4" applyFont="1" applyFill="1" applyBorder="1" applyAlignment="1" applyProtection="1">
      <alignment horizontal="center" vertical="center" wrapText="1"/>
      <protection locked="0"/>
    </xf>
    <xf numFmtId="0" fontId="17" fillId="0" borderId="113" xfId="4" applyFont="1" applyFill="1" applyBorder="1" applyAlignment="1" applyProtection="1">
      <alignment horizontal="center" vertical="center" wrapText="1"/>
      <protection locked="0"/>
    </xf>
    <xf numFmtId="0" fontId="17" fillId="10" borderId="56" xfId="6" applyFont="1" applyFill="1" applyBorder="1" applyAlignment="1" applyProtection="1">
      <alignment horizontal="center" vertical="center" wrapText="1"/>
    </xf>
    <xf numFmtId="0" fontId="17" fillId="10" borderId="21" xfId="6" applyFont="1" applyFill="1" applyBorder="1" applyAlignment="1" applyProtection="1">
      <alignment horizontal="center" vertical="center" wrapText="1"/>
    </xf>
    <xf numFmtId="0" fontId="17" fillId="10" borderId="62" xfId="6" applyFont="1" applyFill="1" applyBorder="1" applyAlignment="1" applyProtection="1">
      <alignment horizontal="center" vertical="center" wrapText="1"/>
    </xf>
    <xf numFmtId="0" fontId="17" fillId="10" borderId="82" xfId="6" applyFont="1" applyFill="1" applyBorder="1" applyAlignment="1" applyProtection="1">
      <alignment horizontal="center" vertical="center" wrapText="1"/>
    </xf>
    <xf numFmtId="0" fontId="17" fillId="0" borderId="114" xfId="4" applyFont="1" applyFill="1" applyBorder="1" applyAlignment="1" applyProtection="1">
      <alignment horizontal="center" vertical="center" wrapText="1"/>
      <protection locked="0"/>
    </xf>
    <xf numFmtId="0" fontId="17" fillId="0" borderId="49" xfId="4" applyFont="1" applyFill="1" applyBorder="1" applyAlignment="1" applyProtection="1">
      <alignment horizontal="center" vertical="center" wrapText="1"/>
      <protection locked="0"/>
    </xf>
    <xf numFmtId="0" fontId="17" fillId="0" borderId="50" xfId="4" applyFont="1" applyFill="1" applyBorder="1" applyAlignment="1" applyProtection="1">
      <alignment horizontal="center" vertical="center" wrapText="1"/>
      <protection locked="0"/>
    </xf>
    <xf numFmtId="0" fontId="17" fillId="0" borderId="60" xfId="4" applyFont="1" applyFill="1" applyBorder="1" applyAlignment="1" applyProtection="1">
      <alignment horizontal="center" vertical="center" wrapText="1"/>
      <protection locked="0"/>
    </xf>
    <xf numFmtId="0" fontId="17" fillId="0" borderId="19" xfId="4" applyFont="1" applyFill="1" applyBorder="1" applyAlignment="1" applyProtection="1">
      <alignment horizontal="center" vertical="center" wrapText="1"/>
      <protection locked="0"/>
    </xf>
    <xf numFmtId="0" fontId="14" fillId="17" borderId="20" xfId="0" applyFont="1" applyFill="1" applyBorder="1" applyAlignment="1" applyProtection="1">
      <alignment horizontal="center" vertical="center"/>
      <protection locked="0"/>
    </xf>
    <xf numFmtId="0" fontId="14" fillId="17" borderId="26" xfId="0" applyFont="1" applyFill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14" fillId="17" borderId="21" xfId="0" applyFont="1" applyFill="1" applyBorder="1" applyAlignment="1" applyProtection="1">
      <alignment horizontal="center" vertical="center"/>
      <protection locked="0"/>
    </xf>
    <xf numFmtId="0" fontId="14" fillId="17" borderId="62" xfId="0" applyFont="1" applyFill="1" applyBorder="1" applyAlignment="1" applyProtection="1">
      <alignment horizontal="center" vertical="center"/>
      <protection locked="0"/>
    </xf>
    <xf numFmtId="0" fontId="12" fillId="8" borderId="90" xfId="0" applyFont="1" applyFill="1" applyBorder="1" applyAlignment="1" applyProtection="1">
      <alignment horizontal="center" vertical="center" wrapText="1"/>
      <protection locked="0"/>
    </xf>
    <xf numFmtId="0" fontId="12" fillId="8" borderId="23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64" xfId="4" applyFont="1" applyFill="1" applyBorder="1" applyAlignment="1" applyProtection="1">
      <alignment horizontal="center" vertical="center" wrapText="1"/>
      <protection locked="0"/>
    </xf>
    <xf numFmtId="0" fontId="17" fillId="0" borderId="115" xfId="4" applyFont="1" applyFill="1" applyBorder="1" applyAlignment="1" applyProtection="1">
      <alignment horizontal="center" vertical="center" wrapText="1"/>
      <protection locked="0"/>
    </xf>
    <xf numFmtId="0" fontId="17" fillId="0" borderId="116" xfId="4" applyFont="1" applyFill="1" applyBorder="1" applyAlignment="1" applyProtection="1">
      <alignment horizontal="center" vertical="center" wrapText="1"/>
      <protection locked="0"/>
    </xf>
    <xf numFmtId="0" fontId="17" fillId="0" borderId="65" xfId="4" applyFont="1" applyFill="1" applyBorder="1" applyAlignment="1" applyProtection="1">
      <alignment horizontal="center" vertical="center" wrapText="1"/>
      <protection locked="0"/>
    </xf>
    <xf numFmtId="0" fontId="17" fillId="0" borderId="22" xfId="4" applyFont="1" applyFill="1" applyBorder="1" applyAlignment="1" applyProtection="1">
      <alignment horizontal="center" vertical="center" wrapText="1"/>
      <protection locked="0"/>
    </xf>
    <xf numFmtId="0" fontId="17" fillId="15" borderId="22" xfId="4" applyFont="1" applyFill="1" applyBorder="1" applyAlignment="1" applyProtection="1">
      <alignment horizontal="center" vertical="center" wrapText="1"/>
    </xf>
    <xf numFmtId="0" fontId="17" fillId="15" borderId="18" xfId="4" applyFont="1" applyFill="1" applyBorder="1" applyAlignment="1" applyProtection="1">
      <alignment horizontal="center" vertical="center" wrapText="1"/>
    </xf>
    <xf numFmtId="0" fontId="17" fillId="15" borderId="12" xfId="0" applyFont="1" applyFill="1" applyBorder="1" applyAlignment="1">
      <alignment horizontal="center" vertical="center" wrapText="1"/>
    </xf>
    <xf numFmtId="0" fontId="17" fillId="15" borderId="15" xfId="0" applyFont="1" applyFill="1" applyBorder="1" applyAlignment="1">
      <alignment horizontal="center" vertical="center" wrapText="1"/>
    </xf>
    <xf numFmtId="0" fontId="17" fillId="0" borderId="46" xfId="4" applyFont="1" applyFill="1" applyBorder="1" applyAlignment="1" applyProtection="1">
      <alignment horizontal="center" vertical="center" wrapText="1"/>
      <protection locked="0"/>
    </xf>
    <xf numFmtId="0" fontId="17" fillId="15" borderId="77" xfId="0" applyFont="1" applyFill="1" applyBorder="1" applyAlignment="1">
      <alignment horizontal="center" vertical="center" wrapText="1"/>
    </xf>
    <xf numFmtId="0" fontId="17" fillId="0" borderId="47" xfId="4" applyFont="1" applyFill="1" applyBorder="1" applyAlignment="1" applyProtection="1">
      <alignment horizontal="center" vertical="center" wrapText="1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0" fontId="17" fillId="0" borderId="20" xfId="0" applyFont="1" applyBorder="1" applyAlignment="1" applyProtection="1">
      <alignment horizontal="center" vertical="center"/>
      <protection locked="0"/>
    </xf>
    <xf numFmtId="0" fontId="17" fillId="0" borderId="99" xfId="0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60" fillId="9" borderId="21" xfId="4" applyFont="1" applyFill="1" applyBorder="1" applyAlignment="1" applyProtection="1">
      <alignment horizontal="center" vertical="center" wrapText="1" shrinkToFit="1"/>
    </xf>
    <xf numFmtId="0" fontId="60" fillId="9" borderId="20" xfId="4" applyFont="1" applyFill="1" applyBorder="1" applyAlignment="1" applyProtection="1">
      <alignment horizontal="center" vertical="center" wrapText="1" shrinkToFit="1"/>
    </xf>
    <xf numFmtId="0" fontId="60" fillId="9" borderId="26" xfId="4" applyFont="1" applyFill="1" applyBorder="1" applyAlignment="1" applyProtection="1">
      <alignment horizontal="center" vertical="center" wrapText="1" shrinkToFit="1"/>
    </xf>
    <xf numFmtId="0" fontId="0" fillId="0" borderId="0" xfId="0" applyFont="1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46" xfId="3" applyFont="1" applyFill="1" applyBorder="1" applyAlignment="1" applyProtection="1">
      <alignment horizontal="center" vertical="center" wrapText="1"/>
      <protection locked="0"/>
    </xf>
    <xf numFmtId="0" fontId="14" fillId="4" borderId="76" xfId="3" applyFont="1" applyFill="1" applyBorder="1" applyAlignment="1" applyProtection="1">
      <alignment horizontal="center" vertical="center" wrapText="1"/>
      <protection locked="0"/>
    </xf>
    <xf numFmtId="0" fontId="14" fillId="4" borderId="5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31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8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68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32" fillId="3" borderId="34" xfId="3" applyFont="1" applyBorder="1" applyAlignment="1" applyProtection="1">
      <alignment horizontal="center" vertical="center"/>
      <protection locked="0"/>
    </xf>
    <xf numFmtId="0" fontId="32" fillId="3" borderId="70" xfId="3" applyFont="1" applyBorder="1" applyAlignment="1" applyProtection="1">
      <alignment horizontal="center" vertical="center"/>
      <protection locked="0"/>
    </xf>
    <xf numFmtId="0" fontId="14" fillId="4" borderId="81" xfId="3" applyFont="1" applyFill="1" applyBorder="1" applyAlignment="1" applyProtection="1">
      <alignment horizontal="center" vertical="center" wrapText="1"/>
      <protection locked="0"/>
    </xf>
    <xf numFmtId="0" fontId="14" fillId="8" borderId="12" xfId="0" applyFont="1" applyFill="1" applyBorder="1" applyAlignment="1" applyProtection="1">
      <alignment horizontal="center" vertical="center"/>
      <protection locked="0"/>
    </xf>
    <xf numFmtId="0" fontId="14" fillId="8" borderId="77" xfId="0" applyFont="1" applyFill="1" applyBorder="1" applyAlignment="1" applyProtection="1">
      <alignment horizontal="center" vertical="center"/>
      <protection locked="0"/>
    </xf>
    <xf numFmtId="0" fontId="14" fillId="8" borderId="4" xfId="0" applyFont="1" applyFill="1" applyBorder="1" applyAlignment="1" applyProtection="1">
      <alignment horizontal="center" vertical="center"/>
      <protection locked="0"/>
    </xf>
    <xf numFmtId="0" fontId="14" fillId="8" borderId="25" xfId="0" applyFont="1" applyFill="1" applyBorder="1" applyAlignment="1" applyProtection="1">
      <alignment horizontal="center" vertical="center"/>
      <protection locked="0"/>
    </xf>
    <xf numFmtId="0" fontId="14" fillId="8" borderId="17" xfId="0" applyFont="1" applyFill="1" applyBorder="1" applyAlignment="1" applyProtection="1">
      <alignment horizontal="center" vertical="center"/>
      <protection locked="0"/>
    </xf>
    <xf numFmtId="0" fontId="14" fillId="8" borderId="3" xfId="0" applyFont="1" applyFill="1" applyBorder="1" applyAlignment="1" applyProtection="1">
      <alignment horizontal="center" vertical="center"/>
      <protection locked="0"/>
    </xf>
    <xf numFmtId="0" fontId="14" fillId="8" borderId="22" xfId="0" applyFont="1" applyFill="1" applyBorder="1" applyAlignment="1" applyProtection="1">
      <alignment horizontal="center" vertical="center"/>
      <protection locked="0"/>
    </xf>
    <xf numFmtId="0" fontId="14" fillId="8" borderId="19" xfId="0" applyFont="1" applyFill="1" applyBorder="1" applyAlignment="1" applyProtection="1">
      <alignment horizontal="center" vertical="center"/>
      <protection locked="0"/>
    </xf>
    <xf numFmtId="0" fontId="14" fillId="8" borderId="21" xfId="0" applyFont="1" applyFill="1" applyBorder="1" applyAlignment="1" applyProtection="1">
      <alignment horizontal="center" vertical="center"/>
      <protection locked="0"/>
    </xf>
    <xf numFmtId="0" fontId="14" fillId="8" borderId="20" xfId="0" applyFont="1" applyFill="1" applyBorder="1" applyAlignment="1" applyProtection="1">
      <alignment horizontal="center" vertical="center"/>
      <protection locked="0"/>
    </xf>
    <xf numFmtId="0" fontId="14" fillId="8" borderId="26" xfId="0" applyFont="1" applyFill="1" applyBorder="1" applyAlignment="1" applyProtection="1">
      <alignment horizontal="center" vertical="center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7" fillId="15" borderId="72" xfId="4" applyFont="1" applyFill="1" applyBorder="1" applyAlignment="1" applyProtection="1">
      <alignment horizontal="center" vertical="center" wrapText="1"/>
    </xf>
    <xf numFmtId="0" fontId="17" fillId="15" borderId="75" xfId="4" applyFont="1" applyFill="1" applyBorder="1" applyAlignment="1" applyProtection="1">
      <alignment horizontal="center" vertical="center" wrapText="1"/>
    </xf>
    <xf numFmtId="0" fontId="17" fillId="0" borderId="53" xfId="4" applyFont="1" applyFill="1" applyBorder="1" applyAlignment="1" applyProtection="1">
      <alignment horizontal="center" vertical="center" wrapText="1"/>
      <protection locked="0"/>
    </xf>
    <xf numFmtId="0" fontId="17" fillId="0" borderId="4" xfId="4" applyFont="1" applyFill="1" applyBorder="1" applyAlignment="1" applyProtection="1">
      <alignment horizontal="center" vertical="center" wrapText="1"/>
      <protection locked="0"/>
    </xf>
    <xf numFmtId="0" fontId="17" fillId="15" borderId="59" xfId="4" applyFont="1" applyFill="1" applyBorder="1" applyAlignment="1" applyProtection="1">
      <alignment horizontal="center" vertical="center" wrapText="1"/>
    </xf>
    <xf numFmtId="0" fontId="17" fillId="0" borderId="17" xfId="4" applyFont="1" applyFill="1" applyBorder="1" applyAlignment="1" applyProtection="1">
      <alignment horizontal="center" vertical="center" wrapText="1"/>
      <protection locked="0"/>
    </xf>
    <xf numFmtId="0" fontId="17" fillId="15" borderId="4" xfId="5" applyFont="1" applyFill="1" applyBorder="1" applyAlignment="1" applyProtection="1">
      <alignment horizontal="center" vertical="center" wrapText="1"/>
    </xf>
    <xf numFmtId="0" fontId="17" fillId="15" borderId="22" xfId="5" applyFont="1" applyFill="1" applyBorder="1" applyAlignment="1" applyProtection="1">
      <alignment horizontal="center" vertical="center" wrapText="1"/>
    </xf>
    <xf numFmtId="0" fontId="17" fillId="15" borderId="6" xfId="5" applyFont="1" applyFill="1" applyBorder="1" applyAlignment="1" applyProtection="1">
      <alignment horizontal="center" vertical="center" wrapText="1"/>
    </xf>
    <xf numFmtId="0" fontId="17" fillId="15" borderId="18" xfId="5" applyFont="1" applyFill="1" applyBorder="1" applyAlignment="1" applyProtection="1">
      <alignment horizontal="center" vertical="center" wrapText="1"/>
    </xf>
    <xf numFmtId="0" fontId="44" fillId="15" borderId="12" xfId="0" applyFont="1" applyFill="1" applyBorder="1" applyAlignment="1">
      <alignment horizontal="center" vertical="center" wrapText="1"/>
    </xf>
    <xf numFmtId="0" fontId="44" fillId="15" borderId="15" xfId="0" applyFont="1" applyFill="1" applyBorder="1" applyAlignment="1">
      <alignment horizontal="center" vertical="center" wrapText="1"/>
    </xf>
    <xf numFmtId="0" fontId="17" fillId="15" borderId="72" xfId="5" applyFont="1" applyFill="1" applyBorder="1" applyAlignment="1" applyProtection="1">
      <alignment horizontal="center" vertical="center" wrapText="1"/>
    </xf>
    <xf numFmtId="0" fontId="17" fillId="15" borderId="75" xfId="5" applyFont="1" applyFill="1" applyBorder="1" applyAlignment="1" applyProtection="1">
      <alignment horizontal="center" vertical="center" wrapText="1"/>
    </xf>
    <xf numFmtId="0" fontId="17" fillId="15" borderId="59" xfId="5" applyFont="1" applyFill="1" applyBorder="1" applyAlignment="1" applyProtection="1">
      <alignment horizontal="center" vertical="center" wrapText="1"/>
    </xf>
    <xf numFmtId="0" fontId="12" fillId="13" borderId="21" xfId="0" applyFont="1" applyFill="1" applyBorder="1" applyAlignment="1" applyProtection="1">
      <alignment horizontal="center" vertical="center"/>
      <protection locked="0"/>
    </xf>
    <xf numFmtId="0" fontId="12" fillId="13" borderId="26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0" fontId="17" fillId="0" borderId="57" xfId="0" applyFont="1" applyBorder="1" applyAlignment="1" applyProtection="1">
      <alignment horizontal="center" vertical="center" wrapText="1"/>
      <protection locked="0"/>
    </xf>
    <xf numFmtId="0" fontId="17" fillId="6" borderId="12" xfId="4" applyFont="1" applyFill="1" applyBorder="1" applyAlignment="1" applyProtection="1">
      <alignment horizontal="center" vertical="center" wrapText="1"/>
    </xf>
    <xf numFmtId="0" fontId="17" fillId="6" borderId="15" xfId="4" applyFont="1" applyFill="1" applyBorder="1" applyAlignment="1" applyProtection="1">
      <alignment horizontal="center" vertical="center" wrapText="1"/>
    </xf>
    <xf numFmtId="0" fontId="17" fillId="6" borderId="77" xfId="4" applyFont="1" applyFill="1" applyBorder="1" applyAlignment="1" applyProtection="1">
      <alignment horizontal="center" vertical="center" wrapText="1"/>
    </xf>
    <xf numFmtId="0" fontId="17" fillId="0" borderId="46" xfId="2" applyFont="1" applyBorder="1" applyAlignment="1" applyProtection="1">
      <alignment horizontal="center" vertical="center" wrapText="1"/>
      <protection locked="0"/>
    </xf>
    <xf numFmtId="0" fontId="17" fillId="0" borderId="57" xfId="2" applyFont="1" applyBorder="1" applyAlignment="1" applyProtection="1">
      <alignment horizontal="center" vertical="center" wrapText="1"/>
      <protection locked="0"/>
    </xf>
    <xf numFmtId="0" fontId="17" fillId="0" borderId="47" xfId="2" applyFont="1" applyBorder="1" applyAlignment="1" applyProtection="1">
      <alignment horizontal="center" vertical="center" wrapText="1"/>
      <protection locked="0"/>
    </xf>
    <xf numFmtId="0" fontId="17" fillId="0" borderId="51" xfId="2" applyFont="1" applyBorder="1" applyAlignment="1" applyProtection="1">
      <alignment horizontal="center" vertical="center" wrapText="1"/>
      <protection locked="0"/>
    </xf>
    <xf numFmtId="0" fontId="17" fillId="0" borderId="47" xfId="0" applyFont="1" applyFill="1" applyBorder="1" applyAlignment="1" applyProtection="1">
      <alignment horizontal="center" vertical="center" shrinkToFit="1"/>
      <protection locked="0"/>
    </xf>
    <xf numFmtId="0" fontId="17" fillId="0" borderId="51" xfId="0" applyFont="1" applyFill="1" applyBorder="1" applyAlignment="1" applyProtection="1">
      <alignment horizontal="center" vertical="center" shrinkToFit="1"/>
      <protection locked="0"/>
    </xf>
    <xf numFmtId="0" fontId="17" fillId="10" borderId="64" xfId="6" applyFont="1" applyFill="1" applyBorder="1" applyAlignment="1" applyProtection="1">
      <alignment horizontal="center" vertical="center" wrapText="1"/>
    </xf>
    <xf numFmtId="0" fontId="17" fillId="10" borderId="22" xfId="6" applyFont="1" applyFill="1" applyBorder="1" applyAlignment="1" applyProtection="1">
      <alignment horizontal="center" vertical="center" wrapText="1"/>
    </xf>
    <xf numFmtId="0" fontId="17" fillId="10" borderId="60" xfId="6" applyFont="1" applyFill="1" applyBorder="1" applyAlignment="1" applyProtection="1">
      <alignment horizontal="center" vertical="center" wrapText="1"/>
    </xf>
    <xf numFmtId="0" fontId="17" fillId="10" borderId="19" xfId="6" applyFont="1" applyFill="1" applyBorder="1" applyAlignment="1" applyProtection="1">
      <alignment horizontal="center" vertical="center" wrapText="1"/>
    </xf>
    <xf numFmtId="0" fontId="17" fillId="0" borderId="46" xfId="0" applyFont="1" applyBorder="1" applyAlignment="1" applyProtection="1">
      <alignment horizontal="center" vertical="center" shrinkToFit="1"/>
      <protection locked="0"/>
    </xf>
    <xf numFmtId="0" fontId="17" fillId="0" borderId="57" xfId="0" applyFont="1" applyBorder="1" applyAlignment="1" applyProtection="1">
      <alignment horizontal="center" vertical="center" shrinkToFit="1"/>
      <protection locked="0"/>
    </xf>
    <xf numFmtId="0" fontId="17" fillId="0" borderId="63" xfId="4" applyFont="1" applyFill="1" applyBorder="1" applyAlignment="1" applyProtection="1">
      <alignment horizontal="center" vertical="center" wrapText="1"/>
    </xf>
    <xf numFmtId="0" fontId="17" fillId="0" borderId="52" xfId="4" applyFont="1" applyFill="1" applyBorder="1" applyAlignment="1" applyProtection="1">
      <alignment horizontal="center" vertical="center" wrapText="1"/>
    </xf>
    <xf numFmtId="0" fontId="17" fillId="0" borderId="76" xfId="4" applyFont="1" applyFill="1" applyBorder="1" applyAlignment="1" applyProtection="1">
      <alignment horizontal="center" vertical="center" wrapText="1"/>
      <protection locked="0"/>
    </xf>
    <xf numFmtId="0" fontId="17" fillId="0" borderId="53" xfId="0" applyFont="1" applyBorder="1" applyAlignment="1" applyProtection="1">
      <alignment horizontal="center" vertical="center" shrinkToFit="1"/>
      <protection locked="0"/>
    </xf>
    <xf numFmtId="0" fontId="17" fillId="0" borderId="50" xfId="0" applyFont="1" applyBorder="1" applyAlignment="1" applyProtection="1">
      <alignment horizontal="center" vertical="center" shrinkToFit="1"/>
      <protection locked="0"/>
    </xf>
    <xf numFmtId="0" fontId="17" fillId="0" borderId="69" xfId="4" applyFont="1" applyFill="1" applyBorder="1" applyAlignment="1" applyProtection="1">
      <alignment horizontal="center" vertical="center" wrapText="1"/>
      <protection locked="0"/>
    </xf>
    <xf numFmtId="0" fontId="17" fillId="10" borderId="4" xfId="6" applyFont="1" applyFill="1" applyBorder="1" applyAlignment="1" applyProtection="1">
      <alignment horizontal="center" vertical="center" wrapText="1"/>
    </xf>
    <xf numFmtId="0" fontId="17" fillId="10" borderId="25" xfId="6" applyFont="1" applyFill="1" applyBorder="1" applyAlignment="1" applyProtection="1">
      <alignment horizontal="center" vertical="center" wrapText="1"/>
    </xf>
    <xf numFmtId="0" fontId="17" fillId="10" borderId="17" xfId="6" applyFont="1" applyFill="1" applyBorder="1" applyAlignment="1" applyProtection="1">
      <alignment horizontal="center" vertical="center" wrapText="1"/>
    </xf>
    <xf numFmtId="0" fontId="17" fillId="10" borderId="3" xfId="6" applyFont="1" applyFill="1" applyBorder="1" applyAlignment="1" applyProtection="1">
      <alignment horizontal="center" vertical="center" wrapText="1"/>
    </xf>
    <xf numFmtId="0" fontId="17" fillId="10" borderId="73" xfId="6" applyFont="1" applyFill="1" applyBorder="1" applyAlignment="1" applyProtection="1">
      <alignment horizontal="center" vertical="center" wrapText="1"/>
    </xf>
    <xf numFmtId="0" fontId="17" fillId="10" borderId="71" xfId="6" applyFont="1" applyFill="1" applyBorder="1" applyAlignment="1" applyProtection="1">
      <alignment horizontal="center" vertical="center" wrapText="1"/>
    </xf>
    <xf numFmtId="0" fontId="17" fillId="10" borderId="63" xfId="6" applyFont="1" applyFill="1" applyBorder="1" applyAlignment="1" applyProtection="1">
      <alignment horizontal="center" vertical="center" wrapText="1"/>
    </xf>
    <xf numFmtId="0" fontId="17" fillId="10" borderId="52" xfId="6" applyFont="1" applyFill="1" applyBorder="1" applyAlignment="1" applyProtection="1">
      <alignment horizontal="center" vertical="center" wrapText="1"/>
    </xf>
    <xf numFmtId="0" fontId="17" fillId="10" borderId="72" xfId="6" applyFont="1" applyFill="1" applyBorder="1" applyAlignment="1" applyProtection="1">
      <alignment horizontal="center" vertical="center" wrapText="1"/>
    </xf>
    <xf numFmtId="0" fontId="17" fillId="10" borderId="59" xfId="6" applyFont="1" applyFill="1" applyBorder="1" applyAlignment="1" applyProtection="1">
      <alignment horizontal="center" vertical="center" wrapText="1"/>
    </xf>
    <xf numFmtId="0" fontId="17" fillId="10" borderId="65" xfId="6" applyFont="1" applyFill="1" applyBorder="1" applyAlignment="1" applyProtection="1">
      <alignment horizontal="center" vertical="center" wrapText="1"/>
    </xf>
    <xf numFmtId="0" fontId="17" fillId="10" borderId="58" xfId="6" applyFont="1" applyFill="1" applyBorder="1" applyAlignment="1" applyProtection="1">
      <alignment horizontal="center" vertical="center" wrapText="1"/>
    </xf>
    <xf numFmtId="0" fontId="17" fillId="10" borderId="116" xfId="6" applyFont="1" applyFill="1" applyBorder="1" applyAlignment="1" applyProtection="1">
      <alignment horizontal="center" vertical="center" wrapText="1"/>
    </xf>
    <xf numFmtId="0" fontId="17" fillId="10" borderId="78" xfId="6" applyFont="1" applyFill="1" applyBorder="1" applyAlignment="1" applyProtection="1">
      <alignment horizontal="center" vertical="center" wrapText="1"/>
    </xf>
    <xf numFmtId="0" fontId="17" fillId="10" borderId="115" xfId="6" applyFont="1" applyFill="1" applyBorder="1" applyAlignment="1" applyProtection="1">
      <alignment horizontal="center" vertical="center" wrapText="1"/>
    </xf>
    <xf numFmtId="0" fontId="17" fillId="10" borderId="85" xfId="6" applyFont="1" applyFill="1" applyBorder="1" applyAlignment="1" applyProtection="1">
      <alignment horizontal="center" vertical="center" wrapText="1"/>
    </xf>
    <xf numFmtId="0" fontId="25" fillId="15" borderId="12" xfId="4" applyFont="1" applyFill="1" applyBorder="1" applyAlignment="1" applyProtection="1">
      <alignment horizontal="center" vertical="center" wrapText="1"/>
    </xf>
    <xf numFmtId="0" fontId="25" fillId="15" borderId="15" xfId="4" applyFont="1" applyFill="1" applyBorder="1" applyAlignment="1" applyProtection="1">
      <alignment horizontal="center" vertical="center" wrapText="1"/>
    </xf>
    <xf numFmtId="0" fontId="25" fillId="15" borderId="77" xfId="4" applyFont="1" applyFill="1" applyBorder="1" applyAlignment="1" applyProtection="1">
      <alignment horizontal="center" vertical="center" wrapText="1"/>
    </xf>
    <xf numFmtId="0" fontId="17" fillId="15" borderId="12" xfId="4" applyFont="1" applyFill="1" applyBorder="1" applyAlignment="1" applyProtection="1">
      <alignment horizontal="center" vertical="center" wrapText="1"/>
    </xf>
    <xf numFmtId="0" fontId="17" fillId="15" borderId="77" xfId="4" applyFont="1" applyFill="1" applyBorder="1" applyAlignment="1" applyProtection="1">
      <alignment horizontal="center" vertical="center" wrapText="1"/>
    </xf>
    <xf numFmtId="0" fontId="17" fillId="10" borderId="26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7" fillId="15" borderId="4" xfId="6" applyFont="1" applyFill="1" applyBorder="1" applyAlignment="1" applyProtection="1">
      <alignment horizontal="center" vertical="center" wrapText="1"/>
    </xf>
    <xf numFmtId="0" fontId="17" fillId="15" borderId="25" xfId="6" applyFont="1" applyFill="1" applyBorder="1" applyAlignment="1" applyProtection="1">
      <alignment horizontal="center" vertical="center" wrapText="1"/>
    </xf>
    <xf numFmtId="0" fontId="17" fillId="15" borderId="22" xfId="6" applyFont="1" applyFill="1" applyBorder="1" applyAlignment="1" applyProtection="1">
      <alignment horizontal="center" vertical="center" wrapText="1"/>
    </xf>
    <xf numFmtId="0" fontId="17" fillId="15" borderId="6" xfId="6" applyFont="1" applyFill="1" applyBorder="1" applyAlignment="1" applyProtection="1">
      <alignment horizontal="center" vertical="center" wrapText="1"/>
    </xf>
    <xf numFmtId="0" fontId="17" fillId="15" borderId="0" xfId="6" applyFont="1" applyFill="1" applyBorder="1" applyAlignment="1" applyProtection="1">
      <alignment horizontal="center" vertical="center" wrapText="1"/>
    </xf>
    <xf numFmtId="0" fontId="17" fillId="15" borderId="18" xfId="6" applyFont="1" applyFill="1" applyBorder="1" applyAlignment="1" applyProtection="1">
      <alignment horizontal="center" vertical="center" wrapText="1"/>
    </xf>
    <xf numFmtId="0" fontId="17" fillId="15" borderId="17" xfId="6" applyFont="1" applyFill="1" applyBorder="1" applyAlignment="1" applyProtection="1">
      <alignment horizontal="center" vertical="center" wrapText="1"/>
    </xf>
    <xf numFmtId="0" fontId="17" fillId="15" borderId="3" xfId="6" applyFont="1" applyFill="1" applyBorder="1" applyAlignment="1" applyProtection="1">
      <alignment horizontal="center" vertical="center" wrapText="1"/>
    </xf>
    <xf numFmtId="0" fontId="17" fillId="15" borderId="19" xfId="6" applyFont="1" applyFill="1" applyBorder="1" applyAlignment="1" applyProtection="1">
      <alignment horizontal="center" vertical="center" wrapText="1"/>
    </xf>
    <xf numFmtId="0" fontId="17" fillId="15" borderId="46" xfId="6" applyFont="1" applyFill="1" applyBorder="1" applyAlignment="1" applyProtection="1">
      <alignment horizontal="center" vertical="center" wrapText="1"/>
    </xf>
    <xf numFmtId="0" fontId="17" fillId="15" borderId="76" xfId="6" applyFont="1" applyFill="1" applyBorder="1" applyAlignment="1" applyProtection="1">
      <alignment horizontal="center" vertical="center" wrapText="1"/>
    </xf>
    <xf numFmtId="0" fontId="17" fillId="15" borderId="57" xfId="6" applyFont="1" applyFill="1" applyBorder="1" applyAlignment="1" applyProtection="1">
      <alignment horizontal="center" vertical="center" wrapText="1"/>
    </xf>
    <xf numFmtId="0" fontId="17" fillId="15" borderId="95" xfId="6" applyFont="1" applyFill="1" applyBorder="1" applyAlignment="1" applyProtection="1">
      <alignment horizontal="center" vertical="center" wrapText="1"/>
    </xf>
    <xf numFmtId="0" fontId="17" fillId="15" borderId="96" xfId="6" applyFont="1" applyFill="1" applyBorder="1" applyAlignment="1" applyProtection="1">
      <alignment horizontal="center" vertical="center" wrapText="1"/>
    </xf>
    <xf numFmtId="0" fontId="17" fillId="6" borderId="91" xfId="4" applyFont="1" applyFill="1" applyBorder="1" applyAlignment="1" applyProtection="1">
      <alignment horizontal="center" vertical="center" wrapText="1"/>
    </xf>
    <xf numFmtId="0" fontId="17" fillId="15" borderId="47" xfId="6" applyFont="1" applyFill="1" applyBorder="1" applyAlignment="1" applyProtection="1">
      <alignment horizontal="center" vertical="center" wrapText="1"/>
    </xf>
    <xf numFmtId="0" fontId="17" fillId="15" borderId="67" xfId="6" applyFont="1" applyFill="1" applyBorder="1" applyAlignment="1" applyProtection="1">
      <alignment horizontal="center" vertical="center" wrapText="1"/>
    </xf>
    <xf numFmtId="0" fontId="17" fillId="15" borderId="51" xfId="6" applyFont="1" applyFill="1" applyBorder="1" applyAlignment="1" applyProtection="1">
      <alignment horizontal="center" vertical="center" wrapText="1"/>
    </xf>
    <xf numFmtId="0" fontId="17" fillId="10" borderId="20" xfId="6" applyFont="1" applyFill="1" applyBorder="1" applyAlignment="1" applyProtection="1">
      <alignment horizontal="center" vertical="center" wrapText="1"/>
    </xf>
    <xf numFmtId="0" fontId="17" fillId="10" borderId="14" xfId="6" applyFont="1" applyFill="1" applyBorder="1" applyAlignment="1" applyProtection="1">
      <alignment horizontal="center" vertical="center" wrapText="1"/>
    </xf>
    <xf numFmtId="0" fontId="17" fillId="10" borderId="99" xfId="6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7" fillId="15" borderId="53" xfId="6" applyFont="1" applyFill="1" applyBorder="1" applyAlignment="1" applyProtection="1">
      <alignment horizontal="center" vertical="center" wrapText="1"/>
    </xf>
    <xf numFmtId="0" fontId="17" fillId="15" borderId="69" xfId="6" applyFont="1" applyFill="1" applyBorder="1" applyAlignment="1" applyProtection="1">
      <alignment horizontal="center" vertical="center" wrapText="1"/>
    </xf>
    <xf numFmtId="0" fontId="17" fillId="15" borderId="50" xfId="6" applyFont="1" applyFill="1" applyBorder="1" applyAlignment="1" applyProtection="1">
      <alignment horizontal="center" vertical="center" wrapText="1"/>
    </xf>
    <xf numFmtId="0" fontId="17" fillId="15" borderId="53" xfId="4" applyFont="1" applyFill="1" applyBorder="1" applyAlignment="1" applyProtection="1">
      <alignment horizontal="center" vertical="center" wrapText="1"/>
    </xf>
    <xf numFmtId="0" fontId="17" fillId="15" borderId="49" xfId="4" applyFont="1" applyFill="1" applyBorder="1" applyAlignment="1" applyProtection="1">
      <alignment horizontal="center" vertical="center" wrapText="1"/>
    </xf>
    <xf numFmtId="0" fontId="17" fillId="15" borderId="112" xfId="4" applyFont="1" applyFill="1" applyBorder="1" applyAlignment="1" applyProtection="1">
      <alignment horizontal="center" vertical="center" wrapText="1"/>
    </xf>
    <xf numFmtId="0" fontId="17" fillId="15" borderId="113" xfId="4" applyFont="1" applyFill="1" applyBorder="1" applyAlignment="1" applyProtection="1">
      <alignment horizontal="center" vertical="center" wrapText="1"/>
    </xf>
    <xf numFmtId="0" fontId="17" fillId="15" borderId="114" xfId="4" applyFont="1" applyFill="1" applyBorder="1" applyAlignment="1" applyProtection="1">
      <alignment horizontal="center" vertical="center" wrapText="1"/>
    </xf>
    <xf numFmtId="0" fontId="17" fillId="15" borderId="50" xfId="4" applyFont="1" applyFill="1" applyBorder="1" applyAlignment="1" applyProtection="1">
      <alignment horizontal="center" vertical="center" wrapText="1"/>
    </xf>
    <xf numFmtId="0" fontId="17" fillId="10" borderId="54" xfId="6" applyFont="1" applyFill="1" applyBorder="1" applyAlignment="1" applyProtection="1">
      <alignment horizontal="center" vertical="center" wrapText="1"/>
    </xf>
    <xf numFmtId="0" fontId="17" fillId="15" borderId="4" xfId="4" applyFont="1" applyFill="1" applyBorder="1" applyAlignment="1" applyProtection="1">
      <alignment horizontal="center" vertical="center" wrapText="1"/>
    </xf>
    <xf numFmtId="0" fontId="17" fillId="15" borderId="6" xfId="4" applyFont="1" applyFill="1" applyBorder="1" applyAlignment="1" applyProtection="1">
      <alignment horizontal="center" vertical="center" wrapText="1"/>
    </xf>
    <xf numFmtId="0" fontId="17" fillId="15" borderId="17" xfId="4" applyFont="1" applyFill="1" applyBorder="1" applyAlignment="1" applyProtection="1">
      <alignment horizontal="center" vertical="center" wrapText="1"/>
    </xf>
    <xf numFmtId="0" fontId="17" fillId="15" borderId="19" xfId="4" applyFont="1" applyFill="1" applyBorder="1" applyAlignment="1" applyProtection="1">
      <alignment horizontal="center" vertical="center" wrapText="1"/>
    </xf>
    <xf numFmtId="0" fontId="17" fillId="0" borderId="47" xfId="0" applyFont="1" applyBorder="1" applyAlignment="1" applyProtection="1">
      <alignment horizontal="center" vertical="center" shrinkToFit="1"/>
      <protection locked="0"/>
    </xf>
    <xf numFmtId="0" fontId="17" fillId="0" borderId="51" xfId="0" applyFont="1" applyBorder="1" applyAlignment="1" applyProtection="1">
      <alignment horizontal="center" vertical="center" shrinkToFit="1"/>
      <protection locked="0"/>
    </xf>
    <xf numFmtId="0" fontId="17" fillId="0" borderId="78" xfId="4" applyFont="1" applyFill="1" applyBorder="1" applyAlignment="1" applyProtection="1">
      <alignment horizontal="center" vertical="center" wrapText="1"/>
      <protection locked="0"/>
    </xf>
    <xf numFmtId="0" fontId="17" fillId="0" borderId="58" xfId="4" applyFont="1" applyFill="1" applyBorder="1" applyAlignment="1" applyProtection="1">
      <alignment horizontal="center" vertical="center" wrapText="1"/>
      <protection locked="0"/>
    </xf>
    <xf numFmtId="176" fontId="17" fillId="15" borderId="17" xfId="0" applyNumberFormat="1" applyFont="1" applyFill="1" applyBorder="1" applyAlignment="1">
      <alignment horizontal="center" vertical="center" wrapText="1"/>
    </xf>
    <xf numFmtId="176" fontId="17" fillId="15" borderId="19" xfId="0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85" xfId="4" applyFont="1" applyFill="1" applyBorder="1" applyAlignment="1" applyProtection="1">
      <alignment horizontal="center" vertical="center" wrapText="1"/>
      <protection locked="0"/>
    </xf>
    <xf numFmtId="176" fontId="17" fillId="15" borderId="46" xfId="0" applyNumberFormat="1" applyFont="1" applyFill="1" applyBorder="1" applyAlignment="1">
      <alignment horizontal="center" vertical="center" wrapText="1"/>
    </xf>
    <xf numFmtId="176" fontId="17" fillId="15" borderId="57" xfId="0" applyNumberFormat="1" applyFont="1" applyFill="1" applyBorder="1" applyAlignment="1">
      <alignment horizontal="center" vertical="center" wrapText="1"/>
    </xf>
    <xf numFmtId="0" fontId="17" fillId="15" borderId="15" xfId="4" applyFont="1" applyFill="1" applyBorder="1" applyAlignment="1" applyProtection="1">
      <alignment horizontal="center" vertical="center" wrapText="1"/>
    </xf>
    <xf numFmtId="0" fontId="17" fillId="15" borderId="38" xfId="4" applyFont="1" applyFill="1" applyBorder="1" applyAlignment="1" applyProtection="1">
      <alignment horizontal="center" vertical="center" wrapText="1"/>
    </xf>
    <xf numFmtId="0" fontId="17" fillId="15" borderId="41" xfId="4" applyFont="1" applyFill="1" applyBorder="1" applyAlignment="1" applyProtection="1">
      <alignment horizontal="center" vertical="center" wrapText="1"/>
    </xf>
    <xf numFmtId="0" fontId="17" fillId="15" borderId="40" xfId="4" applyFont="1" applyFill="1" applyBorder="1" applyAlignment="1" applyProtection="1">
      <alignment horizontal="center" vertical="center" wrapText="1"/>
    </xf>
    <xf numFmtId="0" fontId="17" fillId="15" borderId="42" xfId="4" applyFont="1" applyFill="1" applyBorder="1" applyAlignment="1" applyProtection="1">
      <alignment horizontal="center" vertical="center" wrapText="1"/>
    </xf>
    <xf numFmtId="0" fontId="17" fillId="15" borderId="45" xfId="4" applyFont="1" applyFill="1" applyBorder="1" applyAlignment="1" applyProtection="1">
      <alignment horizontal="center" vertical="center" wrapText="1"/>
    </xf>
    <xf numFmtId="0" fontId="17" fillId="0" borderId="39" xfId="4" applyFont="1" applyFill="1" applyBorder="1" applyAlignment="1" applyProtection="1">
      <alignment horizontal="center" vertical="center" wrapText="1"/>
    </xf>
    <xf numFmtId="0" fontId="17" fillId="0" borderId="31" xfId="4" applyFont="1" applyFill="1" applyBorder="1" applyAlignment="1" applyProtection="1">
      <alignment horizontal="center" vertical="center" wrapText="1"/>
    </xf>
    <xf numFmtId="0" fontId="17" fillId="0" borderId="165" xfId="0" applyFont="1" applyBorder="1" applyAlignment="1" applyProtection="1">
      <alignment horizontal="center" vertical="center" shrinkToFit="1"/>
      <protection locked="0"/>
    </xf>
    <xf numFmtId="0" fontId="17" fillId="0" borderId="70" xfId="0" applyFont="1" applyBorder="1" applyAlignment="1" applyProtection="1">
      <alignment horizontal="center" vertical="center" shrinkToFit="1"/>
      <protection locked="0"/>
    </xf>
    <xf numFmtId="0" fontId="17" fillId="0" borderId="165" xfId="4" applyFont="1" applyFill="1" applyBorder="1" applyAlignment="1" applyProtection="1">
      <alignment horizontal="center" vertical="center" wrapText="1"/>
      <protection locked="0"/>
    </xf>
    <xf numFmtId="0" fontId="17" fillId="0" borderId="169" xfId="4" applyFont="1" applyFill="1" applyBorder="1" applyAlignment="1" applyProtection="1">
      <alignment horizontal="center" vertical="center" wrapText="1"/>
      <protection locked="0"/>
    </xf>
    <xf numFmtId="0" fontId="17" fillId="0" borderId="34" xfId="4" applyFont="1" applyFill="1" applyBorder="1" applyAlignment="1" applyProtection="1">
      <alignment horizontal="center" vertical="center" wrapText="1"/>
      <protection locked="0"/>
    </xf>
    <xf numFmtId="0" fontId="17" fillId="0" borderId="170" xfId="4" applyFont="1" applyFill="1" applyBorder="1" applyAlignment="1" applyProtection="1">
      <alignment horizontal="center" vertical="center" wrapText="1"/>
      <protection locked="0"/>
    </xf>
    <xf numFmtId="0" fontId="17" fillId="0" borderId="171" xfId="4" applyFont="1" applyFill="1" applyBorder="1" applyAlignment="1" applyProtection="1">
      <alignment horizontal="center" vertical="center" wrapText="1"/>
      <protection locked="0"/>
    </xf>
    <xf numFmtId="0" fontId="17" fillId="0" borderId="70" xfId="4" applyFont="1" applyFill="1" applyBorder="1" applyAlignment="1" applyProtection="1">
      <alignment horizontal="center" vertical="center" wrapText="1"/>
      <protection locked="0"/>
    </xf>
    <xf numFmtId="0" fontId="17" fillId="15" borderId="165" xfId="5" applyFont="1" applyFill="1" applyBorder="1" applyAlignment="1" applyProtection="1">
      <alignment horizontal="center" vertical="center" wrapText="1"/>
    </xf>
    <xf numFmtId="0" fontId="17" fillId="15" borderId="70" xfId="5" applyFont="1" applyFill="1" applyBorder="1" applyAlignment="1" applyProtection="1">
      <alignment horizontal="center" vertical="center" wrapText="1"/>
    </xf>
    <xf numFmtId="0" fontId="17" fillId="15" borderId="53" xfId="5" applyFont="1" applyFill="1" applyBorder="1" applyAlignment="1" applyProtection="1">
      <alignment horizontal="center" vertical="center" wrapText="1"/>
    </xf>
    <xf numFmtId="0" fontId="17" fillId="15" borderId="50" xfId="5" applyFont="1" applyFill="1" applyBorder="1" applyAlignment="1" applyProtection="1">
      <alignment horizontal="center" vertical="center" wrapText="1"/>
    </xf>
    <xf numFmtId="0" fontId="17" fillId="0" borderId="164" xfId="4" applyFont="1" applyFill="1" applyBorder="1" applyAlignment="1" applyProtection="1">
      <alignment horizontal="center" vertical="center" wrapText="1"/>
      <protection locked="0"/>
    </xf>
    <xf numFmtId="0" fontId="17" fillId="0" borderId="161" xfId="4" applyFont="1" applyFill="1" applyBorder="1" applyAlignment="1" applyProtection="1">
      <alignment horizontal="center" vertical="center" wrapText="1"/>
      <protection locked="0"/>
    </xf>
    <xf numFmtId="0" fontId="17" fillId="0" borderId="162" xfId="4" applyFont="1" applyFill="1" applyBorder="1" applyAlignment="1" applyProtection="1">
      <alignment horizontal="center" vertical="center" wrapText="1"/>
      <protection locked="0"/>
    </xf>
    <xf numFmtId="0" fontId="17" fillId="0" borderId="96" xfId="4" applyFont="1" applyFill="1" applyBorder="1" applyAlignment="1" applyProtection="1">
      <alignment horizontal="center" vertical="center" wrapText="1"/>
      <protection locked="0"/>
    </xf>
    <xf numFmtId="0" fontId="17" fillId="0" borderId="95" xfId="4" applyFont="1" applyFill="1" applyBorder="1" applyAlignment="1" applyProtection="1">
      <alignment horizontal="center" vertical="center" wrapText="1"/>
      <protection locked="0"/>
    </xf>
    <xf numFmtId="0" fontId="17" fillId="0" borderId="163" xfId="4" applyFont="1" applyFill="1" applyBorder="1" applyAlignment="1" applyProtection="1">
      <alignment horizontal="center" vertical="center" wrapText="1"/>
      <protection locked="0"/>
    </xf>
    <xf numFmtId="0" fontId="17" fillId="0" borderId="26" xfId="0" applyFont="1" applyBorder="1" applyAlignment="1" applyProtection="1">
      <alignment horizontal="center" vertical="center" wrapText="1"/>
      <protection locked="0"/>
    </xf>
    <xf numFmtId="0" fontId="17" fillId="10" borderId="95" xfId="6" applyFont="1" applyFill="1" applyBorder="1" applyAlignment="1" applyProtection="1">
      <alignment horizontal="center" vertical="center" wrapText="1"/>
    </xf>
    <xf numFmtId="0" fontId="17" fillId="10" borderId="161" xfId="6" applyFont="1" applyFill="1" applyBorder="1" applyAlignment="1" applyProtection="1">
      <alignment horizontal="center" vertical="center" wrapText="1"/>
    </xf>
    <xf numFmtId="0" fontId="17" fillId="0" borderId="86" xfId="4" applyFont="1" applyFill="1" applyBorder="1" applyAlignment="1" applyProtection="1">
      <alignment horizontal="center" vertical="center" wrapText="1"/>
    </xf>
    <xf numFmtId="0" fontId="51" fillId="9" borderId="177" xfId="7" applyFont="1" applyFill="1" applyBorder="1" applyAlignment="1">
      <alignment horizontal="center" vertical="center" wrapText="1"/>
    </xf>
    <xf numFmtId="0" fontId="51" fillId="9" borderId="178" xfId="7" applyFont="1" applyFill="1" applyBorder="1" applyAlignment="1">
      <alignment horizontal="center" vertical="center" wrapText="1"/>
    </xf>
    <xf numFmtId="176" fontId="51" fillId="9" borderId="180" xfId="7" applyNumberFormat="1" applyFont="1" applyFill="1" applyBorder="1" applyAlignment="1">
      <alignment horizontal="center" vertical="center" wrapText="1"/>
    </xf>
    <xf numFmtId="0" fontId="51" fillId="9" borderId="89" xfId="7" applyFont="1" applyFill="1" applyBorder="1" applyAlignment="1">
      <alignment horizontal="center" vertical="center" wrapText="1"/>
    </xf>
    <xf numFmtId="0" fontId="51" fillId="16" borderId="89" xfId="7" applyFont="1" applyFill="1" applyBorder="1" applyAlignment="1">
      <alignment horizontal="center" vertical="center" shrinkToFit="1"/>
    </xf>
    <xf numFmtId="0" fontId="51" fillId="9" borderId="5" xfId="7" applyFont="1" applyFill="1" applyBorder="1" applyAlignment="1">
      <alignment horizontal="center" vertical="center" wrapText="1"/>
    </xf>
    <xf numFmtId="176" fontId="51" fillId="9" borderId="88" xfId="7" applyNumberFormat="1" applyFont="1" applyFill="1" applyBorder="1" applyAlignment="1">
      <alignment horizontal="center" vertical="center" wrapText="1"/>
    </xf>
    <xf numFmtId="176" fontId="51" fillId="9" borderId="10" xfId="7" applyNumberFormat="1" applyFont="1" applyFill="1" applyBorder="1" applyAlignment="1">
      <alignment horizontal="center" vertical="center" wrapText="1"/>
    </xf>
    <xf numFmtId="0" fontId="51" fillId="9" borderId="23" xfId="7" applyFont="1" applyFill="1" applyBorder="1" applyAlignment="1">
      <alignment horizontal="center" vertical="center" wrapText="1"/>
    </xf>
    <xf numFmtId="0" fontId="51" fillId="9" borderId="24" xfId="7" applyFont="1" applyFill="1" applyBorder="1" applyAlignment="1">
      <alignment horizontal="center" vertical="center" wrapText="1"/>
    </xf>
    <xf numFmtId="0" fontId="51" fillId="9" borderId="101" xfId="7" applyFont="1" applyFill="1" applyBorder="1" applyAlignment="1">
      <alignment horizontal="center" vertical="center" wrapText="1"/>
    </xf>
    <xf numFmtId="0" fontId="51" fillId="9" borderId="102" xfId="7" applyFont="1" applyFill="1" applyBorder="1" applyAlignment="1">
      <alignment horizontal="center" vertical="center" wrapText="1"/>
    </xf>
    <xf numFmtId="0" fontId="54" fillId="0" borderId="4" xfId="0" applyFont="1" applyBorder="1" applyAlignment="1">
      <alignment horizontal="left" vertical="center"/>
    </xf>
    <xf numFmtId="0" fontId="54" fillId="0" borderId="25" xfId="0" applyFont="1" applyBorder="1" applyAlignment="1">
      <alignment horizontal="left" vertical="center"/>
    </xf>
    <xf numFmtId="0" fontId="54" fillId="0" borderId="22" xfId="0" applyFont="1" applyBorder="1" applyAlignment="1">
      <alignment horizontal="left" vertical="center"/>
    </xf>
    <xf numFmtId="0" fontId="52" fillId="11" borderId="13" xfId="7" applyFont="1" applyFill="1" applyBorder="1" applyAlignment="1">
      <alignment horizontal="center" vertical="center"/>
    </xf>
    <xf numFmtId="0" fontId="49" fillId="0" borderId="6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49" fillId="0" borderId="18" xfId="0" applyFont="1" applyBorder="1" applyAlignment="1">
      <alignment horizontal="left" vertical="center"/>
    </xf>
    <xf numFmtId="0" fontId="53" fillId="11" borderId="27" xfId="7" applyFont="1" applyFill="1" applyBorder="1" applyAlignment="1">
      <alignment horizontal="center" vertical="center" wrapText="1"/>
    </xf>
    <xf numFmtId="0" fontId="53" fillId="11" borderId="9" xfId="7" applyFont="1" applyFill="1" applyBorder="1" applyAlignment="1">
      <alignment horizontal="center" vertical="center"/>
    </xf>
    <xf numFmtId="0" fontId="53" fillId="11" borderId="98" xfId="7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2" fillId="11" borderId="88" xfId="7" applyFont="1" applyFill="1" applyBorder="1" applyAlignment="1">
      <alignment horizontal="center" vertical="center"/>
    </xf>
    <xf numFmtId="0" fontId="53" fillId="11" borderId="88" xfId="7" applyFont="1" applyFill="1" applyBorder="1" applyAlignment="1">
      <alignment horizontal="center" vertical="center" wrapText="1"/>
    </xf>
    <xf numFmtId="0" fontId="53" fillId="11" borderId="13" xfId="7" applyFont="1" applyFill="1" applyBorder="1" applyAlignment="1">
      <alignment horizontal="center" vertical="center"/>
    </xf>
    <xf numFmtId="0" fontId="53" fillId="11" borderId="29" xfId="7" applyFont="1" applyFill="1" applyBorder="1" applyAlignment="1">
      <alignment horizontal="center" vertical="center"/>
    </xf>
    <xf numFmtId="0" fontId="52" fillId="11" borderId="5" xfId="7" applyFont="1" applyFill="1" applyBorder="1" applyAlignment="1">
      <alignment horizontal="center" vertical="center" wrapText="1"/>
    </xf>
    <xf numFmtId="0" fontId="52" fillId="11" borderId="11" xfId="7" applyFont="1" applyFill="1" applyBorder="1" applyAlignment="1">
      <alignment horizontal="center" vertical="center" wrapText="1"/>
    </xf>
    <xf numFmtId="0" fontId="52" fillId="11" borderId="178" xfId="7" applyFont="1" applyFill="1" applyBorder="1" applyAlignment="1">
      <alignment horizontal="center" vertical="center" wrapText="1"/>
    </xf>
    <xf numFmtId="0" fontId="52" fillId="11" borderId="88" xfId="7" applyFont="1" applyFill="1" applyBorder="1" applyAlignment="1">
      <alignment horizontal="center" vertical="center" wrapText="1"/>
    </xf>
    <xf numFmtId="0" fontId="52" fillId="11" borderId="13" xfId="7" applyFont="1" applyFill="1" applyBorder="1" applyAlignment="1">
      <alignment horizontal="center" vertical="center" wrapText="1"/>
    </xf>
    <xf numFmtId="0" fontId="52" fillId="11" borderId="89" xfId="7" applyFont="1" applyFill="1" applyBorder="1" applyAlignment="1">
      <alignment horizontal="center" vertical="center" wrapText="1"/>
    </xf>
    <xf numFmtId="0" fontId="52" fillId="11" borderId="88" xfId="7" applyFont="1" applyFill="1" applyBorder="1" applyAlignment="1">
      <alignment horizontal="center" vertical="center" shrinkToFit="1"/>
    </xf>
    <xf numFmtId="0" fontId="52" fillId="11" borderId="13" xfId="7" applyFont="1" applyFill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8" fillId="8" borderId="5" xfId="0" applyFont="1" applyFill="1" applyBorder="1" applyAlignment="1">
      <alignment horizontal="center" vertical="center"/>
    </xf>
    <xf numFmtId="0" fontId="48" fillId="8" borderId="88" xfId="0" applyFont="1" applyFill="1" applyBorder="1" applyAlignment="1">
      <alignment horizontal="center" vertical="center"/>
    </xf>
    <xf numFmtId="0" fontId="48" fillId="8" borderId="27" xfId="0" applyFont="1" applyFill="1" applyBorder="1" applyAlignment="1">
      <alignment horizontal="center" vertical="center"/>
    </xf>
    <xf numFmtId="0" fontId="49" fillId="0" borderId="178" xfId="0" applyFont="1" applyBorder="1" applyAlignment="1">
      <alignment horizontal="center" vertical="center"/>
    </xf>
    <xf numFmtId="0" fontId="49" fillId="0" borderId="89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2" fillId="11" borderId="29" xfId="7" applyFont="1" applyFill="1" applyBorder="1" applyAlignment="1">
      <alignment horizontal="center" vertical="center" shrinkToFit="1"/>
    </xf>
    <xf numFmtId="0" fontId="51" fillId="9" borderId="90" xfId="7" applyFont="1" applyFill="1" applyBorder="1" applyAlignment="1">
      <alignment horizontal="center" vertical="center" wrapText="1"/>
    </xf>
    <xf numFmtId="176" fontId="51" fillId="9" borderId="101" xfId="7" applyNumberFormat="1" applyFont="1" applyFill="1" applyBorder="1" applyAlignment="1">
      <alignment horizontal="center" vertical="center" wrapText="1"/>
    </xf>
    <xf numFmtId="176" fontId="51" fillId="9" borderId="102" xfId="7" applyNumberFormat="1" applyFont="1" applyFill="1" applyBorder="1" applyAlignment="1">
      <alignment horizontal="center" vertical="center" wrapText="1"/>
    </xf>
    <xf numFmtId="0" fontId="52" fillId="11" borderId="101" xfId="7" applyNumberFormat="1" applyFont="1" applyFill="1" applyBorder="1" applyAlignment="1" applyProtection="1">
      <alignment horizontal="center" vertical="center" shrinkToFit="1"/>
    </xf>
    <xf numFmtId="0" fontId="52" fillId="11" borderId="8" xfId="7" applyNumberFormat="1" applyFont="1" applyFill="1" applyBorder="1" applyAlignment="1" applyProtection="1">
      <alignment horizontal="center" vertical="center" shrinkToFit="1"/>
    </xf>
    <xf numFmtId="0" fontId="52" fillId="11" borderId="102" xfId="7" applyNumberFormat="1" applyFont="1" applyFill="1" applyBorder="1" applyAlignment="1" applyProtection="1">
      <alignment horizontal="center" vertical="center" shrinkToFit="1"/>
    </xf>
    <xf numFmtId="0" fontId="52" fillId="11" borderId="107" xfId="7" applyFont="1" applyFill="1" applyBorder="1" applyAlignment="1">
      <alignment horizontal="center" vertical="center"/>
    </xf>
    <xf numFmtId="0" fontId="52" fillId="11" borderId="172" xfId="7" applyFont="1" applyFill="1" applyBorder="1" applyAlignment="1">
      <alignment horizontal="center" vertical="center"/>
    </xf>
    <xf numFmtId="0" fontId="52" fillId="11" borderId="105" xfId="7" applyFont="1" applyFill="1" applyBorder="1" applyAlignment="1">
      <alignment horizontal="center" vertical="center"/>
    </xf>
    <xf numFmtId="0" fontId="53" fillId="11" borderId="173" xfId="7" applyFont="1" applyFill="1" applyBorder="1" applyAlignment="1">
      <alignment horizontal="center" vertical="center" wrapText="1"/>
    </xf>
    <xf numFmtId="0" fontId="53" fillId="11" borderId="174" xfId="7" applyFont="1" applyFill="1" applyBorder="1" applyAlignment="1">
      <alignment horizontal="center" vertical="center" wrapText="1"/>
    </xf>
    <xf numFmtId="0" fontId="53" fillId="11" borderId="175" xfId="7" applyFont="1" applyFill="1" applyBorder="1" applyAlignment="1">
      <alignment horizontal="center" vertical="center" wrapText="1"/>
    </xf>
    <xf numFmtId="0" fontId="52" fillId="11" borderId="100" xfId="7" applyFont="1" applyFill="1" applyBorder="1" applyAlignment="1">
      <alignment horizontal="center" vertical="center"/>
    </xf>
    <xf numFmtId="0" fontId="52" fillId="11" borderId="106" xfId="7" applyFont="1" applyFill="1" applyBorder="1" applyAlignment="1">
      <alignment horizontal="center" vertical="center"/>
    </xf>
    <xf numFmtId="0" fontId="53" fillId="11" borderId="101" xfId="7" applyFont="1" applyFill="1" applyBorder="1" applyAlignment="1">
      <alignment horizontal="center" vertical="center" wrapText="1"/>
    </xf>
    <xf numFmtId="0" fontId="53" fillId="11" borderId="8" xfId="7" applyFont="1" applyFill="1" applyBorder="1" applyAlignment="1">
      <alignment horizontal="center" vertical="center" wrapText="1"/>
    </xf>
    <xf numFmtId="0" fontId="53" fillId="11" borderId="102" xfId="7" applyFont="1" applyFill="1" applyBorder="1" applyAlignment="1">
      <alignment horizontal="center" vertical="center" wrapText="1"/>
    </xf>
    <xf numFmtId="0" fontId="51" fillId="9" borderId="90" xfId="7" applyFont="1" applyFill="1" applyBorder="1" applyAlignment="1" applyProtection="1">
      <alignment horizontal="center" vertical="center" wrapText="1"/>
    </xf>
    <xf numFmtId="0" fontId="51" fillId="9" borderId="23" xfId="7" applyFont="1" applyFill="1" applyBorder="1" applyAlignment="1" applyProtection="1">
      <alignment horizontal="center" vertical="center" wrapText="1"/>
    </xf>
    <xf numFmtId="0" fontId="51" fillId="9" borderId="24" xfId="7" applyFont="1" applyFill="1" applyBorder="1" applyAlignment="1" applyProtection="1">
      <alignment horizontal="center" vertical="center" wrapText="1"/>
    </xf>
    <xf numFmtId="176" fontId="51" fillId="9" borderId="101" xfId="7" applyNumberFormat="1" applyFont="1" applyFill="1" applyBorder="1" applyAlignment="1" applyProtection="1">
      <alignment horizontal="center" vertical="center" wrapText="1"/>
    </xf>
    <xf numFmtId="176" fontId="51" fillId="9" borderId="8" xfId="7" applyNumberFormat="1" applyFont="1" applyFill="1" applyBorder="1" applyAlignment="1" applyProtection="1">
      <alignment horizontal="center" vertical="center" wrapText="1"/>
    </xf>
    <xf numFmtId="176" fontId="51" fillId="9" borderId="102" xfId="7" applyNumberFormat="1" applyFont="1" applyFill="1" applyBorder="1" applyAlignment="1" applyProtection="1">
      <alignment horizontal="center" vertical="center" wrapText="1"/>
    </xf>
    <xf numFmtId="0" fontId="51" fillId="16" borderId="7" xfId="7" applyNumberFormat="1" applyFont="1" applyFill="1" applyBorder="1" applyAlignment="1" applyProtection="1">
      <alignment horizontal="center" vertical="center" shrinkToFit="1"/>
    </xf>
    <xf numFmtId="0" fontId="51" fillId="16" borderId="16" xfId="7" applyNumberFormat="1" applyFont="1" applyFill="1" applyBorder="1" applyAlignment="1" applyProtection="1">
      <alignment horizontal="center" vertical="center" shrinkToFit="1"/>
    </xf>
    <xf numFmtId="0" fontId="52" fillId="9" borderId="90" xfId="7" applyFont="1" applyFill="1" applyBorder="1" applyAlignment="1" applyProtection="1">
      <alignment horizontal="center" vertical="center" wrapText="1"/>
    </xf>
    <xf numFmtId="0" fontId="52" fillId="9" borderId="23" xfId="7" applyFont="1" applyFill="1" applyBorder="1" applyAlignment="1" applyProtection="1">
      <alignment horizontal="center" vertical="center" wrapText="1"/>
    </xf>
    <xf numFmtId="0" fontId="52" fillId="9" borderId="24" xfId="7" applyFont="1" applyFill="1" applyBorder="1" applyAlignment="1" applyProtection="1">
      <alignment horizontal="center" vertical="center" wrapText="1"/>
    </xf>
    <xf numFmtId="176" fontId="52" fillId="9" borderId="101" xfId="7" applyNumberFormat="1" applyFont="1" applyFill="1" applyBorder="1" applyAlignment="1" applyProtection="1">
      <alignment horizontal="center" vertical="center" wrapText="1"/>
    </xf>
    <xf numFmtId="176" fontId="52" fillId="9" borderId="8" xfId="7" applyNumberFormat="1" applyFont="1" applyFill="1" applyBorder="1" applyAlignment="1" applyProtection="1">
      <alignment horizontal="center" vertical="center" wrapText="1"/>
    </xf>
    <xf numFmtId="176" fontId="52" fillId="9" borderId="102" xfId="7" applyNumberFormat="1" applyFont="1" applyFill="1" applyBorder="1" applyAlignment="1" applyProtection="1">
      <alignment horizontal="center" vertical="center" wrapText="1"/>
    </xf>
    <xf numFmtId="0" fontId="51" fillId="0" borderId="3" xfId="0" applyFont="1" applyBorder="1" applyAlignment="1">
      <alignment horizontal="left" vertical="center"/>
    </xf>
    <xf numFmtId="0" fontId="52" fillId="11" borderId="90" xfId="7" applyFont="1" applyFill="1" applyBorder="1" applyAlignment="1" applyProtection="1">
      <alignment horizontal="center" vertical="center" wrapText="1"/>
    </xf>
    <xf numFmtId="0" fontId="52" fillId="11" borderId="23" xfId="7" applyFont="1" applyFill="1" applyBorder="1" applyAlignment="1" applyProtection="1">
      <alignment horizontal="center" vertical="center" wrapText="1"/>
    </xf>
    <xf numFmtId="0" fontId="52" fillId="11" borderId="24" xfId="7" applyFont="1" applyFill="1" applyBorder="1" applyAlignment="1" applyProtection="1">
      <alignment horizontal="center" vertical="center" wrapText="1"/>
    </xf>
    <xf numFmtId="0" fontId="52" fillId="11" borderId="101" xfId="7" applyFont="1" applyFill="1" applyBorder="1" applyAlignment="1" applyProtection="1">
      <alignment horizontal="center" vertical="center" wrapText="1"/>
    </xf>
    <xf numFmtId="0" fontId="52" fillId="11" borderId="8" xfId="7" applyFont="1" applyFill="1" applyBorder="1" applyAlignment="1" applyProtection="1">
      <alignment horizontal="center" vertical="center" wrapText="1"/>
    </xf>
    <xf numFmtId="0" fontId="52" fillId="11" borderId="102" xfId="7" applyFont="1" applyFill="1" applyBorder="1" applyAlignment="1" applyProtection="1">
      <alignment horizontal="center" vertical="center" wrapText="1"/>
    </xf>
    <xf numFmtId="0" fontId="52" fillId="9" borderId="5" xfId="7" applyFont="1" applyFill="1" applyBorder="1" applyAlignment="1" applyProtection="1">
      <alignment horizontal="center" vertical="center" wrapText="1"/>
    </xf>
    <xf numFmtId="0" fontId="52" fillId="9" borderId="176" xfId="7" applyFont="1" applyFill="1" applyBorder="1" applyAlignment="1" applyProtection="1">
      <alignment horizontal="center" vertical="center" wrapText="1"/>
    </xf>
    <xf numFmtId="0" fontId="52" fillId="9" borderId="178" xfId="7" applyFont="1" applyFill="1" applyBorder="1" applyAlignment="1" applyProtection="1">
      <alignment horizontal="center" vertical="center" wrapText="1"/>
    </xf>
    <xf numFmtId="176" fontId="52" fillId="9" borderId="88" xfId="7" applyNumberFormat="1" applyFont="1" applyFill="1" applyBorder="1" applyAlignment="1" applyProtection="1">
      <alignment horizontal="center" vertical="center" wrapText="1"/>
    </xf>
    <xf numFmtId="0" fontId="52" fillId="9" borderId="29" xfId="7" applyFont="1" applyFill="1" applyBorder="1" applyAlignment="1" applyProtection="1">
      <alignment horizontal="center" vertical="center" wrapText="1"/>
    </xf>
    <xf numFmtId="0" fontId="52" fillId="9" borderId="89" xfId="7" applyFont="1" applyFill="1" applyBorder="1" applyAlignment="1" applyProtection="1">
      <alignment horizontal="center" vertical="center" wrapText="1"/>
    </xf>
    <xf numFmtId="0" fontId="58" fillId="16" borderId="89" xfId="7" applyNumberFormat="1" applyFont="1" applyFill="1" applyBorder="1" applyAlignment="1" applyProtection="1">
      <alignment horizontal="center" vertical="center" shrinkToFit="1"/>
    </xf>
    <xf numFmtId="0" fontId="52" fillId="9" borderId="177" xfId="7" applyFont="1" applyFill="1" applyBorder="1" applyAlignment="1" applyProtection="1">
      <alignment horizontal="center" vertical="center" wrapText="1"/>
    </xf>
    <xf numFmtId="176" fontId="52" fillId="9" borderId="10" xfId="7" applyNumberFormat="1" applyFont="1" applyFill="1" applyBorder="1" applyAlignment="1" applyProtection="1">
      <alignment horizontal="center" vertical="center" wrapText="1"/>
    </xf>
    <xf numFmtId="0" fontId="58" fillId="16" borderId="29" xfId="7" applyFont="1" applyFill="1" applyBorder="1" applyAlignment="1">
      <alignment horizontal="center" vertical="center" shrinkToFit="1"/>
    </xf>
    <xf numFmtId="0" fontId="52" fillId="9" borderId="101" xfId="7" applyFont="1" applyFill="1" applyBorder="1" applyAlignment="1" applyProtection="1">
      <alignment horizontal="center" vertical="center" wrapText="1"/>
    </xf>
    <xf numFmtId="0" fontId="52" fillId="9" borderId="8" xfId="7" applyFont="1" applyFill="1" applyBorder="1" applyAlignment="1" applyProtection="1">
      <alignment horizontal="center" vertical="center" wrapText="1"/>
    </xf>
    <xf numFmtId="0" fontId="52" fillId="9" borderId="102" xfId="7" applyFont="1" applyFill="1" applyBorder="1" applyAlignment="1" applyProtection="1">
      <alignment horizontal="center" vertical="center" wrapText="1"/>
    </xf>
    <xf numFmtId="0" fontId="52" fillId="9" borderId="11" xfId="7" applyFont="1" applyFill="1" applyBorder="1" applyAlignment="1" applyProtection="1">
      <alignment horizontal="center" vertical="center" wrapText="1"/>
    </xf>
    <xf numFmtId="0" fontId="52" fillId="9" borderId="10" xfId="7" applyFont="1" applyFill="1" applyBorder="1" applyAlignment="1" applyProtection="1">
      <alignment horizontal="center" vertical="center" wrapText="1"/>
    </xf>
    <xf numFmtId="0" fontId="52" fillId="9" borderId="13" xfId="7" applyFont="1" applyFill="1" applyBorder="1" applyAlignment="1" applyProtection="1">
      <alignment horizontal="center" vertical="center" wrapText="1"/>
    </xf>
    <xf numFmtId="0" fontId="58" fillId="16" borderId="102" xfId="7" applyFont="1" applyFill="1" applyBorder="1" applyAlignment="1">
      <alignment horizontal="center" vertical="center" shrinkToFit="1"/>
    </xf>
    <xf numFmtId="176" fontId="56" fillId="9" borderId="101" xfId="7" applyNumberFormat="1" applyFont="1" applyFill="1" applyBorder="1" applyAlignment="1" applyProtection="1">
      <alignment horizontal="center" vertical="center" wrapText="1"/>
    </xf>
    <xf numFmtId="176" fontId="56" fillId="9" borderId="8" xfId="7" applyNumberFormat="1" applyFont="1" applyFill="1" applyBorder="1" applyAlignment="1" applyProtection="1">
      <alignment horizontal="center" vertical="center" wrapText="1"/>
    </xf>
    <xf numFmtId="0" fontId="58" fillId="16" borderId="29" xfId="7" applyNumberFormat="1" applyFont="1" applyFill="1" applyBorder="1" applyAlignment="1" applyProtection="1">
      <alignment horizontal="center" vertical="center" shrinkToFit="1"/>
    </xf>
    <xf numFmtId="0" fontId="52" fillId="11" borderId="88" xfId="7" applyNumberFormat="1" applyFont="1" applyFill="1" applyBorder="1" applyAlignment="1" applyProtection="1">
      <alignment horizontal="center" vertical="center" shrinkToFit="1"/>
    </xf>
    <xf numFmtId="0" fontId="52" fillId="11" borderId="13" xfId="7" applyNumberFormat="1" applyFont="1" applyFill="1" applyBorder="1" applyAlignment="1" applyProtection="1">
      <alignment horizontal="center" vertical="center" shrinkToFit="1"/>
    </xf>
    <xf numFmtId="0" fontId="52" fillId="11" borderId="29" xfId="7" applyNumberFormat="1" applyFont="1" applyFill="1" applyBorder="1" applyAlignment="1" applyProtection="1">
      <alignment horizontal="center" vertical="center" shrinkToFit="1"/>
    </xf>
    <xf numFmtId="0" fontId="51" fillId="0" borderId="0" xfId="0" applyFont="1" applyBorder="1" applyAlignment="1">
      <alignment horizontal="left" vertical="center"/>
    </xf>
    <xf numFmtId="0" fontId="52" fillId="11" borderId="5" xfId="7" applyFont="1" applyFill="1" applyBorder="1" applyAlignment="1" applyProtection="1">
      <alignment horizontal="center" vertical="center" wrapText="1"/>
    </xf>
    <xf numFmtId="0" fontId="52" fillId="11" borderId="11" xfId="7" applyFont="1" applyFill="1" applyBorder="1" applyAlignment="1" applyProtection="1">
      <alignment horizontal="center" vertical="center" wrapText="1"/>
    </xf>
    <xf numFmtId="0" fontId="52" fillId="11" borderId="176" xfId="7" applyFont="1" applyFill="1" applyBorder="1" applyAlignment="1" applyProtection="1">
      <alignment horizontal="center" vertical="center" wrapText="1"/>
    </xf>
    <xf numFmtId="0" fontId="52" fillId="11" borderId="88" xfId="7" applyFont="1" applyFill="1" applyBorder="1" applyAlignment="1" applyProtection="1">
      <alignment horizontal="center" vertical="center" wrapText="1"/>
    </xf>
    <xf numFmtId="0" fontId="52" fillId="11" borderId="13" xfId="7" applyFont="1" applyFill="1" applyBorder="1" applyAlignment="1" applyProtection="1">
      <alignment horizontal="center" vertical="center" wrapText="1"/>
    </xf>
    <xf numFmtId="0" fontId="52" fillId="11" borderId="29" xfId="7" applyFont="1" applyFill="1" applyBorder="1" applyAlignment="1" applyProtection="1">
      <alignment horizontal="center" vertical="center" wrapText="1"/>
    </xf>
    <xf numFmtId="0" fontId="33" fillId="20" borderId="122" xfId="16" applyFont="1" applyFill="1" applyBorder="1" applyAlignment="1">
      <alignment horizontal="center" vertical="center"/>
    </xf>
    <xf numFmtId="0" fontId="26" fillId="0" borderId="122" xfId="16" applyFont="1" applyBorder="1"/>
    <xf numFmtId="0" fontId="26" fillId="0" borderId="123" xfId="16" applyFont="1" applyBorder="1"/>
    <xf numFmtId="0" fontId="33" fillId="0" borderId="124" xfId="16" applyFont="1" applyBorder="1" applyAlignment="1">
      <alignment horizontal="center" vertical="center"/>
    </xf>
    <xf numFmtId="0" fontId="29" fillId="0" borderId="0" xfId="16" applyFont="1" applyAlignment="1">
      <alignment horizontal="center" vertical="center"/>
    </xf>
    <xf numFmtId="0" fontId="31" fillId="0" borderId="0" xfId="16" applyFont="1" applyAlignment="1"/>
    <xf numFmtId="0" fontId="32" fillId="0" borderId="119" xfId="16" applyFont="1" applyBorder="1" applyAlignment="1">
      <alignment horizontal="center" vertical="center"/>
    </xf>
    <xf numFmtId="0" fontId="26" fillId="0" borderId="25" xfId="16" applyFont="1" applyBorder="1"/>
    <xf numFmtId="0" fontId="26" fillId="0" borderId="22" xfId="16" applyFont="1" applyBorder="1"/>
    <xf numFmtId="0" fontId="32" fillId="8" borderId="4" xfId="16" applyFont="1" applyFill="1" applyBorder="1" applyAlignment="1">
      <alignment horizontal="center" vertical="center"/>
    </xf>
    <xf numFmtId="0" fontId="26" fillId="8" borderId="25" xfId="16" applyFont="1" applyFill="1" applyBorder="1"/>
    <xf numFmtId="0" fontId="26" fillId="8" borderId="22" xfId="16" applyFont="1" applyFill="1" applyBorder="1"/>
    <xf numFmtId="0" fontId="24" fillId="19" borderId="118" xfId="16" applyFont="1" applyFill="1" applyBorder="1" applyAlignment="1">
      <alignment horizontal="center" vertical="center" wrapText="1"/>
    </xf>
    <xf numFmtId="0" fontId="26" fillId="0" borderId="120" xfId="16" applyFont="1" applyBorder="1"/>
    <xf numFmtId="0" fontId="26" fillId="0" borderId="125" xfId="16" applyFont="1" applyBorder="1"/>
    <xf numFmtId="0" fontId="33" fillId="20" borderId="127" xfId="16" applyFont="1" applyFill="1" applyBorder="1" applyAlignment="1">
      <alignment horizontal="center" vertical="center"/>
    </xf>
    <xf numFmtId="0" fontId="26" fillId="0" borderId="128" xfId="16" applyFont="1" applyBorder="1"/>
    <xf numFmtId="0" fontId="26" fillId="0" borderId="129" xfId="16" applyFont="1" applyBorder="1"/>
    <xf numFmtId="0" fontId="26" fillId="0" borderId="130" xfId="16" applyFont="1" applyBorder="1"/>
    <xf numFmtId="0" fontId="33" fillId="0" borderId="103" xfId="16" applyFont="1" applyBorder="1" applyAlignment="1">
      <alignment horizontal="center" vertical="center" wrapText="1"/>
    </xf>
    <xf numFmtId="0" fontId="26" fillId="0" borderId="127" xfId="16" applyFont="1" applyBorder="1"/>
    <xf numFmtId="0" fontId="26" fillId="0" borderId="131" xfId="16" applyFont="1" applyBorder="1"/>
    <xf numFmtId="0" fontId="34" fillId="21" borderId="134" xfId="16" applyFont="1" applyFill="1" applyBorder="1" applyAlignment="1">
      <alignment horizontal="center" vertical="center" wrapText="1"/>
    </xf>
    <xf numFmtId="0" fontId="26" fillId="0" borderId="135" xfId="16" applyFont="1" applyBorder="1"/>
    <xf numFmtId="0" fontId="35" fillId="0" borderId="136" xfId="16" applyFont="1" applyBorder="1" applyAlignment="1">
      <alignment horizontal="center" vertical="center" wrapText="1"/>
    </xf>
    <xf numFmtId="0" fontId="26" fillId="0" borderId="142" xfId="16" applyFont="1" applyBorder="1"/>
    <xf numFmtId="0" fontId="35" fillId="0" borderId="137" xfId="16" applyFont="1" applyBorder="1" applyAlignment="1">
      <alignment horizontal="center" vertical="center" wrapText="1"/>
    </xf>
    <xf numFmtId="0" fontId="26" fillId="0" borderId="143" xfId="16" applyFont="1" applyBorder="1"/>
    <xf numFmtId="0" fontId="26" fillId="0" borderId="147" xfId="16" applyFont="1" applyBorder="1"/>
    <xf numFmtId="0" fontId="35" fillId="0" borderId="139" xfId="16" applyFont="1" applyBorder="1" applyAlignment="1">
      <alignment horizontal="center" vertical="center" wrapText="1"/>
    </xf>
    <xf numFmtId="0" fontId="26" fillId="0" borderId="121" xfId="16" applyFont="1" applyBorder="1"/>
    <xf numFmtId="0" fontId="26" fillId="0" borderId="146" xfId="16" applyFont="1" applyBorder="1"/>
    <xf numFmtId="0" fontId="35" fillId="0" borderId="122" xfId="16" applyFont="1" applyBorder="1" applyAlignment="1">
      <alignment horizontal="center" vertical="center" wrapText="1"/>
    </xf>
    <xf numFmtId="0" fontId="37" fillId="0" borderId="124" xfId="16" applyFont="1" applyBorder="1" applyAlignment="1">
      <alignment horizontal="center" vertical="center" wrapText="1"/>
    </xf>
    <xf numFmtId="0" fontId="35" fillId="0" borderId="124" xfId="16" applyFont="1" applyBorder="1" applyAlignment="1">
      <alignment horizontal="center" vertical="center" wrapText="1"/>
    </xf>
    <xf numFmtId="0" fontId="35" fillId="21" borderId="124" xfId="16" applyFont="1" applyFill="1" applyBorder="1" applyAlignment="1">
      <alignment horizontal="center" vertical="center" wrapText="1"/>
    </xf>
    <xf numFmtId="0" fontId="37" fillId="21" borderId="124" xfId="16" applyFont="1" applyFill="1" applyBorder="1" applyAlignment="1">
      <alignment horizontal="center" vertical="center" wrapText="1"/>
    </xf>
    <xf numFmtId="0" fontId="26" fillId="0" borderId="141" xfId="16" applyFont="1" applyBorder="1"/>
    <xf numFmtId="0" fontId="15" fillId="0" borderId="0" xfId="16" applyFont="1" applyBorder="1" applyAlignment="1"/>
    <xf numFmtId="0" fontId="35" fillId="0" borderId="150" xfId="16" applyFont="1" applyBorder="1" applyAlignment="1">
      <alignment horizontal="center" vertical="center" wrapText="1"/>
    </xf>
    <xf numFmtId="0" fontId="35" fillId="0" borderId="152" xfId="16" applyFont="1" applyBorder="1" applyAlignment="1">
      <alignment horizontal="center" vertical="center" wrapText="1"/>
    </xf>
    <xf numFmtId="0" fontId="26" fillId="0" borderId="153" xfId="16" applyFont="1" applyBorder="1"/>
    <xf numFmtId="0" fontId="35" fillId="0" borderId="103" xfId="16" applyFont="1" applyBorder="1" applyAlignment="1">
      <alignment horizontal="center" vertical="center" wrapText="1"/>
    </xf>
    <xf numFmtId="0" fontId="35" fillId="0" borderId="154" xfId="16" applyFont="1" applyBorder="1" applyAlignment="1">
      <alignment horizontal="center" vertical="center" wrapText="1"/>
    </xf>
    <xf numFmtId="0" fontId="26" fillId="0" borderId="155" xfId="16" applyFont="1" applyBorder="1"/>
    <xf numFmtId="0" fontId="35" fillId="21" borderId="122" xfId="16" applyFont="1" applyFill="1" applyBorder="1" applyAlignment="1">
      <alignment horizontal="center" vertical="center" wrapText="1"/>
    </xf>
    <xf numFmtId="0" fontId="39" fillId="20" borderId="122" xfId="16" applyFont="1" applyFill="1" applyBorder="1" applyAlignment="1">
      <alignment horizontal="center" vertical="center"/>
    </xf>
    <xf numFmtId="0" fontId="39" fillId="0" borderId="124" xfId="16" applyFont="1" applyBorder="1" applyAlignment="1">
      <alignment horizontal="center" vertical="center"/>
    </xf>
    <xf numFmtId="0" fontId="33" fillId="0" borderId="124" xfId="16" applyFont="1" applyBorder="1" applyAlignment="1">
      <alignment horizontal="center" vertical="center" wrapText="1"/>
    </xf>
    <xf numFmtId="0" fontId="33" fillId="0" borderId="103" xfId="16" applyFont="1" applyBorder="1" applyAlignment="1">
      <alignment horizontal="center" vertical="center"/>
    </xf>
    <xf numFmtId="0" fontId="33" fillId="20" borderId="122" xfId="16" applyFont="1" applyFill="1" applyBorder="1" applyAlignment="1">
      <alignment horizontal="center" vertical="center" wrapText="1"/>
    </xf>
    <xf numFmtId="0" fontId="39" fillId="20" borderId="122" xfId="16" applyFont="1" applyFill="1" applyBorder="1" applyAlignment="1">
      <alignment horizontal="center" vertical="center" wrapText="1"/>
    </xf>
    <xf numFmtId="0" fontId="41" fillId="0" borderId="150" xfId="16" applyFont="1" applyBorder="1" applyAlignment="1">
      <alignment horizontal="center" vertical="center"/>
    </xf>
    <xf numFmtId="0" fontId="24" fillId="0" borderId="0" xfId="16" applyFont="1" applyBorder="1" applyAlignment="1">
      <alignment vertical="center" wrapText="1"/>
    </xf>
    <xf numFmtId="0" fontId="24" fillId="19" borderId="158" xfId="16" applyFont="1" applyFill="1" applyBorder="1" applyAlignment="1">
      <alignment horizontal="center" vertical="center" wrapText="1"/>
    </xf>
    <xf numFmtId="0" fontId="24" fillId="19" borderId="6" xfId="16" applyFont="1" applyFill="1" applyBorder="1" applyAlignment="1">
      <alignment horizontal="center" vertical="center" wrapText="1"/>
    </xf>
    <xf numFmtId="0" fontId="15" fillId="0" borderId="6" xfId="16" applyFont="1" applyBorder="1" applyAlignment="1"/>
    <xf numFmtId="0" fontId="39" fillId="20" borderId="128" xfId="16" applyFont="1" applyFill="1" applyBorder="1" applyAlignment="1">
      <alignment horizontal="center" vertical="center"/>
    </xf>
    <xf numFmtId="0" fontId="39" fillId="20" borderId="124" xfId="16" applyFont="1" applyFill="1" applyBorder="1" applyAlignment="1">
      <alignment horizontal="center" vertical="center"/>
    </xf>
    <xf numFmtId="0" fontId="40" fillId="0" borderId="128" xfId="16" applyFont="1" applyBorder="1" applyAlignment="1">
      <alignment horizontal="center" vertical="center"/>
    </xf>
    <xf numFmtId="0" fontId="42" fillId="0" borderId="130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6145D5CC-879D-4DDE-B303-5FE638F4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1283" y="2034117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B4EFDFD3-1611-4308-86AD-FB6780DDC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047875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5"/>
  <sheetViews>
    <sheetView tabSelected="1" view="pageBreakPreview" zoomScale="90" zoomScaleNormal="100" zoomScaleSheetLayoutView="9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81" customWidth="1"/>
    <col min="2" max="2" width="6.625" style="81" customWidth="1"/>
    <col min="3" max="3" width="9.375" style="81" customWidth="1"/>
    <col min="4" max="4" width="8.75" style="81"/>
    <col min="5" max="5" width="8.5" style="81" customWidth="1"/>
    <col min="6" max="6" width="16.5" style="81" customWidth="1"/>
    <col min="7" max="7" width="6.25" style="81" customWidth="1"/>
    <col min="8" max="8" width="5.625" style="81" customWidth="1"/>
    <col min="9" max="9" width="7.875" style="81" bestFit="1" customWidth="1"/>
    <col min="10" max="10" width="5.625" style="81" customWidth="1"/>
    <col min="11" max="22" width="3.875" style="81" customWidth="1"/>
    <col min="23" max="24" width="3.375" style="81" customWidth="1"/>
    <col min="25" max="25" width="6.375" style="81" customWidth="1"/>
    <col min="26" max="26" width="8.75" style="81"/>
    <col min="27" max="27" width="16.375" style="81" customWidth="1"/>
    <col min="28" max="29" width="12.875" style="81" customWidth="1"/>
    <col min="30" max="30" width="13.875" style="81" customWidth="1"/>
    <col min="31" max="16384" width="8.75" style="81"/>
  </cols>
  <sheetData>
    <row r="1" spans="2:30" ht="17.25" thickBot="1"/>
    <row r="2" spans="2:30" ht="30.75" customHeight="1" thickBot="1">
      <c r="B2" s="312" t="s">
        <v>640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3"/>
      <c r="V2" s="314" t="s">
        <v>130</v>
      </c>
      <c r="W2" s="315"/>
      <c r="X2" s="310">
        <v>2027</v>
      </c>
      <c r="Y2" s="311"/>
      <c r="AA2" s="316" t="s">
        <v>143</v>
      </c>
      <c r="AB2" s="10" t="s">
        <v>144</v>
      </c>
      <c r="AC2" s="15" t="s">
        <v>150</v>
      </c>
      <c r="AD2" s="11" t="s">
        <v>145</v>
      </c>
    </row>
    <row r="3" spans="2:30" ht="20.100000000000001" customHeight="1" thickBot="1">
      <c r="B3" s="368" t="s">
        <v>358</v>
      </c>
      <c r="C3" s="370" t="s">
        <v>53</v>
      </c>
      <c r="D3" s="371"/>
      <c r="E3" s="371"/>
      <c r="F3" s="370" t="s">
        <v>64</v>
      </c>
      <c r="G3" s="374"/>
      <c r="H3" s="370" t="s">
        <v>54</v>
      </c>
      <c r="I3" s="371"/>
      <c r="J3" s="371"/>
      <c r="K3" s="370" t="s">
        <v>55</v>
      </c>
      <c r="L3" s="371"/>
      <c r="M3" s="371"/>
      <c r="N3" s="371"/>
      <c r="O3" s="374"/>
      <c r="P3" s="376" t="s">
        <v>56</v>
      </c>
      <c r="Q3" s="377"/>
      <c r="R3" s="377"/>
      <c r="S3" s="377"/>
      <c r="T3" s="377"/>
      <c r="U3" s="377"/>
      <c r="V3" s="377"/>
      <c r="W3" s="377"/>
      <c r="X3" s="377"/>
      <c r="Y3" s="378"/>
      <c r="AA3" s="317"/>
      <c r="AB3" s="12" t="s">
        <v>146</v>
      </c>
      <c r="AC3" s="16" t="s">
        <v>511</v>
      </c>
      <c r="AD3" s="82" t="s">
        <v>512</v>
      </c>
    </row>
    <row r="4" spans="2:30" ht="20.100000000000001" customHeight="1" thickBot="1">
      <c r="B4" s="369"/>
      <c r="C4" s="372"/>
      <c r="D4" s="373"/>
      <c r="E4" s="373"/>
      <c r="F4" s="372"/>
      <c r="G4" s="375"/>
      <c r="H4" s="372"/>
      <c r="I4" s="373"/>
      <c r="J4" s="373"/>
      <c r="K4" s="372"/>
      <c r="L4" s="373"/>
      <c r="M4" s="373"/>
      <c r="N4" s="373"/>
      <c r="O4" s="375"/>
      <c r="P4" s="376" t="s">
        <v>127</v>
      </c>
      <c r="Q4" s="377"/>
      <c r="R4" s="377"/>
      <c r="S4" s="377"/>
      <c r="T4" s="376" t="s">
        <v>61</v>
      </c>
      <c r="U4" s="377"/>
      <c r="V4" s="378"/>
      <c r="W4" s="377" t="s">
        <v>128</v>
      </c>
      <c r="X4" s="377"/>
      <c r="Y4" s="378"/>
      <c r="AA4" s="317"/>
      <c r="AB4" s="13" t="s">
        <v>629</v>
      </c>
      <c r="AC4" s="17" t="s">
        <v>627</v>
      </c>
      <c r="AD4" s="82" t="s">
        <v>513</v>
      </c>
    </row>
    <row r="5" spans="2:30" ht="32.1" customHeight="1" thickBot="1">
      <c r="B5" s="18" t="s">
        <v>510</v>
      </c>
      <c r="C5" s="332" t="s">
        <v>514</v>
      </c>
      <c r="D5" s="333"/>
      <c r="E5" s="334"/>
      <c r="F5" s="335" t="s">
        <v>658</v>
      </c>
      <c r="G5" s="336"/>
      <c r="H5" s="337" t="s">
        <v>656</v>
      </c>
      <c r="I5" s="333"/>
      <c r="J5" s="334"/>
      <c r="K5" s="332" t="s">
        <v>657</v>
      </c>
      <c r="L5" s="333"/>
      <c r="M5" s="333"/>
      <c r="N5" s="333"/>
      <c r="O5" s="338"/>
      <c r="P5" s="337" t="s">
        <v>616</v>
      </c>
      <c r="Q5" s="333"/>
      <c r="R5" s="333"/>
      <c r="S5" s="334"/>
      <c r="T5" s="332" t="s">
        <v>34</v>
      </c>
      <c r="U5" s="333"/>
      <c r="V5" s="334"/>
      <c r="W5" s="339" t="s">
        <v>774</v>
      </c>
      <c r="X5" s="340"/>
      <c r="Y5" s="341"/>
      <c r="AA5" s="318"/>
      <c r="AB5" s="80" t="s">
        <v>147</v>
      </c>
      <c r="AC5" s="79" t="s">
        <v>627</v>
      </c>
      <c r="AD5" s="88" t="s">
        <v>513</v>
      </c>
    </row>
    <row r="6" spans="2:30" ht="15.75" customHeight="1" thickBot="1">
      <c r="U6" s="342"/>
      <c r="V6" s="342"/>
      <c r="W6" s="342"/>
      <c r="X6" s="342"/>
      <c r="Y6" s="342"/>
    </row>
    <row r="7" spans="2:30" s="9" customFormat="1" ht="22.5" customHeight="1">
      <c r="B7" s="343" t="s">
        <v>2</v>
      </c>
      <c r="C7" s="344"/>
      <c r="D7" s="347" t="s">
        <v>120</v>
      </c>
      <c r="E7" s="349" t="s">
        <v>57</v>
      </c>
      <c r="F7" s="350"/>
      <c r="G7" s="351"/>
      <c r="H7" s="352" t="s">
        <v>133</v>
      </c>
      <c r="I7" s="358" t="s">
        <v>134</v>
      </c>
      <c r="J7" s="362" t="s">
        <v>135</v>
      </c>
      <c r="K7" s="357" t="s">
        <v>58</v>
      </c>
      <c r="L7" s="358"/>
      <c r="M7" s="358"/>
      <c r="N7" s="359"/>
      <c r="O7" s="360" t="s">
        <v>59</v>
      </c>
      <c r="P7" s="358"/>
      <c r="Q7" s="358"/>
      <c r="R7" s="359"/>
      <c r="S7" s="357" t="s">
        <v>60</v>
      </c>
      <c r="T7" s="358"/>
      <c r="U7" s="358"/>
      <c r="V7" s="361"/>
      <c r="W7" s="352" t="s">
        <v>136</v>
      </c>
      <c r="X7" s="362"/>
      <c r="Y7" s="351" t="s">
        <v>137</v>
      </c>
      <c r="Z7" s="8"/>
    </row>
    <row r="8" spans="2:30" s="9" customFormat="1" ht="22.5" customHeight="1" thickBot="1">
      <c r="B8" s="345"/>
      <c r="C8" s="346"/>
      <c r="D8" s="348"/>
      <c r="E8" s="92" t="s">
        <v>18</v>
      </c>
      <c r="F8" s="365" t="s">
        <v>19</v>
      </c>
      <c r="G8" s="366"/>
      <c r="H8" s="353"/>
      <c r="I8" s="355"/>
      <c r="J8" s="363"/>
      <c r="K8" s="354" t="s">
        <v>0</v>
      </c>
      <c r="L8" s="355"/>
      <c r="M8" s="355" t="s">
        <v>62</v>
      </c>
      <c r="N8" s="367"/>
      <c r="O8" s="379" t="s">
        <v>0</v>
      </c>
      <c r="P8" s="355"/>
      <c r="Q8" s="355" t="s">
        <v>62</v>
      </c>
      <c r="R8" s="367"/>
      <c r="S8" s="354" t="s">
        <v>0</v>
      </c>
      <c r="T8" s="355"/>
      <c r="U8" s="355" t="s">
        <v>62</v>
      </c>
      <c r="V8" s="356"/>
      <c r="W8" s="353"/>
      <c r="X8" s="363"/>
      <c r="Y8" s="364"/>
      <c r="AA8" s="464" t="s">
        <v>497</v>
      </c>
      <c r="AB8" s="464"/>
      <c r="AC8" s="464"/>
      <c r="AD8" s="464"/>
    </row>
    <row r="9" spans="2:30" ht="16.5" customHeight="1" thickBot="1">
      <c r="B9" s="475" t="s">
        <v>336</v>
      </c>
      <c r="C9" s="325"/>
      <c r="D9" s="327" t="s">
        <v>21</v>
      </c>
      <c r="E9" s="93" t="s">
        <v>12</v>
      </c>
      <c r="F9" s="329" t="s">
        <v>200</v>
      </c>
      <c r="G9" s="294"/>
      <c r="H9" s="264">
        <v>4</v>
      </c>
      <c r="I9" s="95" t="s">
        <v>337</v>
      </c>
      <c r="J9" s="267">
        <v>4</v>
      </c>
      <c r="K9" s="329">
        <v>4</v>
      </c>
      <c r="L9" s="289"/>
      <c r="M9" s="292"/>
      <c r="N9" s="293"/>
      <c r="O9" s="288"/>
      <c r="P9" s="289"/>
      <c r="Q9" s="292"/>
      <c r="R9" s="293"/>
      <c r="S9" s="288"/>
      <c r="T9" s="289"/>
      <c r="U9" s="292"/>
      <c r="V9" s="294"/>
      <c r="W9" s="97">
        <f>SUM(K9:V9)</f>
        <v>4</v>
      </c>
      <c r="X9" s="380">
        <f>SUM(W9:W12)</f>
        <v>14</v>
      </c>
      <c r="Y9" s="295">
        <v>24</v>
      </c>
      <c r="AA9" s="83" t="s">
        <v>498</v>
      </c>
      <c r="AB9" s="84" t="s">
        <v>503</v>
      </c>
      <c r="AC9" s="84" t="s">
        <v>504</v>
      </c>
      <c r="AD9" s="85" t="s">
        <v>505</v>
      </c>
    </row>
    <row r="10" spans="2:30" ht="16.5" customHeight="1" thickBot="1">
      <c r="B10" s="476"/>
      <c r="C10" s="326"/>
      <c r="D10" s="328"/>
      <c r="E10" s="98" t="s">
        <v>12</v>
      </c>
      <c r="F10" s="331" t="s">
        <v>201</v>
      </c>
      <c r="G10" s="286"/>
      <c r="H10" s="265">
        <v>4</v>
      </c>
      <c r="I10" s="100" t="s">
        <v>337</v>
      </c>
      <c r="J10" s="268">
        <v>4</v>
      </c>
      <c r="K10" s="331"/>
      <c r="L10" s="285"/>
      <c r="M10" s="282">
        <v>4</v>
      </c>
      <c r="N10" s="283"/>
      <c r="O10" s="284"/>
      <c r="P10" s="285"/>
      <c r="Q10" s="282"/>
      <c r="R10" s="283"/>
      <c r="S10" s="284"/>
      <c r="T10" s="285"/>
      <c r="U10" s="282"/>
      <c r="V10" s="286"/>
      <c r="W10" s="102">
        <f t="shared" ref="W10:W24" si="0">SUM(K10:V10)</f>
        <v>4</v>
      </c>
      <c r="X10" s="381"/>
      <c r="Y10" s="295"/>
      <c r="AA10" s="86" t="s">
        <v>499</v>
      </c>
      <c r="AB10" s="87">
        <v>4</v>
      </c>
      <c r="AC10" s="87">
        <v>-1</v>
      </c>
      <c r="AD10" s="82" t="s">
        <v>506</v>
      </c>
    </row>
    <row r="11" spans="2:30" ht="16.5" customHeight="1" thickBot="1">
      <c r="B11" s="476"/>
      <c r="C11" s="326"/>
      <c r="D11" s="328"/>
      <c r="E11" s="103" t="s">
        <v>535</v>
      </c>
      <c r="F11" s="331" t="s">
        <v>515</v>
      </c>
      <c r="G11" s="286"/>
      <c r="H11" s="265">
        <v>4</v>
      </c>
      <c r="I11" s="100" t="s">
        <v>337</v>
      </c>
      <c r="J11" s="268">
        <v>3</v>
      </c>
      <c r="K11" s="331"/>
      <c r="L11" s="285"/>
      <c r="M11" s="282"/>
      <c r="N11" s="283"/>
      <c r="O11" s="284">
        <v>3</v>
      </c>
      <c r="P11" s="285"/>
      <c r="Q11" s="282"/>
      <c r="R11" s="283"/>
      <c r="S11" s="284"/>
      <c r="T11" s="285"/>
      <c r="U11" s="282"/>
      <c r="V11" s="286"/>
      <c r="W11" s="102">
        <f t="shared" si="0"/>
        <v>3</v>
      </c>
      <c r="X11" s="381"/>
      <c r="Y11" s="295"/>
      <c r="AA11" s="86"/>
      <c r="AB11" s="87"/>
      <c r="AC11" s="87"/>
      <c r="AD11" s="82"/>
    </row>
    <row r="12" spans="2:30" ht="16.5" customHeight="1" thickBot="1">
      <c r="B12" s="476"/>
      <c r="C12" s="326"/>
      <c r="D12" s="330"/>
      <c r="E12" s="103" t="s">
        <v>535</v>
      </c>
      <c r="F12" s="382" t="s">
        <v>203</v>
      </c>
      <c r="G12" s="307"/>
      <c r="H12" s="104">
        <v>4</v>
      </c>
      <c r="I12" s="105" t="s">
        <v>339</v>
      </c>
      <c r="J12" s="269">
        <v>3</v>
      </c>
      <c r="K12" s="382"/>
      <c r="L12" s="306"/>
      <c r="M12" s="299"/>
      <c r="N12" s="300"/>
      <c r="O12" s="305"/>
      <c r="P12" s="306"/>
      <c r="Q12" s="299">
        <v>3</v>
      </c>
      <c r="R12" s="300"/>
      <c r="S12" s="305"/>
      <c r="T12" s="306"/>
      <c r="U12" s="299"/>
      <c r="V12" s="307"/>
      <c r="W12" s="102">
        <f t="shared" si="0"/>
        <v>3</v>
      </c>
      <c r="X12" s="381"/>
      <c r="Y12" s="295"/>
      <c r="AA12" s="86" t="s">
        <v>500</v>
      </c>
      <c r="AB12" s="87">
        <v>3</v>
      </c>
      <c r="AC12" s="87"/>
      <c r="AD12" s="82">
        <v>3</v>
      </c>
    </row>
    <row r="13" spans="2:30" ht="16.5" customHeight="1" thickBot="1">
      <c r="B13" s="476"/>
      <c r="C13" s="326"/>
      <c r="D13" s="327" t="s">
        <v>5</v>
      </c>
      <c r="E13" s="93" t="s">
        <v>12</v>
      </c>
      <c r="F13" s="329" t="s">
        <v>212</v>
      </c>
      <c r="G13" s="294"/>
      <c r="H13" s="264">
        <v>4</v>
      </c>
      <c r="I13" s="95" t="s">
        <v>337</v>
      </c>
      <c r="J13" s="267">
        <v>3</v>
      </c>
      <c r="K13" s="329">
        <v>3</v>
      </c>
      <c r="L13" s="289"/>
      <c r="M13" s="292"/>
      <c r="N13" s="293"/>
      <c r="O13" s="288"/>
      <c r="P13" s="289"/>
      <c r="Q13" s="292"/>
      <c r="R13" s="293"/>
      <c r="S13" s="288"/>
      <c r="T13" s="289"/>
      <c r="U13" s="292"/>
      <c r="V13" s="294"/>
      <c r="W13" s="97">
        <f t="shared" si="0"/>
        <v>3</v>
      </c>
      <c r="X13" s="380">
        <f>SUM(W13:W14)</f>
        <v>6</v>
      </c>
      <c r="Y13" s="295"/>
      <c r="AA13" s="86" t="s">
        <v>501</v>
      </c>
      <c r="AB13" s="87">
        <v>4</v>
      </c>
      <c r="AC13" s="87" t="s">
        <v>509</v>
      </c>
      <c r="AD13" s="82" t="s">
        <v>507</v>
      </c>
    </row>
    <row r="14" spans="2:30" ht="16.5" customHeight="1" thickBot="1">
      <c r="B14" s="476"/>
      <c r="C14" s="326"/>
      <c r="D14" s="328"/>
      <c r="E14" s="98" t="s">
        <v>12</v>
      </c>
      <c r="F14" s="331" t="s">
        <v>214</v>
      </c>
      <c r="G14" s="286"/>
      <c r="H14" s="265">
        <v>4</v>
      </c>
      <c r="I14" s="100" t="s">
        <v>337</v>
      </c>
      <c r="J14" s="268">
        <v>3</v>
      </c>
      <c r="K14" s="331"/>
      <c r="L14" s="285"/>
      <c r="M14" s="282">
        <v>3</v>
      </c>
      <c r="N14" s="283"/>
      <c r="O14" s="284"/>
      <c r="P14" s="285"/>
      <c r="Q14" s="282"/>
      <c r="R14" s="283"/>
      <c r="S14" s="284"/>
      <c r="T14" s="285"/>
      <c r="U14" s="282"/>
      <c r="V14" s="286"/>
      <c r="W14" s="102">
        <f t="shared" si="0"/>
        <v>3</v>
      </c>
      <c r="X14" s="381"/>
      <c r="Y14" s="295"/>
      <c r="AA14" s="89" t="s">
        <v>502</v>
      </c>
      <c r="AB14" s="90">
        <v>3</v>
      </c>
      <c r="AC14" s="90" t="s">
        <v>509</v>
      </c>
      <c r="AD14" s="88" t="s">
        <v>508</v>
      </c>
    </row>
    <row r="15" spans="2:30" ht="16.5" customHeight="1" thickBot="1">
      <c r="B15" s="476"/>
      <c r="C15" s="326"/>
      <c r="D15" s="327" t="s">
        <v>6</v>
      </c>
      <c r="E15" s="93" t="s">
        <v>12</v>
      </c>
      <c r="F15" s="329" t="s">
        <v>340</v>
      </c>
      <c r="G15" s="294"/>
      <c r="H15" s="264">
        <v>4</v>
      </c>
      <c r="I15" s="95" t="s">
        <v>337</v>
      </c>
      <c r="J15" s="267">
        <v>3</v>
      </c>
      <c r="K15" s="329">
        <v>3</v>
      </c>
      <c r="L15" s="289"/>
      <c r="M15" s="292"/>
      <c r="N15" s="293"/>
      <c r="O15" s="288"/>
      <c r="P15" s="289"/>
      <c r="Q15" s="292"/>
      <c r="R15" s="293"/>
      <c r="S15" s="288"/>
      <c r="T15" s="289"/>
      <c r="U15" s="292"/>
      <c r="V15" s="294"/>
      <c r="W15" s="97">
        <f t="shared" si="0"/>
        <v>3</v>
      </c>
      <c r="X15" s="380">
        <f t="shared" ref="X15" si="1">SUM(W15:W18)</f>
        <v>14</v>
      </c>
      <c r="Y15" s="295"/>
    </row>
    <row r="16" spans="2:30" ht="16.5" customHeight="1" thickBot="1">
      <c r="B16" s="476"/>
      <c r="C16" s="326"/>
      <c r="D16" s="328"/>
      <c r="E16" s="98" t="s">
        <v>12</v>
      </c>
      <c r="F16" s="331" t="s">
        <v>225</v>
      </c>
      <c r="G16" s="286"/>
      <c r="H16" s="265">
        <v>4</v>
      </c>
      <c r="I16" s="100" t="s">
        <v>337</v>
      </c>
      <c r="J16" s="268">
        <v>3</v>
      </c>
      <c r="K16" s="331"/>
      <c r="L16" s="285"/>
      <c r="M16" s="282">
        <v>3</v>
      </c>
      <c r="N16" s="283"/>
      <c r="O16" s="284"/>
      <c r="P16" s="285"/>
      <c r="Q16" s="282"/>
      <c r="R16" s="283"/>
      <c r="S16" s="284"/>
      <c r="T16" s="285"/>
      <c r="U16" s="282"/>
      <c r="V16" s="286"/>
      <c r="W16" s="102">
        <f t="shared" si="0"/>
        <v>3</v>
      </c>
      <c r="X16" s="381"/>
      <c r="Y16" s="295"/>
    </row>
    <row r="17" spans="2:29" ht="16.5" customHeight="1" thickBot="1">
      <c r="B17" s="476"/>
      <c r="C17" s="326"/>
      <c r="D17" s="328"/>
      <c r="E17" s="107" t="s">
        <v>535</v>
      </c>
      <c r="F17" s="331" t="s">
        <v>517</v>
      </c>
      <c r="G17" s="286"/>
      <c r="H17" s="265">
        <v>4</v>
      </c>
      <c r="I17" s="100" t="s">
        <v>337</v>
      </c>
      <c r="J17" s="268">
        <v>4</v>
      </c>
      <c r="K17" s="331"/>
      <c r="L17" s="285"/>
      <c r="M17" s="282"/>
      <c r="N17" s="283"/>
      <c r="O17" s="284">
        <v>4</v>
      </c>
      <c r="P17" s="285"/>
      <c r="Q17" s="282"/>
      <c r="R17" s="283"/>
      <c r="S17" s="284"/>
      <c r="T17" s="285"/>
      <c r="U17" s="282"/>
      <c r="V17" s="286"/>
      <c r="W17" s="102">
        <f t="shared" si="0"/>
        <v>4</v>
      </c>
      <c r="X17" s="381"/>
      <c r="Y17" s="295"/>
    </row>
    <row r="18" spans="2:29" ht="16.5" customHeight="1" thickBot="1">
      <c r="B18" s="476"/>
      <c r="C18" s="326"/>
      <c r="D18" s="330"/>
      <c r="E18" s="112" t="s">
        <v>535</v>
      </c>
      <c r="F18" s="382" t="s">
        <v>516</v>
      </c>
      <c r="G18" s="307"/>
      <c r="H18" s="104">
        <v>4</v>
      </c>
      <c r="I18" s="105" t="s">
        <v>339</v>
      </c>
      <c r="J18" s="269">
        <v>4</v>
      </c>
      <c r="K18" s="382"/>
      <c r="L18" s="306"/>
      <c r="M18" s="299"/>
      <c r="N18" s="300"/>
      <c r="O18" s="305"/>
      <c r="P18" s="306"/>
      <c r="Q18" s="299">
        <v>4</v>
      </c>
      <c r="R18" s="300"/>
      <c r="S18" s="305"/>
      <c r="T18" s="306"/>
      <c r="U18" s="299"/>
      <c r="V18" s="307"/>
      <c r="W18" s="102">
        <f t="shared" si="0"/>
        <v>4</v>
      </c>
      <c r="X18" s="381"/>
      <c r="Y18" s="295"/>
    </row>
    <row r="19" spans="2:29" ht="16.5" customHeight="1" thickBot="1">
      <c r="B19" s="476"/>
      <c r="C19" s="326"/>
      <c r="D19" s="327" t="s">
        <v>341</v>
      </c>
      <c r="E19" s="93" t="s">
        <v>12</v>
      </c>
      <c r="F19" s="329" t="s">
        <v>233</v>
      </c>
      <c r="G19" s="294"/>
      <c r="H19" s="264">
        <v>3</v>
      </c>
      <c r="I19" s="113" t="s">
        <v>342</v>
      </c>
      <c r="J19" s="267">
        <v>3</v>
      </c>
      <c r="K19" s="383">
        <v>3</v>
      </c>
      <c r="L19" s="323"/>
      <c r="M19" s="320"/>
      <c r="N19" s="321"/>
      <c r="O19" s="322"/>
      <c r="P19" s="323"/>
      <c r="Q19" s="320"/>
      <c r="R19" s="321"/>
      <c r="S19" s="322"/>
      <c r="T19" s="323"/>
      <c r="U19" s="320"/>
      <c r="V19" s="324"/>
      <c r="W19" s="97">
        <f t="shared" si="0"/>
        <v>3</v>
      </c>
      <c r="X19" s="380">
        <f>SUM(W19:W20)</f>
        <v>6</v>
      </c>
      <c r="Y19" s="295">
        <v>6</v>
      </c>
    </row>
    <row r="20" spans="2:29" ht="16.5" customHeight="1" thickBot="1">
      <c r="B20" s="476"/>
      <c r="C20" s="326"/>
      <c r="D20" s="328"/>
      <c r="E20" s="114" t="s">
        <v>12</v>
      </c>
      <c r="F20" s="385" t="s">
        <v>343</v>
      </c>
      <c r="G20" s="309"/>
      <c r="H20" s="115">
        <v>3</v>
      </c>
      <c r="I20" s="116" t="s">
        <v>342</v>
      </c>
      <c r="J20" s="275">
        <v>3</v>
      </c>
      <c r="K20" s="382"/>
      <c r="L20" s="306"/>
      <c r="M20" s="299">
        <v>3</v>
      </c>
      <c r="N20" s="300"/>
      <c r="O20" s="305"/>
      <c r="P20" s="306"/>
      <c r="Q20" s="299"/>
      <c r="R20" s="300"/>
      <c r="S20" s="305"/>
      <c r="T20" s="306"/>
      <c r="U20" s="299"/>
      <c r="V20" s="307"/>
      <c r="W20" s="118">
        <f t="shared" si="0"/>
        <v>3</v>
      </c>
      <c r="X20" s="384"/>
      <c r="Y20" s="295"/>
      <c r="AA20" s="319"/>
      <c r="AB20" s="319"/>
      <c r="AC20" s="263"/>
    </row>
    <row r="21" spans="2:29" ht="16.5" customHeight="1" thickBot="1">
      <c r="B21" s="476"/>
      <c r="C21" s="326"/>
      <c r="D21" s="328"/>
      <c r="E21" s="93" t="s">
        <v>12</v>
      </c>
      <c r="F21" s="329" t="s">
        <v>236</v>
      </c>
      <c r="G21" s="294"/>
      <c r="H21" s="264">
        <v>4</v>
      </c>
      <c r="I21" s="113" t="s">
        <v>337</v>
      </c>
      <c r="J21" s="267">
        <v>3</v>
      </c>
      <c r="K21" s="329"/>
      <c r="L21" s="289"/>
      <c r="M21" s="292"/>
      <c r="N21" s="293"/>
      <c r="O21" s="288">
        <v>3</v>
      </c>
      <c r="P21" s="289"/>
      <c r="Q21" s="292"/>
      <c r="R21" s="293"/>
      <c r="S21" s="288"/>
      <c r="T21" s="289"/>
      <c r="U21" s="292"/>
      <c r="V21" s="294"/>
      <c r="W21" s="97">
        <f t="shared" si="0"/>
        <v>3</v>
      </c>
      <c r="X21" s="380">
        <f>SUM(W21:W22)</f>
        <v>6</v>
      </c>
      <c r="Y21" s="295">
        <v>12</v>
      </c>
    </row>
    <row r="22" spans="2:29" ht="16.5" customHeight="1" thickBot="1">
      <c r="B22" s="476"/>
      <c r="C22" s="326"/>
      <c r="D22" s="330"/>
      <c r="E22" s="112" t="s">
        <v>12</v>
      </c>
      <c r="F22" s="382" t="s">
        <v>344</v>
      </c>
      <c r="G22" s="307"/>
      <c r="H22" s="104">
        <v>4</v>
      </c>
      <c r="I22" s="105" t="s">
        <v>337</v>
      </c>
      <c r="J22" s="269">
        <v>3</v>
      </c>
      <c r="K22" s="382"/>
      <c r="L22" s="306"/>
      <c r="M22" s="299"/>
      <c r="N22" s="300"/>
      <c r="O22" s="305"/>
      <c r="P22" s="306"/>
      <c r="Q22" s="299">
        <v>3</v>
      </c>
      <c r="R22" s="300"/>
      <c r="S22" s="305"/>
      <c r="T22" s="306"/>
      <c r="U22" s="299"/>
      <c r="V22" s="307"/>
      <c r="W22" s="118">
        <f t="shared" si="0"/>
        <v>3</v>
      </c>
      <c r="X22" s="384"/>
      <c r="Y22" s="295"/>
    </row>
    <row r="23" spans="2:29" ht="16.5" customHeight="1" thickBot="1">
      <c r="B23" s="476"/>
      <c r="C23" s="326"/>
      <c r="D23" s="327" t="s">
        <v>26</v>
      </c>
      <c r="E23" s="93" t="s">
        <v>12</v>
      </c>
      <c r="F23" s="329" t="s">
        <v>254</v>
      </c>
      <c r="G23" s="294"/>
      <c r="H23" s="264">
        <v>4</v>
      </c>
      <c r="I23" s="113" t="s">
        <v>337</v>
      </c>
      <c r="J23" s="267">
        <v>4</v>
      </c>
      <c r="K23" s="329"/>
      <c r="L23" s="289"/>
      <c r="M23" s="292"/>
      <c r="N23" s="293"/>
      <c r="O23" s="288">
        <v>4</v>
      </c>
      <c r="P23" s="289"/>
      <c r="Q23" s="292"/>
      <c r="R23" s="293"/>
      <c r="S23" s="288"/>
      <c r="T23" s="289"/>
      <c r="U23" s="292"/>
      <c r="V23" s="294"/>
      <c r="W23" s="97">
        <f t="shared" si="0"/>
        <v>4</v>
      </c>
      <c r="X23" s="325">
        <f>SUM(W23:W24)</f>
        <v>8</v>
      </c>
      <c r="Y23" s="295"/>
    </row>
    <row r="24" spans="2:29" ht="16.5" customHeight="1" thickBot="1">
      <c r="B24" s="476"/>
      <c r="C24" s="326"/>
      <c r="D24" s="328"/>
      <c r="E24" s="98" t="s">
        <v>12</v>
      </c>
      <c r="F24" s="331" t="s">
        <v>345</v>
      </c>
      <c r="G24" s="286"/>
      <c r="H24" s="265">
        <v>4</v>
      </c>
      <c r="I24" s="100" t="s">
        <v>337</v>
      </c>
      <c r="J24" s="268">
        <v>4</v>
      </c>
      <c r="K24" s="331"/>
      <c r="L24" s="285"/>
      <c r="M24" s="282"/>
      <c r="N24" s="283"/>
      <c r="O24" s="284"/>
      <c r="P24" s="285"/>
      <c r="Q24" s="282">
        <v>4</v>
      </c>
      <c r="R24" s="283"/>
      <c r="S24" s="284"/>
      <c r="T24" s="285"/>
      <c r="U24" s="282"/>
      <c r="V24" s="286"/>
      <c r="W24" s="102">
        <f t="shared" si="0"/>
        <v>4</v>
      </c>
      <c r="X24" s="326"/>
      <c r="Y24" s="295"/>
    </row>
    <row r="25" spans="2:29" ht="16.5" customHeight="1" thickBot="1">
      <c r="B25" s="476"/>
      <c r="C25" s="326"/>
      <c r="D25" s="327" t="s">
        <v>8</v>
      </c>
      <c r="E25" s="93" t="s">
        <v>347</v>
      </c>
      <c r="F25" s="329" t="s">
        <v>348</v>
      </c>
      <c r="G25" s="294"/>
      <c r="H25" s="264">
        <v>3</v>
      </c>
      <c r="I25" s="113" t="s">
        <v>349</v>
      </c>
      <c r="J25" s="267">
        <f t="shared" ref="J25:J26" si="2">SUM(K25:V25)</f>
        <v>2</v>
      </c>
      <c r="K25" s="329">
        <v>2</v>
      </c>
      <c r="L25" s="289"/>
      <c r="M25" s="292"/>
      <c r="N25" s="293"/>
      <c r="O25" s="288"/>
      <c r="P25" s="289"/>
      <c r="Q25" s="292"/>
      <c r="R25" s="293"/>
      <c r="S25" s="288"/>
      <c r="T25" s="289"/>
      <c r="U25" s="292"/>
      <c r="V25" s="294"/>
      <c r="W25" s="97">
        <f>SUM(K25:V25)</f>
        <v>2</v>
      </c>
      <c r="X25" s="392">
        <f>SUM(W25:W29)</f>
        <v>8</v>
      </c>
      <c r="Y25" s="295">
        <v>8</v>
      </c>
    </row>
    <row r="26" spans="2:29" ht="16.5" customHeight="1" thickBot="1">
      <c r="B26" s="476"/>
      <c r="C26" s="326"/>
      <c r="D26" s="328"/>
      <c r="E26" s="98" t="s">
        <v>347</v>
      </c>
      <c r="F26" s="331" t="s">
        <v>350</v>
      </c>
      <c r="G26" s="286"/>
      <c r="H26" s="265">
        <v>3</v>
      </c>
      <c r="I26" s="100" t="s">
        <v>349</v>
      </c>
      <c r="J26" s="268">
        <f t="shared" si="2"/>
        <v>2</v>
      </c>
      <c r="K26" s="331"/>
      <c r="L26" s="285"/>
      <c r="M26" s="282">
        <v>2</v>
      </c>
      <c r="N26" s="283"/>
      <c r="O26" s="284"/>
      <c r="P26" s="285"/>
      <c r="Q26" s="282"/>
      <c r="R26" s="283"/>
      <c r="S26" s="284"/>
      <c r="T26" s="285"/>
      <c r="U26" s="282"/>
      <c r="V26" s="286"/>
      <c r="W26" s="102">
        <f t="shared" ref="W26:W29" si="3">SUM(K26:V26)</f>
        <v>2</v>
      </c>
      <c r="X26" s="393"/>
      <c r="Y26" s="295"/>
    </row>
    <row r="27" spans="2:29" ht="16.5" customHeight="1" thickBot="1">
      <c r="B27" s="476"/>
      <c r="C27" s="326"/>
      <c r="D27" s="328"/>
      <c r="E27" s="98" t="s">
        <v>338</v>
      </c>
      <c r="F27" s="331" t="s">
        <v>518</v>
      </c>
      <c r="G27" s="286"/>
      <c r="H27" s="265">
        <v>3</v>
      </c>
      <c r="I27" s="100" t="s">
        <v>349</v>
      </c>
      <c r="J27" s="268">
        <v>1</v>
      </c>
      <c r="K27" s="331"/>
      <c r="L27" s="285"/>
      <c r="M27" s="282"/>
      <c r="N27" s="283"/>
      <c r="O27" s="284">
        <v>1</v>
      </c>
      <c r="P27" s="285"/>
      <c r="Q27" s="282"/>
      <c r="R27" s="283"/>
      <c r="S27" s="284"/>
      <c r="T27" s="285"/>
      <c r="U27" s="282"/>
      <c r="V27" s="286"/>
      <c r="W27" s="102">
        <f t="shared" si="3"/>
        <v>1</v>
      </c>
      <c r="X27" s="393"/>
      <c r="Y27" s="295"/>
    </row>
    <row r="28" spans="2:29" ht="16.5" customHeight="1" thickBot="1">
      <c r="B28" s="476"/>
      <c r="C28" s="326"/>
      <c r="D28" s="328"/>
      <c r="E28" s="98" t="s">
        <v>338</v>
      </c>
      <c r="F28" s="331" t="s">
        <v>519</v>
      </c>
      <c r="G28" s="286"/>
      <c r="H28" s="265">
        <v>3</v>
      </c>
      <c r="I28" s="100" t="s">
        <v>349</v>
      </c>
      <c r="J28" s="268">
        <v>2</v>
      </c>
      <c r="K28" s="331"/>
      <c r="L28" s="285"/>
      <c r="M28" s="282"/>
      <c r="N28" s="283"/>
      <c r="O28" s="284"/>
      <c r="P28" s="285"/>
      <c r="Q28" s="282">
        <v>2</v>
      </c>
      <c r="R28" s="283"/>
      <c r="S28" s="284"/>
      <c r="T28" s="285"/>
      <c r="U28" s="282"/>
      <c r="V28" s="286"/>
      <c r="W28" s="102">
        <f t="shared" si="3"/>
        <v>2</v>
      </c>
      <c r="X28" s="393"/>
      <c r="Y28" s="295"/>
    </row>
    <row r="29" spans="2:29" ht="16.5" customHeight="1" thickBot="1">
      <c r="B29" s="476"/>
      <c r="C29" s="326"/>
      <c r="D29" s="330"/>
      <c r="E29" s="112" t="s">
        <v>338</v>
      </c>
      <c r="F29" s="382" t="s">
        <v>520</v>
      </c>
      <c r="G29" s="307"/>
      <c r="H29" s="104">
        <v>2</v>
      </c>
      <c r="I29" s="105" t="s">
        <v>351</v>
      </c>
      <c r="J29" s="269">
        <v>1</v>
      </c>
      <c r="K29" s="382"/>
      <c r="L29" s="306"/>
      <c r="M29" s="299"/>
      <c r="N29" s="300"/>
      <c r="O29" s="305"/>
      <c r="P29" s="306"/>
      <c r="Q29" s="299"/>
      <c r="R29" s="300"/>
      <c r="S29" s="305">
        <v>1</v>
      </c>
      <c r="T29" s="306"/>
      <c r="U29" s="299"/>
      <c r="V29" s="307"/>
      <c r="W29" s="118">
        <f t="shared" si="3"/>
        <v>1</v>
      </c>
      <c r="X29" s="394"/>
      <c r="Y29" s="295"/>
    </row>
    <row r="30" spans="2:29" ht="16.5" customHeight="1" thickBot="1">
      <c r="B30" s="476"/>
      <c r="C30" s="326"/>
      <c r="D30" s="327" t="s">
        <v>28</v>
      </c>
      <c r="E30" s="93" t="s">
        <v>347</v>
      </c>
      <c r="F30" s="329" t="s">
        <v>9</v>
      </c>
      <c r="G30" s="294"/>
      <c r="H30" s="264">
        <v>3</v>
      </c>
      <c r="I30" s="119" t="s">
        <v>349</v>
      </c>
      <c r="J30" s="267">
        <v>3</v>
      </c>
      <c r="K30" s="329">
        <v>3</v>
      </c>
      <c r="L30" s="289"/>
      <c r="M30" s="292"/>
      <c r="N30" s="293"/>
      <c r="O30" s="288"/>
      <c r="P30" s="289"/>
      <c r="Q30" s="292"/>
      <c r="R30" s="293"/>
      <c r="S30" s="288"/>
      <c r="T30" s="289"/>
      <c r="U30" s="292"/>
      <c r="V30" s="294"/>
      <c r="W30" s="386">
        <f>SUM(K30:V31)</f>
        <v>6</v>
      </c>
      <c r="X30" s="387"/>
      <c r="Y30" s="295">
        <v>6</v>
      </c>
    </row>
    <row r="31" spans="2:29" ht="16.5" customHeight="1" thickBot="1">
      <c r="B31" s="476"/>
      <c r="C31" s="326"/>
      <c r="D31" s="328"/>
      <c r="E31" s="103" t="s">
        <v>338</v>
      </c>
      <c r="F31" s="331" t="s">
        <v>280</v>
      </c>
      <c r="G31" s="286"/>
      <c r="H31" s="265">
        <v>3</v>
      </c>
      <c r="I31" s="100" t="s">
        <v>349</v>
      </c>
      <c r="J31" s="268">
        <v>3</v>
      </c>
      <c r="K31" s="331"/>
      <c r="L31" s="285"/>
      <c r="M31" s="282">
        <v>3</v>
      </c>
      <c r="N31" s="283"/>
      <c r="O31" s="284"/>
      <c r="P31" s="285"/>
      <c r="Q31" s="282"/>
      <c r="R31" s="283"/>
      <c r="S31" s="284"/>
      <c r="T31" s="285"/>
      <c r="U31" s="282"/>
      <c r="V31" s="286"/>
      <c r="W31" s="388"/>
      <c r="X31" s="389"/>
      <c r="Y31" s="295"/>
    </row>
    <row r="32" spans="2:29" ht="16.5" customHeight="1" thickBot="1">
      <c r="B32" s="476"/>
      <c r="C32" s="326"/>
      <c r="D32" s="390" t="s">
        <v>352</v>
      </c>
      <c r="E32" s="93" t="s">
        <v>347</v>
      </c>
      <c r="F32" s="329" t="s">
        <v>10</v>
      </c>
      <c r="G32" s="294"/>
      <c r="H32" s="264">
        <v>3</v>
      </c>
      <c r="I32" s="113" t="s">
        <v>349</v>
      </c>
      <c r="J32" s="267">
        <v>3</v>
      </c>
      <c r="K32" s="329">
        <v>3</v>
      </c>
      <c r="L32" s="289"/>
      <c r="M32" s="292"/>
      <c r="N32" s="293"/>
      <c r="O32" s="288"/>
      <c r="P32" s="289"/>
      <c r="Q32" s="292"/>
      <c r="R32" s="293"/>
      <c r="S32" s="288"/>
      <c r="T32" s="289"/>
      <c r="U32" s="292"/>
      <c r="V32" s="294"/>
      <c r="W32" s="386">
        <f>SUM(K32:V34)</f>
        <v>8</v>
      </c>
      <c r="X32" s="387"/>
      <c r="Y32" s="295">
        <v>8</v>
      </c>
    </row>
    <row r="33" spans="2:28" ht="16.5" customHeight="1" thickBot="1">
      <c r="B33" s="476"/>
      <c r="C33" s="326"/>
      <c r="D33" s="391"/>
      <c r="E33" s="103" t="s">
        <v>338</v>
      </c>
      <c r="F33" s="331" t="s">
        <v>521</v>
      </c>
      <c r="G33" s="286"/>
      <c r="H33" s="265">
        <v>3</v>
      </c>
      <c r="I33" s="100" t="s">
        <v>349</v>
      </c>
      <c r="J33" s="268">
        <v>3</v>
      </c>
      <c r="K33" s="331"/>
      <c r="L33" s="285"/>
      <c r="M33" s="282">
        <v>3</v>
      </c>
      <c r="N33" s="283"/>
      <c r="O33" s="284"/>
      <c r="P33" s="285"/>
      <c r="Q33" s="282"/>
      <c r="R33" s="283"/>
      <c r="S33" s="284"/>
      <c r="T33" s="285"/>
      <c r="U33" s="282"/>
      <c r="V33" s="286"/>
      <c r="W33" s="388"/>
      <c r="X33" s="389"/>
      <c r="Y33" s="295"/>
    </row>
    <row r="34" spans="2:28" ht="16.5" customHeight="1" thickBot="1">
      <c r="B34" s="477"/>
      <c r="C34" s="478"/>
      <c r="D34" s="391"/>
      <c r="E34" s="103" t="s">
        <v>535</v>
      </c>
      <c r="F34" s="382" t="s">
        <v>329</v>
      </c>
      <c r="G34" s="307"/>
      <c r="H34" s="104">
        <v>3</v>
      </c>
      <c r="I34" s="105" t="s">
        <v>349</v>
      </c>
      <c r="J34" s="269">
        <v>2</v>
      </c>
      <c r="K34" s="382"/>
      <c r="L34" s="306"/>
      <c r="M34" s="299"/>
      <c r="N34" s="300"/>
      <c r="O34" s="284"/>
      <c r="P34" s="285"/>
      <c r="Q34" s="282"/>
      <c r="R34" s="283"/>
      <c r="S34" s="284">
        <v>2</v>
      </c>
      <c r="T34" s="285"/>
      <c r="U34" s="282"/>
      <c r="V34" s="286"/>
      <c r="W34" s="388"/>
      <c r="X34" s="389"/>
      <c r="Y34" s="295"/>
    </row>
    <row r="35" spans="2:28" ht="16.5" customHeight="1" thickBot="1">
      <c r="B35" s="302" t="s">
        <v>359</v>
      </c>
      <c r="C35" s="461"/>
      <c r="D35" s="461"/>
      <c r="E35" s="461"/>
      <c r="F35" s="461"/>
      <c r="G35" s="441"/>
      <c r="H35" s="266"/>
      <c r="I35" s="121"/>
      <c r="J35" s="266">
        <f>SUM(J9:J34)</f>
        <v>76</v>
      </c>
      <c r="K35" s="474">
        <f>SUM(K9:L34)</f>
        <v>21</v>
      </c>
      <c r="L35" s="296"/>
      <c r="M35" s="296">
        <f>SUM(M9:N34)</f>
        <v>21</v>
      </c>
      <c r="N35" s="297"/>
      <c r="O35" s="298">
        <f>SUM(O9:P34)</f>
        <v>15</v>
      </c>
      <c r="P35" s="296"/>
      <c r="Q35" s="296">
        <f>SUM(Q9:R34)</f>
        <v>16</v>
      </c>
      <c r="R35" s="304"/>
      <c r="S35" s="303">
        <f>SUM(S9:T34)</f>
        <v>3</v>
      </c>
      <c r="T35" s="296"/>
      <c r="U35" s="296">
        <f>SUM(U9:V34)</f>
        <v>0</v>
      </c>
      <c r="V35" s="301"/>
      <c r="W35" s="302">
        <f>SUM(K35:V35)</f>
        <v>76</v>
      </c>
      <c r="X35" s="303"/>
      <c r="Y35" s="273">
        <f>SUM(Y9:Y34)</f>
        <v>64</v>
      </c>
      <c r="AA35" s="395" t="b">
        <f>W35&gt;=Y35</f>
        <v>1</v>
      </c>
      <c r="AB35" s="396"/>
    </row>
    <row r="36" spans="2:28" ht="16.5" customHeight="1">
      <c r="B36" s="476"/>
      <c r="C36" s="326"/>
      <c r="D36" s="488" t="s">
        <v>353</v>
      </c>
      <c r="E36" s="489"/>
      <c r="F36" s="397" t="s">
        <v>639</v>
      </c>
      <c r="G36" s="398"/>
      <c r="H36" s="264"/>
      <c r="I36" s="270"/>
      <c r="J36" s="267">
        <v>2</v>
      </c>
      <c r="K36" s="329"/>
      <c r="L36" s="289"/>
      <c r="M36" s="292"/>
      <c r="N36" s="293"/>
      <c r="O36" s="288"/>
      <c r="P36" s="289"/>
      <c r="Q36" s="292"/>
      <c r="R36" s="293"/>
      <c r="S36" s="288">
        <v>2</v>
      </c>
      <c r="T36" s="289"/>
      <c r="U36" s="292"/>
      <c r="V36" s="294"/>
      <c r="W36" s="290">
        <f>SUM(K36:V36)</f>
        <v>2</v>
      </c>
      <c r="X36" s="291"/>
      <c r="Y36" s="399">
        <v>80</v>
      </c>
    </row>
    <row r="37" spans="2:28" ht="16.5" customHeight="1" thickBot="1">
      <c r="B37" s="476"/>
      <c r="C37" s="326"/>
      <c r="D37" s="483" t="s">
        <v>353</v>
      </c>
      <c r="E37" s="484"/>
      <c r="F37" s="485" t="s">
        <v>619</v>
      </c>
      <c r="G37" s="486"/>
      <c r="H37" s="115"/>
      <c r="I37" s="276"/>
      <c r="J37" s="275">
        <v>2</v>
      </c>
      <c r="K37" s="385"/>
      <c r="L37" s="482"/>
      <c r="M37" s="308"/>
      <c r="N37" s="487"/>
      <c r="O37" s="481"/>
      <c r="P37" s="482"/>
      <c r="Q37" s="308"/>
      <c r="R37" s="487"/>
      <c r="S37" s="481"/>
      <c r="T37" s="482"/>
      <c r="U37" s="308">
        <v>2</v>
      </c>
      <c r="V37" s="309"/>
      <c r="W37" s="278">
        <f>SUM(K37:V37)</f>
        <v>2</v>
      </c>
      <c r="X37" s="279"/>
      <c r="Y37" s="400"/>
    </row>
    <row r="38" spans="2:28" ht="16.5" customHeight="1">
      <c r="B38" s="476"/>
      <c r="C38" s="326"/>
      <c r="D38" s="125" t="s">
        <v>654</v>
      </c>
      <c r="E38" s="126" t="s">
        <v>354</v>
      </c>
      <c r="F38" s="402" t="s">
        <v>641</v>
      </c>
      <c r="G38" s="403"/>
      <c r="H38" s="109"/>
      <c r="I38" s="127"/>
      <c r="J38" s="111">
        <v>4</v>
      </c>
      <c r="K38" s="329">
        <v>4</v>
      </c>
      <c r="L38" s="289"/>
      <c r="M38" s="292"/>
      <c r="N38" s="293"/>
      <c r="O38" s="288"/>
      <c r="P38" s="289"/>
      <c r="Q38" s="292"/>
      <c r="R38" s="293"/>
      <c r="S38" s="288"/>
      <c r="T38" s="289"/>
      <c r="U38" s="292"/>
      <c r="V38" s="294"/>
      <c r="W38" s="290">
        <f t="shared" ref="W38:W43" si="4">SUM(K38:V38)</f>
        <v>4</v>
      </c>
      <c r="X38" s="291"/>
      <c r="Y38" s="400"/>
    </row>
    <row r="39" spans="2:28" ht="16.5" customHeight="1">
      <c r="B39" s="476"/>
      <c r="C39" s="326"/>
      <c r="D39" s="125" t="s">
        <v>72</v>
      </c>
      <c r="E39" s="126" t="s">
        <v>354</v>
      </c>
      <c r="F39" s="404" t="s">
        <v>642</v>
      </c>
      <c r="G39" s="405"/>
      <c r="H39" s="109"/>
      <c r="I39" s="127"/>
      <c r="J39" s="111">
        <v>4</v>
      </c>
      <c r="K39" s="331">
        <v>4</v>
      </c>
      <c r="L39" s="285"/>
      <c r="M39" s="282"/>
      <c r="N39" s="283"/>
      <c r="O39" s="284"/>
      <c r="P39" s="285"/>
      <c r="Q39" s="282"/>
      <c r="R39" s="283"/>
      <c r="S39" s="284"/>
      <c r="T39" s="285"/>
      <c r="U39" s="282"/>
      <c r="V39" s="286"/>
      <c r="W39" s="280">
        <f t="shared" si="4"/>
        <v>4</v>
      </c>
      <c r="X39" s="281"/>
      <c r="Y39" s="400"/>
    </row>
    <row r="40" spans="2:28" ht="16.5" customHeight="1">
      <c r="B40" s="476"/>
      <c r="C40" s="326"/>
      <c r="D40" s="125" t="s">
        <v>654</v>
      </c>
      <c r="E40" s="126" t="s">
        <v>354</v>
      </c>
      <c r="F40" s="404" t="s">
        <v>643</v>
      </c>
      <c r="G40" s="405"/>
      <c r="H40" s="109"/>
      <c r="I40" s="127"/>
      <c r="J40" s="111">
        <v>4</v>
      </c>
      <c r="K40" s="331"/>
      <c r="L40" s="285"/>
      <c r="M40" s="282">
        <v>4</v>
      </c>
      <c r="N40" s="283"/>
      <c r="O40" s="284"/>
      <c r="P40" s="285"/>
      <c r="Q40" s="282"/>
      <c r="R40" s="283"/>
      <c r="S40" s="284"/>
      <c r="T40" s="285"/>
      <c r="U40" s="282"/>
      <c r="V40" s="286"/>
      <c r="W40" s="280">
        <f t="shared" si="4"/>
        <v>4</v>
      </c>
      <c r="X40" s="281"/>
      <c r="Y40" s="400"/>
    </row>
    <row r="41" spans="2:28" ht="16.5" customHeight="1">
      <c r="B41" s="476"/>
      <c r="C41" s="326"/>
      <c r="D41" s="125" t="s">
        <v>72</v>
      </c>
      <c r="E41" s="126" t="s">
        <v>354</v>
      </c>
      <c r="F41" s="406" t="s">
        <v>644</v>
      </c>
      <c r="G41" s="407"/>
      <c r="H41" s="109"/>
      <c r="I41" s="127"/>
      <c r="J41" s="111">
        <v>3</v>
      </c>
      <c r="K41" s="331"/>
      <c r="L41" s="285"/>
      <c r="M41" s="282"/>
      <c r="N41" s="283"/>
      <c r="O41" s="284">
        <v>3</v>
      </c>
      <c r="P41" s="285"/>
      <c r="Q41" s="282"/>
      <c r="R41" s="283"/>
      <c r="S41" s="284"/>
      <c r="T41" s="285"/>
      <c r="U41" s="282"/>
      <c r="V41" s="286"/>
      <c r="W41" s="280">
        <f t="shared" si="4"/>
        <v>3</v>
      </c>
      <c r="X41" s="281"/>
      <c r="Y41" s="400"/>
    </row>
    <row r="42" spans="2:28" ht="16.5" customHeight="1">
      <c r="B42" s="476"/>
      <c r="C42" s="326"/>
      <c r="D42" s="125" t="s">
        <v>654</v>
      </c>
      <c r="E42" s="126" t="s">
        <v>354</v>
      </c>
      <c r="F42" s="406" t="s">
        <v>645</v>
      </c>
      <c r="G42" s="407"/>
      <c r="H42" s="109"/>
      <c r="I42" s="127"/>
      <c r="J42" s="111">
        <v>3</v>
      </c>
      <c r="K42" s="331"/>
      <c r="L42" s="285"/>
      <c r="M42" s="282"/>
      <c r="N42" s="287"/>
      <c r="O42" s="284">
        <v>3</v>
      </c>
      <c r="P42" s="285"/>
      <c r="Q42" s="282"/>
      <c r="R42" s="283"/>
      <c r="S42" s="287"/>
      <c r="T42" s="285"/>
      <c r="U42" s="282"/>
      <c r="V42" s="286"/>
      <c r="W42" s="280">
        <f t="shared" si="4"/>
        <v>3</v>
      </c>
      <c r="X42" s="281"/>
      <c r="Y42" s="400"/>
    </row>
    <row r="43" spans="2:28" ht="16.5" customHeight="1">
      <c r="B43" s="476"/>
      <c r="C43" s="326"/>
      <c r="D43" s="125" t="s">
        <v>72</v>
      </c>
      <c r="E43" s="126" t="s">
        <v>354</v>
      </c>
      <c r="F43" s="406" t="s">
        <v>647</v>
      </c>
      <c r="G43" s="407"/>
      <c r="H43" s="109"/>
      <c r="I43" s="271"/>
      <c r="J43" s="268">
        <v>3</v>
      </c>
      <c r="K43" s="331"/>
      <c r="L43" s="285"/>
      <c r="M43" s="282"/>
      <c r="N43" s="287"/>
      <c r="O43" s="284"/>
      <c r="P43" s="285"/>
      <c r="Q43" s="282"/>
      <c r="R43" s="283"/>
      <c r="S43" s="287"/>
      <c r="T43" s="285"/>
      <c r="U43" s="282">
        <v>3</v>
      </c>
      <c r="V43" s="286"/>
      <c r="W43" s="280">
        <f t="shared" si="4"/>
        <v>3</v>
      </c>
      <c r="X43" s="281"/>
      <c r="Y43" s="400"/>
    </row>
    <row r="44" spans="2:28" ht="16.5" customHeight="1">
      <c r="B44" s="476"/>
      <c r="C44" s="326"/>
      <c r="D44" s="125" t="s">
        <v>72</v>
      </c>
      <c r="E44" s="126" t="s">
        <v>355</v>
      </c>
      <c r="F44" s="406" t="s">
        <v>609</v>
      </c>
      <c r="G44" s="407"/>
      <c r="H44" s="109"/>
      <c r="I44" s="271"/>
      <c r="J44" s="268">
        <v>4</v>
      </c>
      <c r="K44" s="331"/>
      <c r="L44" s="285"/>
      <c r="M44" s="282">
        <v>4</v>
      </c>
      <c r="N44" s="283"/>
      <c r="O44" s="284"/>
      <c r="P44" s="285"/>
      <c r="Q44" s="282"/>
      <c r="R44" s="283"/>
      <c r="S44" s="284"/>
      <c r="T44" s="285"/>
      <c r="U44" s="282"/>
      <c r="V44" s="286"/>
      <c r="W44" s="280">
        <f t="shared" ref="W44:W49" si="5">SUM(K44:V44)</f>
        <v>4</v>
      </c>
      <c r="X44" s="281"/>
      <c r="Y44" s="400"/>
    </row>
    <row r="45" spans="2:28" ht="16.5" customHeight="1">
      <c r="B45" s="476"/>
      <c r="C45" s="326"/>
      <c r="D45" s="125" t="s">
        <v>72</v>
      </c>
      <c r="E45" s="126" t="s">
        <v>355</v>
      </c>
      <c r="F45" s="406" t="s">
        <v>648</v>
      </c>
      <c r="G45" s="407"/>
      <c r="H45" s="109"/>
      <c r="I45" s="271"/>
      <c r="J45" s="268">
        <v>14</v>
      </c>
      <c r="K45" s="331"/>
      <c r="L45" s="285"/>
      <c r="M45" s="282"/>
      <c r="N45" s="283"/>
      <c r="O45" s="284">
        <v>8</v>
      </c>
      <c r="P45" s="285"/>
      <c r="Q45" s="282">
        <v>6</v>
      </c>
      <c r="R45" s="283"/>
      <c r="S45" s="284"/>
      <c r="T45" s="285"/>
      <c r="U45" s="282"/>
      <c r="V45" s="286"/>
      <c r="W45" s="280">
        <f t="shared" si="5"/>
        <v>14</v>
      </c>
      <c r="X45" s="281"/>
      <c r="Y45" s="400"/>
    </row>
    <row r="46" spans="2:28" ht="16.5" customHeight="1">
      <c r="B46" s="476"/>
      <c r="C46" s="326"/>
      <c r="D46" s="125" t="s">
        <v>72</v>
      </c>
      <c r="E46" s="126" t="s">
        <v>355</v>
      </c>
      <c r="F46" s="406" t="s">
        <v>655</v>
      </c>
      <c r="G46" s="407"/>
      <c r="H46" s="109"/>
      <c r="I46" s="271"/>
      <c r="J46" s="268">
        <v>3</v>
      </c>
      <c r="K46" s="331"/>
      <c r="L46" s="285"/>
      <c r="M46" s="282"/>
      <c r="N46" s="283"/>
      <c r="O46" s="284"/>
      <c r="P46" s="285"/>
      <c r="Q46" s="282">
        <v>3</v>
      </c>
      <c r="R46" s="283"/>
      <c r="S46" s="284"/>
      <c r="T46" s="285"/>
      <c r="U46" s="282"/>
      <c r="V46" s="286"/>
      <c r="W46" s="280">
        <f t="shared" si="5"/>
        <v>3</v>
      </c>
      <c r="X46" s="281"/>
      <c r="Y46" s="400"/>
    </row>
    <row r="47" spans="2:28" ht="16.5" customHeight="1">
      <c r="B47" s="476"/>
      <c r="C47" s="326"/>
      <c r="D47" s="125" t="s">
        <v>155</v>
      </c>
      <c r="E47" s="126" t="s">
        <v>355</v>
      </c>
      <c r="F47" s="406" t="s">
        <v>649</v>
      </c>
      <c r="G47" s="407"/>
      <c r="H47" s="109"/>
      <c r="I47" s="271"/>
      <c r="J47" s="268">
        <v>12</v>
      </c>
      <c r="K47" s="331"/>
      <c r="L47" s="285"/>
      <c r="M47" s="282"/>
      <c r="N47" s="283"/>
      <c r="O47" s="284"/>
      <c r="P47" s="285"/>
      <c r="Q47" s="282"/>
      <c r="R47" s="283"/>
      <c r="S47" s="284">
        <v>6</v>
      </c>
      <c r="T47" s="285"/>
      <c r="U47" s="282">
        <v>6</v>
      </c>
      <c r="V47" s="286"/>
      <c r="W47" s="280">
        <f t="shared" si="5"/>
        <v>12</v>
      </c>
      <c r="X47" s="281"/>
      <c r="Y47" s="400"/>
    </row>
    <row r="48" spans="2:28" ht="16.5" customHeight="1">
      <c r="B48" s="476"/>
      <c r="C48" s="326"/>
      <c r="D48" s="125" t="s">
        <v>155</v>
      </c>
      <c r="E48" s="126" t="s">
        <v>355</v>
      </c>
      <c r="F48" s="406" t="s">
        <v>773</v>
      </c>
      <c r="G48" s="407"/>
      <c r="H48" s="109"/>
      <c r="I48" s="271"/>
      <c r="J48" s="268">
        <v>8</v>
      </c>
      <c r="K48" s="331"/>
      <c r="L48" s="285"/>
      <c r="M48" s="282"/>
      <c r="N48" s="283"/>
      <c r="O48" s="284"/>
      <c r="P48" s="285"/>
      <c r="Q48" s="282"/>
      <c r="R48" s="283"/>
      <c r="S48" s="284">
        <v>4</v>
      </c>
      <c r="T48" s="285"/>
      <c r="U48" s="282">
        <v>4</v>
      </c>
      <c r="V48" s="286"/>
      <c r="W48" s="280">
        <f t="shared" si="5"/>
        <v>8</v>
      </c>
      <c r="X48" s="281"/>
      <c r="Y48" s="400"/>
    </row>
    <row r="49" spans="2:29" ht="16.5" customHeight="1" thickBot="1">
      <c r="B49" s="476"/>
      <c r="C49" s="326"/>
      <c r="D49" s="137" t="s">
        <v>72</v>
      </c>
      <c r="E49" s="138" t="s">
        <v>355</v>
      </c>
      <c r="F49" s="479" t="s">
        <v>650</v>
      </c>
      <c r="G49" s="480"/>
      <c r="H49" s="265"/>
      <c r="I49" s="271"/>
      <c r="J49" s="268">
        <v>12</v>
      </c>
      <c r="K49" s="331"/>
      <c r="L49" s="285"/>
      <c r="M49" s="282"/>
      <c r="N49" s="287"/>
      <c r="O49" s="284"/>
      <c r="P49" s="285"/>
      <c r="Q49" s="282"/>
      <c r="R49" s="283"/>
      <c r="S49" s="287">
        <v>6</v>
      </c>
      <c r="T49" s="285"/>
      <c r="U49" s="282">
        <v>6</v>
      </c>
      <c r="V49" s="286"/>
      <c r="W49" s="280">
        <f t="shared" si="5"/>
        <v>12</v>
      </c>
      <c r="X49" s="281"/>
      <c r="Y49" s="400"/>
    </row>
    <row r="50" spans="2:29" ht="16.5" customHeight="1">
      <c r="B50" s="436" t="s">
        <v>152</v>
      </c>
      <c r="C50" s="439" t="s">
        <v>356</v>
      </c>
      <c r="D50" s="277" t="s">
        <v>72</v>
      </c>
      <c r="E50" s="136" t="s">
        <v>354</v>
      </c>
      <c r="F50" s="412" t="s">
        <v>646</v>
      </c>
      <c r="G50" s="413"/>
      <c r="H50" s="264"/>
      <c r="I50" s="414"/>
      <c r="J50" s="380">
        <v>20</v>
      </c>
      <c r="K50" s="329"/>
      <c r="L50" s="289"/>
      <c r="M50" s="292"/>
      <c r="N50" s="416"/>
      <c r="O50" s="288"/>
      <c r="P50" s="289"/>
      <c r="Q50" s="292">
        <v>4</v>
      </c>
      <c r="R50" s="293"/>
      <c r="S50" s="322"/>
      <c r="T50" s="323"/>
      <c r="U50" s="320"/>
      <c r="V50" s="324"/>
      <c r="W50" s="386">
        <f>SUM(O50:V51)</f>
        <v>20</v>
      </c>
      <c r="X50" s="387"/>
      <c r="Y50" s="400"/>
    </row>
    <row r="51" spans="2:29" ht="16.5" customHeight="1" thickBot="1">
      <c r="B51" s="437"/>
      <c r="C51" s="440"/>
      <c r="D51" s="125" t="s">
        <v>72</v>
      </c>
      <c r="E51" s="129" t="s">
        <v>355</v>
      </c>
      <c r="F51" s="417" t="s">
        <v>651</v>
      </c>
      <c r="G51" s="418"/>
      <c r="H51" s="104"/>
      <c r="I51" s="415"/>
      <c r="J51" s="381"/>
      <c r="K51" s="382"/>
      <c r="L51" s="306"/>
      <c r="M51" s="299"/>
      <c r="N51" s="419"/>
      <c r="O51" s="305"/>
      <c r="P51" s="306"/>
      <c r="Q51" s="299"/>
      <c r="R51" s="300"/>
      <c r="S51" s="481">
        <v>8</v>
      </c>
      <c r="T51" s="482"/>
      <c r="U51" s="308">
        <v>8</v>
      </c>
      <c r="V51" s="309"/>
      <c r="W51" s="388"/>
      <c r="X51" s="389"/>
      <c r="Y51" s="400"/>
    </row>
    <row r="52" spans="2:29" ht="16.5" customHeight="1">
      <c r="B52" s="437"/>
      <c r="C52" s="439" t="s">
        <v>357</v>
      </c>
      <c r="D52" s="133" t="s">
        <v>654</v>
      </c>
      <c r="E52" s="134" t="s">
        <v>354</v>
      </c>
      <c r="F52" s="412" t="s">
        <v>652</v>
      </c>
      <c r="G52" s="413"/>
      <c r="H52" s="264"/>
      <c r="I52" s="414"/>
      <c r="J52" s="381"/>
      <c r="K52" s="329"/>
      <c r="L52" s="289"/>
      <c r="M52" s="292"/>
      <c r="N52" s="416"/>
      <c r="O52" s="288"/>
      <c r="P52" s="289"/>
      <c r="Q52" s="292">
        <v>4</v>
      </c>
      <c r="R52" s="293"/>
      <c r="S52" s="322"/>
      <c r="T52" s="323"/>
      <c r="U52" s="320"/>
      <c r="V52" s="324"/>
      <c r="W52" s="388"/>
      <c r="X52" s="389"/>
      <c r="Y52" s="400"/>
    </row>
    <row r="53" spans="2:29" ht="16.5" customHeight="1" thickBot="1">
      <c r="B53" s="438"/>
      <c r="C53" s="440"/>
      <c r="D53" s="125" t="s">
        <v>654</v>
      </c>
      <c r="E53" s="126" t="s">
        <v>355</v>
      </c>
      <c r="F53" s="417" t="s">
        <v>653</v>
      </c>
      <c r="G53" s="418"/>
      <c r="H53" s="104"/>
      <c r="I53" s="415"/>
      <c r="J53" s="384"/>
      <c r="K53" s="382"/>
      <c r="L53" s="306"/>
      <c r="M53" s="299"/>
      <c r="N53" s="419"/>
      <c r="O53" s="305"/>
      <c r="P53" s="306"/>
      <c r="Q53" s="299"/>
      <c r="R53" s="300"/>
      <c r="S53" s="481">
        <v>8</v>
      </c>
      <c r="T53" s="482"/>
      <c r="U53" s="308">
        <v>8</v>
      </c>
      <c r="V53" s="309"/>
      <c r="W53" s="278"/>
      <c r="X53" s="279"/>
      <c r="Y53" s="401"/>
    </row>
    <row r="54" spans="2:29" ht="24.75" customHeight="1">
      <c r="B54" s="420" t="s">
        <v>360</v>
      </c>
      <c r="C54" s="421"/>
      <c r="D54" s="421"/>
      <c r="E54" s="421"/>
      <c r="F54" s="421"/>
      <c r="G54" s="409"/>
      <c r="H54" s="424"/>
      <c r="I54" s="426"/>
      <c r="J54" s="428">
        <f>SUM(J36:J53)</f>
        <v>98</v>
      </c>
      <c r="K54" s="420">
        <f>SUM(K36:L53)</f>
        <v>8</v>
      </c>
      <c r="L54" s="430"/>
      <c r="M54" s="408">
        <f>SUM(M36:N53)</f>
        <v>8</v>
      </c>
      <c r="N54" s="421"/>
      <c r="O54" s="432">
        <f>SUM(O36:P53)</f>
        <v>14</v>
      </c>
      <c r="P54" s="430"/>
      <c r="Q54" s="408">
        <f>SUM(Q36:R53)-Q52</f>
        <v>13</v>
      </c>
      <c r="R54" s="434"/>
      <c r="S54" s="421">
        <f>SUM(S36:T53)-S53</f>
        <v>26</v>
      </c>
      <c r="T54" s="430"/>
      <c r="U54" s="408">
        <f>SUM(U36:V53)-U53</f>
        <v>29</v>
      </c>
      <c r="V54" s="409"/>
      <c r="W54" s="420">
        <f>SUM(K54:V55)</f>
        <v>98</v>
      </c>
      <c r="X54" s="409"/>
      <c r="Y54" s="399">
        <f>SUM(Y36:Y53)</f>
        <v>80</v>
      </c>
      <c r="AC54" s="263"/>
    </row>
    <row r="55" spans="2:29" ht="17.25" thickBot="1">
      <c r="B55" s="422"/>
      <c r="C55" s="423"/>
      <c r="D55" s="423"/>
      <c r="E55" s="423"/>
      <c r="F55" s="423"/>
      <c r="G55" s="411"/>
      <c r="H55" s="425"/>
      <c r="I55" s="427"/>
      <c r="J55" s="429"/>
      <c r="K55" s="422"/>
      <c r="L55" s="431"/>
      <c r="M55" s="410"/>
      <c r="N55" s="423"/>
      <c r="O55" s="433"/>
      <c r="P55" s="431"/>
      <c r="Q55" s="410"/>
      <c r="R55" s="435"/>
      <c r="S55" s="423"/>
      <c r="T55" s="431"/>
      <c r="U55" s="410"/>
      <c r="V55" s="411"/>
      <c r="W55" s="422"/>
      <c r="X55" s="411"/>
      <c r="Y55" s="401"/>
      <c r="AC55" s="263"/>
    </row>
    <row r="56" spans="2:29" ht="17.25" customHeight="1" thickBot="1">
      <c r="B56" s="302"/>
      <c r="C56" s="461"/>
      <c r="D56" s="461"/>
      <c r="E56" s="461"/>
      <c r="F56" s="461"/>
      <c r="G56" s="441"/>
      <c r="H56" s="274"/>
      <c r="I56" s="272"/>
      <c r="J56" s="273">
        <f>SUM(J35,J54)</f>
        <v>174</v>
      </c>
      <c r="K56" s="302">
        <f>SUM(K35,K54)</f>
        <v>29</v>
      </c>
      <c r="L56" s="303"/>
      <c r="M56" s="297">
        <f>SUM(M35,M54)</f>
        <v>29</v>
      </c>
      <c r="N56" s="463"/>
      <c r="O56" s="462">
        <f>SUM(O35,O54)</f>
        <v>29</v>
      </c>
      <c r="P56" s="303"/>
      <c r="Q56" s="297">
        <f>SUM(Q35,Q54)</f>
        <v>29</v>
      </c>
      <c r="R56" s="463"/>
      <c r="S56" s="462">
        <f>SUM(S35,S54)</f>
        <v>29</v>
      </c>
      <c r="T56" s="303"/>
      <c r="U56" s="297">
        <f>SUM(U35,U54)</f>
        <v>29</v>
      </c>
      <c r="V56" s="441"/>
      <c r="W56" s="302">
        <f>SUM(K56:V56)</f>
        <v>174</v>
      </c>
      <c r="X56" s="441"/>
      <c r="Y56" s="142">
        <f>Y54+Y35</f>
        <v>144</v>
      </c>
      <c r="AA56" s="319" t="s">
        <v>153</v>
      </c>
      <c r="AB56" s="319"/>
    </row>
    <row r="57" spans="2:29" ht="18.75" customHeight="1" thickBot="1">
      <c r="B57" s="443" t="s">
        <v>361</v>
      </c>
      <c r="C57" s="444"/>
      <c r="D57" s="444"/>
      <c r="E57" s="445"/>
      <c r="F57" s="452" t="s">
        <v>675</v>
      </c>
      <c r="G57" s="453"/>
      <c r="H57" s="453"/>
      <c r="I57" s="453"/>
      <c r="J57" s="454"/>
      <c r="K57" s="329">
        <v>16</v>
      </c>
      <c r="L57" s="289"/>
      <c r="M57" s="292">
        <v>16</v>
      </c>
      <c r="N57" s="293"/>
      <c r="O57" s="288">
        <v>16</v>
      </c>
      <c r="P57" s="289"/>
      <c r="Q57" s="292">
        <v>16</v>
      </c>
      <c r="R57" s="293"/>
      <c r="S57" s="288">
        <v>16</v>
      </c>
      <c r="T57" s="289"/>
      <c r="U57" s="292">
        <v>16</v>
      </c>
      <c r="V57" s="294"/>
      <c r="W57" s="443">
        <f>SUM(K57:V59)</f>
        <v>288</v>
      </c>
      <c r="X57" s="445"/>
      <c r="Y57" s="399">
        <f>Y60*16</f>
        <v>288</v>
      </c>
      <c r="AA57" s="442"/>
      <c r="AB57" s="442"/>
    </row>
    <row r="58" spans="2:29" ht="17.25" customHeight="1" thickBot="1">
      <c r="B58" s="446"/>
      <c r="C58" s="447"/>
      <c r="D58" s="447"/>
      <c r="E58" s="448"/>
      <c r="F58" s="458" t="s">
        <v>63</v>
      </c>
      <c r="G58" s="459"/>
      <c r="H58" s="459"/>
      <c r="I58" s="459"/>
      <c r="J58" s="460"/>
      <c r="K58" s="331">
        <v>16</v>
      </c>
      <c r="L58" s="285"/>
      <c r="M58" s="282">
        <v>16</v>
      </c>
      <c r="N58" s="283"/>
      <c r="O58" s="284">
        <v>16</v>
      </c>
      <c r="P58" s="285"/>
      <c r="Q58" s="282">
        <v>16</v>
      </c>
      <c r="R58" s="283"/>
      <c r="S58" s="284">
        <v>16</v>
      </c>
      <c r="T58" s="285"/>
      <c r="U58" s="282">
        <v>16</v>
      </c>
      <c r="V58" s="286"/>
      <c r="W58" s="446"/>
      <c r="X58" s="448"/>
      <c r="Y58" s="400"/>
      <c r="AA58" s="395" t="b">
        <f>W56&gt;=Y56</f>
        <v>1</v>
      </c>
      <c r="AB58" s="396"/>
    </row>
    <row r="59" spans="2:29" ht="17.25" customHeight="1">
      <c r="B59" s="446"/>
      <c r="C59" s="447"/>
      <c r="D59" s="447"/>
      <c r="E59" s="448"/>
      <c r="F59" s="458" t="s">
        <v>11</v>
      </c>
      <c r="G59" s="459"/>
      <c r="H59" s="459"/>
      <c r="I59" s="459"/>
      <c r="J59" s="460"/>
      <c r="K59" s="331">
        <v>16</v>
      </c>
      <c r="L59" s="285"/>
      <c r="M59" s="282">
        <v>16</v>
      </c>
      <c r="N59" s="283"/>
      <c r="O59" s="284">
        <v>16</v>
      </c>
      <c r="P59" s="285"/>
      <c r="Q59" s="282">
        <v>16</v>
      </c>
      <c r="R59" s="283"/>
      <c r="S59" s="284">
        <v>16</v>
      </c>
      <c r="T59" s="285"/>
      <c r="U59" s="282">
        <v>16</v>
      </c>
      <c r="V59" s="286"/>
      <c r="W59" s="455"/>
      <c r="X59" s="456"/>
      <c r="Y59" s="457"/>
    </row>
    <row r="60" spans="2:29" ht="17.25" customHeight="1" thickBot="1">
      <c r="B60" s="449"/>
      <c r="C60" s="450"/>
      <c r="D60" s="450"/>
      <c r="E60" s="451"/>
      <c r="F60" s="465" t="s">
        <v>148</v>
      </c>
      <c r="G60" s="466"/>
      <c r="H60" s="466"/>
      <c r="I60" s="466"/>
      <c r="J60" s="467"/>
      <c r="K60" s="468">
        <v>3</v>
      </c>
      <c r="L60" s="469"/>
      <c r="M60" s="470">
        <v>3</v>
      </c>
      <c r="N60" s="471"/>
      <c r="O60" s="472">
        <v>3</v>
      </c>
      <c r="P60" s="469"/>
      <c r="Q60" s="470">
        <v>3</v>
      </c>
      <c r="R60" s="471"/>
      <c r="S60" s="472">
        <v>3</v>
      </c>
      <c r="T60" s="469"/>
      <c r="U60" s="470">
        <v>3</v>
      </c>
      <c r="V60" s="473"/>
      <c r="W60" s="465">
        <f>SUM(K60:V60)</f>
        <v>18</v>
      </c>
      <c r="X60" s="467"/>
      <c r="Y60" s="143">
        <v>18</v>
      </c>
      <c r="AA60" s="319" t="s">
        <v>154</v>
      </c>
      <c r="AB60" s="319"/>
    </row>
    <row r="61" spans="2:29" ht="17.25" customHeight="1" thickBot="1">
      <c r="B61" s="302"/>
      <c r="C61" s="461"/>
      <c r="D61" s="461"/>
      <c r="E61" s="461"/>
      <c r="F61" s="461"/>
      <c r="G61" s="461"/>
      <c r="H61" s="461"/>
      <c r="I61" s="461"/>
      <c r="J61" s="441"/>
      <c r="K61" s="302">
        <v>32</v>
      </c>
      <c r="L61" s="303"/>
      <c r="M61" s="297">
        <v>32</v>
      </c>
      <c r="N61" s="463"/>
      <c r="O61" s="462">
        <v>32</v>
      </c>
      <c r="P61" s="303"/>
      <c r="Q61" s="297">
        <v>32</v>
      </c>
      <c r="R61" s="463"/>
      <c r="S61" s="462">
        <v>32</v>
      </c>
      <c r="T61" s="303"/>
      <c r="U61" s="297">
        <v>32</v>
      </c>
      <c r="V61" s="441"/>
      <c r="W61" s="302">
        <f>SUM(K61:V61)</f>
        <v>192</v>
      </c>
      <c r="X61" s="441"/>
      <c r="Y61" s="144">
        <f>W61</f>
        <v>192</v>
      </c>
      <c r="AA61" s="395" t="b">
        <f>W60&gt;=Y60</f>
        <v>1</v>
      </c>
      <c r="AB61" s="396"/>
    </row>
    <row r="62" spans="2:29" ht="17.25" customHeight="1" thickBot="1">
      <c r="B62" s="302"/>
      <c r="C62" s="461"/>
      <c r="D62" s="461"/>
      <c r="E62" s="461"/>
      <c r="F62" s="461"/>
      <c r="G62" s="461"/>
      <c r="H62" s="461"/>
      <c r="I62" s="461"/>
      <c r="J62" s="441"/>
      <c r="K62" s="302">
        <f>SUM(K61:N61)</f>
        <v>64</v>
      </c>
      <c r="L62" s="461"/>
      <c r="M62" s="461"/>
      <c r="N62" s="463"/>
      <c r="O62" s="462">
        <f>SUM(O61:R61)</f>
        <v>64</v>
      </c>
      <c r="P62" s="461"/>
      <c r="Q62" s="461"/>
      <c r="R62" s="463"/>
      <c r="S62" s="462">
        <f>SUM(S61:V61)</f>
        <v>64</v>
      </c>
      <c r="T62" s="461"/>
      <c r="U62" s="461"/>
      <c r="V62" s="441"/>
      <c r="W62" s="302">
        <f>SUM(K62:V62)</f>
        <v>192</v>
      </c>
      <c r="X62" s="441"/>
      <c r="Y62" s="142"/>
      <c r="AA62" s="319" t="s">
        <v>151</v>
      </c>
      <c r="AB62" s="319"/>
    </row>
    <row r="63" spans="2:29" ht="17.25" customHeight="1" thickBot="1">
      <c r="AA63" s="395" t="b">
        <f>W61&gt;=Y61</f>
        <v>1</v>
      </c>
      <c r="AB63" s="396"/>
    </row>
    <row r="64" spans="2:29" ht="17.25" customHeight="1"/>
    <row r="65" s="81" customFormat="1" ht="17.25" customHeight="1"/>
    <row r="66" s="81" customFormat="1" ht="17.25" customHeight="1"/>
    <row r="68" s="81" customFormat="1" ht="24.95" customHeight="1"/>
    <row r="69" s="81" customFormat="1" ht="24.95" customHeight="1"/>
    <row r="70" s="81" customFormat="1" ht="32.25" customHeight="1"/>
    <row r="71" s="81" customFormat="1" ht="24.95" customHeight="1"/>
    <row r="73" s="81" customFormat="1" ht="16.5" customHeight="1"/>
    <row r="74" s="81" customFormat="1" ht="17.25" customHeight="1"/>
    <row r="75" s="81" customFormat="1" ht="16.5" customHeight="1"/>
    <row r="76" s="81" customFormat="1" ht="16.5" customHeight="1"/>
    <row r="77" s="81" customFormat="1" ht="16.5" customHeight="1"/>
    <row r="78" s="81" customFormat="1" ht="16.5" customHeight="1"/>
    <row r="79" s="81" customFormat="1" ht="16.5" customHeight="1"/>
    <row r="80" s="81" customFormat="1" ht="16.5" customHeight="1"/>
    <row r="81" s="81" customFormat="1" ht="16.5" customHeight="1"/>
    <row r="82" s="81" customFormat="1" ht="16.5" customHeight="1"/>
    <row r="83" s="81" customFormat="1" ht="16.5" customHeight="1"/>
    <row r="84" s="81" customFormat="1" ht="16.5" customHeight="1"/>
    <row r="85" s="81" customFormat="1" ht="16.5" customHeight="1"/>
    <row r="86" s="81" customFormat="1" ht="16.5" customHeight="1"/>
    <row r="87" s="81" customFormat="1" ht="16.5" customHeight="1"/>
    <row r="88" s="81" customFormat="1" ht="16.5" customHeight="1"/>
    <row r="89" s="81" customFormat="1" ht="16.5" customHeight="1"/>
    <row r="90" s="81" customFormat="1" ht="16.5" customHeight="1"/>
    <row r="91" s="81" customFormat="1" ht="16.5" customHeight="1"/>
    <row r="92" s="81" customFormat="1" ht="16.5" customHeight="1"/>
    <row r="93" s="81" customFormat="1" ht="16.5" customHeight="1"/>
    <row r="94" s="81" customFormat="1" ht="16.5" customHeight="1"/>
    <row r="95" s="81" customFormat="1" ht="244.5" customHeight="1"/>
  </sheetData>
  <mergeCells count="478">
    <mergeCell ref="C52:C53"/>
    <mergeCell ref="J50:J53"/>
    <mergeCell ref="S51:T51"/>
    <mergeCell ref="U51:V51"/>
    <mergeCell ref="S53:T53"/>
    <mergeCell ref="U53:V53"/>
    <mergeCell ref="W50:X53"/>
    <mergeCell ref="B36:C49"/>
    <mergeCell ref="D37:E37"/>
    <mergeCell ref="F37:G37"/>
    <mergeCell ref="K37:L37"/>
    <mergeCell ref="M37:N37"/>
    <mergeCell ref="O37:P37"/>
    <mergeCell ref="Q37:R37"/>
    <mergeCell ref="S37:T37"/>
    <mergeCell ref="S50:T50"/>
    <mergeCell ref="F44:G44"/>
    <mergeCell ref="F45:G45"/>
    <mergeCell ref="F48:G48"/>
    <mergeCell ref="K44:L44"/>
    <mergeCell ref="K45:L45"/>
    <mergeCell ref="K48:L48"/>
    <mergeCell ref="M44:N44"/>
    <mergeCell ref="D36:E36"/>
    <mergeCell ref="U50:V50"/>
    <mergeCell ref="F50:G50"/>
    <mergeCell ref="I50:I51"/>
    <mergeCell ref="K50:L50"/>
    <mergeCell ref="M50:N50"/>
    <mergeCell ref="O50:P50"/>
    <mergeCell ref="Q50:R50"/>
    <mergeCell ref="F51:G51"/>
    <mergeCell ref="K51:L51"/>
    <mergeCell ref="M51:N51"/>
    <mergeCell ref="O51:P51"/>
    <mergeCell ref="Q51:R51"/>
    <mergeCell ref="W44:X44"/>
    <mergeCell ref="W45:X45"/>
    <mergeCell ref="W46:X46"/>
    <mergeCell ref="W47:X47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S44:T44"/>
    <mergeCell ref="U44:V44"/>
    <mergeCell ref="M45:N45"/>
    <mergeCell ref="O45:P45"/>
    <mergeCell ref="Q45:R45"/>
    <mergeCell ref="S45:T45"/>
    <mergeCell ref="U45:V45"/>
    <mergeCell ref="M48:N48"/>
    <mergeCell ref="O48:P48"/>
    <mergeCell ref="Q48:R48"/>
    <mergeCell ref="S48:T48"/>
    <mergeCell ref="U48:V48"/>
    <mergeCell ref="M46:N46"/>
    <mergeCell ref="O46:P46"/>
    <mergeCell ref="Q46:R46"/>
    <mergeCell ref="S46:T46"/>
    <mergeCell ref="U46:V46"/>
    <mergeCell ref="M47:N47"/>
    <mergeCell ref="O47:P47"/>
    <mergeCell ref="Q47:R47"/>
    <mergeCell ref="S47:T47"/>
    <mergeCell ref="U47:V47"/>
    <mergeCell ref="O44:P44"/>
    <mergeCell ref="Q44:R44"/>
    <mergeCell ref="F46:G46"/>
    <mergeCell ref="F47:G47"/>
    <mergeCell ref="K46:L46"/>
    <mergeCell ref="K47:L47"/>
    <mergeCell ref="F11:G11"/>
    <mergeCell ref="K11:L11"/>
    <mergeCell ref="M11:N11"/>
    <mergeCell ref="O11:P11"/>
    <mergeCell ref="Q11:R11"/>
    <mergeCell ref="B35:G35"/>
    <mergeCell ref="K35:L35"/>
    <mergeCell ref="D30:D31"/>
    <mergeCell ref="F30:G30"/>
    <mergeCell ref="K30:L30"/>
    <mergeCell ref="F24:G24"/>
    <mergeCell ref="K24:L24"/>
    <mergeCell ref="D25:D29"/>
    <mergeCell ref="F25:G25"/>
    <mergeCell ref="K25:L25"/>
    <mergeCell ref="B9:C34"/>
    <mergeCell ref="K26:L26"/>
    <mergeCell ref="F27:G27"/>
    <mergeCell ref="AA8:AD8"/>
    <mergeCell ref="B62:J62"/>
    <mergeCell ref="K62:N62"/>
    <mergeCell ref="O62:R62"/>
    <mergeCell ref="S62:V62"/>
    <mergeCell ref="W62:X62"/>
    <mergeCell ref="AA62:AB62"/>
    <mergeCell ref="F60:J60"/>
    <mergeCell ref="K60:L60"/>
    <mergeCell ref="M60:N60"/>
    <mergeCell ref="O60:P60"/>
    <mergeCell ref="Q60:R60"/>
    <mergeCell ref="S60:T60"/>
    <mergeCell ref="U60:V60"/>
    <mergeCell ref="W60:X60"/>
    <mergeCell ref="AA60:AB60"/>
    <mergeCell ref="S58:T58"/>
    <mergeCell ref="U58:V58"/>
    <mergeCell ref="AA58:AB58"/>
    <mergeCell ref="F59:J59"/>
    <mergeCell ref="K59:L59"/>
    <mergeCell ref="M59:N59"/>
    <mergeCell ref="K56:L56"/>
    <mergeCell ref="M56:N56"/>
    <mergeCell ref="O56:P56"/>
    <mergeCell ref="Q56:R56"/>
    <mergeCell ref="S56:T56"/>
    <mergeCell ref="U56:V56"/>
    <mergeCell ref="AA63:AB63"/>
    <mergeCell ref="B61:J61"/>
    <mergeCell ref="K61:L61"/>
    <mergeCell ref="M61:N61"/>
    <mergeCell ref="O61:P61"/>
    <mergeCell ref="Q61:R61"/>
    <mergeCell ref="S61:T61"/>
    <mergeCell ref="U61:V61"/>
    <mergeCell ref="W61:X61"/>
    <mergeCell ref="AA61:AB61"/>
    <mergeCell ref="W54:X55"/>
    <mergeCell ref="Y54:Y55"/>
    <mergeCell ref="W56:X56"/>
    <mergeCell ref="AA56:AB57"/>
    <mergeCell ref="B57:E60"/>
    <mergeCell ref="F57:J57"/>
    <mergeCell ref="K57:L57"/>
    <mergeCell ref="M57:N57"/>
    <mergeCell ref="O57:P57"/>
    <mergeCell ref="Q57:R57"/>
    <mergeCell ref="S57:T57"/>
    <mergeCell ref="U57:V57"/>
    <mergeCell ref="W57:X59"/>
    <mergeCell ref="Y57:Y59"/>
    <mergeCell ref="F58:J58"/>
    <mergeCell ref="K58:L58"/>
    <mergeCell ref="M58:N58"/>
    <mergeCell ref="O58:P58"/>
    <mergeCell ref="Q58:R58"/>
    <mergeCell ref="O59:P59"/>
    <mergeCell ref="Q59:R59"/>
    <mergeCell ref="S59:T59"/>
    <mergeCell ref="U59:V59"/>
    <mergeCell ref="B56:G56"/>
    <mergeCell ref="U54:V55"/>
    <mergeCell ref="F52:G52"/>
    <mergeCell ref="I52:I53"/>
    <mergeCell ref="K52:L52"/>
    <mergeCell ref="M52:N52"/>
    <mergeCell ref="O52:P52"/>
    <mergeCell ref="Q52:R52"/>
    <mergeCell ref="F53:G53"/>
    <mergeCell ref="K53:L53"/>
    <mergeCell ref="M53:N53"/>
    <mergeCell ref="O53:P53"/>
    <mergeCell ref="Q53:R53"/>
    <mergeCell ref="B54:G55"/>
    <mergeCell ref="H54:H55"/>
    <mergeCell ref="I54:I55"/>
    <mergeCell ref="J54:J55"/>
    <mergeCell ref="K54:L55"/>
    <mergeCell ref="M54:N55"/>
    <mergeCell ref="O54:P55"/>
    <mergeCell ref="Q54:R55"/>
    <mergeCell ref="S54:T55"/>
    <mergeCell ref="B50:B53"/>
    <mergeCell ref="U52:V52"/>
    <mergeCell ref="C50:C51"/>
    <mergeCell ref="X25:X29"/>
    <mergeCell ref="AA35:AB35"/>
    <mergeCell ref="F36:G36"/>
    <mergeCell ref="K36:L36"/>
    <mergeCell ref="Y36:Y53"/>
    <mergeCell ref="F38:G38"/>
    <mergeCell ref="K38:L38"/>
    <mergeCell ref="F39:G39"/>
    <mergeCell ref="K39:L39"/>
    <mergeCell ref="F40:G40"/>
    <mergeCell ref="K40:L40"/>
    <mergeCell ref="F41:G41"/>
    <mergeCell ref="K41:L41"/>
    <mergeCell ref="F42:G42"/>
    <mergeCell ref="K42:L42"/>
    <mergeCell ref="F43:G43"/>
    <mergeCell ref="K43:L43"/>
    <mergeCell ref="S52:T52"/>
    <mergeCell ref="S43:T43"/>
    <mergeCell ref="M43:N43"/>
    <mergeCell ref="O43:P43"/>
    <mergeCell ref="U42:V42"/>
    <mergeCell ref="M39:N39"/>
    <mergeCell ref="M40:N40"/>
    <mergeCell ref="W30:X31"/>
    <mergeCell ref="Y30:Y31"/>
    <mergeCell ref="F31:G31"/>
    <mergeCell ref="K31:L31"/>
    <mergeCell ref="D32:D34"/>
    <mergeCell ref="F32:G32"/>
    <mergeCell ref="K32:L32"/>
    <mergeCell ref="W32:X34"/>
    <mergeCell ref="Y32:Y34"/>
    <mergeCell ref="F33:G33"/>
    <mergeCell ref="K33:L33"/>
    <mergeCell ref="F34:G34"/>
    <mergeCell ref="K34:L34"/>
    <mergeCell ref="O31:P31"/>
    <mergeCell ref="Q31:R31"/>
    <mergeCell ref="S31:T31"/>
    <mergeCell ref="U31:V31"/>
    <mergeCell ref="M30:N30"/>
    <mergeCell ref="O30:P30"/>
    <mergeCell ref="Q30:R30"/>
    <mergeCell ref="S30:T30"/>
    <mergeCell ref="K27:L27"/>
    <mergeCell ref="F28:G28"/>
    <mergeCell ref="K28:L28"/>
    <mergeCell ref="F29:G29"/>
    <mergeCell ref="K29:L29"/>
    <mergeCell ref="O27:P27"/>
    <mergeCell ref="U28:V28"/>
    <mergeCell ref="M27:N27"/>
    <mergeCell ref="U11:V11"/>
    <mergeCell ref="K12:L12"/>
    <mergeCell ref="S10:T10"/>
    <mergeCell ref="X15:X18"/>
    <mergeCell ref="F16:G16"/>
    <mergeCell ref="K16:L16"/>
    <mergeCell ref="F18:G18"/>
    <mergeCell ref="K18:L18"/>
    <mergeCell ref="D19:D22"/>
    <mergeCell ref="F19:G19"/>
    <mergeCell ref="K19:L19"/>
    <mergeCell ref="X19:X20"/>
    <mergeCell ref="F20:G20"/>
    <mergeCell ref="K20:L20"/>
    <mergeCell ref="F21:G21"/>
    <mergeCell ref="K21:L21"/>
    <mergeCell ref="X21:X22"/>
    <mergeCell ref="F22:G22"/>
    <mergeCell ref="K22:L22"/>
    <mergeCell ref="U20:V20"/>
    <mergeCell ref="M20:N20"/>
    <mergeCell ref="O20:P20"/>
    <mergeCell ref="S20:T20"/>
    <mergeCell ref="F17:G17"/>
    <mergeCell ref="K17:L17"/>
    <mergeCell ref="F12:G12"/>
    <mergeCell ref="O8:P8"/>
    <mergeCell ref="Q8:R8"/>
    <mergeCell ref="X13:X14"/>
    <mergeCell ref="F14:G14"/>
    <mergeCell ref="K14:L14"/>
    <mergeCell ref="X9:X12"/>
    <mergeCell ref="O9:P9"/>
    <mergeCell ref="Q9:R9"/>
    <mergeCell ref="S9:T9"/>
    <mergeCell ref="U9:V9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F9:G9"/>
    <mergeCell ref="K9:L9"/>
    <mergeCell ref="F10:G10"/>
    <mergeCell ref="K10:L10"/>
    <mergeCell ref="S11:T11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S8:T8"/>
    <mergeCell ref="U8:V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D23:D24"/>
    <mergeCell ref="F23:G23"/>
    <mergeCell ref="K23:L23"/>
    <mergeCell ref="M31:N31"/>
    <mergeCell ref="M25:N25"/>
    <mergeCell ref="O25:P25"/>
    <mergeCell ref="Q25:R25"/>
    <mergeCell ref="S25:T25"/>
    <mergeCell ref="U25:V25"/>
    <mergeCell ref="M26:N26"/>
    <mergeCell ref="O26:P26"/>
    <mergeCell ref="Q26:R26"/>
    <mergeCell ref="S26:T26"/>
    <mergeCell ref="U26:V26"/>
    <mergeCell ref="M29:N29"/>
    <mergeCell ref="O29:P29"/>
    <mergeCell ref="Q29:R29"/>
    <mergeCell ref="S29:T29"/>
    <mergeCell ref="U29:V29"/>
    <mergeCell ref="M28:N28"/>
    <mergeCell ref="O28:P28"/>
    <mergeCell ref="Q28:R28"/>
    <mergeCell ref="S28:T28"/>
    <mergeCell ref="F26:G26"/>
    <mergeCell ref="D13:D14"/>
    <mergeCell ref="F13:G13"/>
    <mergeCell ref="K13:L13"/>
    <mergeCell ref="D15:D18"/>
    <mergeCell ref="F15:G15"/>
    <mergeCell ref="K15:L15"/>
    <mergeCell ref="Q17:R17"/>
    <mergeCell ref="D9:D12"/>
    <mergeCell ref="Q10:R10"/>
    <mergeCell ref="M17:N17"/>
    <mergeCell ref="O17:P17"/>
    <mergeCell ref="Y21:Y24"/>
    <mergeCell ref="M22:N22"/>
    <mergeCell ref="O22:P22"/>
    <mergeCell ref="Q22:R22"/>
    <mergeCell ref="S22:T22"/>
    <mergeCell ref="U22:V22"/>
    <mergeCell ref="M21:N21"/>
    <mergeCell ref="O21:P21"/>
    <mergeCell ref="Q21:R21"/>
    <mergeCell ref="S21:T21"/>
    <mergeCell ref="U21:V21"/>
    <mergeCell ref="S23:T23"/>
    <mergeCell ref="U23:V23"/>
    <mergeCell ref="S24:T24"/>
    <mergeCell ref="U24:V24"/>
    <mergeCell ref="X23:X24"/>
    <mergeCell ref="O24:P24"/>
    <mergeCell ref="Q24:R24"/>
    <mergeCell ref="M23:N23"/>
    <mergeCell ref="O23:P23"/>
    <mergeCell ref="Q23:R23"/>
    <mergeCell ref="M24:N24"/>
    <mergeCell ref="Y19:Y20"/>
    <mergeCell ref="AA20:AB20"/>
    <mergeCell ref="M19:N19"/>
    <mergeCell ref="O19:P19"/>
    <mergeCell ref="Q19:R19"/>
    <mergeCell ref="S19:T19"/>
    <mergeCell ref="U19:V19"/>
    <mergeCell ref="M18:N18"/>
    <mergeCell ref="O18:P18"/>
    <mergeCell ref="Q18:R18"/>
    <mergeCell ref="S18:T18"/>
    <mergeCell ref="U18:V18"/>
    <mergeCell ref="Y9:Y18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X2:Y2"/>
    <mergeCell ref="B2:U2"/>
    <mergeCell ref="V2:W2"/>
    <mergeCell ref="AA2:AA5"/>
    <mergeCell ref="U43:V43"/>
    <mergeCell ref="W43:X43"/>
    <mergeCell ref="W42:X42"/>
    <mergeCell ref="M41:N41"/>
    <mergeCell ref="O41:P41"/>
    <mergeCell ref="M42:N42"/>
    <mergeCell ref="O42:P42"/>
    <mergeCell ref="Q41:R41"/>
    <mergeCell ref="S41:T41"/>
    <mergeCell ref="Q32:R32"/>
    <mergeCell ref="Q33:R33"/>
    <mergeCell ref="S32:T32"/>
    <mergeCell ref="S33:T33"/>
    <mergeCell ref="U32:V32"/>
    <mergeCell ref="U33:V33"/>
    <mergeCell ref="U14:V14"/>
    <mergeCell ref="M10:N10"/>
    <mergeCell ref="O10:P10"/>
    <mergeCell ref="U10:V10"/>
    <mergeCell ref="U30:V30"/>
    <mergeCell ref="O40:P40"/>
    <mergeCell ref="S39:T39"/>
    <mergeCell ref="U39:V39"/>
    <mergeCell ref="M12:N12"/>
    <mergeCell ref="O12:P12"/>
    <mergeCell ref="Q12:R12"/>
    <mergeCell ref="S12:T12"/>
    <mergeCell ref="U12:V12"/>
    <mergeCell ref="O38:P38"/>
    <mergeCell ref="Q34:R34"/>
    <mergeCell ref="S34:T34"/>
    <mergeCell ref="Q27:R27"/>
    <mergeCell ref="S27:T27"/>
    <mergeCell ref="U27:V27"/>
    <mergeCell ref="U37:V37"/>
    <mergeCell ref="Q20:R20"/>
    <mergeCell ref="O39:P39"/>
    <mergeCell ref="S17:T17"/>
    <mergeCell ref="U17:V17"/>
    <mergeCell ref="Q43:R43"/>
    <mergeCell ref="M38:N38"/>
    <mergeCell ref="U38:V38"/>
    <mergeCell ref="U41:V41"/>
    <mergeCell ref="Y25:Y29"/>
    <mergeCell ref="M32:N32"/>
    <mergeCell ref="M33:N33"/>
    <mergeCell ref="O34:P34"/>
    <mergeCell ref="M35:N35"/>
    <mergeCell ref="O35:P35"/>
    <mergeCell ref="O33:P33"/>
    <mergeCell ref="M34:N34"/>
    <mergeCell ref="M36:N36"/>
    <mergeCell ref="O36:P36"/>
    <mergeCell ref="Q36:R36"/>
    <mergeCell ref="S36:T36"/>
    <mergeCell ref="U36:V36"/>
    <mergeCell ref="W36:X36"/>
    <mergeCell ref="O32:P32"/>
    <mergeCell ref="U34:V34"/>
    <mergeCell ref="U35:V35"/>
    <mergeCell ref="W35:X35"/>
    <mergeCell ref="Q35:R35"/>
    <mergeCell ref="S35:T35"/>
    <mergeCell ref="W37:X37"/>
    <mergeCell ref="W41:X41"/>
    <mergeCell ref="W39:X39"/>
    <mergeCell ref="Q39:R39"/>
    <mergeCell ref="Q40:R40"/>
    <mergeCell ref="S40:T40"/>
    <mergeCell ref="U40:V40"/>
    <mergeCell ref="Q42:R42"/>
    <mergeCell ref="S42:T42"/>
    <mergeCell ref="S38:T38"/>
    <mergeCell ref="W40:X40"/>
    <mergeCell ref="W38:X38"/>
    <mergeCell ref="Q38:R38"/>
  </mergeCells>
  <phoneticPr fontId="9" type="noConversion"/>
  <conditionalFormatting sqref="AA35:AB35 AC55 AA58:AB58 AA61:AB61 AA63:AB63">
    <cfRule type="containsText" dxfId="2" priority="1" operator="containsText" text="FALSE">
      <formula>NOT(ISERROR(SEARCH("FALSE",AA35)))</formula>
    </cfRule>
  </conditionalFormatting>
  <printOptions horizontalCentered="1" verticalCentered="1"/>
  <pageMargins left="0.25" right="0.25" top="0.75" bottom="0.75" header="0.3" footer="0.3"/>
  <pageSetup paperSize="12" scale="54" orientation="landscape" cellComments="asDisplayed" r:id="rId1"/>
  <rowBreaks count="1" manualBreakCount="1">
    <brk id="54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ABE2-43B8-49CB-BCCE-D585E1CFB78A}">
  <sheetPr>
    <pageSetUpPr fitToPage="1"/>
  </sheetPr>
  <dimension ref="B1:AD94"/>
  <sheetViews>
    <sheetView zoomScale="90" zoomScaleNormal="90" workbookViewId="0">
      <selection activeCell="B2" sqref="B2:U2"/>
    </sheetView>
  </sheetViews>
  <sheetFormatPr defaultColWidth="8.75" defaultRowHeight="16.5"/>
  <cols>
    <col min="1" max="1" width="2" style="81" customWidth="1"/>
    <col min="2" max="2" width="6.625" style="81" customWidth="1"/>
    <col min="3" max="3" width="9.375" style="81" customWidth="1"/>
    <col min="4" max="4" width="8.75" style="81"/>
    <col min="5" max="5" width="8.5" style="81" customWidth="1"/>
    <col min="6" max="6" width="16.5" style="81" customWidth="1"/>
    <col min="7" max="7" width="6.25" style="81" customWidth="1"/>
    <col min="8" max="8" width="5.625" style="81" customWidth="1"/>
    <col min="9" max="9" width="7.875" style="81" bestFit="1" customWidth="1"/>
    <col min="10" max="10" width="5.625" style="81" customWidth="1"/>
    <col min="11" max="22" width="3.875" style="81" customWidth="1"/>
    <col min="23" max="24" width="3.375" style="81" customWidth="1"/>
    <col min="25" max="25" width="6.375" style="81" customWidth="1"/>
    <col min="26" max="26" width="8.75" style="81"/>
    <col min="27" max="27" width="16.375" style="81" customWidth="1"/>
    <col min="28" max="29" width="12.875" style="81" customWidth="1"/>
    <col min="30" max="30" width="13.875" style="81" customWidth="1"/>
    <col min="31" max="16384" width="8.75" style="81"/>
  </cols>
  <sheetData>
    <row r="1" spans="2:30" ht="17.25" thickBot="1"/>
    <row r="2" spans="2:30" ht="30.75" customHeight="1" thickBot="1">
      <c r="B2" s="312" t="s">
        <v>640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3"/>
      <c r="V2" s="314" t="s">
        <v>130</v>
      </c>
      <c r="W2" s="315"/>
      <c r="X2" s="310">
        <v>2027</v>
      </c>
      <c r="Y2" s="311"/>
      <c r="AA2" s="316" t="s">
        <v>143</v>
      </c>
      <c r="AB2" s="10" t="s">
        <v>144</v>
      </c>
      <c r="AC2" s="15" t="s">
        <v>150</v>
      </c>
      <c r="AD2" s="11" t="s">
        <v>145</v>
      </c>
    </row>
    <row r="3" spans="2:30" ht="20.100000000000001" customHeight="1" thickBot="1">
      <c r="B3" s="368" t="s">
        <v>358</v>
      </c>
      <c r="C3" s="370" t="s">
        <v>53</v>
      </c>
      <c r="D3" s="371"/>
      <c r="E3" s="371"/>
      <c r="F3" s="370" t="s">
        <v>64</v>
      </c>
      <c r="G3" s="374"/>
      <c r="H3" s="370" t="s">
        <v>54</v>
      </c>
      <c r="I3" s="371"/>
      <c r="J3" s="371"/>
      <c r="K3" s="370" t="s">
        <v>55</v>
      </c>
      <c r="L3" s="371"/>
      <c r="M3" s="371"/>
      <c r="N3" s="371"/>
      <c r="O3" s="374"/>
      <c r="P3" s="376" t="s">
        <v>56</v>
      </c>
      <c r="Q3" s="377"/>
      <c r="R3" s="377"/>
      <c r="S3" s="377"/>
      <c r="T3" s="377"/>
      <c r="U3" s="377"/>
      <c r="V3" s="377"/>
      <c r="W3" s="377"/>
      <c r="X3" s="377"/>
      <c r="Y3" s="378"/>
      <c r="AA3" s="317"/>
      <c r="AB3" s="12" t="s">
        <v>146</v>
      </c>
      <c r="AC3" s="16" t="s">
        <v>511</v>
      </c>
      <c r="AD3" s="82" t="s">
        <v>512</v>
      </c>
    </row>
    <row r="4" spans="2:30" ht="20.100000000000001" customHeight="1" thickBot="1">
      <c r="B4" s="369"/>
      <c r="C4" s="372"/>
      <c r="D4" s="373"/>
      <c r="E4" s="373"/>
      <c r="F4" s="372"/>
      <c r="G4" s="375"/>
      <c r="H4" s="372"/>
      <c r="I4" s="373"/>
      <c r="J4" s="373"/>
      <c r="K4" s="372"/>
      <c r="L4" s="373"/>
      <c r="M4" s="373"/>
      <c r="N4" s="373"/>
      <c r="O4" s="375"/>
      <c r="P4" s="376" t="s">
        <v>127</v>
      </c>
      <c r="Q4" s="377"/>
      <c r="R4" s="377"/>
      <c r="S4" s="377"/>
      <c r="T4" s="376" t="s">
        <v>61</v>
      </c>
      <c r="U4" s="377"/>
      <c r="V4" s="378"/>
      <c r="W4" s="377" t="s">
        <v>128</v>
      </c>
      <c r="X4" s="377"/>
      <c r="Y4" s="378"/>
      <c r="AA4" s="317"/>
      <c r="AB4" s="13" t="s">
        <v>628</v>
      </c>
      <c r="AC4" s="17" t="s">
        <v>627</v>
      </c>
      <c r="AD4" s="82" t="s">
        <v>513</v>
      </c>
    </row>
    <row r="5" spans="2:30" ht="32.1" customHeight="1" thickBot="1">
      <c r="B5" s="18" t="s">
        <v>510</v>
      </c>
      <c r="C5" s="332" t="s">
        <v>514</v>
      </c>
      <c r="D5" s="333"/>
      <c r="E5" s="334"/>
      <c r="F5" s="332" t="s">
        <v>522</v>
      </c>
      <c r="G5" s="338"/>
      <c r="H5" s="337" t="s">
        <v>526</v>
      </c>
      <c r="I5" s="333"/>
      <c r="J5" s="334"/>
      <c r="K5" s="332"/>
      <c r="L5" s="333"/>
      <c r="M5" s="333"/>
      <c r="N5" s="333"/>
      <c r="O5" s="338"/>
      <c r="P5" s="337" t="s">
        <v>527</v>
      </c>
      <c r="Q5" s="333"/>
      <c r="R5" s="333"/>
      <c r="S5" s="334"/>
      <c r="T5" s="332" t="s">
        <v>34</v>
      </c>
      <c r="U5" s="333"/>
      <c r="V5" s="334"/>
      <c r="W5" s="335" t="s">
        <v>626</v>
      </c>
      <c r="X5" s="336"/>
      <c r="Y5" s="516"/>
      <c r="AA5" s="318"/>
      <c r="AB5" s="14" t="s">
        <v>147</v>
      </c>
      <c r="AC5" s="79" t="s">
        <v>627</v>
      </c>
      <c r="AD5" s="88" t="s">
        <v>513</v>
      </c>
    </row>
    <row r="6" spans="2:30" ht="15.75" customHeight="1" thickBot="1">
      <c r="U6" s="342"/>
      <c r="V6" s="342"/>
      <c r="W6" s="342"/>
      <c r="X6" s="342"/>
      <c r="Y6" s="342"/>
    </row>
    <row r="7" spans="2:30" s="9" customFormat="1" ht="22.5" customHeight="1">
      <c r="B7" s="343" t="s">
        <v>2</v>
      </c>
      <c r="C7" s="344"/>
      <c r="D7" s="347" t="s">
        <v>120</v>
      </c>
      <c r="E7" s="349" t="s">
        <v>57</v>
      </c>
      <c r="F7" s="350"/>
      <c r="G7" s="351"/>
      <c r="H7" s="352" t="s">
        <v>133</v>
      </c>
      <c r="I7" s="358" t="s">
        <v>134</v>
      </c>
      <c r="J7" s="362" t="s">
        <v>135</v>
      </c>
      <c r="K7" s="357" t="s">
        <v>58</v>
      </c>
      <c r="L7" s="358"/>
      <c r="M7" s="358"/>
      <c r="N7" s="359"/>
      <c r="O7" s="360" t="s">
        <v>59</v>
      </c>
      <c r="P7" s="358"/>
      <c r="Q7" s="358"/>
      <c r="R7" s="359"/>
      <c r="S7" s="357" t="s">
        <v>60</v>
      </c>
      <c r="T7" s="358"/>
      <c r="U7" s="358"/>
      <c r="V7" s="361"/>
      <c r="W7" s="352" t="s">
        <v>136</v>
      </c>
      <c r="X7" s="362"/>
      <c r="Y7" s="351" t="s">
        <v>137</v>
      </c>
      <c r="Z7" s="8"/>
    </row>
    <row r="8" spans="2:30" s="9" customFormat="1" ht="22.5" customHeight="1" thickBot="1">
      <c r="B8" s="345"/>
      <c r="C8" s="346"/>
      <c r="D8" s="348"/>
      <c r="E8" s="92" t="s">
        <v>18</v>
      </c>
      <c r="F8" s="365" t="s">
        <v>19</v>
      </c>
      <c r="G8" s="366"/>
      <c r="H8" s="353"/>
      <c r="I8" s="355"/>
      <c r="J8" s="363"/>
      <c r="K8" s="354" t="s">
        <v>0</v>
      </c>
      <c r="L8" s="355"/>
      <c r="M8" s="355" t="s">
        <v>62</v>
      </c>
      <c r="N8" s="367"/>
      <c r="O8" s="379" t="s">
        <v>0</v>
      </c>
      <c r="P8" s="355"/>
      <c r="Q8" s="355" t="s">
        <v>62</v>
      </c>
      <c r="R8" s="367"/>
      <c r="S8" s="354" t="s">
        <v>0</v>
      </c>
      <c r="T8" s="355"/>
      <c r="U8" s="355" t="s">
        <v>62</v>
      </c>
      <c r="V8" s="356"/>
      <c r="W8" s="353"/>
      <c r="X8" s="363"/>
      <c r="Y8" s="364"/>
      <c r="AA8" s="464" t="s">
        <v>497</v>
      </c>
      <c r="AB8" s="464"/>
      <c r="AC8" s="464"/>
      <c r="AD8" s="464"/>
    </row>
    <row r="9" spans="2:30" ht="16.5" customHeight="1" thickBot="1">
      <c r="B9" s="475" t="s">
        <v>336</v>
      </c>
      <c r="C9" s="325"/>
      <c r="D9" s="327" t="s">
        <v>21</v>
      </c>
      <c r="E9" s="93" t="s">
        <v>12</v>
      </c>
      <c r="F9" s="329" t="s">
        <v>200</v>
      </c>
      <c r="G9" s="294"/>
      <c r="H9" s="94">
        <v>4</v>
      </c>
      <c r="I9" s="95" t="s">
        <v>337</v>
      </c>
      <c r="J9" s="96">
        <v>4</v>
      </c>
      <c r="K9" s="329">
        <v>4</v>
      </c>
      <c r="L9" s="289"/>
      <c r="M9" s="292"/>
      <c r="N9" s="293"/>
      <c r="O9" s="288"/>
      <c r="P9" s="289"/>
      <c r="Q9" s="292"/>
      <c r="R9" s="293"/>
      <c r="S9" s="288"/>
      <c r="T9" s="289"/>
      <c r="U9" s="292"/>
      <c r="V9" s="294"/>
      <c r="W9" s="97">
        <f>SUM(K9:V9)</f>
        <v>4</v>
      </c>
      <c r="X9" s="380">
        <f>SUM(W9:W12)</f>
        <v>14</v>
      </c>
      <c r="Y9" s="295">
        <v>24</v>
      </c>
      <c r="AA9" s="83" t="s">
        <v>18</v>
      </c>
      <c r="AB9" s="84" t="s">
        <v>503</v>
      </c>
      <c r="AC9" s="84" t="s">
        <v>504</v>
      </c>
      <c r="AD9" s="85" t="s">
        <v>505</v>
      </c>
    </row>
    <row r="10" spans="2:30" ht="16.5" customHeight="1" thickBot="1">
      <c r="B10" s="476"/>
      <c r="C10" s="326"/>
      <c r="D10" s="328"/>
      <c r="E10" s="98" t="s">
        <v>12</v>
      </c>
      <c r="F10" s="331" t="s">
        <v>201</v>
      </c>
      <c r="G10" s="286"/>
      <c r="H10" s="99">
        <v>4</v>
      </c>
      <c r="I10" s="100" t="s">
        <v>337</v>
      </c>
      <c r="J10" s="101">
        <v>4</v>
      </c>
      <c r="K10" s="331"/>
      <c r="L10" s="285"/>
      <c r="M10" s="282">
        <v>4</v>
      </c>
      <c r="N10" s="283"/>
      <c r="O10" s="284"/>
      <c r="P10" s="285"/>
      <c r="Q10" s="282"/>
      <c r="R10" s="283"/>
      <c r="S10" s="284"/>
      <c r="T10" s="285"/>
      <c r="U10" s="282"/>
      <c r="V10" s="286"/>
      <c r="W10" s="102">
        <f t="shared" ref="W10:W26" si="0">SUM(K10:V10)</f>
        <v>4</v>
      </c>
      <c r="X10" s="381"/>
      <c r="Y10" s="295"/>
      <c r="AA10" s="86" t="s">
        <v>499</v>
      </c>
      <c r="AB10" s="87">
        <v>4</v>
      </c>
      <c r="AC10" s="87">
        <v>-1</v>
      </c>
      <c r="AD10" s="82" t="s">
        <v>337</v>
      </c>
    </row>
    <row r="11" spans="2:30" ht="16.5" customHeight="1" thickBot="1">
      <c r="B11" s="476"/>
      <c r="C11" s="326"/>
      <c r="D11" s="328"/>
      <c r="E11" s="103" t="s">
        <v>535</v>
      </c>
      <c r="F11" s="331" t="s">
        <v>4</v>
      </c>
      <c r="G11" s="286"/>
      <c r="H11" s="99">
        <v>4</v>
      </c>
      <c r="I11" s="100" t="s">
        <v>337</v>
      </c>
      <c r="J11" s="101">
        <v>3</v>
      </c>
      <c r="K11" s="331"/>
      <c r="L11" s="285"/>
      <c r="M11" s="282"/>
      <c r="N11" s="283"/>
      <c r="O11" s="284">
        <v>3</v>
      </c>
      <c r="P11" s="285"/>
      <c r="Q11" s="282"/>
      <c r="R11" s="283"/>
      <c r="S11" s="284"/>
      <c r="T11" s="285"/>
      <c r="U11" s="282"/>
      <c r="V11" s="286"/>
      <c r="W11" s="102">
        <f t="shared" si="0"/>
        <v>3</v>
      </c>
      <c r="X11" s="381"/>
      <c r="Y11" s="295"/>
      <c r="AA11" s="86"/>
      <c r="AB11" s="87"/>
      <c r="AC11" s="87"/>
      <c r="AD11" s="82"/>
    </row>
    <row r="12" spans="2:30" ht="16.5" customHeight="1" thickBot="1">
      <c r="B12" s="476"/>
      <c r="C12" s="326"/>
      <c r="D12" s="330"/>
      <c r="E12" s="103" t="s">
        <v>535</v>
      </c>
      <c r="F12" s="382" t="s">
        <v>203</v>
      </c>
      <c r="G12" s="307"/>
      <c r="H12" s="104">
        <v>4</v>
      </c>
      <c r="I12" s="105" t="s">
        <v>339</v>
      </c>
      <c r="J12" s="106">
        <v>3</v>
      </c>
      <c r="K12" s="382"/>
      <c r="L12" s="306"/>
      <c r="M12" s="299"/>
      <c r="N12" s="300"/>
      <c r="O12" s="305"/>
      <c r="P12" s="306"/>
      <c r="Q12" s="299">
        <v>3</v>
      </c>
      <c r="R12" s="300"/>
      <c r="S12" s="305"/>
      <c r="T12" s="306"/>
      <c r="U12" s="299"/>
      <c r="V12" s="307"/>
      <c r="W12" s="102">
        <f t="shared" si="0"/>
        <v>3</v>
      </c>
      <c r="X12" s="381"/>
      <c r="Y12" s="295"/>
      <c r="AA12" s="86" t="s">
        <v>500</v>
      </c>
      <c r="AB12" s="87">
        <v>3</v>
      </c>
      <c r="AC12" s="87"/>
      <c r="AD12" s="82">
        <v>3</v>
      </c>
    </row>
    <row r="13" spans="2:30" ht="16.5" customHeight="1" thickBot="1">
      <c r="B13" s="476"/>
      <c r="C13" s="326"/>
      <c r="D13" s="327" t="s">
        <v>5</v>
      </c>
      <c r="E13" s="93" t="s">
        <v>12</v>
      </c>
      <c r="F13" s="329" t="s">
        <v>212</v>
      </c>
      <c r="G13" s="294"/>
      <c r="H13" s="94">
        <v>4</v>
      </c>
      <c r="I13" s="95" t="s">
        <v>337</v>
      </c>
      <c r="J13" s="96">
        <v>3</v>
      </c>
      <c r="K13" s="329">
        <v>3</v>
      </c>
      <c r="L13" s="289"/>
      <c r="M13" s="292"/>
      <c r="N13" s="293"/>
      <c r="O13" s="288"/>
      <c r="P13" s="289"/>
      <c r="Q13" s="292"/>
      <c r="R13" s="293"/>
      <c r="S13" s="288"/>
      <c r="T13" s="289"/>
      <c r="U13" s="292"/>
      <c r="V13" s="294"/>
      <c r="W13" s="97">
        <f t="shared" si="0"/>
        <v>3</v>
      </c>
      <c r="X13" s="380">
        <f>SUM(W13:W14)</f>
        <v>6</v>
      </c>
      <c r="Y13" s="295"/>
      <c r="AA13" s="86" t="s">
        <v>501</v>
      </c>
      <c r="AB13" s="87">
        <v>4</v>
      </c>
      <c r="AC13" s="87" t="s">
        <v>509</v>
      </c>
      <c r="AD13" s="82" t="s">
        <v>339</v>
      </c>
    </row>
    <row r="14" spans="2:30" ht="16.5" customHeight="1" thickBot="1">
      <c r="B14" s="476"/>
      <c r="C14" s="326"/>
      <c r="D14" s="328"/>
      <c r="E14" s="98" t="s">
        <v>12</v>
      </c>
      <c r="F14" s="331" t="s">
        <v>214</v>
      </c>
      <c r="G14" s="286"/>
      <c r="H14" s="99">
        <v>4</v>
      </c>
      <c r="I14" s="100" t="s">
        <v>337</v>
      </c>
      <c r="J14" s="101">
        <v>3</v>
      </c>
      <c r="K14" s="331"/>
      <c r="L14" s="285"/>
      <c r="M14" s="282">
        <v>3</v>
      </c>
      <c r="N14" s="283"/>
      <c r="O14" s="284"/>
      <c r="P14" s="285"/>
      <c r="Q14" s="282"/>
      <c r="R14" s="283"/>
      <c r="S14" s="284"/>
      <c r="T14" s="285"/>
      <c r="U14" s="282"/>
      <c r="V14" s="286"/>
      <c r="W14" s="102">
        <f t="shared" si="0"/>
        <v>3</v>
      </c>
      <c r="X14" s="381"/>
      <c r="Y14" s="295"/>
      <c r="AA14" s="89" t="s">
        <v>502</v>
      </c>
      <c r="AB14" s="90">
        <v>3</v>
      </c>
      <c r="AC14" s="90" t="s">
        <v>509</v>
      </c>
      <c r="AD14" s="88" t="s">
        <v>349</v>
      </c>
    </row>
    <row r="15" spans="2:30" ht="16.5" customHeight="1" thickBot="1">
      <c r="B15" s="476"/>
      <c r="C15" s="326"/>
      <c r="D15" s="327" t="s">
        <v>6</v>
      </c>
      <c r="E15" s="93" t="s">
        <v>12</v>
      </c>
      <c r="F15" s="329" t="s">
        <v>219</v>
      </c>
      <c r="G15" s="294"/>
      <c r="H15" s="94">
        <v>4</v>
      </c>
      <c r="I15" s="95" t="s">
        <v>337</v>
      </c>
      <c r="J15" s="96">
        <v>3</v>
      </c>
      <c r="K15" s="329">
        <v>3</v>
      </c>
      <c r="L15" s="289"/>
      <c r="M15" s="292"/>
      <c r="N15" s="293"/>
      <c r="O15" s="288"/>
      <c r="P15" s="289"/>
      <c r="Q15" s="292"/>
      <c r="R15" s="293"/>
      <c r="S15" s="288"/>
      <c r="T15" s="289"/>
      <c r="U15" s="292"/>
      <c r="V15" s="294"/>
      <c r="W15" s="97">
        <f t="shared" si="0"/>
        <v>3</v>
      </c>
      <c r="X15" s="380">
        <f t="shared" ref="X15" si="1">SUM(W15:W20)</f>
        <v>20</v>
      </c>
      <c r="Y15" s="295"/>
    </row>
    <row r="16" spans="2:30" ht="16.5" customHeight="1" thickBot="1">
      <c r="B16" s="476"/>
      <c r="C16" s="326"/>
      <c r="D16" s="328"/>
      <c r="E16" s="98" t="s">
        <v>12</v>
      </c>
      <c r="F16" s="331" t="s">
        <v>225</v>
      </c>
      <c r="G16" s="286"/>
      <c r="H16" s="99">
        <v>4</v>
      </c>
      <c r="I16" s="100" t="s">
        <v>337</v>
      </c>
      <c r="J16" s="101">
        <v>3</v>
      </c>
      <c r="K16" s="331"/>
      <c r="L16" s="285"/>
      <c r="M16" s="282">
        <v>3</v>
      </c>
      <c r="N16" s="283"/>
      <c r="O16" s="284"/>
      <c r="P16" s="285"/>
      <c r="Q16" s="282"/>
      <c r="R16" s="283"/>
      <c r="S16" s="284"/>
      <c r="T16" s="285"/>
      <c r="U16" s="282"/>
      <c r="V16" s="286"/>
      <c r="W16" s="102">
        <f t="shared" si="0"/>
        <v>3</v>
      </c>
      <c r="X16" s="381"/>
      <c r="Y16" s="295"/>
    </row>
    <row r="17" spans="2:29" ht="16.5" customHeight="1" thickBot="1">
      <c r="B17" s="476"/>
      <c r="C17" s="326"/>
      <c r="D17" s="328"/>
      <c r="E17" s="107" t="s">
        <v>535</v>
      </c>
      <c r="F17" s="331" t="s">
        <v>38</v>
      </c>
      <c r="G17" s="286"/>
      <c r="H17" s="99">
        <v>4</v>
      </c>
      <c r="I17" s="100" t="s">
        <v>337</v>
      </c>
      <c r="J17" s="101">
        <v>4</v>
      </c>
      <c r="K17" s="331"/>
      <c r="L17" s="285"/>
      <c r="M17" s="282"/>
      <c r="N17" s="283"/>
      <c r="O17" s="284">
        <v>4</v>
      </c>
      <c r="P17" s="285"/>
      <c r="Q17" s="282"/>
      <c r="R17" s="283"/>
      <c r="S17" s="284"/>
      <c r="T17" s="285"/>
      <c r="U17" s="282"/>
      <c r="V17" s="286"/>
      <c r="W17" s="102">
        <f t="shared" si="0"/>
        <v>4</v>
      </c>
      <c r="X17" s="381"/>
      <c r="Y17" s="295"/>
    </row>
    <row r="18" spans="2:29" ht="16.5" customHeight="1" thickBot="1">
      <c r="B18" s="476"/>
      <c r="C18" s="326"/>
      <c r="D18" s="328"/>
      <c r="E18" s="98" t="s">
        <v>535</v>
      </c>
      <c r="F18" s="331" t="s">
        <v>40</v>
      </c>
      <c r="G18" s="286"/>
      <c r="H18" s="99">
        <v>4</v>
      </c>
      <c r="I18" s="100" t="s">
        <v>339</v>
      </c>
      <c r="J18" s="101">
        <v>4</v>
      </c>
      <c r="K18" s="331"/>
      <c r="L18" s="285"/>
      <c r="M18" s="282"/>
      <c r="N18" s="283"/>
      <c r="O18" s="284"/>
      <c r="P18" s="285"/>
      <c r="Q18" s="282">
        <v>4</v>
      </c>
      <c r="R18" s="283"/>
      <c r="S18" s="284"/>
      <c r="T18" s="285"/>
      <c r="U18" s="282"/>
      <c r="V18" s="286"/>
      <c r="W18" s="102">
        <f t="shared" si="0"/>
        <v>4</v>
      </c>
      <c r="X18" s="381"/>
      <c r="Y18" s="295"/>
    </row>
    <row r="19" spans="2:29" ht="16.5" customHeight="1" thickBot="1">
      <c r="B19" s="476"/>
      <c r="C19" s="326"/>
      <c r="D19" s="328"/>
      <c r="E19" s="108" t="s">
        <v>338</v>
      </c>
      <c r="F19" s="514" t="s">
        <v>617</v>
      </c>
      <c r="G19" s="513"/>
      <c r="H19" s="109">
        <v>4</v>
      </c>
      <c r="I19" s="110" t="s">
        <v>337</v>
      </c>
      <c r="J19" s="111">
        <v>3</v>
      </c>
      <c r="K19" s="514"/>
      <c r="L19" s="511"/>
      <c r="M19" s="512"/>
      <c r="N19" s="515"/>
      <c r="O19" s="510">
        <v>3</v>
      </c>
      <c r="P19" s="511"/>
      <c r="Q19" s="512"/>
      <c r="R19" s="515"/>
      <c r="S19" s="510"/>
      <c r="T19" s="511"/>
      <c r="U19" s="512"/>
      <c r="V19" s="513"/>
      <c r="W19" s="102">
        <f t="shared" si="0"/>
        <v>3</v>
      </c>
      <c r="X19" s="381"/>
      <c r="Y19" s="295"/>
    </row>
    <row r="20" spans="2:29" ht="16.5" customHeight="1" thickBot="1">
      <c r="B20" s="476"/>
      <c r="C20" s="326"/>
      <c r="D20" s="330"/>
      <c r="E20" s="112" t="s">
        <v>346</v>
      </c>
      <c r="F20" s="382" t="s">
        <v>230</v>
      </c>
      <c r="G20" s="307"/>
      <c r="H20" s="104">
        <v>4</v>
      </c>
      <c r="I20" s="105" t="s">
        <v>339</v>
      </c>
      <c r="J20" s="106">
        <v>3</v>
      </c>
      <c r="K20" s="382"/>
      <c r="L20" s="306"/>
      <c r="M20" s="299"/>
      <c r="N20" s="300"/>
      <c r="O20" s="305"/>
      <c r="P20" s="306"/>
      <c r="Q20" s="299">
        <v>3</v>
      </c>
      <c r="R20" s="300"/>
      <c r="S20" s="305"/>
      <c r="T20" s="306"/>
      <c r="U20" s="299"/>
      <c r="V20" s="307"/>
      <c r="W20" s="102">
        <f t="shared" si="0"/>
        <v>3</v>
      </c>
      <c r="X20" s="381"/>
      <c r="Y20" s="295"/>
    </row>
    <row r="21" spans="2:29" ht="16.5" customHeight="1" thickBot="1">
      <c r="B21" s="476"/>
      <c r="C21" s="326"/>
      <c r="D21" s="327" t="s">
        <v>341</v>
      </c>
      <c r="E21" s="93" t="s">
        <v>12</v>
      </c>
      <c r="F21" s="329" t="s">
        <v>233</v>
      </c>
      <c r="G21" s="294"/>
      <c r="H21" s="94">
        <v>3</v>
      </c>
      <c r="I21" s="113" t="s">
        <v>342</v>
      </c>
      <c r="J21" s="96">
        <v>3</v>
      </c>
      <c r="K21" s="383">
        <v>3</v>
      </c>
      <c r="L21" s="323"/>
      <c r="M21" s="320"/>
      <c r="N21" s="321"/>
      <c r="O21" s="322"/>
      <c r="P21" s="323"/>
      <c r="Q21" s="320"/>
      <c r="R21" s="321"/>
      <c r="S21" s="322"/>
      <c r="T21" s="323"/>
      <c r="U21" s="320"/>
      <c r="V21" s="324"/>
      <c r="W21" s="97">
        <f t="shared" si="0"/>
        <v>3</v>
      </c>
      <c r="X21" s="380">
        <f>SUM(W21:W22)</f>
        <v>6</v>
      </c>
      <c r="Y21" s="295">
        <v>6</v>
      </c>
    </row>
    <row r="22" spans="2:29" ht="16.5" customHeight="1" thickBot="1">
      <c r="B22" s="476"/>
      <c r="C22" s="326"/>
      <c r="D22" s="328"/>
      <c r="E22" s="114" t="s">
        <v>12</v>
      </c>
      <c r="F22" s="385" t="s">
        <v>234</v>
      </c>
      <c r="G22" s="309"/>
      <c r="H22" s="115">
        <v>3</v>
      </c>
      <c r="I22" s="116" t="s">
        <v>342</v>
      </c>
      <c r="J22" s="117">
        <v>3</v>
      </c>
      <c r="K22" s="382"/>
      <c r="L22" s="306"/>
      <c r="M22" s="299">
        <v>3</v>
      </c>
      <c r="N22" s="300"/>
      <c r="O22" s="305"/>
      <c r="P22" s="306"/>
      <c r="Q22" s="299"/>
      <c r="R22" s="300"/>
      <c r="S22" s="305"/>
      <c r="T22" s="306"/>
      <c r="U22" s="299"/>
      <c r="V22" s="307"/>
      <c r="W22" s="118">
        <f t="shared" si="0"/>
        <v>3</v>
      </c>
      <c r="X22" s="384"/>
      <c r="Y22" s="295"/>
      <c r="AA22" s="319"/>
      <c r="AB22" s="319"/>
      <c r="AC22" s="91"/>
    </row>
    <row r="23" spans="2:29" ht="16.5" customHeight="1" thickBot="1">
      <c r="B23" s="476"/>
      <c r="C23" s="326"/>
      <c r="D23" s="328"/>
      <c r="E23" s="93" t="s">
        <v>12</v>
      </c>
      <c r="F23" s="329" t="s">
        <v>236</v>
      </c>
      <c r="G23" s="294"/>
      <c r="H23" s="94">
        <v>4</v>
      </c>
      <c r="I23" s="113" t="s">
        <v>337</v>
      </c>
      <c r="J23" s="96">
        <v>3</v>
      </c>
      <c r="K23" s="329"/>
      <c r="L23" s="289"/>
      <c r="M23" s="292"/>
      <c r="N23" s="293"/>
      <c r="O23" s="288">
        <v>3</v>
      </c>
      <c r="P23" s="289"/>
      <c r="Q23" s="292"/>
      <c r="R23" s="293"/>
      <c r="S23" s="288"/>
      <c r="T23" s="289"/>
      <c r="U23" s="292"/>
      <c r="V23" s="294"/>
      <c r="W23" s="97">
        <f t="shared" si="0"/>
        <v>3</v>
      </c>
      <c r="X23" s="380">
        <f>SUM(W23:W24)</f>
        <v>6</v>
      </c>
      <c r="Y23" s="295">
        <v>12</v>
      </c>
    </row>
    <row r="24" spans="2:29" ht="16.5" customHeight="1" thickBot="1">
      <c r="B24" s="476"/>
      <c r="C24" s="326"/>
      <c r="D24" s="330"/>
      <c r="E24" s="112" t="s">
        <v>12</v>
      </c>
      <c r="F24" s="382" t="s">
        <v>237</v>
      </c>
      <c r="G24" s="307"/>
      <c r="H24" s="104">
        <v>4</v>
      </c>
      <c r="I24" s="105" t="s">
        <v>337</v>
      </c>
      <c r="J24" s="106">
        <v>3</v>
      </c>
      <c r="K24" s="382"/>
      <c r="L24" s="306"/>
      <c r="M24" s="299"/>
      <c r="N24" s="300"/>
      <c r="O24" s="305"/>
      <c r="P24" s="306"/>
      <c r="Q24" s="299">
        <v>3</v>
      </c>
      <c r="R24" s="300"/>
      <c r="S24" s="305"/>
      <c r="T24" s="306"/>
      <c r="U24" s="299"/>
      <c r="V24" s="307"/>
      <c r="W24" s="118">
        <f t="shared" si="0"/>
        <v>3</v>
      </c>
      <c r="X24" s="384"/>
      <c r="Y24" s="295"/>
    </row>
    <row r="25" spans="2:29" ht="16.5" customHeight="1" thickBot="1">
      <c r="B25" s="476"/>
      <c r="C25" s="326"/>
      <c r="D25" s="327" t="s">
        <v>26</v>
      </c>
      <c r="E25" s="93" t="s">
        <v>12</v>
      </c>
      <c r="F25" s="329" t="s">
        <v>254</v>
      </c>
      <c r="G25" s="294"/>
      <c r="H25" s="94">
        <v>4</v>
      </c>
      <c r="I25" s="113" t="s">
        <v>337</v>
      </c>
      <c r="J25" s="96">
        <v>4</v>
      </c>
      <c r="K25" s="329"/>
      <c r="L25" s="289"/>
      <c r="M25" s="292"/>
      <c r="N25" s="293"/>
      <c r="O25" s="288">
        <v>4</v>
      </c>
      <c r="P25" s="289"/>
      <c r="Q25" s="292"/>
      <c r="R25" s="293"/>
      <c r="S25" s="288"/>
      <c r="T25" s="289"/>
      <c r="U25" s="292"/>
      <c r="V25" s="294"/>
      <c r="W25" s="97">
        <f t="shared" si="0"/>
        <v>4</v>
      </c>
      <c r="X25" s="325">
        <f>SUM(W25:W26)</f>
        <v>8</v>
      </c>
      <c r="Y25" s="295"/>
    </row>
    <row r="26" spans="2:29" ht="16.5" customHeight="1" thickBot="1">
      <c r="B26" s="476"/>
      <c r="C26" s="326"/>
      <c r="D26" s="328"/>
      <c r="E26" s="98" t="s">
        <v>12</v>
      </c>
      <c r="F26" s="331" t="s">
        <v>255</v>
      </c>
      <c r="G26" s="286"/>
      <c r="H26" s="99">
        <v>4</v>
      </c>
      <c r="I26" s="100" t="s">
        <v>337</v>
      </c>
      <c r="J26" s="101">
        <v>4</v>
      </c>
      <c r="K26" s="331"/>
      <c r="L26" s="285"/>
      <c r="M26" s="282"/>
      <c r="N26" s="283"/>
      <c r="O26" s="284"/>
      <c r="P26" s="285"/>
      <c r="Q26" s="282">
        <v>4</v>
      </c>
      <c r="R26" s="283"/>
      <c r="S26" s="284"/>
      <c r="T26" s="285"/>
      <c r="U26" s="282"/>
      <c r="V26" s="286"/>
      <c r="W26" s="102">
        <f t="shared" si="0"/>
        <v>4</v>
      </c>
      <c r="X26" s="326"/>
      <c r="Y26" s="295"/>
    </row>
    <row r="27" spans="2:29" ht="16.5" customHeight="1" thickBot="1">
      <c r="B27" s="476"/>
      <c r="C27" s="326"/>
      <c r="D27" s="327" t="s">
        <v>8</v>
      </c>
      <c r="E27" s="93" t="s">
        <v>347</v>
      </c>
      <c r="F27" s="329" t="s">
        <v>348</v>
      </c>
      <c r="G27" s="294"/>
      <c r="H27" s="94">
        <v>3</v>
      </c>
      <c r="I27" s="113" t="s">
        <v>349</v>
      </c>
      <c r="J27" s="96">
        <f t="shared" ref="J27:J28" si="2">SUM(K27:V27)</f>
        <v>2</v>
      </c>
      <c r="K27" s="329">
        <v>2</v>
      </c>
      <c r="L27" s="289"/>
      <c r="M27" s="292"/>
      <c r="N27" s="293"/>
      <c r="O27" s="288"/>
      <c r="P27" s="289"/>
      <c r="Q27" s="292"/>
      <c r="R27" s="293"/>
      <c r="S27" s="288"/>
      <c r="T27" s="289"/>
      <c r="U27" s="292"/>
      <c r="V27" s="294"/>
      <c r="W27" s="97">
        <f>SUM(K27:V27)</f>
        <v>2</v>
      </c>
      <c r="X27" s="392">
        <f>SUM(W27:W31)</f>
        <v>8</v>
      </c>
      <c r="Y27" s="295">
        <v>8</v>
      </c>
    </row>
    <row r="28" spans="2:29" ht="16.5" customHeight="1" thickBot="1">
      <c r="B28" s="476"/>
      <c r="C28" s="326"/>
      <c r="D28" s="328"/>
      <c r="E28" s="98" t="s">
        <v>347</v>
      </c>
      <c r="F28" s="331" t="s">
        <v>350</v>
      </c>
      <c r="G28" s="286"/>
      <c r="H28" s="99">
        <v>3</v>
      </c>
      <c r="I28" s="100" t="s">
        <v>349</v>
      </c>
      <c r="J28" s="101">
        <f t="shared" si="2"/>
        <v>2</v>
      </c>
      <c r="K28" s="331"/>
      <c r="L28" s="285"/>
      <c r="M28" s="282">
        <v>2</v>
      </c>
      <c r="N28" s="283"/>
      <c r="O28" s="284"/>
      <c r="P28" s="285"/>
      <c r="Q28" s="282"/>
      <c r="R28" s="283"/>
      <c r="S28" s="284"/>
      <c r="T28" s="285"/>
      <c r="U28" s="282"/>
      <c r="V28" s="286"/>
      <c r="W28" s="102">
        <f t="shared" ref="W28:W31" si="3">SUM(K28:V28)</f>
        <v>2</v>
      </c>
      <c r="X28" s="393"/>
      <c r="Y28" s="295"/>
    </row>
    <row r="29" spans="2:29" ht="16.5" customHeight="1" thickBot="1">
      <c r="B29" s="476"/>
      <c r="C29" s="326"/>
      <c r="D29" s="328"/>
      <c r="E29" s="98" t="s">
        <v>338</v>
      </c>
      <c r="F29" s="331" t="s">
        <v>518</v>
      </c>
      <c r="G29" s="286"/>
      <c r="H29" s="99">
        <v>3</v>
      </c>
      <c r="I29" s="100" t="s">
        <v>349</v>
      </c>
      <c r="J29" s="101">
        <v>1</v>
      </c>
      <c r="K29" s="331"/>
      <c r="L29" s="285"/>
      <c r="M29" s="282"/>
      <c r="N29" s="283"/>
      <c r="O29" s="284">
        <v>1</v>
      </c>
      <c r="P29" s="285"/>
      <c r="Q29" s="282"/>
      <c r="R29" s="283"/>
      <c r="S29" s="284"/>
      <c r="T29" s="285"/>
      <c r="U29" s="282"/>
      <c r="V29" s="286"/>
      <c r="W29" s="102">
        <f t="shared" si="3"/>
        <v>1</v>
      </c>
      <c r="X29" s="393"/>
      <c r="Y29" s="295"/>
    </row>
    <row r="30" spans="2:29" ht="16.5" customHeight="1" thickBot="1">
      <c r="B30" s="476"/>
      <c r="C30" s="326"/>
      <c r="D30" s="328"/>
      <c r="E30" s="98" t="s">
        <v>338</v>
      </c>
      <c r="F30" s="331" t="s">
        <v>519</v>
      </c>
      <c r="G30" s="286"/>
      <c r="H30" s="99">
        <v>3</v>
      </c>
      <c r="I30" s="100" t="s">
        <v>349</v>
      </c>
      <c r="J30" s="101">
        <v>2</v>
      </c>
      <c r="K30" s="331"/>
      <c r="L30" s="285"/>
      <c r="M30" s="282"/>
      <c r="N30" s="283"/>
      <c r="O30" s="284"/>
      <c r="P30" s="285"/>
      <c r="Q30" s="282">
        <v>2</v>
      </c>
      <c r="R30" s="283"/>
      <c r="S30" s="284"/>
      <c r="T30" s="285"/>
      <c r="U30" s="282"/>
      <c r="V30" s="286"/>
      <c r="W30" s="102">
        <f t="shared" si="3"/>
        <v>2</v>
      </c>
      <c r="X30" s="393"/>
      <c r="Y30" s="295"/>
    </row>
    <row r="31" spans="2:29" ht="16.5" customHeight="1" thickBot="1">
      <c r="B31" s="476"/>
      <c r="C31" s="326"/>
      <c r="D31" s="330"/>
      <c r="E31" s="112" t="s">
        <v>338</v>
      </c>
      <c r="F31" s="382" t="s">
        <v>520</v>
      </c>
      <c r="G31" s="307"/>
      <c r="H31" s="104">
        <v>2</v>
      </c>
      <c r="I31" s="105" t="s">
        <v>351</v>
      </c>
      <c r="J31" s="106">
        <v>1</v>
      </c>
      <c r="K31" s="382"/>
      <c r="L31" s="306"/>
      <c r="M31" s="299"/>
      <c r="N31" s="300"/>
      <c r="O31" s="305"/>
      <c r="P31" s="306"/>
      <c r="Q31" s="299"/>
      <c r="R31" s="300"/>
      <c r="S31" s="305">
        <v>1</v>
      </c>
      <c r="T31" s="306"/>
      <c r="U31" s="299"/>
      <c r="V31" s="307"/>
      <c r="W31" s="118">
        <f t="shared" si="3"/>
        <v>1</v>
      </c>
      <c r="X31" s="394"/>
      <c r="Y31" s="295"/>
    </row>
    <row r="32" spans="2:29" ht="16.5" customHeight="1" thickBot="1">
      <c r="B32" s="476"/>
      <c r="C32" s="326"/>
      <c r="D32" s="327" t="s">
        <v>28</v>
      </c>
      <c r="E32" s="93" t="s">
        <v>347</v>
      </c>
      <c r="F32" s="329" t="s">
        <v>9</v>
      </c>
      <c r="G32" s="294"/>
      <c r="H32" s="94">
        <v>3</v>
      </c>
      <c r="I32" s="119" t="s">
        <v>349</v>
      </c>
      <c r="J32" s="96">
        <v>3</v>
      </c>
      <c r="K32" s="329">
        <v>3</v>
      </c>
      <c r="L32" s="289"/>
      <c r="M32" s="292"/>
      <c r="N32" s="293"/>
      <c r="O32" s="288"/>
      <c r="P32" s="289"/>
      <c r="Q32" s="292"/>
      <c r="R32" s="293"/>
      <c r="S32" s="288"/>
      <c r="T32" s="289"/>
      <c r="U32" s="292"/>
      <c r="V32" s="294"/>
      <c r="W32" s="386">
        <f>SUM(K32:V33)</f>
        <v>6</v>
      </c>
      <c r="X32" s="387"/>
      <c r="Y32" s="295">
        <v>6</v>
      </c>
    </row>
    <row r="33" spans="2:28" ht="16.5" customHeight="1" thickBot="1">
      <c r="B33" s="476"/>
      <c r="C33" s="326"/>
      <c r="D33" s="328"/>
      <c r="E33" s="103" t="s">
        <v>338</v>
      </c>
      <c r="F33" s="331" t="s">
        <v>280</v>
      </c>
      <c r="G33" s="286"/>
      <c r="H33" s="99">
        <v>3</v>
      </c>
      <c r="I33" s="100" t="s">
        <v>349</v>
      </c>
      <c r="J33" s="101">
        <v>3</v>
      </c>
      <c r="K33" s="331"/>
      <c r="L33" s="285"/>
      <c r="M33" s="282">
        <v>3</v>
      </c>
      <c r="N33" s="283"/>
      <c r="O33" s="284"/>
      <c r="P33" s="285"/>
      <c r="Q33" s="282"/>
      <c r="R33" s="283"/>
      <c r="S33" s="284"/>
      <c r="T33" s="285"/>
      <c r="U33" s="282"/>
      <c r="V33" s="286"/>
      <c r="W33" s="388"/>
      <c r="X33" s="389"/>
      <c r="Y33" s="295"/>
    </row>
    <row r="34" spans="2:28" ht="16.5" customHeight="1" thickBot="1">
      <c r="B34" s="476"/>
      <c r="C34" s="326"/>
      <c r="D34" s="390" t="s">
        <v>352</v>
      </c>
      <c r="E34" s="93" t="s">
        <v>347</v>
      </c>
      <c r="F34" s="329" t="s">
        <v>10</v>
      </c>
      <c r="G34" s="294"/>
      <c r="H34" s="94">
        <v>3</v>
      </c>
      <c r="I34" s="113" t="s">
        <v>349</v>
      </c>
      <c r="J34" s="96">
        <v>3</v>
      </c>
      <c r="K34" s="329">
        <v>3</v>
      </c>
      <c r="L34" s="289"/>
      <c r="M34" s="292"/>
      <c r="N34" s="293"/>
      <c r="O34" s="288"/>
      <c r="P34" s="289"/>
      <c r="Q34" s="292"/>
      <c r="R34" s="293"/>
      <c r="S34" s="288"/>
      <c r="T34" s="289"/>
      <c r="U34" s="292"/>
      <c r="V34" s="294"/>
      <c r="W34" s="386">
        <f>SUM(K34:V36)</f>
        <v>8</v>
      </c>
      <c r="X34" s="387"/>
      <c r="Y34" s="295">
        <v>8</v>
      </c>
    </row>
    <row r="35" spans="2:28" ht="16.5" customHeight="1" thickBot="1">
      <c r="B35" s="476"/>
      <c r="C35" s="326"/>
      <c r="D35" s="391"/>
      <c r="E35" s="103" t="s">
        <v>338</v>
      </c>
      <c r="F35" s="331" t="s">
        <v>288</v>
      </c>
      <c r="G35" s="286"/>
      <c r="H35" s="99">
        <v>3</v>
      </c>
      <c r="I35" s="100" t="s">
        <v>349</v>
      </c>
      <c r="J35" s="101">
        <v>3</v>
      </c>
      <c r="K35" s="331"/>
      <c r="L35" s="285"/>
      <c r="M35" s="282">
        <v>3</v>
      </c>
      <c r="N35" s="283"/>
      <c r="O35" s="284"/>
      <c r="P35" s="285"/>
      <c r="Q35" s="282"/>
      <c r="R35" s="283"/>
      <c r="S35" s="284"/>
      <c r="T35" s="285"/>
      <c r="U35" s="282"/>
      <c r="V35" s="286"/>
      <c r="W35" s="388"/>
      <c r="X35" s="389"/>
      <c r="Y35" s="295"/>
    </row>
    <row r="36" spans="2:28" ht="16.5" customHeight="1" thickBot="1">
      <c r="B36" s="477"/>
      <c r="C36" s="478"/>
      <c r="D36" s="391"/>
      <c r="E36" s="103" t="s">
        <v>535</v>
      </c>
      <c r="F36" s="382" t="s">
        <v>329</v>
      </c>
      <c r="G36" s="307"/>
      <c r="H36" s="104">
        <v>3</v>
      </c>
      <c r="I36" s="105" t="s">
        <v>349</v>
      </c>
      <c r="J36" s="106">
        <v>2</v>
      </c>
      <c r="K36" s="382"/>
      <c r="L36" s="306"/>
      <c r="M36" s="299"/>
      <c r="N36" s="300"/>
      <c r="O36" s="284"/>
      <c r="P36" s="285"/>
      <c r="Q36" s="282"/>
      <c r="R36" s="283"/>
      <c r="S36" s="284">
        <v>2</v>
      </c>
      <c r="T36" s="285"/>
      <c r="U36" s="282"/>
      <c r="V36" s="286"/>
      <c r="W36" s="388"/>
      <c r="X36" s="389"/>
      <c r="Y36" s="295"/>
    </row>
    <row r="37" spans="2:28" ht="16.5" customHeight="1" thickBot="1">
      <c r="B37" s="302" t="s">
        <v>359</v>
      </c>
      <c r="C37" s="461"/>
      <c r="D37" s="461"/>
      <c r="E37" s="461"/>
      <c r="F37" s="461"/>
      <c r="G37" s="441"/>
      <c r="H37" s="120"/>
      <c r="I37" s="121"/>
      <c r="J37" s="120">
        <f>SUM(J9:J36)</f>
        <v>82</v>
      </c>
      <c r="K37" s="474">
        <f>SUM(K9:L36)</f>
        <v>21</v>
      </c>
      <c r="L37" s="296"/>
      <c r="M37" s="296">
        <f>SUM(M9:N36)</f>
        <v>21</v>
      </c>
      <c r="N37" s="297"/>
      <c r="O37" s="298">
        <f>SUM(O9:P36)</f>
        <v>18</v>
      </c>
      <c r="P37" s="296"/>
      <c r="Q37" s="296">
        <f>SUM(Q9:R36)</f>
        <v>19</v>
      </c>
      <c r="R37" s="304"/>
      <c r="S37" s="303">
        <f>SUM(S9:T36)</f>
        <v>3</v>
      </c>
      <c r="T37" s="296"/>
      <c r="U37" s="296">
        <f>SUM(U9:V36)</f>
        <v>0</v>
      </c>
      <c r="V37" s="301"/>
      <c r="W37" s="302">
        <f>SUM(K37:V37)</f>
        <v>82</v>
      </c>
      <c r="X37" s="303"/>
      <c r="Y37" s="122">
        <f>SUM(Y9:Y36)</f>
        <v>64</v>
      </c>
      <c r="AA37" s="395" t="b">
        <f>W37&gt;=Y37</f>
        <v>1</v>
      </c>
      <c r="AB37" s="396"/>
    </row>
    <row r="38" spans="2:28" ht="16.5" customHeight="1">
      <c r="B38" s="476"/>
      <c r="C38" s="326"/>
      <c r="D38" s="488" t="s">
        <v>353</v>
      </c>
      <c r="E38" s="489"/>
      <c r="F38" s="397" t="s">
        <v>618</v>
      </c>
      <c r="G38" s="398"/>
      <c r="H38" s="94"/>
      <c r="I38" s="123"/>
      <c r="J38" s="96">
        <v>2</v>
      </c>
      <c r="K38" s="329"/>
      <c r="L38" s="289"/>
      <c r="M38" s="292"/>
      <c r="N38" s="293"/>
      <c r="O38" s="288"/>
      <c r="P38" s="289"/>
      <c r="Q38" s="292"/>
      <c r="R38" s="293"/>
      <c r="S38" s="288">
        <v>2</v>
      </c>
      <c r="T38" s="289"/>
      <c r="U38" s="292"/>
      <c r="V38" s="294"/>
      <c r="W38" s="290">
        <f>SUM(K38:V38)</f>
        <v>2</v>
      </c>
      <c r="X38" s="291"/>
      <c r="Y38" s="399">
        <v>80</v>
      </c>
    </row>
    <row r="39" spans="2:28" ht="16.5" customHeight="1" thickBot="1">
      <c r="B39" s="476"/>
      <c r="C39" s="326"/>
      <c r="D39" s="483" t="s">
        <v>353</v>
      </c>
      <c r="E39" s="484"/>
      <c r="F39" s="485" t="s">
        <v>619</v>
      </c>
      <c r="G39" s="486"/>
      <c r="H39" s="115"/>
      <c r="I39" s="124"/>
      <c r="J39" s="117">
        <v>2</v>
      </c>
      <c r="K39" s="385"/>
      <c r="L39" s="482"/>
      <c r="M39" s="308"/>
      <c r="N39" s="487"/>
      <c r="O39" s="481"/>
      <c r="P39" s="482"/>
      <c r="Q39" s="308"/>
      <c r="R39" s="487"/>
      <c r="S39" s="481"/>
      <c r="T39" s="482"/>
      <c r="U39" s="308">
        <v>2</v>
      </c>
      <c r="V39" s="309"/>
      <c r="W39" s="278">
        <f>SUM(K39:V39)</f>
        <v>2</v>
      </c>
      <c r="X39" s="279"/>
      <c r="Y39" s="400"/>
    </row>
    <row r="40" spans="2:28" ht="16.5" customHeight="1">
      <c r="B40" s="476"/>
      <c r="C40" s="326"/>
      <c r="D40" s="125" t="s">
        <v>523</v>
      </c>
      <c r="E40" s="126" t="s">
        <v>354</v>
      </c>
      <c r="F40" s="402" t="s">
        <v>620</v>
      </c>
      <c r="G40" s="403"/>
      <c r="H40" s="109"/>
      <c r="I40" s="127"/>
      <c r="J40" s="111">
        <v>8</v>
      </c>
      <c r="K40" s="329">
        <v>8</v>
      </c>
      <c r="L40" s="289"/>
      <c r="M40" s="292"/>
      <c r="N40" s="293"/>
      <c r="O40" s="288"/>
      <c r="P40" s="289"/>
      <c r="Q40" s="292"/>
      <c r="R40" s="293"/>
      <c r="S40" s="288"/>
      <c r="T40" s="289"/>
      <c r="U40" s="292"/>
      <c r="V40" s="294"/>
      <c r="W40" s="290">
        <f t="shared" ref="W40:W49" si="4">SUM(K40:V40)</f>
        <v>8</v>
      </c>
      <c r="X40" s="291"/>
      <c r="Y40" s="400"/>
    </row>
    <row r="41" spans="2:28" ht="16.5" customHeight="1">
      <c r="B41" s="476"/>
      <c r="C41" s="326"/>
      <c r="D41" s="125" t="s">
        <v>523</v>
      </c>
      <c r="E41" s="126" t="s">
        <v>354</v>
      </c>
      <c r="F41" s="404" t="s">
        <v>621</v>
      </c>
      <c r="G41" s="405"/>
      <c r="H41" s="109"/>
      <c r="I41" s="127"/>
      <c r="J41" s="111">
        <v>4</v>
      </c>
      <c r="K41" s="331"/>
      <c r="L41" s="285"/>
      <c r="M41" s="282"/>
      <c r="N41" s="283"/>
      <c r="O41" s="284">
        <v>4</v>
      </c>
      <c r="P41" s="285"/>
      <c r="Q41" s="282"/>
      <c r="R41" s="283"/>
      <c r="S41" s="284"/>
      <c r="T41" s="285"/>
      <c r="U41" s="282"/>
      <c r="V41" s="286"/>
      <c r="W41" s="280">
        <f t="shared" si="4"/>
        <v>4</v>
      </c>
      <c r="X41" s="281"/>
      <c r="Y41" s="400"/>
    </row>
    <row r="42" spans="2:28" ht="16.5" customHeight="1">
      <c r="B42" s="476"/>
      <c r="C42" s="326"/>
      <c r="D42" s="125" t="s">
        <v>523</v>
      </c>
      <c r="E42" s="126" t="s">
        <v>354</v>
      </c>
      <c r="F42" s="404" t="s">
        <v>622</v>
      </c>
      <c r="G42" s="405"/>
      <c r="H42" s="109"/>
      <c r="I42" s="127"/>
      <c r="J42" s="111">
        <v>8</v>
      </c>
      <c r="K42" s="331"/>
      <c r="L42" s="285"/>
      <c r="M42" s="282"/>
      <c r="N42" s="283"/>
      <c r="O42" s="284"/>
      <c r="P42" s="285"/>
      <c r="Q42" s="282"/>
      <c r="R42" s="283"/>
      <c r="S42" s="284">
        <v>8</v>
      </c>
      <c r="T42" s="285"/>
      <c r="U42" s="282"/>
      <c r="V42" s="286"/>
      <c r="W42" s="280">
        <f t="shared" si="4"/>
        <v>8</v>
      </c>
      <c r="X42" s="281"/>
      <c r="Y42" s="400"/>
    </row>
    <row r="43" spans="2:28" ht="16.5" customHeight="1">
      <c r="B43" s="476"/>
      <c r="C43" s="326"/>
      <c r="D43" s="125" t="s">
        <v>523</v>
      </c>
      <c r="E43" s="126" t="s">
        <v>354</v>
      </c>
      <c r="F43" s="406" t="s">
        <v>623</v>
      </c>
      <c r="G43" s="407"/>
      <c r="H43" s="109"/>
      <c r="I43" s="127"/>
      <c r="J43" s="111">
        <v>2</v>
      </c>
      <c r="K43" s="331"/>
      <c r="L43" s="285"/>
      <c r="M43" s="282">
        <v>2</v>
      </c>
      <c r="N43" s="283"/>
      <c r="O43" s="284"/>
      <c r="P43" s="285"/>
      <c r="Q43" s="282"/>
      <c r="R43" s="283"/>
      <c r="S43" s="284"/>
      <c r="T43" s="285"/>
      <c r="U43" s="282"/>
      <c r="V43" s="286"/>
      <c r="W43" s="280">
        <f t="shared" si="4"/>
        <v>2</v>
      </c>
      <c r="X43" s="281"/>
      <c r="Y43" s="400"/>
    </row>
    <row r="44" spans="2:28" ht="16.5" customHeight="1">
      <c r="B44" s="476"/>
      <c r="C44" s="326"/>
      <c r="D44" s="125" t="s">
        <v>523</v>
      </c>
      <c r="E44" s="126" t="s">
        <v>354</v>
      </c>
      <c r="F44" s="479" t="s">
        <v>668</v>
      </c>
      <c r="G44" s="480"/>
      <c r="H44" s="109"/>
      <c r="I44" s="127"/>
      <c r="J44" s="111">
        <v>10</v>
      </c>
      <c r="K44" s="331"/>
      <c r="L44" s="285"/>
      <c r="M44" s="282"/>
      <c r="N44" s="287"/>
      <c r="O44" s="284"/>
      <c r="P44" s="285"/>
      <c r="Q44" s="282">
        <v>10</v>
      </c>
      <c r="R44" s="283"/>
      <c r="S44" s="287"/>
      <c r="T44" s="285"/>
      <c r="U44" s="282"/>
      <c r="V44" s="286"/>
      <c r="W44" s="280">
        <f t="shared" si="4"/>
        <v>10</v>
      </c>
      <c r="X44" s="281"/>
      <c r="Y44" s="400"/>
    </row>
    <row r="45" spans="2:28" ht="16.5" customHeight="1">
      <c r="B45" s="476"/>
      <c r="C45" s="326"/>
      <c r="D45" s="125" t="s">
        <v>523</v>
      </c>
      <c r="E45" s="126" t="s">
        <v>354</v>
      </c>
      <c r="F45" s="479" t="s">
        <v>669</v>
      </c>
      <c r="G45" s="480"/>
      <c r="H45" s="109"/>
      <c r="I45" s="128"/>
      <c r="J45" s="101">
        <v>9</v>
      </c>
      <c r="K45" s="331"/>
      <c r="L45" s="285"/>
      <c r="M45" s="282"/>
      <c r="N45" s="287"/>
      <c r="O45" s="284"/>
      <c r="P45" s="285"/>
      <c r="Q45" s="282"/>
      <c r="R45" s="283"/>
      <c r="S45" s="287"/>
      <c r="T45" s="285"/>
      <c r="U45" s="282">
        <v>9</v>
      </c>
      <c r="V45" s="286"/>
      <c r="W45" s="280">
        <f t="shared" si="4"/>
        <v>9</v>
      </c>
      <c r="X45" s="281"/>
      <c r="Y45" s="400"/>
    </row>
    <row r="46" spans="2:28" ht="16.5" customHeight="1">
      <c r="B46" s="476"/>
      <c r="C46" s="326"/>
      <c r="D46" s="125" t="s">
        <v>523</v>
      </c>
      <c r="E46" s="126" t="s">
        <v>355</v>
      </c>
      <c r="F46" s="479" t="s">
        <v>624</v>
      </c>
      <c r="G46" s="480"/>
      <c r="H46" s="109"/>
      <c r="I46" s="128"/>
      <c r="J46" s="101">
        <v>13</v>
      </c>
      <c r="K46" s="331"/>
      <c r="L46" s="285"/>
      <c r="M46" s="282"/>
      <c r="N46" s="283"/>
      <c r="O46" s="284"/>
      <c r="P46" s="285"/>
      <c r="Q46" s="282"/>
      <c r="R46" s="283"/>
      <c r="S46" s="284">
        <v>6</v>
      </c>
      <c r="T46" s="285"/>
      <c r="U46" s="282">
        <v>7</v>
      </c>
      <c r="V46" s="286"/>
      <c r="W46" s="280">
        <f t="shared" si="4"/>
        <v>13</v>
      </c>
      <c r="X46" s="281"/>
      <c r="Y46" s="400"/>
    </row>
    <row r="47" spans="2:28" ht="16.5" customHeight="1">
      <c r="B47" s="476"/>
      <c r="C47" s="326"/>
      <c r="D47" s="125" t="s">
        <v>523</v>
      </c>
      <c r="E47" s="126" t="s">
        <v>355</v>
      </c>
      <c r="F47" s="479" t="s">
        <v>625</v>
      </c>
      <c r="G47" s="480"/>
      <c r="H47" s="109"/>
      <c r="I47" s="128"/>
      <c r="J47" s="101">
        <v>13</v>
      </c>
      <c r="K47" s="331"/>
      <c r="L47" s="285"/>
      <c r="M47" s="282"/>
      <c r="N47" s="283"/>
      <c r="O47" s="284"/>
      <c r="P47" s="285"/>
      <c r="Q47" s="282"/>
      <c r="R47" s="283"/>
      <c r="S47" s="284">
        <v>6</v>
      </c>
      <c r="T47" s="285"/>
      <c r="U47" s="282">
        <v>7</v>
      </c>
      <c r="V47" s="286"/>
      <c r="W47" s="280">
        <f t="shared" si="4"/>
        <v>13</v>
      </c>
      <c r="X47" s="281"/>
      <c r="Y47" s="400"/>
    </row>
    <row r="48" spans="2:28" ht="16.5" customHeight="1">
      <c r="B48" s="476"/>
      <c r="C48" s="326"/>
      <c r="D48" s="125" t="s">
        <v>523</v>
      </c>
      <c r="E48" s="126" t="s">
        <v>355</v>
      </c>
      <c r="F48" s="479" t="s">
        <v>670</v>
      </c>
      <c r="G48" s="480"/>
      <c r="H48" s="109"/>
      <c r="I48" s="128"/>
      <c r="J48" s="101">
        <v>6</v>
      </c>
      <c r="K48" s="331"/>
      <c r="L48" s="285"/>
      <c r="M48" s="282">
        <v>6</v>
      </c>
      <c r="N48" s="283"/>
      <c r="O48" s="284"/>
      <c r="P48" s="285"/>
      <c r="Q48" s="282"/>
      <c r="R48" s="283"/>
      <c r="S48" s="284"/>
      <c r="T48" s="285"/>
      <c r="U48" s="282"/>
      <c r="V48" s="286"/>
      <c r="W48" s="280">
        <f t="shared" si="4"/>
        <v>6</v>
      </c>
      <c r="X48" s="281"/>
      <c r="Y48" s="400"/>
    </row>
    <row r="49" spans="2:29" ht="16.5" customHeight="1" thickBot="1">
      <c r="B49" s="476"/>
      <c r="C49" s="326"/>
      <c r="D49" s="125" t="s">
        <v>523</v>
      </c>
      <c r="E49" s="129" t="s">
        <v>355</v>
      </c>
      <c r="F49" s="498" t="s">
        <v>671</v>
      </c>
      <c r="G49" s="499"/>
      <c r="H49" s="130"/>
      <c r="I49" s="131"/>
      <c r="J49" s="132">
        <v>7</v>
      </c>
      <c r="K49" s="500"/>
      <c r="L49" s="501"/>
      <c r="M49" s="502"/>
      <c r="N49" s="503"/>
      <c r="O49" s="504">
        <v>7</v>
      </c>
      <c r="P49" s="501"/>
      <c r="Q49" s="502"/>
      <c r="R49" s="503"/>
      <c r="S49" s="504"/>
      <c r="T49" s="501"/>
      <c r="U49" s="502"/>
      <c r="V49" s="505"/>
      <c r="W49" s="506">
        <f t="shared" si="4"/>
        <v>7</v>
      </c>
      <c r="X49" s="507"/>
      <c r="Y49" s="400"/>
    </row>
    <row r="50" spans="2:29" ht="16.5" customHeight="1">
      <c r="B50" s="439" t="s">
        <v>152</v>
      </c>
      <c r="C50" s="439" t="s">
        <v>524</v>
      </c>
      <c r="D50" s="133" t="s">
        <v>523</v>
      </c>
      <c r="E50" s="134" t="s">
        <v>354</v>
      </c>
      <c r="F50" s="412" t="s">
        <v>672</v>
      </c>
      <c r="G50" s="413"/>
      <c r="H50" s="491"/>
      <c r="I50" s="496"/>
      <c r="J50" s="493">
        <v>8</v>
      </c>
      <c r="K50" s="329"/>
      <c r="L50" s="289"/>
      <c r="M50" s="292"/>
      <c r="N50" s="293"/>
      <c r="O50" s="288"/>
      <c r="P50" s="289"/>
      <c r="Q50" s="292"/>
      <c r="R50" s="293"/>
      <c r="S50" s="288">
        <v>4</v>
      </c>
      <c r="T50" s="289"/>
      <c r="U50" s="292"/>
      <c r="V50" s="294"/>
      <c r="W50" s="290">
        <f>SUM(O50:V51)</f>
        <v>8</v>
      </c>
      <c r="X50" s="291"/>
      <c r="Y50" s="400"/>
    </row>
    <row r="51" spans="2:29" ht="16.5" customHeight="1">
      <c r="B51" s="490"/>
      <c r="C51" s="490"/>
      <c r="D51" s="135" t="s">
        <v>523</v>
      </c>
      <c r="E51" s="136" t="s">
        <v>354</v>
      </c>
      <c r="F51" s="479" t="s">
        <v>673</v>
      </c>
      <c r="G51" s="480"/>
      <c r="H51" s="492"/>
      <c r="I51" s="497"/>
      <c r="J51" s="494"/>
      <c r="K51" s="331"/>
      <c r="L51" s="285"/>
      <c r="M51" s="282"/>
      <c r="N51" s="283"/>
      <c r="O51" s="284"/>
      <c r="P51" s="285"/>
      <c r="Q51" s="282"/>
      <c r="R51" s="283"/>
      <c r="S51" s="284"/>
      <c r="T51" s="285"/>
      <c r="U51" s="282">
        <v>4</v>
      </c>
      <c r="V51" s="286"/>
      <c r="W51" s="280"/>
      <c r="X51" s="281"/>
      <c r="Y51" s="400"/>
    </row>
    <row r="52" spans="2:29" ht="16.5" customHeight="1" thickBot="1">
      <c r="B52" s="440"/>
      <c r="C52" s="440"/>
      <c r="D52" s="137" t="s">
        <v>67</v>
      </c>
      <c r="E52" s="138" t="s">
        <v>355</v>
      </c>
      <c r="F52" s="417" t="s">
        <v>674</v>
      </c>
      <c r="G52" s="418"/>
      <c r="H52" s="104"/>
      <c r="I52" s="139"/>
      <c r="J52" s="495"/>
      <c r="K52" s="382"/>
      <c r="L52" s="306"/>
      <c r="M52" s="299"/>
      <c r="N52" s="419"/>
      <c r="O52" s="305"/>
      <c r="P52" s="306"/>
      <c r="Q52" s="299"/>
      <c r="R52" s="300"/>
      <c r="S52" s="305">
        <v>4</v>
      </c>
      <c r="T52" s="306"/>
      <c r="U52" s="299">
        <v>4</v>
      </c>
      <c r="V52" s="307"/>
      <c r="W52" s="508">
        <f>SUM(O52:V52)</f>
        <v>8</v>
      </c>
      <c r="X52" s="509"/>
      <c r="Y52" s="400"/>
    </row>
    <row r="53" spans="2:29" ht="24.75" customHeight="1">
      <c r="B53" s="420" t="s">
        <v>360</v>
      </c>
      <c r="C53" s="421"/>
      <c r="D53" s="421"/>
      <c r="E53" s="421"/>
      <c r="F53" s="421"/>
      <c r="G53" s="409"/>
      <c r="H53" s="424"/>
      <c r="I53" s="426"/>
      <c r="J53" s="428">
        <f>SUM(J38:J52)</f>
        <v>92</v>
      </c>
      <c r="K53" s="420">
        <f>SUM(K38:L52)</f>
        <v>8</v>
      </c>
      <c r="L53" s="430"/>
      <c r="M53" s="408">
        <f>SUM(M38:N52)</f>
        <v>8</v>
      </c>
      <c r="N53" s="421"/>
      <c r="O53" s="432">
        <f>SUM(O38:P52)</f>
        <v>11</v>
      </c>
      <c r="P53" s="430"/>
      <c r="Q53" s="408">
        <f>SUM(Q38:R52)</f>
        <v>10</v>
      </c>
      <c r="R53" s="434"/>
      <c r="S53" s="421">
        <f>SUM(S38:T52)-S52</f>
        <v>26</v>
      </c>
      <c r="T53" s="430"/>
      <c r="U53" s="408">
        <f>SUM(U38:V52)-U52</f>
        <v>29</v>
      </c>
      <c r="V53" s="409"/>
      <c r="W53" s="420">
        <f>SUM(K53:V54)</f>
        <v>92</v>
      </c>
      <c r="X53" s="409"/>
      <c r="Y53" s="399">
        <f>SUM(Y38:Y52)</f>
        <v>80</v>
      </c>
      <c r="AC53" s="91"/>
    </row>
    <row r="54" spans="2:29" ht="17.25" thickBot="1">
      <c r="B54" s="422"/>
      <c r="C54" s="423"/>
      <c r="D54" s="423"/>
      <c r="E54" s="423"/>
      <c r="F54" s="423"/>
      <c r="G54" s="411"/>
      <c r="H54" s="425"/>
      <c r="I54" s="427"/>
      <c r="J54" s="429"/>
      <c r="K54" s="422"/>
      <c r="L54" s="431"/>
      <c r="M54" s="410"/>
      <c r="N54" s="423"/>
      <c r="O54" s="433"/>
      <c r="P54" s="431"/>
      <c r="Q54" s="410"/>
      <c r="R54" s="435"/>
      <c r="S54" s="423"/>
      <c r="T54" s="431"/>
      <c r="U54" s="410"/>
      <c r="V54" s="411"/>
      <c r="W54" s="422"/>
      <c r="X54" s="411"/>
      <c r="Y54" s="401"/>
      <c r="AC54" s="91"/>
    </row>
    <row r="55" spans="2:29" ht="17.25" customHeight="1" thickBot="1">
      <c r="B55" s="302"/>
      <c r="C55" s="461"/>
      <c r="D55" s="461"/>
      <c r="E55" s="461"/>
      <c r="F55" s="461"/>
      <c r="G55" s="441"/>
      <c r="H55" s="140"/>
      <c r="I55" s="141"/>
      <c r="J55" s="122">
        <f>SUM(J37,J53)</f>
        <v>174</v>
      </c>
      <c r="K55" s="302">
        <f>SUM(K37,K53)</f>
        <v>29</v>
      </c>
      <c r="L55" s="303"/>
      <c r="M55" s="297">
        <f>SUM(M37,M53)</f>
        <v>29</v>
      </c>
      <c r="N55" s="463"/>
      <c r="O55" s="462">
        <f>SUM(O37,O53)</f>
        <v>29</v>
      </c>
      <c r="P55" s="303"/>
      <c r="Q55" s="297">
        <f>SUM(Q37,Q53)</f>
        <v>29</v>
      </c>
      <c r="R55" s="463"/>
      <c r="S55" s="462">
        <f>SUM(S37,S53)</f>
        <v>29</v>
      </c>
      <c r="T55" s="303"/>
      <c r="U55" s="297">
        <f>SUM(U37,U53)</f>
        <v>29</v>
      </c>
      <c r="V55" s="441"/>
      <c r="W55" s="302">
        <f>SUM(K55:V55)</f>
        <v>174</v>
      </c>
      <c r="X55" s="441"/>
      <c r="Y55" s="142">
        <f>Y53+Y37</f>
        <v>144</v>
      </c>
      <c r="AA55" s="319" t="s">
        <v>153</v>
      </c>
      <c r="AB55" s="319"/>
    </row>
    <row r="56" spans="2:29" ht="18.75" customHeight="1" thickBot="1">
      <c r="B56" s="443" t="s">
        <v>361</v>
      </c>
      <c r="C56" s="444"/>
      <c r="D56" s="444"/>
      <c r="E56" s="445"/>
      <c r="F56" s="452" t="s">
        <v>675</v>
      </c>
      <c r="G56" s="453"/>
      <c r="H56" s="453"/>
      <c r="I56" s="453"/>
      <c r="J56" s="454"/>
      <c r="K56" s="329">
        <v>16</v>
      </c>
      <c r="L56" s="289"/>
      <c r="M56" s="292">
        <v>16</v>
      </c>
      <c r="N56" s="293"/>
      <c r="O56" s="288">
        <v>16</v>
      </c>
      <c r="P56" s="289"/>
      <c r="Q56" s="292">
        <v>16</v>
      </c>
      <c r="R56" s="293"/>
      <c r="S56" s="288">
        <v>16</v>
      </c>
      <c r="T56" s="289"/>
      <c r="U56" s="292">
        <v>16</v>
      </c>
      <c r="V56" s="294"/>
      <c r="W56" s="443">
        <f>SUM(K56:V58)</f>
        <v>288</v>
      </c>
      <c r="X56" s="445"/>
      <c r="Y56" s="399">
        <f>Y59*16</f>
        <v>288</v>
      </c>
      <c r="AA56" s="442"/>
      <c r="AB56" s="442"/>
    </row>
    <row r="57" spans="2:29" ht="17.25" customHeight="1" thickBot="1">
      <c r="B57" s="446"/>
      <c r="C57" s="447"/>
      <c r="D57" s="447"/>
      <c r="E57" s="448"/>
      <c r="F57" s="458" t="s">
        <v>63</v>
      </c>
      <c r="G57" s="459"/>
      <c r="H57" s="459"/>
      <c r="I57" s="459"/>
      <c r="J57" s="460"/>
      <c r="K57" s="331">
        <v>16</v>
      </c>
      <c r="L57" s="285"/>
      <c r="M57" s="282">
        <v>16</v>
      </c>
      <c r="N57" s="283"/>
      <c r="O57" s="284">
        <v>16</v>
      </c>
      <c r="P57" s="285"/>
      <c r="Q57" s="282">
        <v>16</v>
      </c>
      <c r="R57" s="283"/>
      <c r="S57" s="284">
        <v>16</v>
      </c>
      <c r="T57" s="285"/>
      <c r="U57" s="282">
        <v>16</v>
      </c>
      <c r="V57" s="286"/>
      <c r="W57" s="446"/>
      <c r="X57" s="448"/>
      <c r="Y57" s="400"/>
      <c r="AA57" s="395" t="b">
        <f>W55&gt;=Y55</f>
        <v>1</v>
      </c>
      <c r="AB57" s="396"/>
    </row>
    <row r="58" spans="2:29" ht="17.25" customHeight="1">
      <c r="B58" s="446"/>
      <c r="C58" s="447"/>
      <c r="D58" s="447"/>
      <c r="E58" s="448"/>
      <c r="F58" s="458" t="s">
        <v>11</v>
      </c>
      <c r="G58" s="459"/>
      <c r="H58" s="459"/>
      <c r="I58" s="459"/>
      <c r="J58" s="460"/>
      <c r="K58" s="331">
        <v>16</v>
      </c>
      <c r="L58" s="285"/>
      <c r="M58" s="282">
        <v>16</v>
      </c>
      <c r="N58" s="283"/>
      <c r="O58" s="284">
        <v>16</v>
      </c>
      <c r="P58" s="285"/>
      <c r="Q58" s="282">
        <v>16</v>
      </c>
      <c r="R58" s="283"/>
      <c r="S58" s="284">
        <v>16</v>
      </c>
      <c r="T58" s="285"/>
      <c r="U58" s="282">
        <v>16</v>
      </c>
      <c r="V58" s="286"/>
      <c r="W58" s="455"/>
      <c r="X58" s="456"/>
      <c r="Y58" s="457"/>
    </row>
    <row r="59" spans="2:29" ht="17.25" customHeight="1" thickBot="1">
      <c r="B59" s="449"/>
      <c r="C59" s="450"/>
      <c r="D59" s="450"/>
      <c r="E59" s="451"/>
      <c r="F59" s="465" t="s">
        <v>148</v>
      </c>
      <c r="G59" s="466"/>
      <c r="H59" s="466"/>
      <c r="I59" s="466"/>
      <c r="J59" s="467"/>
      <c r="K59" s="468">
        <v>3</v>
      </c>
      <c r="L59" s="469"/>
      <c r="M59" s="470">
        <v>3</v>
      </c>
      <c r="N59" s="471"/>
      <c r="O59" s="472">
        <v>3</v>
      </c>
      <c r="P59" s="469"/>
      <c r="Q59" s="470">
        <v>3</v>
      </c>
      <c r="R59" s="471"/>
      <c r="S59" s="472">
        <v>3</v>
      </c>
      <c r="T59" s="469"/>
      <c r="U59" s="470">
        <v>3</v>
      </c>
      <c r="V59" s="473"/>
      <c r="W59" s="465">
        <f>SUM(K59:V59)</f>
        <v>18</v>
      </c>
      <c r="X59" s="467"/>
      <c r="Y59" s="143">
        <v>18</v>
      </c>
      <c r="AA59" s="319" t="s">
        <v>154</v>
      </c>
      <c r="AB59" s="319"/>
    </row>
    <row r="60" spans="2:29" ht="17.25" customHeight="1" thickBot="1">
      <c r="B60" s="302"/>
      <c r="C60" s="461"/>
      <c r="D60" s="461"/>
      <c r="E60" s="461"/>
      <c r="F60" s="461"/>
      <c r="G60" s="461"/>
      <c r="H60" s="461"/>
      <c r="I60" s="461"/>
      <c r="J60" s="441"/>
      <c r="K60" s="302">
        <v>32</v>
      </c>
      <c r="L60" s="303"/>
      <c r="M60" s="297">
        <v>32</v>
      </c>
      <c r="N60" s="463"/>
      <c r="O60" s="462">
        <v>32</v>
      </c>
      <c r="P60" s="303"/>
      <c r="Q60" s="297">
        <v>32</v>
      </c>
      <c r="R60" s="463"/>
      <c r="S60" s="462">
        <v>32</v>
      </c>
      <c r="T60" s="303"/>
      <c r="U60" s="297">
        <v>32</v>
      </c>
      <c r="V60" s="441"/>
      <c r="W60" s="302">
        <f>SUM(K60:V60)</f>
        <v>192</v>
      </c>
      <c r="X60" s="441"/>
      <c r="Y60" s="144">
        <f>W60</f>
        <v>192</v>
      </c>
      <c r="AA60" s="395" t="b">
        <f>W59&gt;=Y59</f>
        <v>1</v>
      </c>
      <c r="AB60" s="396"/>
    </row>
    <row r="61" spans="2:29" ht="17.25" customHeight="1" thickBot="1">
      <c r="B61" s="302"/>
      <c r="C61" s="461"/>
      <c r="D61" s="461"/>
      <c r="E61" s="461"/>
      <c r="F61" s="461"/>
      <c r="G61" s="461"/>
      <c r="H61" s="461"/>
      <c r="I61" s="461"/>
      <c r="J61" s="441"/>
      <c r="K61" s="302">
        <f>SUM(K60:N60)</f>
        <v>64</v>
      </c>
      <c r="L61" s="461"/>
      <c r="M61" s="461"/>
      <c r="N61" s="463"/>
      <c r="O61" s="462">
        <f>SUM(O60:R60)</f>
        <v>64</v>
      </c>
      <c r="P61" s="461"/>
      <c r="Q61" s="461"/>
      <c r="R61" s="463"/>
      <c r="S61" s="462">
        <f>SUM(S60:V60)</f>
        <v>64</v>
      </c>
      <c r="T61" s="461"/>
      <c r="U61" s="461"/>
      <c r="V61" s="441"/>
      <c r="W61" s="302">
        <f>SUM(K61:V61)</f>
        <v>192</v>
      </c>
      <c r="X61" s="441"/>
      <c r="Y61" s="142"/>
      <c r="AA61" s="319" t="s">
        <v>151</v>
      </c>
      <c r="AB61" s="319"/>
    </row>
    <row r="62" spans="2:29" ht="17.25" customHeight="1" thickBot="1">
      <c r="AA62" s="395" t="b">
        <f>W60&gt;=Y60</f>
        <v>1</v>
      </c>
      <c r="AB62" s="396"/>
    </row>
    <row r="63" spans="2:29" ht="17.25" customHeight="1"/>
    <row r="64" spans="2:29" ht="17.25" customHeight="1"/>
    <row r="65" ht="17.25" customHeight="1"/>
    <row r="67" ht="24.95" customHeight="1"/>
    <row r="68" ht="24.95" customHeight="1"/>
    <row r="69" ht="32.25" customHeight="1"/>
    <row r="70" ht="24.95" customHeight="1"/>
    <row r="72" ht="16.5" customHeight="1"/>
    <row r="73" ht="17.2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244.5" customHeight="1"/>
  </sheetData>
  <mergeCells count="465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6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X13:X14"/>
    <mergeCell ref="S15:T15"/>
    <mergeCell ref="U15:V15"/>
    <mergeCell ref="X15:X20"/>
    <mergeCell ref="F16:G16"/>
    <mergeCell ref="K16:L16"/>
    <mergeCell ref="M16:N16"/>
    <mergeCell ref="O16:P16"/>
    <mergeCell ref="Q16:R16"/>
    <mergeCell ref="S16:T16"/>
    <mergeCell ref="U16:V16"/>
    <mergeCell ref="F15:G15"/>
    <mergeCell ref="K15:L15"/>
    <mergeCell ref="D13:D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F14:G14"/>
    <mergeCell ref="K14:L14"/>
    <mergeCell ref="M14:N14"/>
    <mergeCell ref="O14:P14"/>
    <mergeCell ref="Q14:R14"/>
    <mergeCell ref="S14:T14"/>
    <mergeCell ref="U14:V14"/>
    <mergeCell ref="U12:V12"/>
    <mergeCell ref="M15:N15"/>
    <mergeCell ref="O15:P15"/>
    <mergeCell ref="Q15:R15"/>
    <mergeCell ref="F19:G19"/>
    <mergeCell ref="K19:L19"/>
    <mergeCell ref="M19:N19"/>
    <mergeCell ref="O19:P19"/>
    <mergeCell ref="D21:D24"/>
    <mergeCell ref="F21:G21"/>
    <mergeCell ref="K21:L21"/>
    <mergeCell ref="M21:N21"/>
    <mergeCell ref="O21:P21"/>
    <mergeCell ref="Q21:R21"/>
    <mergeCell ref="Q19:R19"/>
    <mergeCell ref="D15:D20"/>
    <mergeCell ref="Q18:R18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S21:T21"/>
    <mergeCell ref="U21:V21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D25:D26"/>
    <mergeCell ref="F25:G25"/>
    <mergeCell ref="K25:L25"/>
    <mergeCell ref="M25:N25"/>
    <mergeCell ref="O25:P25"/>
    <mergeCell ref="Q25:R25"/>
    <mergeCell ref="X27:X31"/>
    <mergeCell ref="Y27:Y31"/>
    <mergeCell ref="F28:G28"/>
    <mergeCell ref="K28:L28"/>
    <mergeCell ref="M28:N28"/>
    <mergeCell ref="O28:P28"/>
    <mergeCell ref="Q28:R28"/>
    <mergeCell ref="S28:T28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U28:V28"/>
    <mergeCell ref="F29:G29"/>
    <mergeCell ref="K29:L29"/>
    <mergeCell ref="M29:N29"/>
    <mergeCell ref="O29:P29"/>
    <mergeCell ref="Q29:R29"/>
    <mergeCell ref="S29:T29"/>
    <mergeCell ref="U29:V29"/>
    <mergeCell ref="S27:T27"/>
    <mergeCell ref="U27:V27"/>
    <mergeCell ref="D32:D33"/>
    <mergeCell ref="F32:G32"/>
    <mergeCell ref="K32:L32"/>
    <mergeCell ref="M32:N32"/>
    <mergeCell ref="O32:P32"/>
    <mergeCell ref="Q32:R32"/>
    <mergeCell ref="Q30:R30"/>
    <mergeCell ref="S30:T30"/>
    <mergeCell ref="U30:V30"/>
    <mergeCell ref="F31:G31"/>
    <mergeCell ref="K31:L31"/>
    <mergeCell ref="M31:N31"/>
    <mergeCell ref="O31:P31"/>
    <mergeCell ref="Q31:R31"/>
    <mergeCell ref="S31:T31"/>
    <mergeCell ref="U31:V31"/>
    <mergeCell ref="S32:T32"/>
    <mergeCell ref="U32:V32"/>
    <mergeCell ref="W32:X33"/>
    <mergeCell ref="Y32:Y33"/>
    <mergeCell ref="F33:G33"/>
    <mergeCell ref="K33:L33"/>
    <mergeCell ref="M33:N33"/>
    <mergeCell ref="O33:P33"/>
    <mergeCell ref="Q33:R33"/>
    <mergeCell ref="S33:T33"/>
    <mergeCell ref="D34:D36"/>
    <mergeCell ref="F34:G34"/>
    <mergeCell ref="K34:L34"/>
    <mergeCell ref="M34:N34"/>
    <mergeCell ref="O34:P34"/>
    <mergeCell ref="Q34:R34"/>
    <mergeCell ref="S34:T34"/>
    <mergeCell ref="U34:V34"/>
    <mergeCell ref="K36:L36"/>
    <mergeCell ref="AA37:AB37"/>
    <mergeCell ref="B38:C49"/>
    <mergeCell ref="D38:E38"/>
    <mergeCell ref="F38:G38"/>
    <mergeCell ref="K38:L38"/>
    <mergeCell ref="M38:N38"/>
    <mergeCell ref="O38:P38"/>
    <mergeCell ref="M36:N36"/>
    <mergeCell ref="O36:P36"/>
    <mergeCell ref="Q36:R36"/>
    <mergeCell ref="S36:T36"/>
    <mergeCell ref="U36:V36"/>
    <mergeCell ref="B37:G37"/>
    <mergeCell ref="K37:L37"/>
    <mergeCell ref="M37:N37"/>
    <mergeCell ref="O37:P37"/>
    <mergeCell ref="Q37:R37"/>
    <mergeCell ref="W34:X36"/>
    <mergeCell ref="Y34:Y36"/>
    <mergeCell ref="F35:G35"/>
    <mergeCell ref="K35:L35"/>
    <mergeCell ref="M35:N35"/>
    <mergeCell ref="O35:P35"/>
    <mergeCell ref="Q35:R35"/>
    <mergeCell ref="Y38:Y52"/>
    <mergeCell ref="D39:E39"/>
    <mergeCell ref="F39:G39"/>
    <mergeCell ref="K39:L39"/>
    <mergeCell ref="M39:N39"/>
    <mergeCell ref="O39:P39"/>
    <mergeCell ref="S37:T37"/>
    <mergeCell ref="U37:V37"/>
    <mergeCell ref="W37:X37"/>
    <mergeCell ref="W39:X39"/>
    <mergeCell ref="F40:G40"/>
    <mergeCell ref="K40:L40"/>
    <mergeCell ref="M40:N40"/>
    <mergeCell ref="O40:P40"/>
    <mergeCell ref="Q40:R40"/>
    <mergeCell ref="S40:T40"/>
    <mergeCell ref="Q38:R38"/>
    <mergeCell ref="S38:T38"/>
    <mergeCell ref="U38:V38"/>
    <mergeCell ref="W38:X38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F46:G46"/>
    <mergeCell ref="K46:L46"/>
    <mergeCell ref="M46:N46"/>
    <mergeCell ref="O46:P46"/>
    <mergeCell ref="Q46:R46"/>
    <mergeCell ref="S46:T46"/>
    <mergeCell ref="B50:B52"/>
    <mergeCell ref="F50:G50"/>
    <mergeCell ref="I50:I51"/>
    <mergeCell ref="U50:V50"/>
    <mergeCell ref="S51:T51"/>
    <mergeCell ref="U51:V51"/>
    <mergeCell ref="S50:T50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W52:X52"/>
    <mergeCell ref="K52:L52"/>
    <mergeCell ref="M52:N52"/>
    <mergeCell ref="O52:P52"/>
    <mergeCell ref="J50:J52"/>
    <mergeCell ref="W50:X51"/>
    <mergeCell ref="F51:G51"/>
    <mergeCell ref="Q50:R51"/>
    <mergeCell ref="O53:P54"/>
    <mergeCell ref="Q53:R54"/>
    <mergeCell ref="S53:T54"/>
    <mergeCell ref="U53:V54"/>
    <mergeCell ref="W53:X54"/>
    <mergeCell ref="Y53:Y54"/>
    <mergeCell ref="B53:G54"/>
    <mergeCell ref="H53:H54"/>
    <mergeCell ref="I53:I54"/>
    <mergeCell ref="J53:J54"/>
    <mergeCell ref="K53:L54"/>
    <mergeCell ref="M53:N54"/>
    <mergeCell ref="U55:V55"/>
    <mergeCell ref="W55:X55"/>
    <mergeCell ref="AA55:AB56"/>
    <mergeCell ref="B56:E59"/>
    <mergeCell ref="F56:J56"/>
    <mergeCell ref="K56:L56"/>
    <mergeCell ref="M56:N56"/>
    <mergeCell ref="O56:P56"/>
    <mergeCell ref="Q56:R56"/>
    <mergeCell ref="S56:T56"/>
    <mergeCell ref="B55:G55"/>
    <mergeCell ref="K55:L55"/>
    <mergeCell ref="M55:N55"/>
    <mergeCell ref="O55:P55"/>
    <mergeCell ref="Q55:R55"/>
    <mergeCell ref="S55:T55"/>
    <mergeCell ref="AA57:AB57"/>
    <mergeCell ref="F58:J58"/>
    <mergeCell ref="K58:L58"/>
    <mergeCell ref="M58:N58"/>
    <mergeCell ref="O58:P58"/>
    <mergeCell ref="Q58:R58"/>
    <mergeCell ref="S58:T58"/>
    <mergeCell ref="U58:V58"/>
    <mergeCell ref="U56:V56"/>
    <mergeCell ref="W56:X58"/>
    <mergeCell ref="Y56:Y58"/>
    <mergeCell ref="F57:J57"/>
    <mergeCell ref="K57:L57"/>
    <mergeCell ref="M57:N57"/>
    <mergeCell ref="O57:P57"/>
    <mergeCell ref="Q57:R57"/>
    <mergeCell ref="S57:T57"/>
    <mergeCell ref="U57:V57"/>
    <mergeCell ref="O60:P60"/>
    <mergeCell ref="Q60:R60"/>
    <mergeCell ref="S60:T60"/>
    <mergeCell ref="U60:V60"/>
    <mergeCell ref="F59:J59"/>
    <mergeCell ref="K59:L59"/>
    <mergeCell ref="M59:N59"/>
    <mergeCell ref="O59:P59"/>
    <mergeCell ref="Q59:R59"/>
    <mergeCell ref="S59:T59"/>
    <mergeCell ref="AA62:AB62"/>
    <mergeCell ref="F17:G17"/>
    <mergeCell ref="F18:G18"/>
    <mergeCell ref="K17:L17"/>
    <mergeCell ref="M17:N17"/>
    <mergeCell ref="K18:L18"/>
    <mergeCell ref="M18:N18"/>
    <mergeCell ref="O17:P17"/>
    <mergeCell ref="O18:P18"/>
    <mergeCell ref="Q17:R17"/>
    <mergeCell ref="W60:X60"/>
    <mergeCell ref="AA60:AB60"/>
    <mergeCell ref="B61:J61"/>
    <mergeCell ref="K61:N61"/>
    <mergeCell ref="O61:R61"/>
    <mergeCell ref="S61:V61"/>
    <mergeCell ref="W61:X61"/>
    <mergeCell ref="AA61:AB61"/>
    <mergeCell ref="U59:V59"/>
    <mergeCell ref="W59:X59"/>
    <mergeCell ref="AA59:AB59"/>
    <mergeCell ref="B60:J60"/>
    <mergeCell ref="K60:L60"/>
    <mergeCell ref="M60:N60"/>
    <mergeCell ref="S17:T17"/>
    <mergeCell ref="S18:T18"/>
    <mergeCell ref="U17:V17"/>
    <mergeCell ref="U18:V18"/>
    <mergeCell ref="C50:C52"/>
    <mergeCell ref="H50:H51"/>
    <mergeCell ref="K50:L51"/>
    <mergeCell ref="M50:N51"/>
    <mergeCell ref="O50:P51"/>
    <mergeCell ref="Q52:R52"/>
    <mergeCell ref="S52:T52"/>
    <mergeCell ref="U52:V52"/>
    <mergeCell ref="U46:V46"/>
    <mergeCell ref="U44:V44"/>
    <mergeCell ref="U42:V42"/>
    <mergeCell ref="U40:V40"/>
    <mergeCell ref="Q39:R39"/>
    <mergeCell ref="S39:T39"/>
    <mergeCell ref="U39:V39"/>
    <mergeCell ref="S35:T35"/>
    <mergeCell ref="U35:V35"/>
    <mergeCell ref="F36:G36"/>
    <mergeCell ref="U33:V33"/>
    <mergeCell ref="F52:G52"/>
  </mergeCells>
  <phoneticPr fontId="9" type="noConversion"/>
  <conditionalFormatting sqref="AA37:AB37 AC54 AA57:AB57 AA60:AB60 AA62:AB62">
    <cfRule type="containsText" dxfId="1" priority="1" operator="containsText" text="FALSE">
      <formula>NOT(ISERROR(SEARCH("FALSE",AA37)))</formula>
    </cfRule>
  </conditionalFormatting>
  <pageMargins left="0.7" right="0.7" top="0.75" bottom="0.75" header="0.3" footer="0.3"/>
  <pageSetup paperSize="9" scale="44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8876549-8529-42CE-AB30-4BB5CE3CB4C3}">
          <x14:formula1>
            <xm:f>삭제금지!$J$2:$J$59</xm:f>
          </x14:formula1>
          <xm:sqref>H5:J5</xm:sqref>
        </x14:dataValidation>
        <x14:dataValidation type="list" allowBlank="1" showInputMessage="1" showErrorMessage="1" xr:uid="{EEF37AFD-7D84-41EB-A65A-5AC8CE03BB16}">
          <x14:formula1>
            <xm:f>삭제금지!$I$2:$I$18</xm:f>
          </x14:formula1>
          <xm:sqref>F5:G5</xm:sqref>
        </x14:dataValidation>
        <x14:dataValidation type="list" allowBlank="1" showInputMessage="1" showErrorMessage="1" xr:uid="{F06CEBB8-D7FD-4355-A8C7-18BE7C3A063C}">
          <x14:formula1>
            <xm:f>삭제금지!$K$2:$K$59</xm:f>
          </x14:formula1>
          <xm:sqref>K5:O5</xm:sqref>
        </x14:dataValidation>
        <x14:dataValidation type="list" allowBlank="1" showInputMessage="1" showErrorMessage="1" xr:uid="{D54BF9ED-7E42-4EEB-861E-B125CA9CCCD3}">
          <x14:formula1>
            <xm:f>삭제금지!$L$2:$L$4</xm:f>
          </x14:formula1>
          <xm:sqref>T5:V5</xm:sqref>
        </x14:dataValidation>
        <x14:dataValidation type="list" allowBlank="1" showInputMessage="1" showErrorMessage="1" xr:uid="{09A849E4-6873-4600-A1CC-1CE7ED4E5620}">
          <x14:formula1>
            <xm:f>삭제금지!$H$2:$H$18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4C9B-13D6-4D22-93F6-455C64F4382A}">
  <sheetPr>
    <pageSetUpPr fitToPage="1"/>
  </sheetPr>
  <dimension ref="B1:AD97"/>
  <sheetViews>
    <sheetView zoomScale="90" zoomScaleNormal="90" workbookViewId="0">
      <selection activeCell="B2" sqref="B2:U2"/>
    </sheetView>
  </sheetViews>
  <sheetFormatPr defaultColWidth="8.75" defaultRowHeight="16.5"/>
  <cols>
    <col min="1" max="1" width="2" style="81" customWidth="1"/>
    <col min="2" max="2" width="6.625" style="81" customWidth="1"/>
    <col min="3" max="3" width="9.375" style="81" customWidth="1"/>
    <col min="4" max="4" width="8.75" style="81"/>
    <col min="5" max="5" width="8.5" style="81" customWidth="1"/>
    <col min="6" max="6" width="16.5" style="81" customWidth="1"/>
    <col min="7" max="7" width="6.25" style="81" customWidth="1"/>
    <col min="8" max="8" width="5.625" style="81" customWidth="1"/>
    <col min="9" max="9" width="7.875" style="81" bestFit="1" customWidth="1"/>
    <col min="10" max="10" width="5.625" style="81" customWidth="1"/>
    <col min="11" max="22" width="3.875" style="81" customWidth="1"/>
    <col min="23" max="24" width="3.375" style="81" customWidth="1"/>
    <col min="25" max="25" width="6.375" style="81" customWidth="1"/>
    <col min="26" max="26" width="8.75" style="81"/>
    <col min="27" max="27" width="16.375" style="81" customWidth="1"/>
    <col min="28" max="29" width="12.875" style="81" customWidth="1"/>
    <col min="30" max="30" width="13.875" style="81" customWidth="1"/>
    <col min="31" max="16384" width="8.75" style="81"/>
  </cols>
  <sheetData>
    <row r="1" spans="2:30" ht="17.25" thickBot="1"/>
    <row r="2" spans="2:30" ht="30.75" customHeight="1" thickBot="1">
      <c r="B2" s="312" t="s">
        <v>640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3"/>
      <c r="V2" s="314" t="s">
        <v>130</v>
      </c>
      <c r="W2" s="315"/>
      <c r="X2" s="310">
        <v>2027</v>
      </c>
      <c r="Y2" s="311"/>
      <c r="AA2" s="316" t="s">
        <v>143</v>
      </c>
      <c r="AB2" s="10" t="s">
        <v>144</v>
      </c>
      <c r="AC2" s="15" t="s">
        <v>150</v>
      </c>
      <c r="AD2" s="11" t="s">
        <v>145</v>
      </c>
    </row>
    <row r="3" spans="2:30" ht="20.100000000000001" customHeight="1" thickBot="1">
      <c r="B3" s="368" t="s">
        <v>358</v>
      </c>
      <c r="C3" s="370" t="s">
        <v>53</v>
      </c>
      <c r="D3" s="371"/>
      <c r="E3" s="371"/>
      <c r="F3" s="370" t="s">
        <v>64</v>
      </c>
      <c r="G3" s="374"/>
      <c r="H3" s="370" t="s">
        <v>54</v>
      </c>
      <c r="I3" s="371"/>
      <c r="J3" s="371"/>
      <c r="K3" s="370" t="s">
        <v>55</v>
      </c>
      <c r="L3" s="371"/>
      <c r="M3" s="371"/>
      <c r="N3" s="371"/>
      <c r="O3" s="374"/>
      <c r="P3" s="376" t="s">
        <v>56</v>
      </c>
      <c r="Q3" s="377"/>
      <c r="R3" s="377"/>
      <c r="S3" s="377"/>
      <c r="T3" s="377"/>
      <c r="U3" s="377"/>
      <c r="V3" s="377"/>
      <c r="W3" s="377"/>
      <c r="X3" s="377"/>
      <c r="Y3" s="378"/>
      <c r="AA3" s="317"/>
      <c r="AB3" s="12" t="s">
        <v>146</v>
      </c>
      <c r="AC3" s="16" t="s">
        <v>511</v>
      </c>
      <c r="AD3" s="82" t="s">
        <v>512</v>
      </c>
    </row>
    <row r="4" spans="2:30" ht="20.100000000000001" customHeight="1" thickBot="1">
      <c r="B4" s="369"/>
      <c r="C4" s="372"/>
      <c r="D4" s="373"/>
      <c r="E4" s="373"/>
      <c r="F4" s="372"/>
      <c r="G4" s="375"/>
      <c r="H4" s="372"/>
      <c r="I4" s="373"/>
      <c r="J4" s="373"/>
      <c r="K4" s="372"/>
      <c r="L4" s="373"/>
      <c r="M4" s="373"/>
      <c r="N4" s="373"/>
      <c r="O4" s="375"/>
      <c r="P4" s="376" t="s">
        <v>127</v>
      </c>
      <c r="Q4" s="377"/>
      <c r="R4" s="377"/>
      <c r="S4" s="377"/>
      <c r="T4" s="376" t="s">
        <v>61</v>
      </c>
      <c r="U4" s="377"/>
      <c r="V4" s="378"/>
      <c r="W4" s="377" t="s">
        <v>128</v>
      </c>
      <c r="X4" s="377"/>
      <c r="Y4" s="378"/>
      <c r="AA4" s="317"/>
      <c r="AB4" s="13" t="s">
        <v>629</v>
      </c>
      <c r="AC4" s="17" t="s">
        <v>627</v>
      </c>
      <c r="AD4" s="82" t="s">
        <v>513</v>
      </c>
    </row>
    <row r="5" spans="2:30" ht="32.1" customHeight="1" thickBot="1">
      <c r="B5" s="18" t="s">
        <v>510</v>
      </c>
      <c r="C5" s="332" t="s">
        <v>514</v>
      </c>
      <c r="D5" s="333"/>
      <c r="E5" s="334"/>
      <c r="F5" s="332" t="s">
        <v>525</v>
      </c>
      <c r="G5" s="338"/>
      <c r="H5" s="337" t="s">
        <v>528</v>
      </c>
      <c r="I5" s="333"/>
      <c r="J5" s="334"/>
      <c r="K5" s="332"/>
      <c r="L5" s="333"/>
      <c r="M5" s="333"/>
      <c r="N5" s="333"/>
      <c r="O5" s="338"/>
      <c r="P5" s="337" t="s">
        <v>529</v>
      </c>
      <c r="Q5" s="333"/>
      <c r="R5" s="333"/>
      <c r="S5" s="334"/>
      <c r="T5" s="332" t="s">
        <v>34</v>
      </c>
      <c r="U5" s="333"/>
      <c r="V5" s="334"/>
      <c r="W5" s="335" t="s">
        <v>638</v>
      </c>
      <c r="X5" s="336"/>
      <c r="Y5" s="516"/>
      <c r="AA5" s="318"/>
      <c r="AB5" s="14" t="s">
        <v>147</v>
      </c>
      <c r="AC5" s="79" t="s">
        <v>627</v>
      </c>
      <c r="AD5" s="88" t="s">
        <v>513</v>
      </c>
    </row>
    <row r="6" spans="2:30" ht="15.75" customHeight="1" thickBot="1">
      <c r="U6" s="342"/>
      <c r="V6" s="342"/>
      <c r="W6" s="342"/>
      <c r="X6" s="342"/>
      <c r="Y6" s="342"/>
    </row>
    <row r="7" spans="2:30" s="9" customFormat="1" ht="22.5" customHeight="1">
      <c r="B7" s="343" t="s">
        <v>2</v>
      </c>
      <c r="C7" s="344"/>
      <c r="D7" s="347" t="s">
        <v>120</v>
      </c>
      <c r="E7" s="349" t="s">
        <v>57</v>
      </c>
      <c r="F7" s="350"/>
      <c r="G7" s="351"/>
      <c r="H7" s="352" t="s">
        <v>133</v>
      </c>
      <c r="I7" s="358" t="s">
        <v>134</v>
      </c>
      <c r="J7" s="362" t="s">
        <v>135</v>
      </c>
      <c r="K7" s="357" t="s">
        <v>58</v>
      </c>
      <c r="L7" s="358"/>
      <c r="M7" s="358"/>
      <c r="N7" s="359"/>
      <c r="O7" s="360" t="s">
        <v>59</v>
      </c>
      <c r="P7" s="358"/>
      <c r="Q7" s="358"/>
      <c r="R7" s="359"/>
      <c r="S7" s="357" t="s">
        <v>60</v>
      </c>
      <c r="T7" s="358"/>
      <c r="U7" s="358"/>
      <c r="V7" s="361"/>
      <c r="W7" s="352" t="s">
        <v>136</v>
      </c>
      <c r="X7" s="362"/>
      <c r="Y7" s="351" t="s">
        <v>137</v>
      </c>
      <c r="Z7" s="8"/>
    </row>
    <row r="8" spans="2:30" s="9" customFormat="1" ht="22.5" customHeight="1" thickBot="1">
      <c r="B8" s="345"/>
      <c r="C8" s="346"/>
      <c r="D8" s="348"/>
      <c r="E8" s="92" t="s">
        <v>18</v>
      </c>
      <c r="F8" s="365" t="s">
        <v>19</v>
      </c>
      <c r="G8" s="366"/>
      <c r="H8" s="353"/>
      <c r="I8" s="355"/>
      <c r="J8" s="363"/>
      <c r="K8" s="354" t="s">
        <v>0</v>
      </c>
      <c r="L8" s="355"/>
      <c r="M8" s="355" t="s">
        <v>62</v>
      </c>
      <c r="N8" s="367"/>
      <c r="O8" s="379" t="s">
        <v>0</v>
      </c>
      <c r="P8" s="355"/>
      <c r="Q8" s="355" t="s">
        <v>62</v>
      </c>
      <c r="R8" s="367"/>
      <c r="S8" s="354" t="s">
        <v>0</v>
      </c>
      <c r="T8" s="355"/>
      <c r="U8" s="355" t="s">
        <v>62</v>
      </c>
      <c r="V8" s="356"/>
      <c r="W8" s="353"/>
      <c r="X8" s="363"/>
      <c r="Y8" s="364"/>
      <c r="AA8" s="464" t="s">
        <v>497</v>
      </c>
      <c r="AB8" s="464"/>
      <c r="AC8" s="464"/>
      <c r="AD8" s="464"/>
    </row>
    <row r="9" spans="2:30" ht="16.5" customHeight="1" thickBot="1">
      <c r="B9" s="475" t="s">
        <v>336</v>
      </c>
      <c r="C9" s="325"/>
      <c r="D9" s="327" t="s">
        <v>21</v>
      </c>
      <c r="E9" s="93" t="s">
        <v>12</v>
      </c>
      <c r="F9" s="329" t="s">
        <v>200</v>
      </c>
      <c r="G9" s="294"/>
      <c r="H9" s="94">
        <v>4</v>
      </c>
      <c r="I9" s="95" t="s">
        <v>337</v>
      </c>
      <c r="J9" s="96">
        <v>4</v>
      </c>
      <c r="K9" s="329">
        <v>4</v>
      </c>
      <c r="L9" s="289"/>
      <c r="M9" s="292"/>
      <c r="N9" s="293"/>
      <c r="O9" s="288"/>
      <c r="P9" s="289"/>
      <c r="Q9" s="292"/>
      <c r="R9" s="293"/>
      <c r="S9" s="288"/>
      <c r="T9" s="289"/>
      <c r="U9" s="292"/>
      <c r="V9" s="294"/>
      <c r="W9" s="97">
        <f>SUM(K9:V9)</f>
        <v>4</v>
      </c>
      <c r="X9" s="380">
        <f>SUM(W9:W12)</f>
        <v>14</v>
      </c>
      <c r="Y9" s="295">
        <v>24</v>
      </c>
      <c r="AA9" s="83" t="s">
        <v>18</v>
      </c>
      <c r="AB9" s="84" t="s">
        <v>503</v>
      </c>
      <c r="AC9" s="84" t="s">
        <v>504</v>
      </c>
      <c r="AD9" s="85" t="s">
        <v>505</v>
      </c>
    </row>
    <row r="10" spans="2:30" ht="16.5" customHeight="1" thickBot="1">
      <c r="B10" s="476"/>
      <c r="C10" s="326"/>
      <c r="D10" s="328"/>
      <c r="E10" s="98" t="s">
        <v>12</v>
      </c>
      <c r="F10" s="331" t="s">
        <v>201</v>
      </c>
      <c r="G10" s="286"/>
      <c r="H10" s="99">
        <v>4</v>
      </c>
      <c r="I10" s="100" t="s">
        <v>337</v>
      </c>
      <c r="J10" s="101">
        <v>4</v>
      </c>
      <c r="K10" s="331"/>
      <c r="L10" s="285"/>
      <c r="M10" s="282">
        <v>4</v>
      </c>
      <c r="N10" s="283"/>
      <c r="O10" s="284"/>
      <c r="P10" s="285"/>
      <c r="Q10" s="282"/>
      <c r="R10" s="283"/>
      <c r="S10" s="284"/>
      <c r="T10" s="285"/>
      <c r="U10" s="282"/>
      <c r="V10" s="286"/>
      <c r="W10" s="102">
        <f t="shared" ref="W10:W24" si="0">SUM(K10:V10)</f>
        <v>4</v>
      </c>
      <c r="X10" s="381"/>
      <c r="Y10" s="295"/>
      <c r="AA10" s="86" t="s">
        <v>499</v>
      </c>
      <c r="AB10" s="87">
        <v>4</v>
      </c>
      <c r="AC10" s="87">
        <v>-1</v>
      </c>
      <c r="AD10" s="82" t="s">
        <v>337</v>
      </c>
    </row>
    <row r="11" spans="2:30" ht="16.5" customHeight="1" thickBot="1">
      <c r="B11" s="476"/>
      <c r="C11" s="326"/>
      <c r="D11" s="328"/>
      <c r="E11" s="103" t="s">
        <v>535</v>
      </c>
      <c r="F11" s="331" t="s">
        <v>4</v>
      </c>
      <c r="G11" s="286"/>
      <c r="H11" s="99">
        <v>4</v>
      </c>
      <c r="I11" s="100" t="s">
        <v>337</v>
      </c>
      <c r="J11" s="101">
        <v>3</v>
      </c>
      <c r="K11" s="331"/>
      <c r="L11" s="285"/>
      <c r="M11" s="282"/>
      <c r="N11" s="283"/>
      <c r="O11" s="284">
        <v>3</v>
      </c>
      <c r="P11" s="285"/>
      <c r="Q11" s="282"/>
      <c r="R11" s="283"/>
      <c r="S11" s="284"/>
      <c r="T11" s="285"/>
      <c r="U11" s="282"/>
      <c r="V11" s="286"/>
      <c r="W11" s="102">
        <f t="shared" si="0"/>
        <v>3</v>
      </c>
      <c r="X11" s="381"/>
      <c r="Y11" s="295"/>
      <c r="AA11" s="86"/>
      <c r="AB11" s="87"/>
      <c r="AC11" s="87"/>
      <c r="AD11" s="82"/>
    </row>
    <row r="12" spans="2:30" ht="16.5" customHeight="1" thickBot="1">
      <c r="B12" s="476"/>
      <c r="C12" s="326"/>
      <c r="D12" s="330"/>
      <c r="E12" s="103" t="s">
        <v>535</v>
      </c>
      <c r="F12" s="382" t="s">
        <v>203</v>
      </c>
      <c r="G12" s="307"/>
      <c r="H12" s="104">
        <v>4</v>
      </c>
      <c r="I12" s="105" t="s">
        <v>339</v>
      </c>
      <c r="J12" s="106">
        <v>3</v>
      </c>
      <c r="K12" s="382"/>
      <c r="L12" s="306"/>
      <c r="M12" s="299"/>
      <c r="N12" s="300"/>
      <c r="O12" s="305"/>
      <c r="P12" s="306"/>
      <c r="Q12" s="299">
        <v>3</v>
      </c>
      <c r="R12" s="300"/>
      <c r="S12" s="305"/>
      <c r="T12" s="306"/>
      <c r="U12" s="299"/>
      <c r="V12" s="307"/>
      <c r="W12" s="102">
        <f t="shared" si="0"/>
        <v>3</v>
      </c>
      <c r="X12" s="381"/>
      <c r="Y12" s="295"/>
      <c r="AA12" s="86" t="s">
        <v>500</v>
      </c>
      <c r="AB12" s="87">
        <v>3</v>
      </c>
      <c r="AC12" s="87"/>
      <c r="AD12" s="82">
        <v>3</v>
      </c>
    </row>
    <row r="13" spans="2:30" ht="16.5" customHeight="1" thickBot="1">
      <c r="B13" s="476"/>
      <c r="C13" s="326"/>
      <c r="D13" s="327" t="s">
        <v>5</v>
      </c>
      <c r="E13" s="93" t="s">
        <v>12</v>
      </c>
      <c r="F13" s="329" t="s">
        <v>212</v>
      </c>
      <c r="G13" s="294"/>
      <c r="H13" s="94">
        <v>4</v>
      </c>
      <c r="I13" s="95" t="s">
        <v>337</v>
      </c>
      <c r="J13" s="96">
        <v>3</v>
      </c>
      <c r="K13" s="329">
        <v>3</v>
      </c>
      <c r="L13" s="289"/>
      <c r="M13" s="292"/>
      <c r="N13" s="293"/>
      <c r="O13" s="288"/>
      <c r="P13" s="289"/>
      <c r="Q13" s="292"/>
      <c r="R13" s="293"/>
      <c r="S13" s="288"/>
      <c r="T13" s="289"/>
      <c r="U13" s="292"/>
      <c r="V13" s="294"/>
      <c r="W13" s="97">
        <f t="shared" si="0"/>
        <v>3</v>
      </c>
      <c r="X13" s="380">
        <f>SUM(W13:W14)</f>
        <v>6</v>
      </c>
      <c r="Y13" s="295"/>
      <c r="AA13" s="86" t="s">
        <v>501</v>
      </c>
      <c r="AB13" s="87">
        <v>4</v>
      </c>
      <c r="AC13" s="87" t="s">
        <v>509</v>
      </c>
      <c r="AD13" s="82" t="s">
        <v>339</v>
      </c>
    </row>
    <row r="14" spans="2:30" ht="16.5" customHeight="1" thickBot="1">
      <c r="B14" s="476"/>
      <c r="C14" s="326"/>
      <c r="D14" s="328"/>
      <c r="E14" s="98" t="s">
        <v>12</v>
      </c>
      <c r="F14" s="331" t="s">
        <v>214</v>
      </c>
      <c r="G14" s="286"/>
      <c r="H14" s="99">
        <v>4</v>
      </c>
      <c r="I14" s="100" t="s">
        <v>337</v>
      </c>
      <c r="J14" s="101">
        <v>3</v>
      </c>
      <c r="K14" s="331"/>
      <c r="L14" s="285"/>
      <c r="M14" s="282">
        <v>3</v>
      </c>
      <c r="N14" s="283"/>
      <c r="O14" s="284"/>
      <c r="P14" s="285"/>
      <c r="Q14" s="282"/>
      <c r="R14" s="283"/>
      <c r="S14" s="284"/>
      <c r="T14" s="285"/>
      <c r="U14" s="282"/>
      <c r="V14" s="286"/>
      <c r="W14" s="102">
        <f t="shared" si="0"/>
        <v>3</v>
      </c>
      <c r="X14" s="381"/>
      <c r="Y14" s="295"/>
      <c r="AA14" s="89" t="s">
        <v>502</v>
      </c>
      <c r="AB14" s="90">
        <v>3</v>
      </c>
      <c r="AC14" s="90" t="s">
        <v>509</v>
      </c>
      <c r="AD14" s="88" t="s">
        <v>349</v>
      </c>
    </row>
    <row r="15" spans="2:30" ht="16.5" customHeight="1" thickBot="1">
      <c r="B15" s="476"/>
      <c r="C15" s="326"/>
      <c r="D15" s="327" t="s">
        <v>6</v>
      </c>
      <c r="E15" s="93" t="s">
        <v>12</v>
      </c>
      <c r="F15" s="329" t="s">
        <v>219</v>
      </c>
      <c r="G15" s="294"/>
      <c r="H15" s="94">
        <v>4</v>
      </c>
      <c r="I15" s="95" t="s">
        <v>337</v>
      </c>
      <c r="J15" s="96">
        <v>3</v>
      </c>
      <c r="K15" s="329">
        <v>3</v>
      </c>
      <c r="L15" s="289"/>
      <c r="M15" s="292"/>
      <c r="N15" s="293"/>
      <c r="O15" s="288"/>
      <c r="P15" s="289"/>
      <c r="Q15" s="292"/>
      <c r="R15" s="293"/>
      <c r="S15" s="288"/>
      <c r="T15" s="289"/>
      <c r="U15" s="292"/>
      <c r="V15" s="294"/>
      <c r="W15" s="97">
        <f t="shared" si="0"/>
        <v>3</v>
      </c>
      <c r="X15" s="380">
        <f t="shared" ref="X15" si="1">SUM(W15:W18)</f>
        <v>14</v>
      </c>
      <c r="Y15" s="295"/>
    </row>
    <row r="16" spans="2:30" ht="16.5" customHeight="1" thickBot="1">
      <c r="B16" s="476"/>
      <c r="C16" s="326"/>
      <c r="D16" s="328"/>
      <c r="E16" s="98" t="s">
        <v>12</v>
      </c>
      <c r="F16" s="331" t="s">
        <v>225</v>
      </c>
      <c r="G16" s="286"/>
      <c r="H16" s="99">
        <v>4</v>
      </c>
      <c r="I16" s="100" t="s">
        <v>337</v>
      </c>
      <c r="J16" s="101">
        <v>3</v>
      </c>
      <c r="K16" s="331"/>
      <c r="L16" s="285"/>
      <c r="M16" s="282">
        <v>3</v>
      </c>
      <c r="N16" s="283"/>
      <c r="O16" s="284"/>
      <c r="P16" s="285"/>
      <c r="Q16" s="282"/>
      <c r="R16" s="283"/>
      <c r="S16" s="284"/>
      <c r="T16" s="285"/>
      <c r="U16" s="282"/>
      <c r="V16" s="286"/>
      <c r="W16" s="102">
        <f t="shared" si="0"/>
        <v>3</v>
      </c>
      <c r="X16" s="381"/>
      <c r="Y16" s="295"/>
    </row>
    <row r="17" spans="2:29" ht="16.5" customHeight="1" thickBot="1">
      <c r="B17" s="476"/>
      <c r="C17" s="326"/>
      <c r="D17" s="328"/>
      <c r="E17" s="107" t="s">
        <v>535</v>
      </c>
      <c r="F17" s="331" t="s">
        <v>38</v>
      </c>
      <c r="G17" s="286"/>
      <c r="H17" s="99">
        <v>4</v>
      </c>
      <c r="I17" s="100" t="s">
        <v>337</v>
      </c>
      <c r="J17" s="101">
        <v>4</v>
      </c>
      <c r="K17" s="331"/>
      <c r="L17" s="285"/>
      <c r="M17" s="282"/>
      <c r="N17" s="283"/>
      <c r="O17" s="284">
        <v>4</v>
      </c>
      <c r="P17" s="285"/>
      <c r="Q17" s="282"/>
      <c r="R17" s="283"/>
      <c r="S17" s="284"/>
      <c r="T17" s="285"/>
      <c r="U17" s="282"/>
      <c r="V17" s="286"/>
      <c r="W17" s="102">
        <f t="shared" si="0"/>
        <v>4</v>
      </c>
      <c r="X17" s="381"/>
      <c r="Y17" s="295"/>
    </row>
    <row r="18" spans="2:29" ht="16.5" customHeight="1" thickBot="1">
      <c r="B18" s="476"/>
      <c r="C18" s="326"/>
      <c r="D18" s="330"/>
      <c r="E18" s="112" t="s">
        <v>535</v>
      </c>
      <c r="F18" s="382" t="s">
        <v>40</v>
      </c>
      <c r="G18" s="307"/>
      <c r="H18" s="104">
        <v>4</v>
      </c>
      <c r="I18" s="105" t="s">
        <v>339</v>
      </c>
      <c r="J18" s="106">
        <v>4</v>
      </c>
      <c r="K18" s="382"/>
      <c r="L18" s="306"/>
      <c r="M18" s="299"/>
      <c r="N18" s="300"/>
      <c r="O18" s="305"/>
      <c r="P18" s="306"/>
      <c r="Q18" s="299">
        <v>4</v>
      </c>
      <c r="R18" s="300"/>
      <c r="S18" s="305"/>
      <c r="T18" s="306"/>
      <c r="U18" s="299"/>
      <c r="V18" s="307"/>
      <c r="W18" s="102">
        <f t="shared" si="0"/>
        <v>4</v>
      </c>
      <c r="X18" s="381"/>
      <c r="Y18" s="295"/>
    </row>
    <row r="19" spans="2:29" ht="16.5" customHeight="1" thickBot="1">
      <c r="B19" s="476"/>
      <c r="C19" s="326"/>
      <c r="D19" s="327" t="s">
        <v>341</v>
      </c>
      <c r="E19" s="93" t="s">
        <v>12</v>
      </c>
      <c r="F19" s="329" t="s">
        <v>233</v>
      </c>
      <c r="G19" s="294"/>
      <c r="H19" s="94">
        <v>3</v>
      </c>
      <c r="I19" s="113" t="s">
        <v>342</v>
      </c>
      <c r="J19" s="96">
        <v>3</v>
      </c>
      <c r="K19" s="383">
        <v>3</v>
      </c>
      <c r="L19" s="323"/>
      <c r="M19" s="320"/>
      <c r="N19" s="321"/>
      <c r="O19" s="322"/>
      <c r="P19" s="323"/>
      <c r="Q19" s="320"/>
      <c r="R19" s="321"/>
      <c r="S19" s="322"/>
      <c r="T19" s="323"/>
      <c r="U19" s="320"/>
      <c r="V19" s="324"/>
      <c r="W19" s="97">
        <f t="shared" si="0"/>
        <v>3</v>
      </c>
      <c r="X19" s="380">
        <f>SUM(W19:W20)</f>
        <v>6</v>
      </c>
      <c r="Y19" s="295">
        <v>6</v>
      </c>
    </row>
    <row r="20" spans="2:29" ht="16.5" customHeight="1" thickBot="1">
      <c r="B20" s="476"/>
      <c r="C20" s="326"/>
      <c r="D20" s="328"/>
      <c r="E20" s="114" t="s">
        <v>12</v>
      </c>
      <c r="F20" s="385" t="s">
        <v>234</v>
      </c>
      <c r="G20" s="309"/>
      <c r="H20" s="115">
        <v>3</v>
      </c>
      <c r="I20" s="116" t="s">
        <v>342</v>
      </c>
      <c r="J20" s="117">
        <v>3</v>
      </c>
      <c r="K20" s="382"/>
      <c r="L20" s="306"/>
      <c r="M20" s="299">
        <v>3</v>
      </c>
      <c r="N20" s="300"/>
      <c r="O20" s="305"/>
      <c r="P20" s="306"/>
      <c r="Q20" s="299"/>
      <c r="R20" s="300"/>
      <c r="S20" s="305"/>
      <c r="T20" s="306"/>
      <c r="U20" s="299"/>
      <c r="V20" s="307"/>
      <c r="W20" s="118">
        <f t="shared" si="0"/>
        <v>3</v>
      </c>
      <c r="X20" s="384"/>
      <c r="Y20" s="295"/>
      <c r="AA20" s="319"/>
      <c r="AB20" s="319"/>
      <c r="AC20" s="91"/>
    </row>
    <row r="21" spans="2:29" ht="16.5" customHeight="1" thickBot="1">
      <c r="B21" s="476"/>
      <c r="C21" s="326"/>
      <c r="D21" s="328"/>
      <c r="E21" s="93" t="s">
        <v>12</v>
      </c>
      <c r="F21" s="329" t="s">
        <v>236</v>
      </c>
      <c r="G21" s="294"/>
      <c r="H21" s="94">
        <v>4</v>
      </c>
      <c r="I21" s="113" t="s">
        <v>337</v>
      </c>
      <c r="J21" s="96">
        <v>3</v>
      </c>
      <c r="K21" s="329"/>
      <c r="L21" s="289"/>
      <c r="M21" s="292"/>
      <c r="N21" s="293"/>
      <c r="O21" s="288">
        <v>3</v>
      </c>
      <c r="P21" s="289"/>
      <c r="Q21" s="292"/>
      <c r="R21" s="293"/>
      <c r="S21" s="288"/>
      <c r="T21" s="289"/>
      <c r="U21" s="292"/>
      <c r="V21" s="294"/>
      <c r="W21" s="97">
        <f t="shared" si="0"/>
        <v>3</v>
      </c>
      <c r="X21" s="380">
        <f>SUM(W21:W22)</f>
        <v>6</v>
      </c>
      <c r="Y21" s="295">
        <v>12</v>
      </c>
    </row>
    <row r="22" spans="2:29" ht="16.5" customHeight="1" thickBot="1">
      <c r="B22" s="476"/>
      <c r="C22" s="326"/>
      <c r="D22" s="330"/>
      <c r="E22" s="112" t="s">
        <v>12</v>
      </c>
      <c r="F22" s="382" t="s">
        <v>237</v>
      </c>
      <c r="G22" s="307"/>
      <c r="H22" s="104">
        <v>4</v>
      </c>
      <c r="I22" s="105" t="s">
        <v>337</v>
      </c>
      <c r="J22" s="106">
        <v>3</v>
      </c>
      <c r="K22" s="382"/>
      <c r="L22" s="306"/>
      <c r="M22" s="299"/>
      <c r="N22" s="300"/>
      <c r="O22" s="305"/>
      <c r="P22" s="306"/>
      <c r="Q22" s="299">
        <v>3</v>
      </c>
      <c r="R22" s="300"/>
      <c r="S22" s="305"/>
      <c r="T22" s="306"/>
      <c r="U22" s="299"/>
      <c r="V22" s="307"/>
      <c r="W22" s="118">
        <f t="shared" si="0"/>
        <v>3</v>
      </c>
      <c r="X22" s="384"/>
      <c r="Y22" s="295"/>
    </row>
    <row r="23" spans="2:29" ht="16.5" customHeight="1" thickBot="1">
      <c r="B23" s="476"/>
      <c r="C23" s="326"/>
      <c r="D23" s="327" t="s">
        <v>26</v>
      </c>
      <c r="E23" s="93" t="s">
        <v>12</v>
      </c>
      <c r="F23" s="329" t="s">
        <v>254</v>
      </c>
      <c r="G23" s="294"/>
      <c r="H23" s="94">
        <v>4</v>
      </c>
      <c r="I23" s="113" t="s">
        <v>337</v>
      </c>
      <c r="J23" s="96">
        <v>4</v>
      </c>
      <c r="K23" s="329"/>
      <c r="L23" s="289"/>
      <c r="M23" s="292"/>
      <c r="N23" s="293"/>
      <c r="O23" s="288">
        <v>4</v>
      </c>
      <c r="P23" s="289"/>
      <c r="Q23" s="292"/>
      <c r="R23" s="293"/>
      <c r="S23" s="288"/>
      <c r="T23" s="289"/>
      <c r="U23" s="292"/>
      <c r="V23" s="294"/>
      <c r="W23" s="97">
        <f t="shared" si="0"/>
        <v>4</v>
      </c>
      <c r="X23" s="325">
        <f>SUM(W23:W24)</f>
        <v>8</v>
      </c>
      <c r="Y23" s="295"/>
    </row>
    <row r="24" spans="2:29" ht="16.5" customHeight="1" thickBot="1">
      <c r="B24" s="476"/>
      <c r="C24" s="326"/>
      <c r="D24" s="328"/>
      <c r="E24" s="98" t="s">
        <v>12</v>
      </c>
      <c r="F24" s="331" t="s">
        <v>255</v>
      </c>
      <c r="G24" s="286"/>
      <c r="H24" s="99">
        <v>4</v>
      </c>
      <c r="I24" s="100" t="s">
        <v>337</v>
      </c>
      <c r="J24" s="101">
        <v>4</v>
      </c>
      <c r="K24" s="331"/>
      <c r="L24" s="285"/>
      <c r="M24" s="282"/>
      <c r="N24" s="283"/>
      <c r="O24" s="284"/>
      <c r="P24" s="285"/>
      <c r="Q24" s="282">
        <v>4</v>
      </c>
      <c r="R24" s="283"/>
      <c r="S24" s="284"/>
      <c r="T24" s="285"/>
      <c r="U24" s="282"/>
      <c r="V24" s="286"/>
      <c r="W24" s="102">
        <f t="shared" si="0"/>
        <v>4</v>
      </c>
      <c r="X24" s="326"/>
      <c r="Y24" s="295"/>
    </row>
    <row r="25" spans="2:29" ht="16.5" customHeight="1" thickBot="1">
      <c r="B25" s="476"/>
      <c r="C25" s="326"/>
      <c r="D25" s="327" t="s">
        <v>8</v>
      </c>
      <c r="E25" s="93" t="s">
        <v>347</v>
      </c>
      <c r="F25" s="329" t="s">
        <v>348</v>
      </c>
      <c r="G25" s="294"/>
      <c r="H25" s="94">
        <v>3</v>
      </c>
      <c r="I25" s="113" t="s">
        <v>349</v>
      </c>
      <c r="J25" s="96">
        <f t="shared" ref="J25:J26" si="2">SUM(K25:V25)</f>
        <v>2</v>
      </c>
      <c r="K25" s="329">
        <v>2</v>
      </c>
      <c r="L25" s="289"/>
      <c r="M25" s="292"/>
      <c r="N25" s="293"/>
      <c r="O25" s="288"/>
      <c r="P25" s="289"/>
      <c r="Q25" s="292"/>
      <c r="R25" s="293"/>
      <c r="S25" s="288"/>
      <c r="T25" s="289"/>
      <c r="U25" s="292"/>
      <c r="V25" s="294"/>
      <c r="W25" s="97">
        <f>SUM(K25:V25)</f>
        <v>2</v>
      </c>
      <c r="X25" s="392">
        <f>SUM(W25:W29)</f>
        <v>8</v>
      </c>
      <c r="Y25" s="295">
        <v>8</v>
      </c>
    </row>
    <row r="26" spans="2:29" ht="16.5" customHeight="1" thickBot="1">
      <c r="B26" s="476"/>
      <c r="C26" s="326"/>
      <c r="D26" s="328"/>
      <c r="E26" s="98" t="s">
        <v>347</v>
      </c>
      <c r="F26" s="331" t="s">
        <v>350</v>
      </c>
      <c r="G26" s="286"/>
      <c r="H26" s="99">
        <v>3</v>
      </c>
      <c r="I26" s="100" t="s">
        <v>349</v>
      </c>
      <c r="J26" s="101">
        <f t="shared" si="2"/>
        <v>2</v>
      </c>
      <c r="K26" s="331"/>
      <c r="L26" s="285"/>
      <c r="M26" s="282">
        <v>2</v>
      </c>
      <c r="N26" s="283"/>
      <c r="O26" s="284"/>
      <c r="P26" s="285"/>
      <c r="Q26" s="282"/>
      <c r="R26" s="283"/>
      <c r="S26" s="284"/>
      <c r="T26" s="285"/>
      <c r="U26" s="282"/>
      <c r="V26" s="286"/>
      <c r="W26" s="102">
        <f t="shared" ref="W26:W29" si="3">SUM(K26:V26)</f>
        <v>2</v>
      </c>
      <c r="X26" s="393"/>
      <c r="Y26" s="295"/>
    </row>
    <row r="27" spans="2:29" ht="16.5" customHeight="1" thickBot="1">
      <c r="B27" s="476"/>
      <c r="C27" s="326"/>
      <c r="D27" s="328"/>
      <c r="E27" s="98" t="s">
        <v>338</v>
      </c>
      <c r="F27" s="331" t="s">
        <v>518</v>
      </c>
      <c r="G27" s="286"/>
      <c r="H27" s="99">
        <v>3</v>
      </c>
      <c r="I27" s="100" t="s">
        <v>349</v>
      </c>
      <c r="J27" s="101">
        <v>1</v>
      </c>
      <c r="K27" s="331"/>
      <c r="L27" s="285"/>
      <c r="M27" s="282"/>
      <c r="N27" s="283"/>
      <c r="O27" s="284">
        <v>1</v>
      </c>
      <c r="P27" s="285"/>
      <c r="Q27" s="282"/>
      <c r="R27" s="283"/>
      <c r="S27" s="284"/>
      <c r="T27" s="285"/>
      <c r="U27" s="282"/>
      <c r="V27" s="286"/>
      <c r="W27" s="102">
        <f t="shared" si="3"/>
        <v>1</v>
      </c>
      <c r="X27" s="393"/>
      <c r="Y27" s="295"/>
    </row>
    <row r="28" spans="2:29" ht="16.5" customHeight="1" thickBot="1">
      <c r="B28" s="476"/>
      <c r="C28" s="326"/>
      <c r="D28" s="328"/>
      <c r="E28" s="98" t="s">
        <v>338</v>
      </c>
      <c r="F28" s="331" t="s">
        <v>519</v>
      </c>
      <c r="G28" s="286"/>
      <c r="H28" s="99">
        <v>3</v>
      </c>
      <c r="I28" s="100" t="s">
        <v>349</v>
      </c>
      <c r="J28" s="101">
        <v>2</v>
      </c>
      <c r="K28" s="331"/>
      <c r="L28" s="285"/>
      <c r="M28" s="282"/>
      <c r="N28" s="283"/>
      <c r="O28" s="284"/>
      <c r="P28" s="285"/>
      <c r="Q28" s="282">
        <v>2</v>
      </c>
      <c r="R28" s="283"/>
      <c r="S28" s="284"/>
      <c r="T28" s="285"/>
      <c r="U28" s="282"/>
      <c r="V28" s="286"/>
      <c r="W28" s="102">
        <f t="shared" si="3"/>
        <v>2</v>
      </c>
      <c r="X28" s="393"/>
      <c r="Y28" s="295"/>
    </row>
    <row r="29" spans="2:29" ht="16.5" customHeight="1" thickBot="1">
      <c r="B29" s="476"/>
      <c r="C29" s="326"/>
      <c r="D29" s="330"/>
      <c r="E29" s="112" t="s">
        <v>338</v>
      </c>
      <c r="F29" s="382" t="s">
        <v>520</v>
      </c>
      <c r="G29" s="307"/>
      <c r="H29" s="104">
        <v>2</v>
      </c>
      <c r="I29" s="105" t="s">
        <v>351</v>
      </c>
      <c r="J29" s="106">
        <v>1</v>
      </c>
      <c r="K29" s="382"/>
      <c r="L29" s="306"/>
      <c r="M29" s="299"/>
      <c r="N29" s="300"/>
      <c r="O29" s="305"/>
      <c r="P29" s="306"/>
      <c r="Q29" s="299"/>
      <c r="R29" s="300"/>
      <c r="S29" s="305">
        <v>1</v>
      </c>
      <c r="T29" s="306"/>
      <c r="U29" s="299"/>
      <c r="V29" s="307"/>
      <c r="W29" s="118">
        <f t="shared" si="3"/>
        <v>1</v>
      </c>
      <c r="X29" s="394"/>
      <c r="Y29" s="295"/>
    </row>
    <row r="30" spans="2:29" ht="16.5" customHeight="1" thickBot="1">
      <c r="B30" s="476"/>
      <c r="C30" s="326"/>
      <c r="D30" s="327" t="s">
        <v>28</v>
      </c>
      <c r="E30" s="93" t="s">
        <v>347</v>
      </c>
      <c r="F30" s="329" t="s">
        <v>9</v>
      </c>
      <c r="G30" s="294"/>
      <c r="H30" s="94">
        <v>3</v>
      </c>
      <c r="I30" s="119" t="s">
        <v>349</v>
      </c>
      <c r="J30" s="96">
        <v>3</v>
      </c>
      <c r="K30" s="329">
        <v>3</v>
      </c>
      <c r="L30" s="289"/>
      <c r="M30" s="292"/>
      <c r="N30" s="293"/>
      <c r="O30" s="288"/>
      <c r="P30" s="289"/>
      <c r="Q30" s="292"/>
      <c r="R30" s="293"/>
      <c r="S30" s="288"/>
      <c r="T30" s="289"/>
      <c r="U30" s="292"/>
      <c r="V30" s="294"/>
      <c r="W30" s="386">
        <f>SUM(K30:V31)</f>
        <v>6</v>
      </c>
      <c r="X30" s="387"/>
      <c r="Y30" s="295">
        <v>6</v>
      </c>
    </row>
    <row r="31" spans="2:29" ht="16.5" customHeight="1" thickBot="1">
      <c r="B31" s="476"/>
      <c r="C31" s="326"/>
      <c r="D31" s="328"/>
      <c r="E31" s="103" t="s">
        <v>338</v>
      </c>
      <c r="F31" s="331" t="s">
        <v>280</v>
      </c>
      <c r="G31" s="286"/>
      <c r="H31" s="99">
        <v>3</v>
      </c>
      <c r="I31" s="100" t="s">
        <v>349</v>
      </c>
      <c r="J31" s="101">
        <v>3</v>
      </c>
      <c r="K31" s="331"/>
      <c r="L31" s="285"/>
      <c r="M31" s="282">
        <v>3</v>
      </c>
      <c r="N31" s="283"/>
      <c r="O31" s="284"/>
      <c r="P31" s="285"/>
      <c r="Q31" s="282"/>
      <c r="R31" s="283"/>
      <c r="S31" s="284"/>
      <c r="T31" s="285"/>
      <c r="U31" s="282"/>
      <c r="V31" s="286"/>
      <c r="W31" s="388"/>
      <c r="X31" s="389"/>
      <c r="Y31" s="295"/>
    </row>
    <row r="32" spans="2:29" ht="16.5" customHeight="1" thickBot="1">
      <c r="B32" s="476"/>
      <c r="C32" s="326"/>
      <c r="D32" s="390" t="s">
        <v>352</v>
      </c>
      <c r="E32" s="93" t="s">
        <v>347</v>
      </c>
      <c r="F32" s="329" t="s">
        <v>10</v>
      </c>
      <c r="G32" s="294"/>
      <c r="H32" s="94">
        <v>3</v>
      </c>
      <c r="I32" s="113" t="s">
        <v>349</v>
      </c>
      <c r="J32" s="96">
        <v>3</v>
      </c>
      <c r="K32" s="329">
        <v>3</v>
      </c>
      <c r="L32" s="289"/>
      <c r="M32" s="292"/>
      <c r="N32" s="293"/>
      <c r="O32" s="288"/>
      <c r="P32" s="289"/>
      <c r="Q32" s="292"/>
      <c r="R32" s="293"/>
      <c r="S32" s="288"/>
      <c r="T32" s="289"/>
      <c r="U32" s="292"/>
      <c r="V32" s="294"/>
      <c r="W32" s="386">
        <f>SUM(K32:V34)</f>
        <v>8</v>
      </c>
      <c r="X32" s="387"/>
      <c r="Y32" s="295">
        <v>8</v>
      </c>
    </row>
    <row r="33" spans="2:28" ht="16.5" customHeight="1" thickBot="1">
      <c r="B33" s="476"/>
      <c r="C33" s="326"/>
      <c r="D33" s="391"/>
      <c r="E33" s="103" t="s">
        <v>338</v>
      </c>
      <c r="F33" s="331" t="s">
        <v>288</v>
      </c>
      <c r="G33" s="286"/>
      <c r="H33" s="99">
        <v>3</v>
      </c>
      <c r="I33" s="100" t="s">
        <v>349</v>
      </c>
      <c r="J33" s="101">
        <v>3</v>
      </c>
      <c r="K33" s="331"/>
      <c r="L33" s="285"/>
      <c r="M33" s="282">
        <v>3</v>
      </c>
      <c r="N33" s="283"/>
      <c r="O33" s="284"/>
      <c r="P33" s="285"/>
      <c r="Q33" s="282"/>
      <c r="R33" s="283"/>
      <c r="S33" s="284"/>
      <c r="T33" s="285"/>
      <c r="U33" s="282"/>
      <c r="V33" s="286"/>
      <c r="W33" s="388"/>
      <c r="X33" s="389"/>
      <c r="Y33" s="295"/>
    </row>
    <row r="34" spans="2:28" ht="16.5" customHeight="1" thickBot="1">
      <c r="B34" s="477"/>
      <c r="C34" s="478"/>
      <c r="D34" s="391"/>
      <c r="E34" s="103" t="s">
        <v>535</v>
      </c>
      <c r="F34" s="382" t="s">
        <v>329</v>
      </c>
      <c r="G34" s="307"/>
      <c r="H34" s="104">
        <v>3</v>
      </c>
      <c r="I34" s="105" t="s">
        <v>349</v>
      </c>
      <c r="J34" s="106">
        <v>2</v>
      </c>
      <c r="K34" s="382"/>
      <c r="L34" s="306"/>
      <c r="M34" s="299"/>
      <c r="N34" s="300"/>
      <c r="O34" s="284"/>
      <c r="P34" s="285"/>
      <c r="Q34" s="282"/>
      <c r="R34" s="283"/>
      <c r="S34" s="284">
        <v>2</v>
      </c>
      <c r="T34" s="285"/>
      <c r="U34" s="282"/>
      <c r="V34" s="286"/>
      <c r="W34" s="388"/>
      <c r="X34" s="389"/>
      <c r="Y34" s="295"/>
    </row>
    <row r="35" spans="2:28" ht="16.5" customHeight="1" thickBot="1">
      <c r="B35" s="302" t="s">
        <v>359</v>
      </c>
      <c r="C35" s="461"/>
      <c r="D35" s="461"/>
      <c r="E35" s="461"/>
      <c r="F35" s="461"/>
      <c r="G35" s="441"/>
      <c r="H35" s="120"/>
      <c r="I35" s="121"/>
      <c r="J35" s="120">
        <f>SUM(J9:J34)</f>
        <v>76</v>
      </c>
      <c r="K35" s="474">
        <f>SUM(K9:L34)</f>
        <v>21</v>
      </c>
      <c r="L35" s="296"/>
      <c r="M35" s="296">
        <f>SUM(M9:N34)</f>
        <v>21</v>
      </c>
      <c r="N35" s="297"/>
      <c r="O35" s="298">
        <f>SUM(O9:P34)</f>
        <v>15</v>
      </c>
      <c r="P35" s="296"/>
      <c r="Q35" s="296">
        <f>SUM(Q9:R34)</f>
        <v>16</v>
      </c>
      <c r="R35" s="304"/>
      <c r="S35" s="303">
        <f>SUM(S9:T34)</f>
        <v>3</v>
      </c>
      <c r="T35" s="296"/>
      <c r="U35" s="296">
        <f>SUM(U9:V34)</f>
        <v>0</v>
      </c>
      <c r="V35" s="301"/>
      <c r="W35" s="302">
        <f>SUM(K35:V35)</f>
        <v>76</v>
      </c>
      <c r="X35" s="303"/>
      <c r="Y35" s="122">
        <f>SUM(Y9:Y34)</f>
        <v>64</v>
      </c>
      <c r="AA35" s="395" t="b">
        <f>W35&gt;=Y35</f>
        <v>1</v>
      </c>
      <c r="AB35" s="396"/>
    </row>
    <row r="36" spans="2:28" ht="16.5" customHeight="1">
      <c r="B36" s="476"/>
      <c r="C36" s="326"/>
      <c r="D36" s="488" t="s">
        <v>353</v>
      </c>
      <c r="E36" s="489"/>
      <c r="F36" s="397" t="s">
        <v>618</v>
      </c>
      <c r="G36" s="398"/>
      <c r="H36" s="94"/>
      <c r="I36" s="123"/>
      <c r="J36" s="96">
        <v>2</v>
      </c>
      <c r="K36" s="329"/>
      <c r="L36" s="289"/>
      <c r="M36" s="292"/>
      <c r="N36" s="293"/>
      <c r="O36" s="288"/>
      <c r="P36" s="289"/>
      <c r="Q36" s="292"/>
      <c r="R36" s="293"/>
      <c r="S36" s="288">
        <v>2</v>
      </c>
      <c r="T36" s="289"/>
      <c r="U36" s="292"/>
      <c r="V36" s="294"/>
      <c r="W36" s="290">
        <f>SUM(K36:V36)</f>
        <v>2</v>
      </c>
      <c r="X36" s="291"/>
      <c r="Y36" s="399">
        <v>80</v>
      </c>
    </row>
    <row r="37" spans="2:28" ht="16.5" customHeight="1" thickBot="1">
      <c r="B37" s="476"/>
      <c r="C37" s="326"/>
      <c r="D37" s="483" t="s">
        <v>353</v>
      </c>
      <c r="E37" s="484"/>
      <c r="F37" s="485" t="s">
        <v>619</v>
      </c>
      <c r="G37" s="486"/>
      <c r="H37" s="115"/>
      <c r="I37" s="124"/>
      <c r="J37" s="117">
        <v>2</v>
      </c>
      <c r="K37" s="385"/>
      <c r="L37" s="482"/>
      <c r="M37" s="308"/>
      <c r="N37" s="487"/>
      <c r="O37" s="481"/>
      <c r="P37" s="482"/>
      <c r="Q37" s="308"/>
      <c r="R37" s="487"/>
      <c r="S37" s="481"/>
      <c r="T37" s="482"/>
      <c r="U37" s="308">
        <v>2</v>
      </c>
      <c r="V37" s="309"/>
      <c r="W37" s="278">
        <f>SUM(K37:V37)</f>
        <v>2</v>
      </c>
      <c r="X37" s="279"/>
      <c r="Y37" s="400"/>
    </row>
    <row r="38" spans="2:28" ht="16.5" customHeight="1">
      <c r="B38" s="476"/>
      <c r="C38" s="326"/>
      <c r="D38" s="125" t="s">
        <v>533</v>
      </c>
      <c r="E38" s="126" t="s">
        <v>354</v>
      </c>
      <c r="F38" s="402" t="s">
        <v>530</v>
      </c>
      <c r="G38" s="403"/>
      <c r="H38" s="109"/>
      <c r="I38" s="127"/>
      <c r="J38" s="111">
        <v>4</v>
      </c>
      <c r="K38" s="329">
        <v>4</v>
      </c>
      <c r="L38" s="289"/>
      <c r="M38" s="292"/>
      <c r="N38" s="293"/>
      <c r="O38" s="288"/>
      <c r="P38" s="289"/>
      <c r="Q38" s="292"/>
      <c r="R38" s="293"/>
      <c r="S38" s="288"/>
      <c r="T38" s="289"/>
      <c r="U38" s="292"/>
      <c r="V38" s="294"/>
      <c r="W38" s="290">
        <f t="shared" ref="W38:W47" si="4">SUM(K38:V38)</f>
        <v>4</v>
      </c>
      <c r="X38" s="291"/>
      <c r="Y38" s="400"/>
    </row>
    <row r="39" spans="2:28" ht="16.5" customHeight="1">
      <c r="B39" s="476"/>
      <c r="C39" s="326"/>
      <c r="D39" s="125" t="s">
        <v>533</v>
      </c>
      <c r="E39" s="126" t="s">
        <v>354</v>
      </c>
      <c r="F39" s="404" t="s">
        <v>531</v>
      </c>
      <c r="G39" s="405"/>
      <c r="H39" s="109"/>
      <c r="I39" s="127"/>
      <c r="J39" s="111">
        <v>8</v>
      </c>
      <c r="K39" s="331"/>
      <c r="L39" s="285"/>
      <c r="M39" s="282">
        <v>8</v>
      </c>
      <c r="N39" s="283"/>
      <c r="O39" s="284"/>
      <c r="P39" s="285"/>
      <c r="Q39" s="282"/>
      <c r="R39" s="283"/>
      <c r="S39" s="284"/>
      <c r="T39" s="285"/>
      <c r="U39" s="282"/>
      <c r="V39" s="286"/>
      <c r="W39" s="280">
        <f t="shared" si="4"/>
        <v>8</v>
      </c>
      <c r="X39" s="281"/>
      <c r="Y39" s="400"/>
    </row>
    <row r="40" spans="2:28" ht="16.5" customHeight="1">
      <c r="B40" s="476"/>
      <c r="C40" s="326"/>
      <c r="D40" s="125" t="s">
        <v>533</v>
      </c>
      <c r="E40" s="126" t="s">
        <v>354</v>
      </c>
      <c r="F40" s="404" t="s">
        <v>630</v>
      </c>
      <c r="G40" s="405"/>
      <c r="H40" s="109"/>
      <c r="I40" s="127"/>
      <c r="J40" s="111">
        <v>4</v>
      </c>
      <c r="K40" s="331">
        <v>4</v>
      </c>
      <c r="L40" s="285"/>
      <c r="M40" s="282"/>
      <c r="N40" s="283"/>
      <c r="O40" s="284"/>
      <c r="P40" s="285"/>
      <c r="Q40" s="282"/>
      <c r="R40" s="283"/>
      <c r="S40" s="284"/>
      <c r="T40" s="285"/>
      <c r="U40" s="282"/>
      <c r="V40" s="286"/>
      <c r="W40" s="280">
        <f t="shared" si="4"/>
        <v>4</v>
      </c>
      <c r="X40" s="281"/>
      <c r="Y40" s="400"/>
    </row>
    <row r="41" spans="2:28" ht="16.5" customHeight="1">
      <c r="B41" s="476"/>
      <c r="C41" s="326"/>
      <c r="D41" s="125" t="s">
        <v>533</v>
      </c>
      <c r="E41" s="126" t="s">
        <v>354</v>
      </c>
      <c r="F41" s="406" t="s">
        <v>631</v>
      </c>
      <c r="G41" s="407"/>
      <c r="H41" s="109"/>
      <c r="I41" s="127"/>
      <c r="J41" s="111">
        <v>6</v>
      </c>
      <c r="K41" s="331"/>
      <c r="L41" s="285"/>
      <c r="M41" s="282"/>
      <c r="N41" s="283"/>
      <c r="O41" s="284">
        <v>6</v>
      </c>
      <c r="P41" s="285"/>
      <c r="Q41" s="282"/>
      <c r="R41" s="283"/>
      <c r="S41" s="284"/>
      <c r="T41" s="285"/>
      <c r="U41" s="282"/>
      <c r="V41" s="286"/>
      <c r="W41" s="280">
        <f t="shared" si="4"/>
        <v>6</v>
      </c>
      <c r="X41" s="281"/>
      <c r="Y41" s="400"/>
    </row>
    <row r="42" spans="2:28" ht="16.5" customHeight="1">
      <c r="B42" s="476"/>
      <c r="C42" s="326"/>
      <c r="D42" s="125" t="s">
        <v>533</v>
      </c>
      <c r="E42" s="126" t="s">
        <v>354</v>
      </c>
      <c r="F42" s="406" t="s">
        <v>632</v>
      </c>
      <c r="G42" s="407"/>
      <c r="H42" s="109"/>
      <c r="I42" s="127"/>
      <c r="J42" s="111">
        <v>5</v>
      </c>
      <c r="K42" s="331"/>
      <c r="L42" s="285"/>
      <c r="M42" s="282"/>
      <c r="N42" s="287"/>
      <c r="O42" s="284"/>
      <c r="P42" s="285"/>
      <c r="Q42" s="282">
        <v>5</v>
      </c>
      <c r="R42" s="283"/>
      <c r="S42" s="287"/>
      <c r="T42" s="285"/>
      <c r="U42" s="282"/>
      <c r="V42" s="286"/>
      <c r="W42" s="280">
        <f t="shared" si="4"/>
        <v>5</v>
      </c>
      <c r="X42" s="281"/>
      <c r="Y42" s="400"/>
    </row>
    <row r="43" spans="2:28" ht="16.5" customHeight="1">
      <c r="B43" s="476"/>
      <c r="C43" s="326"/>
      <c r="D43" s="125" t="s">
        <v>533</v>
      </c>
      <c r="E43" s="126" t="s">
        <v>354</v>
      </c>
      <c r="F43" s="406" t="s">
        <v>633</v>
      </c>
      <c r="G43" s="407"/>
      <c r="H43" s="109"/>
      <c r="I43" s="128"/>
      <c r="J43" s="101">
        <v>5</v>
      </c>
      <c r="K43" s="331"/>
      <c r="L43" s="285"/>
      <c r="M43" s="282"/>
      <c r="N43" s="287"/>
      <c r="O43" s="284"/>
      <c r="P43" s="285"/>
      <c r="Q43" s="282"/>
      <c r="R43" s="283"/>
      <c r="S43" s="287">
        <v>5</v>
      </c>
      <c r="T43" s="285"/>
      <c r="U43" s="282"/>
      <c r="V43" s="286"/>
      <c r="W43" s="280">
        <f t="shared" si="4"/>
        <v>5</v>
      </c>
      <c r="X43" s="281"/>
      <c r="Y43" s="400"/>
    </row>
    <row r="44" spans="2:28" ht="16.5" customHeight="1">
      <c r="B44" s="476"/>
      <c r="C44" s="326"/>
      <c r="D44" s="125" t="s">
        <v>533</v>
      </c>
      <c r="E44" s="126" t="s">
        <v>355</v>
      </c>
      <c r="F44" s="406" t="s">
        <v>634</v>
      </c>
      <c r="G44" s="407"/>
      <c r="H44" s="109"/>
      <c r="I44" s="128"/>
      <c r="J44" s="101">
        <v>6</v>
      </c>
      <c r="K44" s="331"/>
      <c r="L44" s="285"/>
      <c r="M44" s="282"/>
      <c r="N44" s="283"/>
      <c r="O44" s="284"/>
      <c r="P44" s="285"/>
      <c r="Q44" s="282"/>
      <c r="R44" s="283"/>
      <c r="S44" s="284"/>
      <c r="T44" s="285"/>
      <c r="U44" s="282">
        <v>6</v>
      </c>
      <c r="V44" s="286"/>
      <c r="W44" s="280">
        <f t="shared" si="4"/>
        <v>6</v>
      </c>
      <c r="X44" s="281"/>
      <c r="Y44" s="400"/>
    </row>
    <row r="45" spans="2:28" ht="16.5" customHeight="1">
      <c r="B45" s="476"/>
      <c r="C45" s="326"/>
      <c r="D45" s="125" t="s">
        <v>533</v>
      </c>
      <c r="E45" s="126" t="s">
        <v>355</v>
      </c>
      <c r="F45" s="406" t="s">
        <v>676</v>
      </c>
      <c r="G45" s="407"/>
      <c r="H45" s="109"/>
      <c r="I45" s="128"/>
      <c r="J45" s="101">
        <v>10</v>
      </c>
      <c r="K45" s="331"/>
      <c r="L45" s="285"/>
      <c r="M45" s="282"/>
      <c r="N45" s="283"/>
      <c r="O45" s="284">
        <v>5</v>
      </c>
      <c r="P45" s="285"/>
      <c r="Q45" s="282">
        <v>5</v>
      </c>
      <c r="R45" s="283"/>
      <c r="S45" s="284"/>
      <c r="T45" s="285"/>
      <c r="U45" s="282"/>
      <c r="V45" s="286"/>
      <c r="W45" s="280">
        <f t="shared" si="4"/>
        <v>10</v>
      </c>
      <c r="X45" s="281"/>
      <c r="Y45" s="400"/>
    </row>
    <row r="46" spans="2:28" ht="16.5" customHeight="1">
      <c r="B46" s="476"/>
      <c r="C46" s="326"/>
      <c r="D46" s="125" t="s">
        <v>533</v>
      </c>
      <c r="E46" s="126" t="s">
        <v>355</v>
      </c>
      <c r="F46" s="406" t="s">
        <v>635</v>
      </c>
      <c r="G46" s="407"/>
      <c r="H46" s="109"/>
      <c r="I46" s="128"/>
      <c r="J46" s="101">
        <v>14</v>
      </c>
      <c r="K46" s="331"/>
      <c r="L46" s="285"/>
      <c r="M46" s="282"/>
      <c r="N46" s="283"/>
      <c r="O46" s="284"/>
      <c r="P46" s="285"/>
      <c r="Q46" s="282"/>
      <c r="R46" s="283"/>
      <c r="S46" s="284">
        <v>6</v>
      </c>
      <c r="T46" s="285"/>
      <c r="U46" s="282">
        <v>8</v>
      </c>
      <c r="V46" s="286"/>
      <c r="W46" s="280">
        <f t="shared" si="4"/>
        <v>14</v>
      </c>
      <c r="X46" s="281"/>
      <c r="Y46" s="400"/>
    </row>
    <row r="47" spans="2:28" ht="16.5" customHeight="1" thickBot="1">
      <c r="B47" s="476"/>
      <c r="C47" s="326"/>
      <c r="D47" s="125" t="s">
        <v>533</v>
      </c>
      <c r="E47" s="126" t="s">
        <v>355</v>
      </c>
      <c r="F47" s="406" t="s">
        <v>677</v>
      </c>
      <c r="G47" s="407"/>
      <c r="H47" s="109"/>
      <c r="I47" s="128"/>
      <c r="J47" s="101">
        <v>12</v>
      </c>
      <c r="K47" s="331"/>
      <c r="L47" s="285"/>
      <c r="M47" s="282"/>
      <c r="N47" s="283"/>
      <c r="O47" s="284"/>
      <c r="P47" s="285"/>
      <c r="Q47" s="282"/>
      <c r="R47" s="283"/>
      <c r="S47" s="284">
        <v>6</v>
      </c>
      <c r="T47" s="285"/>
      <c r="U47" s="282">
        <v>6</v>
      </c>
      <c r="V47" s="286"/>
      <c r="W47" s="280">
        <f t="shared" si="4"/>
        <v>12</v>
      </c>
      <c r="X47" s="281"/>
      <c r="Y47" s="400"/>
    </row>
    <row r="48" spans="2:28" ht="16.5" customHeight="1">
      <c r="B48" s="436" t="s">
        <v>152</v>
      </c>
      <c r="C48" s="436" t="s">
        <v>665</v>
      </c>
      <c r="D48" s="133" t="s">
        <v>532</v>
      </c>
      <c r="E48" s="134" t="s">
        <v>355</v>
      </c>
      <c r="F48" s="412" t="s">
        <v>678</v>
      </c>
      <c r="G48" s="413"/>
      <c r="H48" s="94"/>
      <c r="I48" s="414"/>
      <c r="J48" s="380">
        <v>12</v>
      </c>
      <c r="K48" s="329"/>
      <c r="L48" s="289"/>
      <c r="M48" s="292"/>
      <c r="N48" s="416"/>
      <c r="O48" s="288">
        <v>3</v>
      </c>
      <c r="P48" s="289"/>
      <c r="Q48" s="292">
        <v>3</v>
      </c>
      <c r="R48" s="293"/>
      <c r="S48" s="288"/>
      <c r="T48" s="289"/>
      <c r="U48" s="292"/>
      <c r="V48" s="294"/>
      <c r="W48" s="386">
        <f>SUM(O48:V49)</f>
        <v>12</v>
      </c>
      <c r="X48" s="387"/>
      <c r="Y48" s="400"/>
    </row>
    <row r="49" spans="2:29" ht="16.5" customHeight="1" thickBot="1">
      <c r="B49" s="437"/>
      <c r="C49" s="438"/>
      <c r="D49" s="137" t="s">
        <v>532</v>
      </c>
      <c r="E49" s="126" t="s">
        <v>355</v>
      </c>
      <c r="F49" s="417" t="s">
        <v>679</v>
      </c>
      <c r="G49" s="418"/>
      <c r="H49" s="104"/>
      <c r="I49" s="415"/>
      <c r="J49" s="381"/>
      <c r="K49" s="382"/>
      <c r="L49" s="306"/>
      <c r="M49" s="299"/>
      <c r="N49" s="419"/>
      <c r="O49" s="305"/>
      <c r="P49" s="306"/>
      <c r="Q49" s="299"/>
      <c r="R49" s="300"/>
      <c r="S49" s="481">
        <v>3</v>
      </c>
      <c r="T49" s="482"/>
      <c r="U49" s="308">
        <v>3</v>
      </c>
      <c r="V49" s="309"/>
      <c r="W49" s="278"/>
      <c r="X49" s="279"/>
      <c r="Y49" s="400"/>
    </row>
    <row r="50" spans="2:29" ht="16.5" customHeight="1">
      <c r="B50" s="437"/>
      <c r="C50" s="436" t="s">
        <v>666</v>
      </c>
      <c r="D50" s="133" t="s">
        <v>156</v>
      </c>
      <c r="E50" s="134" t="s">
        <v>354</v>
      </c>
      <c r="F50" s="412" t="s">
        <v>534</v>
      </c>
      <c r="G50" s="413"/>
      <c r="H50" s="94"/>
      <c r="I50" s="414"/>
      <c r="J50" s="381"/>
      <c r="K50" s="329"/>
      <c r="L50" s="289"/>
      <c r="M50" s="292"/>
      <c r="N50" s="416"/>
      <c r="O50" s="288">
        <v>3</v>
      </c>
      <c r="P50" s="289"/>
      <c r="Q50" s="292"/>
      <c r="R50" s="293"/>
      <c r="S50" s="322"/>
      <c r="T50" s="323"/>
      <c r="U50" s="320"/>
      <c r="V50" s="324"/>
      <c r="W50" s="386">
        <f>SUM(O50:V52)</f>
        <v>12</v>
      </c>
      <c r="X50" s="387"/>
      <c r="Y50" s="400"/>
    </row>
    <row r="51" spans="2:29" ht="16.5" customHeight="1">
      <c r="B51" s="437"/>
      <c r="C51" s="437"/>
      <c r="D51" s="145" t="s">
        <v>156</v>
      </c>
      <c r="E51" s="136" t="s">
        <v>354</v>
      </c>
      <c r="F51" s="479" t="s">
        <v>636</v>
      </c>
      <c r="G51" s="480"/>
      <c r="H51" s="130"/>
      <c r="I51" s="519"/>
      <c r="J51" s="381"/>
      <c r="K51" s="331"/>
      <c r="L51" s="285"/>
      <c r="M51" s="282"/>
      <c r="N51" s="283"/>
      <c r="O51" s="284"/>
      <c r="P51" s="285"/>
      <c r="Q51" s="282">
        <v>3</v>
      </c>
      <c r="R51" s="283"/>
      <c r="S51" s="504"/>
      <c r="T51" s="501"/>
      <c r="U51" s="502"/>
      <c r="V51" s="505"/>
      <c r="W51" s="388"/>
      <c r="X51" s="389"/>
      <c r="Y51" s="400"/>
    </row>
    <row r="52" spans="2:29" ht="16.5" customHeight="1" thickBot="1">
      <c r="B52" s="438"/>
      <c r="C52" s="438"/>
      <c r="D52" s="137" t="s">
        <v>156</v>
      </c>
      <c r="E52" s="126" t="s">
        <v>355</v>
      </c>
      <c r="F52" s="417" t="s">
        <v>637</v>
      </c>
      <c r="G52" s="418"/>
      <c r="H52" s="104"/>
      <c r="I52" s="415"/>
      <c r="J52" s="384"/>
      <c r="K52" s="382"/>
      <c r="L52" s="306"/>
      <c r="M52" s="299"/>
      <c r="N52" s="419"/>
      <c r="O52" s="305"/>
      <c r="P52" s="306"/>
      <c r="Q52" s="299"/>
      <c r="R52" s="300"/>
      <c r="S52" s="305">
        <v>3</v>
      </c>
      <c r="T52" s="306"/>
      <c r="U52" s="299">
        <v>3</v>
      </c>
      <c r="V52" s="307"/>
      <c r="W52" s="278"/>
      <c r="X52" s="279"/>
      <c r="Y52" s="400"/>
    </row>
    <row r="53" spans="2:29" ht="16.5" customHeight="1">
      <c r="B53" s="436" t="s">
        <v>152</v>
      </c>
      <c r="C53" s="436" t="s">
        <v>667</v>
      </c>
      <c r="D53" s="133" t="s">
        <v>523</v>
      </c>
      <c r="E53" s="134" t="s">
        <v>354</v>
      </c>
      <c r="F53" s="412" t="s">
        <v>672</v>
      </c>
      <c r="G53" s="413"/>
      <c r="H53" s="491"/>
      <c r="I53" s="496"/>
      <c r="J53" s="493">
        <v>8</v>
      </c>
      <c r="K53" s="329"/>
      <c r="L53" s="289"/>
      <c r="M53" s="292"/>
      <c r="N53" s="293"/>
      <c r="O53" s="288"/>
      <c r="P53" s="289"/>
      <c r="Q53" s="292"/>
      <c r="R53" s="293"/>
      <c r="S53" s="288">
        <v>4</v>
      </c>
      <c r="T53" s="289"/>
      <c r="U53" s="292"/>
      <c r="V53" s="294"/>
      <c r="W53" s="290">
        <f>SUM(O53:V54)</f>
        <v>8</v>
      </c>
      <c r="X53" s="291"/>
      <c r="Y53" s="400"/>
    </row>
    <row r="54" spans="2:29" ht="16.5" customHeight="1">
      <c r="B54" s="437"/>
      <c r="C54" s="437"/>
      <c r="D54" s="135" t="s">
        <v>523</v>
      </c>
      <c r="E54" s="126" t="s">
        <v>354</v>
      </c>
      <c r="F54" s="479" t="s">
        <v>673</v>
      </c>
      <c r="G54" s="480"/>
      <c r="H54" s="492"/>
      <c r="I54" s="497"/>
      <c r="J54" s="494"/>
      <c r="K54" s="331"/>
      <c r="L54" s="285"/>
      <c r="M54" s="282"/>
      <c r="N54" s="283"/>
      <c r="O54" s="284"/>
      <c r="P54" s="285"/>
      <c r="Q54" s="282"/>
      <c r="R54" s="283"/>
      <c r="S54" s="284"/>
      <c r="T54" s="285"/>
      <c r="U54" s="282">
        <v>4</v>
      </c>
      <c r="V54" s="286"/>
      <c r="W54" s="280"/>
      <c r="X54" s="281"/>
      <c r="Y54" s="400"/>
    </row>
    <row r="55" spans="2:29" ht="16.5" customHeight="1" thickBot="1">
      <c r="B55" s="438"/>
      <c r="C55" s="438"/>
      <c r="D55" s="137" t="s">
        <v>67</v>
      </c>
      <c r="E55" s="138" t="s">
        <v>355</v>
      </c>
      <c r="F55" s="417" t="s">
        <v>674</v>
      </c>
      <c r="G55" s="418"/>
      <c r="H55" s="104"/>
      <c r="I55" s="139"/>
      <c r="J55" s="495"/>
      <c r="K55" s="382"/>
      <c r="L55" s="306"/>
      <c r="M55" s="299"/>
      <c r="N55" s="419"/>
      <c r="O55" s="305"/>
      <c r="P55" s="306"/>
      <c r="Q55" s="299"/>
      <c r="R55" s="300"/>
      <c r="S55" s="305">
        <v>4</v>
      </c>
      <c r="T55" s="306"/>
      <c r="U55" s="299">
        <v>4</v>
      </c>
      <c r="V55" s="307"/>
      <c r="W55" s="508">
        <f>SUM(O55:V55)</f>
        <v>8</v>
      </c>
      <c r="X55" s="509"/>
      <c r="Y55" s="401"/>
    </row>
    <row r="56" spans="2:29" ht="24.75" customHeight="1">
      <c r="B56" s="420" t="s">
        <v>360</v>
      </c>
      <c r="C56" s="421"/>
      <c r="D56" s="421"/>
      <c r="E56" s="421"/>
      <c r="F56" s="421"/>
      <c r="G56" s="409"/>
      <c r="H56" s="424"/>
      <c r="I56" s="426"/>
      <c r="J56" s="428">
        <f>SUM(J36:J55)</f>
        <v>98</v>
      </c>
      <c r="K56" s="420">
        <f>SUM(K36:L55)</f>
        <v>8</v>
      </c>
      <c r="L56" s="430"/>
      <c r="M56" s="421">
        <f>SUM(M36:N55)</f>
        <v>8</v>
      </c>
      <c r="N56" s="430"/>
      <c r="O56" s="432">
        <f>SUM(O36:P52)-O48</f>
        <v>14</v>
      </c>
      <c r="P56" s="430"/>
      <c r="Q56" s="408">
        <f>SUM(Q36:R52)-Q48</f>
        <v>13</v>
      </c>
      <c r="R56" s="434"/>
      <c r="S56" s="408">
        <f>SUM(S36:T55)-S55-S52</f>
        <v>26</v>
      </c>
      <c r="T56" s="430"/>
      <c r="U56" s="408">
        <f>SUM(U36:V55)-U55-U52</f>
        <v>29</v>
      </c>
      <c r="V56" s="409"/>
      <c r="W56" s="420">
        <f>SUM(K56:V57)</f>
        <v>98</v>
      </c>
      <c r="X56" s="409"/>
      <c r="Y56" s="399">
        <f>SUM(Y36:Y52)</f>
        <v>80</v>
      </c>
      <c r="AC56" s="91"/>
    </row>
    <row r="57" spans="2:29" ht="17.25" thickBot="1">
      <c r="B57" s="422"/>
      <c r="C57" s="423"/>
      <c r="D57" s="423"/>
      <c r="E57" s="423"/>
      <c r="F57" s="423"/>
      <c r="G57" s="411"/>
      <c r="H57" s="425"/>
      <c r="I57" s="427"/>
      <c r="J57" s="429"/>
      <c r="K57" s="517"/>
      <c r="L57" s="518"/>
      <c r="M57" s="423"/>
      <c r="N57" s="431"/>
      <c r="O57" s="433"/>
      <c r="P57" s="431"/>
      <c r="Q57" s="410"/>
      <c r="R57" s="435"/>
      <c r="S57" s="410"/>
      <c r="T57" s="431"/>
      <c r="U57" s="410"/>
      <c r="V57" s="411"/>
      <c r="W57" s="422"/>
      <c r="X57" s="411"/>
      <c r="Y57" s="401"/>
      <c r="AC57" s="91"/>
    </row>
    <row r="58" spans="2:29" ht="17.25" customHeight="1" thickBot="1">
      <c r="B58" s="302"/>
      <c r="C58" s="461"/>
      <c r="D58" s="461"/>
      <c r="E58" s="461"/>
      <c r="F58" s="461"/>
      <c r="G58" s="441"/>
      <c r="H58" s="140"/>
      <c r="I58" s="141"/>
      <c r="J58" s="122">
        <f>SUM(J35,J56)</f>
        <v>174</v>
      </c>
      <c r="K58" s="422">
        <f>SUM(K35,K56)</f>
        <v>29</v>
      </c>
      <c r="L58" s="431"/>
      <c r="M58" s="297">
        <f>SUM(M35,M56)</f>
        <v>29</v>
      </c>
      <c r="N58" s="463"/>
      <c r="O58" s="462">
        <f>SUM(O35,O56)</f>
        <v>29</v>
      </c>
      <c r="P58" s="303"/>
      <c r="Q58" s="297">
        <f>SUM(Q35,Q56)</f>
        <v>29</v>
      </c>
      <c r="R58" s="463"/>
      <c r="S58" s="462">
        <f>SUM(S35,S56)</f>
        <v>29</v>
      </c>
      <c r="T58" s="303"/>
      <c r="U58" s="297">
        <f>SUM(U35,U56)</f>
        <v>29</v>
      </c>
      <c r="V58" s="441"/>
      <c r="W58" s="302">
        <f>SUM(K58:V58)</f>
        <v>174</v>
      </c>
      <c r="X58" s="441"/>
      <c r="Y58" s="142">
        <f>Y56+Y35</f>
        <v>144</v>
      </c>
      <c r="AA58" s="319" t="s">
        <v>153</v>
      </c>
      <c r="AB58" s="319"/>
    </row>
    <row r="59" spans="2:29" ht="18.75" customHeight="1" thickBot="1">
      <c r="B59" s="443" t="s">
        <v>361</v>
      </c>
      <c r="C59" s="444"/>
      <c r="D59" s="444"/>
      <c r="E59" s="445"/>
      <c r="F59" s="452" t="s">
        <v>675</v>
      </c>
      <c r="G59" s="453"/>
      <c r="H59" s="453"/>
      <c r="I59" s="453"/>
      <c r="J59" s="454"/>
      <c r="K59" s="329">
        <v>16</v>
      </c>
      <c r="L59" s="289"/>
      <c r="M59" s="292">
        <v>16</v>
      </c>
      <c r="N59" s="293"/>
      <c r="O59" s="288">
        <v>16</v>
      </c>
      <c r="P59" s="289"/>
      <c r="Q59" s="292">
        <v>16</v>
      </c>
      <c r="R59" s="293"/>
      <c r="S59" s="288">
        <v>16</v>
      </c>
      <c r="T59" s="289"/>
      <c r="U59" s="292">
        <v>16</v>
      </c>
      <c r="V59" s="294"/>
      <c r="W59" s="443">
        <f>SUM(K59:V61)</f>
        <v>288</v>
      </c>
      <c r="X59" s="445"/>
      <c r="Y59" s="399">
        <f>Y62*16</f>
        <v>288</v>
      </c>
      <c r="AA59" s="442"/>
      <c r="AB59" s="442"/>
    </row>
    <row r="60" spans="2:29" ht="17.25" customHeight="1" thickBot="1">
      <c r="B60" s="446"/>
      <c r="C60" s="447"/>
      <c r="D60" s="447"/>
      <c r="E60" s="448"/>
      <c r="F60" s="458" t="s">
        <v>63</v>
      </c>
      <c r="G60" s="459"/>
      <c r="H60" s="459"/>
      <c r="I60" s="459"/>
      <c r="J60" s="460"/>
      <c r="K60" s="331">
        <v>16</v>
      </c>
      <c r="L60" s="285"/>
      <c r="M60" s="282">
        <v>16</v>
      </c>
      <c r="N60" s="283"/>
      <c r="O60" s="284">
        <v>16</v>
      </c>
      <c r="P60" s="285"/>
      <c r="Q60" s="282">
        <v>16</v>
      </c>
      <c r="R60" s="283"/>
      <c r="S60" s="284">
        <v>16</v>
      </c>
      <c r="T60" s="285"/>
      <c r="U60" s="282">
        <v>16</v>
      </c>
      <c r="V60" s="286"/>
      <c r="W60" s="446"/>
      <c r="X60" s="448"/>
      <c r="Y60" s="400"/>
      <c r="AA60" s="395" t="b">
        <f>W58&gt;=Y58</f>
        <v>1</v>
      </c>
      <c r="AB60" s="396"/>
    </row>
    <row r="61" spans="2:29" ht="17.25" customHeight="1">
      <c r="B61" s="446"/>
      <c r="C61" s="447"/>
      <c r="D61" s="447"/>
      <c r="E61" s="448"/>
      <c r="F61" s="458" t="s">
        <v>11</v>
      </c>
      <c r="G61" s="459"/>
      <c r="H61" s="459"/>
      <c r="I61" s="459"/>
      <c r="J61" s="460"/>
      <c r="K61" s="331">
        <v>16</v>
      </c>
      <c r="L61" s="285"/>
      <c r="M61" s="282">
        <v>16</v>
      </c>
      <c r="N61" s="283"/>
      <c r="O61" s="284">
        <v>16</v>
      </c>
      <c r="P61" s="285"/>
      <c r="Q61" s="282">
        <v>16</v>
      </c>
      <c r="R61" s="283"/>
      <c r="S61" s="284">
        <v>16</v>
      </c>
      <c r="T61" s="285"/>
      <c r="U61" s="282">
        <v>16</v>
      </c>
      <c r="V61" s="286"/>
      <c r="W61" s="455"/>
      <c r="X61" s="456"/>
      <c r="Y61" s="457"/>
    </row>
    <row r="62" spans="2:29" ht="17.25" customHeight="1" thickBot="1">
      <c r="B62" s="449"/>
      <c r="C62" s="450"/>
      <c r="D62" s="450"/>
      <c r="E62" s="451"/>
      <c r="F62" s="465" t="s">
        <v>148</v>
      </c>
      <c r="G62" s="466"/>
      <c r="H62" s="466"/>
      <c r="I62" s="466"/>
      <c r="J62" s="467"/>
      <c r="K62" s="468">
        <v>3</v>
      </c>
      <c r="L62" s="469"/>
      <c r="M62" s="470">
        <v>3</v>
      </c>
      <c r="N62" s="471"/>
      <c r="O62" s="472">
        <v>3</v>
      </c>
      <c r="P62" s="469"/>
      <c r="Q62" s="470">
        <v>3</v>
      </c>
      <c r="R62" s="471"/>
      <c r="S62" s="472">
        <v>3</v>
      </c>
      <c r="T62" s="469"/>
      <c r="U62" s="470">
        <v>3</v>
      </c>
      <c r="V62" s="473"/>
      <c r="W62" s="465">
        <f>SUM(K62:V62)</f>
        <v>18</v>
      </c>
      <c r="X62" s="467"/>
      <c r="Y62" s="143">
        <v>18</v>
      </c>
      <c r="AA62" s="319" t="s">
        <v>154</v>
      </c>
      <c r="AB62" s="319"/>
    </row>
    <row r="63" spans="2:29" ht="17.25" customHeight="1" thickBot="1">
      <c r="B63" s="302"/>
      <c r="C63" s="461"/>
      <c r="D63" s="461"/>
      <c r="E63" s="461"/>
      <c r="F63" s="461"/>
      <c r="G63" s="461"/>
      <c r="H63" s="461"/>
      <c r="I63" s="461"/>
      <c r="J63" s="441"/>
      <c r="K63" s="302">
        <v>32</v>
      </c>
      <c r="L63" s="303"/>
      <c r="M63" s="297">
        <v>32</v>
      </c>
      <c r="N63" s="463"/>
      <c r="O63" s="462">
        <v>32</v>
      </c>
      <c r="P63" s="303"/>
      <c r="Q63" s="297">
        <v>32</v>
      </c>
      <c r="R63" s="463"/>
      <c r="S63" s="462">
        <v>32</v>
      </c>
      <c r="T63" s="303"/>
      <c r="U63" s="297">
        <v>32</v>
      </c>
      <c r="V63" s="441"/>
      <c r="W63" s="302">
        <f>SUM(K63:V63)</f>
        <v>192</v>
      </c>
      <c r="X63" s="441"/>
      <c r="Y63" s="144">
        <f>W63</f>
        <v>192</v>
      </c>
      <c r="AA63" s="395" t="b">
        <f>W62&gt;=Y62</f>
        <v>1</v>
      </c>
      <c r="AB63" s="396"/>
    </row>
    <row r="64" spans="2:29" ht="17.25" customHeight="1" thickBot="1">
      <c r="B64" s="302"/>
      <c r="C64" s="461"/>
      <c r="D64" s="461"/>
      <c r="E64" s="461"/>
      <c r="F64" s="461"/>
      <c r="G64" s="461"/>
      <c r="H64" s="461"/>
      <c r="I64" s="461"/>
      <c r="J64" s="441"/>
      <c r="K64" s="302">
        <f>SUM(K63:N63)</f>
        <v>64</v>
      </c>
      <c r="L64" s="461"/>
      <c r="M64" s="461"/>
      <c r="N64" s="463"/>
      <c r="O64" s="462">
        <f>SUM(O63:R63)</f>
        <v>64</v>
      </c>
      <c r="P64" s="461"/>
      <c r="Q64" s="461"/>
      <c r="R64" s="463"/>
      <c r="S64" s="462">
        <f>SUM(S63:V63)</f>
        <v>64</v>
      </c>
      <c r="T64" s="461"/>
      <c r="U64" s="461"/>
      <c r="V64" s="441"/>
      <c r="W64" s="302">
        <f>SUM(K64:V64)</f>
        <v>192</v>
      </c>
      <c r="X64" s="441"/>
      <c r="Y64" s="142"/>
      <c r="AA64" s="319" t="s">
        <v>151</v>
      </c>
      <c r="AB64" s="319"/>
    </row>
    <row r="65" spans="27:28" ht="17.25" customHeight="1" thickBot="1">
      <c r="AA65" s="395" t="b">
        <f>W63&gt;=Y63</f>
        <v>1</v>
      </c>
      <c r="AB65" s="396"/>
    </row>
    <row r="66" spans="27:28" ht="17.25" customHeight="1"/>
    <row r="67" spans="27:28" ht="17.25" customHeight="1"/>
    <row r="68" spans="27:28" ht="17.25" customHeight="1"/>
    <row r="70" spans="27:28" ht="24.95" customHeight="1"/>
    <row r="71" spans="27:28" ht="24.95" customHeight="1"/>
    <row r="72" spans="27:28" ht="32.25" customHeight="1"/>
    <row r="73" spans="27:28" ht="24.95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94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4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1:V11"/>
    <mergeCell ref="X9:X12"/>
    <mergeCell ref="Y9:Y18"/>
    <mergeCell ref="F10:G10"/>
    <mergeCell ref="K10:L10"/>
    <mergeCell ref="M10:N10"/>
    <mergeCell ref="O10:P10"/>
    <mergeCell ref="Q10:R10"/>
    <mergeCell ref="S10:T10"/>
    <mergeCell ref="U10:V10"/>
    <mergeCell ref="F11:G11"/>
    <mergeCell ref="X13:X14"/>
    <mergeCell ref="S15:T15"/>
    <mergeCell ref="U15:V15"/>
    <mergeCell ref="X15:X18"/>
    <mergeCell ref="F16:G16"/>
    <mergeCell ref="K16:L16"/>
    <mergeCell ref="M16:N16"/>
    <mergeCell ref="O16:P16"/>
    <mergeCell ref="Q16:R16"/>
    <mergeCell ref="S16:T16"/>
    <mergeCell ref="U16:V16"/>
    <mergeCell ref="F15:G15"/>
    <mergeCell ref="K15:L15"/>
    <mergeCell ref="D13:D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O12:P12"/>
    <mergeCell ref="Q12:R12"/>
    <mergeCell ref="S12:T12"/>
    <mergeCell ref="F14:G14"/>
    <mergeCell ref="K14:L14"/>
    <mergeCell ref="M14:N14"/>
    <mergeCell ref="O14:P14"/>
    <mergeCell ref="Q14:R14"/>
    <mergeCell ref="S14:T14"/>
    <mergeCell ref="U14:V14"/>
    <mergeCell ref="U12:V12"/>
    <mergeCell ref="M15:N15"/>
    <mergeCell ref="O15:P15"/>
    <mergeCell ref="Q15:R15"/>
    <mergeCell ref="F17:G17"/>
    <mergeCell ref="K17:L17"/>
    <mergeCell ref="M17:N17"/>
    <mergeCell ref="O17:P17"/>
    <mergeCell ref="D19:D22"/>
    <mergeCell ref="F19:G19"/>
    <mergeCell ref="K19:L19"/>
    <mergeCell ref="M19:N19"/>
    <mergeCell ref="O19:P19"/>
    <mergeCell ref="Q19:R19"/>
    <mergeCell ref="Q17:R17"/>
    <mergeCell ref="D15:D18"/>
    <mergeCell ref="S17:T17"/>
    <mergeCell ref="U17:V17"/>
    <mergeCell ref="F18:G18"/>
    <mergeCell ref="K18:L18"/>
    <mergeCell ref="M18:N18"/>
    <mergeCell ref="O18:P18"/>
    <mergeCell ref="Q18:R18"/>
    <mergeCell ref="S18:T18"/>
    <mergeCell ref="U18:V18"/>
    <mergeCell ref="S19:T19"/>
    <mergeCell ref="U19:V19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F22:G22"/>
    <mergeCell ref="K22:L22"/>
    <mergeCell ref="M22:N22"/>
    <mergeCell ref="O22:P22"/>
    <mergeCell ref="Q22:R22"/>
    <mergeCell ref="S22:T22"/>
    <mergeCell ref="U22:V22"/>
    <mergeCell ref="S23:T23"/>
    <mergeCell ref="U23:V23"/>
    <mergeCell ref="X23:X24"/>
    <mergeCell ref="F24:G24"/>
    <mergeCell ref="K24:L24"/>
    <mergeCell ref="M24:N24"/>
    <mergeCell ref="O24:P24"/>
    <mergeCell ref="Q24:R24"/>
    <mergeCell ref="S24:T24"/>
    <mergeCell ref="U24:V24"/>
    <mergeCell ref="D23:D24"/>
    <mergeCell ref="F23:G23"/>
    <mergeCell ref="K23:L23"/>
    <mergeCell ref="M23:N23"/>
    <mergeCell ref="O23:P23"/>
    <mergeCell ref="Q23:R23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K34:L34"/>
    <mergeCell ref="S30:T30"/>
    <mergeCell ref="U30:V30"/>
    <mergeCell ref="W30:X31"/>
    <mergeCell ref="Y30:Y31"/>
    <mergeCell ref="F31:G31"/>
    <mergeCell ref="K31:L31"/>
    <mergeCell ref="M31:N31"/>
    <mergeCell ref="O31:P31"/>
    <mergeCell ref="Q31:R31"/>
    <mergeCell ref="S31:T31"/>
    <mergeCell ref="F30:G30"/>
    <mergeCell ref="K30:L30"/>
    <mergeCell ref="M30:N30"/>
    <mergeCell ref="O30:P30"/>
    <mergeCell ref="Q30:R30"/>
    <mergeCell ref="U31:V31"/>
    <mergeCell ref="D30:D31"/>
    <mergeCell ref="W32:X34"/>
    <mergeCell ref="Y32:Y34"/>
    <mergeCell ref="F33:G33"/>
    <mergeCell ref="K33:L33"/>
    <mergeCell ref="M33:N33"/>
    <mergeCell ref="O33:P33"/>
    <mergeCell ref="Q33:R33"/>
    <mergeCell ref="S33:T33"/>
    <mergeCell ref="U33:V33"/>
    <mergeCell ref="F34:G34"/>
    <mergeCell ref="M34:N34"/>
    <mergeCell ref="O34:P34"/>
    <mergeCell ref="Q34:R34"/>
    <mergeCell ref="S34:T34"/>
    <mergeCell ref="U34:V34"/>
    <mergeCell ref="D32:D34"/>
    <mergeCell ref="F32:G32"/>
    <mergeCell ref="K32:L32"/>
    <mergeCell ref="M32:N32"/>
    <mergeCell ref="O32:P32"/>
    <mergeCell ref="Q32:R32"/>
    <mergeCell ref="S32:T32"/>
    <mergeCell ref="U32:V32"/>
    <mergeCell ref="B35:G35"/>
    <mergeCell ref="K35:L35"/>
    <mergeCell ref="M35:N35"/>
    <mergeCell ref="O35:P35"/>
    <mergeCell ref="Q35:R35"/>
    <mergeCell ref="S35:T35"/>
    <mergeCell ref="U35:V35"/>
    <mergeCell ref="W35:X35"/>
    <mergeCell ref="AA35:AB35"/>
    <mergeCell ref="B36:C47"/>
    <mergeCell ref="D36:E36"/>
    <mergeCell ref="F36:G36"/>
    <mergeCell ref="K36:L36"/>
    <mergeCell ref="M36:N36"/>
    <mergeCell ref="O36:P36"/>
    <mergeCell ref="Q36:R36"/>
    <mergeCell ref="S36:T36"/>
    <mergeCell ref="U36:V36"/>
    <mergeCell ref="F38:G38"/>
    <mergeCell ref="K38:L38"/>
    <mergeCell ref="M38:N38"/>
    <mergeCell ref="O38:P38"/>
    <mergeCell ref="Q38:R38"/>
    <mergeCell ref="S38:T38"/>
    <mergeCell ref="U38:V38"/>
    <mergeCell ref="U40:V40"/>
    <mergeCell ref="U42:V42"/>
    <mergeCell ref="U44:V44"/>
    <mergeCell ref="U46:V46"/>
    <mergeCell ref="W36:X36"/>
    <mergeCell ref="D37:E37"/>
    <mergeCell ref="F37:G37"/>
    <mergeCell ref="K37:L37"/>
    <mergeCell ref="M37:N37"/>
    <mergeCell ref="O37:P37"/>
    <mergeCell ref="Q37:R37"/>
    <mergeCell ref="S37:T37"/>
    <mergeCell ref="U37:V37"/>
    <mergeCell ref="W37:X37"/>
    <mergeCell ref="W38:X38"/>
    <mergeCell ref="F39:G39"/>
    <mergeCell ref="K39:L39"/>
    <mergeCell ref="M39:N39"/>
    <mergeCell ref="O39:P39"/>
    <mergeCell ref="Q39:R39"/>
    <mergeCell ref="S39:T39"/>
    <mergeCell ref="U39:V39"/>
    <mergeCell ref="W39:X39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F46:G46"/>
    <mergeCell ref="K46:L46"/>
    <mergeCell ref="M46:N46"/>
    <mergeCell ref="O46:P46"/>
    <mergeCell ref="Q46:R46"/>
    <mergeCell ref="S46:T46"/>
    <mergeCell ref="B48:B52"/>
    <mergeCell ref="F48:G48"/>
    <mergeCell ref="I48:I49"/>
    <mergeCell ref="K48:L48"/>
    <mergeCell ref="M48:N48"/>
    <mergeCell ref="O48:P48"/>
    <mergeCell ref="Q48:R48"/>
    <mergeCell ref="S52:T52"/>
    <mergeCell ref="U50:V50"/>
    <mergeCell ref="F51:G51"/>
    <mergeCell ref="K51:L51"/>
    <mergeCell ref="M51:N51"/>
    <mergeCell ref="O51:P51"/>
    <mergeCell ref="Q51:R51"/>
    <mergeCell ref="S51:T51"/>
    <mergeCell ref="U51:V51"/>
    <mergeCell ref="S50:T50"/>
    <mergeCell ref="U48:V48"/>
    <mergeCell ref="S49:T49"/>
    <mergeCell ref="U49:V49"/>
    <mergeCell ref="S48:T48"/>
    <mergeCell ref="O52:P52"/>
    <mergeCell ref="Q52:R52"/>
    <mergeCell ref="F50:G50"/>
    <mergeCell ref="I50:I52"/>
    <mergeCell ref="K50:L50"/>
    <mergeCell ref="M50:N50"/>
    <mergeCell ref="O50:P50"/>
    <mergeCell ref="W48:X49"/>
    <mergeCell ref="F49:G49"/>
    <mergeCell ref="K49:L49"/>
    <mergeCell ref="M49:N49"/>
    <mergeCell ref="O49:P49"/>
    <mergeCell ref="Q49:R49"/>
    <mergeCell ref="U52:V52"/>
    <mergeCell ref="O56:P57"/>
    <mergeCell ref="Q56:R57"/>
    <mergeCell ref="S56:T57"/>
    <mergeCell ref="U56:V57"/>
    <mergeCell ref="W56:X57"/>
    <mergeCell ref="Y56:Y57"/>
    <mergeCell ref="B56:G57"/>
    <mergeCell ref="H56:H57"/>
    <mergeCell ref="I56:I57"/>
    <mergeCell ref="J56:J57"/>
    <mergeCell ref="K56:L57"/>
    <mergeCell ref="M56:N57"/>
    <mergeCell ref="U58:V58"/>
    <mergeCell ref="W58:X58"/>
    <mergeCell ref="AA58:AB59"/>
    <mergeCell ref="B59:E62"/>
    <mergeCell ref="F59:J59"/>
    <mergeCell ref="K59:L59"/>
    <mergeCell ref="M59:N59"/>
    <mergeCell ref="O59:P59"/>
    <mergeCell ref="Q59:R59"/>
    <mergeCell ref="S59:T59"/>
    <mergeCell ref="B58:G58"/>
    <mergeCell ref="K58:L58"/>
    <mergeCell ref="M58:N58"/>
    <mergeCell ref="O58:P58"/>
    <mergeCell ref="Q58:R58"/>
    <mergeCell ref="S58:T58"/>
    <mergeCell ref="AA60:AB60"/>
    <mergeCell ref="F61:J61"/>
    <mergeCell ref="K61:L61"/>
    <mergeCell ref="M61:N61"/>
    <mergeCell ref="O61:P61"/>
    <mergeCell ref="Q61:R61"/>
    <mergeCell ref="S61:T61"/>
    <mergeCell ref="U61:V61"/>
    <mergeCell ref="U59:V59"/>
    <mergeCell ref="W59:X61"/>
    <mergeCell ref="Y59:Y61"/>
    <mergeCell ref="F60:J60"/>
    <mergeCell ref="K60:L60"/>
    <mergeCell ref="M60:N60"/>
    <mergeCell ref="O60:P60"/>
    <mergeCell ref="Q60:R60"/>
    <mergeCell ref="S60:T60"/>
    <mergeCell ref="U60:V60"/>
    <mergeCell ref="O63:P63"/>
    <mergeCell ref="Q63:R63"/>
    <mergeCell ref="S63:T63"/>
    <mergeCell ref="U63:V63"/>
    <mergeCell ref="F62:J62"/>
    <mergeCell ref="K62:L62"/>
    <mergeCell ref="M62:N62"/>
    <mergeCell ref="O62:P62"/>
    <mergeCell ref="Q62:R62"/>
    <mergeCell ref="S62:T62"/>
    <mergeCell ref="AA65:AB65"/>
    <mergeCell ref="B53:B55"/>
    <mergeCell ref="C53:C55"/>
    <mergeCell ref="F53:G53"/>
    <mergeCell ref="H53:H54"/>
    <mergeCell ref="I53:I54"/>
    <mergeCell ref="J53:J55"/>
    <mergeCell ref="K53:L54"/>
    <mergeCell ref="M53:N54"/>
    <mergeCell ref="O53:P54"/>
    <mergeCell ref="W63:X63"/>
    <mergeCell ref="AA63:AB63"/>
    <mergeCell ref="B64:J64"/>
    <mergeCell ref="K64:N64"/>
    <mergeCell ref="O64:R64"/>
    <mergeCell ref="S64:V64"/>
    <mergeCell ref="W64:X64"/>
    <mergeCell ref="AA64:AB64"/>
    <mergeCell ref="U62:V62"/>
    <mergeCell ref="W62:X62"/>
    <mergeCell ref="AA62:AB62"/>
    <mergeCell ref="B63:J63"/>
    <mergeCell ref="K63:L63"/>
    <mergeCell ref="M63:N63"/>
    <mergeCell ref="U55:V55"/>
    <mergeCell ref="W55:X55"/>
    <mergeCell ref="J48:J52"/>
    <mergeCell ref="C50:C52"/>
    <mergeCell ref="C48:C49"/>
    <mergeCell ref="Y36:Y55"/>
    <mergeCell ref="F55:G55"/>
    <mergeCell ref="K55:L55"/>
    <mergeCell ref="M55:N55"/>
    <mergeCell ref="O55:P55"/>
    <mergeCell ref="Q55:R55"/>
    <mergeCell ref="S55:T55"/>
    <mergeCell ref="Q53:R54"/>
    <mergeCell ref="S53:T53"/>
    <mergeCell ref="U53:V53"/>
    <mergeCell ref="W53:X54"/>
    <mergeCell ref="F54:G54"/>
    <mergeCell ref="S54:T54"/>
    <mergeCell ref="U54:V54"/>
    <mergeCell ref="Q50:R50"/>
    <mergeCell ref="W50:X52"/>
    <mergeCell ref="F52:G52"/>
    <mergeCell ref="K52:L52"/>
    <mergeCell ref="M52:N52"/>
  </mergeCells>
  <phoneticPr fontId="9" type="noConversion"/>
  <conditionalFormatting sqref="AA35:AB35 AC57 AA60:AB60 AA63:AB63 AA65:AB65">
    <cfRule type="containsText" dxfId="0" priority="1" operator="containsText" text="FALSE">
      <formula>NOT(ISERROR(SEARCH("FALSE",AA35)))</formula>
    </cfRule>
  </conditionalFormatting>
  <pageMargins left="0.7" right="0.7" top="0.75" bottom="0.75" header="0.3" footer="0.3"/>
  <pageSetup paperSize="9" scale="42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0B0E0C0-858A-4B4A-AF1E-6315E080D852}">
          <x14:formula1>
            <xm:f>삭제금지!$J$2:$J$59</xm:f>
          </x14:formula1>
          <xm:sqref>H5:J5</xm:sqref>
        </x14:dataValidation>
        <x14:dataValidation type="list" allowBlank="1" showInputMessage="1" showErrorMessage="1" xr:uid="{0382115E-CA74-459E-8A82-5B1783A6E0DE}">
          <x14:formula1>
            <xm:f>삭제금지!$I$2:$I$18</xm:f>
          </x14:formula1>
          <xm:sqref>F5:G5</xm:sqref>
        </x14:dataValidation>
        <x14:dataValidation type="list" allowBlank="1" showInputMessage="1" showErrorMessage="1" xr:uid="{F9CBD29D-8DD1-4B00-BC52-C60F581894ED}">
          <x14:formula1>
            <xm:f>삭제금지!$K$2:$K$59</xm:f>
          </x14:formula1>
          <xm:sqref>K5:O5</xm:sqref>
        </x14:dataValidation>
        <x14:dataValidation type="list" allowBlank="1" showInputMessage="1" showErrorMessage="1" xr:uid="{0F20B912-C2CC-4C61-AADF-A1E9A8034E64}">
          <x14:formula1>
            <xm:f>삭제금지!$L$2:$L$4</xm:f>
          </x14:formula1>
          <xm:sqref>T5:V5</xm:sqref>
        </x14:dataValidation>
        <x14:dataValidation type="list" allowBlank="1" showInputMessage="1" showErrorMessage="1" xr:uid="{23F54470-D9CE-45C8-A992-806F6A252BE3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1771-2FAF-435B-B722-59CDC8019297}">
  <sheetPr>
    <pageSetUpPr fitToPage="1"/>
  </sheetPr>
  <dimension ref="B2:AG44"/>
  <sheetViews>
    <sheetView zoomScale="90" zoomScaleNormal="90" workbookViewId="0">
      <selection activeCell="B34" sqref="B34:B38"/>
    </sheetView>
  </sheetViews>
  <sheetFormatPr defaultRowHeight="16.5"/>
  <cols>
    <col min="1" max="1" width="3" style="223" customWidth="1"/>
    <col min="2" max="2" width="30.625" style="223" customWidth="1"/>
    <col min="3" max="3" width="5.625" style="223" customWidth="1"/>
    <col min="4" max="4" width="25.625" style="223" customWidth="1"/>
    <col min="5" max="5" width="20.625" style="148" customWidth="1"/>
    <col min="6" max="6" width="9.125" style="148" customWidth="1"/>
    <col min="7" max="7" width="10.75" style="223" customWidth="1"/>
    <col min="8" max="19" width="7.75" style="223" bestFit="1" customWidth="1"/>
    <col min="20" max="20" width="6.625" style="223" bestFit="1" customWidth="1"/>
    <col min="21" max="21" width="7.125" style="223" customWidth="1"/>
    <col min="22" max="16384" width="9" style="223"/>
  </cols>
  <sheetData>
    <row r="2" spans="2:33" ht="27" thickBot="1">
      <c r="B2" s="555" t="s">
        <v>149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</row>
    <row r="3" spans="2:33" ht="26.25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556" t="s">
        <v>129</v>
      </c>
      <c r="O3" s="557"/>
      <c r="P3" s="557"/>
      <c r="Q3" s="557" t="s">
        <v>127</v>
      </c>
      <c r="R3" s="557"/>
      <c r="S3" s="557"/>
      <c r="T3" s="557" t="s">
        <v>130</v>
      </c>
      <c r="U3" s="558"/>
    </row>
    <row r="4" spans="2:33" ht="27" thickBot="1"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559" t="s">
        <v>536</v>
      </c>
      <c r="O4" s="560"/>
      <c r="P4" s="560"/>
      <c r="Q4" s="561" t="s">
        <v>606</v>
      </c>
      <c r="R4" s="561"/>
      <c r="S4" s="561"/>
      <c r="T4" s="561">
        <v>2027</v>
      </c>
      <c r="U4" s="562"/>
    </row>
    <row r="5" spans="2:33" ht="17.25" thickBot="1">
      <c r="B5" s="542"/>
      <c r="C5" s="542"/>
    </row>
    <row r="6" spans="2:33" ht="20.25">
      <c r="B6" s="547" t="s">
        <v>13</v>
      </c>
      <c r="C6" s="550" t="s">
        <v>140</v>
      </c>
      <c r="D6" s="553" t="s">
        <v>14</v>
      </c>
      <c r="E6" s="553" t="s">
        <v>15</v>
      </c>
      <c r="F6" s="553" t="s">
        <v>141</v>
      </c>
      <c r="G6" s="553" t="s">
        <v>142</v>
      </c>
      <c r="H6" s="543" t="s">
        <v>58</v>
      </c>
      <c r="I6" s="543"/>
      <c r="J6" s="543"/>
      <c r="K6" s="543"/>
      <c r="L6" s="543" t="s">
        <v>59</v>
      </c>
      <c r="M6" s="543"/>
      <c r="N6" s="543"/>
      <c r="O6" s="543"/>
      <c r="P6" s="543" t="s">
        <v>60</v>
      </c>
      <c r="Q6" s="543"/>
      <c r="R6" s="543"/>
      <c r="S6" s="543"/>
      <c r="T6" s="544" t="s">
        <v>139</v>
      </c>
      <c r="U6" s="539" t="s">
        <v>126</v>
      </c>
      <c r="W6" s="532" t="s">
        <v>131</v>
      </c>
      <c r="X6" s="533"/>
      <c r="Y6" s="533"/>
      <c r="Z6" s="533"/>
      <c r="AA6" s="533"/>
      <c r="AB6" s="533"/>
      <c r="AC6" s="533"/>
      <c r="AD6" s="533"/>
      <c r="AE6" s="533"/>
      <c r="AF6" s="534"/>
      <c r="AG6" s="236"/>
    </row>
    <row r="7" spans="2:33" ht="20.25">
      <c r="B7" s="548"/>
      <c r="C7" s="551"/>
      <c r="D7" s="554"/>
      <c r="E7" s="554"/>
      <c r="F7" s="554"/>
      <c r="G7" s="554"/>
      <c r="H7" s="535" t="s">
        <v>124</v>
      </c>
      <c r="I7" s="535"/>
      <c r="J7" s="535" t="s">
        <v>62</v>
      </c>
      <c r="K7" s="535"/>
      <c r="L7" s="535" t="s">
        <v>124</v>
      </c>
      <c r="M7" s="535"/>
      <c r="N7" s="535" t="s">
        <v>62</v>
      </c>
      <c r="O7" s="535"/>
      <c r="P7" s="535" t="s">
        <v>124</v>
      </c>
      <c r="Q7" s="535"/>
      <c r="R7" s="535" t="s">
        <v>62</v>
      </c>
      <c r="S7" s="535"/>
      <c r="T7" s="545"/>
      <c r="U7" s="540"/>
      <c r="W7" s="536" t="s">
        <v>132</v>
      </c>
      <c r="X7" s="537"/>
      <c r="Y7" s="537"/>
      <c r="Z7" s="537"/>
      <c r="AA7" s="537"/>
      <c r="AB7" s="537"/>
      <c r="AC7" s="537"/>
      <c r="AD7" s="537"/>
      <c r="AE7" s="537"/>
      <c r="AF7" s="538"/>
      <c r="AG7" s="236"/>
    </row>
    <row r="8" spans="2:33" ht="21" thickBot="1">
      <c r="B8" s="549"/>
      <c r="C8" s="552"/>
      <c r="D8" s="554"/>
      <c r="E8" s="554"/>
      <c r="F8" s="563"/>
      <c r="G8" s="563"/>
      <c r="H8" s="237" t="s">
        <v>138</v>
      </c>
      <c r="I8" s="237" t="s">
        <v>125</v>
      </c>
      <c r="J8" s="237" t="s">
        <v>138</v>
      </c>
      <c r="K8" s="237" t="s">
        <v>125</v>
      </c>
      <c r="L8" s="237" t="s">
        <v>138</v>
      </c>
      <c r="M8" s="237" t="s">
        <v>125</v>
      </c>
      <c r="N8" s="237" t="s">
        <v>138</v>
      </c>
      <c r="O8" s="237" t="s">
        <v>125</v>
      </c>
      <c r="P8" s="237" t="s">
        <v>138</v>
      </c>
      <c r="Q8" s="237" t="s">
        <v>125</v>
      </c>
      <c r="R8" s="237" t="s">
        <v>138</v>
      </c>
      <c r="S8" s="237" t="s">
        <v>125</v>
      </c>
      <c r="T8" s="546"/>
      <c r="U8" s="541"/>
      <c r="W8" s="151"/>
      <c r="X8" s="152"/>
      <c r="Y8" s="152"/>
      <c r="Z8" s="152"/>
      <c r="AA8" s="152"/>
      <c r="AB8" s="152"/>
      <c r="AC8" s="152"/>
      <c r="AD8" s="152"/>
      <c r="AE8" s="152"/>
      <c r="AF8" s="153"/>
      <c r="AG8" s="236"/>
    </row>
    <row r="9" spans="2:33" ht="16.5" customHeight="1">
      <c r="B9" s="564" t="s">
        <v>609</v>
      </c>
      <c r="C9" s="565">
        <v>4</v>
      </c>
      <c r="D9" s="202" t="s">
        <v>746</v>
      </c>
      <c r="E9" s="238" t="s">
        <v>714</v>
      </c>
      <c r="F9" s="202">
        <v>64</v>
      </c>
      <c r="G9" s="202">
        <v>3</v>
      </c>
      <c r="H9" s="232"/>
      <c r="I9" s="232"/>
      <c r="J9" s="232">
        <v>4</v>
      </c>
      <c r="K9" s="232">
        <v>64</v>
      </c>
      <c r="L9" s="232"/>
      <c r="M9" s="232"/>
      <c r="N9" s="232"/>
      <c r="O9" s="232"/>
      <c r="P9" s="232"/>
      <c r="Q9" s="232"/>
      <c r="R9" s="232"/>
      <c r="S9" s="232"/>
      <c r="T9" s="176">
        <v>4</v>
      </c>
      <c r="U9" s="219">
        <v>64</v>
      </c>
      <c r="W9" s="239"/>
      <c r="X9" s="240"/>
      <c r="Y9" s="240"/>
      <c r="Z9" s="240"/>
      <c r="AA9" s="240"/>
      <c r="AB9" s="240"/>
      <c r="AC9" s="240"/>
      <c r="AD9" s="240"/>
      <c r="AE9" s="240"/>
      <c r="AF9" s="241"/>
      <c r="AG9" s="236"/>
    </row>
    <row r="10" spans="2:33" ht="16.5" customHeight="1" thickBot="1">
      <c r="B10" s="529"/>
      <c r="C10" s="566"/>
      <c r="D10" s="524" t="s">
        <v>16</v>
      </c>
      <c r="E10" s="524"/>
      <c r="F10" s="242">
        <f>SUM(F9:F9)</f>
        <v>64</v>
      </c>
      <c r="G10" s="242"/>
      <c r="H10" s="243"/>
      <c r="I10" s="243"/>
      <c r="J10" s="243">
        <v>4</v>
      </c>
      <c r="K10" s="243">
        <v>64</v>
      </c>
      <c r="L10" s="243">
        <f t="shared" ref="L10:U10" si="0">SUM(L9:L9)</f>
        <v>0</v>
      </c>
      <c r="M10" s="243">
        <f t="shared" si="0"/>
        <v>0</v>
      </c>
      <c r="N10" s="243">
        <f t="shared" si="0"/>
        <v>0</v>
      </c>
      <c r="O10" s="243">
        <f t="shared" si="0"/>
        <v>0</v>
      </c>
      <c r="P10" s="243">
        <f t="shared" si="0"/>
        <v>0</v>
      </c>
      <c r="Q10" s="243">
        <f t="shared" si="0"/>
        <v>0</v>
      </c>
      <c r="R10" s="243">
        <f t="shared" si="0"/>
        <v>0</v>
      </c>
      <c r="S10" s="243">
        <f t="shared" si="0"/>
        <v>0</v>
      </c>
      <c r="T10" s="243">
        <f t="shared" si="0"/>
        <v>4</v>
      </c>
      <c r="U10" s="244">
        <f t="shared" si="0"/>
        <v>64</v>
      </c>
      <c r="W10" s="170"/>
      <c r="X10" s="171"/>
      <c r="Y10" s="171"/>
      <c r="Z10" s="171"/>
      <c r="AA10" s="171"/>
      <c r="AB10" s="171"/>
      <c r="AC10" s="171"/>
      <c r="AD10" s="171"/>
      <c r="AE10" s="171"/>
      <c r="AF10" s="172"/>
    </row>
    <row r="11" spans="2:33" ht="16.5" customHeight="1">
      <c r="B11" s="525" t="s">
        <v>611</v>
      </c>
      <c r="C11" s="526">
        <v>14</v>
      </c>
      <c r="D11" s="202" t="s">
        <v>738</v>
      </c>
      <c r="E11" s="245" t="s">
        <v>713</v>
      </c>
      <c r="F11" s="208">
        <v>16</v>
      </c>
      <c r="G11" s="208">
        <v>3</v>
      </c>
      <c r="H11" s="199"/>
      <c r="I11" s="199"/>
      <c r="J11" s="199"/>
      <c r="K11" s="199"/>
      <c r="L11" s="199">
        <v>1</v>
      </c>
      <c r="M11" s="199">
        <v>16</v>
      </c>
      <c r="N11" s="199"/>
      <c r="O11" s="199"/>
      <c r="P11" s="199"/>
      <c r="Q11" s="199"/>
      <c r="R11" s="199"/>
      <c r="S11" s="199"/>
      <c r="T11" s="199">
        <v>1</v>
      </c>
      <c r="U11" s="199">
        <v>16</v>
      </c>
      <c r="W11" s="170"/>
      <c r="X11" s="171"/>
      <c r="Y11" s="171"/>
      <c r="Z11" s="171"/>
      <c r="AA11" s="171"/>
      <c r="AB11" s="171"/>
      <c r="AC11" s="171"/>
      <c r="AD11" s="171"/>
      <c r="AE11" s="171"/>
      <c r="AF11" s="172"/>
    </row>
    <row r="12" spans="2:33" ht="16.5" customHeight="1">
      <c r="B12" s="520"/>
      <c r="C12" s="527"/>
      <c r="D12" s="202" t="s">
        <v>739</v>
      </c>
      <c r="E12" s="246" t="s">
        <v>712</v>
      </c>
      <c r="F12" s="208">
        <v>64</v>
      </c>
      <c r="G12" s="208">
        <v>3</v>
      </c>
      <c r="H12" s="203"/>
      <c r="I12" s="203"/>
      <c r="J12" s="203"/>
      <c r="K12" s="203"/>
      <c r="L12" s="203">
        <v>4</v>
      </c>
      <c r="M12" s="203">
        <v>64</v>
      </c>
      <c r="N12" s="203"/>
      <c r="O12" s="203"/>
      <c r="P12" s="203"/>
      <c r="Q12" s="203"/>
      <c r="R12" s="203"/>
      <c r="S12" s="203"/>
      <c r="T12" s="203">
        <v>4</v>
      </c>
      <c r="U12" s="203">
        <v>64</v>
      </c>
      <c r="W12" s="170"/>
      <c r="X12" s="171"/>
      <c r="Y12" s="171"/>
      <c r="Z12" s="171"/>
      <c r="AA12" s="171"/>
      <c r="AB12" s="171"/>
      <c r="AC12" s="171"/>
      <c r="AD12" s="171"/>
      <c r="AE12" s="171"/>
      <c r="AF12" s="172"/>
    </row>
    <row r="13" spans="2:33" ht="16.5" customHeight="1" thickBot="1">
      <c r="B13" s="520"/>
      <c r="C13" s="527"/>
      <c r="D13" s="202" t="s">
        <v>740</v>
      </c>
      <c r="E13" s="246" t="s">
        <v>711</v>
      </c>
      <c r="F13" s="208">
        <v>32</v>
      </c>
      <c r="G13" s="208">
        <v>3</v>
      </c>
      <c r="H13" s="203"/>
      <c r="I13" s="203"/>
      <c r="J13" s="203"/>
      <c r="K13" s="203"/>
      <c r="L13" s="203">
        <v>2</v>
      </c>
      <c r="M13" s="203">
        <v>32</v>
      </c>
      <c r="N13" s="203"/>
      <c r="O13" s="203"/>
      <c r="P13" s="203"/>
      <c r="Q13" s="203"/>
      <c r="R13" s="203"/>
      <c r="S13" s="203"/>
      <c r="T13" s="203">
        <v>2</v>
      </c>
      <c r="U13" s="203">
        <v>32</v>
      </c>
      <c r="W13" s="181"/>
      <c r="X13" s="182"/>
      <c r="Y13" s="182"/>
      <c r="Z13" s="182"/>
      <c r="AA13" s="182"/>
      <c r="AB13" s="182"/>
      <c r="AC13" s="182"/>
      <c r="AD13" s="182"/>
      <c r="AE13" s="182"/>
      <c r="AF13" s="183"/>
    </row>
    <row r="14" spans="2:33" ht="16.5" customHeight="1">
      <c r="B14" s="520"/>
      <c r="C14" s="527"/>
      <c r="D14" s="202" t="s">
        <v>741</v>
      </c>
      <c r="E14" s="246" t="s">
        <v>710</v>
      </c>
      <c r="F14" s="208">
        <v>16</v>
      </c>
      <c r="G14" s="208">
        <v>3</v>
      </c>
      <c r="H14" s="203"/>
      <c r="I14" s="203"/>
      <c r="J14" s="203"/>
      <c r="K14" s="203"/>
      <c r="L14" s="203">
        <v>1</v>
      </c>
      <c r="M14" s="203">
        <v>16</v>
      </c>
      <c r="N14" s="203"/>
      <c r="O14" s="203"/>
      <c r="P14" s="203"/>
      <c r="Q14" s="203"/>
      <c r="R14" s="203"/>
      <c r="S14" s="203"/>
      <c r="T14" s="203">
        <v>1</v>
      </c>
      <c r="U14" s="203">
        <v>16</v>
      </c>
    </row>
    <row r="15" spans="2:33" ht="16.5" customHeight="1">
      <c r="B15" s="520"/>
      <c r="C15" s="527"/>
      <c r="D15" s="202" t="s">
        <v>742</v>
      </c>
      <c r="E15" s="246" t="s">
        <v>709</v>
      </c>
      <c r="F15" s="208">
        <v>64</v>
      </c>
      <c r="G15" s="208">
        <v>2</v>
      </c>
      <c r="H15" s="203"/>
      <c r="I15" s="203"/>
      <c r="J15" s="203"/>
      <c r="K15" s="203"/>
      <c r="L15" s="203"/>
      <c r="M15" s="203"/>
      <c r="N15" s="203">
        <v>4</v>
      </c>
      <c r="O15" s="203">
        <v>64</v>
      </c>
      <c r="P15" s="203"/>
      <c r="Q15" s="203"/>
      <c r="R15" s="203"/>
      <c r="S15" s="203"/>
      <c r="T15" s="203">
        <v>4</v>
      </c>
      <c r="U15" s="203">
        <v>64</v>
      </c>
    </row>
    <row r="16" spans="2:33" ht="16.5" customHeight="1">
      <c r="B16" s="520"/>
      <c r="C16" s="527"/>
      <c r="D16" s="202" t="s">
        <v>743</v>
      </c>
      <c r="E16" s="246" t="s">
        <v>708</v>
      </c>
      <c r="F16" s="202">
        <v>16</v>
      </c>
      <c r="G16" s="202">
        <v>3</v>
      </c>
      <c r="H16" s="203"/>
      <c r="I16" s="203"/>
      <c r="J16" s="203"/>
      <c r="K16" s="203"/>
      <c r="L16" s="203"/>
      <c r="M16" s="203"/>
      <c r="N16" s="203">
        <v>1</v>
      </c>
      <c r="O16" s="203">
        <v>16</v>
      </c>
      <c r="P16" s="203"/>
      <c r="Q16" s="203"/>
      <c r="R16" s="203"/>
      <c r="S16" s="232"/>
      <c r="T16" s="203">
        <v>1</v>
      </c>
      <c r="U16" s="203">
        <v>16</v>
      </c>
    </row>
    <row r="17" spans="2:21" ht="16.5" customHeight="1">
      <c r="B17" s="520"/>
      <c r="C17" s="527"/>
      <c r="D17" s="202" t="s">
        <v>744</v>
      </c>
      <c r="E17" s="246" t="s">
        <v>707</v>
      </c>
      <c r="F17" s="202">
        <v>16</v>
      </c>
      <c r="G17" s="202">
        <v>2</v>
      </c>
      <c r="H17" s="203"/>
      <c r="I17" s="203"/>
      <c r="J17" s="203"/>
      <c r="K17" s="203"/>
      <c r="L17" s="203"/>
      <c r="M17" s="203"/>
      <c r="N17" s="203">
        <v>1</v>
      </c>
      <c r="O17" s="203">
        <v>16</v>
      </c>
      <c r="P17" s="203"/>
      <c r="Q17" s="203"/>
      <c r="R17" s="203"/>
      <c r="S17" s="232"/>
      <c r="T17" s="203">
        <v>1</v>
      </c>
      <c r="U17" s="203">
        <v>16</v>
      </c>
    </row>
    <row r="18" spans="2:21" ht="16.5" customHeight="1" thickBot="1">
      <c r="B18" s="521"/>
      <c r="C18" s="523"/>
      <c r="D18" s="524" t="s">
        <v>16</v>
      </c>
      <c r="E18" s="524"/>
      <c r="F18" s="242">
        <f>SUM(F11:F17)</f>
        <v>224</v>
      </c>
      <c r="G18" s="242"/>
      <c r="H18" s="229"/>
      <c r="I18" s="229"/>
      <c r="J18" s="229"/>
      <c r="K18" s="229"/>
      <c r="L18" s="229">
        <f>SUM(L11:L17)</f>
        <v>8</v>
      </c>
      <c r="M18" s="229">
        <f>SUM(M11:M17)</f>
        <v>128</v>
      </c>
      <c r="N18" s="229">
        <f>SUM(N15:N17)</f>
        <v>6</v>
      </c>
      <c r="O18" s="229">
        <f>SUM(O15:O17)</f>
        <v>96</v>
      </c>
      <c r="P18" s="229"/>
      <c r="Q18" s="229"/>
      <c r="R18" s="229"/>
      <c r="S18" s="229"/>
      <c r="T18" s="179">
        <f>SUM(T11:T17)</f>
        <v>14</v>
      </c>
      <c r="U18" s="180">
        <f>SUM(U11:U17)</f>
        <v>224</v>
      </c>
    </row>
    <row r="19" spans="2:21" ht="16.5" customHeight="1">
      <c r="B19" s="528" t="s">
        <v>610</v>
      </c>
      <c r="C19" s="530">
        <v>3</v>
      </c>
      <c r="D19" s="202" t="s">
        <v>745</v>
      </c>
      <c r="E19" s="247" t="s">
        <v>706</v>
      </c>
      <c r="F19" s="208">
        <v>48</v>
      </c>
      <c r="G19" s="208">
        <v>2</v>
      </c>
      <c r="H19" s="199"/>
      <c r="I19" s="199"/>
      <c r="J19" s="199"/>
      <c r="K19" s="199"/>
      <c r="L19" s="199"/>
      <c r="M19" s="199"/>
      <c r="N19" s="199">
        <v>3</v>
      </c>
      <c r="O19" s="199">
        <v>48</v>
      </c>
      <c r="P19" s="199"/>
      <c r="Q19" s="199"/>
      <c r="R19" s="199"/>
      <c r="S19" s="199"/>
      <c r="T19" s="158">
        <v>3</v>
      </c>
      <c r="U19" s="200">
        <v>48</v>
      </c>
    </row>
    <row r="20" spans="2:21" ht="16.5" customHeight="1" thickBot="1">
      <c r="B20" s="529"/>
      <c r="C20" s="531"/>
      <c r="D20" s="524" t="s">
        <v>16</v>
      </c>
      <c r="E20" s="524"/>
      <c r="F20" s="242">
        <f>SUM(F19:F19)</f>
        <v>48</v>
      </c>
      <c r="G20" s="242">
        <f>SUM(G19:G19)</f>
        <v>2</v>
      </c>
      <c r="H20" s="248"/>
      <c r="I20" s="248"/>
      <c r="J20" s="248"/>
      <c r="K20" s="248"/>
      <c r="L20" s="248"/>
      <c r="M20" s="248"/>
      <c r="N20" s="248">
        <f>SUM(N19:N19)</f>
        <v>3</v>
      </c>
      <c r="O20" s="248">
        <f>SUM(O19:O19)</f>
        <v>48</v>
      </c>
      <c r="P20" s="248"/>
      <c r="Q20" s="248"/>
      <c r="R20" s="243"/>
      <c r="S20" s="243"/>
      <c r="T20" s="243">
        <f>SUM(T19:T19)</f>
        <v>3</v>
      </c>
      <c r="U20" s="244">
        <f>SUM(U19:U19)</f>
        <v>48</v>
      </c>
    </row>
    <row r="21" spans="2:21" ht="16.5" customHeight="1">
      <c r="B21" s="525" t="s">
        <v>612</v>
      </c>
      <c r="C21" s="526">
        <v>12</v>
      </c>
      <c r="D21" s="202" t="s">
        <v>747</v>
      </c>
      <c r="E21" s="225" t="s">
        <v>705</v>
      </c>
      <c r="F21" s="208">
        <v>48</v>
      </c>
      <c r="G21" s="207">
        <v>4</v>
      </c>
      <c r="H21" s="199"/>
      <c r="I21" s="199"/>
      <c r="J21" s="199"/>
      <c r="K21" s="199"/>
      <c r="L21" s="199"/>
      <c r="M21" s="199"/>
      <c r="N21" s="199"/>
      <c r="O21" s="199"/>
      <c r="P21" s="199">
        <v>3</v>
      </c>
      <c r="Q21" s="199">
        <v>48</v>
      </c>
      <c r="R21" s="199"/>
      <c r="S21" s="199"/>
      <c r="T21" s="158">
        <v>3</v>
      </c>
      <c r="U21" s="200">
        <v>48</v>
      </c>
    </row>
    <row r="22" spans="2:21" ht="16.5" customHeight="1">
      <c r="B22" s="520"/>
      <c r="C22" s="527"/>
      <c r="D22" s="202" t="s">
        <v>748</v>
      </c>
      <c r="E22" s="225" t="s">
        <v>704</v>
      </c>
      <c r="F22" s="208">
        <v>48</v>
      </c>
      <c r="G22" s="207">
        <v>4</v>
      </c>
      <c r="H22" s="203"/>
      <c r="I22" s="203"/>
      <c r="J22" s="203"/>
      <c r="K22" s="203"/>
      <c r="L22" s="203"/>
      <c r="M22" s="203"/>
      <c r="N22" s="203"/>
      <c r="O22" s="203"/>
      <c r="P22" s="203">
        <v>3</v>
      </c>
      <c r="Q22" s="203">
        <v>48</v>
      </c>
      <c r="R22" s="203"/>
      <c r="S22" s="203"/>
      <c r="T22" s="167">
        <v>3</v>
      </c>
      <c r="U22" s="204">
        <v>48</v>
      </c>
    </row>
    <row r="23" spans="2:21" ht="16.5" customHeight="1">
      <c r="B23" s="520"/>
      <c r="C23" s="527"/>
      <c r="D23" s="202" t="s">
        <v>749</v>
      </c>
      <c r="E23" s="225" t="s">
        <v>703</v>
      </c>
      <c r="F23" s="208">
        <v>48</v>
      </c>
      <c r="G23" s="207">
        <v>4</v>
      </c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>
        <v>3</v>
      </c>
      <c r="S23" s="203">
        <v>48</v>
      </c>
      <c r="T23" s="167">
        <v>3</v>
      </c>
      <c r="U23" s="204">
        <v>48</v>
      </c>
    </row>
    <row r="24" spans="2:21" ht="16.5" customHeight="1">
      <c r="B24" s="520"/>
      <c r="C24" s="527"/>
      <c r="D24" s="202" t="s">
        <v>750</v>
      </c>
      <c r="E24" s="225" t="s">
        <v>702</v>
      </c>
      <c r="F24" s="208">
        <v>48</v>
      </c>
      <c r="G24" s="207">
        <v>3</v>
      </c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>
        <v>3</v>
      </c>
      <c r="S24" s="203">
        <v>48</v>
      </c>
      <c r="T24" s="167">
        <v>3</v>
      </c>
      <c r="U24" s="204">
        <v>48</v>
      </c>
    </row>
    <row r="25" spans="2:21" ht="16.5" customHeight="1" thickBot="1">
      <c r="B25" s="521"/>
      <c r="C25" s="523"/>
      <c r="D25" s="524"/>
      <c r="E25" s="524"/>
      <c r="F25" s="242">
        <f>SUM(F21:F24)</f>
        <v>192</v>
      </c>
      <c r="G25" s="242"/>
      <c r="H25" s="229"/>
      <c r="I25" s="229"/>
      <c r="J25" s="229"/>
      <c r="K25" s="229"/>
      <c r="L25" s="229"/>
      <c r="M25" s="229"/>
      <c r="N25" s="229"/>
      <c r="O25" s="229"/>
      <c r="P25" s="229">
        <f t="shared" ref="P25:U25" si="1">SUM(P21:P24)</f>
        <v>6</v>
      </c>
      <c r="Q25" s="229">
        <f t="shared" si="1"/>
        <v>96</v>
      </c>
      <c r="R25" s="229">
        <f t="shared" si="1"/>
        <v>6</v>
      </c>
      <c r="S25" s="229">
        <f t="shared" si="1"/>
        <v>96</v>
      </c>
      <c r="T25" s="229">
        <f t="shared" si="1"/>
        <v>12</v>
      </c>
      <c r="U25" s="229">
        <f t="shared" si="1"/>
        <v>192</v>
      </c>
    </row>
    <row r="26" spans="2:21" ht="16.5" customHeight="1">
      <c r="B26" s="520" t="s">
        <v>772</v>
      </c>
      <c r="C26" s="522">
        <v>8</v>
      </c>
      <c r="D26" s="202" t="s">
        <v>751</v>
      </c>
      <c r="E26" s="225" t="s">
        <v>701</v>
      </c>
      <c r="F26" s="208">
        <v>64</v>
      </c>
      <c r="G26" s="208">
        <v>3</v>
      </c>
      <c r="H26" s="203"/>
      <c r="I26" s="203"/>
      <c r="J26" s="203"/>
      <c r="K26" s="203"/>
      <c r="L26" s="203"/>
      <c r="M26" s="203"/>
      <c r="N26" s="203"/>
      <c r="O26" s="203"/>
      <c r="P26" s="215">
        <v>4</v>
      </c>
      <c r="Q26" s="215">
        <v>64</v>
      </c>
      <c r="R26" s="215"/>
      <c r="S26" s="215"/>
      <c r="T26" s="167">
        <v>4</v>
      </c>
      <c r="U26" s="204">
        <v>64</v>
      </c>
    </row>
    <row r="27" spans="2:21" ht="16.5" customHeight="1">
      <c r="B27" s="520"/>
      <c r="C27" s="522"/>
      <c r="D27" s="202" t="s">
        <v>752</v>
      </c>
      <c r="E27" s="225" t="s">
        <v>700</v>
      </c>
      <c r="F27" s="208">
        <v>64</v>
      </c>
      <c r="G27" s="208">
        <v>3</v>
      </c>
      <c r="H27" s="203"/>
      <c r="I27" s="203"/>
      <c r="J27" s="203"/>
      <c r="K27" s="203"/>
      <c r="L27" s="203"/>
      <c r="M27" s="203"/>
      <c r="N27" s="203"/>
      <c r="O27" s="203"/>
      <c r="P27" s="215"/>
      <c r="Q27" s="215"/>
      <c r="R27" s="215">
        <v>4</v>
      </c>
      <c r="S27" s="215">
        <v>64</v>
      </c>
      <c r="T27" s="167">
        <v>4</v>
      </c>
      <c r="U27" s="204">
        <v>64</v>
      </c>
    </row>
    <row r="28" spans="2:21" ht="16.5" customHeight="1" thickBot="1">
      <c r="B28" s="521"/>
      <c r="C28" s="523"/>
      <c r="D28" s="524"/>
      <c r="E28" s="524"/>
      <c r="F28" s="242">
        <f>SUM(F26:F27)</f>
        <v>128</v>
      </c>
      <c r="G28" s="242"/>
      <c r="H28" s="229"/>
      <c r="I28" s="229"/>
      <c r="J28" s="229"/>
      <c r="K28" s="229"/>
      <c r="L28" s="229"/>
      <c r="M28" s="229"/>
      <c r="N28" s="229"/>
      <c r="O28" s="229"/>
      <c r="P28" s="229">
        <f t="shared" ref="P28:U28" si="2">SUM(P26:P27)</f>
        <v>4</v>
      </c>
      <c r="Q28" s="229">
        <f t="shared" si="2"/>
        <v>64</v>
      </c>
      <c r="R28" s="229">
        <f t="shared" si="2"/>
        <v>4</v>
      </c>
      <c r="S28" s="229">
        <f t="shared" si="2"/>
        <v>64</v>
      </c>
      <c r="T28" s="229">
        <f t="shared" si="2"/>
        <v>8</v>
      </c>
      <c r="U28" s="229">
        <f t="shared" si="2"/>
        <v>128</v>
      </c>
    </row>
    <row r="29" spans="2:21" ht="16.5" customHeight="1">
      <c r="B29" s="520" t="s">
        <v>613</v>
      </c>
      <c r="C29" s="522">
        <v>12</v>
      </c>
      <c r="D29" s="202" t="s">
        <v>699</v>
      </c>
      <c r="E29" s="249" t="s">
        <v>698</v>
      </c>
      <c r="F29" s="208">
        <v>48</v>
      </c>
      <c r="G29" s="208">
        <v>5</v>
      </c>
      <c r="H29" s="203"/>
      <c r="I29" s="203"/>
      <c r="J29" s="203"/>
      <c r="K29" s="203"/>
      <c r="L29" s="203"/>
      <c r="M29" s="203"/>
      <c r="N29" s="203"/>
      <c r="O29" s="203"/>
      <c r="P29" s="199">
        <v>3</v>
      </c>
      <c r="Q29" s="199">
        <v>48</v>
      </c>
      <c r="R29" s="199"/>
      <c r="S29" s="199"/>
      <c r="T29" s="167">
        <v>3</v>
      </c>
      <c r="U29" s="200">
        <v>48</v>
      </c>
    </row>
    <row r="30" spans="2:21" ht="16.5" customHeight="1">
      <c r="B30" s="520"/>
      <c r="C30" s="522"/>
      <c r="D30" s="202" t="s">
        <v>697</v>
      </c>
      <c r="E30" s="249" t="s">
        <v>696</v>
      </c>
      <c r="F30" s="208">
        <v>48</v>
      </c>
      <c r="G30" s="208">
        <v>5</v>
      </c>
      <c r="H30" s="203"/>
      <c r="I30" s="203"/>
      <c r="J30" s="203"/>
      <c r="K30" s="203"/>
      <c r="L30" s="203"/>
      <c r="M30" s="203"/>
      <c r="N30" s="203"/>
      <c r="O30" s="203"/>
      <c r="P30" s="203">
        <v>3</v>
      </c>
      <c r="Q30" s="203">
        <v>48</v>
      </c>
      <c r="R30" s="203"/>
      <c r="S30" s="203"/>
      <c r="T30" s="167">
        <v>3</v>
      </c>
      <c r="U30" s="204">
        <v>48</v>
      </c>
    </row>
    <row r="31" spans="2:21" ht="16.5" customHeight="1">
      <c r="B31" s="520"/>
      <c r="C31" s="522"/>
      <c r="D31" s="202" t="s">
        <v>695</v>
      </c>
      <c r="E31" s="249" t="s">
        <v>694</v>
      </c>
      <c r="F31" s="208">
        <v>48</v>
      </c>
      <c r="G31" s="208">
        <v>5</v>
      </c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>
        <v>3</v>
      </c>
      <c r="S31" s="203">
        <v>48</v>
      </c>
      <c r="T31" s="167">
        <v>3</v>
      </c>
      <c r="U31" s="204">
        <v>48</v>
      </c>
    </row>
    <row r="32" spans="2:21" ht="16.5" customHeight="1">
      <c r="B32" s="520"/>
      <c r="C32" s="522"/>
      <c r="D32" s="202" t="s">
        <v>693</v>
      </c>
      <c r="E32" s="249" t="s">
        <v>692</v>
      </c>
      <c r="F32" s="208">
        <v>48</v>
      </c>
      <c r="G32" s="208">
        <v>5</v>
      </c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>
        <v>3</v>
      </c>
      <c r="S32" s="203">
        <v>48</v>
      </c>
      <c r="T32" s="167">
        <v>3</v>
      </c>
      <c r="U32" s="204">
        <v>48</v>
      </c>
    </row>
    <row r="33" spans="2:21" ht="16.5" customHeight="1" thickBot="1">
      <c r="B33" s="521"/>
      <c r="C33" s="523"/>
      <c r="D33" s="524"/>
      <c r="E33" s="524"/>
      <c r="F33" s="212">
        <f>SUM(F29:F32)</f>
        <v>192</v>
      </c>
      <c r="G33" s="212"/>
      <c r="H33" s="243"/>
      <c r="I33" s="243"/>
      <c r="J33" s="243"/>
      <c r="K33" s="243"/>
      <c r="L33" s="243"/>
      <c r="M33" s="243"/>
      <c r="N33" s="243"/>
      <c r="O33" s="243"/>
      <c r="P33" s="229">
        <f t="shared" ref="P33:U33" si="3">SUM(P29:P32)</f>
        <v>6</v>
      </c>
      <c r="Q33" s="229">
        <f t="shared" si="3"/>
        <v>96</v>
      </c>
      <c r="R33" s="229">
        <f t="shared" si="3"/>
        <v>6</v>
      </c>
      <c r="S33" s="229">
        <f t="shared" si="3"/>
        <v>96</v>
      </c>
      <c r="T33" s="229">
        <f t="shared" si="3"/>
        <v>12</v>
      </c>
      <c r="U33" s="229">
        <f t="shared" si="3"/>
        <v>192</v>
      </c>
    </row>
    <row r="34" spans="2:21" ht="16.5" customHeight="1">
      <c r="B34" s="520" t="s">
        <v>614</v>
      </c>
      <c r="C34" s="522">
        <v>16</v>
      </c>
      <c r="D34" s="202" t="s">
        <v>753</v>
      </c>
      <c r="E34" s="249" t="s">
        <v>691</v>
      </c>
      <c r="F34" s="208">
        <v>64</v>
      </c>
      <c r="G34" s="208">
        <v>6</v>
      </c>
      <c r="H34" s="203"/>
      <c r="I34" s="203"/>
      <c r="J34" s="203"/>
      <c r="K34" s="203"/>
      <c r="L34" s="203"/>
      <c r="M34" s="203"/>
      <c r="N34" s="203"/>
      <c r="O34" s="203"/>
      <c r="P34" s="215">
        <v>4</v>
      </c>
      <c r="Q34" s="215">
        <v>64</v>
      </c>
      <c r="R34" s="215"/>
      <c r="S34" s="215"/>
      <c r="T34" s="167">
        <v>4</v>
      </c>
      <c r="U34" s="200">
        <v>64</v>
      </c>
    </row>
    <row r="35" spans="2:21" ht="16.5" customHeight="1">
      <c r="B35" s="520"/>
      <c r="C35" s="522"/>
      <c r="D35" s="202" t="s">
        <v>690</v>
      </c>
      <c r="E35" s="249" t="s">
        <v>689</v>
      </c>
      <c r="F35" s="208">
        <v>64</v>
      </c>
      <c r="G35" s="208">
        <v>5</v>
      </c>
      <c r="H35" s="203"/>
      <c r="I35" s="203"/>
      <c r="J35" s="203"/>
      <c r="K35" s="203"/>
      <c r="L35" s="203"/>
      <c r="M35" s="203"/>
      <c r="N35" s="203"/>
      <c r="O35" s="203"/>
      <c r="P35" s="215">
        <v>4</v>
      </c>
      <c r="Q35" s="215">
        <v>64</v>
      </c>
      <c r="R35" s="215"/>
      <c r="S35" s="215"/>
      <c r="T35" s="167">
        <v>4</v>
      </c>
      <c r="U35" s="204">
        <v>64</v>
      </c>
    </row>
    <row r="36" spans="2:21" ht="16.5" customHeight="1">
      <c r="B36" s="520"/>
      <c r="C36" s="522"/>
      <c r="D36" s="202" t="s">
        <v>688</v>
      </c>
      <c r="E36" s="249" t="s">
        <v>687</v>
      </c>
      <c r="F36" s="208">
        <v>64</v>
      </c>
      <c r="G36" s="208">
        <v>6</v>
      </c>
      <c r="H36" s="203"/>
      <c r="I36" s="203"/>
      <c r="J36" s="203"/>
      <c r="K36" s="203"/>
      <c r="L36" s="203"/>
      <c r="M36" s="203"/>
      <c r="N36" s="203"/>
      <c r="O36" s="203"/>
      <c r="P36" s="215"/>
      <c r="Q36" s="215"/>
      <c r="R36" s="215">
        <v>4</v>
      </c>
      <c r="S36" s="215">
        <v>64</v>
      </c>
      <c r="T36" s="167">
        <v>4</v>
      </c>
      <c r="U36" s="204">
        <v>64</v>
      </c>
    </row>
    <row r="37" spans="2:21" ht="16.5" customHeight="1">
      <c r="B37" s="520"/>
      <c r="C37" s="522"/>
      <c r="D37" s="202" t="s">
        <v>686</v>
      </c>
      <c r="E37" s="249" t="s">
        <v>685</v>
      </c>
      <c r="F37" s="208">
        <v>64</v>
      </c>
      <c r="G37" s="208">
        <v>5</v>
      </c>
      <c r="H37" s="203"/>
      <c r="I37" s="203"/>
      <c r="J37" s="203"/>
      <c r="K37" s="203"/>
      <c r="L37" s="203"/>
      <c r="M37" s="203"/>
      <c r="N37" s="203"/>
      <c r="O37" s="203"/>
      <c r="P37" s="215"/>
      <c r="Q37" s="215"/>
      <c r="R37" s="215">
        <v>4</v>
      </c>
      <c r="S37" s="215">
        <v>64</v>
      </c>
      <c r="T37" s="167">
        <v>4</v>
      </c>
      <c r="U37" s="204">
        <v>64</v>
      </c>
    </row>
    <row r="38" spans="2:21" ht="16.5" customHeight="1" thickBot="1">
      <c r="B38" s="521"/>
      <c r="C38" s="523"/>
      <c r="D38" s="524"/>
      <c r="E38" s="524"/>
      <c r="F38" s="212">
        <f>SUM(F34:F37)</f>
        <v>256</v>
      </c>
      <c r="G38" s="212"/>
      <c r="H38" s="243"/>
      <c r="I38" s="243"/>
      <c r="J38" s="243"/>
      <c r="K38" s="243"/>
      <c r="L38" s="243"/>
      <c r="M38" s="243"/>
      <c r="N38" s="243"/>
      <c r="O38" s="243"/>
      <c r="P38" s="243">
        <f t="shared" ref="P38:U38" si="4">SUM(P34:P37)</f>
        <v>8</v>
      </c>
      <c r="Q38" s="243">
        <f t="shared" si="4"/>
        <v>128</v>
      </c>
      <c r="R38" s="243">
        <f t="shared" si="4"/>
        <v>8</v>
      </c>
      <c r="S38" s="243">
        <f t="shared" si="4"/>
        <v>128</v>
      </c>
      <c r="T38" s="243">
        <f t="shared" si="4"/>
        <v>16</v>
      </c>
      <c r="U38" s="243">
        <f t="shared" si="4"/>
        <v>256</v>
      </c>
    </row>
    <row r="39" spans="2:21" ht="16.5" customHeight="1">
      <c r="B39" s="520" t="s">
        <v>615</v>
      </c>
      <c r="C39" s="522">
        <v>16</v>
      </c>
      <c r="D39" s="202" t="s">
        <v>754</v>
      </c>
      <c r="E39" s="249" t="s">
        <v>684</v>
      </c>
      <c r="F39" s="208">
        <v>64</v>
      </c>
      <c r="G39" s="208">
        <v>2</v>
      </c>
      <c r="H39" s="203"/>
      <c r="I39" s="203"/>
      <c r="J39" s="203"/>
      <c r="K39" s="203"/>
      <c r="L39" s="203"/>
      <c r="M39" s="203"/>
      <c r="N39" s="203"/>
      <c r="O39" s="203"/>
      <c r="P39" s="215">
        <v>4</v>
      </c>
      <c r="Q39" s="215">
        <v>64</v>
      </c>
      <c r="R39" s="215"/>
      <c r="S39" s="215"/>
      <c r="T39" s="167">
        <v>4</v>
      </c>
      <c r="U39" s="200">
        <v>64</v>
      </c>
    </row>
    <row r="40" spans="2:21" ht="16.5" customHeight="1">
      <c r="B40" s="520"/>
      <c r="C40" s="522"/>
      <c r="D40" s="202" t="s">
        <v>755</v>
      </c>
      <c r="E40" s="249" t="s">
        <v>683</v>
      </c>
      <c r="F40" s="208">
        <v>64</v>
      </c>
      <c r="G40" s="208">
        <v>3</v>
      </c>
      <c r="H40" s="203"/>
      <c r="I40" s="203"/>
      <c r="J40" s="203"/>
      <c r="K40" s="203"/>
      <c r="L40" s="203"/>
      <c r="M40" s="203"/>
      <c r="N40" s="203"/>
      <c r="O40" s="203"/>
      <c r="P40" s="215">
        <v>4</v>
      </c>
      <c r="Q40" s="215">
        <v>64</v>
      </c>
      <c r="R40" s="215"/>
      <c r="S40" s="215"/>
      <c r="T40" s="167">
        <v>4</v>
      </c>
      <c r="U40" s="204">
        <v>64</v>
      </c>
    </row>
    <row r="41" spans="2:21" ht="16.5" customHeight="1">
      <c r="B41" s="520"/>
      <c r="C41" s="522"/>
      <c r="D41" s="202" t="s">
        <v>756</v>
      </c>
      <c r="E41" s="249" t="s">
        <v>682</v>
      </c>
      <c r="F41" s="208">
        <v>64</v>
      </c>
      <c r="G41" s="208">
        <v>2</v>
      </c>
      <c r="H41" s="203"/>
      <c r="I41" s="203"/>
      <c r="J41" s="203"/>
      <c r="K41" s="203"/>
      <c r="L41" s="203"/>
      <c r="M41" s="203"/>
      <c r="N41" s="203"/>
      <c r="O41" s="203"/>
      <c r="P41" s="215"/>
      <c r="Q41" s="215"/>
      <c r="R41" s="215">
        <v>4</v>
      </c>
      <c r="S41" s="215">
        <v>64</v>
      </c>
      <c r="T41" s="167">
        <v>4</v>
      </c>
      <c r="U41" s="204">
        <v>64</v>
      </c>
    </row>
    <row r="42" spans="2:21" ht="16.5" customHeight="1">
      <c r="B42" s="520"/>
      <c r="C42" s="522"/>
      <c r="D42" s="202" t="s">
        <v>757</v>
      </c>
      <c r="E42" s="249" t="s">
        <v>681</v>
      </c>
      <c r="F42" s="208">
        <v>64</v>
      </c>
      <c r="G42" s="208">
        <v>3</v>
      </c>
      <c r="H42" s="203"/>
      <c r="I42" s="203"/>
      <c r="J42" s="203"/>
      <c r="K42" s="203"/>
      <c r="L42" s="203"/>
      <c r="M42" s="203"/>
      <c r="N42" s="203"/>
      <c r="O42" s="203"/>
      <c r="P42" s="215"/>
      <c r="Q42" s="215"/>
      <c r="R42" s="215">
        <v>4</v>
      </c>
      <c r="S42" s="215">
        <v>64</v>
      </c>
      <c r="T42" s="167">
        <v>4</v>
      </c>
      <c r="U42" s="204">
        <v>64</v>
      </c>
    </row>
    <row r="43" spans="2:21" ht="16.5" customHeight="1" thickBot="1">
      <c r="B43" s="521"/>
      <c r="C43" s="523"/>
      <c r="D43" s="524"/>
      <c r="E43" s="524"/>
      <c r="F43" s="212">
        <f>SUM(F39:F42)</f>
        <v>256</v>
      </c>
      <c r="G43" s="212"/>
      <c r="H43" s="243"/>
      <c r="I43" s="243"/>
      <c r="J43" s="243"/>
      <c r="K43" s="243"/>
      <c r="L43" s="243"/>
      <c r="M43" s="243"/>
      <c r="N43" s="243"/>
      <c r="O43" s="243"/>
      <c r="P43" s="243">
        <f t="shared" ref="P43:U43" si="5">SUM(P39:P42)</f>
        <v>8</v>
      </c>
      <c r="Q43" s="243">
        <f t="shared" si="5"/>
        <v>128</v>
      </c>
      <c r="R43" s="243">
        <f t="shared" si="5"/>
        <v>8</v>
      </c>
      <c r="S43" s="243">
        <f t="shared" si="5"/>
        <v>128</v>
      </c>
      <c r="T43" s="243">
        <f t="shared" si="5"/>
        <v>16</v>
      </c>
      <c r="U43" s="243">
        <f t="shared" si="5"/>
        <v>256</v>
      </c>
    </row>
    <row r="44" spans="2:21" ht="16.5" customHeight="1"/>
  </sheetData>
  <mergeCells count="51">
    <mergeCell ref="B9:B10"/>
    <mergeCell ref="C9:C10"/>
    <mergeCell ref="D10:E10"/>
    <mergeCell ref="F6:F8"/>
    <mergeCell ref="B34:B38"/>
    <mergeCell ref="C34:C38"/>
    <mergeCell ref="D38:E38"/>
    <mergeCell ref="B39:B43"/>
    <mergeCell ref="C39:C43"/>
    <mergeCell ref="D43:E43"/>
    <mergeCell ref="B2:U2"/>
    <mergeCell ref="N3:P3"/>
    <mergeCell ref="Q3:S3"/>
    <mergeCell ref="T3:U3"/>
    <mergeCell ref="N4:P4"/>
    <mergeCell ref="Q4:S4"/>
    <mergeCell ref="T4:U4"/>
    <mergeCell ref="B5:C5"/>
    <mergeCell ref="P6:S6"/>
    <mergeCell ref="T6:T8"/>
    <mergeCell ref="L6:O6"/>
    <mergeCell ref="B6:B8"/>
    <mergeCell ref="C6:C8"/>
    <mergeCell ref="D6:D8"/>
    <mergeCell ref="E6:E8"/>
    <mergeCell ref="G6:G8"/>
    <mergeCell ref="H6:K6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11:B18"/>
    <mergeCell ref="C11:C18"/>
    <mergeCell ref="D18:E18"/>
    <mergeCell ref="B19:B20"/>
    <mergeCell ref="C19:C20"/>
    <mergeCell ref="D20:E20"/>
    <mergeCell ref="B29:B33"/>
    <mergeCell ref="C29:C33"/>
    <mergeCell ref="D33:E33"/>
    <mergeCell ref="B21:B25"/>
    <mergeCell ref="C21:C25"/>
    <mergeCell ref="D25:E25"/>
    <mergeCell ref="B26:B28"/>
    <mergeCell ref="C26:C28"/>
    <mergeCell ref="D28:E28"/>
  </mergeCells>
  <phoneticPr fontId="9" type="noConversion"/>
  <pageMargins left="0.7" right="0.7" top="0.75" bottom="0.75" header="0.3" footer="0.3"/>
  <pageSetup paperSize="9" scale="3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0"/>
  <sheetViews>
    <sheetView view="pageBreakPreview" zoomScale="90" zoomScaleNormal="85" zoomScaleSheetLayoutView="90" workbookViewId="0">
      <selection activeCell="B2" sqref="B2:U2"/>
    </sheetView>
  </sheetViews>
  <sheetFormatPr defaultColWidth="9" defaultRowHeight="16.5"/>
  <cols>
    <col min="1" max="1" width="3" style="223" customWidth="1"/>
    <col min="2" max="2" width="30.625" style="223" customWidth="1"/>
    <col min="3" max="3" width="5.625" style="223" customWidth="1"/>
    <col min="4" max="4" width="25.625" style="223" customWidth="1"/>
    <col min="5" max="5" width="20.625" style="148" customWidth="1"/>
    <col min="6" max="6" width="9.125" style="148" customWidth="1"/>
    <col min="7" max="7" width="10.75" style="223" customWidth="1"/>
    <col min="8" max="19" width="7.75" style="223" bestFit="1" customWidth="1"/>
    <col min="20" max="20" width="6.625" style="223" bestFit="1" customWidth="1"/>
    <col min="21" max="21" width="7.125" style="223" customWidth="1"/>
    <col min="22" max="16384" width="9" style="223"/>
  </cols>
  <sheetData>
    <row r="2" spans="2:33" ht="27" thickBot="1">
      <c r="B2" s="555" t="s">
        <v>149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</row>
    <row r="3" spans="2:33" ht="26.25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556" t="s">
        <v>129</v>
      </c>
      <c r="O3" s="557"/>
      <c r="P3" s="557"/>
      <c r="Q3" s="557" t="s">
        <v>127</v>
      </c>
      <c r="R3" s="557"/>
      <c r="S3" s="557"/>
      <c r="T3" s="557" t="s">
        <v>130</v>
      </c>
      <c r="U3" s="558"/>
    </row>
    <row r="4" spans="2:33" ht="27" thickBot="1"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559" t="s">
        <v>536</v>
      </c>
      <c r="O4" s="560"/>
      <c r="P4" s="560"/>
      <c r="Q4" s="561" t="s">
        <v>537</v>
      </c>
      <c r="R4" s="561"/>
      <c r="S4" s="561"/>
      <c r="T4" s="561">
        <v>2027</v>
      </c>
      <c r="U4" s="562"/>
    </row>
    <row r="5" spans="2:33" ht="17.25" thickBot="1">
      <c r="B5" s="595"/>
      <c r="C5" s="595"/>
    </row>
    <row r="6" spans="2:33" ht="20.25" customHeight="1">
      <c r="B6" s="596" t="s">
        <v>13</v>
      </c>
      <c r="C6" s="599" t="s">
        <v>140</v>
      </c>
      <c r="D6" s="567" t="s">
        <v>14</v>
      </c>
      <c r="E6" s="567" t="s">
        <v>15</v>
      </c>
      <c r="F6" s="567" t="s">
        <v>141</v>
      </c>
      <c r="G6" s="567" t="s">
        <v>142</v>
      </c>
      <c r="H6" s="570" t="s">
        <v>58</v>
      </c>
      <c r="I6" s="571"/>
      <c r="J6" s="571"/>
      <c r="K6" s="572"/>
      <c r="L6" s="570" t="s">
        <v>59</v>
      </c>
      <c r="M6" s="571"/>
      <c r="N6" s="571"/>
      <c r="O6" s="572"/>
      <c r="P6" s="570" t="s">
        <v>60</v>
      </c>
      <c r="Q6" s="571"/>
      <c r="R6" s="571"/>
      <c r="S6" s="572"/>
      <c r="T6" s="578" t="s">
        <v>139</v>
      </c>
      <c r="U6" s="573" t="s">
        <v>126</v>
      </c>
      <c r="W6" s="532" t="s">
        <v>131</v>
      </c>
      <c r="X6" s="533"/>
      <c r="Y6" s="533"/>
      <c r="Z6" s="533"/>
      <c r="AA6" s="533"/>
      <c r="AB6" s="533"/>
      <c r="AC6" s="533"/>
      <c r="AD6" s="533"/>
      <c r="AE6" s="533"/>
      <c r="AF6" s="534"/>
      <c r="AG6" s="149"/>
    </row>
    <row r="7" spans="2:33" ht="20.25">
      <c r="B7" s="597"/>
      <c r="C7" s="600"/>
      <c r="D7" s="568"/>
      <c r="E7" s="568"/>
      <c r="F7" s="568"/>
      <c r="G7" s="568"/>
      <c r="H7" s="576" t="s">
        <v>124</v>
      </c>
      <c r="I7" s="577"/>
      <c r="J7" s="576" t="s">
        <v>62</v>
      </c>
      <c r="K7" s="577"/>
      <c r="L7" s="576" t="s">
        <v>124</v>
      </c>
      <c r="M7" s="577"/>
      <c r="N7" s="576" t="s">
        <v>62</v>
      </c>
      <c r="O7" s="577"/>
      <c r="P7" s="576" t="s">
        <v>124</v>
      </c>
      <c r="Q7" s="577"/>
      <c r="R7" s="576" t="s">
        <v>62</v>
      </c>
      <c r="S7" s="577"/>
      <c r="T7" s="579"/>
      <c r="U7" s="574"/>
      <c r="W7" s="536" t="s">
        <v>132</v>
      </c>
      <c r="X7" s="537"/>
      <c r="Y7" s="537"/>
      <c r="Z7" s="537"/>
      <c r="AA7" s="537"/>
      <c r="AB7" s="537"/>
      <c r="AC7" s="537"/>
      <c r="AD7" s="537"/>
      <c r="AE7" s="537"/>
      <c r="AF7" s="538"/>
      <c r="AG7" s="149"/>
    </row>
    <row r="8" spans="2:33" ht="21" thickBot="1">
      <c r="B8" s="598"/>
      <c r="C8" s="601"/>
      <c r="D8" s="569"/>
      <c r="E8" s="569"/>
      <c r="F8" s="569"/>
      <c r="G8" s="569"/>
      <c r="H8" s="224" t="s">
        <v>138</v>
      </c>
      <c r="I8" s="224" t="s">
        <v>125</v>
      </c>
      <c r="J8" s="224" t="s">
        <v>138</v>
      </c>
      <c r="K8" s="224" t="s">
        <v>125</v>
      </c>
      <c r="L8" s="224" t="s">
        <v>138</v>
      </c>
      <c r="M8" s="224" t="s">
        <v>125</v>
      </c>
      <c r="N8" s="224" t="s">
        <v>138</v>
      </c>
      <c r="O8" s="224" t="s">
        <v>125</v>
      </c>
      <c r="P8" s="224" t="s">
        <v>138</v>
      </c>
      <c r="Q8" s="224" t="s">
        <v>125</v>
      </c>
      <c r="R8" s="224" t="s">
        <v>138</v>
      </c>
      <c r="S8" s="224" t="s">
        <v>125</v>
      </c>
      <c r="T8" s="580"/>
      <c r="U8" s="575"/>
      <c r="W8" s="151"/>
      <c r="X8" s="152"/>
      <c r="Y8" s="152"/>
      <c r="Z8" s="152"/>
      <c r="AA8" s="152"/>
      <c r="AB8" s="152"/>
      <c r="AC8" s="152"/>
      <c r="AD8" s="152"/>
      <c r="AE8" s="152"/>
      <c r="AF8" s="153"/>
      <c r="AG8" s="149"/>
    </row>
    <row r="9" spans="2:33" ht="16.5" customHeight="1">
      <c r="B9" s="581" t="s">
        <v>624</v>
      </c>
      <c r="C9" s="584">
        <v>13</v>
      </c>
      <c r="D9" s="202" t="s">
        <v>538</v>
      </c>
      <c r="E9" s="225" t="s">
        <v>715</v>
      </c>
      <c r="F9" s="167">
        <v>32</v>
      </c>
      <c r="G9" s="226">
        <v>3</v>
      </c>
      <c r="H9" s="250"/>
      <c r="I9" s="250">
        <f>H9*16</f>
        <v>0</v>
      </c>
      <c r="J9" s="250"/>
      <c r="K9" s="250">
        <f>J9*16</f>
        <v>0</v>
      </c>
      <c r="L9" s="250"/>
      <c r="M9" s="250"/>
      <c r="N9" s="250"/>
      <c r="O9" s="250"/>
      <c r="P9" s="250">
        <v>2</v>
      </c>
      <c r="Q9" s="250">
        <v>32</v>
      </c>
      <c r="R9" s="250"/>
      <c r="S9" s="250"/>
      <c r="T9" s="192">
        <v>2</v>
      </c>
      <c r="U9" s="193">
        <v>32</v>
      </c>
      <c r="W9" s="160"/>
      <c r="X9" s="149"/>
      <c r="Y9" s="149"/>
      <c r="Z9" s="149"/>
      <c r="AA9" s="149"/>
      <c r="AB9" s="149"/>
      <c r="AC9" s="149"/>
      <c r="AD9" s="149"/>
      <c r="AE9" s="149"/>
      <c r="AF9" s="161"/>
      <c r="AG9" s="149"/>
    </row>
    <row r="10" spans="2:33" ht="16.5" customHeight="1">
      <c r="B10" s="582"/>
      <c r="C10" s="585"/>
      <c r="D10" s="202" t="s">
        <v>539</v>
      </c>
      <c r="E10" s="211" t="s">
        <v>716</v>
      </c>
      <c r="F10" s="176">
        <v>32</v>
      </c>
      <c r="G10" s="227">
        <v>3</v>
      </c>
      <c r="H10" s="251"/>
      <c r="I10" s="251">
        <f t="shared" ref="I10" si="0">H10*16</f>
        <v>0</v>
      </c>
      <c r="J10" s="251"/>
      <c r="K10" s="251">
        <f t="shared" ref="K10" si="1">J10*16</f>
        <v>0</v>
      </c>
      <c r="L10" s="251"/>
      <c r="M10" s="251"/>
      <c r="N10" s="251"/>
      <c r="O10" s="251"/>
      <c r="P10" s="251">
        <v>2</v>
      </c>
      <c r="Q10" s="251">
        <v>32</v>
      </c>
      <c r="R10" s="251"/>
      <c r="S10" s="251"/>
      <c r="T10" s="189">
        <v>2</v>
      </c>
      <c r="U10" s="190">
        <v>32</v>
      </c>
      <c r="W10" s="160"/>
      <c r="X10" s="149"/>
      <c r="Y10" s="149"/>
      <c r="Z10" s="149"/>
      <c r="AA10" s="149"/>
      <c r="AB10" s="149"/>
      <c r="AC10" s="149"/>
      <c r="AD10" s="149"/>
      <c r="AE10" s="149"/>
      <c r="AF10" s="161"/>
      <c r="AG10" s="149"/>
    </row>
    <row r="11" spans="2:33" ht="16.5" customHeight="1">
      <c r="B11" s="582"/>
      <c r="C11" s="585"/>
      <c r="D11" s="202" t="s">
        <v>540</v>
      </c>
      <c r="E11" s="211" t="s">
        <v>717</v>
      </c>
      <c r="F11" s="176">
        <v>32</v>
      </c>
      <c r="G11" s="226">
        <v>3</v>
      </c>
      <c r="H11" s="250"/>
      <c r="I11" s="250"/>
      <c r="J11" s="250"/>
      <c r="K11" s="250"/>
      <c r="L11" s="250"/>
      <c r="M11" s="250"/>
      <c r="N11" s="250"/>
      <c r="O11" s="250"/>
      <c r="P11" s="250">
        <v>2</v>
      </c>
      <c r="Q11" s="250">
        <v>32</v>
      </c>
      <c r="R11" s="250"/>
      <c r="S11" s="250"/>
      <c r="T11" s="192">
        <v>2</v>
      </c>
      <c r="U11" s="193">
        <v>32</v>
      </c>
      <c r="W11" s="170"/>
      <c r="X11" s="171"/>
      <c r="Y11" s="171"/>
      <c r="Z11" s="171"/>
      <c r="AA11" s="171"/>
      <c r="AB11" s="171"/>
      <c r="AC11" s="171"/>
      <c r="AD11" s="171"/>
      <c r="AE11" s="171"/>
      <c r="AF11" s="172"/>
    </row>
    <row r="12" spans="2:33" ht="16.5" customHeight="1">
      <c r="B12" s="582"/>
      <c r="C12" s="585"/>
      <c r="D12" s="202" t="s">
        <v>541</v>
      </c>
      <c r="E12" s="211" t="s">
        <v>718</v>
      </c>
      <c r="F12" s="176">
        <v>16</v>
      </c>
      <c r="G12" s="226">
        <v>4</v>
      </c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>
        <v>1</v>
      </c>
      <c r="S12" s="250">
        <v>16</v>
      </c>
      <c r="T12" s="192">
        <v>1</v>
      </c>
      <c r="U12" s="193">
        <v>16</v>
      </c>
      <c r="W12" s="170"/>
      <c r="X12" s="171"/>
      <c r="Y12" s="171"/>
      <c r="Z12" s="171"/>
      <c r="AA12" s="171"/>
      <c r="AB12" s="171"/>
      <c r="AC12" s="171"/>
      <c r="AD12" s="171"/>
      <c r="AE12" s="171"/>
      <c r="AF12" s="172"/>
    </row>
    <row r="13" spans="2:33" ht="16.5" customHeight="1" thickBot="1">
      <c r="B13" s="582"/>
      <c r="C13" s="585"/>
      <c r="D13" s="202" t="s">
        <v>542</v>
      </c>
      <c r="E13" s="211" t="s">
        <v>719</v>
      </c>
      <c r="F13" s="176">
        <v>32</v>
      </c>
      <c r="G13" s="226">
        <v>4</v>
      </c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>
        <v>2</v>
      </c>
      <c r="S13" s="250">
        <v>32</v>
      </c>
      <c r="T13" s="189">
        <v>2</v>
      </c>
      <c r="U13" s="190">
        <v>32</v>
      </c>
      <c r="W13" s="181"/>
      <c r="X13" s="182"/>
      <c r="Y13" s="182"/>
      <c r="Z13" s="182"/>
      <c r="AA13" s="182"/>
      <c r="AB13" s="182"/>
      <c r="AC13" s="182"/>
      <c r="AD13" s="182"/>
      <c r="AE13" s="182"/>
      <c r="AF13" s="183"/>
    </row>
    <row r="14" spans="2:33" ht="16.5" customHeight="1">
      <c r="B14" s="582"/>
      <c r="C14" s="585"/>
      <c r="D14" s="202" t="s">
        <v>543</v>
      </c>
      <c r="E14" s="228" t="s">
        <v>720</v>
      </c>
      <c r="F14" s="176">
        <v>32</v>
      </c>
      <c r="G14" s="226">
        <v>3</v>
      </c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>
        <v>2</v>
      </c>
      <c r="S14" s="250">
        <v>32</v>
      </c>
      <c r="T14" s="189">
        <v>2</v>
      </c>
      <c r="U14" s="190">
        <v>32</v>
      </c>
    </row>
    <row r="15" spans="2:33" ht="16.5" customHeight="1">
      <c r="B15" s="582"/>
      <c r="C15" s="585"/>
      <c r="D15" s="202" t="s">
        <v>721</v>
      </c>
      <c r="E15" s="211" t="s">
        <v>722</v>
      </c>
      <c r="F15" s="176">
        <v>16</v>
      </c>
      <c r="G15" s="227">
        <v>3</v>
      </c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>
        <v>1</v>
      </c>
      <c r="S15" s="251">
        <v>16</v>
      </c>
      <c r="T15" s="189">
        <v>1</v>
      </c>
      <c r="U15" s="190">
        <v>16</v>
      </c>
    </row>
    <row r="16" spans="2:33" ht="16.5" customHeight="1">
      <c r="B16" s="582"/>
      <c r="C16" s="585"/>
      <c r="D16" s="202" t="s">
        <v>723</v>
      </c>
      <c r="E16" s="211" t="s">
        <v>724</v>
      </c>
      <c r="F16" s="176">
        <v>16</v>
      </c>
      <c r="G16" s="227">
        <v>4</v>
      </c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>
        <v>1</v>
      </c>
      <c r="S16" s="251">
        <v>16</v>
      </c>
      <c r="T16" s="189">
        <v>1</v>
      </c>
      <c r="U16" s="190">
        <v>16</v>
      </c>
    </row>
    <row r="17" spans="2:23" ht="16.5" customHeight="1" thickBot="1">
      <c r="B17" s="583"/>
      <c r="C17" s="586"/>
      <c r="D17" s="587" t="s">
        <v>16</v>
      </c>
      <c r="E17" s="588"/>
      <c r="F17" s="229"/>
      <c r="G17" s="229"/>
      <c r="H17" s="252">
        <f t="shared" ref="H17:U17" si="2">SUM(H9:H16)</f>
        <v>0</v>
      </c>
      <c r="I17" s="252">
        <f t="shared" si="2"/>
        <v>0</v>
      </c>
      <c r="J17" s="252">
        <f t="shared" si="2"/>
        <v>0</v>
      </c>
      <c r="K17" s="252">
        <f t="shared" si="2"/>
        <v>0</v>
      </c>
      <c r="L17" s="252">
        <f t="shared" si="2"/>
        <v>0</v>
      </c>
      <c r="M17" s="252">
        <f t="shared" si="2"/>
        <v>0</v>
      </c>
      <c r="N17" s="252">
        <f t="shared" si="2"/>
        <v>0</v>
      </c>
      <c r="O17" s="252">
        <f t="shared" si="2"/>
        <v>0</v>
      </c>
      <c r="P17" s="252">
        <f t="shared" si="2"/>
        <v>6</v>
      </c>
      <c r="Q17" s="252">
        <f t="shared" si="2"/>
        <v>96</v>
      </c>
      <c r="R17" s="252">
        <f t="shared" si="2"/>
        <v>7</v>
      </c>
      <c r="S17" s="252">
        <f t="shared" si="2"/>
        <v>112</v>
      </c>
      <c r="T17" s="252">
        <f t="shared" si="2"/>
        <v>13</v>
      </c>
      <c r="U17" s="253">
        <f t="shared" si="2"/>
        <v>208</v>
      </c>
    </row>
    <row r="18" spans="2:23" ht="16.5" customHeight="1">
      <c r="B18" s="589" t="s">
        <v>664</v>
      </c>
      <c r="C18" s="592">
        <v>13</v>
      </c>
      <c r="D18" s="198" t="s">
        <v>758</v>
      </c>
      <c r="E18" s="230" t="s">
        <v>759</v>
      </c>
      <c r="F18" s="230">
        <v>16</v>
      </c>
      <c r="G18" s="198">
        <v>5</v>
      </c>
      <c r="H18" s="254"/>
      <c r="I18" s="254"/>
      <c r="J18" s="254"/>
      <c r="K18" s="254"/>
      <c r="L18" s="254"/>
      <c r="M18" s="254"/>
      <c r="N18" s="254"/>
      <c r="O18" s="254"/>
      <c r="P18" s="255">
        <v>2</v>
      </c>
      <c r="Q18" s="255">
        <v>32</v>
      </c>
      <c r="R18" s="254"/>
      <c r="S18" s="254"/>
      <c r="T18" s="256">
        <v>2</v>
      </c>
      <c r="U18" s="257">
        <v>32</v>
      </c>
      <c r="W18" s="231"/>
    </row>
    <row r="19" spans="2:23" ht="16.5" customHeight="1">
      <c r="B19" s="590"/>
      <c r="C19" s="593"/>
      <c r="D19" s="202" t="s">
        <v>760</v>
      </c>
      <c r="E19" s="163" t="s">
        <v>761</v>
      </c>
      <c r="F19" s="232">
        <v>32</v>
      </c>
      <c r="G19" s="202">
        <v>4</v>
      </c>
      <c r="H19" s="251"/>
      <c r="I19" s="251"/>
      <c r="J19" s="251"/>
      <c r="K19" s="251"/>
      <c r="L19" s="251"/>
      <c r="M19" s="251"/>
      <c r="N19" s="251"/>
      <c r="O19" s="251"/>
      <c r="P19" s="251">
        <v>2</v>
      </c>
      <c r="Q19" s="251">
        <v>32</v>
      </c>
      <c r="R19" s="251"/>
      <c r="S19" s="251"/>
      <c r="T19" s="251">
        <v>2</v>
      </c>
      <c r="U19" s="258">
        <v>32</v>
      </c>
      <c r="W19" s="231"/>
    </row>
    <row r="20" spans="2:23" ht="16.5" customHeight="1">
      <c r="B20" s="590"/>
      <c r="C20" s="593"/>
      <c r="D20" s="202" t="s">
        <v>762</v>
      </c>
      <c r="E20" s="163" t="s">
        <v>763</v>
      </c>
      <c r="F20" s="232">
        <v>32</v>
      </c>
      <c r="G20" s="202">
        <v>5</v>
      </c>
      <c r="H20" s="251"/>
      <c r="I20" s="251"/>
      <c r="J20" s="251"/>
      <c r="K20" s="251"/>
      <c r="L20" s="251"/>
      <c r="M20" s="251"/>
      <c r="N20" s="251"/>
      <c r="O20" s="251"/>
      <c r="P20" s="251">
        <v>2</v>
      </c>
      <c r="Q20" s="251">
        <v>32</v>
      </c>
      <c r="R20" s="251"/>
      <c r="S20" s="251"/>
      <c r="T20" s="251">
        <v>2</v>
      </c>
      <c r="U20" s="258">
        <v>32</v>
      </c>
    </row>
    <row r="21" spans="2:23" ht="16.5" customHeight="1">
      <c r="B21" s="590"/>
      <c r="C21" s="593"/>
      <c r="D21" s="202" t="s">
        <v>764</v>
      </c>
      <c r="E21" s="163" t="s">
        <v>765</v>
      </c>
      <c r="F21" s="232">
        <v>32</v>
      </c>
      <c r="G21" s="202">
        <v>4</v>
      </c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>
        <v>1</v>
      </c>
      <c r="S21" s="251">
        <v>16</v>
      </c>
      <c r="T21" s="251">
        <v>1</v>
      </c>
      <c r="U21" s="258">
        <v>16</v>
      </c>
    </row>
    <row r="22" spans="2:23" ht="16.5" customHeight="1">
      <c r="B22" s="590"/>
      <c r="C22" s="593"/>
      <c r="D22" s="202" t="s">
        <v>766</v>
      </c>
      <c r="E22" s="163" t="s">
        <v>767</v>
      </c>
      <c r="F22" s="232">
        <v>32</v>
      </c>
      <c r="G22" s="202">
        <v>3</v>
      </c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>
        <v>2</v>
      </c>
      <c r="S22" s="251">
        <v>32</v>
      </c>
      <c r="T22" s="251">
        <v>2</v>
      </c>
      <c r="U22" s="258">
        <v>32</v>
      </c>
    </row>
    <row r="23" spans="2:23" ht="16.5" customHeight="1">
      <c r="B23" s="590"/>
      <c r="C23" s="593"/>
      <c r="D23" s="202" t="s">
        <v>768</v>
      </c>
      <c r="E23" s="163" t="s">
        <v>769</v>
      </c>
      <c r="F23" s="232">
        <v>32</v>
      </c>
      <c r="G23" s="202">
        <v>3</v>
      </c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>
        <v>2</v>
      </c>
      <c r="S23" s="251">
        <v>32</v>
      </c>
      <c r="T23" s="251">
        <v>2</v>
      </c>
      <c r="U23" s="258">
        <v>32</v>
      </c>
    </row>
    <row r="24" spans="2:23" ht="16.5" customHeight="1">
      <c r="B24" s="590"/>
      <c r="C24" s="593"/>
      <c r="D24" s="202" t="s">
        <v>770</v>
      </c>
      <c r="E24" s="163" t="s">
        <v>771</v>
      </c>
      <c r="F24" s="232">
        <v>32</v>
      </c>
      <c r="G24" s="202">
        <v>5</v>
      </c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>
        <v>2</v>
      </c>
      <c r="S24" s="251">
        <v>32</v>
      </c>
      <c r="T24" s="251">
        <v>2</v>
      </c>
      <c r="U24" s="258">
        <v>32</v>
      </c>
    </row>
    <row r="25" spans="2:23" ht="16.5" customHeight="1" thickBot="1">
      <c r="B25" s="591"/>
      <c r="C25" s="594"/>
      <c r="D25" s="587" t="s">
        <v>16</v>
      </c>
      <c r="E25" s="588"/>
      <c r="F25" s="229"/>
      <c r="G25" s="229"/>
      <c r="H25" s="252">
        <f t="shared" ref="H25:O25" si="3">SUM(H19:H24)</f>
        <v>0</v>
      </c>
      <c r="I25" s="252">
        <f t="shared" si="3"/>
        <v>0</v>
      </c>
      <c r="J25" s="252">
        <f t="shared" si="3"/>
        <v>0</v>
      </c>
      <c r="K25" s="252">
        <f t="shared" si="3"/>
        <v>0</v>
      </c>
      <c r="L25" s="252">
        <f t="shared" si="3"/>
        <v>0</v>
      </c>
      <c r="M25" s="252">
        <f t="shared" si="3"/>
        <v>0</v>
      </c>
      <c r="N25" s="252">
        <f t="shared" si="3"/>
        <v>0</v>
      </c>
      <c r="O25" s="252">
        <f t="shared" si="3"/>
        <v>0</v>
      </c>
      <c r="P25" s="252">
        <f>SUM(P18:P24)</f>
        <v>6</v>
      </c>
      <c r="Q25" s="252">
        <f>SUM(Q18:Q24)</f>
        <v>96</v>
      </c>
      <c r="R25" s="252">
        <f>SUM(R19:R24)</f>
        <v>7</v>
      </c>
      <c r="S25" s="252">
        <f>SUM(S19:S24)</f>
        <v>112</v>
      </c>
      <c r="T25" s="252">
        <f>SUM(T18:T24)</f>
        <v>13</v>
      </c>
      <c r="U25" s="253">
        <f>SUM(U18:U24)</f>
        <v>208</v>
      </c>
    </row>
    <row r="26" spans="2:23" ht="16.5" customHeight="1">
      <c r="B26" s="589" t="s">
        <v>544</v>
      </c>
      <c r="C26" s="592">
        <v>6</v>
      </c>
      <c r="D26" s="202" t="s">
        <v>725</v>
      </c>
      <c r="E26" s="233" t="s">
        <v>547</v>
      </c>
      <c r="F26" s="199">
        <v>32</v>
      </c>
      <c r="G26" s="213">
        <v>3</v>
      </c>
      <c r="H26" s="256"/>
      <c r="I26" s="256"/>
      <c r="J26" s="256">
        <v>1</v>
      </c>
      <c r="K26" s="256">
        <v>16</v>
      </c>
      <c r="L26" s="256"/>
      <c r="M26" s="256"/>
      <c r="N26" s="256"/>
      <c r="O26" s="256"/>
      <c r="P26" s="256"/>
      <c r="Q26" s="256"/>
      <c r="R26" s="256"/>
      <c r="S26" s="256"/>
      <c r="T26" s="256">
        <v>1</v>
      </c>
      <c r="U26" s="257">
        <v>16</v>
      </c>
    </row>
    <row r="27" spans="2:23" ht="16.5" customHeight="1">
      <c r="B27" s="590"/>
      <c r="C27" s="593"/>
      <c r="D27" s="202" t="s">
        <v>726</v>
      </c>
      <c r="E27" s="163" t="s">
        <v>548</v>
      </c>
      <c r="F27" s="203">
        <v>16</v>
      </c>
      <c r="G27" s="208">
        <v>3</v>
      </c>
      <c r="H27" s="250"/>
      <c r="I27" s="250"/>
      <c r="J27" s="250">
        <v>1</v>
      </c>
      <c r="K27" s="250">
        <v>16</v>
      </c>
      <c r="L27" s="250"/>
      <c r="M27" s="250"/>
      <c r="N27" s="250"/>
      <c r="O27" s="250"/>
      <c r="P27" s="250"/>
      <c r="Q27" s="250"/>
      <c r="R27" s="250"/>
      <c r="S27" s="250"/>
      <c r="T27" s="250">
        <v>1</v>
      </c>
      <c r="U27" s="259">
        <v>16</v>
      </c>
    </row>
    <row r="28" spans="2:23" ht="16.5" customHeight="1">
      <c r="B28" s="590"/>
      <c r="C28" s="593"/>
      <c r="D28" s="202" t="s">
        <v>727</v>
      </c>
      <c r="E28" s="163" t="s">
        <v>549</v>
      </c>
      <c r="F28" s="232">
        <v>16</v>
      </c>
      <c r="G28" s="202">
        <v>3</v>
      </c>
      <c r="H28" s="251"/>
      <c r="I28" s="251"/>
      <c r="J28" s="251">
        <v>1</v>
      </c>
      <c r="K28" s="251">
        <v>16</v>
      </c>
      <c r="L28" s="251"/>
      <c r="M28" s="251"/>
      <c r="N28" s="251"/>
      <c r="O28" s="251"/>
      <c r="P28" s="251"/>
      <c r="Q28" s="251"/>
      <c r="R28" s="251"/>
      <c r="S28" s="251"/>
      <c r="T28" s="251">
        <v>1</v>
      </c>
      <c r="U28" s="258">
        <v>16</v>
      </c>
    </row>
    <row r="29" spans="2:23" ht="16.5" customHeight="1">
      <c r="B29" s="590"/>
      <c r="C29" s="593"/>
      <c r="D29" s="202" t="s">
        <v>728</v>
      </c>
      <c r="E29" s="163" t="s">
        <v>729</v>
      </c>
      <c r="F29" s="232">
        <v>16</v>
      </c>
      <c r="G29" s="202">
        <v>3</v>
      </c>
      <c r="H29" s="251"/>
      <c r="I29" s="251"/>
      <c r="J29" s="251">
        <v>1</v>
      </c>
      <c r="K29" s="251">
        <v>16</v>
      </c>
      <c r="L29" s="251"/>
      <c r="M29" s="251"/>
      <c r="N29" s="251"/>
      <c r="O29" s="251"/>
      <c r="P29" s="251"/>
      <c r="Q29" s="251"/>
      <c r="R29" s="251"/>
      <c r="S29" s="251"/>
      <c r="T29" s="251">
        <v>1</v>
      </c>
      <c r="U29" s="258">
        <v>16</v>
      </c>
    </row>
    <row r="30" spans="2:23" ht="16.5" customHeight="1">
      <c r="B30" s="590"/>
      <c r="C30" s="593"/>
      <c r="D30" s="202" t="s">
        <v>730</v>
      </c>
      <c r="E30" s="163" t="s">
        <v>550</v>
      </c>
      <c r="F30" s="232">
        <v>16</v>
      </c>
      <c r="G30" s="202">
        <v>2</v>
      </c>
      <c r="H30" s="251"/>
      <c r="I30" s="251"/>
      <c r="J30" s="251">
        <v>1</v>
      </c>
      <c r="K30" s="251">
        <v>16</v>
      </c>
      <c r="L30" s="251"/>
      <c r="M30" s="251"/>
      <c r="N30" s="251"/>
      <c r="O30" s="251"/>
      <c r="P30" s="251"/>
      <c r="Q30" s="251"/>
      <c r="R30" s="251"/>
      <c r="S30" s="251"/>
      <c r="T30" s="251">
        <v>1</v>
      </c>
      <c r="U30" s="258">
        <v>16</v>
      </c>
    </row>
    <row r="31" spans="2:23" ht="16.5" customHeight="1">
      <c r="B31" s="590"/>
      <c r="C31" s="593"/>
      <c r="D31" s="202" t="s">
        <v>731</v>
      </c>
      <c r="E31" s="234" t="s">
        <v>546</v>
      </c>
      <c r="F31" s="232">
        <v>32</v>
      </c>
      <c r="G31" s="202">
        <v>6</v>
      </c>
      <c r="H31" s="251"/>
      <c r="I31" s="251"/>
      <c r="J31" s="251">
        <v>1</v>
      </c>
      <c r="K31" s="251">
        <v>16</v>
      </c>
      <c r="L31" s="251"/>
      <c r="M31" s="251"/>
      <c r="N31" s="251"/>
      <c r="O31" s="251"/>
      <c r="P31" s="251"/>
      <c r="Q31" s="251"/>
      <c r="R31" s="251"/>
      <c r="S31" s="251"/>
      <c r="T31" s="251">
        <v>1</v>
      </c>
      <c r="U31" s="258">
        <v>16</v>
      </c>
    </row>
    <row r="32" spans="2:23" ht="16.5" customHeight="1" thickBot="1">
      <c r="B32" s="591"/>
      <c r="C32" s="594"/>
      <c r="D32" s="587" t="s">
        <v>16</v>
      </c>
      <c r="E32" s="588"/>
      <c r="F32" s="229"/>
      <c r="G32" s="229"/>
      <c r="H32" s="252">
        <f t="shared" ref="H32:U32" si="4">SUM(H26:H31)</f>
        <v>0</v>
      </c>
      <c r="I32" s="252">
        <f t="shared" si="4"/>
        <v>0</v>
      </c>
      <c r="J32" s="252">
        <f t="shared" si="4"/>
        <v>6</v>
      </c>
      <c r="K32" s="252">
        <f t="shared" si="4"/>
        <v>96</v>
      </c>
      <c r="L32" s="252">
        <f t="shared" si="4"/>
        <v>0</v>
      </c>
      <c r="M32" s="252">
        <f t="shared" si="4"/>
        <v>0</v>
      </c>
      <c r="N32" s="252">
        <f t="shared" si="4"/>
        <v>0</v>
      </c>
      <c r="O32" s="252">
        <f t="shared" si="4"/>
        <v>0</v>
      </c>
      <c r="P32" s="252">
        <f t="shared" si="4"/>
        <v>0</v>
      </c>
      <c r="Q32" s="252">
        <f t="shared" si="4"/>
        <v>0</v>
      </c>
      <c r="R32" s="252">
        <f t="shared" si="4"/>
        <v>0</v>
      </c>
      <c r="S32" s="252">
        <f t="shared" si="4"/>
        <v>0</v>
      </c>
      <c r="T32" s="252">
        <f t="shared" si="4"/>
        <v>6</v>
      </c>
      <c r="U32" s="253">
        <f t="shared" si="4"/>
        <v>96</v>
      </c>
    </row>
    <row r="33" spans="2:21" ht="16.5" customHeight="1">
      <c r="B33" s="589" t="s">
        <v>545</v>
      </c>
      <c r="C33" s="592">
        <v>7</v>
      </c>
      <c r="D33" s="202" t="s">
        <v>732</v>
      </c>
      <c r="E33" s="233" t="s">
        <v>551</v>
      </c>
      <c r="F33" s="199">
        <v>16</v>
      </c>
      <c r="G33" s="198">
        <v>4</v>
      </c>
      <c r="H33" s="256"/>
      <c r="I33" s="256"/>
      <c r="J33" s="256"/>
      <c r="K33" s="256"/>
      <c r="L33" s="256">
        <v>2</v>
      </c>
      <c r="M33" s="256">
        <v>32</v>
      </c>
      <c r="N33" s="256"/>
      <c r="O33" s="256"/>
      <c r="P33" s="260"/>
      <c r="Q33" s="260"/>
      <c r="R33" s="260"/>
      <c r="S33" s="260"/>
      <c r="T33" s="256">
        <v>2</v>
      </c>
      <c r="U33" s="257">
        <v>32</v>
      </c>
    </row>
    <row r="34" spans="2:21" ht="16.5" customHeight="1">
      <c r="B34" s="590"/>
      <c r="C34" s="593"/>
      <c r="D34" s="202" t="s">
        <v>733</v>
      </c>
      <c r="E34" s="163" t="s">
        <v>552</v>
      </c>
      <c r="F34" s="203">
        <v>16</v>
      </c>
      <c r="G34" s="208">
        <v>4</v>
      </c>
      <c r="H34" s="250"/>
      <c r="I34" s="250"/>
      <c r="J34" s="250"/>
      <c r="K34" s="250"/>
      <c r="L34" s="250">
        <v>1</v>
      </c>
      <c r="M34" s="250">
        <v>16</v>
      </c>
      <c r="N34" s="250"/>
      <c r="O34" s="250"/>
      <c r="P34" s="261"/>
      <c r="Q34" s="261"/>
      <c r="R34" s="261"/>
      <c r="S34" s="261"/>
      <c r="T34" s="250">
        <v>1</v>
      </c>
      <c r="U34" s="259">
        <v>16</v>
      </c>
    </row>
    <row r="35" spans="2:21" ht="16.5" customHeight="1">
      <c r="B35" s="590"/>
      <c r="C35" s="593"/>
      <c r="D35" s="202" t="s">
        <v>734</v>
      </c>
      <c r="E35" s="163" t="s">
        <v>553</v>
      </c>
      <c r="F35" s="203">
        <v>16</v>
      </c>
      <c r="G35" s="208">
        <v>4</v>
      </c>
      <c r="H35" s="250"/>
      <c r="I35" s="250"/>
      <c r="J35" s="250"/>
      <c r="K35" s="250"/>
      <c r="L35" s="250">
        <v>1</v>
      </c>
      <c r="M35" s="250">
        <v>16</v>
      </c>
      <c r="N35" s="250"/>
      <c r="O35" s="250"/>
      <c r="P35" s="261"/>
      <c r="Q35" s="261"/>
      <c r="R35" s="261"/>
      <c r="S35" s="261"/>
      <c r="T35" s="250">
        <v>1</v>
      </c>
      <c r="U35" s="259">
        <v>16</v>
      </c>
    </row>
    <row r="36" spans="2:21" ht="16.5" customHeight="1">
      <c r="B36" s="590"/>
      <c r="C36" s="593"/>
      <c r="D36" s="202" t="s">
        <v>735</v>
      </c>
      <c r="E36" s="163" t="s">
        <v>554</v>
      </c>
      <c r="F36" s="203">
        <v>32</v>
      </c>
      <c r="G36" s="208">
        <v>4</v>
      </c>
      <c r="H36" s="250"/>
      <c r="I36" s="250"/>
      <c r="J36" s="250"/>
      <c r="K36" s="250"/>
      <c r="L36" s="250">
        <v>1</v>
      </c>
      <c r="M36" s="250">
        <v>16</v>
      </c>
      <c r="N36" s="250"/>
      <c r="O36" s="250"/>
      <c r="P36" s="261"/>
      <c r="Q36" s="261"/>
      <c r="R36" s="261"/>
      <c r="S36" s="261"/>
      <c r="T36" s="250">
        <v>1</v>
      </c>
      <c r="U36" s="259">
        <v>16</v>
      </c>
    </row>
    <row r="37" spans="2:21" ht="16.5" customHeight="1">
      <c r="B37" s="590"/>
      <c r="C37" s="593"/>
      <c r="D37" s="202" t="s">
        <v>736</v>
      </c>
      <c r="E37" s="163" t="s">
        <v>555</v>
      </c>
      <c r="F37" s="203">
        <v>16</v>
      </c>
      <c r="G37" s="208">
        <v>4</v>
      </c>
      <c r="H37" s="250"/>
      <c r="I37" s="250"/>
      <c r="J37" s="250"/>
      <c r="K37" s="250"/>
      <c r="L37" s="250">
        <v>1</v>
      </c>
      <c r="M37" s="250">
        <v>16</v>
      </c>
      <c r="N37" s="250"/>
      <c r="O37" s="250"/>
      <c r="P37" s="261"/>
      <c r="Q37" s="261"/>
      <c r="R37" s="261"/>
      <c r="S37" s="261"/>
      <c r="T37" s="250">
        <v>1</v>
      </c>
      <c r="U37" s="259">
        <v>16</v>
      </c>
    </row>
    <row r="38" spans="2:21" ht="16.5" customHeight="1">
      <c r="B38" s="590"/>
      <c r="C38" s="593"/>
      <c r="D38" s="202" t="s">
        <v>737</v>
      </c>
      <c r="E38" s="234" t="s">
        <v>556</v>
      </c>
      <c r="F38" s="232">
        <v>32</v>
      </c>
      <c r="G38" s="202">
        <v>3</v>
      </c>
      <c r="H38" s="251"/>
      <c r="I38" s="251"/>
      <c r="J38" s="251"/>
      <c r="K38" s="251"/>
      <c r="L38" s="251">
        <v>1</v>
      </c>
      <c r="M38" s="251">
        <v>16</v>
      </c>
      <c r="N38" s="251"/>
      <c r="O38" s="251"/>
      <c r="P38" s="262"/>
      <c r="Q38" s="262"/>
      <c r="R38" s="262"/>
      <c r="S38" s="262"/>
      <c r="T38" s="251">
        <v>1</v>
      </c>
      <c r="U38" s="258">
        <v>16</v>
      </c>
    </row>
    <row r="39" spans="2:21" ht="16.5" customHeight="1" thickBot="1">
      <c r="B39" s="591"/>
      <c r="C39" s="594"/>
      <c r="D39" s="587" t="s">
        <v>16</v>
      </c>
      <c r="E39" s="588"/>
      <c r="F39" s="235"/>
      <c r="G39" s="235"/>
      <c r="H39" s="252">
        <f t="shared" ref="H39:U39" si="5">SUM(H33:H38)</f>
        <v>0</v>
      </c>
      <c r="I39" s="252">
        <f t="shared" si="5"/>
        <v>0</v>
      </c>
      <c r="J39" s="252">
        <f>SUM(J33:J38)</f>
        <v>0</v>
      </c>
      <c r="K39" s="252">
        <f>SUM(K33:K38)</f>
        <v>0</v>
      </c>
      <c r="L39" s="252">
        <f>SUM(L33:L38)</f>
        <v>7</v>
      </c>
      <c r="M39" s="252">
        <f>SUM(M33:M38)</f>
        <v>112</v>
      </c>
      <c r="N39" s="252">
        <f t="shared" si="5"/>
        <v>0</v>
      </c>
      <c r="O39" s="252">
        <f t="shared" si="5"/>
        <v>0</v>
      </c>
      <c r="P39" s="252">
        <f t="shared" si="5"/>
        <v>0</v>
      </c>
      <c r="Q39" s="252">
        <f t="shared" si="5"/>
        <v>0</v>
      </c>
      <c r="R39" s="252">
        <f t="shared" si="5"/>
        <v>0</v>
      </c>
      <c r="S39" s="252">
        <f t="shared" si="5"/>
        <v>0</v>
      </c>
      <c r="T39" s="252">
        <f t="shared" si="5"/>
        <v>7</v>
      </c>
      <c r="U39" s="253">
        <f t="shared" si="5"/>
        <v>112</v>
      </c>
    </row>
    <row r="40" spans="2:21" ht="16.5" customHeight="1"/>
  </sheetData>
  <mergeCells count="39">
    <mergeCell ref="B26:B32"/>
    <mergeCell ref="C26:C32"/>
    <mergeCell ref="D32:E32"/>
    <mergeCell ref="B33:B39"/>
    <mergeCell ref="C33:C39"/>
    <mergeCell ref="D39:E39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9:B17"/>
    <mergeCell ref="C9:C17"/>
    <mergeCell ref="D17:E17"/>
    <mergeCell ref="B18:B25"/>
    <mergeCell ref="C18:C25"/>
    <mergeCell ref="D25:E25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38" orientation="landscape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A77B-E14E-409B-9684-DC099D6947C8}">
  <sheetPr>
    <pageSetUpPr fitToPage="1"/>
  </sheetPr>
  <dimension ref="A2:AG40"/>
  <sheetViews>
    <sheetView zoomScale="90" zoomScaleNormal="90" workbookViewId="0">
      <selection activeCell="B2" sqref="B2:U2"/>
    </sheetView>
  </sheetViews>
  <sheetFormatPr defaultRowHeight="16.5"/>
  <cols>
    <col min="1" max="1" width="3" style="146" customWidth="1"/>
    <col min="2" max="2" width="30.625" style="146" customWidth="1"/>
    <col min="3" max="3" width="5.625" style="146" customWidth="1"/>
    <col min="4" max="4" width="25.625" style="146" customWidth="1"/>
    <col min="5" max="5" width="20.625" style="148" customWidth="1"/>
    <col min="6" max="6" width="9.125" style="148" customWidth="1"/>
    <col min="7" max="7" width="10.75" style="146" customWidth="1"/>
    <col min="8" max="19" width="7.75" style="146" bestFit="1" customWidth="1"/>
    <col min="20" max="20" width="6.625" style="148" bestFit="1" customWidth="1"/>
    <col min="21" max="21" width="7.125" style="148" customWidth="1"/>
    <col min="22" max="16384" width="9" style="146"/>
  </cols>
  <sheetData>
    <row r="2" spans="1:33" ht="27" thickBot="1">
      <c r="B2" s="555" t="s">
        <v>149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</row>
    <row r="3" spans="1:33" ht="26.25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556" t="s">
        <v>129</v>
      </c>
      <c r="O3" s="557"/>
      <c r="P3" s="557"/>
      <c r="Q3" s="557" t="s">
        <v>127</v>
      </c>
      <c r="R3" s="557"/>
      <c r="S3" s="557"/>
      <c r="T3" s="557" t="s">
        <v>130</v>
      </c>
      <c r="U3" s="558"/>
    </row>
    <row r="4" spans="1:33" ht="27" thickBot="1"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559" t="s">
        <v>536</v>
      </c>
      <c r="O4" s="560"/>
      <c r="P4" s="560"/>
      <c r="Q4" s="561" t="s">
        <v>557</v>
      </c>
      <c r="R4" s="561"/>
      <c r="S4" s="561"/>
      <c r="T4" s="561">
        <v>2027</v>
      </c>
      <c r="U4" s="562"/>
    </row>
    <row r="5" spans="1:33" ht="17.25" thickBot="1">
      <c r="B5" s="625"/>
      <c r="C5" s="625"/>
    </row>
    <row r="6" spans="1:33" ht="20.25" customHeight="1">
      <c r="B6" s="626" t="s">
        <v>13</v>
      </c>
      <c r="C6" s="629" t="s">
        <v>140</v>
      </c>
      <c r="D6" s="622" t="s">
        <v>14</v>
      </c>
      <c r="E6" s="622" t="s">
        <v>15</v>
      </c>
      <c r="F6" s="622" t="s">
        <v>141</v>
      </c>
      <c r="G6" s="622" t="s">
        <v>142</v>
      </c>
      <c r="H6" s="543" t="s">
        <v>58</v>
      </c>
      <c r="I6" s="543"/>
      <c r="J6" s="543"/>
      <c r="K6" s="543"/>
      <c r="L6" s="543" t="s">
        <v>59</v>
      </c>
      <c r="M6" s="543"/>
      <c r="N6" s="543"/>
      <c r="O6" s="543"/>
      <c r="P6" s="543" t="s">
        <v>60</v>
      </c>
      <c r="Q6" s="543"/>
      <c r="R6" s="543"/>
      <c r="S6" s="543"/>
      <c r="T6" s="544" t="s">
        <v>139</v>
      </c>
      <c r="U6" s="539" t="s">
        <v>126</v>
      </c>
      <c r="W6" s="532" t="s">
        <v>131</v>
      </c>
      <c r="X6" s="533"/>
      <c r="Y6" s="533"/>
      <c r="Z6" s="533"/>
      <c r="AA6" s="533"/>
      <c r="AB6" s="533"/>
      <c r="AC6" s="533"/>
      <c r="AD6" s="533"/>
      <c r="AE6" s="533"/>
      <c r="AF6" s="534"/>
      <c r="AG6" s="149"/>
    </row>
    <row r="7" spans="1:33" ht="20.25">
      <c r="B7" s="627"/>
      <c r="C7" s="630"/>
      <c r="D7" s="623"/>
      <c r="E7" s="623"/>
      <c r="F7" s="623"/>
      <c r="G7" s="623"/>
      <c r="H7" s="535" t="s">
        <v>124</v>
      </c>
      <c r="I7" s="535"/>
      <c r="J7" s="535" t="s">
        <v>62</v>
      </c>
      <c r="K7" s="535"/>
      <c r="L7" s="535" t="s">
        <v>124</v>
      </c>
      <c r="M7" s="535"/>
      <c r="N7" s="535" t="s">
        <v>62</v>
      </c>
      <c r="O7" s="535"/>
      <c r="P7" s="535" t="s">
        <v>124</v>
      </c>
      <c r="Q7" s="535"/>
      <c r="R7" s="535" t="s">
        <v>62</v>
      </c>
      <c r="S7" s="535"/>
      <c r="T7" s="545"/>
      <c r="U7" s="540"/>
      <c r="W7" s="536" t="s">
        <v>132</v>
      </c>
      <c r="X7" s="537"/>
      <c r="Y7" s="537"/>
      <c r="Z7" s="537"/>
      <c r="AA7" s="537"/>
      <c r="AB7" s="537"/>
      <c r="AC7" s="537"/>
      <c r="AD7" s="537"/>
      <c r="AE7" s="537"/>
      <c r="AF7" s="538"/>
      <c r="AG7" s="149"/>
    </row>
    <row r="8" spans="1:33" ht="21" thickBot="1">
      <c r="B8" s="628"/>
      <c r="C8" s="631"/>
      <c r="D8" s="624"/>
      <c r="E8" s="624"/>
      <c r="F8" s="624"/>
      <c r="G8" s="624"/>
      <c r="H8" s="150" t="s">
        <v>138</v>
      </c>
      <c r="I8" s="150" t="s">
        <v>125</v>
      </c>
      <c r="J8" s="150" t="s">
        <v>138</v>
      </c>
      <c r="K8" s="150" t="s">
        <v>125</v>
      </c>
      <c r="L8" s="150" t="s">
        <v>138</v>
      </c>
      <c r="M8" s="150" t="s">
        <v>125</v>
      </c>
      <c r="N8" s="150" t="s">
        <v>138</v>
      </c>
      <c r="O8" s="150" t="s">
        <v>125</v>
      </c>
      <c r="P8" s="150" t="s">
        <v>138</v>
      </c>
      <c r="Q8" s="150" t="s">
        <v>125</v>
      </c>
      <c r="R8" s="150" t="s">
        <v>138</v>
      </c>
      <c r="S8" s="150" t="s">
        <v>125</v>
      </c>
      <c r="T8" s="546"/>
      <c r="U8" s="541"/>
      <c r="W8" s="151"/>
      <c r="X8" s="152"/>
      <c r="Y8" s="152"/>
      <c r="Z8" s="152"/>
      <c r="AA8" s="152"/>
      <c r="AB8" s="152"/>
      <c r="AC8" s="152"/>
      <c r="AD8" s="152"/>
      <c r="AE8" s="152"/>
      <c r="AF8" s="153"/>
      <c r="AG8" s="149"/>
    </row>
    <row r="9" spans="1:33" ht="16.5" customHeight="1">
      <c r="B9" s="602" t="s">
        <v>659</v>
      </c>
      <c r="C9" s="619">
        <v>10</v>
      </c>
      <c r="D9" s="154" t="s">
        <v>570</v>
      </c>
      <c r="E9" s="155" t="s">
        <v>571</v>
      </c>
      <c r="F9" s="156">
        <v>20</v>
      </c>
      <c r="G9" s="154">
        <v>2</v>
      </c>
      <c r="H9" s="157"/>
      <c r="I9" s="157"/>
      <c r="J9" s="157"/>
      <c r="K9" s="157"/>
      <c r="L9" s="157">
        <v>2</v>
      </c>
      <c r="M9" s="157">
        <v>32</v>
      </c>
      <c r="N9" s="157"/>
      <c r="O9" s="157"/>
      <c r="P9" s="157"/>
      <c r="Q9" s="157"/>
      <c r="R9" s="157"/>
      <c r="S9" s="157"/>
      <c r="T9" s="158">
        <v>2</v>
      </c>
      <c r="U9" s="159">
        <v>32</v>
      </c>
      <c r="W9" s="160"/>
      <c r="X9" s="149"/>
      <c r="Y9" s="149"/>
      <c r="Z9" s="149"/>
      <c r="AA9" s="149"/>
      <c r="AB9" s="149"/>
      <c r="AC9" s="149"/>
      <c r="AD9" s="149"/>
      <c r="AE9" s="149"/>
      <c r="AF9" s="161"/>
      <c r="AG9" s="149"/>
    </row>
    <row r="10" spans="1:33" ht="16.5" customHeight="1">
      <c r="B10" s="609"/>
      <c r="C10" s="620"/>
      <c r="D10" s="162" t="s">
        <v>572</v>
      </c>
      <c r="E10" s="163" t="s">
        <v>573</v>
      </c>
      <c r="F10" s="164">
        <v>20</v>
      </c>
      <c r="G10" s="162">
        <v>2</v>
      </c>
      <c r="H10" s="165"/>
      <c r="I10" s="165"/>
      <c r="J10" s="165"/>
      <c r="K10" s="165"/>
      <c r="L10" s="165">
        <v>3</v>
      </c>
      <c r="M10" s="165">
        <v>48</v>
      </c>
      <c r="N10" s="165"/>
      <c r="O10" s="165"/>
      <c r="P10" s="165"/>
      <c r="Q10" s="165"/>
      <c r="R10" s="165"/>
      <c r="S10" s="166"/>
      <c r="T10" s="167">
        <v>3</v>
      </c>
      <c r="U10" s="168">
        <v>48</v>
      </c>
      <c r="W10" s="160"/>
      <c r="X10" s="149"/>
      <c r="Y10" s="149"/>
      <c r="Z10" s="149"/>
      <c r="AA10" s="149"/>
      <c r="AB10" s="149"/>
      <c r="AC10" s="149"/>
      <c r="AD10" s="149"/>
      <c r="AE10" s="149"/>
      <c r="AF10" s="161"/>
      <c r="AG10" s="149"/>
    </row>
    <row r="11" spans="1:33" ht="16.5" customHeight="1">
      <c r="B11" s="609"/>
      <c r="C11" s="620"/>
      <c r="D11" s="162" t="s">
        <v>574</v>
      </c>
      <c r="E11" s="169" t="s">
        <v>575</v>
      </c>
      <c r="F11" s="169">
        <v>10</v>
      </c>
      <c r="G11" s="162">
        <v>2</v>
      </c>
      <c r="H11" s="165"/>
      <c r="I11" s="165"/>
      <c r="J11" s="165"/>
      <c r="K11" s="165"/>
      <c r="L11" s="165"/>
      <c r="M11" s="165"/>
      <c r="N11" s="165">
        <v>2</v>
      </c>
      <c r="O11" s="165">
        <v>32</v>
      </c>
      <c r="P11" s="165"/>
      <c r="Q11" s="165"/>
      <c r="R11" s="165"/>
      <c r="S11" s="166"/>
      <c r="T11" s="167">
        <v>2</v>
      </c>
      <c r="U11" s="168">
        <v>32</v>
      </c>
      <c r="W11" s="170"/>
      <c r="X11" s="171"/>
      <c r="Y11" s="171"/>
      <c r="Z11" s="171"/>
      <c r="AA11" s="171"/>
      <c r="AB11" s="171"/>
      <c r="AC11" s="171"/>
      <c r="AD11" s="171"/>
      <c r="AE11" s="171"/>
      <c r="AF11" s="172"/>
    </row>
    <row r="12" spans="1:33" ht="16.5" customHeight="1">
      <c r="B12" s="609"/>
      <c r="C12" s="620"/>
      <c r="D12" s="173" t="s">
        <v>576</v>
      </c>
      <c r="E12" s="174" t="s">
        <v>577</v>
      </c>
      <c r="F12" s="175">
        <v>20</v>
      </c>
      <c r="G12" s="173">
        <v>3</v>
      </c>
      <c r="H12" s="166"/>
      <c r="I12" s="166"/>
      <c r="J12" s="166"/>
      <c r="K12" s="166"/>
      <c r="L12" s="166"/>
      <c r="M12" s="166"/>
      <c r="N12" s="166">
        <v>3</v>
      </c>
      <c r="O12" s="166">
        <v>48</v>
      </c>
      <c r="P12" s="166"/>
      <c r="Q12" s="166"/>
      <c r="R12" s="166"/>
      <c r="S12" s="166"/>
      <c r="T12" s="176">
        <v>3</v>
      </c>
      <c r="U12" s="177">
        <v>48</v>
      </c>
      <c r="W12" s="170"/>
      <c r="X12" s="171"/>
      <c r="Y12" s="171"/>
      <c r="Z12" s="171"/>
      <c r="AA12" s="171"/>
      <c r="AB12" s="171"/>
      <c r="AC12" s="171"/>
      <c r="AD12" s="171"/>
      <c r="AE12" s="171"/>
      <c r="AF12" s="172"/>
    </row>
    <row r="13" spans="1:33" ht="16.5" customHeight="1" thickBot="1">
      <c r="B13" s="604"/>
      <c r="C13" s="620"/>
      <c r="D13" s="621" t="s">
        <v>16</v>
      </c>
      <c r="E13" s="621"/>
      <c r="F13" s="178"/>
      <c r="G13" s="178"/>
      <c r="H13" s="179">
        <f>SUM(H11:H12)</f>
        <v>0</v>
      </c>
      <c r="I13" s="179">
        <f>SUM(I11:I12)</f>
        <v>0</v>
      </c>
      <c r="J13" s="179">
        <f>SUM(J11:J12)</f>
        <v>0</v>
      </c>
      <c r="K13" s="179">
        <f>SUM(K11:K12)</f>
        <v>0</v>
      </c>
      <c r="L13" s="179">
        <f t="shared" ref="L13:U13" si="0">SUM(L9:L12)</f>
        <v>5</v>
      </c>
      <c r="M13" s="179">
        <f t="shared" si="0"/>
        <v>80</v>
      </c>
      <c r="N13" s="179">
        <f t="shared" si="0"/>
        <v>5</v>
      </c>
      <c r="O13" s="179">
        <f t="shared" si="0"/>
        <v>80</v>
      </c>
      <c r="P13" s="179">
        <f t="shared" si="0"/>
        <v>0</v>
      </c>
      <c r="Q13" s="179">
        <f t="shared" si="0"/>
        <v>0</v>
      </c>
      <c r="R13" s="179">
        <f t="shared" si="0"/>
        <v>0</v>
      </c>
      <c r="S13" s="179">
        <f t="shared" si="0"/>
        <v>0</v>
      </c>
      <c r="T13" s="179">
        <f t="shared" si="0"/>
        <v>10</v>
      </c>
      <c r="U13" s="180">
        <f t="shared" si="0"/>
        <v>160</v>
      </c>
      <c r="W13" s="181"/>
      <c r="X13" s="182"/>
      <c r="Y13" s="182"/>
      <c r="Z13" s="182"/>
      <c r="AA13" s="182"/>
      <c r="AB13" s="182"/>
      <c r="AC13" s="182"/>
      <c r="AD13" s="182"/>
      <c r="AE13" s="182"/>
      <c r="AF13" s="183"/>
    </row>
    <row r="14" spans="1:33" ht="16.5" customHeight="1">
      <c r="A14" s="146" t="s">
        <v>607</v>
      </c>
      <c r="B14" s="602" t="s">
        <v>608</v>
      </c>
      <c r="C14" s="605">
        <v>14</v>
      </c>
      <c r="D14" s="156" t="s">
        <v>558</v>
      </c>
      <c r="E14" s="184" t="s">
        <v>559</v>
      </c>
      <c r="F14" s="156">
        <v>30</v>
      </c>
      <c r="G14" s="156">
        <v>2</v>
      </c>
      <c r="H14" s="185"/>
      <c r="I14" s="185">
        <f>H14*16</f>
        <v>0</v>
      </c>
      <c r="J14" s="185"/>
      <c r="K14" s="185">
        <f>J14*16</f>
        <v>0</v>
      </c>
      <c r="L14" s="185"/>
      <c r="M14" s="185"/>
      <c r="N14" s="185"/>
      <c r="O14" s="185"/>
      <c r="P14" s="185">
        <v>2</v>
      </c>
      <c r="Q14" s="185">
        <f>P14*16</f>
        <v>32</v>
      </c>
      <c r="R14" s="185"/>
      <c r="S14" s="185">
        <f>R14*16</f>
        <v>0</v>
      </c>
      <c r="T14" s="186">
        <f>SUM(H14,J14,L14,N14,P14,R14)</f>
        <v>2</v>
      </c>
      <c r="U14" s="187">
        <f>SUM(I14,K14,M14,O14,Q14,S14)</f>
        <v>32</v>
      </c>
    </row>
    <row r="15" spans="1:33" ht="16.5" customHeight="1">
      <c r="B15" s="609"/>
      <c r="C15" s="610"/>
      <c r="D15" s="164" t="s">
        <v>560</v>
      </c>
      <c r="E15" s="163" t="s">
        <v>561</v>
      </c>
      <c r="F15" s="164">
        <v>40</v>
      </c>
      <c r="G15" s="164">
        <v>2</v>
      </c>
      <c r="H15" s="188"/>
      <c r="I15" s="188">
        <f t="shared" ref="I15" si="1">H15*16</f>
        <v>0</v>
      </c>
      <c r="J15" s="188"/>
      <c r="K15" s="188">
        <f t="shared" ref="K15" si="2">J15*16</f>
        <v>0</v>
      </c>
      <c r="L15" s="188"/>
      <c r="M15" s="188"/>
      <c r="N15" s="188"/>
      <c r="O15" s="188"/>
      <c r="P15" s="188">
        <v>2</v>
      </c>
      <c r="Q15" s="188">
        <f t="shared" ref="Q15" si="3">P15*16</f>
        <v>32</v>
      </c>
      <c r="R15" s="188"/>
      <c r="S15" s="188">
        <f t="shared" ref="S15" si="4">R15*16</f>
        <v>0</v>
      </c>
      <c r="T15" s="189">
        <f>SUM(H15,J15,L15,N15,P15,R15)</f>
        <v>2</v>
      </c>
      <c r="U15" s="190">
        <f>SUM(I15,K15,M15,O15,Q15,S15)</f>
        <v>32</v>
      </c>
    </row>
    <row r="16" spans="1:33" ht="16.5" customHeight="1">
      <c r="B16" s="609"/>
      <c r="C16" s="610"/>
      <c r="D16" s="164" t="s">
        <v>562</v>
      </c>
      <c r="E16" s="164" t="s">
        <v>563</v>
      </c>
      <c r="F16" s="164">
        <v>50</v>
      </c>
      <c r="G16" s="164">
        <v>2</v>
      </c>
      <c r="H16" s="191"/>
      <c r="I16" s="191"/>
      <c r="J16" s="191"/>
      <c r="K16" s="191"/>
      <c r="L16" s="191"/>
      <c r="M16" s="191"/>
      <c r="N16" s="191"/>
      <c r="O16" s="191"/>
      <c r="P16" s="191">
        <v>2</v>
      </c>
      <c r="Q16" s="191">
        <f>P16*16</f>
        <v>32</v>
      </c>
      <c r="R16" s="191"/>
      <c r="S16" s="191"/>
      <c r="T16" s="192">
        <v>2</v>
      </c>
      <c r="U16" s="193">
        <f>Q16+S16</f>
        <v>32</v>
      </c>
    </row>
    <row r="17" spans="2:21" ht="16.5" customHeight="1">
      <c r="B17" s="609"/>
      <c r="C17" s="610"/>
      <c r="D17" s="164" t="s">
        <v>564</v>
      </c>
      <c r="E17" s="194" t="s">
        <v>565</v>
      </c>
      <c r="F17" s="164">
        <v>30</v>
      </c>
      <c r="G17" s="164">
        <v>2</v>
      </c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>
        <v>2</v>
      </c>
      <c r="S17" s="191">
        <f>R17*16</f>
        <v>32</v>
      </c>
      <c r="T17" s="192">
        <f t="shared" ref="T17:T19" si="5">SUM(H17,J17,L17,N17,P17,R17)</f>
        <v>2</v>
      </c>
      <c r="U17" s="193">
        <f t="shared" ref="U17:U19" si="6">SUM(I17,K17,M17,O17,Q17,S17)</f>
        <v>32</v>
      </c>
    </row>
    <row r="18" spans="2:21" ht="16.5" customHeight="1">
      <c r="B18" s="609"/>
      <c r="C18" s="610"/>
      <c r="D18" s="164" t="s">
        <v>566</v>
      </c>
      <c r="E18" s="195" t="s">
        <v>567</v>
      </c>
      <c r="F18" s="195">
        <v>45</v>
      </c>
      <c r="G18" s="164">
        <v>2</v>
      </c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>
        <v>2</v>
      </c>
      <c r="S18" s="191">
        <f>R18*16</f>
        <v>32</v>
      </c>
      <c r="T18" s="189">
        <f t="shared" si="5"/>
        <v>2</v>
      </c>
      <c r="U18" s="190">
        <f t="shared" si="6"/>
        <v>32</v>
      </c>
    </row>
    <row r="19" spans="2:21" ht="16.5" customHeight="1">
      <c r="B19" s="615"/>
      <c r="C19" s="617"/>
      <c r="D19" s="164" t="s">
        <v>568</v>
      </c>
      <c r="E19" s="194" t="s">
        <v>569</v>
      </c>
      <c r="F19" s="164">
        <v>45</v>
      </c>
      <c r="G19" s="164">
        <v>2</v>
      </c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>
        <v>4</v>
      </c>
      <c r="S19" s="191">
        <f>R19*16</f>
        <v>64</v>
      </c>
      <c r="T19" s="189">
        <f t="shared" si="5"/>
        <v>4</v>
      </c>
      <c r="U19" s="190">
        <f t="shared" si="6"/>
        <v>64</v>
      </c>
    </row>
    <row r="20" spans="2:21" ht="16.5" customHeight="1" thickBot="1">
      <c r="B20" s="604"/>
      <c r="C20" s="607"/>
      <c r="D20" s="608" t="s">
        <v>16</v>
      </c>
      <c r="E20" s="608"/>
      <c r="F20" s="196"/>
      <c r="G20" s="196"/>
      <c r="H20" s="179"/>
      <c r="I20" s="179"/>
      <c r="J20" s="179"/>
      <c r="K20" s="179"/>
      <c r="L20" s="179"/>
      <c r="M20" s="179"/>
      <c r="N20" s="179"/>
      <c r="O20" s="179"/>
      <c r="P20" s="179">
        <v>6</v>
      </c>
      <c r="Q20" s="179"/>
      <c r="R20" s="179">
        <v>8</v>
      </c>
      <c r="S20" s="179">
        <f>R20*16</f>
        <v>128</v>
      </c>
      <c r="T20" s="179">
        <v>14</v>
      </c>
      <c r="U20" s="180">
        <f>SUM(U14:U19)</f>
        <v>224</v>
      </c>
    </row>
    <row r="21" spans="2:21" ht="16.5" customHeight="1">
      <c r="B21" s="589" t="s">
        <v>660</v>
      </c>
      <c r="C21" s="612">
        <v>12</v>
      </c>
      <c r="D21" s="197" t="s">
        <v>578</v>
      </c>
      <c r="E21" s="184" t="s">
        <v>579</v>
      </c>
      <c r="F21" s="156">
        <v>30</v>
      </c>
      <c r="G21" s="198">
        <v>4</v>
      </c>
      <c r="H21" s="157"/>
      <c r="I21" s="157"/>
      <c r="J21" s="157"/>
      <c r="K21" s="157"/>
      <c r="L21" s="157"/>
      <c r="M21" s="157"/>
      <c r="N21" s="157"/>
      <c r="O21" s="157"/>
      <c r="P21" s="199">
        <v>3</v>
      </c>
      <c r="Q21" s="199">
        <v>48</v>
      </c>
      <c r="R21" s="199"/>
      <c r="S21" s="199"/>
      <c r="T21" s="158">
        <v>3</v>
      </c>
      <c r="U21" s="200">
        <v>48</v>
      </c>
    </row>
    <row r="22" spans="2:21" ht="16.5" customHeight="1">
      <c r="B22" s="590"/>
      <c r="C22" s="613"/>
      <c r="D22" s="201" t="s">
        <v>580</v>
      </c>
      <c r="E22" s="169" t="s">
        <v>581</v>
      </c>
      <c r="F22" s="195">
        <v>45</v>
      </c>
      <c r="G22" s="202">
        <v>4</v>
      </c>
      <c r="H22" s="165"/>
      <c r="I22" s="165"/>
      <c r="J22" s="165"/>
      <c r="K22" s="165"/>
      <c r="L22" s="165"/>
      <c r="M22" s="165"/>
      <c r="N22" s="165"/>
      <c r="O22" s="165"/>
      <c r="P22" s="203">
        <v>3</v>
      </c>
      <c r="Q22" s="203">
        <v>48</v>
      </c>
      <c r="R22" s="203"/>
      <c r="S22" s="203"/>
      <c r="T22" s="167">
        <v>3</v>
      </c>
      <c r="U22" s="204">
        <v>48</v>
      </c>
    </row>
    <row r="23" spans="2:21" ht="16.5" customHeight="1">
      <c r="B23" s="590"/>
      <c r="C23" s="613"/>
      <c r="D23" s="201" t="s">
        <v>582</v>
      </c>
      <c r="E23" s="163" t="s">
        <v>583</v>
      </c>
      <c r="F23" s="164">
        <v>45</v>
      </c>
      <c r="G23" s="202">
        <v>5</v>
      </c>
      <c r="H23" s="165"/>
      <c r="I23" s="165"/>
      <c r="J23" s="165"/>
      <c r="K23" s="165"/>
      <c r="L23" s="165"/>
      <c r="M23" s="165"/>
      <c r="N23" s="165"/>
      <c r="O23" s="165"/>
      <c r="P23" s="203"/>
      <c r="Q23" s="203"/>
      <c r="R23" s="203">
        <v>3</v>
      </c>
      <c r="S23" s="203">
        <v>48</v>
      </c>
      <c r="T23" s="167">
        <v>3</v>
      </c>
      <c r="U23" s="204">
        <v>48</v>
      </c>
    </row>
    <row r="24" spans="2:21" ht="16.5" customHeight="1">
      <c r="B24" s="590"/>
      <c r="C24" s="613"/>
      <c r="D24" s="201" t="s">
        <v>584</v>
      </c>
      <c r="E24" s="202" t="s">
        <v>585</v>
      </c>
      <c r="F24" s="162">
        <v>60</v>
      </c>
      <c r="G24" s="202">
        <v>4</v>
      </c>
      <c r="H24" s="165"/>
      <c r="I24" s="165"/>
      <c r="J24" s="165"/>
      <c r="K24" s="165"/>
      <c r="L24" s="165"/>
      <c r="M24" s="165"/>
      <c r="N24" s="165"/>
      <c r="O24" s="165"/>
      <c r="P24" s="203"/>
      <c r="Q24" s="203"/>
      <c r="R24" s="203">
        <v>3</v>
      </c>
      <c r="S24" s="203">
        <v>48</v>
      </c>
      <c r="T24" s="167">
        <v>3</v>
      </c>
      <c r="U24" s="204">
        <v>48</v>
      </c>
    </row>
    <row r="25" spans="2:21" ht="16.5" customHeight="1" thickBot="1">
      <c r="B25" s="591"/>
      <c r="C25" s="614"/>
      <c r="D25" s="608" t="s">
        <v>16</v>
      </c>
      <c r="E25" s="608"/>
      <c r="F25" s="205"/>
      <c r="G25" s="205"/>
      <c r="H25" s="206"/>
      <c r="I25" s="206"/>
      <c r="J25" s="206"/>
      <c r="K25" s="206"/>
      <c r="L25" s="206"/>
      <c r="M25" s="206"/>
      <c r="N25" s="206"/>
      <c r="O25" s="206"/>
      <c r="P25" s="179">
        <f>SUM(P21:P24)</f>
        <v>6</v>
      </c>
      <c r="Q25" s="179">
        <f>SUM(Q21:Q24)</f>
        <v>96</v>
      </c>
      <c r="R25" s="179">
        <f t="shared" ref="R25:T25" si="7">SUM(R21:R24)</f>
        <v>6</v>
      </c>
      <c r="S25" s="179">
        <f t="shared" si="7"/>
        <v>96</v>
      </c>
      <c r="T25" s="179">
        <f t="shared" si="7"/>
        <v>12</v>
      </c>
      <c r="U25" s="180">
        <f t="shared" ref="U25" si="8">SUM(U23:U24)</f>
        <v>96</v>
      </c>
    </row>
    <row r="26" spans="2:21" ht="16.5" customHeight="1">
      <c r="B26" s="609" t="s">
        <v>661</v>
      </c>
      <c r="C26" s="616">
        <v>6</v>
      </c>
      <c r="D26" s="207" t="s">
        <v>586</v>
      </c>
      <c r="E26" s="174" t="s">
        <v>587</v>
      </c>
      <c r="F26" s="175">
        <v>20</v>
      </c>
      <c r="G26" s="208">
        <v>2</v>
      </c>
      <c r="H26" s="209"/>
      <c r="I26" s="203"/>
      <c r="J26" s="203"/>
      <c r="K26" s="203"/>
      <c r="L26" s="203">
        <v>3</v>
      </c>
      <c r="M26" s="203">
        <v>48</v>
      </c>
      <c r="N26" s="203"/>
      <c r="O26" s="203"/>
      <c r="P26" s="203"/>
      <c r="Q26" s="203"/>
      <c r="R26" s="203"/>
      <c r="S26" s="203"/>
      <c r="T26" s="167">
        <v>3</v>
      </c>
      <c r="U26" s="204">
        <v>48</v>
      </c>
    </row>
    <row r="27" spans="2:21" ht="16.5" customHeight="1">
      <c r="B27" s="615"/>
      <c r="C27" s="617"/>
      <c r="D27" s="210" t="s">
        <v>588</v>
      </c>
      <c r="E27" s="211" t="s">
        <v>589</v>
      </c>
      <c r="F27" s="164">
        <v>30</v>
      </c>
      <c r="G27" s="202">
        <v>4</v>
      </c>
      <c r="H27" s="209"/>
      <c r="I27" s="203"/>
      <c r="J27" s="203"/>
      <c r="K27" s="203"/>
      <c r="L27" s="203"/>
      <c r="M27" s="203"/>
      <c r="N27" s="203">
        <v>3</v>
      </c>
      <c r="O27" s="203">
        <v>48</v>
      </c>
      <c r="P27" s="203"/>
      <c r="Q27" s="203"/>
      <c r="R27" s="203"/>
      <c r="S27" s="203"/>
      <c r="T27" s="167">
        <v>3</v>
      </c>
      <c r="U27" s="204">
        <v>48</v>
      </c>
    </row>
    <row r="28" spans="2:21" ht="16.5" customHeight="1" thickBot="1">
      <c r="B28" s="604"/>
      <c r="C28" s="607"/>
      <c r="D28" s="618" t="s">
        <v>16</v>
      </c>
      <c r="E28" s="618"/>
      <c r="F28" s="212"/>
      <c r="G28" s="212"/>
      <c r="H28" s="179"/>
      <c r="I28" s="179"/>
      <c r="J28" s="179"/>
      <c r="K28" s="179"/>
      <c r="L28" s="179">
        <f t="shared" ref="L28:O28" si="9">SUM(L26:L27)</f>
        <v>3</v>
      </c>
      <c r="M28" s="179">
        <f t="shared" si="9"/>
        <v>48</v>
      </c>
      <c r="N28" s="179">
        <f t="shared" si="9"/>
        <v>3</v>
      </c>
      <c r="O28" s="179">
        <f t="shared" si="9"/>
        <v>48</v>
      </c>
      <c r="P28" s="179"/>
      <c r="Q28" s="179"/>
      <c r="R28" s="179"/>
      <c r="S28" s="179"/>
      <c r="T28" s="179">
        <f t="shared" ref="T28:U28" si="10">SUM(T26:T27)</f>
        <v>6</v>
      </c>
      <c r="U28" s="180">
        <f t="shared" si="10"/>
        <v>96</v>
      </c>
    </row>
    <row r="29" spans="2:21" ht="16.5" customHeight="1">
      <c r="B29" s="609" t="s">
        <v>662</v>
      </c>
      <c r="C29" s="610">
        <v>6</v>
      </c>
      <c r="D29" s="213" t="s">
        <v>590</v>
      </c>
      <c r="E29" s="214" t="s">
        <v>591</v>
      </c>
      <c r="F29" s="155">
        <v>126</v>
      </c>
      <c r="G29" s="208">
        <v>7</v>
      </c>
      <c r="H29" s="203"/>
      <c r="I29" s="203"/>
      <c r="J29" s="203"/>
      <c r="K29" s="203"/>
      <c r="L29" s="203"/>
      <c r="M29" s="203"/>
      <c r="N29" s="203"/>
      <c r="O29" s="203"/>
      <c r="P29" s="215">
        <v>3</v>
      </c>
      <c r="Q29" s="215">
        <v>48</v>
      </c>
      <c r="R29" s="215"/>
      <c r="S29" s="215"/>
      <c r="T29" s="167">
        <v>3</v>
      </c>
      <c r="U29" s="204">
        <v>48</v>
      </c>
    </row>
    <row r="30" spans="2:21" ht="16.5" customHeight="1">
      <c r="B30" s="609"/>
      <c r="C30" s="610"/>
      <c r="D30" s="163" t="s">
        <v>592</v>
      </c>
      <c r="E30" s="163" t="s">
        <v>593</v>
      </c>
      <c r="F30" s="162">
        <v>50</v>
      </c>
      <c r="G30" s="208">
        <v>3</v>
      </c>
      <c r="H30" s="203"/>
      <c r="I30" s="203"/>
      <c r="J30" s="203"/>
      <c r="K30" s="203"/>
      <c r="L30" s="203"/>
      <c r="M30" s="203"/>
      <c r="N30" s="203"/>
      <c r="O30" s="203"/>
      <c r="P30" s="215"/>
      <c r="Q30" s="215"/>
      <c r="R30" s="215">
        <v>3</v>
      </c>
      <c r="S30" s="215">
        <v>48</v>
      </c>
      <c r="T30" s="167">
        <v>3</v>
      </c>
      <c r="U30" s="204">
        <v>48</v>
      </c>
    </row>
    <row r="31" spans="2:21" ht="16.5" customHeight="1" thickBot="1">
      <c r="B31" s="603"/>
      <c r="C31" s="606"/>
      <c r="D31" s="611" t="s">
        <v>16</v>
      </c>
      <c r="E31" s="611"/>
      <c r="F31" s="216"/>
      <c r="G31" s="216"/>
      <c r="H31" s="179">
        <f t="shared" ref="H31:S31" si="11">SUM(H29:H30)</f>
        <v>0</v>
      </c>
      <c r="I31" s="179">
        <f t="shared" si="11"/>
        <v>0</v>
      </c>
      <c r="J31" s="179">
        <f t="shared" si="11"/>
        <v>0</v>
      </c>
      <c r="K31" s="179">
        <f t="shared" si="11"/>
        <v>0</v>
      </c>
      <c r="L31" s="179">
        <f t="shared" si="11"/>
        <v>0</v>
      </c>
      <c r="M31" s="179">
        <f t="shared" si="11"/>
        <v>0</v>
      </c>
      <c r="N31" s="179">
        <f t="shared" si="11"/>
        <v>0</v>
      </c>
      <c r="O31" s="179">
        <f t="shared" si="11"/>
        <v>0</v>
      </c>
      <c r="P31" s="179">
        <f t="shared" si="11"/>
        <v>3</v>
      </c>
      <c r="Q31" s="179">
        <f t="shared" si="11"/>
        <v>48</v>
      </c>
      <c r="R31" s="179">
        <f t="shared" si="11"/>
        <v>3</v>
      </c>
      <c r="S31" s="179">
        <f t="shared" si="11"/>
        <v>48</v>
      </c>
      <c r="T31" s="179">
        <f>SUM(T29:T30)</f>
        <v>6</v>
      </c>
      <c r="U31" s="180">
        <f>SUM(U29:U30)</f>
        <v>96</v>
      </c>
    </row>
    <row r="32" spans="2:21" ht="16.5" customHeight="1">
      <c r="B32" s="602" t="s">
        <v>663</v>
      </c>
      <c r="C32" s="605">
        <v>6</v>
      </c>
      <c r="D32" s="154" t="s">
        <v>594</v>
      </c>
      <c r="E32" s="184" t="s">
        <v>595</v>
      </c>
      <c r="F32" s="154">
        <v>50</v>
      </c>
      <c r="G32" s="154">
        <v>3</v>
      </c>
      <c r="H32" s="157"/>
      <c r="I32" s="157"/>
      <c r="J32" s="157"/>
      <c r="K32" s="157"/>
      <c r="L32" s="157"/>
      <c r="M32" s="157"/>
      <c r="N32" s="157"/>
      <c r="O32" s="157"/>
      <c r="P32" s="217">
        <v>3</v>
      </c>
      <c r="Q32" s="217">
        <v>48</v>
      </c>
      <c r="R32" s="217"/>
      <c r="S32" s="217"/>
      <c r="T32" s="158">
        <v>3</v>
      </c>
      <c r="U32" s="200">
        <v>48</v>
      </c>
    </row>
    <row r="33" spans="2:21" ht="16.5" customHeight="1">
      <c r="B33" s="603"/>
      <c r="C33" s="606"/>
      <c r="D33" s="162" t="s">
        <v>596</v>
      </c>
      <c r="E33" s="169" t="s">
        <v>597</v>
      </c>
      <c r="F33" s="169">
        <v>50</v>
      </c>
      <c r="G33" s="162">
        <v>3</v>
      </c>
      <c r="H33" s="166"/>
      <c r="I33" s="166"/>
      <c r="J33" s="166"/>
      <c r="K33" s="166"/>
      <c r="L33" s="166"/>
      <c r="M33" s="166"/>
      <c r="N33" s="166"/>
      <c r="O33" s="166"/>
      <c r="P33" s="218"/>
      <c r="Q33" s="218"/>
      <c r="R33" s="218">
        <v>3</v>
      </c>
      <c r="S33" s="218">
        <v>48</v>
      </c>
      <c r="T33" s="176">
        <v>3</v>
      </c>
      <c r="U33" s="219">
        <v>48</v>
      </c>
    </row>
    <row r="34" spans="2:21" ht="16.5" customHeight="1" thickBot="1">
      <c r="B34" s="604"/>
      <c r="C34" s="607"/>
      <c r="D34" s="608" t="s">
        <v>16</v>
      </c>
      <c r="E34" s="608"/>
      <c r="F34" s="220"/>
      <c r="G34" s="220"/>
      <c r="H34" s="179"/>
      <c r="I34" s="179"/>
      <c r="J34" s="179"/>
      <c r="K34" s="179"/>
      <c r="L34" s="179"/>
      <c r="M34" s="179"/>
      <c r="N34" s="179"/>
      <c r="O34" s="179"/>
      <c r="P34" s="179">
        <f>SUM(P32:P33)</f>
        <v>3</v>
      </c>
      <c r="Q34" s="179">
        <f>SUM(Q32:Q33)</f>
        <v>48</v>
      </c>
      <c r="R34" s="179">
        <f>SUM(R32:R33)</f>
        <v>3</v>
      </c>
      <c r="S34" s="179">
        <f>SUM(S32:S33)</f>
        <v>48</v>
      </c>
      <c r="T34" s="179">
        <f>SUM(T32:T33)</f>
        <v>6</v>
      </c>
      <c r="U34" s="180">
        <v>96</v>
      </c>
    </row>
    <row r="35" spans="2:21" ht="16.5" customHeight="1">
      <c r="B35" s="602" t="s">
        <v>680</v>
      </c>
      <c r="C35" s="605">
        <v>8</v>
      </c>
      <c r="D35" s="221" t="s">
        <v>600</v>
      </c>
      <c r="E35" s="184" t="s">
        <v>601</v>
      </c>
      <c r="F35" s="156">
        <v>30</v>
      </c>
      <c r="G35" s="154">
        <v>3</v>
      </c>
      <c r="H35" s="157"/>
      <c r="I35" s="157"/>
      <c r="J35" s="157"/>
      <c r="K35" s="157"/>
      <c r="L35" s="157"/>
      <c r="M35" s="157"/>
      <c r="N35" s="157"/>
      <c r="O35" s="157"/>
      <c r="P35" s="217">
        <v>2</v>
      </c>
      <c r="Q35" s="217">
        <v>32</v>
      </c>
      <c r="R35" s="217"/>
      <c r="S35" s="217"/>
      <c r="T35" s="158">
        <v>2</v>
      </c>
      <c r="U35" s="200">
        <v>32</v>
      </c>
    </row>
    <row r="36" spans="2:21" ht="16.5" customHeight="1">
      <c r="B36" s="603"/>
      <c r="C36" s="606"/>
      <c r="D36" s="222" t="s">
        <v>602</v>
      </c>
      <c r="E36" s="163" t="s">
        <v>603</v>
      </c>
      <c r="F36" s="164">
        <v>40</v>
      </c>
      <c r="G36" s="162">
        <v>3</v>
      </c>
      <c r="H36" s="165"/>
      <c r="I36" s="165"/>
      <c r="J36" s="165"/>
      <c r="K36" s="165"/>
      <c r="L36" s="165"/>
      <c r="M36" s="165"/>
      <c r="N36" s="165"/>
      <c r="O36" s="165"/>
      <c r="P36" s="215">
        <v>2</v>
      </c>
      <c r="Q36" s="215">
        <v>32</v>
      </c>
      <c r="R36" s="215"/>
      <c r="S36" s="215"/>
      <c r="T36" s="167">
        <v>2</v>
      </c>
      <c r="U36" s="204">
        <v>32</v>
      </c>
    </row>
    <row r="37" spans="2:21" ht="16.5" customHeight="1">
      <c r="B37" s="603"/>
      <c r="C37" s="606"/>
      <c r="D37" s="222" t="s">
        <v>604</v>
      </c>
      <c r="E37" s="163" t="s">
        <v>605</v>
      </c>
      <c r="F37" s="164">
        <v>30</v>
      </c>
      <c r="G37" s="162">
        <v>3</v>
      </c>
      <c r="H37" s="165"/>
      <c r="I37" s="165"/>
      <c r="J37" s="165"/>
      <c r="K37" s="165"/>
      <c r="L37" s="165"/>
      <c r="M37" s="165"/>
      <c r="N37" s="165"/>
      <c r="O37" s="165"/>
      <c r="P37" s="215"/>
      <c r="Q37" s="215"/>
      <c r="R37" s="215">
        <v>2</v>
      </c>
      <c r="S37" s="215">
        <v>32</v>
      </c>
      <c r="T37" s="167">
        <v>2</v>
      </c>
      <c r="U37" s="204">
        <v>32</v>
      </c>
    </row>
    <row r="38" spans="2:21" ht="16.5" customHeight="1">
      <c r="B38" s="603"/>
      <c r="C38" s="606"/>
      <c r="D38" s="222" t="s">
        <v>598</v>
      </c>
      <c r="E38" s="163" t="s">
        <v>599</v>
      </c>
      <c r="F38" s="164">
        <v>60</v>
      </c>
      <c r="G38" s="162">
        <v>7</v>
      </c>
      <c r="H38" s="166"/>
      <c r="I38" s="166"/>
      <c r="J38" s="166"/>
      <c r="K38" s="166"/>
      <c r="L38" s="166"/>
      <c r="M38" s="166"/>
      <c r="N38" s="166"/>
      <c r="O38" s="166"/>
      <c r="P38" s="218"/>
      <c r="Q38" s="218"/>
      <c r="R38" s="218">
        <v>2</v>
      </c>
      <c r="S38" s="218">
        <v>32</v>
      </c>
      <c r="T38" s="176">
        <v>2</v>
      </c>
      <c r="U38" s="219">
        <v>32</v>
      </c>
    </row>
    <row r="39" spans="2:21" ht="16.5" customHeight="1" thickBot="1">
      <c r="B39" s="604"/>
      <c r="C39" s="607"/>
      <c r="D39" s="608" t="s">
        <v>16</v>
      </c>
      <c r="E39" s="608"/>
      <c r="F39" s="220"/>
      <c r="G39" s="220"/>
      <c r="H39" s="179"/>
      <c r="I39" s="179"/>
      <c r="J39" s="179"/>
      <c r="K39" s="179"/>
      <c r="L39" s="179"/>
      <c r="M39" s="179"/>
      <c r="N39" s="179"/>
      <c r="O39" s="179"/>
      <c r="P39" s="179">
        <v>4</v>
      </c>
      <c r="Q39" s="179">
        <v>64</v>
      </c>
      <c r="R39" s="179">
        <v>4</v>
      </c>
      <c r="S39" s="179">
        <v>64</v>
      </c>
      <c r="T39" s="179">
        <v>8</v>
      </c>
      <c r="U39" s="180">
        <v>192</v>
      </c>
    </row>
    <row r="40" spans="2:21" ht="16.5" customHeight="1"/>
  </sheetData>
  <mergeCells count="48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C9:C13"/>
    <mergeCell ref="D13:E13"/>
    <mergeCell ref="B14:B20"/>
    <mergeCell ref="C14:C20"/>
    <mergeCell ref="D20:E20"/>
    <mergeCell ref="B9:B13"/>
    <mergeCell ref="B21:B25"/>
    <mergeCell ref="C21:C25"/>
    <mergeCell ref="D25:E25"/>
    <mergeCell ref="B26:B28"/>
    <mergeCell ref="C26:C28"/>
    <mergeCell ref="D28:E28"/>
    <mergeCell ref="B35:B39"/>
    <mergeCell ref="C35:C39"/>
    <mergeCell ref="D39:E39"/>
    <mergeCell ref="B29:B31"/>
    <mergeCell ref="C29:C31"/>
    <mergeCell ref="D31:E31"/>
    <mergeCell ref="B32:B34"/>
    <mergeCell ref="C32:C34"/>
    <mergeCell ref="D34:E34"/>
  </mergeCells>
  <phoneticPr fontId="9" type="noConversion"/>
  <pageMargins left="0.7" right="0.7" top="0.75" bottom="0.75" header="0.3" footer="0.3"/>
  <pageSetup paperSize="9" scale="38" orientation="landscape" r:id="rId1"/>
  <ignoredErrors>
    <ignoredError sqref="U1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4"/>
      <c r="H1" s="5" t="s">
        <v>73</v>
      </c>
      <c r="I1" s="5" t="s">
        <v>65</v>
      </c>
      <c r="J1" s="5" t="s">
        <v>91</v>
      </c>
      <c r="K1" s="5" t="s">
        <v>92</v>
      </c>
      <c r="L1" s="5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6" t="s">
        <v>337</v>
      </c>
      <c r="G2" s="4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6" t="s">
        <v>337</v>
      </c>
      <c r="G3" s="4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6" t="s">
        <v>339</v>
      </c>
      <c r="G4" s="4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6" t="s">
        <v>339</v>
      </c>
      <c r="G5" s="4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6" t="s">
        <v>339</v>
      </c>
      <c r="G6" s="4"/>
      <c r="H6" s="3" t="s">
        <v>78</v>
      </c>
      <c r="I6" s="3" t="s">
        <v>157</v>
      </c>
      <c r="J6" s="3" t="s">
        <v>168</v>
      </c>
      <c r="K6" s="3" t="s">
        <v>168</v>
      </c>
      <c r="L6" s="7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6" t="s">
        <v>339</v>
      </c>
      <c r="G7" s="4"/>
      <c r="H7" s="3" t="s">
        <v>79</v>
      </c>
      <c r="I7" s="3" t="s">
        <v>163</v>
      </c>
      <c r="J7" s="3" t="s">
        <v>94</v>
      </c>
      <c r="K7" s="3" t="s">
        <v>94</v>
      </c>
      <c r="L7" s="4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6" t="s">
        <v>339</v>
      </c>
      <c r="G8" s="4"/>
      <c r="H8" s="3" t="s">
        <v>80</v>
      </c>
      <c r="I8" s="3" t="s">
        <v>158</v>
      </c>
      <c r="J8" s="3" t="s">
        <v>169</v>
      </c>
      <c r="K8" s="3" t="s">
        <v>169</v>
      </c>
      <c r="L8" s="4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6" t="s">
        <v>339</v>
      </c>
      <c r="G9" s="4"/>
      <c r="H9" s="3" t="s">
        <v>81</v>
      </c>
      <c r="I9" s="3" t="s">
        <v>68</v>
      </c>
      <c r="J9" s="3" t="s">
        <v>170</v>
      </c>
      <c r="K9" s="3" t="s">
        <v>170</v>
      </c>
      <c r="L9" s="4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6" t="s">
        <v>339</v>
      </c>
      <c r="G10" s="4"/>
      <c r="H10" s="3" t="s">
        <v>82</v>
      </c>
      <c r="I10" s="3" t="s">
        <v>69</v>
      </c>
      <c r="J10" s="3" t="s">
        <v>112</v>
      </c>
      <c r="K10" s="3" t="s">
        <v>112</v>
      </c>
      <c r="L10" s="4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6" t="s">
        <v>339</v>
      </c>
      <c r="G11" s="4"/>
      <c r="H11" s="3" t="s">
        <v>83</v>
      </c>
      <c r="I11" s="3" t="s">
        <v>70</v>
      </c>
      <c r="J11" s="3" t="s">
        <v>95</v>
      </c>
      <c r="K11" s="3" t="s">
        <v>95</v>
      </c>
      <c r="L11" s="4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6" t="s">
        <v>339</v>
      </c>
      <c r="G12" s="4"/>
      <c r="H12" s="3" t="s">
        <v>84</v>
      </c>
      <c r="I12" s="3" t="s">
        <v>159</v>
      </c>
      <c r="J12" s="3" t="s">
        <v>96</v>
      </c>
      <c r="K12" s="3" t="s">
        <v>96</v>
      </c>
      <c r="L12" s="4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6" t="s">
        <v>337</v>
      </c>
      <c r="G13" s="4"/>
      <c r="H13" s="3" t="s">
        <v>85</v>
      </c>
      <c r="I13" s="3" t="s">
        <v>71</v>
      </c>
      <c r="J13" s="3" t="s">
        <v>171</v>
      </c>
      <c r="K13" s="3" t="s">
        <v>171</v>
      </c>
      <c r="L13" s="4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6" t="s">
        <v>337</v>
      </c>
      <c r="G14" s="4"/>
      <c r="H14" s="3" t="s">
        <v>86</v>
      </c>
      <c r="I14" s="3" t="s">
        <v>72</v>
      </c>
      <c r="J14" s="3" t="s">
        <v>97</v>
      </c>
      <c r="K14" s="3" t="s">
        <v>97</v>
      </c>
      <c r="L14" s="4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6" t="s">
        <v>339</v>
      </c>
      <c r="G15" s="4"/>
      <c r="H15" s="3" t="s">
        <v>87</v>
      </c>
      <c r="I15" s="3" t="s">
        <v>160</v>
      </c>
      <c r="J15" s="3" t="s">
        <v>172</v>
      </c>
      <c r="K15" s="3" t="s">
        <v>172</v>
      </c>
      <c r="L15" s="4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6" t="s">
        <v>339</v>
      </c>
      <c r="G16" s="4"/>
      <c r="H16" s="3" t="s">
        <v>88</v>
      </c>
      <c r="I16" s="3" t="s">
        <v>161</v>
      </c>
      <c r="J16" s="3" t="s">
        <v>173</v>
      </c>
      <c r="K16" s="3" t="s">
        <v>173</v>
      </c>
      <c r="L16" s="4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6" t="s">
        <v>339</v>
      </c>
      <c r="G17" s="4"/>
      <c r="H17" s="3" t="s">
        <v>89</v>
      </c>
      <c r="I17" s="3" t="s">
        <v>162</v>
      </c>
      <c r="J17" s="3" t="s">
        <v>174</v>
      </c>
      <c r="K17" s="3" t="s">
        <v>174</v>
      </c>
      <c r="L17" s="4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6" t="s">
        <v>339</v>
      </c>
      <c r="G18" s="4"/>
      <c r="H18" s="3" t="s">
        <v>90</v>
      </c>
      <c r="I18" s="3" t="s">
        <v>164</v>
      </c>
      <c r="J18" s="3" t="s">
        <v>175</v>
      </c>
      <c r="K18" s="3" t="s">
        <v>175</v>
      </c>
      <c r="L18" s="4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6" t="s">
        <v>339</v>
      </c>
      <c r="G19" s="4"/>
      <c r="J19" s="3" t="s">
        <v>111</v>
      </c>
      <c r="K19" s="3" t="s">
        <v>111</v>
      </c>
      <c r="L19" s="4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6" t="s">
        <v>339</v>
      </c>
      <c r="G20" s="4"/>
      <c r="J20" s="3" t="s">
        <v>176</v>
      </c>
      <c r="K20" s="3" t="s">
        <v>176</v>
      </c>
      <c r="L20" s="4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6" t="s">
        <v>339</v>
      </c>
      <c r="G21" s="4"/>
      <c r="J21" s="3" t="s">
        <v>98</v>
      </c>
      <c r="K21" s="3" t="s">
        <v>98</v>
      </c>
      <c r="L21" s="4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6" t="s">
        <v>339</v>
      </c>
      <c r="G22" s="4"/>
      <c r="H22" s="3"/>
      <c r="I22" s="3"/>
      <c r="J22" s="3" t="s">
        <v>177</v>
      </c>
      <c r="K22" s="3" t="s">
        <v>177</v>
      </c>
      <c r="L22" s="4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6" t="s">
        <v>339</v>
      </c>
      <c r="G23" s="4"/>
      <c r="H23" s="3"/>
      <c r="I23" s="3"/>
      <c r="J23" s="3" t="s">
        <v>178</v>
      </c>
      <c r="K23" s="3" t="s">
        <v>178</v>
      </c>
      <c r="L23" s="4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6" t="s">
        <v>339</v>
      </c>
      <c r="G24" s="4"/>
      <c r="H24" s="3"/>
      <c r="I24" s="3"/>
      <c r="J24" s="3" t="s">
        <v>179</v>
      </c>
      <c r="K24" s="3" t="s">
        <v>179</v>
      </c>
      <c r="L24" s="4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6" t="s">
        <v>339</v>
      </c>
      <c r="G25" s="4"/>
      <c r="H25" s="3"/>
      <c r="I25" s="3"/>
      <c r="J25" s="3" t="s">
        <v>180</v>
      </c>
      <c r="K25" s="3" t="s">
        <v>180</v>
      </c>
      <c r="L25" s="4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6" t="s">
        <v>337</v>
      </c>
      <c r="G26" s="4"/>
      <c r="H26" s="4"/>
      <c r="I26" s="3"/>
      <c r="J26" s="3" t="s">
        <v>99</v>
      </c>
      <c r="K26" s="3" t="s">
        <v>99</v>
      </c>
      <c r="L26" s="4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6" t="s">
        <v>339</v>
      </c>
      <c r="G27" s="4"/>
      <c r="H27" s="4"/>
      <c r="I27" s="4"/>
      <c r="J27" s="3" t="s">
        <v>181</v>
      </c>
      <c r="K27" s="3" t="s">
        <v>181</v>
      </c>
      <c r="L27" s="4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6" t="s">
        <v>339</v>
      </c>
      <c r="G28" s="4"/>
      <c r="H28" s="4"/>
      <c r="I28" s="4"/>
      <c r="J28" s="3" t="s">
        <v>100</v>
      </c>
      <c r="K28" s="3" t="s">
        <v>100</v>
      </c>
      <c r="L28" s="4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6" t="s">
        <v>339</v>
      </c>
      <c r="G29" s="4"/>
      <c r="H29" s="4"/>
      <c r="I29" s="4"/>
      <c r="J29" s="3" t="s">
        <v>101</v>
      </c>
      <c r="K29" s="3" t="s">
        <v>101</v>
      </c>
      <c r="L29" s="4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6" t="s">
        <v>339</v>
      </c>
      <c r="G30" s="4"/>
      <c r="H30" s="4"/>
      <c r="I30" s="4"/>
      <c r="J30" s="3" t="s">
        <v>102</v>
      </c>
      <c r="K30" s="3" t="s">
        <v>102</v>
      </c>
      <c r="L30" s="4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6" t="s">
        <v>339</v>
      </c>
      <c r="G31" s="4"/>
      <c r="H31" s="4"/>
      <c r="I31" s="4"/>
      <c r="J31" s="3" t="s">
        <v>103</v>
      </c>
      <c r="K31" s="3" t="s">
        <v>103</v>
      </c>
      <c r="L31" s="4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6" t="s">
        <v>339</v>
      </c>
      <c r="G32" s="4"/>
      <c r="H32" s="4"/>
      <c r="I32" s="4"/>
      <c r="J32" s="3" t="s">
        <v>104</v>
      </c>
      <c r="K32" s="3" t="s">
        <v>104</v>
      </c>
      <c r="L32" s="4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6" t="s">
        <v>339</v>
      </c>
      <c r="G33" s="4"/>
      <c r="H33" s="4"/>
      <c r="I33" s="4"/>
      <c r="J33" s="3" t="s">
        <v>105</v>
      </c>
      <c r="K33" s="3" t="s">
        <v>105</v>
      </c>
      <c r="L33" s="4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6" t="s">
        <v>339</v>
      </c>
      <c r="G34" s="4"/>
      <c r="H34" s="4"/>
      <c r="I34" s="4"/>
      <c r="J34" s="3" t="s">
        <v>182</v>
      </c>
      <c r="K34" s="3" t="s">
        <v>182</v>
      </c>
      <c r="L34" s="4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6" t="s">
        <v>339</v>
      </c>
      <c r="G35" s="4"/>
      <c r="H35" s="4"/>
      <c r="I35" s="4"/>
      <c r="J35" s="3" t="s">
        <v>183</v>
      </c>
      <c r="K35" s="3" t="s">
        <v>183</v>
      </c>
      <c r="L35" s="4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6" t="s">
        <v>339</v>
      </c>
      <c r="G36" s="4"/>
      <c r="H36" s="4"/>
      <c r="I36" s="4"/>
      <c r="J36" s="3" t="s">
        <v>106</v>
      </c>
      <c r="K36" s="3" t="s">
        <v>106</v>
      </c>
      <c r="L36" s="4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6" t="s">
        <v>339</v>
      </c>
      <c r="G37" s="4"/>
      <c r="H37" s="4"/>
      <c r="I37" s="4"/>
      <c r="J37" s="3" t="s">
        <v>107</v>
      </c>
      <c r="K37" s="3" t="s">
        <v>107</v>
      </c>
      <c r="L37" s="4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6" t="s">
        <v>339</v>
      </c>
      <c r="G38" s="4"/>
      <c r="H38" s="4"/>
      <c r="I38" s="4"/>
      <c r="J38" s="3" t="s">
        <v>108</v>
      </c>
      <c r="K38" s="3" t="s">
        <v>108</v>
      </c>
      <c r="L38" s="4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6" t="s">
        <v>363</v>
      </c>
      <c r="G39" s="4"/>
      <c r="H39" s="4"/>
      <c r="I39" s="4"/>
      <c r="J39" s="3" t="s">
        <v>109</v>
      </c>
      <c r="K39" s="3" t="s">
        <v>109</v>
      </c>
      <c r="L39" s="4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6" t="s">
        <v>363</v>
      </c>
      <c r="G40" s="4"/>
      <c r="H40" s="4"/>
      <c r="I40" s="4"/>
      <c r="J40" s="3" t="s">
        <v>184</v>
      </c>
      <c r="K40" s="3" t="s">
        <v>184</v>
      </c>
      <c r="L40" s="4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6" t="s">
        <v>337</v>
      </c>
      <c r="G41" s="4"/>
      <c r="H41" s="4"/>
      <c r="I41" s="4"/>
      <c r="J41" s="3" t="s">
        <v>110</v>
      </c>
      <c r="K41" s="3" t="s">
        <v>110</v>
      </c>
      <c r="L41" s="4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6" t="s">
        <v>337</v>
      </c>
      <c r="G42" s="4"/>
      <c r="H42" s="4"/>
      <c r="I42" s="4"/>
      <c r="J42" s="3" t="s">
        <v>185</v>
      </c>
      <c r="K42" s="3" t="s">
        <v>185</v>
      </c>
      <c r="L42" s="4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6" t="s">
        <v>339</v>
      </c>
      <c r="G43" s="4"/>
      <c r="H43" s="4"/>
      <c r="I43" s="4"/>
      <c r="J43" s="3" t="s">
        <v>186</v>
      </c>
      <c r="K43" s="3" t="s">
        <v>186</v>
      </c>
      <c r="L43" s="4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6" t="s">
        <v>339</v>
      </c>
      <c r="G44" s="4"/>
      <c r="H44" s="4"/>
      <c r="I44" s="4"/>
      <c r="J44" s="3" t="s">
        <v>113</v>
      </c>
      <c r="K44" s="3" t="s">
        <v>113</v>
      </c>
      <c r="L44" s="4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6" t="s">
        <v>339</v>
      </c>
      <c r="G45" s="4"/>
      <c r="H45" s="4"/>
      <c r="I45" s="4"/>
      <c r="J45" s="3" t="s">
        <v>187</v>
      </c>
      <c r="K45" s="3" t="s">
        <v>187</v>
      </c>
      <c r="L45" s="4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6" t="s">
        <v>339</v>
      </c>
      <c r="G46" s="4"/>
      <c r="H46" s="4"/>
      <c r="I46" s="4"/>
      <c r="J46" s="3" t="s">
        <v>114</v>
      </c>
      <c r="K46" s="3" t="s">
        <v>114</v>
      </c>
      <c r="L46" s="4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6" t="s">
        <v>339</v>
      </c>
      <c r="G47" s="4"/>
      <c r="H47" s="4"/>
      <c r="I47" s="4"/>
      <c r="J47" s="3" t="s">
        <v>115</v>
      </c>
      <c r="K47" s="3" t="s">
        <v>115</v>
      </c>
      <c r="L47" s="4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6" t="s">
        <v>339</v>
      </c>
      <c r="G48" s="4"/>
      <c r="H48" s="4"/>
      <c r="I48" s="4"/>
      <c r="J48" s="3" t="s">
        <v>116</v>
      </c>
      <c r="K48" s="3" t="s">
        <v>116</v>
      </c>
      <c r="L48" s="4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6" t="s">
        <v>339</v>
      </c>
      <c r="G49" s="4"/>
      <c r="H49" s="4"/>
      <c r="I49" s="4"/>
      <c r="J49" s="4" t="s">
        <v>188</v>
      </c>
      <c r="K49" s="4" t="s">
        <v>188</v>
      </c>
      <c r="L49" s="4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6" t="s">
        <v>339</v>
      </c>
      <c r="G50" s="4"/>
      <c r="H50" s="4"/>
      <c r="I50" s="4"/>
      <c r="J50" s="4" t="s">
        <v>189</v>
      </c>
      <c r="K50" s="4" t="s">
        <v>189</v>
      </c>
      <c r="L50" s="4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6" t="s">
        <v>339</v>
      </c>
      <c r="G51" s="4"/>
      <c r="H51" s="4"/>
      <c r="I51" s="4"/>
      <c r="J51" s="4" t="s">
        <v>190</v>
      </c>
      <c r="K51" s="4" t="s">
        <v>190</v>
      </c>
      <c r="L51" s="4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6" t="s">
        <v>339</v>
      </c>
      <c r="G52" s="4"/>
      <c r="H52" s="4"/>
      <c r="I52" s="4"/>
      <c r="J52" s="4" t="s">
        <v>191</v>
      </c>
      <c r="K52" s="4" t="s">
        <v>191</v>
      </c>
      <c r="L52" s="4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6" t="s">
        <v>339</v>
      </c>
      <c r="G53" s="4"/>
      <c r="H53" s="4"/>
      <c r="I53" s="4"/>
      <c r="J53" s="4" t="s">
        <v>192</v>
      </c>
      <c r="K53" s="4" t="s">
        <v>192</v>
      </c>
      <c r="L53" s="4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6" t="s">
        <v>339</v>
      </c>
      <c r="G54" s="4"/>
      <c r="H54" s="4"/>
      <c r="I54" s="4"/>
      <c r="J54" s="4" t="s">
        <v>193</v>
      </c>
      <c r="K54" s="4" t="s">
        <v>193</v>
      </c>
      <c r="L54" s="4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6" t="s">
        <v>339</v>
      </c>
      <c r="G55" s="4"/>
      <c r="H55" s="4"/>
      <c r="I55" s="4"/>
      <c r="J55" s="4" t="s">
        <v>195</v>
      </c>
      <c r="K55" s="4" t="s">
        <v>195</v>
      </c>
      <c r="L55" s="4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6" t="s">
        <v>339</v>
      </c>
      <c r="G56" s="4"/>
      <c r="H56" s="4"/>
      <c r="I56" s="4"/>
      <c r="J56" s="4" t="s">
        <v>194</v>
      </c>
      <c r="K56" s="4" t="s">
        <v>194</v>
      </c>
      <c r="L56" s="4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6" t="s">
        <v>339</v>
      </c>
      <c r="G57" s="4"/>
      <c r="H57" s="4"/>
      <c r="I57" s="4"/>
      <c r="J57" s="4" t="s">
        <v>196</v>
      </c>
      <c r="K57" s="4" t="s">
        <v>196</v>
      </c>
      <c r="L57" s="4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6" t="s">
        <v>339</v>
      </c>
      <c r="G58" s="4"/>
      <c r="H58" s="4"/>
      <c r="I58" s="4"/>
      <c r="J58" s="4" t="s">
        <v>197</v>
      </c>
      <c r="K58" s="4" t="s">
        <v>197</v>
      </c>
      <c r="L58" s="4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6" t="s">
        <v>339</v>
      </c>
      <c r="G59" s="4"/>
      <c r="H59" s="4"/>
      <c r="I59" s="4"/>
      <c r="J59" s="4" t="s">
        <v>198</v>
      </c>
      <c r="K59" s="4" t="s">
        <v>198</v>
      </c>
      <c r="L59" s="4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6" t="s">
        <v>339</v>
      </c>
      <c r="G60" s="4"/>
      <c r="H60" s="4"/>
      <c r="I60" s="4"/>
      <c r="J60" s="3"/>
      <c r="K60" s="3"/>
      <c r="L60" s="4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6" t="s">
        <v>339</v>
      </c>
      <c r="G61" s="4"/>
      <c r="H61" s="4"/>
      <c r="I61" s="4"/>
      <c r="J61" s="3"/>
      <c r="K61" s="3"/>
      <c r="L61" s="4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6" t="s">
        <v>337</v>
      </c>
      <c r="G62" s="4"/>
      <c r="H62" s="4"/>
      <c r="I62" s="4"/>
      <c r="L62" s="4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6" t="s">
        <v>337</v>
      </c>
      <c r="G63" s="4"/>
      <c r="H63" s="4"/>
      <c r="I63" s="4"/>
      <c r="J63" s="3"/>
      <c r="K63" s="3"/>
      <c r="L63" s="4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6" t="s">
        <v>337</v>
      </c>
      <c r="G64" s="4"/>
      <c r="H64" s="4"/>
      <c r="I64" s="4"/>
      <c r="L64" s="4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6" t="s">
        <v>337</v>
      </c>
      <c r="G65" s="4"/>
      <c r="H65" s="4"/>
      <c r="I65" s="4"/>
      <c r="J65" s="3"/>
      <c r="K65" s="3"/>
      <c r="L65" s="4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6" t="s">
        <v>339</v>
      </c>
      <c r="G66" s="4"/>
      <c r="H66" s="4"/>
      <c r="I66" s="4"/>
      <c r="J66" s="3"/>
      <c r="K66" s="3"/>
      <c r="L66" s="4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6" t="s">
        <v>339</v>
      </c>
      <c r="G67" s="4"/>
      <c r="H67" s="4"/>
      <c r="I67" s="4"/>
      <c r="J67" s="3"/>
      <c r="K67" s="3"/>
      <c r="L67" s="4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6" t="s">
        <v>339</v>
      </c>
      <c r="G68" s="4"/>
      <c r="H68" s="4"/>
      <c r="I68" s="4"/>
      <c r="J68" s="3"/>
      <c r="K68" s="3"/>
      <c r="L68" s="4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6" t="s">
        <v>339</v>
      </c>
      <c r="G69" s="4"/>
      <c r="H69" s="4"/>
      <c r="I69" s="4"/>
      <c r="L69" s="4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6" t="s">
        <v>339</v>
      </c>
      <c r="G70" s="4"/>
      <c r="H70" s="4"/>
      <c r="I70" s="4"/>
      <c r="L70" s="4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6" t="s">
        <v>339</v>
      </c>
      <c r="G71" s="4"/>
      <c r="H71" s="4"/>
      <c r="I71" s="4"/>
      <c r="L71" s="4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6" t="s">
        <v>339</v>
      </c>
      <c r="G72" s="4"/>
      <c r="H72" s="4"/>
      <c r="I72" s="4"/>
      <c r="L72" s="4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6" t="s">
        <v>339</v>
      </c>
      <c r="G73" s="4"/>
      <c r="H73" s="4"/>
      <c r="I73" s="4"/>
      <c r="L73" s="4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6" t="s">
        <v>339</v>
      </c>
      <c r="G74" s="4"/>
      <c r="H74" s="4"/>
      <c r="I74" s="4"/>
      <c r="L74" s="4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6" t="s">
        <v>339</v>
      </c>
      <c r="G75" s="4"/>
      <c r="H75" s="4"/>
      <c r="I75" s="4"/>
      <c r="L75" s="4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6" t="s">
        <v>339</v>
      </c>
      <c r="G76" s="4"/>
      <c r="H76" s="4"/>
      <c r="I76" s="4"/>
      <c r="L76" s="4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6" t="s">
        <v>339</v>
      </c>
      <c r="G77" s="4"/>
      <c r="H77" s="4"/>
      <c r="I77" s="4"/>
      <c r="L77" s="4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6" t="s">
        <v>339</v>
      </c>
      <c r="G78" s="4"/>
      <c r="H78" s="4"/>
      <c r="I78" s="4"/>
      <c r="L78" s="4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6" t="s">
        <v>339</v>
      </c>
      <c r="G79" s="4"/>
      <c r="H79" s="4"/>
      <c r="I79" s="4"/>
      <c r="L79" s="4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6" t="s">
        <v>339</v>
      </c>
      <c r="G80" s="4"/>
      <c r="H80" s="4"/>
      <c r="I80" s="4"/>
      <c r="L80" s="4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6" t="s">
        <v>349</v>
      </c>
      <c r="G81" s="4"/>
      <c r="H81" s="4"/>
      <c r="I81" s="4"/>
      <c r="L81" s="4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6" t="s">
        <v>349</v>
      </c>
      <c r="G82" s="4"/>
      <c r="H82" s="4"/>
      <c r="I82" s="4"/>
      <c r="L82" s="4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6" t="s">
        <v>349</v>
      </c>
      <c r="G83" s="4"/>
      <c r="H83" s="4"/>
      <c r="I83" s="4"/>
      <c r="L83" s="4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6" t="s">
        <v>349</v>
      </c>
      <c r="G84" s="4"/>
      <c r="H84" s="4"/>
      <c r="I84" s="4"/>
      <c r="L84" s="4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6" t="s">
        <v>351</v>
      </c>
      <c r="G85" s="4"/>
      <c r="H85" s="4"/>
      <c r="I85" s="4"/>
      <c r="J85" s="4"/>
      <c r="K85" s="4"/>
      <c r="L85" s="4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6" t="s">
        <v>349</v>
      </c>
      <c r="G86" s="4"/>
      <c r="H86" s="4"/>
      <c r="I86" s="4"/>
      <c r="J86" s="4"/>
      <c r="K86" s="4"/>
      <c r="L86" s="4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6" t="s">
        <v>351</v>
      </c>
      <c r="G87" s="4"/>
      <c r="H87" s="4"/>
      <c r="I87" s="4"/>
      <c r="J87" s="4"/>
      <c r="K87" s="4"/>
      <c r="L87" s="4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6" t="s">
        <v>349</v>
      </c>
      <c r="G88" s="4"/>
      <c r="H88" s="4"/>
      <c r="I88" s="4"/>
      <c r="J88" s="4"/>
      <c r="K88" s="4"/>
      <c r="L88" s="4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6" t="s">
        <v>349</v>
      </c>
      <c r="G89" s="4"/>
      <c r="H89" s="4"/>
      <c r="I89" s="4"/>
      <c r="J89" s="4"/>
      <c r="K89" s="4"/>
      <c r="L89" s="4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6" t="s">
        <v>349</v>
      </c>
      <c r="G90" s="4"/>
      <c r="H90" s="4"/>
      <c r="I90" s="4"/>
      <c r="J90" s="4"/>
      <c r="K90" s="4"/>
      <c r="L90" s="4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6" t="s">
        <v>349</v>
      </c>
      <c r="G91" s="4"/>
      <c r="H91" s="4"/>
      <c r="I91" s="4"/>
      <c r="J91" s="4"/>
      <c r="K91" s="4"/>
      <c r="L91" s="4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6" t="s">
        <v>349</v>
      </c>
      <c r="G92" s="4"/>
      <c r="H92" s="4"/>
      <c r="I92" s="4"/>
      <c r="J92" s="4"/>
      <c r="K92" s="4"/>
      <c r="L92" s="4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6" t="s">
        <v>349</v>
      </c>
      <c r="G93" s="4"/>
      <c r="H93" s="4"/>
      <c r="I93" s="4"/>
      <c r="J93" s="4"/>
      <c r="K93" s="4"/>
      <c r="L93" s="4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6" t="s">
        <v>349</v>
      </c>
      <c r="G94" s="4"/>
      <c r="H94" s="4"/>
      <c r="I94" s="4"/>
      <c r="J94" s="4"/>
      <c r="K94" s="4"/>
      <c r="L94" s="4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6" t="s">
        <v>349</v>
      </c>
      <c r="G95" s="4"/>
      <c r="H95" s="4"/>
      <c r="I95" s="4"/>
      <c r="J95" s="4"/>
      <c r="K95" s="4"/>
      <c r="L95" s="4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6" t="s">
        <v>349</v>
      </c>
      <c r="G96" s="4"/>
      <c r="H96" s="4"/>
      <c r="I96" s="4"/>
      <c r="J96" s="4"/>
      <c r="K96" s="4"/>
      <c r="L96" s="4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6" t="s">
        <v>339</v>
      </c>
      <c r="G97" s="4"/>
      <c r="H97" s="4"/>
      <c r="I97" s="4"/>
      <c r="J97" s="4"/>
      <c r="K97" s="4"/>
      <c r="L97" s="4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6" t="s">
        <v>339</v>
      </c>
      <c r="G98" s="4"/>
      <c r="H98" s="4"/>
      <c r="I98" s="4"/>
      <c r="J98" s="4"/>
      <c r="K98" s="4"/>
      <c r="L98" s="4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6" t="s">
        <v>339</v>
      </c>
      <c r="G99" s="4"/>
      <c r="H99" s="4"/>
      <c r="I99" s="4"/>
      <c r="J99" s="4"/>
      <c r="K99" s="4"/>
      <c r="L99" s="4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6" t="s">
        <v>339</v>
      </c>
      <c r="G100" s="4"/>
      <c r="H100" s="4"/>
      <c r="I100" s="4"/>
      <c r="J100" s="4"/>
      <c r="K100" s="4"/>
      <c r="L100" s="4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6" t="s">
        <v>339</v>
      </c>
      <c r="G101" s="4"/>
      <c r="H101" s="4"/>
      <c r="I101" s="4"/>
      <c r="J101" s="4"/>
      <c r="K101" s="4"/>
      <c r="L101" s="4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6" t="s">
        <v>339</v>
      </c>
      <c r="G102" s="4"/>
      <c r="H102" s="4"/>
      <c r="I102" s="4"/>
      <c r="J102" s="4"/>
      <c r="K102" s="4"/>
      <c r="L102" s="4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6" t="s">
        <v>339</v>
      </c>
      <c r="G103" s="4"/>
      <c r="H103" s="4"/>
      <c r="I103" s="4"/>
      <c r="J103" s="4"/>
      <c r="K103" s="4"/>
      <c r="L103" s="4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6" t="s">
        <v>339</v>
      </c>
      <c r="G104" s="4"/>
      <c r="H104" s="4"/>
      <c r="I104" s="4"/>
      <c r="J104" s="4"/>
      <c r="K104" s="4"/>
      <c r="L104" s="4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6" t="s">
        <v>339</v>
      </c>
      <c r="G105" s="4"/>
      <c r="H105" s="4"/>
      <c r="I105" s="4"/>
      <c r="J105" s="4"/>
      <c r="K105" s="4"/>
      <c r="L105" s="4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6" t="s">
        <v>351</v>
      </c>
      <c r="G106" s="4"/>
      <c r="H106" s="4"/>
      <c r="I106" s="4"/>
      <c r="J106" s="4"/>
      <c r="K106" s="4"/>
      <c r="L106" s="4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6" t="s">
        <v>339</v>
      </c>
      <c r="G107" s="4"/>
      <c r="H107" s="4"/>
      <c r="I107" s="4"/>
      <c r="J107" s="4"/>
      <c r="K107" s="4"/>
      <c r="L107" s="4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6" t="s">
        <v>339</v>
      </c>
      <c r="G108" s="4"/>
      <c r="H108" s="4"/>
      <c r="I108" s="4"/>
      <c r="J108" s="4"/>
      <c r="K108" s="4"/>
      <c r="L108" s="4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6" t="s">
        <v>339</v>
      </c>
      <c r="G109" s="4"/>
      <c r="H109" s="4"/>
      <c r="I109" s="4"/>
      <c r="J109" s="4"/>
      <c r="K109" s="4"/>
      <c r="L109" s="4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6" t="s">
        <v>339</v>
      </c>
      <c r="G110" s="4"/>
      <c r="H110" s="4"/>
      <c r="I110" s="4"/>
      <c r="J110" s="4"/>
      <c r="K110" s="4"/>
      <c r="L110" s="4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6" t="s">
        <v>339</v>
      </c>
      <c r="G111" s="4"/>
      <c r="H111" s="4"/>
      <c r="I111" s="4"/>
      <c r="J111" s="4"/>
      <c r="K111" s="4"/>
      <c r="L111" s="4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6" t="s">
        <v>339</v>
      </c>
      <c r="G112" s="4"/>
      <c r="H112" s="4"/>
      <c r="I112" s="4"/>
      <c r="J112" s="4"/>
      <c r="K112" s="4"/>
      <c r="L112" s="4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6" t="s">
        <v>339</v>
      </c>
      <c r="G113" s="4"/>
      <c r="H113" s="4"/>
      <c r="I113" s="4"/>
      <c r="J113" s="4"/>
      <c r="K113" s="4"/>
      <c r="L113" s="4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6" t="s">
        <v>339</v>
      </c>
      <c r="G114" s="4"/>
      <c r="H114" s="4"/>
      <c r="I114" s="4"/>
      <c r="J114" s="4"/>
      <c r="K114" s="4"/>
      <c r="L114" s="4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6" t="s">
        <v>339</v>
      </c>
      <c r="G115" s="4"/>
      <c r="H115" s="4"/>
      <c r="I115" s="4"/>
      <c r="J115" s="4"/>
      <c r="K115" s="4"/>
      <c r="L115" s="4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6" t="s">
        <v>339</v>
      </c>
      <c r="G116" s="4"/>
      <c r="H116" s="4"/>
      <c r="I116" s="4"/>
      <c r="J116" s="4"/>
      <c r="K116" s="4"/>
      <c r="L116" s="4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6" t="s">
        <v>339</v>
      </c>
      <c r="G117" s="4"/>
      <c r="H117" s="4"/>
      <c r="I117" s="4"/>
      <c r="J117" s="4"/>
      <c r="K117" s="4"/>
      <c r="L117" s="4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6" t="s">
        <v>339</v>
      </c>
      <c r="G118" s="4"/>
      <c r="H118" s="4"/>
      <c r="I118" s="4"/>
      <c r="J118" s="4"/>
      <c r="K118" s="4"/>
      <c r="L118" s="4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6" t="s">
        <v>339</v>
      </c>
      <c r="G119" s="4"/>
      <c r="H119" s="4"/>
      <c r="I119" s="4"/>
      <c r="J119" s="4"/>
      <c r="K119" s="4"/>
      <c r="L119" s="4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6" t="s">
        <v>339</v>
      </c>
      <c r="G120" s="4"/>
      <c r="H120" s="4"/>
      <c r="I120" s="4"/>
      <c r="J120" s="4"/>
      <c r="K120" s="4"/>
      <c r="L120" s="4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6" t="s">
        <v>339</v>
      </c>
      <c r="G121" s="4"/>
      <c r="H121" s="4"/>
      <c r="I121" s="4"/>
      <c r="J121" s="4"/>
      <c r="K121" s="4"/>
      <c r="L121" s="4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6" t="s">
        <v>339</v>
      </c>
      <c r="G122" s="4"/>
      <c r="H122" s="4"/>
      <c r="I122" s="4"/>
      <c r="J122" s="4"/>
      <c r="K122" s="4"/>
      <c r="L122" s="4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6" t="s">
        <v>339</v>
      </c>
      <c r="G123" s="4"/>
      <c r="H123" s="4"/>
      <c r="I123" s="4"/>
      <c r="J123" s="4"/>
      <c r="K123" s="4"/>
      <c r="L123" s="4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6" t="s">
        <v>339</v>
      </c>
      <c r="G124" s="4"/>
      <c r="H124" s="4"/>
      <c r="I124" s="4"/>
      <c r="J124" s="4"/>
      <c r="K124" s="4"/>
      <c r="L124" s="4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6" t="s">
        <v>339</v>
      </c>
      <c r="G125" s="4"/>
      <c r="H125" s="4"/>
      <c r="I125" s="4"/>
      <c r="J125" s="4"/>
      <c r="K125" s="4"/>
      <c r="L125" s="4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6" t="s">
        <v>339</v>
      </c>
      <c r="G126" s="4"/>
      <c r="H126" s="4"/>
      <c r="I126" s="4"/>
      <c r="J126" s="4"/>
      <c r="K126" s="4"/>
      <c r="L126" s="4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6" t="s">
        <v>339</v>
      </c>
      <c r="G127" s="4"/>
      <c r="H127" s="4"/>
      <c r="I127" s="4"/>
      <c r="J127" s="4"/>
      <c r="K127" s="4"/>
      <c r="L127" s="4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6" t="s">
        <v>339</v>
      </c>
      <c r="G128" s="4"/>
      <c r="H128" s="4"/>
      <c r="I128" s="4"/>
      <c r="J128" s="4"/>
      <c r="K128" s="4"/>
      <c r="L128" s="4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6" t="s">
        <v>339</v>
      </c>
      <c r="G129" s="4"/>
      <c r="H129" s="4"/>
      <c r="I129" s="4"/>
      <c r="J129" s="4"/>
      <c r="K129" s="4"/>
      <c r="L129" s="4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6" t="s">
        <v>339</v>
      </c>
      <c r="G130" s="4"/>
      <c r="H130" s="4"/>
      <c r="I130" s="4"/>
      <c r="J130" s="4"/>
      <c r="K130" s="4"/>
      <c r="L130" s="4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6" t="s">
        <v>339</v>
      </c>
      <c r="G131" s="4"/>
      <c r="H131" s="4"/>
      <c r="I131" s="4"/>
      <c r="J131" s="4"/>
      <c r="K131" s="4"/>
      <c r="L131" s="4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6" t="s">
        <v>339</v>
      </c>
      <c r="G132" s="4"/>
      <c r="H132" s="4"/>
      <c r="I132" s="4"/>
      <c r="J132" s="4"/>
      <c r="K132" s="4"/>
      <c r="L132" s="4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6" t="s">
        <v>339</v>
      </c>
      <c r="G133" s="4"/>
      <c r="H133" s="4"/>
      <c r="I133" s="4"/>
      <c r="J133" s="4"/>
      <c r="K133" s="4"/>
      <c r="L133" s="4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6" t="s">
        <v>339</v>
      </c>
      <c r="G134" s="4"/>
      <c r="H134" s="4"/>
      <c r="I134" s="4"/>
      <c r="J134" s="4"/>
      <c r="K134" s="4"/>
      <c r="L134" s="4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6" t="s">
        <v>339</v>
      </c>
      <c r="G135" s="4"/>
      <c r="H135" s="4"/>
      <c r="I135" s="4"/>
      <c r="J135" s="4"/>
      <c r="K135" s="4"/>
      <c r="L135" s="4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6" t="s">
        <v>339</v>
      </c>
      <c r="G136" s="4"/>
      <c r="H136" s="4"/>
      <c r="I136" s="4"/>
      <c r="J136" s="4"/>
      <c r="K136" s="4"/>
      <c r="L136" s="4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6" t="s">
        <v>339</v>
      </c>
      <c r="G137" s="4"/>
      <c r="H137" s="4"/>
      <c r="I137" s="4"/>
      <c r="J137" s="4"/>
      <c r="K137" s="4"/>
      <c r="L137" s="4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6" t="s">
        <v>339</v>
      </c>
      <c r="G138" s="4"/>
      <c r="H138" s="4"/>
      <c r="I138" s="4"/>
      <c r="J138" s="4"/>
      <c r="K138" s="4"/>
      <c r="L138" s="4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6" t="s">
        <v>339</v>
      </c>
      <c r="G139" s="4"/>
      <c r="H139" s="4"/>
      <c r="I139" s="4"/>
      <c r="J139" s="4"/>
      <c r="K139" s="4"/>
      <c r="L139" s="4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6" t="s">
        <v>339</v>
      </c>
      <c r="G140" s="4"/>
      <c r="H140" s="4"/>
      <c r="I140" s="4"/>
      <c r="J140" s="4"/>
      <c r="K140" s="4"/>
      <c r="L140" s="4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6" t="s">
        <v>349</v>
      </c>
      <c r="G141" s="4"/>
      <c r="H141" s="4"/>
      <c r="I141" s="4"/>
      <c r="J141" s="4"/>
      <c r="K141" s="4"/>
      <c r="L141" s="4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6" t="s">
        <v>349</v>
      </c>
      <c r="G142" s="4"/>
      <c r="H142" s="4"/>
      <c r="I142" s="4"/>
      <c r="J142" s="4"/>
      <c r="K142" s="4"/>
      <c r="L142" s="4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6" t="s">
        <v>349</v>
      </c>
      <c r="G143" s="4"/>
      <c r="H143" s="4"/>
      <c r="I143" s="4"/>
      <c r="J143" s="4"/>
      <c r="K143" s="4"/>
      <c r="L143" s="4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6" t="s">
        <v>349</v>
      </c>
      <c r="G144" s="4"/>
      <c r="H144" s="4"/>
      <c r="I144" s="4"/>
      <c r="J144" s="4"/>
      <c r="K144" s="4"/>
      <c r="L144" s="4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6" t="s">
        <v>349</v>
      </c>
      <c r="G145" s="4"/>
      <c r="H145" s="4"/>
      <c r="I145" s="4"/>
      <c r="J145" s="4"/>
      <c r="K145" s="4"/>
      <c r="L145" s="4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6" t="s">
        <v>349</v>
      </c>
      <c r="G146" s="4"/>
      <c r="H146" s="4"/>
      <c r="I146" s="4"/>
      <c r="J146" s="4"/>
      <c r="K146" s="4"/>
      <c r="L146" s="4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6" t="s">
        <v>349</v>
      </c>
      <c r="G147" s="4"/>
      <c r="H147" s="4"/>
      <c r="I147" s="4"/>
      <c r="J147" s="4"/>
      <c r="K147" s="4"/>
      <c r="L147" s="4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6" t="s">
        <v>349</v>
      </c>
      <c r="G148" s="4"/>
      <c r="H148" s="4"/>
      <c r="I148" s="4"/>
      <c r="J148" s="4"/>
      <c r="K148" s="4"/>
      <c r="L148" s="4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6" t="s">
        <v>349</v>
      </c>
      <c r="G149" s="4"/>
      <c r="H149" s="4"/>
      <c r="I149" s="4"/>
      <c r="J149" s="4"/>
      <c r="K149" s="4"/>
      <c r="L149" s="4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6" t="s">
        <v>349</v>
      </c>
      <c r="G150" s="4"/>
      <c r="H150" s="4"/>
      <c r="I150" s="4"/>
      <c r="J150" s="4"/>
      <c r="K150" s="4"/>
      <c r="L150" s="4"/>
    </row>
    <row r="151" spans="1:12">
      <c r="A151" s="3"/>
      <c r="B151" s="3"/>
      <c r="C151" s="3"/>
      <c r="D151" s="3"/>
      <c r="E151" s="3"/>
      <c r="F151" s="6"/>
      <c r="G151" s="4"/>
      <c r="H151" s="4"/>
      <c r="I151" s="4"/>
      <c r="J151" s="4"/>
      <c r="K151" s="4"/>
      <c r="L151" s="4"/>
    </row>
  </sheetData>
  <autoFilter ref="A1:F151" xr:uid="{00000000-0009-0000-0000-000008000000}"/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20" customWidth="1"/>
    <col min="2" max="2" width="7.5" style="20" customWidth="1"/>
    <col min="3" max="3" width="0.875" style="20" customWidth="1"/>
    <col min="4" max="4" width="4" style="20" customWidth="1"/>
    <col min="5" max="5" width="5.875" style="20" customWidth="1"/>
    <col min="6" max="6" width="5.625" style="20" customWidth="1"/>
    <col min="7" max="7" width="11.25" style="20" customWidth="1"/>
    <col min="8" max="8" width="9.125" style="20" customWidth="1"/>
    <col min="9" max="9" width="12.75" style="20" customWidth="1"/>
    <col min="10" max="10" width="1.375" style="20" customWidth="1"/>
    <col min="11" max="11" width="1" style="20" customWidth="1"/>
    <col min="12" max="12" width="10.75" style="20" customWidth="1"/>
    <col min="13" max="13" width="10.125" style="20" customWidth="1"/>
    <col min="14" max="14" width="16.625" style="20" customWidth="1"/>
    <col min="15" max="15" width="8.375" style="20" customWidth="1"/>
    <col min="16" max="16" width="9.5" style="20" customWidth="1"/>
    <col min="17" max="17" width="1.25" style="20" customWidth="1"/>
    <col min="18" max="18" width="0.5" style="20" customWidth="1"/>
    <col min="19" max="26" width="0" style="20" hidden="1" customWidth="1"/>
    <col min="27" max="16384" width="11" style="20" hidden="1"/>
  </cols>
  <sheetData>
    <row r="1" spans="2:26" ht="13.5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2:26" ht="39" thickBot="1">
      <c r="B2" s="636" t="s">
        <v>366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19"/>
      <c r="S2" s="19"/>
      <c r="T2" s="19"/>
      <c r="U2" s="19"/>
      <c r="V2" s="19"/>
      <c r="W2" s="19"/>
      <c r="X2" s="19"/>
      <c r="Y2" s="19"/>
      <c r="Z2" s="19"/>
    </row>
    <row r="3" spans="2:26" ht="24" customHeight="1" thickBot="1">
      <c r="B3" s="21" t="s">
        <v>367</v>
      </c>
      <c r="C3" s="638" t="s">
        <v>368</v>
      </c>
      <c r="D3" s="639"/>
      <c r="E3" s="639"/>
      <c r="F3" s="639"/>
      <c r="G3" s="639"/>
      <c r="H3" s="639"/>
      <c r="I3" s="639"/>
      <c r="J3" s="640"/>
      <c r="K3" s="641" t="s">
        <v>369</v>
      </c>
      <c r="L3" s="642"/>
      <c r="M3" s="642"/>
      <c r="N3" s="642"/>
      <c r="O3" s="642"/>
      <c r="P3" s="642"/>
      <c r="Q3" s="643"/>
      <c r="R3" s="19"/>
      <c r="S3" s="19"/>
      <c r="T3" s="19"/>
      <c r="U3" s="19"/>
      <c r="V3" s="19"/>
      <c r="W3" s="19"/>
      <c r="X3" s="19"/>
      <c r="Y3" s="19"/>
      <c r="Z3" s="19"/>
    </row>
    <row r="4" spans="2:26" ht="13.5">
      <c r="B4" s="644" t="s">
        <v>370</v>
      </c>
      <c r="C4" s="22" t="s">
        <v>371</v>
      </c>
      <c r="D4" s="23"/>
      <c r="E4" s="23"/>
      <c r="F4" s="23"/>
      <c r="G4" s="23"/>
      <c r="H4" s="23"/>
      <c r="I4" s="23"/>
      <c r="J4" s="24"/>
      <c r="K4" s="25" t="s">
        <v>371</v>
      </c>
      <c r="L4" s="23"/>
      <c r="M4" s="23"/>
      <c r="N4" s="23"/>
      <c r="O4" s="23"/>
      <c r="P4" s="23"/>
      <c r="Q4" s="24"/>
      <c r="R4" s="19"/>
      <c r="S4" s="19"/>
      <c r="T4" s="19"/>
      <c r="U4" s="19"/>
      <c r="V4" s="19"/>
      <c r="W4" s="19"/>
      <c r="X4" s="19"/>
      <c r="Y4" s="19"/>
      <c r="Z4" s="19"/>
    </row>
    <row r="5" spans="2:26" ht="18.75" customHeight="1">
      <c r="B5" s="645"/>
      <c r="C5" s="26"/>
      <c r="D5" s="632" t="s">
        <v>372</v>
      </c>
      <c r="E5" s="633"/>
      <c r="F5" s="633"/>
      <c r="G5" s="634"/>
      <c r="H5" s="635" t="s">
        <v>373</v>
      </c>
      <c r="I5" s="633"/>
      <c r="J5" s="27"/>
      <c r="K5" s="28"/>
      <c r="L5" s="632" t="s">
        <v>372</v>
      </c>
      <c r="M5" s="633"/>
      <c r="N5" s="634"/>
      <c r="O5" s="635" t="s">
        <v>374</v>
      </c>
      <c r="P5" s="633"/>
      <c r="Q5" s="27"/>
      <c r="R5" s="19"/>
      <c r="S5" s="19"/>
      <c r="T5" s="19"/>
      <c r="U5" s="19"/>
      <c r="V5" s="19"/>
      <c r="W5" s="19"/>
      <c r="X5" s="19"/>
      <c r="Y5" s="19"/>
      <c r="Z5" s="19"/>
    </row>
    <row r="6" spans="2:26" ht="18.75" customHeight="1">
      <c r="B6" s="645"/>
      <c r="C6" s="26"/>
      <c r="D6" s="632" t="s">
        <v>375</v>
      </c>
      <c r="E6" s="633"/>
      <c r="F6" s="633"/>
      <c r="G6" s="634"/>
      <c r="H6" s="635" t="s">
        <v>376</v>
      </c>
      <c r="I6" s="633"/>
      <c r="J6" s="27"/>
      <c r="K6" s="28"/>
      <c r="L6" s="632" t="s">
        <v>375</v>
      </c>
      <c r="M6" s="633"/>
      <c r="N6" s="634"/>
      <c r="O6" s="635" t="s">
        <v>377</v>
      </c>
      <c r="P6" s="633"/>
      <c r="Q6" s="27"/>
      <c r="R6" s="19"/>
      <c r="S6" s="19"/>
      <c r="T6" s="19"/>
      <c r="U6" s="19"/>
      <c r="V6" s="19"/>
      <c r="W6" s="19"/>
      <c r="X6" s="19"/>
      <c r="Y6" s="19"/>
      <c r="Z6" s="19"/>
    </row>
    <row r="7" spans="2:26" ht="18.75" customHeight="1">
      <c r="B7" s="645"/>
      <c r="C7" s="26"/>
      <c r="D7" s="632" t="s">
        <v>378</v>
      </c>
      <c r="E7" s="633"/>
      <c r="F7" s="633"/>
      <c r="G7" s="634"/>
      <c r="H7" s="635" t="s">
        <v>379</v>
      </c>
      <c r="I7" s="633"/>
      <c r="J7" s="27"/>
      <c r="K7" s="28"/>
      <c r="L7" s="632" t="s">
        <v>378</v>
      </c>
      <c r="M7" s="633"/>
      <c r="N7" s="634"/>
      <c r="O7" s="635" t="s">
        <v>380</v>
      </c>
      <c r="P7" s="633"/>
      <c r="Q7" s="27"/>
      <c r="R7" s="19"/>
      <c r="S7" s="19"/>
      <c r="T7" s="19"/>
      <c r="U7" s="19"/>
      <c r="V7" s="19"/>
      <c r="W7" s="19"/>
      <c r="X7" s="19"/>
      <c r="Y7" s="19"/>
      <c r="Z7" s="19"/>
    </row>
    <row r="8" spans="2:26" ht="18.75" customHeight="1">
      <c r="B8" s="645"/>
      <c r="C8" s="26"/>
      <c r="D8" s="632" t="s">
        <v>381</v>
      </c>
      <c r="E8" s="633"/>
      <c r="F8" s="633"/>
      <c r="G8" s="634"/>
      <c r="H8" s="635" t="s">
        <v>382</v>
      </c>
      <c r="I8" s="633"/>
      <c r="J8" s="27"/>
      <c r="K8" s="28"/>
      <c r="L8" s="632" t="s">
        <v>381</v>
      </c>
      <c r="M8" s="633"/>
      <c r="N8" s="634"/>
      <c r="O8" s="635" t="s">
        <v>382</v>
      </c>
      <c r="P8" s="633"/>
      <c r="Q8" s="27"/>
      <c r="R8" s="19"/>
      <c r="S8" s="19"/>
      <c r="T8" s="19"/>
      <c r="U8" s="19"/>
      <c r="V8" s="19"/>
      <c r="W8" s="19"/>
      <c r="X8" s="19"/>
      <c r="Y8" s="19"/>
      <c r="Z8" s="19"/>
    </row>
    <row r="9" spans="2:26" ht="8.25" customHeight="1" thickBot="1">
      <c r="B9" s="646"/>
      <c r="C9" s="29"/>
      <c r="D9" s="30"/>
      <c r="E9" s="30"/>
      <c r="F9" s="30"/>
      <c r="G9" s="30"/>
      <c r="H9" s="30"/>
      <c r="I9" s="30"/>
      <c r="J9" s="31"/>
      <c r="K9" s="32"/>
      <c r="L9" s="30"/>
      <c r="M9" s="30"/>
      <c r="N9" s="30"/>
      <c r="O9" s="30"/>
      <c r="P9" s="30"/>
      <c r="Q9" s="31"/>
      <c r="R9" s="19"/>
      <c r="S9" s="19"/>
      <c r="T9" s="19"/>
      <c r="U9" s="19"/>
      <c r="V9" s="19"/>
      <c r="W9" s="19"/>
      <c r="X9" s="19"/>
      <c r="Y9" s="19"/>
      <c r="Z9" s="19"/>
    </row>
    <row r="10" spans="2:26" ht="6.75" customHeight="1">
      <c r="B10" s="644" t="s">
        <v>383</v>
      </c>
      <c r="C10" s="22"/>
      <c r="D10" s="23"/>
      <c r="E10" s="23"/>
      <c r="F10" s="23"/>
      <c r="G10" s="23"/>
      <c r="H10" s="23"/>
      <c r="I10" s="23"/>
      <c r="J10" s="24"/>
      <c r="K10" s="25"/>
      <c r="L10" s="23"/>
      <c r="M10" s="23"/>
      <c r="N10" s="23"/>
      <c r="O10" s="23"/>
      <c r="P10" s="23"/>
      <c r="Q10" s="24"/>
      <c r="R10" s="19"/>
      <c r="S10" s="19"/>
      <c r="T10" s="19"/>
      <c r="U10" s="19"/>
      <c r="V10" s="19"/>
      <c r="W10" s="19"/>
      <c r="X10" s="19"/>
      <c r="Y10" s="19"/>
      <c r="Z10" s="19"/>
    </row>
    <row r="11" spans="2:26" ht="16.5" customHeight="1">
      <c r="B11" s="645"/>
      <c r="C11" s="26"/>
      <c r="D11" s="632" t="s">
        <v>320</v>
      </c>
      <c r="E11" s="633"/>
      <c r="F11" s="633"/>
      <c r="G11" s="635" t="s">
        <v>384</v>
      </c>
      <c r="H11" s="633"/>
      <c r="I11" s="633"/>
      <c r="J11" s="27"/>
      <c r="K11" s="28"/>
      <c r="L11" s="647" t="s">
        <v>320</v>
      </c>
      <c r="M11" s="648"/>
      <c r="N11" s="651" t="s">
        <v>385</v>
      </c>
      <c r="O11" s="652"/>
      <c r="P11" s="652"/>
      <c r="Q11" s="27"/>
      <c r="R11" s="19"/>
      <c r="S11" s="19"/>
      <c r="T11" s="19"/>
      <c r="U11" s="19"/>
      <c r="V11" s="19"/>
      <c r="W11" s="19"/>
      <c r="X11" s="19"/>
      <c r="Y11" s="19"/>
      <c r="Z11" s="19"/>
    </row>
    <row r="12" spans="2:26" ht="16.5" customHeight="1">
      <c r="B12" s="645"/>
      <c r="C12" s="26"/>
      <c r="D12" s="632" t="s">
        <v>386</v>
      </c>
      <c r="E12" s="633"/>
      <c r="F12" s="633"/>
      <c r="G12" s="635" t="s">
        <v>387</v>
      </c>
      <c r="H12" s="633"/>
      <c r="I12" s="633"/>
      <c r="J12" s="27"/>
      <c r="K12" s="28"/>
      <c r="L12" s="649"/>
      <c r="M12" s="650"/>
      <c r="N12" s="653"/>
      <c r="O12" s="649"/>
      <c r="P12" s="649"/>
      <c r="Q12" s="27"/>
      <c r="R12" s="19"/>
      <c r="S12" s="19"/>
      <c r="T12" s="19"/>
      <c r="U12" s="19"/>
      <c r="V12" s="19"/>
      <c r="W12" s="19"/>
      <c r="X12" s="19"/>
      <c r="Y12" s="19"/>
      <c r="Z12" s="19"/>
    </row>
    <row r="13" spans="2:26" ht="16.5" customHeight="1">
      <c r="B13" s="645"/>
      <c r="C13" s="26"/>
      <c r="D13" s="632" t="s">
        <v>388</v>
      </c>
      <c r="E13" s="633"/>
      <c r="F13" s="633"/>
      <c r="G13" s="635" t="s">
        <v>389</v>
      </c>
      <c r="H13" s="633"/>
      <c r="I13" s="633"/>
      <c r="J13" s="27"/>
      <c r="K13" s="28"/>
      <c r="L13" s="632" t="s">
        <v>390</v>
      </c>
      <c r="M13" s="634"/>
      <c r="N13" s="635" t="s">
        <v>389</v>
      </c>
      <c r="O13" s="633"/>
      <c r="P13" s="633"/>
      <c r="Q13" s="27"/>
      <c r="R13" s="19"/>
      <c r="S13" s="19"/>
      <c r="T13" s="19"/>
      <c r="U13" s="19"/>
      <c r="V13" s="19"/>
      <c r="W13" s="19"/>
      <c r="X13" s="19"/>
      <c r="Y13" s="19"/>
      <c r="Z13" s="19"/>
    </row>
    <row r="14" spans="2:26" ht="6.75" customHeight="1" thickBot="1">
      <c r="B14" s="646"/>
      <c r="C14" s="29"/>
      <c r="D14" s="30"/>
      <c r="E14" s="30"/>
      <c r="F14" s="30"/>
      <c r="G14" s="30"/>
      <c r="H14" s="30"/>
      <c r="I14" s="30"/>
      <c r="J14" s="31"/>
      <c r="K14" s="32"/>
      <c r="L14" s="30"/>
      <c r="M14" s="30"/>
      <c r="N14" s="30"/>
      <c r="O14" s="30"/>
      <c r="P14" s="30"/>
      <c r="Q14" s="31"/>
      <c r="R14" s="19"/>
      <c r="S14" s="19"/>
      <c r="T14" s="19"/>
      <c r="U14" s="19"/>
      <c r="V14" s="19"/>
      <c r="W14" s="19"/>
      <c r="X14" s="19"/>
      <c r="Y14" s="19"/>
      <c r="Z14" s="19"/>
    </row>
    <row r="15" spans="2:26" ht="6.75" customHeight="1">
      <c r="B15" s="644" t="s">
        <v>391</v>
      </c>
      <c r="C15" s="22"/>
      <c r="D15" s="23"/>
      <c r="E15" s="23"/>
      <c r="F15" s="23"/>
      <c r="G15" s="23"/>
      <c r="H15" s="23"/>
      <c r="I15" s="23"/>
      <c r="J15" s="24"/>
      <c r="K15" s="25"/>
      <c r="L15" s="23"/>
      <c r="M15" s="23"/>
      <c r="N15" s="23"/>
      <c r="O15" s="23"/>
      <c r="P15" s="23"/>
      <c r="Q15" s="24"/>
      <c r="R15" s="19"/>
      <c r="S15" s="19"/>
      <c r="T15" s="19"/>
      <c r="U15" s="19"/>
      <c r="V15" s="19"/>
      <c r="W15" s="19"/>
      <c r="X15" s="19"/>
      <c r="Y15" s="19"/>
      <c r="Z15" s="19"/>
    </row>
    <row r="16" spans="2:26" ht="20.25" customHeight="1">
      <c r="B16" s="645"/>
      <c r="C16" s="26"/>
      <c r="D16" s="632" t="s">
        <v>392</v>
      </c>
      <c r="E16" s="633"/>
      <c r="F16" s="633"/>
      <c r="G16" s="634"/>
      <c r="H16" s="635">
        <v>1</v>
      </c>
      <c r="I16" s="633"/>
      <c r="J16" s="27"/>
      <c r="K16" s="28"/>
      <c r="L16" s="632" t="s">
        <v>392</v>
      </c>
      <c r="M16" s="633"/>
      <c r="N16" s="634"/>
      <c r="O16" s="635" t="s">
        <v>393</v>
      </c>
      <c r="P16" s="633"/>
      <c r="Q16" s="27"/>
      <c r="R16" s="19"/>
      <c r="S16" s="19"/>
      <c r="T16" s="19"/>
      <c r="U16" s="19"/>
      <c r="V16" s="19"/>
      <c r="W16" s="19"/>
      <c r="X16" s="19"/>
      <c r="Y16" s="19"/>
      <c r="Z16" s="19"/>
    </row>
    <row r="17" spans="2:26" ht="20.25" customHeight="1">
      <c r="B17" s="645"/>
      <c r="C17" s="26"/>
      <c r="D17" s="632" t="s">
        <v>394</v>
      </c>
      <c r="E17" s="633"/>
      <c r="F17" s="633"/>
      <c r="G17" s="634"/>
      <c r="H17" s="635">
        <v>179</v>
      </c>
      <c r="I17" s="633"/>
      <c r="J17" s="27"/>
      <c r="K17" s="28"/>
      <c r="L17" s="632" t="s">
        <v>395</v>
      </c>
      <c r="M17" s="633"/>
      <c r="N17" s="634"/>
      <c r="O17" s="635" t="s">
        <v>396</v>
      </c>
      <c r="P17" s="633"/>
      <c r="Q17" s="27"/>
      <c r="R17" s="19"/>
      <c r="S17" s="19"/>
      <c r="T17" s="19"/>
      <c r="U17" s="19"/>
      <c r="V17" s="19"/>
      <c r="W17" s="19"/>
      <c r="X17" s="19"/>
      <c r="Y17" s="19"/>
      <c r="Z17" s="19"/>
    </row>
    <row r="18" spans="2:26" ht="20.25" customHeight="1">
      <c r="B18" s="645"/>
      <c r="C18" s="26"/>
      <c r="D18" s="632" t="s">
        <v>397</v>
      </c>
      <c r="E18" s="633"/>
      <c r="F18" s="633"/>
      <c r="G18" s="634"/>
      <c r="H18" s="635">
        <v>368</v>
      </c>
      <c r="I18" s="633"/>
      <c r="J18" s="27"/>
      <c r="K18" s="28"/>
      <c r="L18" s="632" t="s">
        <v>398</v>
      </c>
      <c r="M18" s="633"/>
      <c r="N18" s="634"/>
      <c r="O18" s="635" t="s">
        <v>399</v>
      </c>
      <c r="P18" s="633"/>
      <c r="Q18" s="27"/>
      <c r="R18" s="19"/>
      <c r="S18" s="19"/>
      <c r="T18" s="19"/>
      <c r="U18" s="19"/>
      <c r="V18" s="19"/>
      <c r="W18" s="19"/>
      <c r="X18" s="19"/>
      <c r="Y18" s="19"/>
      <c r="Z18" s="19"/>
    </row>
    <row r="19" spans="2:26" ht="20.25" customHeight="1">
      <c r="B19" s="645"/>
      <c r="C19" s="26"/>
      <c r="D19" s="632" t="s">
        <v>400</v>
      </c>
      <c r="E19" s="633"/>
      <c r="F19" s="633"/>
      <c r="G19" s="634"/>
      <c r="H19" s="635">
        <v>548</v>
      </c>
      <c r="I19" s="633"/>
      <c r="J19" s="27"/>
      <c r="K19" s="28"/>
      <c r="L19" s="632" t="s">
        <v>400</v>
      </c>
      <c r="M19" s="633"/>
      <c r="N19" s="634"/>
      <c r="O19" s="635" t="s">
        <v>401</v>
      </c>
      <c r="P19" s="633"/>
      <c r="Q19" s="27"/>
      <c r="R19" s="19"/>
      <c r="S19" s="19"/>
      <c r="T19" s="19"/>
      <c r="U19" s="19"/>
      <c r="V19" s="19"/>
      <c r="W19" s="19"/>
      <c r="X19" s="19"/>
      <c r="Y19" s="19"/>
      <c r="Z19" s="19"/>
    </row>
    <row r="20" spans="2:26" ht="5.25" customHeight="1" thickBot="1">
      <c r="B20" s="646"/>
      <c r="C20" s="29"/>
      <c r="D20" s="30"/>
      <c r="E20" s="30"/>
      <c r="F20" s="30"/>
      <c r="G20" s="30"/>
      <c r="H20" s="30"/>
      <c r="I20" s="30"/>
      <c r="J20" s="31"/>
      <c r="K20" s="32"/>
      <c r="L20" s="30"/>
      <c r="M20" s="30"/>
      <c r="N20" s="30"/>
      <c r="O20" s="30"/>
      <c r="P20" s="30"/>
      <c r="Q20" s="31"/>
      <c r="R20" s="19"/>
      <c r="S20" s="19"/>
      <c r="T20" s="19"/>
      <c r="U20" s="19"/>
      <c r="V20" s="19"/>
      <c r="W20" s="19"/>
      <c r="X20" s="19"/>
      <c r="Y20" s="19"/>
      <c r="Z20" s="19"/>
    </row>
    <row r="21" spans="2:26" ht="5.25" customHeight="1">
      <c r="B21" s="644" t="s">
        <v>402</v>
      </c>
      <c r="C21" s="22"/>
      <c r="D21" s="23"/>
      <c r="E21" s="23"/>
      <c r="F21" s="23"/>
      <c r="G21" s="23"/>
      <c r="H21" s="23"/>
      <c r="I21" s="23"/>
      <c r="J21" s="24"/>
      <c r="K21" s="25"/>
      <c r="L21" s="23"/>
      <c r="M21" s="23"/>
      <c r="N21" s="23"/>
      <c r="O21" s="23"/>
      <c r="P21" s="23"/>
      <c r="Q21" s="24"/>
      <c r="R21" s="19"/>
      <c r="S21" s="19"/>
      <c r="T21" s="19"/>
      <c r="U21" s="19"/>
      <c r="V21" s="19"/>
      <c r="W21" s="19"/>
      <c r="X21" s="19"/>
      <c r="Y21" s="19"/>
      <c r="Z21" s="19"/>
    </row>
    <row r="22" spans="2:26" ht="27.75" thickBot="1">
      <c r="B22" s="645"/>
      <c r="C22" s="26"/>
      <c r="D22" s="33"/>
      <c r="E22" s="34"/>
      <c r="F22" s="35" t="s">
        <v>403</v>
      </c>
      <c r="G22" s="35" t="s">
        <v>404</v>
      </c>
      <c r="H22" s="35" t="s">
        <v>405</v>
      </c>
      <c r="I22" s="36" t="s">
        <v>406</v>
      </c>
      <c r="J22" s="37"/>
      <c r="K22" s="38"/>
      <c r="L22" s="33"/>
      <c r="M22" s="35" t="s">
        <v>404</v>
      </c>
      <c r="N22" s="35" t="s">
        <v>407</v>
      </c>
      <c r="O22" s="654" t="s">
        <v>406</v>
      </c>
      <c r="P22" s="655"/>
      <c r="Q22" s="27"/>
      <c r="R22" s="19"/>
      <c r="S22" s="19"/>
      <c r="T22" s="19"/>
      <c r="U22" s="19"/>
      <c r="V22" s="19"/>
      <c r="W22" s="19"/>
      <c r="X22" s="19"/>
      <c r="Y22" s="19"/>
      <c r="Z22" s="19"/>
    </row>
    <row r="23" spans="2:26" ht="14.25" thickTop="1">
      <c r="B23" s="645"/>
      <c r="C23" s="26"/>
      <c r="D23" s="656" t="s">
        <v>404</v>
      </c>
      <c r="E23" s="658" t="s">
        <v>408</v>
      </c>
      <c r="F23" s="658" t="s">
        <v>409</v>
      </c>
      <c r="G23" s="39" t="s">
        <v>410</v>
      </c>
      <c r="H23" s="39" t="s">
        <v>411</v>
      </c>
      <c r="I23" s="661">
        <v>24</v>
      </c>
      <c r="J23" s="37"/>
      <c r="K23" s="38"/>
      <c r="L23" s="656" t="s">
        <v>412</v>
      </c>
      <c r="M23" s="40" t="s">
        <v>410</v>
      </c>
      <c r="N23" s="40" t="s">
        <v>413</v>
      </c>
      <c r="O23" s="661">
        <v>24</v>
      </c>
      <c r="P23" s="669"/>
      <c r="Q23" s="27"/>
      <c r="R23" s="19"/>
      <c r="S23" s="19"/>
      <c r="T23" s="19"/>
      <c r="U23" s="19"/>
      <c r="V23" s="19"/>
      <c r="W23" s="19"/>
      <c r="X23" s="19"/>
      <c r="Y23" s="19"/>
      <c r="Z23" s="19"/>
    </row>
    <row r="24" spans="2:26" ht="13.5">
      <c r="B24" s="645"/>
      <c r="C24" s="26"/>
      <c r="D24" s="657"/>
      <c r="E24" s="659"/>
      <c r="F24" s="659"/>
      <c r="G24" s="41" t="s">
        <v>414</v>
      </c>
      <c r="H24" s="41" t="s">
        <v>415</v>
      </c>
      <c r="I24" s="662"/>
      <c r="J24" s="37"/>
      <c r="K24" s="38"/>
      <c r="L24" s="657"/>
      <c r="M24" s="42" t="s">
        <v>414</v>
      </c>
      <c r="N24" s="42" t="s">
        <v>416</v>
      </c>
      <c r="O24" s="662"/>
      <c r="P24" s="670"/>
      <c r="Q24" s="27"/>
      <c r="R24" s="19"/>
      <c r="S24" s="19"/>
      <c r="T24" s="19"/>
      <c r="U24" s="19"/>
      <c r="V24" s="19"/>
      <c r="W24" s="19"/>
      <c r="X24" s="19"/>
      <c r="Y24" s="19"/>
      <c r="Z24" s="19"/>
    </row>
    <row r="25" spans="2:26" ht="13.5">
      <c r="B25" s="645"/>
      <c r="C25" s="26"/>
      <c r="D25" s="657"/>
      <c r="E25" s="659"/>
      <c r="F25" s="659"/>
      <c r="G25" s="41" t="s">
        <v>417</v>
      </c>
      <c r="H25" s="41" t="s">
        <v>418</v>
      </c>
      <c r="I25" s="663"/>
      <c r="J25" s="37"/>
      <c r="K25" s="38"/>
      <c r="L25" s="657"/>
      <c r="M25" s="42" t="s">
        <v>417</v>
      </c>
      <c r="N25" s="42" t="s">
        <v>419</v>
      </c>
      <c r="O25" s="653"/>
      <c r="P25" s="649"/>
      <c r="Q25" s="27"/>
      <c r="R25" s="19"/>
      <c r="S25" s="19"/>
      <c r="T25" s="19"/>
      <c r="U25" s="19"/>
      <c r="V25" s="19"/>
      <c r="W25" s="19"/>
      <c r="X25" s="19"/>
      <c r="Y25" s="19"/>
      <c r="Z25" s="19"/>
    </row>
    <row r="26" spans="2:26" ht="13.5">
      <c r="B26" s="645"/>
      <c r="C26" s="26"/>
      <c r="D26" s="657"/>
      <c r="E26" s="659"/>
      <c r="F26" s="660"/>
      <c r="G26" s="43" t="s">
        <v>420</v>
      </c>
      <c r="H26" s="43" t="s">
        <v>421</v>
      </c>
      <c r="I26" s="44">
        <v>6</v>
      </c>
      <c r="J26" s="37"/>
      <c r="K26" s="38"/>
      <c r="L26" s="657"/>
      <c r="M26" s="671" t="s">
        <v>422</v>
      </c>
      <c r="N26" s="45" t="s">
        <v>423</v>
      </c>
      <c r="O26" s="672">
        <v>6</v>
      </c>
      <c r="P26" s="673"/>
      <c r="Q26" s="27"/>
      <c r="R26" s="19"/>
      <c r="S26" s="19"/>
      <c r="T26" s="19"/>
      <c r="U26" s="19"/>
      <c r="V26" s="19"/>
      <c r="W26" s="19"/>
      <c r="X26" s="19"/>
      <c r="Y26" s="19"/>
      <c r="Z26" s="19"/>
    </row>
    <row r="27" spans="2:26" ht="40.5">
      <c r="B27" s="645"/>
      <c r="C27" s="26"/>
      <c r="D27" s="657"/>
      <c r="E27" s="659"/>
      <c r="F27" s="671" t="s">
        <v>424</v>
      </c>
      <c r="G27" s="45" t="s">
        <v>422</v>
      </c>
      <c r="H27" s="45" t="s">
        <v>425</v>
      </c>
      <c r="I27" s="674">
        <v>12</v>
      </c>
      <c r="J27" s="37"/>
      <c r="K27" s="38"/>
      <c r="L27" s="657"/>
      <c r="M27" s="660"/>
      <c r="N27" s="43" t="s">
        <v>426</v>
      </c>
      <c r="O27" s="675">
        <v>12</v>
      </c>
      <c r="P27" s="676"/>
      <c r="Q27" s="27"/>
      <c r="R27" s="19"/>
      <c r="S27" s="19"/>
      <c r="T27" s="19"/>
      <c r="U27" s="19"/>
      <c r="V27" s="19"/>
      <c r="W27" s="19"/>
      <c r="X27" s="19"/>
      <c r="Y27" s="19"/>
      <c r="Z27" s="19"/>
    </row>
    <row r="28" spans="2:26" ht="13.5">
      <c r="B28" s="645"/>
      <c r="C28" s="26"/>
      <c r="D28" s="657"/>
      <c r="E28" s="659"/>
      <c r="F28" s="660"/>
      <c r="G28" s="43" t="s">
        <v>427</v>
      </c>
      <c r="H28" s="43" t="s">
        <v>428</v>
      </c>
      <c r="I28" s="653"/>
      <c r="J28" s="37"/>
      <c r="K28" s="38"/>
      <c r="L28" s="657"/>
      <c r="M28" s="42" t="s">
        <v>427</v>
      </c>
      <c r="N28" s="42" t="s">
        <v>429</v>
      </c>
      <c r="O28" s="653"/>
      <c r="P28" s="649"/>
      <c r="Q28" s="27"/>
      <c r="R28" s="19"/>
      <c r="S28" s="19"/>
      <c r="T28" s="19"/>
      <c r="U28" s="19"/>
      <c r="V28" s="19"/>
      <c r="W28" s="19"/>
      <c r="X28" s="19"/>
      <c r="Y28" s="19"/>
      <c r="Z28" s="19"/>
    </row>
    <row r="29" spans="2:26" ht="13.5">
      <c r="B29" s="645"/>
      <c r="C29" s="26"/>
      <c r="D29" s="657"/>
      <c r="E29" s="659"/>
      <c r="F29" s="671" t="s">
        <v>430</v>
      </c>
      <c r="G29" s="45" t="s">
        <v>431</v>
      </c>
      <c r="H29" s="46"/>
      <c r="I29" s="47">
        <v>8</v>
      </c>
      <c r="J29" s="37"/>
      <c r="K29" s="38"/>
      <c r="L29" s="657"/>
      <c r="M29" s="42" t="s">
        <v>431</v>
      </c>
      <c r="N29" s="48"/>
      <c r="O29" s="666">
        <v>8</v>
      </c>
      <c r="P29" s="633"/>
      <c r="Q29" s="27"/>
      <c r="R29" s="19"/>
      <c r="S29" s="19"/>
      <c r="T29" s="19"/>
      <c r="U29" s="19"/>
      <c r="V29" s="19"/>
      <c r="W29" s="19"/>
      <c r="X29" s="19"/>
      <c r="Y29" s="19"/>
      <c r="Z29" s="19"/>
    </row>
    <row r="30" spans="2:26" ht="13.5">
      <c r="B30" s="645"/>
      <c r="C30" s="26"/>
      <c r="D30" s="657"/>
      <c r="E30" s="659"/>
      <c r="F30" s="660"/>
      <c r="G30" s="43" t="s">
        <v>432</v>
      </c>
      <c r="H30" s="49"/>
      <c r="I30" s="44">
        <v>6</v>
      </c>
      <c r="J30" s="37"/>
      <c r="K30" s="38"/>
      <c r="L30" s="657"/>
      <c r="M30" s="42" t="s">
        <v>432</v>
      </c>
      <c r="N30" s="48"/>
      <c r="O30" s="666">
        <v>6</v>
      </c>
      <c r="P30" s="633"/>
      <c r="Q30" s="27"/>
      <c r="R30" s="19"/>
      <c r="S30" s="19"/>
      <c r="T30" s="19"/>
      <c r="U30" s="19"/>
      <c r="V30" s="19"/>
      <c r="W30" s="19"/>
      <c r="X30" s="19"/>
      <c r="Y30" s="19"/>
      <c r="Z30" s="19"/>
    </row>
    <row r="31" spans="2:26" ht="54">
      <c r="B31" s="645"/>
      <c r="C31" s="26"/>
      <c r="D31" s="657"/>
      <c r="E31" s="659"/>
      <c r="F31" s="42" t="s">
        <v>433</v>
      </c>
      <c r="G31" s="42" t="s">
        <v>434</v>
      </c>
      <c r="H31" s="48"/>
      <c r="I31" s="50">
        <v>10</v>
      </c>
      <c r="J31" s="37"/>
      <c r="K31" s="38"/>
      <c r="L31" s="657"/>
      <c r="M31" s="42" t="s">
        <v>435</v>
      </c>
      <c r="N31" s="48"/>
      <c r="O31" s="666">
        <v>8</v>
      </c>
      <c r="P31" s="633"/>
      <c r="Q31" s="27"/>
      <c r="R31" s="19"/>
      <c r="S31" s="19"/>
      <c r="T31" s="19"/>
      <c r="U31" s="19"/>
      <c r="V31" s="19"/>
      <c r="W31" s="19"/>
      <c r="X31" s="19"/>
      <c r="Y31" s="19"/>
      <c r="Z31" s="19"/>
    </row>
    <row r="32" spans="2:26" ht="18.75" customHeight="1">
      <c r="B32" s="645"/>
      <c r="C32" s="26"/>
      <c r="D32" s="657"/>
      <c r="E32" s="660"/>
      <c r="F32" s="667" t="s">
        <v>400</v>
      </c>
      <c r="G32" s="633"/>
      <c r="H32" s="634"/>
      <c r="I32" s="51">
        <v>66</v>
      </c>
      <c r="J32" s="37"/>
      <c r="K32" s="38"/>
      <c r="L32" s="650"/>
      <c r="M32" s="667" t="s">
        <v>400</v>
      </c>
      <c r="N32" s="634"/>
      <c r="O32" s="668">
        <v>64</v>
      </c>
      <c r="P32" s="633"/>
      <c r="Q32" s="27"/>
      <c r="R32" s="19"/>
      <c r="S32" s="19"/>
      <c r="T32" s="19"/>
      <c r="U32" s="19"/>
      <c r="V32" s="19"/>
      <c r="W32" s="19"/>
      <c r="X32" s="19"/>
      <c r="Y32" s="19"/>
      <c r="Z32" s="19"/>
    </row>
    <row r="33" spans="2:26" ht="35.25" customHeight="1">
      <c r="B33" s="645"/>
      <c r="C33" s="26"/>
      <c r="D33" s="650"/>
      <c r="E33" s="52" t="s">
        <v>436</v>
      </c>
      <c r="F33" s="667" t="s">
        <v>437</v>
      </c>
      <c r="G33" s="633"/>
      <c r="H33" s="634"/>
      <c r="I33" s="51">
        <v>86</v>
      </c>
      <c r="J33" s="37"/>
      <c r="K33" s="38"/>
      <c r="L33" s="53" t="s">
        <v>438</v>
      </c>
      <c r="M33" s="667" t="s">
        <v>439</v>
      </c>
      <c r="N33" s="634"/>
      <c r="O33" s="668">
        <v>80</v>
      </c>
      <c r="P33" s="633"/>
      <c r="Q33" s="27"/>
      <c r="R33" s="19"/>
      <c r="S33" s="19"/>
      <c r="T33" s="19"/>
      <c r="U33" s="19"/>
      <c r="V33" s="19"/>
      <c r="W33" s="19"/>
      <c r="X33" s="19"/>
      <c r="Y33" s="19"/>
      <c r="Z33" s="19"/>
    </row>
    <row r="34" spans="2:26" ht="21.75" customHeight="1">
      <c r="B34" s="645"/>
      <c r="C34" s="26"/>
      <c r="D34" s="664" t="s">
        <v>378</v>
      </c>
      <c r="E34" s="633"/>
      <c r="F34" s="633"/>
      <c r="G34" s="633"/>
      <c r="H34" s="634"/>
      <c r="I34" s="54">
        <v>22</v>
      </c>
      <c r="J34" s="37"/>
      <c r="K34" s="38"/>
      <c r="L34" s="664" t="s">
        <v>378</v>
      </c>
      <c r="M34" s="633"/>
      <c r="N34" s="634"/>
      <c r="O34" s="665">
        <v>30</v>
      </c>
      <c r="P34" s="633"/>
      <c r="Q34" s="27"/>
      <c r="R34" s="19"/>
      <c r="S34" s="19"/>
      <c r="T34" s="19"/>
      <c r="U34" s="19"/>
      <c r="V34" s="19"/>
      <c r="W34" s="19"/>
      <c r="X34" s="19"/>
      <c r="Y34" s="19"/>
      <c r="Z34" s="19"/>
    </row>
    <row r="35" spans="2:26" ht="24" customHeight="1">
      <c r="B35" s="645"/>
      <c r="C35" s="26"/>
      <c r="D35" s="664" t="s">
        <v>381</v>
      </c>
      <c r="E35" s="633"/>
      <c r="F35" s="633"/>
      <c r="G35" s="633"/>
      <c r="H35" s="634"/>
      <c r="I35" s="54">
        <v>18</v>
      </c>
      <c r="J35" s="37"/>
      <c r="K35" s="38"/>
      <c r="L35" s="664" t="s">
        <v>381</v>
      </c>
      <c r="M35" s="633"/>
      <c r="N35" s="634"/>
      <c r="O35" s="665">
        <v>18</v>
      </c>
      <c r="P35" s="633"/>
      <c r="Q35" s="27"/>
      <c r="R35" s="19"/>
      <c r="S35" s="19"/>
      <c r="T35" s="19"/>
      <c r="U35" s="19"/>
      <c r="V35" s="19"/>
      <c r="W35" s="19"/>
      <c r="X35" s="19"/>
      <c r="Y35" s="19"/>
      <c r="Z35" s="19"/>
    </row>
    <row r="36" spans="2:26" ht="13.5">
      <c r="B36" s="645"/>
      <c r="C36" s="26"/>
      <c r="D36" s="677" t="s">
        <v>440</v>
      </c>
      <c r="E36" s="633"/>
      <c r="F36" s="633"/>
      <c r="G36" s="633"/>
      <c r="H36" s="634"/>
      <c r="I36" s="51">
        <v>192</v>
      </c>
      <c r="J36" s="37"/>
      <c r="K36" s="38"/>
      <c r="L36" s="677" t="s">
        <v>440</v>
      </c>
      <c r="M36" s="633"/>
      <c r="N36" s="634"/>
      <c r="O36" s="668">
        <v>192</v>
      </c>
      <c r="P36" s="633"/>
      <c r="Q36" s="27"/>
      <c r="R36" s="19"/>
      <c r="S36" s="19"/>
      <c r="T36" s="19"/>
      <c r="U36" s="19"/>
      <c r="V36" s="19"/>
      <c r="W36" s="19"/>
      <c r="X36" s="19"/>
      <c r="Y36" s="19"/>
      <c r="Z36" s="19"/>
    </row>
    <row r="37" spans="2:26" ht="5.25" customHeight="1" thickBot="1">
      <c r="B37" s="646"/>
      <c r="C37" s="29"/>
      <c r="D37" s="30"/>
      <c r="E37" s="30"/>
      <c r="F37" s="30"/>
      <c r="G37" s="30"/>
      <c r="H37" s="30"/>
      <c r="I37" s="30"/>
      <c r="J37" s="31"/>
      <c r="K37" s="32"/>
      <c r="L37" s="30"/>
      <c r="M37" s="30"/>
      <c r="N37" s="30"/>
      <c r="O37" s="30"/>
      <c r="P37" s="30"/>
      <c r="Q37" s="31"/>
      <c r="R37" s="19"/>
      <c r="S37" s="19"/>
      <c r="T37" s="19"/>
      <c r="U37" s="19"/>
      <c r="V37" s="19"/>
      <c r="W37" s="19"/>
      <c r="X37" s="19"/>
      <c r="Y37" s="19"/>
      <c r="Z37" s="19"/>
    </row>
    <row r="38" spans="2:26" ht="5.25" customHeight="1">
      <c r="B38" s="644" t="s">
        <v>441</v>
      </c>
      <c r="C38" s="22"/>
      <c r="D38" s="23"/>
      <c r="E38" s="23"/>
      <c r="F38" s="23"/>
      <c r="G38" s="23"/>
      <c r="H38" s="23"/>
      <c r="I38" s="23"/>
      <c r="J38" s="24"/>
      <c r="K38" s="25"/>
      <c r="L38" s="23"/>
      <c r="M38" s="23"/>
      <c r="N38" s="23"/>
      <c r="O38" s="23"/>
      <c r="P38" s="23"/>
      <c r="Q38" s="24"/>
      <c r="R38" s="19"/>
      <c r="S38" s="19"/>
      <c r="T38" s="19"/>
      <c r="U38" s="19"/>
      <c r="V38" s="19"/>
      <c r="W38" s="19"/>
      <c r="X38" s="19"/>
      <c r="Y38" s="19"/>
      <c r="Z38" s="19"/>
    </row>
    <row r="39" spans="2:26" ht="13.5">
      <c r="B39" s="645"/>
      <c r="C39" s="26" t="s">
        <v>442</v>
      </c>
      <c r="D39" s="55"/>
      <c r="E39" s="55"/>
      <c r="F39" s="55"/>
      <c r="G39" s="55"/>
      <c r="H39" s="55"/>
      <c r="I39" s="55"/>
      <c r="J39" s="27"/>
      <c r="K39" s="28"/>
      <c r="L39" s="55" t="s">
        <v>443</v>
      </c>
      <c r="M39" s="55"/>
      <c r="N39" s="55"/>
      <c r="O39" s="55"/>
      <c r="P39" s="55"/>
      <c r="Q39" s="27"/>
      <c r="R39" s="19"/>
      <c r="S39" s="19"/>
      <c r="T39" s="19"/>
      <c r="U39" s="19"/>
      <c r="V39" s="19"/>
      <c r="W39" s="19"/>
      <c r="X39" s="19"/>
      <c r="Y39" s="19"/>
      <c r="Z39" s="19"/>
    </row>
    <row r="40" spans="2:26" ht="13.5">
      <c r="B40" s="645"/>
      <c r="C40" s="26" t="s">
        <v>444</v>
      </c>
      <c r="D40" s="55"/>
      <c r="E40" s="55"/>
      <c r="F40" s="55"/>
      <c r="G40" s="55"/>
      <c r="H40" s="55"/>
      <c r="I40" s="55"/>
      <c r="J40" s="27"/>
      <c r="K40" s="28"/>
      <c r="L40" s="55" t="s">
        <v>445</v>
      </c>
      <c r="M40" s="55"/>
      <c r="N40" s="55"/>
      <c r="O40" s="55"/>
      <c r="P40" s="55"/>
      <c r="Q40" s="27"/>
      <c r="R40" s="19"/>
      <c r="S40" s="19"/>
      <c r="T40" s="19"/>
      <c r="U40" s="19"/>
      <c r="V40" s="19"/>
      <c r="W40" s="19"/>
      <c r="X40" s="19"/>
      <c r="Y40" s="19"/>
      <c r="Z40" s="19"/>
    </row>
    <row r="41" spans="2:26" ht="5.25" customHeight="1" thickBot="1">
      <c r="B41" s="646"/>
      <c r="C41" s="29"/>
      <c r="D41" s="30"/>
      <c r="E41" s="30"/>
      <c r="F41" s="30"/>
      <c r="G41" s="30"/>
      <c r="H41" s="30"/>
      <c r="I41" s="30"/>
      <c r="J41" s="31"/>
      <c r="K41" s="32"/>
      <c r="L41" s="30"/>
      <c r="M41" s="30"/>
      <c r="N41" s="30"/>
      <c r="O41" s="30"/>
      <c r="P41" s="30"/>
      <c r="Q41" s="31"/>
      <c r="R41" s="19"/>
      <c r="S41" s="19"/>
      <c r="T41" s="19"/>
      <c r="U41" s="19"/>
      <c r="V41" s="19"/>
      <c r="W41" s="19"/>
      <c r="X41" s="19"/>
      <c r="Y41" s="19"/>
      <c r="Z41" s="19"/>
    </row>
    <row r="42" spans="2:26" ht="5.25" customHeight="1">
      <c r="B42" s="644" t="s">
        <v>446</v>
      </c>
      <c r="C42" s="22"/>
      <c r="D42" s="23"/>
      <c r="E42" s="23"/>
      <c r="F42" s="23"/>
      <c r="G42" s="23"/>
      <c r="H42" s="23"/>
      <c r="I42" s="23"/>
      <c r="J42" s="24"/>
      <c r="K42" s="25"/>
      <c r="L42" s="23"/>
      <c r="M42" s="23"/>
      <c r="N42" s="23"/>
      <c r="O42" s="23"/>
      <c r="P42" s="23"/>
      <c r="Q42" s="24"/>
      <c r="R42" s="19"/>
      <c r="S42" s="19"/>
      <c r="T42" s="19"/>
      <c r="U42" s="19"/>
      <c r="V42" s="19"/>
      <c r="W42" s="19"/>
      <c r="X42" s="19"/>
      <c r="Y42" s="19"/>
      <c r="Z42" s="19"/>
    </row>
    <row r="43" spans="2:26" ht="13.5">
      <c r="B43" s="645"/>
      <c r="C43" s="26"/>
      <c r="D43" s="55" t="s">
        <v>447</v>
      </c>
      <c r="E43" s="55"/>
      <c r="F43" s="55"/>
      <c r="G43" s="55"/>
      <c r="H43" s="55"/>
      <c r="I43" s="55"/>
      <c r="J43" s="27"/>
      <c r="K43" s="28"/>
      <c r="L43" s="55" t="s">
        <v>448</v>
      </c>
      <c r="M43" s="55"/>
      <c r="N43" s="55"/>
      <c r="O43" s="55"/>
      <c r="P43" s="55"/>
      <c r="Q43" s="27"/>
      <c r="R43" s="19"/>
      <c r="S43" s="19"/>
      <c r="T43" s="19"/>
      <c r="U43" s="19"/>
      <c r="V43" s="19"/>
      <c r="W43" s="19"/>
      <c r="X43" s="19"/>
      <c r="Y43" s="19"/>
      <c r="Z43" s="19"/>
    </row>
    <row r="44" spans="2:26" ht="13.5">
      <c r="B44" s="645"/>
      <c r="C44" s="26"/>
      <c r="D44" s="55" t="s">
        <v>449</v>
      </c>
      <c r="E44" s="56"/>
      <c r="F44" s="56"/>
      <c r="G44" s="56"/>
      <c r="H44" s="56"/>
      <c r="I44" s="56"/>
      <c r="J44" s="27"/>
      <c r="K44" s="28"/>
      <c r="L44" s="55"/>
      <c r="M44" s="55"/>
      <c r="N44" s="55"/>
      <c r="O44" s="55"/>
      <c r="P44" s="55"/>
      <c r="Q44" s="27"/>
      <c r="R44" s="19"/>
      <c r="S44" s="19"/>
      <c r="T44" s="19"/>
      <c r="U44" s="19"/>
      <c r="V44" s="19"/>
      <c r="W44" s="19"/>
      <c r="X44" s="19"/>
      <c r="Y44" s="19"/>
      <c r="Z44" s="19"/>
    </row>
    <row r="45" spans="2:26" ht="13.5">
      <c r="B45" s="645"/>
      <c r="C45" s="26"/>
      <c r="D45" s="678" t="s">
        <v>367</v>
      </c>
      <c r="E45" s="633"/>
      <c r="F45" s="634"/>
      <c r="G45" s="679" t="s">
        <v>450</v>
      </c>
      <c r="H45" s="634"/>
      <c r="I45" s="57" t="s">
        <v>451</v>
      </c>
      <c r="J45" s="27"/>
      <c r="K45" s="28"/>
      <c r="L45" s="678" t="s">
        <v>367</v>
      </c>
      <c r="M45" s="634"/>
      <c r="N45" s="679" t="s">
        <v>450</v>
      </c>
      <c r="O45" s="634"/>
      <c r="P45" s="57" t="s">
        <v>452</v>
      </c>
      <c r="Q45" s="27"/>
      <c r="R45" s="19"/>
      <c r="S45" s="19"/>
      <c r="T45" s="19"/>
      <c r="U45" s="19"/>
      <c r="V45" s="19"/>
      <c r="W45" s="19"/>
      <c r="X45" s="19"/>
      <c r="Y45" s="19"/>
      <c r="Z45" s="19"/>
    </row>
    <row r="46" spans="2:26" ht="38.25" customHeight="1">
      <c r="B46" s="645"/>
      <c r="C46" s="26"/>
      <c r="D46" s="632" t="s">
        <v>453</v>
      </c>
      <c r="E46" s="634"/>
      <c r="F46" s="58">
        <v>1</v>
      </c>
      <c r="G46" s="680" t="s">
        <v>454</v>
      </c>
      <c r="H46" s="634"/>
      <c r="I46" s="681">
        <v>86</v>
      </c>
      <c r="J46" s="27"/>
      <c r="K46" s="28"/>
      <c r="L46" s="59" t="s">
        <v>453</v>
      </c>
      <c r="M46" s="58">
        <v>3</v>
      </c>
      <c r="N46" s="680" t="s">
        <v>455</v>
      </c>
      <c r="O46" s="634"/>
      <c r="P46" s="681">
        <v>80</v>
      </c>
      <c r="Q46" s="27"/>
      <c r="R46" s="19"/>
      <c r="S46" s="19"/>
      <c r="T46" s="19"/>
      <c r="U46" s="19"/>
      <c r="V46" s="19"/>
      <c r="W46" s="19"/>
      <c r="X46" s="19"/>
      <c r="Y46" s="19"/>
      <c r="Z46" s="19"/>
    </row>
    <row r="47" spans="2:26" ht="16.5" customHeight="1">
      <c r="B47" s="645"/>
      <c r="C47" s="26"/>
      <c r="D47" s="632" t="s">
        <v>456</v>
      </c>
      <c r="E47" s="634"/>
      <c r="F47" s="58">
        <v>179</v>
      </c>
      <c r="G47" s="635" t="s">
        <v>439</v>
      </c>
      <c r="H47" s="634"/>
      <c r="I47" s="662"/>
      <c r="J47" s="27"/>
      <c r="K47" s="28"/>
      <c r="L47" s="59" t="s">
        <v>457</v>
      </c>
      <c r="M47" s="58">
        <v>216</v>
      </c>
      <c r="N47" s="635" t="s">
        <v>439</v>
      </c>
      <c r="O47" s="634"/>
      <c r="P47" s="662"/>
      <c r="Q47" s="27"/>
      <c r="R47" s="19"/>
      <c r="S47" s="19"/>
      <c r="T47" s="19"/>
      <c r="U47" s="19"/>
      <c r="V47" s="19"/>
      <c r="W47" s="19"/>
      <c r="X47" s="19"/>
      <c r="Y47" s="19"/>
      <c r="Z47" s="19"/>
    </row>
    <row r="48" spans="2:26" ht="16.5" customHeight="1">
      <c r="B48" s="645"/>
      <c r="C48" s="26"/>
      <c r="D48" s="632" t="s">
        <v>458</v>
      </c>
      <c r="E48" s="634"/>
      <c r="F48" s="58">
        <v>368</v>
      </c>
      <c r="G48" s="635" t="s">
        <v>439</v>
      </c>
      <c r="H48" s="634"/>
      <c r="I48" s="653"/>
      <c r="J48" s="27"/>
      <c r="K48" s="28"/>
      <c r="L48" s="59" t="s">
        <v>459</v>
      </c>
      <c r="M48" s="58">
        <v>309</v>
      </c>
      <c r="N48" s="635" t="s">
        <v>439</v>
      </c>
      <c r="O48" s="634"/>
      <c r="P48" s="653"/>
      <c r="Q48" s="27"/>
      <c r="R48" s="19"/>
      <c r="S48" s="19"/>
      <c r="T48" s="19"/>
      <c r="U48" s="19"/>
      <c r="V48" s="19"/>
      <c r="W48" s="19"/>
      <c r="X48" s="19"/>
      <c r="Y48" s="19"/>
      <c r="Z48" s="19"/>
    </row>
    <row r="49" spans="2:26" ht="5.25" customHeight="1" thickBot="1">
      <c r="B49" s="646"/>
      <c r="C49" s="29"/>
      <c r="D49" s="30"/>
      <c r="E49" s="30"/>
      <c r="F49" s="30"/>
      <c r="G49" s="30"/>
      <c r="H49" s="30"/>
      <c r="I49" s="30"/>
      <c r="J49" s="31"/>
      <c r="K49" s="32"/>
      <c r="L49" s="30"/>
      <c r="M49" s="30"/>
      <c r="N49" s="30"/>
      <c r="O49" s="30"/>
      <c r="P49" s="30"/>
      <c r="Q49" s="31"/>
      <c r="R49" s="19"/>
      <c r="S49" s="19"/>
      <c r="T49" s="19"/>
      <c r="U49" s="19"/>
      <c r="V49" s="19"/>
      <c r="W49" s="19"/>
      <c r="X49" s="19"/>
      <c r="Y49" s="19"/>
      <c r="Z49" s="19"/>
    </row>
    <row r="50" spans="2:26" ht="5.25" customHeight="1">
      <c r="B50" s="644" t="s">
        <v>460</v>
      </c>
      <c r="C50" s="22"/>
      <c r="D50" s="23"/>
      <c r="E50" s="23"/>
      <c r="F50" s="23"/>
      <c r="G50" s="23"/>
      <c r="H50" s="23"/>
      <c r="I50" s="23"/>
      <c r="J50" s="24"/>
      <c r="K50" s="25"/>
      <c r="L50" s="23"/>
      <c r="M50" s="23"/>
      <c r="N50" s="23"/>
      <c r="O50" s="23"/>
      <c r="P50" s="23"/>
      <c r="Q50" s="24"/>
      <c r="R50" s="19"/>
      <c r="S50" s="19"/>
      <c r="T50" s="19"/>
      <c r="U50" s="19"/>
      <c r="V50" s="19"/>
      <c r="W50" s="19"/>
      <c r="X50" s="19"/>
      <c r="Y50" s="19"/>
      <c r="Z50" s="19"/>
    </row>
    <row r="51" spans="2:26" ht="24">
      <c r="B51" s="645"/>
      <c r="C51" s="26"/>
      <c r="D51" s="683" t="s">
        <v>367</v>
      </c>
      <c r="E51" s="633"/>
      <c r="F51" s="634"/>
      <c r="G51" s="60" t="s">
        <v>461</v>
      </c>
      <c r="H51" s="60" t="s">
        <v>462</v>
      </c>
      <c r="I51" s="61" t="s">
        <v>463</v>
      </c>
      <c r="J51" s="37"/>
      <c r="K51" s="38"/>
      <c r="L51" s="683" t="s">
        <v>367</v>
      </c>
      <c r="M51" s="634"/>
      <c r="N51" s="60" t="s">
        <v>461</v>
      </c>
      <c r="O51" s="60" t="s">
        <v>462</v>
      </c>
      <c r="P51" s="61" t="s">
        <v>464</v>
      </c>
      <c r="Q51" s="27"/>
      <c r="R51" s="19"/>
      <c r="S51" s="19"/>
      <c r="T51" s="19"/>
      <c r="U51" s="19"/>
      <c r="V51" s="19"/>
      <c r="W51" s="19"/>
      <c r="X51" s="19"/>
      <c r="Y51" s="19"/>
      <c r="Z51" s="19"/>
    </row>
    <row r="52" spans="2:26" ht="13.5">
      <c r="B52" s="645"/>
      <c r="C52" s="26"/>
      <c r="D52" s="682" t="s">
        <v>465</v>
      </c>
      <c r="E52" s="633"/>
      <c r="F52" s="634"/>
      <c r="G52" s="62">
        <v>8</v>
      </c>
      <c r="H52" s="62">
        <v>-2</v>
      </c>
      <c r="I52" s="63" t="s">
        <v>466</v>
      </c>
      <c r="J52" s="37"/>
      <c r="K52" s="38"/>
      <c r="L52" s="682" t="s">
        <v>465</v>
      </c>
      <c r="M52" s="634"/>
      <c r="N52" s="62">
        <v>4</v>
      </c>
      <c r="O52" s="62">
        <v>-1</v>
      </c>
      <c r="P52" s="63" t="s">
        <v>362</v>
      </c>
      <c r="Q52" s="27"/>
      <c r="R52" s="19"/>
      <c r="S52" s="19"/>
      <c r="T52" s="19"/>
      <c r="U52" s="19"/>
      <c r="V52" s="19"/>
      <c r="W52" s="19"/>
      <c r="X52" s="19"/>
      <c r="Y52" s="19"/>
      <c r="Z52" s="19"/>
    </row>
    <row r="53" spans="2:26" ht="27.75" customHeight="1">
      <c r="B53" s="645"/>
      <c r="C53" s="26"/>
      <c r="D53" s="682" t="s">
        <v>467</v>
      </c>
      <c r="E53" s="633"/>
      <c r="F53" s="634"/>
      <c r="G53" s="62">
        <v>6</v>
      </c>
      <c r="H53" s="64"/>
      <c r="I53" s="63" t="s">
        <v>468</v>
      </c>
      <c r="J53" s="37"/>
      <c r="K53" s="38"/>
      <c r="L53" s="682" t="s">
        <v>469</v>
      </c>
      <c r="M53" s="634"/>
      <c r="N53" s="62">
        <v>3</v>
      </c>
      <c r="O53" s="64"/>
      <c r="P53" s="63">
        <v>3</v>
      </c>
      <c r="Q53" s="27"/>
      <c r="R53" s="19"/>
      <c r="S53" s="19"/>
      <c r="T53" s="19"/>
      <c r="U53" s="19"/>
      <c r="V53" s="19"/>
      <c r="W53" s="19"/>
      <c r="X53" s="19"/>
      <c r="Y53" s="19"/>
      <c r="Z53" s="19"/>
    </row>
    <row r="54" spans="2:26" ht="13.5">
      <c r="B54" s="645"/>
      <c r="C54" s="26"/>
      <c r="D54" s="682" t="s">
        <v>470</v>
      </c>
      <c r="E54" s="633"/>
      <c r="F54" s="634"/>
      <c r="G54" s="62">
        <v>5</v>
      </c>
      <c r="H54" s="62" t="s">
        <v>471</v>
      </c>
      <c r="I54" s="63" t="s">
        <v>472</v>
      </c>
      <c r="J54" s="37"/>
      <c r="K54" s="38"/>
      <c r="L54" s="682" t="s">
        <v>473</v>
      </c>
      <c r="M54" s="634"/>
      <c r="N54" s="62">
        <v>4</v>
      </c>
      <c r="O54" s="62" t="s">
        <v>474</v>
      </c>
      <c r="P54" s="63" t="s">
        <v>364</v>
      </c>
      <c r="Q54" s="27"/>
      <c r="R54" s="19"/>
      <c r="S54" s="19"/>
      <c r="T54" s="19"/>
      <c r="U54" s="19"/>
      <c r="V54" s="19"/>
      <c r="W54" s="19"/>
      <c r="X54" s="19"/>
      <c r="Y54" s="19"/>
      <c r="Z54" s="19"/>
    </row>
    <row r="55" spans="2:26" ht="13.5">
      <c r="B55" s="645"/>
      <c r="C55" s="26"/>
      <c r="D55" s="682" t="s">
        <v>475</v>
      </c>
      <c r="E55" s="633"/>
      <c r="F55" s="634"/>
      <c r="G55" s="62">
        <v>5</v>
      </c>
      <c r="H55" s="62" t="s">
        <v>476</v>
      </c>
      <c r="I55" s="63" t="s">
        <v>477</v>
      </c>
      <c r="J55" s="37"/>
      <c r="K55" s="38"/>
      <c r="L55" s="682" t="s">
        <v>478</v>
      </c>
      <c r="M55" s="634"/>
      <c r="N55" s="62">
        <v>3</v>
      </c>
      <c r="O55" s="62" t="s">
        <v>474</v>
      </c>
      <c r="P55" s="63" t="s">
        <v>365</v>
      </c>
      <c r="Q55" s="27"/>
      <c r="R55" s="19"/>
      <c r="S55" s="19"/>
      <c r="T55" s="19"/>
      <c r="U55" s="19"/>
      <c r="V55" s="19"/>
      <c r="W55" s="19"/>
      <c r="X55" s="19"/>
      <c r="Y55" s="19"/>
      <c r="Z55" s="19"/>
    </row>
    <row r="56" spans="2:26" ht="13.5">
      <c r="B56" s="645"/>
      <c r="C56" s="26"/>
      <c r="D56" s="682" t="s">
        <v>479</v>
      </c>
      <c r="E56" s="633"/>
      <c r="F56" s="634"/>
      <c r="G56" s="62">
        <v>5</v>
      </c>
      <c r="H56" s="62" t="s">
        <v>476</v>
      </c>
      <c r="I56" s="63" t="s">
        <v>477</v>
      </c>
      <c r="J56" s="37"/>
      <c r="K56" s="38"/>
      <c r="L56" s="682" t="s">
        <v>390</v>
      </c>
      <c r="M56" s="634"/>
      <c r="N56" s="680" t="s">
        <v>480</v>
      </c>
      <c r="O56" s="633"/>
      <c r="P56" s="633"/>
      <c r="Q56" s="27"/>
      <c r="R56" s="19"/>
      <c r="S56" s="19"/>
      <c r="T56" s="19"/>
      <c r="U56" s="19"/>
      <c r="V56" s="19"/>
      <c r="W56" s="19"/>
      <c r="X56" s="19"/>
      <c r="Y56" s="19"/>
      <c r="Z56" s="19"/>
    </row>
    <row r="57" spans="2:26" ht="13.5">
      <c r="B57" s="645"/>
      <c r="C57" s="26"/>
      <c r="D57" s="682" t="s">
        <v>388</v>
      </c>
      <c r="E57" s="633"/>
      <c r="F57" s="634"/>
      <c r="G57" s="680" t="s">
        <v>480</v>
      </c>
      <c r="H57" s="633"/>
      <c r="I57" s="633"/>
      <c r="J57" s="37"/>
      <c r="K57" s="38"/>
      <c r="L57" s="65"/>
      <c r="M57" s="55"/>
      <c r="N57" s="55"/>
      <c r="O57" s="55"/>
      <c r="P57" s="55"/>
      <c r="Q57" s="27"/>
      <c r="R57" s="19"/>
      <c r="S57" s="19"/>
      <c r="T57" s="19"/>
      <c r="U57" s="19"/>
      <c r="V57" s="19"/>
      <c r="W57" s="19"/>
      <c r="X57" s="19"/>
      <c r="Y57" s="19"/>
      <c r="Z57" s="19"/>
    </row>
    <row r="58" spans="2:26" ht="13.5">
      <c r="B58" s="645"/>
      <c r="C58" s="26"/>
      <c r="D58" s="55"/>
      <c r="E58" s="55"/>
      <c r="F58" s="55"/>
      <c r="G58" s="55"/>
      <c r="H58" s="55"/>
      <c r="I58" s="55"/>
      <c r="J58" s="27"/>
      <c r="K58" s="28"/>
      <c r="L58" s="55"/>
      <c r="M58" s="55"/>
      <c r="N58" s="55"/>
      <c r="O58" s="55"/>
      <c r="P58" s="55"/>
      <c r="Q58" s="27"/>
      <c r="R58" s="19"/>
      <c r="S58" s="19"/>
      <c r="T58" s="19"/>
      <c r="U58" s="19"/>
      <c r="V58" s="19"/>
      <c r="W58" s="19"/>
      <c r="X58" s="19"/>
      <c r="Y58" s="19"/>
      <c r="Z58" s="19"/>
    </row>
    <row r="59" spans="2:26" ht="33.75" customHeight="1">
      <c r="B59" s="645"/>
      <c r="C59" s="26"/>
      <c r="D59" s="685" t="s">
        <v>481</v>
      </c>
      <c r="E59" s="670"/>
      <c r="F59" s="670"/>
      <c r="G59" s="670"/>
      <c r="H59" s="670"/>
      <c r="I59" s="670"/>
      <c r="J59" s="27"/>
      <c r="K59" s="28"/>
      <c r="L59" s="685" t="s">
        <v>482</v>
      </c>
      <c r="M59" s="685"/>
      <c r="N59" s="685"/>
      <c r="O59" s="685"/>
      <c r="P59" s="685"/>
      <c r="Q59" s="27"/>
      <c r="R59" s="19"/>
      <c r="S59" s="19"/>
      <c r="T59" s="19"/>
      <c r="U59" s="19"/>
      <c r="V59" s="19"/>
      <c r="W59" s="19"/>
      <c r="X59" s="19"/>
      <c r="Y59" s="19"/>
      <c r="Z59" s="19"/>
    </row>
    <row r="60" spans="2:26" ht="5.25" customHeight="1" thickBot="1">
      <c r="B60" s="646"/>
      <c r="C60" s="29"/>
      <c r="D60" s="30"/>
      <c r="E60" s="30"/>
      <c r="F60" s="30"/>
      <c r="G60" s="30"/>
      <c r="H60" s="30"/>
      <c r="I60" s="30"/>
      <c r="J60" s="31"/>
      <c r="K60" s="32"/>
      <c r="L60" s="30"/>
      <c r="M60" s="30"/>
      <c r="N60" s="30"/>
      <c r="O60" s="30"/>
      <c r="P60" s="30"/>
      <c r="Q60" s="31"/>
      <c r="R60" s="19"/>
      <c r="S60" s="19"/>
      <c r="T60" s="19"/>
      <c r="U60" s="19"/>
      <c r="V60" s="19"/>
      <c r="W60" s="19"/>
      <c r="X60" s="19"/>
      <c r="Y60" s="19"/>
      <c r="Z60" s="19"/>
    </row>
    <row r="61" spans="2:26" ht="5.25" customHeight="1">
      <c r="B61" s="687" t="s">
        <v>483</v>
      </c>
      <c r="C61" s="26"/>
      <c r="D61" s="55"/>
      <c r="E61" s="55"/>
      <c r="F61" s="55"/>
      <c r="G61" s="55"/>
      <c r="H61" s="55"/>
      <c r="I61" s="55"/>
      <c r="J61" s="55"/>
      <c r="K61" s="25"/>
      <c r="L61" s="23"/>
      <c r="M61" s="23"/>
      <c r="N61" s="23"/>
      <c r="O61" s="23"/>
      <c r="P61" s="23"/>
      <c r="Q61" s="24"/>
      <c r="R61" s="19"/>
      <c r="S61" s="19"/>
      <c r="T61" s="19"/>
      <c r="U61" s="19"/>
      <c r="V61" s="19"/>
      <c r="W61" s="19"/>
      <c r="X61" s="19"/>
      <c r="Y61" s="19"/>
      <c r="Z61" s="19"/>
    </row>
    <row r="62" spans="2:26" ht="13.5">
      <c r="B62" s="688"/>
      <c r="C62" s="26"/>
      <c r="D62" s="55"/>
      <c r="E62" s="55"/>
      <c r="F62" s="55"/>
      <c r="G62" s="55"/>
      <c r="H62" s="55"/>
      <c r="I62" s="55"/>
      <c r="J62" s="55"/>
      <c r="K62" s="28"/>
      <c r="L62" s="55" t="s">
        <v>484</v>
      </c>
      <c r="M62" s="55"/>
      <c r="N62" s="55"/>
      <c r="O62" s="55"/>
      <c r="P62" s="55"/>
      <c r="Q62" s="27"/>
      <c r="R62" s="19"/>
      <c r="S62" s="19"/>
      <c r="T62" s="19"/>
      <c r="U62" s="19"/>
      <c r="V62" s="19"/>
      <c r="W62" s="19"/>
      <c r="X62" s="19"/>
      <c r="Y62" s="19"/>
      <c r="Z62" s="19"/>
    </row>
    <row r="63" spans="2:26" ht="13.5">
      <c r="B63" s="688"/>
      <c r="C63" s="26"/>
      <c r="D63" s="55"/>
      <c r="E63" s="55"/>
      <c r="F63" s="55"/>
      <c r="G63" s="55"/>
      <c r="H63" s="55"/>
      <c r="I63" s="55"/>
      <c r="J63" s="55"/>
      <c r="K63" s="28"/>
      <c r="L63" s="55" t="s">
        <v>485</v>
      </c>
      <c r="M63" s="55"/>
      <c r="N63" s="55"/>
      <c r="O63" s="55"/>
      <c r="P63" s="55"/>
      <c r="Q63" s="27"/>
      <c r="R63" s="19"/>
      <c r="S63" s="19"/>
      <c r="T63" s="19"/>
      <c r="U63" s="19"/>
      <c r="V63" s="19"/>
      <c r="W63" s="19"/>
      <c r="X63" s="19"/>
      <c r="Y63" s="19"/>
      <c r="Z63" s="19"/>
    </row>
    <row r="64" spans="2:26" ht="13.5">
      <c r="B64" s="688"/>
      <c r="C64" s="26"/>
      <c r="D64" s="55"/>
      <c r="E64" s="55"/>
      <c r="F64" s="55"/>
      <c r="G64" s="55"/>
      <c r="H64" s="55"/>
      <c r="I64" s="55"/>
      <c r="J64" s="55"/>
      <c r="K64" s="28"/>
      <c r="L64" s="689" t="s">
        <v>367</v>
      </c>
      <c r="M64" s="690" t="s">
        <v>486</v>
      </c>
      <c r="N64" s="634"/>
      <c r="O64" s="690" t="s">
        <v>487</v>
      </c>
      <c r="P64" s="633"/>
      <c r="Q64" s="27"/>
      <c r="R64" s="19"/>
      <c r="S64" s="19"/>
      <c r="T64" s="19"/>
      <c r="U64" s="19"/>
      <c r="V64" s="19"/>
      <c r="W64" s="19"/>
      <c r="X64" s="19"/>
      <c r="Y64" s="19"/>
      <c r="Z64" s="19"/>
    </row>
    <row r="65" spans="2:26" ht="13.5">
      <c r="B65" s="688"/>
      <c r="C65" s="26"/>
      <c r="D65" s="55"/>
      <c r="E65" s="55"/>
      <c r="F65" s="55"/>
      <c r="G65" s="55"/>
      <c r="H65" s="55"/>
      <c r="I65" s="55"/>
      <c r="J65" s="55"/>
      <c r="K65" s="28"/>
      <c r="L65" s="650"/>
      <c r="M65" s="58" t="s">
        <v>0</v>
      </c>
      <c r="N65" s="58" t="s">
        <v>488</v>
      </c>
      <c r="O65" s="58" t="s">
        <v>0</v>
      </c>
      <c r="P65" s="66" t="s">
        <v>488</v>
      </c>
      <c r="Q65" s="27"/>
      <c r="R65" s="19"/>
      <c r="S65" s="19"/>
      <c r="T65" s="19"/>
      <c r="U65" s="19"/>
      <c r="V65" s="19"/>
      <c r="W65" s="19"/>
      <c r="X65" s="19"/>
      <c r="Y65" s="19"/>
      <c r="Z65" s="19"/>
    </row>
    <row r="66" spans="2:26" ht="13.5">
      <c r="B66" s="688"/>
      <c r="C66" s="26"/>
      <c r="D66" s="55"/>
      <c r="E66" s="55"/>
      <c r="F66" s="55"/>
      <c r="G66" s="55"/>
      <c r="H66" s="55"/>
      <c r="I66" s="55"/>
      <c r="J66" s="55"/>
      <c r="K66" s="28"/>
      <c r="L66" s="67" t="s">
        <v>199</v>
      </c>
      <c r="M66" s="68">
        <v>2</v>
      </c>
      <c r="N66" s="68">
        <v>2</v>
      </c>
      <c r="O66" s="68">
        <v>4</v>
      </c>
      <c r="P66" s="57">
        <v>0</v>
      </c>
      <c r="Q66" s="27"/>
      <c r="R66" s="19"/>
      <c r="S66" s="19"/>
      <c r="T66" s="19"/>
      <c r="U66" s="19"/>
      <c r="V66" s="19"/>
      <c r="W66" s="19"/>
      <c r="X66" s="19"/>
      <c r="Y66" s="19"/>
      <c r="Z66" s="19"/>
    </row>
    <row r="67" spans="2:26" ht="13.5">
      <c r="B67" s="688"/>
      <c r="C67" s="26"/>
      <c r="D67" s="55"/>
      <c r="E67" s="55"/>
      <c r="F67" s="55"/>
      <c r="G67" s="55"/>
      <c r="H67" s="55"/>
      <c r="I67" s="55"/>
      <c r="J67" s="55"/>
      <c r="K67" s="28"/>
      <c r="L67" s="67" t="s">
        <v>213</v>
      </c>
      <c r="M67" s="68">
        <v>2</v>
      </c>
      <c r="N67" s="68">
        <v>2</v>
      </c>
      <c r="O67" s="68">
        <v>0</v>
      </c>
      <c r="P67" s="57">
        <v>4</v>
      </c>
      <c r="Q67" s="27"/>
      <c r="R67" s="19"/>
      <c r="S67" s="19"/>
      <c r="T67" s="19"/>
      <c r="U67" s="19"/>
      <c r="V67" s="19"/>
      <c r="W67" s="19"/>
      <c r="X67" s="19"/>
      <c r="Y67" s="19"/>
      <c r="Z67" s="19"/>
    </row>
    <row r="68" spans="2:26" ht="13.5">
      <c r="B68" s="688"/>
      <c r="C68" s="26"/>
      <c r="D68" s="55"/>
      <c r="E68" s="55"/>
      <c r="F68" s="55"/>
      <c r="G68" s="55"/>
      <c r="H68" s="55"/>
      <c r="I68" s="55"/>
      <c r="J68" s="55"/>
      <c r="K68" s="28"/>
      <c r="L68" s="67" t="s">
        <v>202</v>
      </c>
      <c r="M68" s="68">
        <v>2</v>
      </c>
      <c r="N68" s="68">
        <v>2</v>
      </c>
      <c r="O68" s="68">
        <v>4</v>
      </c>
      <c r="P68" s="57">
        <v>0</v>
      </c>
      <c r="Q68" s="27"/>
      <c r="R68" s="19"/>
      <c r="S68" s="19"/>
      <c r="T68" s="19"/>
      <c r="U68" s="19"/>
      <c r="V68" s="19"/>
      <c r="W68" s="19"/>
      <c r="X68" s="19"/>
      <c r="Y68" s="19"/>
      <c r="Z68" s="19"/>
    </row>
    <row r="69" spans="2:26" ht="13.5">
      <c r="B69" s="688"/>
      <c r="C69" s="26"/>
      <c r="D69" s="55"/>
      <c r="E69" s="55"/>
      <c r="F69" s="55"/>
      <c r="G69" s="55"/>
      <c r="H69" s="55"/>
      <c r="I69" s="55"/>
      <c r="J69" s="55"/>
      <c r="K69" s="28"/>
      <c r="L69" s="55" t="s">
        <v>489</v>
      </c>
      <c r="M69" s="55"/>
      <c r="N69" s="55"/>
      <c r="O69" s="55"/>
      <c r="P69" s="55"/>
      <c r="Q69" s="27"/>
      <c r="R69" s="19"/>
      <c r="S69" s="19"/>
      <c r="T69" s="19"/>
      <c r="U69" s="19"/>
      <c r="V69" s="19"/>
      <c r="W69" s="19"/>
      <c r="X69" s="19"/>
      <c r="Y69" s="19"/>
      <c r="Z69" s="19"/>
    </row>
    <row r="70" spans="2:26" ht="13.5">
      <c r="B70" s="688"/>
      <c r="C70" s="26"/>
      <c r="D70" s="55"/>
      <c r="E70" s="55"/>
      <c r="F70" s="55"/>
      <c r="G70" s="55"/>
      <c r="H70" s="55"/>
      <c r="I70" s="55"/>
      <c r="J70" s="55"/>
      <c r="K70" s="28"/>
      <c r="L70" s="689" t="s">
        <v>367</v>
      </c>
      <c r="M70" s="690" t="s">
        <v>486</v>
      </c>
      <c r="N70" s="634"/>
      <c r="O70" s="690" t="s">
        <v>487</v>
      </c>
      <c r="P70" s="633"/>
      <c r="Q70" s="27"/>
      <c r="R70" s="19"/>
      <c r="S70" s="19"/>
      <c r="T70" s="19"/>
      <c r="U70" s="19"/>
      <c r="V70" s="19"/>
      <c r="W70" s="19"/>
      <c r="X70" s="19"/>
      <c r="Y70" s="19"/>
      <c r="Z70" s="19"/>
    </row>
    <row r="71" spans="2:26" ht="13.5">
      <c r="B71" s="688"/>
      <c r="C71" s="26"/>
      <c r="D71" s="55"/>
      <c r="E71" s="55"/>
      <c r="F71" s="55"/>
      <c r="G71" s="55"/>
      <c r="H71" s="55"/>
      <c r="I71" s="55"/>
      <c r="J71" s="55"/>
      <c r="K71" s="28"/>
      <c r="L71" s="650"/>
      <c r="M71" s="58" t="s">
        <v>0</v>
      </c>
      <c r="N71" s="58" t="s">
        <v>488</v>
      </c>
      <c r="O71" s="58" t="s">
        <v>0</v>
      </c>
      <c r="P71" s="66" t="s">
        <v>488</v>
      </c>
      <c r="Q71" s="27"/>
      <c r="R71" s="19"/>
      <c r="S71" s="19"/>
      <c r="T71" s="19"/>
      <c r="U71" s="19"/>
      <c r="V71" s="19"/>
      <c r="W71" s="19"/>
      <c r="X71" s="19"/>
      <c r="Y71" s="19"/>
      <c r="Z71" s="19"/>
    </row>
    <row r="72" spans="2:26" ht="13.5">
      <c r="B72" s="688"/>
      <c r="C72" s="26"/>
      <c r="D72" s="55"/>
      <c r="E72" s="55"/>
      <c r="F72" s="55"/>
      <c r="G72" s="55"/>
      <c r="H72" s="55"/>
      <c r="I72" s="55"/>
      <c r="J72" s="55"/>
      <c r="K72" s="28"/>
      <c r="L72" s="67" t="s">
        <v>453</v>
      </c>
      <c r="M72" s="68">
        <v>1</v>
      </c>
      <c r="N72" s="68">
        <v>1</v>
      </c>
      <c r="O72" s="68">
        <v>2</v>
      </c>
      <c r="P72" s="57">
        <v>0</v>
      </c>
      <c r="Q72" s="27"/>
      <c r="R72" s="19"/>
      <c r="S72" s="19"/>
      <c r="T72" s="19"/>
      <c r="U72" s="19"/>
      <c r="V72" s="19"/>
      <c r="W72" s="19"/>
      <c r="X72" s="19"/>
      <c r="Y72" s="19"/>
      <c r="Z72" s="19"/>
    </row>
    <row r="73" spans="2:26" ht="13.5">
      <c r="B73" s="688"/>
      <c r="C73" s="26"/>
      <c r="D73" s="55"/>
      <c r="E73" s="55"/>
      <c r="F73" s="55"/>
      <c r="G73" s="55"/>
      <c r="H73" s="55"/>
      <c r="I73" s="55"/>
      <c r="J73" s="55"/>
      <c r="K73" s="28"/>
      <c r="L73" s="67" t="s">
        <v>457</v>
      </c>
      <c r="M73" s="68">
        <v>2</v>
      </c>
      <c r="N73" s="68">
        <v>2</v>
      </c>
      <c r="O73" s="68">
        <v>0</v>
      </c>
      <c r="P73" s="57">
        <v>4</v>
      </c>
      <c r="Q73" s="27"/>
      <c r="R73" s="19"/>
      <c r="S73" s="19"/>
      <c r="T73" s="19"/>
      <c r="U73" s="19"/>
      <c r="V73" s="19"/>
      <c r="W73" s="19"/>
      <c r="X73" s="19"/>
      <c r="Y73" s="19"/>
      <c r="Z73" s="19"/>
    </row>
    <row r="74" spans="2:26" ht="13.5">
      <c r="B74" s="688"/>
      <c r="C74" s="26"/>
      <c r="D74" s="55"/>
      <c r="E74" s="55"/>
      <c r="F74" s="55"/>
      <c r="G74" s="55"/>
      <c r="H74" s="55"/>
      <c r="I74" s="55"/>
      <c r="J74" s="55"/>
      <c r="K74" s="28"/>
      <c r="L74" s="691" t="s">
        <v>490</v>
      </c>
      <c r="M74" s="684" t="s">
        <v>491</v>
      </c>
      <c r="N74" s="684" t="s">
        <v>491</v>
      </c>
      <c r="O74" s="69">
        <v>8</v>
      </c>
      <c r="P74" s="70">
        <v>0</v>
      </c>
      <c r="Q74" s="27"/>
      <c r="R74" s="19"/>
      <c r="S74" s="19"/>
      <c r="T74" s="19"/>
      <c r="U74" s="19"/>
      <c r="V74" s="19"/>
      <c r="W74" s="19"/>
      <c r="X74" s="19"/>
      <c r="Y74" s="19"/>
      <c r="Z74" s="19"/>
    </row>
    <row r="75" spans="2:26" ht="13.5">
      <c r="B75" s="688"/>
      <c r="C75" s="26"/>
      <c r="D75" s="55"/>
      <c r="E75" s="55"/>
      <c r="F75" s="55"/>
      <c r="G75" s="55"/>
      <c r="H75" s="55"/>
      <c r="I75" s="55"/>
      <c r="J75" s="55"/>
      <c r="K75" s="28"/>
      <c r="L75" s="692"/>
      <c r="M75" s="660"/>
      <c r="N75" s="660"/>
      <c r="O75" s="69">
        <v>4</v>
      </c>
      <c r="P75" s="70">
        <v>4</v>
      </c>
      <c r="Q75" s="27"/>
      <c r="R75" s="19"/>
      <c r="S75" s="19"/>
      <c r="T75" s="19"/>
      <c r="U75" s="19"/>
      <c r="V75" s="19"/>
      <c r="W75" s="19"/>
      <c r="X75" s="19"/>
      <c r="Y75" s="19"/>
      <c r="Z75" s="19"/>
    </row>
    <row r="76" spans="2:26" ht="33.75" customHeight="1">
      <c r="B76" s="688"/>
      <c r="C76" s="26"/>
      <c r="D76" s="55"/>
      <c r="E76" s="55"/>
      <c r="F76" s="55"/>
      <c r="G76" s="55"/>
      <c r="H76" s="55"/>
      <c r="I76" s="55"/>
      <c r="J76" s="55"/>
      <c r="K76" s="28"/>
      <c r="L76" s="685" t="s">
        <v>492</v>
      </c>
      <c r="M76" s="670"/>
      <c r="N76" s="670"/>
      <c r="O76" s="670"/>
      <c r="P76" s="670"/>
      <c r="Q76" s="27"/>
      <c r="R76" s="19"/>
      <c r="S76" s="19"/>
      <c r="T76" s="19"/>
      <c r="U76" s="19"/>
      <c r="V76" s="19"/>
      <c r="W76" s="19"/>
      <c r="X76" s="19"/>
      <c r="Y76" s="19"/>
      <c r="Z76" s="19"/>
    </row>
    <row r="77" spans="2:26" ht="5.25" customHeight="1">
      <c r="B77" s="688"/>
      <c r="C77" s="71"/>
      <c r="D77" s="72"/>
      <c r="E77" s="72"/>
      <c r="F77" s="72"/>
      <c r="G77" s="72"/>
      <c r="H77" s="72"/>
      <c r="I77" s="72"/>
      <c r="J77" s="72"/>
      <c r="K77" s="73"/>
      <c r="L77" s="72"/>
      <c r="M77" s="72"/>
      <c r="N77" s="72"/>
      <c r="O77" s="72"/>
      <c r="P77" s="72"/>
      <c r="Q77" s="74"/>
      <c r="R77" s="19"/>
      <c r="S77" s="19"/>
      <c r="T77" s="19"/>
      <c r="U77" s="19"/>
      <c r="V77" s="19"/>
      <c r="W77" s="19"/>
      <c r="X77" s="19"/>
      <c r="Y77" s="19"/>
      <c r="Z77" s="19"/>
    </row>
    <row r="78" spans="2:26" ht="5.25" customHeight="1">
      <c r="B78" s="686" t="s">
        <v>493</v>
      </c>
      <c r="C78" s="75"/>
      <c r="D78" s="76"/>
      <c r="E78" s="76"/>
      <c r="F78" s="76"/>
      <c r="G78" s="76"/>
      <c r="H78" s="76"/>
      <c r="I78" s="76"/>
      <c r="J78" s="76"/>
      <c r="K78" s="77"/>
      <c r="L78" s="76"/>
      <c r="M78" s="76"/>
      <c r="N78" s="76"/>
      <c r="O78" s="76"/>
      <c r="P78" s="76"/>
      <c r="Q78" s="78"/>
      <c r="R78" s="19"/>
      <c r="S78" s="19"/>
      <c r="T78" s="19"/>
      <c r="U78" s="19"/>
      <c r="V78" s="19"/>
      <c r="W78" s="19"/>
      <c r="X78" s="19"/>
      <c r="Y78" s="19"/>
      <c r="Z78" s="19"/>
    </row>
    <row r="79" spans="2:26" ht="13.5">
      <c r="B79" s="645"/>
      <c r="C79" s="26"/>
      <c r="D79" s="55" t="s">
        <v>494</v>
      </c>
      <c r="E79" s="55"/>
      <c r="F79" s="55"/>
      <c r="G79" s="55"/>
      <c r="H79" s="55"/>
      <c r="I79" s="55"/>
      <c r="J79" s="55"/>
      <c r="K79" s="28"/>
      <c r="L79" s="55" t="s">
        <v>495</v>
      </c>
      <c r="M79" s="55"/>
      <c r="N79" s="55"/>
      <c r="O79" s="55"/>
      <c r="P79" s="55"/>
      <c r="Q79" s="27"/>
      <c r="R79" s="19"/>
      <c r="S79" s="19"/>
      <c r="T79" s="19"/>
      <c r="U79" s="19"/>
      <c r="V79" s="19"/>
      <c r="W79" s="19"/>
      <c r="X79" s="19"/>
      <c r="Y79" s="19"/>
      <c r="Z79" s="19"/>
    </row>
    <row r="80" spans="2:26" ht="13.5">
      <c r="B80" s="645"/>
      <c r="C80" s="26"/>
      <c r="D80" s="55"/>
      <c r="E80" s="55"/>
      <c r="F80" s="55"/>
      <c r="G80" s="55"/>
      <c r="H80" s="55"/>
      <c r="I80" s="55"/>
      <c r="J80" s="55"/>
      <c r="K80" s="28"/>
      <c r="L80" s="55" t="s">
        <v>496</v>
      </c>
      <c r="M80" s="55"/>
      <c r="N80" s="55"/>
      <c r="O80" s="55"/>
      <c r="P80" s="55"/>
      <c r="Q80" s="27"/>
      <c r="R80" s="19"/>
      <c r="S80" s="19"/>
      <c r="T80" s="19"/>
      <c r="U80" s="19"/>
      <c r="V80" s="19"/>
      <c r="W80" s="19"/>
      <c r="X80" s="19"/>
      <c r="Y80" s="19"/>
      <c r="Z80" s="19"/>
    </row>
    <row r="81" spans="2:26" ht="5.25" customHeight="1" thickBot="1">
      <c r="B81" s="646"/>
      <c r="C81" s="29"/>
      <c r="D81" s="30"/>
      <c r="E81" s="30"/>
      <c r="F81" s="30"/>
      <c r="G81" s="30"/>
      <c r="H81" s="30"/>
      <c r="I81" s="30"/>
      <c r="J81" s="30"/>
      <c r="K81" s="32"/>
      <c r="L81" s="30"/>
      <c r="M81" s="30"/>
      <c r="N81" s="30"/>
      <c r="O81" s="30"/>
      <c r="P81" s="30"/>
      <c r="Q81" s="31"/>
      <c r="R81" s="19"/>
      <c r="S81" s="19"/>
      <c r="T81" s="19"/>
      <c r="U81" s="19"/>
      <c r="V81" s="19"/>
      <c r="W81" s="19"/>
      <c r="X81" s="19"/>
      <c r="Y81" s="19"/>
      <c r="Z81" s="19"/>
    </row>
    <row r="82" spans="2:26" ht="4.5" customHeight="1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2:26" ht="13.5" hidden="1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2:26" ht="13.5" hidden="1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2:26" ht="13.5" hidden="1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2:26" ht="13.5" hidden="1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2:26" ht="13.5" hidden="1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2:26" ht="13.5" hidden="1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2:26" ht="13.5" hidden="1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2:26" ht="13.5" hidden="1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2:26" ht="13.5" hidden="1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2:26" ht="13.5" hidden="1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2:26" ht="13.5" hidden="1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2:26" ht="13.5" hidden="1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2:26" ht="13.5" hidden="1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2:26" ht="13.5" hidden="1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2:26" ht="13.5" hidden="1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2:26" ht="13.5" hidden="1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2:26" ht="13.5" hidden="1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2:26" ht="13.5" hidden="1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2:26" ht="13.5" hidden="1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2:26" ht="13.5" hidden="1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2:26" ht="13.5" hidden="1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2:26" ht="13.5" hidden="1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2:26" ht="13.5" hidden="1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2:26" ht="13.5" hidden="1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2:26" ht="13.5" hidden="1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2:26" ht="13.5" hidden="1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2:26" ht="13.5" hidden="1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2:26" ht="13.5" hidden="1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2:26" ht="13.5" hidden="1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2:26" ht="13.5" hidden="1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2:26" ht="13.5" hidden="1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2:26" ht="13.5" hidden="1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2:26" ht="13.5" hidden="1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2:26" ht="13.5" hidden="1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2:26" ht="13.5" hidden="1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2:26" ht="13.5" hidden="1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2:26" ht="13.5" hidden="1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2:26" ht="13.5" hidden="1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2:26" ht="13.5" hidden="1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2:26" ht="13.5" hidden="1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2:26" ht="13.5" hidden="1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2:26" ht="13.5" hidden="1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2:26" ht="13.5" hidden="1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2:26" ht="13.5" hidden="1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2:26" ht="13.5" hidden="1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2:26" ht="13.5" hidden="1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2:26" ht="13.5" hidden="1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2:26" ht="13.5" hidden="1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2:26" ht="13.5" hidden="1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2:26" ht="13.5" hidden="1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2:26" ht="13.5" hidden="1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2:26" ht="13.5" hidden="1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2:26" ht="13.5" hidden="1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2:26" ht="13.5" hidden="1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2:26" ht="13.5" hidden="1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2:26" ht="13.5" hidden="1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2:26" ht="13.5" hidden="1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2:26" ht="13.5" hidden="1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2:26" ht="13.5" hidden="1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2:26" ht="13.5" hidden="1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2:26" ht="13.5" hidden="1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2:26" ht="13.5" hidden="1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2:26" ht="13.5" hidden="1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2:26" ht="13.5" hidden="1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2:26" ht="13.5" hidden="1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2:26" ht="13.5" hidden="1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2:26" ht="13.5" hidden="1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2:26" ht="13.5" hidden="1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2:26" ht="13.5" hidden="1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2:26" ht="13.5" hidden="1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2:26" ht="13.5" hidden="1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2:26" ht="13.5" hidden="1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2:26" ht="13.5" hidden="1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2:26" ht="13.5" hidden="1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2:26" ht="13.5" hidden="1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2:26" ht="13.5" hidden="1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2:26" ht="13.5" hidden="1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2:26" ht="13.5" hidden="1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2:26" ht="13.5" hidden="1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2:26" ht="13.5" hidden="1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2:26" ht="13.5" hidden="1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2:26" ht="13.5" hidden="1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2:26" ht="13.5" hidden="1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2:26" ht="13.5" hidden="1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2:26" ht="13.5" hidden="1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2:26" ht="13.5" hidden="1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2:26" ht="13.5" hidden="1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2:26" ht="13.5" hidden="1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2:26" ht="13.5" hidden="1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2:26" ht="13.5" hidden="1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2:26" ht="13.5" hidden="1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2:26" ht="13.5" hidden="1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2:26" ht="13.5" hidden="1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2:26" ht="13.5" hidden="1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2:26" ht="13.5" hidden="1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2:26" ht="13.5" hidden="1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2:26" ht="13.5" hidden="1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2:26" ht="13.5" hidden="1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2:26" ht="13.5" hidden="1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2:26" ht="13.5" hidden="1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2:26" ht="13.5" hidden="1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2:26" ht="13.5" hidden="1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2:26" ht="13.5" hidden="1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2:26" ht="13.5" hidden="1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2:26" ht="13.5" hidden="1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2:26" ht="13.5" hidden="1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2:26" ht="13.5" hidden="1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2:26" ht="13.5" hidden="1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2:26" ht="13.5" hidden="1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2:26" ht="13.5" hidden="1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2:26" ht="13.5" hidden="1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2:26" ht="13.5" hidden="1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2:26" ht="13.5" hidden="1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2:26" ht="13.5" hidden="1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2:26" ht="13.5" hidden="1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2:26" ht="13.5" hidden="1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2:26" ht="13.5" hidden="1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2:26" ht="13.5" hidden="1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2:26" ht="13.5" hidden="1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2:26" ht="13.5" hidden="1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2:26" ht="13.5" hidden="1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2:26" ht="13.5" hidden="1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2:26" ht="13.5" hidden="1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2:26" ht="13.5" hidden="1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2:26" ht="13.5" hidden="1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2:26" ht="13.5" hidden="1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2:26" ht="13.5" hidden="1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2:26" ht="13.5" hidden="1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2:26" ht="13.5" hidden="1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2:26" ht="13.5" hidden="1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2:26" ht="13.5" hidden="1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2:26" ht="13.5" hidden="1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2:26" ht="13.5" hidden="1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2:26" ht="13.5" hidden="1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2:26" ht="13.5" hidden="1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2:26" ht="13.5" hidden="1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2:26" ht="13.5" hidden="1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2:26" ht="13.5" hidden="1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2:26" ht="13.5" hidden="1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2:26" ht="13.5" hidden="1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2:26" ht="13.5" hidden="1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2:26" ht="13.5" hidden="1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2:26" ht="13.5" hidden="1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2:26" ht="13.5" hidden="1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2:26" ht="13.5" hidden="1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2:26" ht="13.5" hidden="1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2:26" ht="13.5" hidden="1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2:26" ht="13.5" hidden="1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2:26" ht="13.5" hidden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2:26" ht="13.5" hidden="1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2:26" ht="13.5" hidden="1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2:26" ht="13.5" hidden="1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2:26" ht="13.5" hidden="1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2:26" ht="13.5" hidden="1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2:26" ht="13.5" hidden="1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2:26" ht="13.5" hidden="1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2:26" ht="13.5" hidden="1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2:26" ht="13.5" hidden="1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2:26" ht="13.5" hidden="1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2:26" ht="13.5" hidden="1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2:26" ht="13.5" hidden="1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2:26" ht="13.5" hidden="1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2:26" ht="13.5" hidden="1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2:26" ht="13.5" hidden="1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2:26" ht="13.5" hidden="1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2:26" ht="13.5" hidden="1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2:26" ht="13.5" hidden="1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2:26" ht="13.5" hidden="1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2:26" ht="13.5" hidden="1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2:26" ht="13.5" hidden="1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2:26" ht="13.5" hidden="1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2:26" ht="13.5" hidden="1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2:26" ht="13.5" hidden="1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2:26" ht="13.5" hidden="1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2:26" ht="13.5" hidden="1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2:26" ht="13.5" hidden="1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2:26" ht="13.5" hidden="1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2:26" ht="13.5" hidden="1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2:26" ht="13.5" hidden="1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2:26" ht="13.5" hidden="1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2:26" ht="13.5" hidden="1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2:26" ht="13.5" hidden="1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2:26" ht="13.5" hidden="1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2:26" ht="13.5" hidden="1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2:26" ht="13.5" hidden="1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2:26" ht="13.5" hidden="1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2:26" ht="13.5" hidden="1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2:26" ht="13.5" hidden="1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2:26" ht="13.5" hidden="1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2:26" ht="13.5" hidden="1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2:26" ht="13.5" hidden="1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2:26" ht="13.5" hidden="1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2:26" ht="13.5" hidden="1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2:26" ht="13.5" hidden="1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2:26" ht="13.5" hidden="1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2:26" ht="13.5" hidden="1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2:26" ht="13.5" hidden="1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2:26" ht="13.5" hidden="1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2:26" ht="13.5" hidden="1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2:26" ht="13.5" hidden="1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2:26" ht="13.5" hidden="1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2:26" ht="13.5" hidden="1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2:26" ht="13.5" hidden="1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2:26" ht="13.5" hidden="1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2:26" ht="13.5" hidden="1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2:26" ht="13.5" hidden="1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2:26" ht="13.5" hidden="1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2:26" ht="13.5" hidden="1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2:26" ht="13.5" hidden="1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2:26" ht="13.5" hidden="1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2:26" ht="13.5" hidden="1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2:26" ht="13.5" hidden="1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2:26" ht="13.5" hidden="1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2:26" ht="13.5" hidden="1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2:26" ht="13.5" hidden="1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2:26" ht="13.5" hidden="1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2:26" ht="13.5" hidden="1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2:26" ht="13.5" hidden="1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2:26" ht="13.5" hidden="1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2:26" ht="13.5" hidden="1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2:26" ht="13.5" hidden="1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2:26" ht="13.5" hidden="1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2:26" ht="13.5" hidden="1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2:26" ht="13.5" hidden="1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2:26" ht="13.5" hidden="1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2:26" ht="13.5" hidden="1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2:26" ht="13.5" hidden="1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2:26" ht="13.5" hidden="1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2:26" ht="13.5" hidden="1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2:26" ht="13.5" hidden="1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2:26" ht="13.5" hidden="1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2:26" ht="13.5" hidden="1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2:26" ht="13.5" hidden="1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2:26" ht="13.5" hidden="1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2:26" ht="13.5" hidden="1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2:26" ht="13.5" hidden="1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2:26" ht="13.5" hidden="1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2:26" ht="13.5" hidden="1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2:26" ht="13.5" hidden="1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2:26" ht="13.5" hidden="1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2:26" ht="13.5" hidden="1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2:26" ht="13.5" hidden="1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2:26" ht="13.5" hidden="1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2:26" ht="13.5" hidden="1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2:26" ht="13.5" hidden="1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2:26" ht="13.5" hidden="1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2:26" ht="13.5" hidden="1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2:26" ht="13.5" hidden="1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2:26" ht="13.5" hidden="1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2:26" ht="13.5" hidden="1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2:26" ht="13.5" hidden="1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2:26" ht="13.5" hidden="1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2:26" ht="13.5" hidden="1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2:26" ht="13.5" hidden="1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2:26" ht="13.5" hidden="1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2:26" ht="13.5" hidden="1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2:26" ht="13.5" hidden="1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2:26" ht="13.5" hidden="1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2:26" ht="13.5" hidden="1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2:26" ht="13.5" hidden="1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2:26" ht="13.5" hidden="1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2:26" ht="13.5" hidden="1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2:26" ht="13.5" hidden="1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2:26" ht="13.5" hidden="1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2:26" ht="13.5" hidden="1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2:26" ht="13.5" hidden="1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2:26" ht="13.5" hidden="1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2:26" ht="13.5" hidden="1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2:26" ht="13.5" hidden="1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2:26" ht="13.5" hidden="1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2:26" ht="13.5" hidden="1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2:26" ht="13.5" hidden="1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2:26" ht="13.5" hidden="1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2:26" ht="13.5" hidden="1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2:26" ht="13.5" hidden="1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2:26" ht="13.5" hidden="1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2:26" ht="13.5" hidden="1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2:26" ht="13.5" hidden="1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2:26" ht="13.5" hidden="1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2:26" ht="13.5" hidden="1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2:26" ht="13.5" hidden="1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2:26" ht="13.5" hidden="1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2:26" ht="13.5" hidden="1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2:26" ht="13.5" hidden="1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2:26" ht="13.5" hidden="1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2:26" ht="13.5" hidden="1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2:26" ht="13.5" hidden="1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2:26" ht="13.5" hidden="1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2:26" ht="13.5" hidden="1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2:26" ht="13.5" hidden="1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2:26" ht="13.5" hidden="1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2:26" ht="13.5" hidden="1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2:26" ht="13.5" hidden="1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2:26" ht="13.5" hidden="1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2:26" ht="13.5" hidden="1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2:26" ht="13.5" hidden="1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2:26" ht="13.5" hidden="1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2:26" ht="13.5" hidden="1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2:26" ht="13.5" hidden="1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2:26" ht="13.5" hidden="1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2:26" ht="13.5" hidden="1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2:26" ht="13.5" hidden="1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2:26" ht="13.5" hidden="1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2:26" ht="13.5" hidden="1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2:26" ht="13.5" hidden="1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2:26" ht="13.5" hidden="1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2:26" ht="13.5" hidden="1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2:26" ht="13.5" hidden="1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2:26" ht="13.5" hidden="1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2:26" ht="13.5" hidden="1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2:26" ht="13.5" hidden="1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2:26" ht="13.5" hidden="1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2:26" ht="13.5" hidden="1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2:26" ht="13.5" hidden="1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2:26" ht="13.5" hidden="1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2:26" ht="13.5" hidden="1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2:26" ht="13.5" hidden="1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2:26" ht="13.5" hidden="1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2:26" ht="13.5" hidden="1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2:26" ht="13.5" hidden="1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2:26" ht="13.5" hidden="1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2:26" ht="13.5" hidden="1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2:26" ht="13.5" hidden="1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2:26" ht="13.5" hidden="1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2:26" ht="13.5" hidden="1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2:26" ht="13.5" hidden="1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2:26" ht="13.5" hidden="1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2:26" ht="13.5" hidden="1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2:26" ht="13.5" hidden="1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2:26" ht="13.5" hidden="1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2:26" ht="13.5" hidden="1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2:26" ht="13.5" hidden="1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2:26" ht="13.5" hidden="1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2:26" ht="13.5" hidden="1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2:26" ht="13.5" hidden="1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2:26" ht="13.5" hidden="1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2:26" ht="13.5" hidden="1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2:26" ht="13.5" hidden="1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2:26" ht="13.5" hidden="1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2:26" ht="13.5" hidden="1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2:26" ht="13.5" hidden="1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2:26" ht="13.5" hidden="1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2:26" ht="13.5" hidden="1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2:26" ht="13.5" hidden="1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2:26" ht="13.5" hidden="1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2:26" ht="13.5" hidden="1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2:26" ht="13.5" hidden="1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2:26" ht="13.5" hidden="1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2:26" ht="13.5" hidden="1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2:26" ht="13.5" hidden="1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2:26" ht="13.5" hidden="1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2:26" ht="13.5" hidden="1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2:26" ht="13.5" hidden="1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2:26" ht="13.5" hidden="1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2:26" ht="13.5" hidden="1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2:26" ht="13.5" hidden="1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2:26" ht="13.5" hidden="1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2:26" ht="13.5" hidden="1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2:26" ht="13.5" hidden="1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2:26" ht="13.5" hidden="1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2:26" ht="13.5" hidden="1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2:26" ht="13.5" hidden="1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2:26" ht="13.5" hidden="1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2:26" ht="13.5" hidden="1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2:26" ht="13.5" hidden="1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2:26" ht="13.5" hidden="1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2:26" ht="13.5" hidden="1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2:26" ht="13.5" hidden="1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2:26" ht="13.5" hidden="1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2:26" ht="13.5" hidden="1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2:26" ht="13.5" hidden="1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2:26" ht="13.5" hidden="1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2:26" ht="13.5" hidden="1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2:26" ht="13.5" hidden="1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2:26" ht="13.5" hidden="1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2:26" ht="13.5" hidden="1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2:26" ht="13.5" hidden="1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2:26" ht="13.5" hidden="1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2:26" ht="13.5" hidden="1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2:26" ht="13.5" hidden="1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2:26" ht="13.5" hidden="1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2:26" ht="13.5" hidden="1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2:26" ht="13.5" hidden="1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2:26" ht="13.5" hidden="1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2:26" ht="13.5" hidden="1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2:26" ht="13.5" hidden="1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2:26" ht="13.5" hidden="1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2:26" ht="13.5" hidden="1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2:26" ht="13.5" hidden="1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2:26" ht="13.5" hidden="1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2:26" ht="13.5" hidden="1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2:26" ht="13.5" hidden="1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2:26" ht="13.5" hidden="1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2:26" ht="13.5" hidden="1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2:26" ht="13.5" hidden="1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2:26" ht="13.5" hidden="1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2:26" ht="13.5" hidden="1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2:26" ht="13.5" hidden="1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2:26" ht="13.5" hidden="1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2:26" ht="13.5" hidden="1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2:26" ht="13.5" hidden="1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2:26" ht="13.5" hidden="1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2:26" ht="13.5" hidden="1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2:26" ht="13.5" hidden="1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2:26" ht="13.5" hidden="1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2:26" ht="13.5" hidden="1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2:26" ht="13.5" hidden="1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2:26" ht="13.5" hidden="1"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2:26" ht="13.5" hidden="1"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2:26" ht="13.5" hidden="1"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2:26" ht="13.5" hidden="1"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2:26" ht="13.5" hidden="1"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2:26" ht="13.5" hidden="1"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2:26" ht="13.5" hidden="1"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2:26" ht="13.5" hidden="1"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2:26" ht="13.5" hidden="1"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2:26" ht="13.5" hidden="1"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2:26" ht="13.5" hidden="1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2:26" ht="13.5" hidden="1"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2:26" ht="13.5" hidden="1"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2:26" ht="13.5" hidden="1"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2:26" ht="13.5" hidden="1"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2:26" ht="13.5" hidden="1"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2:26" ht="13.5" hidden="1"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2:26" ht="13.5" hidden="1"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2:26" ht="13.5" hidden="1"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2:26" ht="13.5" hidden="1"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2:26" ht="13.5" hidden="1"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2:26" ht="13.5" hidden="1"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2:26" ht="13.5" hidden="1"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2:26" ht="13.5" hidden="1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2:26" ht="13.5" hidden="1"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2:26" ht="13.5" hidden="1"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2:26" ht="13.5" hidden="1"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2:26" ht="13.5" hidden="1"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2:26" ht="13.5" hidden="1"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2:26" ht="13.5" hidden="1"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2:26" ht="13.5" hidden="1"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2:26" ht="13.5" hidden="1"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2:26" ht="13.5" hidden="1"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2:26" ht="13.5" hidden="1"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2:26" ht="13.5" hidden="1"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2:26" ht="13.5" hidden="1"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2:26" ht="13.5" hidden="1"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2:26" ht="13.5" hidden="1"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2:26" ht="13.5" hidden="1"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2:26" ht="13.5" hidden="1"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2:26" ht="13.5" hidden="1"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2:26" ht="13.5" hidden="1"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2:26" ht="13.5" hidden="1"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2:26" ht="13.5" hidden="1"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2:26" ht="13.5" hidden="1"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2:26" ht="13.5" hidden="1"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2:26" ht="13.5" hidden="1"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2:26" ht="13.5" hidden="1"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2:26" ht="13.5" hidden="1"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2:26" ht="13.5" hidden="1"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2:26" ht="13.5" hidden="1"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2:26" ht="13.5" hidden="1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2:26" ht="13.5" hidden="1"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2:26" ht="13.5" hidden="1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2:26" ht="13.5" hidden="1"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2:26" ht="13.5" hidden="1"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2:26" ht="13.5" hidden="1"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2:26" ht="13.5" hidden="1"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2:26" ht="13.5" hidden="1"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2:26" ht="13.5" hidden="1"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2:26" ht="13.5" hidden="1"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2:26" ht="13.5" hidden="1"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2:26" ht="13.5" hidden="1"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2:26" ht="13.5" hidden="1"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2:26" ht="13.5" hidden="1"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2:26" ht="13.5" hidden="1"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2:26" ht="13.5" hidden="1"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2:26" ht="13.5" hidden="1"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2:26" ht="13.5" hidden="1"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2:26" ht="13.5" hidden="1"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2:26" ht="13.5" hidden="1"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2:26" ht="13.5" hidden="1"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2:26" ht="13.5" hidden="1"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2:26" ht="13.5" hidden="1"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2:26" ht="13.5" hidden="1"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2:26" ht="13.5" hidden="1"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2:26" ht="13.5" hidden="1"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2:26" ht="13.5" hidden="1"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2:26" ht="13.5" hidden="1"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2:26" ht="13.5" hidden="1"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2:26" ht="13.5" hidden="1"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2:26" ht="13.5" hidden="1"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2:26" ht="13.5" hidden="1"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2:26" ht="13.5" hidden="1"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2:26" ht="13.5" hidden="1"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2:26" ht="13.5" hidden="1"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2:26" ht="13.5" hidden="1"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2:26" ht="13.5" hidden="1"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2:26" ht="13.5" hidden="1"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2:26" ht="13.5" hidden="1"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2:26" ht="13.5" hidden="1"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2:26" ht="13.5" hidden="1"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2:26" ht="13.5" hidden="1"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2:26" ht="13.5" hidden="1"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2:26" ht="13.5" hidden="1"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2:26" ht="13.5" hidden="1"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2:26" ht="13.5" hidden="1"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2:26" ht="13.5" hidden="1"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2:26" ht="13.5" hidden="1"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2:26" ht="13.5" hidden="1"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2:26" ht="13.5" hidden="1"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2:26" ht="13.5" hidden="1"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2:26" ht="13.5" hidden="1"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2:26" ht="13.5" hidden="1"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2:26" ht="13.5" hidden="1"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2:26" ht="13.5" hidden="1"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2:26" ht="13.5" hidden="1"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2:26" ht="13.5" hidden="1"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2:26" ht="13.5" hidden="1"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2:26" ht="13.5" hidden="1"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2:26" ht="13.5" hidden="1"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2:26" ht="13.5" hidden="1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2:26" ht="13.5" hidden="1"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2:26" ht="13.5" hidden="1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2:26" ht="13.5" hidden="1"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2:26" ht="13.5" hidden="1"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2:26" ht="13.5" hidden="1"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2:26" ht="13.5" hidden="1"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2:26" ht="13.5" hidden="1"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2:26" ht="13.5" hidden="1"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2:26" ht="13.5" hidden="1"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2:26" ht="13.5" hidden="1"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2:26" ht="13.5" hidden="1"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2:26" ht="13.5" hidden="1"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2:26" ht="13.5" hidden="1"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2:26" ht="13.5" hidden="1"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2:26" ht="13.5" hidden="1"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2:26" ht="13.5" hidden="1"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2:26" ht="13.5" hidden="1"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2:26" ht="13.5" hidden="1"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2:26" ht="13.5" hidden="1"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2:26" ht="13.5" hidden="1"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2:26" ht="13.5" hidden="1"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2:26" ht="13.5" hidden="1"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2:26" ht="13.5" hidden="1"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2:26" ht="13.5" hidden="1"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2:26" ht="13.5" hidden="1"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2:26" ht="13.5" hidden="1"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2:26" ht="13.5" hidden="1"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2:26" ht="13.5" hidden="1"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2:26" ht="13.5" hidden="1"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2:26" ht="13.5" hidden="1"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2:26" ht="13.5" hidden="1"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2:26" ht="13.5" hidden="1"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2:26" ht="13.5" hidden="1"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2:26" ht="13.5" hidden="1"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2:26" ht="13.5" hidden="1"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2:26" ht="13.5" hidden="1"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2:26" ht="13.5" hidden="1"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2:26" ht="13.5" hidden="1"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2:26" ht="13.5" hidden="1"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2:26" ht="13.5" hidden="1"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2:26" ht="13.5" hidden="1"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2:26" ht="13.5" hidden="1"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2:26" ht="13.5" hidden="1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2:26" ht="13.5" hidden="1"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2:26" ht="13.5" hidden="1"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2:26" ht="13.5" hidden="1"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2:26" ht="13.5" hidden="1"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2:26" ht="13.5" hidden="1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2:26" ht="13.5" hidden="1"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2:26" ht="13.5" hidden="1"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2:26" ht="13.5" hidden="1"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2:26" ht="13.5" hidden="1"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2:26" ht="13.5" hidden="1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2:26" ht="13.5" hidden="1"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2:26" ht="13.5" hidden="1"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2:26" ht="13.5" hidden="1"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2:26" ht="13.5" hidden="1"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2:26" ht="13.5" hidden="1"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2:26" ht="13.5" hidden="1"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2:26" ht="13.5" hidden="1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2:26" ht="13.5" hidden="1"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2:26" ht="13.5" hidden="1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2:26" ht="13.5" hidden="1"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2:26" ht="13.5" hidden="1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2:26" ht="13.5" hidden="1"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2:26" ht="13.5" hidden="1"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2:26" ht="13.5" hidden="1"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2:26" ht="13.5" hidden="1"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2:26" ht="13.5" hidden="1"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2:26" ht="13.5" hidden="1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2:26" ht="13.5" hidden="1"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2:26" ht="13.5" hidden="1"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2:26" ht="13.5" hidden="1"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2:26" ht="13.5" hidden="1"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2:26" ht="13.5" hidden="1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2:26" ht="13.5" hidden="1"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2:26" ht="13.5" hidden="1"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2:26" ht="13.5" hidden="1"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2:26" ht="13.5" hidden="1"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2:26" ht="13.5" hidden="1"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2:26" ht="13.5" hidden="1"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2:26" ht="13.5" hidden="1"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2:26" ht="13.5" hidden="1"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2:26" ht="13.5" hidden="1"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2:26" ht="13.5" hidden="1"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2:26" ht="13.5" hidden="1"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2:26" ht="13.5" hidden="1"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2:26" ht="13.5" hidden="1"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2:26" ht="13.5" hidden="1"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2:26" ht="13.5" hidden="1"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2:26" ht="13.5" hidden="1"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2:26" ht="13.5" hidden="1"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2:26" ht="13.5" hidden="1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2:26" ht="13.5" hidden="1"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2:26" ht="13.5" hidden="1"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2:26" ht="13.5" hidden="1"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2:26" ht="13.5" hidden="1"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2:26" ht="13.5" hidden="1"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2:26" ht="13.5" hidden="1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2:26" ht="13.5" hidden="1"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2:26" ht="13.5" hidden="1"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2:26" ht="13.5" hidden="1"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2:26" ht="13.5" hidden="1"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2:26" ht="13.5" hidden="1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2:26" ht="13.5" hidden="1"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2:26" ht="13.5" hidden="1"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2:26" ht="13.5" hidden="1"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2:26" ht="13.5" hidden="1"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2:26" ht="13.5" hidden="1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2:26" ht="13.5" hidden="1"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2:26" ht="13.5" hidden="1"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2:26" ht="13.5" hidden="1"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2:26" ht="13.5" hidden="1"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2:26" ht="13.5" hidden="1"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2:26" ht="13.5" hidden="1"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2:26" ht="13.5" hidden="1"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2:26" ht="13.5" hidden="1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2:26" ht="13.5" hidden="1"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2:26" ht="13.5" hidden="1"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2:26" ht="13.5" hidden="1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2:26" ht="13.5" hidden="1"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2:26" ht="13.5" hidden="1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2:26" ht="13.5" hidden="1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2:26" ht="13.5" hidden="1"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2:26" ht="13.5" hidden="1"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2:26" ht="13.5" hidden="1"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2:26" ht="13.5" hidden="1"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2:26" ht="13.5" hidden="1"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2:26" ht="13.5" hidden="1"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2:26" ht="13.5" hidden="1"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2:26" ht="13.5" hidden="1"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2:26" ht="13.5" hidden="1"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2:26" ht="13.5" hidden="1"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2:26" ht="13.5" hidden="1"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2:26" ht="13.5" hidden="1"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2:26" ht="13.5" hidden="1"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2:26" ht="13.5" hidden="1"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2:26" ht="13.5" hidden="1"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2:26" ht="13.5" hidden="1"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2:26" ht="13.5" hidden="1"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2:26" ht="13.5" hidden="1"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2:26" ht="13.5" hidden="1"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2:26" ht="13.5" hidden="1"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2:26" ht="13.5" hidden="1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2:26" ht="13.5" hidden="1"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2:26" ht="13.5" hidden="1"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2:26" ht="13.5" hidden="1"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2:26" ht="13.5" hidden="1"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2:26" ht="13.5" hidden="1"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2:26" ht="13.5" hidden="1"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2:26" ht="13.5" hidden="1"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2:26" ht="13.5" hidden="1"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2:26" ht="13.5" hidden="1"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2:26" ht="13.5" hidden="1"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2:26" ht="13.5" hidden="1"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2:26" ht="13.5" hidden="1"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2:26" ht="13.5" hidden="1"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2:26" ht="13.5" hidden="1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2:26" ht="13.5" hidden="1"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2:26" ht="13.5" hidden="1"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2:26" ht="13.5" hidden="1"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2:26" ht="13.5" hidden="1"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2:26" ht="13.5" hidden="1"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2:26" ht="13.5" hidden="1"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2:26" ht="13.5" hidden="1"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2:26" ht="13.5" hidden="1"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2:26" ht="13.5" hidden="1"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2:26" ht="13.5" hidden="1"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2:26" ht="13.5" hidden="1"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2:26" ht="13.5" hidden="1"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2:26" ht="13.5" hidden="1"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2:26" ht="13.5" hidden="1"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2:26" ht="13.5" hidden="1"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2:26" ht="13.5" hidden="1"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2:26" ht="13.5" hidden="1"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2:26" ht="13.5" hidden="1"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2:26" ht="13.5" hidden="1"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2:26" ht="13.5" hidden="1"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2:26" ht="13.5" hidden="1"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2:26" ht="13.5" hidden="1"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2:26" ht="13.5" hidden="1"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2:26" ht="13.5" hidden="1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2:26" ht="13.5" hidden="1"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2:26" ht="13.5" hidden="1"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2:26" ht="13.5" hidden="1"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2:26" ht="13.5" hidden="1"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2:26" ht="13.5" hidden="1"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2:26" ht="13.5" hidden="1"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2:26" ht="13.5" hidden="1"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2:26" ht="13.5" hidden="1"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2:26" ht="13.5" hidden="1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2:26" ht="13.5" hidden="1"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2:26" ht="13.5" hidden="1"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2:26" ht="13.5" hidden="1"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2:26" ht="13.5" hidden="1"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2:26" ht="13.5" hidden="1"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2:26" ht="13.5" hidden="1"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2:26" ht="13.5" hidden="1"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2:26" ht="13.5" hidden="1"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2:26" ht="13.5" hidden="1"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2:26" ht="13.5" hidden="1"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2:26" ht="13.5" hidden="1"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2:26" ht="13.5" hidden="1"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2:26" ht="13.5" hidden="1"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2:26" ht="13.5" hidden="1"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2:26" ht="13.5" hidden="1"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2:26" ht="13.5" hidden="1"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2:26" ht="13.5" hidden="1"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2:26" ht="13.5" hidden="1"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2:26" ht="13.5" hidden="1"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2:26" ht="13.5" hidden="1"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2:26" ht="13.5" hidden="1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2:26" ht="13.5" hidden="1"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2:26" ht="13.5" hidden="1"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2:26" ht="13.5" hidden="1"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2:26" ht="13.5" hidden="1"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2:26" ht="13.5" hidden="1"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2:26" ht="13.5" hidden="1"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2:26" ht="13.5" hidden="1"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2:26" ht="13.5" hidden="1"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2:26" ht="13.5" hidden="1"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2:26" ht="13.5" hidden="1"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2:26" ht="13.5" hidden="1"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2:26" ht="13.5" hidden="1"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2:26" ht="13.5" hidden="1"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2:26" ht="13.5" hidden="1"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2:26" ht="13.5" hidden="1"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2:26" ht="13.5" hidden="1"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2:26" ht="13.5" hidden="1"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2:26" ht="13.5" hidden="1"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2:26" ht="13.5" hidden="1"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2:26" ht="13.5" hidden="1"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2:26" ht="13.5" hidden="1"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2:26" ht="13.5" hidden="1"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2:26" ht="13.5" hidden="1"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2:26" ht="13.5" hidden="1"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2:26" ht="13.5" hidden="1"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2:26" ht="13.5" hidden="1"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2:26" ht="13.5" hidden="1"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2:26" ht="13.5" hidden="1"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2:26" ht="13.5" hidden="1"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2:26" ht="13.5" hidden="1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2:26" ht="13.5" hidden="1"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2:26" ht="13.5" hidden="1"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2:26" ht="13.5" hidden="1"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2:26" ht="13.5" hidden="1"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2:26" ht="13.5" hidden="1"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2:26" ht="13.5" hidden="1"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2:26" ht="13.5" hidden="1"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2:26" ht="13.5" hidden="1"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2:26" ht="13.5" hidden="1"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2:26" ht="13.5" hidden="1"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2:26" ht="13.5" hidden="1"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2:26" ht="13.5" hidden="1"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2:26" ht="13.5" hidden="1"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2:26" ht="13.5" hidden="1"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2:26" ht="13.5" hidden="1"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2:26" ht="13.5" hidden="1"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2:26" ht="13.5" hidden="1"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2:26" ht="13.5" hidden="1"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2:26" ht="13.5" hidden="1"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2:26" ht="13.5" hidden="1"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2:26" ht="13.5" hidden="1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2:26" ht="13.5" hidden="1"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2:26" ht="13.5" hidden="1"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2:26" ht="13.5" hidden="1"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2:26" ht="13.5" hidden="1"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2:26" ht="13.5" hidden="1"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2:26" ht="13.5" hidden="1"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2:26" ht="13.5" hidden="1"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2:26" ht="13.5" hidden="1"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2:26" ht="13.5" hidden="1"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2:26" ht="13.5" hidden="1"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2:26" ht="13.5" hidden="1"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2:26" ht="13.5" hidden="1"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2:26" ht="13.5" hidden="1"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2:26" ht="13.5" hidden="1"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2:26" ht="13.5" hidden="1"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2:26" ht="13.5" hidden="1"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2:26" ht="13.5" hidden="1"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2:26" ht="13.5" hidden="1"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2:26" ht="13.5" hidden="1"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2:26" ht="13.5" hidden="1"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2:26" ht="13.5" hidden="1"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2:26" ht="13.5" hidden="1"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2:26" ht="13.5" hidden="1"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2:26" ht="13.5" hidden="1"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2:26" ht="13.5" hidden="1"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2:26" ht="13.5" hidden="1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2:26" ht="13.5" hidden="1"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2:26" ht="13.5" hidden="1"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2:26" ht="13.5" hidden="1"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2:26" ht="13.5" hidden="1"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2:26" ht="13.5" hidden="1"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2:26" ht="13.5" hidden="1"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2:26" ht="13.5" hidden="1"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2:26" ht="13.5" hidden="1"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2:26" ht="13.5" hidden="1"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2:26" ht="13.5" hidden="1"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2:26" ht="13.5" hidden="1"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2:26" ht="13.5" hidden="1"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2:26" ht="13.5" hidden="1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2:26" ht="13.5" hidden="1"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2:26" ht="13.5" hidden="1"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2:26" ht="13.5" hidden="1"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2:26" ht="13.5" hidden="1"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2:26" ht="13.5" hidden="1"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2:26" ht="13.5" hidden="1"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2:26" ht="13.5" hidden="1"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2:26" ht="13.5" hidden="1"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2:26" ht="13.5" hidden="1"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2:26" ht="13.5" hidden="1"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2:26" ht="13.5" hidden="1"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2:26" ht="13.5" hidden="1"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2:26" ht="13.5" hidden="1"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2:26" ht="13.5" hidden="1"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2:26" ht="13.5" hidden="1"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2:26" ht="13.5" hidden="1"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2:26" ht="13.5" hidden="1"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2:26" ht="13.5" hidden="1"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2:26" ht="13.5" hidden="1"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2:26" ht="13.5" hidden="1"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2:26" ht="13.5" hidden="1"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2:26" ht="13.5" hidden="1"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2:26" ht="13.5" hidden="1"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2:26" ht="13.5" hidden="1"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2:26" ht="13.5" hidden="1"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2:26" ht="13.5" hidden="1"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2:26" ht="13.5" hidden="1"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2:26" ht="13.5" hidden="1"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2:26" ht="13.5" hidden="1"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2:26" ht="13.5" hidden="1"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2:26" ht="13.5" hidden="1"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2:26" ht="13.5" hidden="1"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2:26" ht="13.5" hidden="1"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2:26" ht="13.5" hidden="1"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2:26" ht="13.5" hidden="1"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2:26" ht="13.5" hidden="1"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2:26" ht="13.5" hidden="1"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2:26" ht="13.5" hidden="1"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2:26" ht="13.5" hidden="1"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2:26" ht="13.5" hidden="1"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2:26" ht="13.5" hidden="1"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2:26" ht="13.5" hidden="1"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2:26" ht="13.5" hidden="1"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2:26" ht="13.5" hidden="1"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2:26" ht="13.5" hidden="1"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2:26" ht="13.5" hidden="1"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2:26" ht="13.5" hidden="1"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2:26" ht="13.5" hidden="1"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2:26" ht="13.5" hidden="1"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2:26" ht="13.5" hidden="1"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2:26" ht="13.5" hidden="1"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2:26" ht="13.5" hidden="1"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2:26" ht="13.5" hidden="1"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2:26" ht="13.5" hidden="1"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2:26" ht="13.5" hidden="1"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2:26" ht="13.5" hidden="1"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2:26" ht="13.5" hidden="1"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2:26" ht="13.5" hidden="1"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2:26" ht="13.5" hidden="1"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2:26" ht="13.5" hidden="1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2:26" ht="13.5" hidden="1"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2:26" ht="13.5" hidden="1"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2:26" ht="13.5" hidden="1"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2:26" ht="13.5" hidden="1"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2:26" ht="13.5" hidden="1"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2:26" ht="13.5" hidden="1"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2:26" ht="13.5" hidden="1"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2:26" ht="13.5" hidden="1"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2:26" ht="13.5" hidden="1"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2:26" ht="13.5" hidden="1"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2:26" ht="13.5" hidden="1"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2:26" ht="13.5" hidden="1"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2:26" ht="13.5" hidden="1"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2:26" ht="13.5" hidden="1"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2:26" ht="13.5" hidden="1"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2:26" ht="13.5" hidden="1"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2:26" ht="13.5" hidden="1"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2:26" ht="13.5" hidden="1"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2:26" ht="13.5" hidden="1"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2:26" ht="13.5" hidden="1"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2:26" ht="13.5" hidden="1"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2:26" ht="13.5" hidden="1"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2:26" ht="13.5" hidden="1"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2:26" ht="13.5" hidden="1"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2:26" ht="13.5" hidden="1"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2:26" ht="13.5" hidden="1"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2:26" ht="13.5" hidden="1"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2:26" ht="13.5" hidden="1"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2:26" ht="13.5" hidden="1"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2:26" ht="13.5" hidden="1"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2:26" ht="13.5" hidden="1"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2:26" ht="13.5" hidden="1"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2:26" ht="13.5" hidden="1"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2:26" ht="13.5" hidden="1"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2:26" ht="13.5" hidden="1"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2:26" ht="13.5" hidden="1"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교육과정편제표(트래블테크과)</vt:lpstr>
      <vt:lpstr>교육과정편제표(소방안전과)</vt:lpstr>
      <vt:lpstr>교육과정편제표(보건간호과)</vt:lpstr>
      <vt:lpstr>실무과목 능력단위(트래블테크과)</vt:lpstr>
      <vt:lpstr>실무과목 능력단위(소방안전과)</vt:lpstr>
      <vt:lpstr>실무과목 능력단위(보건간호과)</vt:lpstr>
      <vt:lpstr>삭제금지</vt:lpstr>
      <vt:lpstr>(참고1) 편성 기준🔐</vt:lpstr>
      <vt:lpstr>'교육과정편제표(트래블테크과)'!Print_Area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admin</cp:lastModifiedBy>
  <cp:lastPrinted>2026-10-20T09:46:49Z</cp:lastPrinted>
  <dcterms:created xsi:type="dcterms:W3CDTF">2020-03-04T02:26:59Z</dcterms:created>
  <dcterms:modified xsi:type="dcterms:W3CDTF">2026-10-22T04:55:24Z</dcterms:modified>
</cp:coreProperties>
</file>