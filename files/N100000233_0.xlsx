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주산산업고등학교(2026)\주산산업고등학교 교육과정부 기획 업무\2027학년도 입학생 편제표\"/>
    </mc:Choice>
  </mc:AlternateContent>
  <xr:revisionPtr revIDLastSave="0" documentId="13_ncr:1_{06A79346-F914-4765-B2DA-7FF5823D873E}" xr6:coauthVersionLast="36" xr6:coauthVersionMax="36" xr10:uidLastSave="{00000000-0000-0000-0000-000000000000}"/>
  <bookViews>
    <workbookView xWindow="-108" yWindow="-108" windowWidth="25824" windowHeight="15504" tabRatio="795" xr2:uid="{00000000-000D-0000-FFFF-FFFF00000000}"/>
  </bookViews>
  <sheets>
    <sheet name="교육과정편제표(건설시스템과)" sheetId="8" r:id="rId1"/>
    <sheet name="실무과목 능력단위(건설시스템과)" sheetId="14" r:id="rId2"/>
    <sheet name="삭제금지" sheetId="4" r:id="rId3"/>
    <sheet name="(참고1) 편성 기준🔐" sheetId="16" r:id="rId4"/>
  </sheets>
  <definedNames>
    <definedName name="_xlnm._FilterDatabase" localSheetId="0" hidden="1">'교육과정편제표(건설시스템과)'!$M$3:$P$4</definedName>
    <definedName name="_xlnm._FilterDatabase" localSheetId="2" hidden="1">삭제금지!$A$1:$F$151</definedName>
    <definedName name="_xlnm._FilterDatabase" localSheetId="1" hidden="1">'실무과목 능력단위(건설시스템과)'!#REF!</definedName>
    <definedName name="_xlnm.Print_Area" localSheetId="0">'교육과정편제표(건설시스템과)'!$A$1:$AE$67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1" i="14" l="1"/>
  <c r="U30" i="14"/>
  <c r="U29" i="14"/>
  <c r="U28" i="14"/>
  <c r="T31" i="14"/>
  <c r="T30" i="14"/>
  <c r="T29" i="14"/>
  <c r="T28" i="14"/>
  <c r="T32" i="14"/>
  <c r="T19" i="14"/>
  <c r="T18" i="14"/>
  <c r="T17" i="14"/>
  <c r="T16" i="14"/>
  <c r="T23" i="14"/>
  <c r="U19" i="14"/>
  <c r="U18" i="14"/>
  <c r="U17" i="14"/>
  <c r="U16" i="14"/>
  <c r="W42" i="8"/>
  <c r="S38" i="14" l="1"/>
  <c r="R38" i="14"/>
  <c r="Q38" i="14"/>
  <c r="P38" i="14"/>
  <c r="O38" i="14"/>
  <c r="N38" i="14"/>
  <c r="M38" i="14"/>
  <c r="L38" i="14"/>
  <c r="K38" i="14"/>
  <c r="J38" i="14"/>
  <c r="I38" i="14"/>
  <c r="H38" i="14"/>
  <c r="U37" i="14"/>
  <c r="T37" i="14"/>
  <c r="U36" i="14"/>
  <c r="T36" i="14"/>
  <c r="U35" i="14"/>
  <c r="T35" i="14"/>
  <c r="U34" i="14"/>
  <c r="T34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U32" i="14"/>
  <c r="U27" i="14"/>
  <c r="T27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U25" i="14"/>
  <c r="T25" i="14"/>
  <c r="U24" i="14"/>
  <c r="T24" i="14"/>
  <c r="U23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U21" i="14"/>
  <c r="U20" i="14"/>
  <c r="U15" i="14"/>
  <c r="U14" i="14"/>
  <c r="T21" i="14"/>
  <c r="T20" i="14"/>
  <c r="T15" i="14"/>
  <c r="T14" i="14"/>
  <c r="U10" i="14"/>
  <c r="T10" i="14"/>
  <c r="U57" i="8"/>
  <c r="S57" i="8"/>
  <c r="W53" i="8"/>
  <c r="W45" i="8"/>
  <c r="W49" i="8"/>
  <c r="U33" i="14" l="1"/>
  <c r="T33" i="14"/>
  <c r="U38" i="14"/>
  <c r="T38" i="14"/>
  <c r="U22" i="14"/>
  <c r="T22" i="14"/>
  <c r="T26" i="14"/>
  <c r="U26" i="14"/>
  <c r="H36" i="8" l="1"/>
  <c r="S65" i="8" l="1"/>
  <c r="O65" i="8"/>
  <c r="K65" i="8"/>
  <c r="W64" i="8"/>
  <c r="Y64" i="8" s="1"/>
  <c r="W63" i="8"/>
  <c r="AA64" i="8" s="1"/>
  <c r="Y60" i="8"/>
  <c r="W60" i="8"/>
  <c r="I59" i="8"/>
  <c r="Y57" i="8"/>
  <c r="Q57" i="8"/>
  <c r="O57" i="8"/>
  <c r="M57" i="8"/>
  <c r="K57" i="8"/>
  <c r="I57" i="8"/>
  <c r="H57" i="8"/>
  <c r="J57" i="8"/>
  <c r="W44" i="8"/>
  <c r="W43" i="8"/>
  <c r="W41" i="8"/>
  <c r="W40" i="8"/>
  <c r="W39" i="8"/>
  <c r="W38" i="8"/>
  <c r="W37" i="8"/>
  <c r="Y36" i="8"/>
  <c r="U36" i="8"/>
  <c r="S36" i="8"/>
  <c r="Q36" i="8"/>
  <c r="O36" i="8"/>
  <c r="M36" i="8"/>
  <c r="K36" i="8"/>
  <c r="W33" i="8"/>
  <c r="W30" i="8"/>
  <c r="W29" i="8"/>
  <c r="W28" i="8"/>
  <c r="W27" i="8"/>
  <c r="W26" i="8"/>
  <c r="J26" i="8"/>
  <c r="W25" i="8"/>
  <c r="J25" i="8"/>
  <c r="W24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J36" i="8" l="1"/>
  <c r="O59" i="8"/>
  <c r="X19" i="8"/>
  <c r="X25" i="8"/>
  <c r="X14" i="8"/>
  <c r="M59" i="8"/>
  <c r="W65" i="8"/>
  <c r="Q59" i="8"/>
  <c r="U59" i="8"/>
  <c r="W57" i="8"/>
  <c r="X21" i="8"/>
  <c r="S59" i="8"/>
  <c r="X11" i="8"/>
  <c r="J59" i="8"/>
  <c r="X9" i="8"/>
  <c r="AA66" i="8"/>
  <c r="Y59" i="8"/>
  <c r="H59" i="8"/>
  <c r="W36" i="8"/>
  <c r="AA36" i="8" s="1"/>
  <c r="X17" i="8"/>
  <c r="K59" i="8"/>
  <c r="T11" i="14"/>
  <c r="K11" i="14"/>
  <c r="I11" i="14"/>
  <c r="U11" i="14" l="1"/>
  <c r="W59" i="8"/>
  <c r="AA61" i="8" s="1"/>
  <c r="I9" i="14"/>
  <c r="K9" i="14"/>
  <c r="M13" i="14"/>
  <c r="O13" i="14"/>
  <c r="T9" i="14"/>
  <c r="T12" i="14"/>
  <c r="H13" i="14"/>
  <c r="I13" i="14"/>
  <c r="J13" i="14"/>
  <c r="K13" i="14"/>
  <c r="L13" i="14"/>
  <c r="N13" i="14"/>
  <c r="P13" i="14"/>
  <c r="R13" i="14"/>
  <c r="U9" i="14" l="1"/>
  <c r="Q13" i="14"/>
  <c r="U12" i="14"/>
  <c r="U13" i="14" s="1"/>
  <c r="S13" i="14"/>
  <c r="T1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7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7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<sst xmlns="http://schemas.openxmlformats.org/spreadsheetml/2006/main" count="1434" uniqueCount="617">
  <si>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</si>
  <si>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</si>
  <si>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</si>
  <si>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</si>
  <si>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</si>
  <si>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</si>
  <si>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</si>
  <si>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</si>
  <si>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</si>
  <si>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</si>
  <si>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</si>
  <si>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</si>
  <si>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</si>
  <si>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</si>
  <si>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</si>
  <si>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</si>
  <si>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</si>
  <si>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</si>
  <si>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</si>
  <si>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</si>
  <si>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</si>
  <si>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</si>
  <si>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</si>
  <si>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</si>
  <si>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</si>
  <si>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</si>
  <si>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</si>
  <si>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</si>
  <si>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</si>
  <si>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</si>
  <si>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</si>
  <si>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</si>
  <si>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</si>
  <si>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</si>
  <si>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</si>
  <si>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</si>
  <si>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</si>
  <si>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</si>
  <si>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</si>
  <si>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</si>
  <si>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</si>
  <si>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</si>
  <si>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</si>
  <si>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</si>
  <si>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</si>
  <si>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</si>
  <si>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</si>
  <si>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</si>
  <si>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</si>
  <si>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</si>
  <si>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</si>
  <si>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</si>
  <si>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</si>
  <si>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</si>
  <si>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</si>
  <si>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</si>
  <si>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</si>
  <si>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</si>
  <si>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</si>
  <si>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</si>
  <si>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</si>
  <si>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</si>
  <si>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</si>
  <si>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</si>
  <si>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</si>
  <si>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</si>
  <si>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</si>
  <si>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</si>
  <si>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</si>
  <si>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</si>
  <si>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</si>
  <si>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</si>
  <si>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</si>
  <si>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</si>
  <si>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</si>
  <si>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</si>
  <si>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</si>
  <si>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</si>
  <si>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</si>
  <si>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</si>
  <si>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</si>
  <si>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</si>
  <si>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</si>
  <si>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</si>
  <si>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</si>
  <si>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</si>
  <si>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</si>
  <si>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</si>
  <si>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</si>
  <si>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</si>
  <si>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</si>
  <si>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</si>
  <si>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</si>
  <si>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</si>
  <si>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</si>
  <si>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</si>
  <si>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</si>
  <si>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</si>
  <si>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</si>
  <si>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</si>
  <si>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</si>
  <si>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</si>
  <si>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</si>
  <si>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</si>
  <si>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</si>
  <si>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</si>
  <si>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</si>
  <si>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</si>
  <si>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</si>
  <si>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</si>
  <si>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</si>
  <si>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</si>
  <si>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</si>
  <si>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</si>
  <si>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</si>
  <si>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</si>
  <si>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</si>
  <si>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</si>
  <si>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</si>
  <si>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</si>
  <si>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</si>
  <si>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</si>
  <si>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</si>
  <si>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</si>
  <si>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</si>
  <si>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</si>
  <si>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</si>
  <si>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</si>
  <si>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</si>
  <si>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</si>
  <si>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</si>
  <si>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</si>
  <si>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</si>
  <si>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</si>
  <si>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</si>
  <si>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</si>
  <si>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</si>
  <si>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</si>
  <si>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</si>
  <si>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</si>
  <si>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</si>
  <si>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</si>
  <si>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</si>
  <si>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</si>
  <si>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</si>
  <si>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</si>
  <si>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</si>
  <si>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</si>
  <si>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</si>
  <si>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</si>
  <si>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기계</t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</si>
  <si>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</si>
  <si>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</si>
  <si>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</si>
  <si>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</si>
  <si>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</si>
  <si>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</si>
  <si>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</si>
  <si>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</si>
  <si>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</si>
  <si>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</si>
  <si>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</si>
  <si>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</si>
  <si>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</si>
  <si>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</si>
  <si>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</si>
  <si>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</si>
  <si>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</si>
  <si>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</si>
  <si>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</si>
  <si>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</si>
  <si>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</si>
  <si>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</si>
  <si>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</si>
  <si>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</si>
  <si>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</si>
  <si>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</si>
  <si>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</si>
  <si>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</si>
  <si>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</si>
  <si>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</si>
  <si>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</si>
  <si>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</si>
  <si>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</si>
  <si>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</si>
  <si>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</si>
  <si>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</si>
  <si>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</si>
  <si>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</si>
  <si>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</si>
  <si>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</si>
  <si>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</si>
  <si>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</si>
  <si>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</si>
  <si>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</si>
  <si>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</si>
  <si>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</si>
  <si>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</si>
  <si>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</si>
  <si>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</si>
  <si>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</si>
  <si>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</si>
  <si>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</si>
  <si>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</si>
  <si>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</si>
  <si>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</si>
  <si>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</si>
  <si>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</si>
  <si>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</si>
  <si>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</si>
  <si>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</si>
  <si>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</si>
  <si>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</si>
  <si>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</si>
  <si>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</si>
  <si>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</si>
  <si>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</si>
  <si>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</si>
  <si>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</si>
  <si>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</si>
  <si>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</si>
  <si>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</si>
  <si>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</si>
  <si>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</si>
  <si>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</si>
  <si>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</si>
  <si>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</si>
  <si>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</si>
  <si>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</si>
  <si>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</si>
  <si>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</si>
  <si>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</si>
  <si>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</si>
  <si>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</si>
  <si>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</si>
  <si>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</si>
  <si>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</si>
  <si>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</si>
  <si>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</si>
  <si>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</si>
  <si>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</si>
  <si>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</si>
  <si>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</si>
  <si>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</si>
  <si>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</si>
  <si>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</si>
  <si>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</si>
  <si>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</si>
  <si>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</si>
  <si>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</si>
  <si>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</si>
  <si>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</si>
  <si>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</si>
  <si>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</si>
  <si>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</si>
  <si>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</si>
  <si>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</si>
  <si>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</si>
  <si>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</si>
  <si>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</si>
  <si>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</si>
  <si>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</si>
  <si>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</si>
  <si>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</si>
  <si>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</si>
  <si>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</si>
  <si>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</si>
  <si>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</si>
  <si>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</si>
  <si>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</si>
  <si>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</si>
  <si>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</si>
  <si>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</si>
  <si>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</si>
  <si>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</si>
  <si>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</si>
  <si>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</si>
  <si>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</si>
  <si>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</si>
  <si>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</si>
  <si>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</si>
  <si>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</si>
  <si>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</si>
  <si>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</si>
  <si>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</si>
  <si>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</si>
  <si>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</si>
  <si>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</si>
  <si>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</si>
  <si>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</si>
  <si>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</si>
  <si>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</si>
  <si>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</si>
  <si>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</si>
  <si>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</si>
  <si>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</si>
  <si>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</si>
  <si>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</si>
  <si>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</si>
  <si>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</si>
  <si>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</si>
  <si>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</si>
  <si>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</si>
  <si>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</si>
  <si>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</si>
  <si>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</si>
  <si>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</si>
  <si>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</si>
  <si>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</si>
  <si>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</si>
  <si>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</si>
  <si>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</si>
  <si>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</si>
  <si>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</si>
  <si>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</si>
  <si>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</si>
  <si>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</si>
  <si>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</si>
  <si>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</si>
  <si>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</si>
  <si>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</si>
  <si>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</si>
  <si>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</si>
  <si>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</si>
  <si>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</si>
  <si>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</si>
  <si>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</si>
  <si>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</si>
  <si>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</si>
  <si>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</si>
  <si>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</si>
  <si>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</si>
  <si>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</si>
  <si>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</si>
  <si>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</si>
  <si>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</si>
  <si>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</si>
  <si>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</si>
  <si>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</si>
  <si>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</si>
  <si>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</si>
  <si>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직무 수학</t>
    <phoneticPr fontId="9" type="noConversion"/>
  </si>
  <si>
    <t>공통영어1</t>
    <phoneticPr fontId="9" type="noConversion"/>
  </si>
  <si>
    <t>직무 영어</t>
    <phoneticPr fontId="9" type="noConversion"/>
  </si>
  <si>
    <t>사회(역사/도덕 포함)</t>
    <phoneticPr fontId="9" type="noConversion"/>
  </si>
  <si>
    <t>3~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</si>
  <si>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</si>
  <si>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</si>
  <si>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</si>
  <si>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융합선택</t>
    <phoneticPr fontId="9" type="noConversion"/>
  </si>
  <si>
    <t>기후변화와 환경생태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</si>
  <si>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</si>
  <si>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</si>
  <si>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</si>
  <si>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</si>
  <si>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</si>
  <si>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</si>
  <si>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전공일반</t>
    <phoneticPr fontId="9" type="noConversion"/>
  </si>
  <si>
    <t>전공실무</t>
    <phoneticPr fontId="9" type="noConversion"/>
  </si>
  <si>
    <t>바리스타</t>
    <phoneticPr fontId="9" type="noConversion"/>
  </si>
  <si>
    <t>떡 제조</t>
    <phoneticPr fontId="9" type="noConversion"/>
  </si>
  <si>
    <t>건축·토목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</si>
  <si>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</si>
  <si>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</si>
  <si>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</si>
  <si>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</si>
  <si>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</si>
  <si>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</si>
  <si>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</si>
  <si>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</si>
  <si>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</si>
  <si>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</si>
  <si>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</si>
  <si>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</si>
  <si>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</si>
  <si>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</si>
  <si>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</si>
  <si>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</si>
  <si>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</si>
  <si>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</si>
  <si>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</si>
  <si>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</si>
  <si>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</si>
  <si>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</si>
  <si>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</si>
  <si>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</si>
  <si>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</si>
  <si>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</si>
  <si>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</si>
  <si>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</si>
  <si>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</si>
  <si>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</si>
  <si>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</si>
  <si>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</si>
  <si>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</si>
  <si>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</si>
  <si>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</si>
  <si>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</si>
  <si>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</si>
  <si>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</si>
  <si>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</si>
  <si>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</si>
  <si>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</si>
  <si>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</si>
  <si>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</si>
  <si>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</si>
  <si>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</si>
  <si>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</si>
  <si>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</si>
  <si>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</si>
  <si>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</si>
  <si>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</si>
  <si>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</si>
  <si>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</si>
  <si>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</si>
  <si>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</si>
  <si>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</si>
  <si>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</si>
  <si>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</si>
  <si>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</si>
  <si>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</si>
  <si>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</si>
  <si>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</si>
  <si>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</si>
  <si>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</si>
  <si>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</si>
  <si>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</si>
  <si>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</si>
  <si>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</si>
  <si>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</si>
  <si>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</si>
  <si>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</si>
  <si>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</si>
  <si>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</si>
  <si>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</si>
  <si>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</si>
  <si>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</si>
  <si>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</si>
  <si>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</si>
  <si>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</si>
  <si>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</si>
  <si>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</si>
  <si>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</si>
  <si>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</si>
  <si>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</si>
  <si>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</si>
  <si>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</si>
  <si>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</si>
  <si>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</si>
  <si>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</si>
  <si>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</si>
  <si>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</si>
  <si>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</si>
  <si>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</si>
  <si>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</si>
  <si>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</si>
  <si>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</si>
  <si>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</si>
  <si>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</si>
  <si>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</si>
  <si>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</si>
  <si>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</si>
  <si>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</si>
  <si>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</si>
  <si>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</si>
  <si>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</si>
  <si>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</si>
  <si>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</si>
  <si>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</si>
  <si>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</si>
  <si>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</si>
  <si>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</si>
  <si>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</si>
  <si>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</si>
  <si>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</si>
  <si>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</si>
  <si>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</si>
  <si>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</si>
  <si>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</si>
  <si>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</si>
  <si>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</si>
  <si>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</si>
  <si>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</si>
  <si>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</si>
  <si>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</si>
  <si>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</si>
  <si>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</si>
  <si>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</si>
  <si>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</si>
  <si>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</si>
  <si>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</si>
  <si>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</si>
  <si>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</si>
  <si>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</si>
  <si>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</si>
  <si>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</si>
  <si>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</si>
  <si>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</si>
  <si>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</si>
  <si>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</si>
  <si>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</si>
  <si>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</si>
  <si>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</si>
  <si>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</si>
  <si>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</si>
  <si>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</si>
  <si>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</si>
  <si>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</si>
  <si>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</si>
  <si>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</si>
  <si>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</si>
  <si>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</si>
  <si>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</si>
  <si>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</si>
  <si>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</si>
  <si>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</si>
  <si>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</si>
  <si>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</si>
  <si>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건축토목</t>
  </si>
  <si>
    <t>건축과</t>
  </si>
  <si>
    <t>토목과</t>
  </si>
  <si>
    <t>주산산업고등학교</t>
    <phoneticPr fontId="9" type="noConversion"/>
  </si>
  <si>
    <t>건설시스템과</t>
    <phoneticPr fontId="9" type="noConversion"/>
  </si>
  <si>
    <t>지적 및 측량 기초 기술자, 토목 시공 기초 기술자, 건축 설계 기초 기술자</t>
    <phoneticPr fontId="9" type="noConversion"/>
  </si>
  <si>
    <t>물리학</t>
    <phoneticPr fontId="9" type="noConversion"/>
  </si>
  <si>
    <t>3~5</t>
    <phoneticPr fontId="9" type="noConversion"/>
  </si>
  <si>
    <t>스포츠 문화</t>
    <phoneticPr fontId="9" type="noConversion"/>
  </si>
  <si>
    <t>운동과 건강</t>
    <phoneticPr fontId="9" type="noConversion"/>
  </si>
  <si>
    <t>스포츠 과학</t>
    <phoneticPr fontId="9" type="noConversion"/>
  </si>
  <si>
    <t>음악 연주와 창작</t>
    <phoneticPr fontId="9" type="noConversion"/>
  </si>
  <si>
    <t>2~4</t>
    <phoneticPr fontId="9" type="noConversion"/>
  </si>
  <si>
    <t>디지털과 직업 생활(정보 대체)</t>
    <phoneticPr fontId="9" type="noConversion"/>
  </si>
  <si>
    <t>농림·축산</t>
    <phoneticPr fontId="9" type="noConversion"/>
  </si>
  <si>
    <t>건축·토목</t>
    <phoneticPr fontId="9" type="noConversion"/>
  </si>
  <si>
    <t>토목 일반</t>
    <phoneticPr fontId="5" type="noConversion"/>
  </si>
  <si>
    <t>건설 재료</t>
    <phoneticPr fontId="9" type="noConversion"/>
  </si>
  <si>
    <t>지적</t>
    <phoneticPr fontId="9" type="noConversion"/>
  </si>
  <si>
    <t>측량</t>
    <phoneticPr fontId="9" type="noConversion"/>
  </si>
  <si>
    <t>소형 무인기 운용·조종</t>
    <phoneticPr fontId="9" type="noConversion"/>
  </si>
  <si>
    <t>건축 목공 시공</t>
    <phoneticPr fontId="9" type="noConversion"/>
  </si>
  <si>
    <t>식품·조리</t>
    <phoneticPr fontId="9" type="noConversion"/>
  </si>
  <si>
    <t>기계</t>
    <phoneticPr fontId="9" type="noConversion"/>
  </si>
  <si>
    <t>전공일반</t>
    <phoneticPr fontId="9" type="noConversion"/>
  </si>
  <si>
    <t>조경</t>
    <phoneticPr fontId="9" type="noConversion"/>
  </si>
  <si>
    <t>식품과 영양</t>
    <phoneticPr fontId="9" type="noConversion"/>
  </si>
  <si>
    <t>조경 설계</t>
    <phoneticPr fontId="9" type="noConversion"/>
  </si>
  <si>
    <t>피목 아크 용접</t>
    <phoneticPr fontId="9" type="noConversion"/>
  </si>
  <si>
    <t>조경 시공</t>
    <phoneticPr fontId="9" type="noConversion"/>
  </si>
  <si>
    <t>1402030201_20v3</t>
  </si>
  <si>
    <t>1402030202_20v3</t>
  </si>
  <si>
    <t>1402030203_20v3</t>
  </si>
  <si>
    <t>1402030214_20v1</t>
  </si>
  <si>
    <t>0904010510_16v1</t>
  </si>
  <si>
    <t>0904010516_16v1</t>
  </si>
  <si>
    <t>0904010515_16v1</t>
  </si>
  <si>
    <t>1403020101_14v2</t>
  </si>
  <si>
    <t>먹매김</t>
  </si>
  <si>
    <t>1403020105_14v2</t>
  </si>
  <si>
    <t>구조물 제작설치</t>
  </si>
  <si>
    <t>1403020106_14v2</t>
  </si>
  <si>
    <t>목재창호 제작설치</t>
  </si>
  <si>
    <t>1403020110_14v2</t>
  </si>
  <si>
    <t>측량 기초(기술·가정 대체)</t>
    <phoneticPr fontId="9" type="noConversion"/>
  </si>
  <si>
    <t>건축 일반</t>
    <phoneticPr fontId="5" type="noConversion"/>
  </si>
  <si>
    <t>토질·수리</t>
    <phoneticPr fontId="9" type="noConversion"/>
  </si>
  <si>
    <t>부전공(택1)</t>
    <phoneticPr fontId="9" type="noConversion"/>
  </si>
  <si>
    <t>기계 일반</t>
    <phoneticPr fontId="9" type="noConversion"/>
  </si>
  <si>
    <t>건축 기초 실습</t>
    <phoneticPr fontId="9" type="noConversion"/>
  </si>
  <si>
    <t>산업 설비</t>
    <phoneticPr fontId="9" type="noConversion"/>
  </si>
  <si>
    <t>건축 도장 시공</t>
    <phoneticPr fontId="9" type="noConversion"/>
  </si>
  <si>
    <t>지적</t>
    <phoneticPr fontId="9" type="noConversion"/>
  </si>
  <si>
    <t>평면기준점측량</t>
    <phoneticPr fontId="9" type="noConversion"/>
  </si>
  <si>
    <t>수준점측량</t>
    <phoneticPr fontId="9" type="noConversion"/>
  </si>
  <si>
    <t>지상현황측량</t>
    <phoneticPr fontId="9" type="noConversion"/>
  </si>
  <si>
    <t>드론사진측량</t>
    <phoneticPr fontId="9" type="noConversion"/>
  </si>
  <si>
    <t>1402030101_14v2</t>
    <phoneticPr fontId="9" type="noConversion"/>
  </si>
  <si>
    <t>1402030107_14v2</t>
    <phoneticPr fontId="9" type="noConversion"/>
  </si>
  <si>
    <t>지적기준점측량</t>
    <phoneticPr fontId="9" type="noConversion"/>
  </si>
  <si>
    <t>세부측량</t>
    <phoneticPr fontId="9" type="noConversion"/>
  </si>
  <si>
    <t>지적재조사</t>
    <phoneticPr fontId="9" type="noConversion"/>
  </si>
  <si>
    <t>지적확정</t>
    <phoneticPr fontId="9" type="noConversion"/>
  </si>
  <si>
    <t>축척변경</t>
    <phoneticPr fontId="9" type="noConversion"/>
  </si>
  <si>
    <t>토지등록</t>
    <phoneticPr fontId="9" type="noConversion"/>
  </si>
  <si>
    <t>지적공부 관리</t>
    <phoneticPr fontId="9" type="noConversion"/>
  </si>
  <si>
    <t>1402030102_14v2</t>
    <phoneticPr fontId="9" type="noConversion"/>
  </si>
  <si>
    <t>1402030103_14v2</t>
    <phoneticPr fontId="9" type="noConversion"/>
  </si>
  <si>
    <t>1402030104_14v2</t>
    <phoneticPr fontId="9" type="noConversion"/>
  </si>
  <si>
    <t>1402030105_14v2</t>
    <phoneticPr fontId="9" type="noConversion"/>
  </si>
  <si>
    <t>지번변경</t>
    <phoneticPr fontId="9" type="noConversion"/>
  </si>
  <si>
    <t>1402030108_14v2</t>
    <phoneticPr fontId="9" type="noConversion"/>
  </si>
  <si>
    <t>1402030109_14v2</t>
    <phoneticPr fontId="9" type="noConversion"/>
  </si>
  <si>
    <t>소형무인기 촬영 운용</t>
    <phoneticPr fontId="9" type="noConversion"/>
  </si>
  <si>
    <t>소형무인기 운용 관리</t>
    <phoneticPr fontId="9" type="noConversion"/>
  </si>
  <si>
    <t>소형무인기 공간정보 운용</t>
    <phoneticPr fontId="9" type="noConversion"/>
  </si>
  <si>
    <t>건축목공시공 도면파악</t>
    <phoneticPr fontId="9" type="noConversion"/>
  </si>
  <si>
    <t>건축도장시공 도면파악</t>
    <phoneticPr fontId="9" type="noConversion"/>
  </si>
  <si>
    <t>건축도장시공 현장안전</t>
    <phoneticPr fontId="9" type="noConversion"/>
  </si>
  <si>
    <t>도포면 바탕 처리</t>
    <phoneticPr fontId="9" type="noConversion"/>
  </si>
  <si>
    <t>콘크리트면 수성페인트 도장</t>
    <phoneticPr fontId="9" type="noConversion"/>
  </si>
  <si>
    <t>목부 유성페인트 도장</t>
    <phoneticPr fontId="9" type="noConversion"/>
  </si>
  <si>
    <t>목부 래커 도장</t>
    <phoneticPr fontId="9" type="noConversion"/>
  </si>
  <si>
    <t>1403020501_14v2</t>
    <phoneticPr fontId="9" type="noConversion"/>
  </si>
  <si>
    <t>1403020502_14v2</t>
    <phoneticPr fontId="9" type="noConversion"/>
  </si>
  <si>
    <t>1403020504_14v2</t>
    <phoneticPr fontId="9" type="noConversion"/>
  </si>
  <si>
    <t>1403020505_14v2</t>
    <phoneticPr fontId="9" type="noConversion"/>
  </si>
  <si>
    <t>1403020508_14v2</t>
    <phoneticPr fontId="9" type="noConversion"/>
  </si>
  <si>
    <t>1403020509_14v2</t>
    <phoneticPr fontId="9" type="noConversion"/>
  </si>
  <si>
    <t>1학기)건축 도면 해석과 제도
2학기)토목 도면 해석과 제도</t>
    <phoneticPr fontId="9" type="noConversion"/>
  </si>
  <si>
    <t>주산산업고등학교</t>
    <phoneticPr fontId="9" type="noConversion"/>
  </si>
  <si>
    <t>건설시스템과</t>
    <phoneticPr fontId="9" type="noConversion"/>
  </si>
  <si>
    <t>전문</t>
    <phoneticPr fontId="9" type="noConversion"/>
  </si>
  <si>
    <t>조배현</t>
  </si>
  <si>
    <t>041-928-8100</t>
  </si>
  <si>
    <t>김흥수</t>
  </si>
  <si>
    <t>041-928-8172</t>
  </si>
  <si>
    <t>이주현</t>
  </si>
  <si>
    <t>041-928-8112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</si>
</sst>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5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indexed="64"/>
      </patternFill>
    </fill>
  </fills>
  <borders count="19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7" fillId="0" borderId="0"/>
  </cellStyleXfs>
  <cellXfs count="5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3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0" fillId="0" borderId="6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30" fillId="0" borderId="21" xfId="0" applyFont="1" applyBorder="1" applyAlignment="1">
      <alignment vertical="center"/>
    </xf>
    <xf numFmtId="0" fontId="13" fillId="10" borderId="95" xfId="6" applyFont="1" applyFill="1" applyBorder="1" applyAlignment="1" applyProtection="1">
      <alignment horizontal="center" vertical="center" wrapText="1"/>
    </xf>
    <xf numFmtId="0" fontId="12" fillId="12" borderId="96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24" fillId="3" borderId="55" xfId="3" applyFont="1" applyBorder="1" applyAlignment="1" applyProtection="1">
      <alignment horizontal="center" vertical="center"/>
      <protection locked="0"/>
    </xf>
    <xf numFmtId="0" fontId="27" fillId="11" borderId="97" xfId="7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1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07" xfId="0" applyFont="1" applyBorder="1" applyAlignment="1" applyProtection="1">
      <alignment horizontal="center" vertical="center"/>
      <protection locked="0"/>
    </xf>
    <xf numFmtId="0" fontId="12" fillId="0" borderId="107" xfId="0" applyFont="1" applyBorder="1" applyAlignment="1" applyProtection="1">
      <alignment horizontal="center" vertical="center" shrinkToFit="1"/>
      <protection locked="0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33" xfId="4" applyFont="1" applyFill="1" applyBorder="1" applyAlignment="1" applyProtection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176" fontId="13" fillId="15" borderId="99" xfId="0" applyNumberFormat="1" applyFont="1" applyFill="1" applyBorder="1" applyAlignment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176" fontId="13" fillId="15" borderId="79" xfId="0" applyNumberFormat="1" applyFont="1" applyFill="1" applyBorder="1" applyAlignment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45" xfId="5" applyFont="1" applyFill="1" applyBorder="1" applyAlignment="1" applyProtection="1">
      <alignment horizontal="center" vertical="center" wrapText="1"/>
    </xf>
    <xf numFmtId="0" fontId="13" fillId="15" borderId="100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1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99" xfId="4" applyFont="1" applyFill="1" applyBorder="1" applyAlignment="1" applyProtection="1">
      <alignment horizontal="center" vertical="center" wrapText="1"/>
    </xf>
    <xf numFmtId="0" fontId="22" fillId="0" borderId="0" xfId="0" applyFont="1" applyAlignment="1" applyProtection="1">
      <alignment horizontal="center" vertical="center"/>
      <protection locked="0"/>
    </xf>
    <xf numFmtId="0" fontId="13" fillId="15" borderId="99" xfId="4" applyFont="1" applyFill="1" applyBorder="1" applyAlignment="1" applyProtection="1">
      <alignment horizontal="center" vertical="center" shrinkToFit="1"/>
    </xf>
    <xf numFmtId="0" fontId="13" fillId="6" borderId="72" xfId="4" applyFont="1" applyFill="1" applyBorder="1" applyAlignment="1" applyProtection="1">
      <alignment horizontal="center" vertical="center" wrapText="1"/>
    </xf>
    <xf numFmtId="0" fontId="21" fillId="0" borderId="121" xfId="0" applyFont="1" applyBorder="1" applyAlignment="1" applyProtection="1">
      <alignment horizontal="center" vertical="center"/>
      <protection locked="0"/>
    </xf>
    <xf numFmtId="0" fontId="33" fillId="0" borderId="0" xfId="16" applyFont="1" applyAlignment="1">
      <alignment vertical="center"/>
    </xf>
    <xf numFmtId="0" fontId="16" fillId="0" borderId="0" xfId="16" applyFont="1" applyAlignment="1"/>
    <xf numFmtId="0" fontId="33" fillId="18" borderId="122" xfId="16" applyFont="1" applyFill="1" applyBorder="1" applyAlignment="1">
      <alignment horizontal="center" vertical="center"/>
    </xf>
    <xf numFmtId="0" fontId="33" fillId="0" borderId="123" xfId="16" applyFont="1" applyBorder="1" applyAlignment="1">
      <alignment vertical="center"/>
    </xf>
    <xf numFmtId="0" fontId="33" fillId="0" borderId="28" xfId="16" applyFont="1" applyBorder="1" applyAlignment="1">
      <alignment vertical="center"/>
    </xf>
    <xf numFmtId="0" fontId="33" fillId="0" borderId="25" xfId="16" applyFont="1" applyBorder="1" applyAlignment="1">
      <alignment vertical="center"/>
    </xf>
    <xf numFmtId="0" fontId="33" fillId="0" borderId="4" xfId="16" applyFont="1" applyBorder="1" applyAlignment="1">
      <alignment vertical="center"/>
    </xf>
    <xf numFmtId="0" fontId="33" fillId="0" borderId="125" xfId="16" applyFont="1" applyBorder="1" applyAlignment="1">
      <alignment vertical="center"/>
    </xf>
    <xf numFmtId="0" fontId="33" fillId="0" borderId="21" xfId="16" applyFont="1" applyBorder="1" applyAlignment="1">
      <alignment vertical="center"/>
    </xf>
    <xf numFmtId="0" fontId="33" fillId="0" borderId="6" xfId="16" applyFont="1" applyBorder="1" applyAlignment="1">
      <alignment vertical="center"/>
    </xf>
    <xf numFmtId="0" fontId="33" fillId="0" borderId="130" xfId="16" applyFont="1" applyBorder="1" applyAlignment="1">
      <alignment vertical="center"/>
    </xf>
    <xf numFmtId="0" fontId="33" fillId="0" borderId="3" xfId="16" applyFont="1" applyBorder="1" applyAlignment="1">
      <alignment vertical="center"/>
    </xf>
    <xf numFmtId="0" fontId="33" fillId="0" borderId="22" xfId="16" applyFont="1" applyBorder="1" applyAlignment="1">
      <alignment vertical="center"/>
    </xf>
    <xf numFmtId="0" fontId="33" fillId="0" borderId="19" xfId="16" applyFont="1" applyBorder="1" applyAlignment="1">
      <alignment vertical="center"/>
    </xf>
    <xf numFmtId="0" fontId="33" fillId="20" borderId="136" xfId="16" applyFont="1" applyFill="1" applyBorder="1" applyAlignment="1">
      <alignment horizontal="center" vertical="center" wrapText="1"/>
    </xf>
    <xf numFmtId="0" fontId="33" fillId="20" borderId="137" xfId="16" applyFont="1" applyFill="1" applyBorder="1" applyAlignment="1">
      <alignment horizontal="center" vertical="center" wrapText="1"/>
    </xf>
    <xf numFmtId="0" fontId="43" fillId="20" borderId="137" xfId="16" applyFont="1" applyFill="1" applyBorder="1" applyAlignment="1">
      <alignment horizontal="center" vertical="center" wrapText="1"/>
    </xf>
    <xf numFmtId="0" fontId="43" fillId="20" borderId="138" xfId="16" applyFont="1" applyFill="1" applyBorder="1" applyAlignment="1">
      <alignment horizontal="center" vertical="center" wrapText="1"/>
    </xf>
    <xf numFmtId="0" fontId="33" fillId="0" borderId="21" xfId="16" applyFont="1" applyBorder="1" applyAlignment="1">
      <alignment vertical="center" wrapText="1"/>
    </xf>
    <xf numFmtId="0" fontId="33" fillId="0" borderId="6" xfId="16" applyFont="1" applyBorder="1" applyAlignment="1">
      <alignment vertical="center" wrapText="1"/>
    </xf>
    <xf numFmtId="0" fontId="44" fillId="0" borderId="142" xfId="16" applyFont="1" applyBorder="1" applyAlignment="1">
      <alignment horizontal="center" vertical="center" wrapText="1"/>
    </xf>
    <xf numFmtId="0" fontId="44" fillId="0" borderId="144" xfId="16" applyFont="1" applyBorder="1" applyAlignment="1">
      <alignment horizontal="center" vertical="center" wrapText="1"/>
    </xf>
    <xf numFmtId="0" fontId="44" fillId="0" borderId="148" xfId="16" applyFont="1" applyBorder="1" applyAlignment="1">
      <alignment horizontal="center" vertical="center" wrapText="1"/>
    </xf>
    <xf numFmtId="0" fontId="44" fillId="0" borderId="149" xfId="16" applyFont="1" applyBorder="1" applyAlignment="1">
      <alignment horizontal="center" vertical="center" wrapText="1"/>
    </xf>
    <xf numFmtId="0" fontId="44" fillId="0" borderId="152" xfId="16" applyFont="1" applyBorder="1" applyAlignment="1">
      <alignment horizontal="center" vertical="center" wrapText="1"/>
    </xf>
    <xf numFmtId="0" fontId="44" fillId="0" borderId="153" xfId="16" applyFont="1" applyBorder="1" applyAlignment="1">
      <alignment horizontal="center" vertical="center" wrapText="1"/>
    </xf>
    <xf numFmtId="0" fontId="44" fillId="0" borderId="155" xfId="16" applyFont="1" applyBorder="1" applyAlignment="1">
      <alignment horizontal="center" vertical="center" wrapText="1"/>
    </xf>
    <xf numFmtId="0" fontId="33" fillId="0" borderId="155" xfId="16" applyFont="1" applyBorder="1" applyAlignment="1">
      <alignment horizontal="center" vertical="center" wrapText="1"/>
    </xf>
    <xf numFmtId="0" fontId="44" fillId="0" borderId="156" xfId="16" applyFont="1" applyBorder="1" applyAlignment="1">
      <alignment horizontal="center" vertical="center" wrapText="1"/>
    </xf>
    <xf numFmtId="0" fontId="33" fillId="0" borderId="149" xfId="16" applyFont="1" applyBorder="1" applyAlignment="1">
      <alignment horizontal="center" vertical="center" wrapText="1"/>
    </xf>
    <xf numFmtId="0" fontId="33" fillId="0" borderId="152" xfId="16" applyFont="1" applyBorder="1" applyAlignment="1">
      <alignment horizontal="center" vertical="center" wrapText="1"/>
    </xf>
    <xf numFmtId="0" fontId="44" fillId="0" borderId="128" xfId="16" applyFont="1" applyBorder="1" applyAlignment="1">
      <alignment horizontal="center" vertical="center" wrapText="1"/>
    </xf>
    <xf numFmtId="0" fontId="46" fillId="20" borderId="128" xfId="16" applyFont="1" applyFill="1" applyBorder="1" applyAlignment="1">
      <alignment horizontal="center" vertical="center" wrapText="1"/>
    </xf>
    <xf numFmtId="0" fontId="47" fillId="0" borderId="149" xfId="16" applyFont="1" applyBorder="1" applyAlignment="1">
      <alignment horizontal="center" vertical="center" wrapText="1"/>
    </xf>
    <xf numFmtId="0" fontId="47" fillId="0" borderId="127" xfId="16" applyFont="1" applyBorder="1" applyAlignment="1">
      <alignment horizontal="center" vertical="center" wrapText="1"/>
    </xf>
    <xf numFmtId="0" fontId="46" fillId="0" borderId="128" xfId="16" applyFont="1" applyBorder="1" applyAlignment="1">
      <alignment horizontal="center" vertical="center" wrapText="1"/>
    </xf>
    <xf numFmtId="0" fontId="33" fillId="0" borderId="0" xfId="16" applyFont="1" applyBorder="1" applyAlignment="1">
      <alignment vertical="center"/>
    </xf>
    <xf numFmtId="0" fontId="48" fillId="0" borderId="0" xfId="16" applyFont="1" applyBorder="1" applyAlignment="1">
      <alignment horizontal="center" vertical="center"/>
    </xf>
    <xf numFmtId="0" fontId="42" fillId="0" borderId="128" xfId="16" applyFont="1" applyBorder="1" applyAlignment="1">
      <alignment horizontal="center" vertical="center"/>
    </xf>
    <xf numFmtId="0" fontId="42" fillId="19" borderId="149" xfId="16" applyFont="1" applyFill="1" applyBorder="1" applyAlignment="1">
      <alignment horizontal="center" vertical="center"/>
    </xf>
    <xf numFmtId="0" fontId="42" fillId="19" borderId="127" xfId="16" applyFont="1" applyFill="1" applyBorder="1" applyAlignment="1">
      <alignment horizontal="center" vertical="center" wrapText="1"/>
    </xf>
    <xf numFmtId="0" fontId="48" fillId="0" borderId="149" xfId="16" applyFont="1" applyBorder="1" applyAlignment="1">
      <alignment horizontal="center" vertical="center" wrapText="1"/>
    </xf>
    <xf numFmtId="0" fontId="48" fillId="0" borderId="128" xfId="16" applyFont="1" applyBorder="1" applyAlignment="1">
      <alignment horizontal="center" vertical="center" wrapText="1"/>
    </xf>
    <xf numFmtId="0" fontId="42" fillId="0" borderId="149" xfId="16" applyFont="1" applyBorder="1" applyAlignment="1">
      <alignment horizontal="center" vertical="center" wrapText="1"/>
    </xf>
    <xf numFmtId="0" fontId="42" fillId="0" borderId="128" xfId="16" applyFont="1" applyBorder="1" applyAlignment="1">
      <alignment horizontal="center" vertical="center" wrapText="1"/>
    </xf>
    <xf numFmtId="0" fontId="33" fillId="0" borderId="149" xfId="16" applyFont="1" applyBorder="1" applyAlignment="1">
      <alignment vertical="center" wrapText="1"/>
    </xf>
    <xf numFmtId="0" fontId="33" fillId="0" borderId="0" xfId="16" applyFont="1" applyBorder="1" applyAlignment="1">
      <alignment vertical="center" wrapText="1"/>
    </xf>
    <xf numFmtId="0" fontId="42" fillId="19" borderId="128" xfId="16" applyFont="1" applyFill="1" applyBorder="1" applyAlignment="1">
      <alignment horizontal="center" vertical="center"/>
    </xf>
    <xf numFmtId="0" fontId="42" fillId="0" borderId="127" xfId="16" applyFont="1" applyBorder="1" applyAlignment="1">
      <alignment horizontal="center" vertical="center"/>
    </xf>
    <xf numFmtId="0" fontId="42" fillId="0" borderId="149" xfId="16" applyFont="1" applyBorder="1" applyAlignment="1">
      <alignment horizontal="center" vertical="center"/>
    </xf>
    <xf numFmtId="0" fontId="49" fillId="0" borderId="149" xfId="16" applyFont="1" applyBorder="1" applyAlignment="1">
      <alignment horizontal="center" vertical="center"/>
    </xf>
    <xf numFmtId="0" fontId="49" fillId="0" borderId="128" xfId="16" applyFont="1" applyBorder="1" applyAlignment="1">
      <alignment horizontal="center" vertical="center"/>
    </xf>
    <xf numFmtId="0" fontId="33" fillId="0" borderId="135" xfId="16" applyFont="1" applyBorder="1" applyAlignment="1">
      <alignment vertical="center"/>
    </xf>
    <xf numFmtId="0" fontId="33" fillId="0" borderId="133" xfId="16" applyFont="1" applyBorder="1" applyAlignment="1">
      <alignment vertical="center"/>
    </xf>
    <xf numFmtId="0" fontId="33" fillId="0" borderId="160" xfId="16" applyFont="1" applyBorder="1" applyAlignment="1">
      <alignment vertical="center"/>
    </xf>
    <xf numFmtId="0" fontId="33" fillId="0" borderId="161" xfId="16" applyFont="1" applyBorder="1" applyAlignment="1">
      <alignment vertical="center"/>
    </xf>
    <xf numFmtId="0" fontId="33" fillId="0" borderId="110" xfId="16" applyFont="1" applyBorder="1" applyAlignment="1">
      <alignment vertical="center"/>
    </xf>
    <xf numFmtId="0" fontId="33" fillId="0" borderId="131" xfId="16" applyFont="1" applyBorder="1" applyAlignment="1">
      <alignment vertical="center"/>
    </xf>
    <xf numFmtId="0" fontId="33" fillId="0" borderId="163" xfId="16" applyFont="1" applyBorder="1" applyAlignment="1">
      <alignment vertical="center"/>
    </xf>
    <xf numFmtId="0" fontId="33" fillId="0" borderId="164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3" fillId="15" borderId="17" xfId="4" applyFont="1" applyFill="1" applyBorder="1" applyAlignment="1" applyProtection="1">
      <alignment horizontal="center" vertical="center" wrapText="1"/>
    </xf>
    <xf numFmtId="0" fontId="13" fillId="15" borderId="68" xfId="4" applyFont="1" applyFill="1" applyBorder="1" applyAlignment="1" applyProtection="1">
      <alignment horizontal="center" vertical="center" wrapText="1"/>
    </xf>
    <xf numFmtId="0" fontId="13" fillId="15" borderId="102" xfId="4" applyFont="1" applyFill="1" applyBorder="1" applyAlignment="1" applyProtection="1">
      <alignment horizontal="center" vertical="center" wrapText="1"/>
    </xf>
    <xf numFmtId="176" fontId="13" fillId="15" borderId="100" xfId="0" applyNumberFormat="1" applyFont="1" applyFill="1" applyBorder="1" applyAlignment="1">
      <alignment horizontal="center" vertical="center" wrapText="1"/>
    </xf>
    <xf numFmtId="0" fontId="13" fillId="15" borderId="169" xfId="4" applyFont="1" applyFill="1" applyBorder="1" applyAlignment="1" applyProtection="1">
      <alignment horizontal="center" vertical="center" wrapText="1"/>
    </xf>
    <xf numFmtId="0" fontId="13" fillId="15" borderId="170" xfId="4" applyFont="1" applyFill="1" applyBorder="1" applyAlignment="1" applyProtection="1">
      <alignment horizontal="center" vertical="center" wrapText="1"/>
    </xf>
    <xf numFmtId="0" fontId="13" fillId="15" borderId="171" xfId="4" applyFont="1" applyFill="1" applyBorder="1" applyAlignment="1" applyProtection="1">
      <alignment horizontal="center" vertical="center" wrapText="1"/>
    </xf>
    <xf numFmtId="0" fontId="13" fillId="15" borderId="169" xfId="5" applyFont="1" applyFill="1" applyBorder="1" applyAlignment="1" applyProtection="1">
      <alignment horizontal="center" vertical="center" wrapText="1"/>
    </xf>
    <xf numFmtId="0" fontId="21" fillId="15" borderId="39" xfId="4" applyFont="1" applyFill="1" applyBorder="1" applyAlignment="1" applyProtection="1">
      <alignment horizontal="center" vertical="center" wrapText="1"/>
    </xf>
    <xf numFmtId="0" fontId="13" fillId="0" borderId="101" xfId="4" applyFont="1" applyFill="1" applyBorder="1" applyAlignment="1" applyProtection="1">
      <alignment horizontal="center" vertical="center" wrapText="1"/>
    </xf>
    <xf numFmtId="0" fontId="13" fillId="0" borderId="33" xfId="4" applyFont="1" applyFill="1" applyBorder="1" applyAlignment="1" applyProtection="1">
      <alignment horizontal="center" vertical="center" wrapText="1"/>
    </xf>
    <xf numFmtId="0" fontId="13" fillId="0" borderId="65" xfId="4" applyFont="1" applyFill="1" applyBorder="1" applyAlignment="1" applyProtection="1">
      <alignment vertical="center" wrapText="1"/>
    </xf>
    <xf numFmtId="0" fontId="13" fillId="15" borderId="172" xfId="4" applyFont="1" applyFill="1" applyBorder="1" applyAlignment="1" applyProtection="1">
      <alignment horizontal="center" vertical="center" wrapText="1"/>
    </xf>
    <xf numFmtId="0" fontId="13" fillId="0" borderId="94" xfId="4" applyFont="1" applyFill="1" applyBorder="1" applyAlignment="1" applyProtection="1">
      <alignment vertical="center" wrapText="1"/>
    </xf>
    <xf numFmtId="0" fontId="13" fillId="0" borderId="54" xfId="4" applyFont="1" applyFill="1" applyBorder="1" applyAlignment="1" applyProtection="1">
      <alignment vertical="center" wrapText="1"/>
    </xf>
    <xf numFmtId="0" fontId="13" fillId="0" borderId="54" xfId="4" applyFont="1" applyFill="1" applyBorder="1" applyAlignment="1" applyProtection="1">
      <alignment horizontal="center" vertical="center" wrapText="1"/>
    </xf>
    <xf numFmtId="0" fontId="55" fillId="0" borderId="179" xfId="0" applyFont="1" applyBorder="1" applyAlignment="1">
      <alignment horizontal="center" vertical="center" wrapText="1"/>
    </xf>
    <xf numFmtId="0" fontId="19" fillId="9" borderId="96" xfId="7" applyNumberFormat="1" applyFont="1" applyFill="1" applyBorder="1" applyAlignment="1" applyProtection="1">
      <alignment horizontal="center" vertical="center" shrinkToFit="1"/>
    </xf>
    <xf numFmtId="176" fontId="19" fillId="9" borderId="96" xfId="7" applyNumberFormat="1" applyFont="1" applyFill="1" applyBorder="1" applyAlignment="1" applyProtection="1">
      <alignment horizontal="center" vertical="center" shrinkToFit="1"/>
    </xf>
    <xf numFmtId="176" fontId="53" fillId="0" borderId="96" xfId="0" applyNumberFormat="1" applyFont="1" applyBorder="1">
      <alignment vertical="center"/>
    </xf>
    <xf numFmtId="176" fontId="53" fillId="0" borderId="30" xfId="0" applyNumberFormat="1" applyFont="1" applyBorder="1">
      <alignment vertical="center"/>
    </xf>
    <xf numFmtId="0" fontId="55" fillId="0" borderId="149" xfId="0" applyFont="1" applyBorder="1" applyAlignment="1">
      <alignment horizontal="center" vertical="center" wrapText="1"/>
    </xf>
    <xf numFmtId="0" fontId="55" fillId="0" borderId="180" xfId="0" applyFont="1" applyBorder="1" applyAlignment="1">
      <alignment horizontal="center" vertical="center" wrapText="1"/>
    </xf>
    <xf numFmtId="0" fontId="19" fillId="9" borderId="12" xfId="7" applyNumberFormat="1" applyFont="1" applyFill="1" applyBorder="1" applyAlignment="1" applyProtection="1">
      <alignment horizontal="center" vertical="center" shrinkToFit="1"/>
    </xf>
    <xf numFmtId="176" fontId="19" fillId="9" borderId="12" xfId="7" applyNumberFormat="1" applyFont="1" applyFill="1" applyBorder="1" applyAlignment="1" applyProtection="1">
      <alignment horizontal="center" vertical="center" shrinkToFit="1"/>
    </xf>
    <xf numFmtId="176" fontId="19" fillId="9" borderId="15" xfId="7" applyNumberFormat="1" applyFont="1" applyFill="1" applyBorder="1" applyAlignment="1" applyProtection="1">
      <alignment horizontal="center" vertical="center" shrinkToFit="1"/>
    </xf>
    <xf numFmtId="0" fontId="19" fillId="9" borderId="15" xfId="7" applyNumberFormat="1" applyFont="1" applyFill="1" applyBorder="1" applyAlignment="1" applyProtection="1">
      <alignment horizontal="center" vertical="center" shrinkToFit="1"/>
    </xf>
    <xf numFmtId="176" fontId="53" fillId="0" borderId="15" xfId="0" applyNumberFormat="1" applyFont="1" applyBorder="1">
      <alignment vertical="center"/>
    </xf>
    <xf numFmtId="176" fontId="53" fillId="0" borderId="11" xfId="0" applyNumberFormat="1" applyFont="1" applyBorder="1">
      <alignment vertical="center"/>
    </xf>
    <xf numFmtId="176" fontId="54" fillId="16" borderId="97" xfId="7" applyNumberFormat="1" applyFont="1" applyFill="1" applyBorder="1" applyAlignment="1" applyProtection="1">
      <alignment horizontal="center" vertical="center" shrinkToFit="1"/>
    </xf>
    <xf numFmtId="176" fontId="54" fillId="16" borderId="97" xfId="7" applyNumberFormat="1" applyFont="1" applyFill="1" applyBorder="1" applyAlignment="1" applyProtection="1">
      <alignment horizontal="right" vertical="center" shrinkToFit="1"/>
    </xf>
    <xf numFmtId="176" fontId="55" fillId="9" borderId="96" xfId="7" applyNumberFormat="1" applyFont="1" applyFill="1" applyBorder="1" applyAlignment="1" applyProtection="1">
      <alignment horizontal="center" vertical="center" shrinkToFit="1"/>
    </xf>
    <xf numFmtId="176" fontId="55" fillId="9" borderId="12" xfId="7" applyNumberFormat="1" applyFont="1" applyFill="1" applyBorder="1" applyAlignment="1" applyProtection="1">
      <alignment horizontal="center" vertical="center" shrinkToFit="1"/>
    </xf>
    <xf numFmtId="0" fontId="55" fillId="9" borderId="12" xfId="7" applyNumberFormat="1" applyFont="1" applyFill="1" applyBorder="1" applyAlignment="1" applyProtection="1">
      <alignment horizontal="center" vertical="center" shrinkToFit="1"/>
    </xf>
    <xf numFmtId="0" fontId="55" fillId="0" borderId="181" xfId="0" applyFont="1" applyBorder="1" applyAlignment="1">
      <alignment horizontal="center" vertical="center" wrapText="1"/>
    </xf>
    <xf numFmtId="176" fontId="55" fillId="9" borderId="15" xfId="7" applyNumberFormat="1" applyFont="1" applyFill="1" applyBorder="1" applyAlignment="1" applyProtection="1">
      <alignment horizontal="center" vertical="center" shrinkToFit="1"/>
    </xf>
    <xf numFmtId="176" fontId="53" fillId="0" borderId="12" xfId="0" applyNumberFormat="1" applyFont="1" applyBorder="1">
      <alignment vertical="center"/>
    </xf>
    <xf numFmtId="176" fontId="53" fillId="0" borderId="105" xfId="0" applyNumberFormat="1" applyFont="1" applyBorder="1">
      <alignment vertical="center"/>
    </xf>
    <xf numFmtId="0" fontId="54" fillId="16" borderId="9" xfId="7" applyNumberFormat="1" applyFont="1" applyFill="1" applyBorder="1" applyAlignment="1" applyProtection="1">
      <alignment horizontal="center" vertical="center" shrinkToFit="1"/>
    </xf>
    <xf numFmtId="0" fontId="56" fillId="16" borderId="97" xfId="7" applyNumberFormat="1" applyFont="1" applyFill="1" applyBorder="1" applyAlignment="1" applyProtection="1">
      <alignment horizontal="center" vertical="center" shrinkToFit="1"/>
    </xf>
    <xf numFmtId="0" fontId="55" fillId="0" borderId="96" xfId="7" applyNumberFormat="1" applyFont="1" applyFill="1" applyBorder="1" applyAlignment="1" applyProtection="1">
      <alignment horizontal="center" vertical="center" shrinkToFit="1"/>
    </xf>
    <xf numFmtId="0" fontId="55" fillId="9" borderId="15" xfId="7" applyNumberFormat="1" applyFont="1" applyFill="1" applyBorder="1" applyAlignment="1" applyProtection="1">
      <alignment horizontal="center" vertical="center" shrinkToFit="1"/>
    </xf>
    <xf numFmtId="0" fontId="54" fillId="16" borderId="18" xfId="7" applyNumberFormat="1" applyFont="1" applyFill="1" applyBorder="1" applyAlignment="1" applyProtection="1">
      <alignment horizontal="center" vertical="center" shrinkToFit="1"/>
    </xf>
    <xf numFmtId="0" fontId="55" fillId="21" borderId="178" xfId="0" applyFont="1" applyFill="1" applyBorder="1" applyAlignment="1">
      <alignment horizontal="center" vertical="center" wrapText="1"/>
    </xf>
    <xf numFmtId="0" fontId="55" fillId="21" borderId="179" xfId="0" applyFont="1" applyFill="1" applyBorder="1" applyAlignment="1">
      <alignment horizontal="center" vertical="center" wrapText="1"/>
    </xf>
    <xf numFmtId="0" fontId="55" fillId="21" borderId="149" xfId="0" applyFont="1" applyFill="1" applyBorder="1" applyAlignment="1">
      <alignment horizontal="center" vertical="center" wrapText="1"/>
    </xf>
    <xf numFmtId="0" fontId="55" fillId="21" borderId="180" xfId="0" applyFont="1" applyFill="1" applyBorder="1" applyAlignment="1">
      <alignment horizontal="center" vertical="center" wrapText="1"/>
    </xf>
    <xf numFmtId="176" fontId="54" fillId="16" borderId="31" xfId="7" applyNumberFormat="1" applyFont="1" applyFill="1" applyBorder="1" applyAlignment="1" applyProtection="1">
      <alignment horizontal="right" vertical="center" shrinkToFit="1"/>
    </xf>
    <xf numFmtId="0" fontId="55" fillId="0" borderId="134" xfId="0" applyFont="1" applyBorder="1" applyAlignment="1">
      <alignment horizontal="center" vertical="center" wrapText="1"/>
    </xf>
    <xf numFmtId="0" fontId="55" fillId="0" borderId="186" xfId="0" applyFont="1" applyBorder="1" applyAlignment="1">
      <alignment horizontal="center" vertical="center" wrapText="1"/>
    </xf>
    <xf numFmtId="0" fontId="55" fillId="0" borderId="12" xfId="7" applyNumberFormat="1" applyFont="1" applyFill="1" applyBorder="1" applyAlignment="1" applyProtection="1">
      <alignment horizontal="center" vertical="center" shrinkToFit="1"/>
    </xf>
    <xf numFmtId="0" fontId="55" fillId="0" borderId="187" xfId="0" applyFont="1" applyBorder="1" applyAlignment="1">
      <alignment horizontal="center" vertical="center" wrapText="1"/>
    </xf>
    <xf numFmtId="0" fontId="55" fillId="0" borderId="127" xfId="0" applyFont="1" applyBorder="1" applyAlignment="1">
      <alignment horizontal="center" vertical="center" wrapText="1"/>
    </xf>
    <xf numFmtId="0" fontId="54" fillId="16" borderId="97" xfId="7" applyNumberFormat="1" applyFont="1" applyFill="1" applyBorder="1" applyAlignment="1" applyProtection="1">
      <alignment horizontal="center" vertical="center" shrinkToFit="1"/>
    </xf>
    <xf numFmtId="0" fontId="19" fillId="9" borderId="189" xfId="7" applyNumberFormat="1" applyFont="1" applyFill="1" applyBorder="1" applyAlignment="1" applyProtection="1">
      <alignment horizontal="center" vertical="center" shrinkToFit="1"/>
    </xf>
    <xf numFmtId="0" fontId="19" fillId="9" borderId="190" xfId="7" applyNumberFormat="1" applyFont="1" applyFill="1" applyBorder="1" applyAlignment="1" applyProtection="1">
      <alignment horizontal="center" vertical="center" shrinkToFit="1"/>
    </xf>
    <xf numFmtId="0" fontId="19" fillId="9" borderId="191" xfId="7" applyNumberFormat="1" applyFont="1" applyFill="1" applyBorder="1" applyAlignment="1" applyProtection="1">
      <alignment horizontal="center" vertical="center" shrinkToFit="1"/>
    </xf>
    <xf numFmtId="0" fontId="55" fillId="0" borderId="194" xfId="0" applyFont="1" applyBorder="1" applyAlignment="1">
      <alignment horizontal="center" vertical="center" wrapText="1"/>
    </xf>
    <xf numFmtId="0" fontId="55" fillId="0" borderId="195" xfId="0" applyFont="1" applyBorder="1" applyAlignment="1">
      <alignment horizontal="center" vertical="center" wrapText="1"/>
    </xf>
    <xf numFmtId="0" fontId="55" fillId="0" borderId="196" xfId="0" applyFont="1" applyBorder="1" applyAlignment="1">
      <alignment horizontal="center" vertical="center" wrapText="1"/>
    </xf>
    <xf numFmtId="0" fontId="55" fillId="0" borderId="197" xfId="0" applyFont="1" applyBorder="1" applyAlignment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5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79" xfId="4" applyFont="1" applyFill="1" applyBorder="1" applyAlignment="1" applyProtection="1">
      <alignment horizontal="center" vertical="center" wrapText="1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5" xfId="4" applyFont="1" applyFill="1" applyBorder="1" applyAlignment="1" applyProtection="1">
      <alignment horizontal="center" vertical="center" wrapText="1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21" xfId="4" applyFont="1" applyFill="1" applyBorder="1" applyAlignment="1" applyProtection="1">
      <alignment horizontal="center" vertical="center" wrapText="1"/>
    </xf>
    <xf numFmtId="0" fontId="21" fillId="15" borderId="19" xfId="4" applyFont="1" applyFill="1" applyBorder="1" applyAlignment="1" applyProtection="1">
      <alignment horizontal="center" vertical="center" wrapText="1"/>
    </xf>
    <xf numFmtId="0" fontId="21" fillId="15" borderId="22" xfId="4" applyFont="1" applyFill="1" applyBorder="1" applyAlignment="1" applyProtection="1">
      <alignment horizontal="center" vertical="center" wrapText="1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25" xfId="4" applyFont="1" applyFill="1" applyBorder="1" applyAlignment="1" applyProtection="1">
      <alignment horizontal="center" vertical="center" wrapText="1"/>
      <protection locked="0"/>
    </xf>
    <xf numFmtId="0" fontId="13" fillId="0" borderId="76" xfId="4" applyFont="1" applyFill="1" applyBorder="1" applyAlignment="1" applyProtection="1">
      <alignment horizontal="center" vertical="center" wrapText="1"/>
      <protection locked="0"/>
    </xf>
    <xf numFmtId="0" fontId="13" fillId="0" borderId="21" xfId="4" applyFont="1" applyFill="1" applyBorder="1" applyAlignment="1" applyProtection="1">
      <alignment horizontal="center" vertical="center" wrapText="1"/>
      <protection locked="0"/>
    </xf>
    <xf numFmtId="0" fontId="13" fillId="0" borderId="62" xfId="4" applyFont="1" applyFill="1" applyBorder="1" applyAlignment="1" applyProtection="1">
      <alignment horizontal="center" vertical="center" wrapText="1"/>
      <protection locked="0"/>
    </xf>
    <xf numFmtId="0" fontId="13" fillId="0" borderId="22" xfId="4" applyFont="1" applyFill="1" applyBorder="1" applyAlignment="1" applyProtection="1">
      <alignment horizontal="center" vertical="center" wrapText="1"/>
      <protection locked="0"/>
    </xf>
    <xf numFmtId="0" fontId="13" fillId="0" borderId="173" xfId="0" applyFont="1" applyBorder="1" applyAlignment="1" applyProtection="1">
      <alignment horizontal="center" vertical="center" shrinkToFit="1"/>
      <protection locked="0"/>
    </xf>
    <xf numFmtId="0" fontId="13" fillId="0" borderId="72" xfId="0" applyFont="1" applyBorder="1" applyAlignment="1" applyProtection="1">
      <alignment horizontal="center" vertical="center" shrinkToFit="1"/>
      <protection locked="0"/>
    </xf>
    <xf numFmtId="0" fontId="13" fillId="0" borderId="103" xfId="0" applyFont="1" applyBorder="1" applyAlignment="1" applyProtection="1">
      <alignment horizontal="center" vertical="center" shrinkToFit="1"/>
      <protection locked="0"/>
    </xf>
    <xf numFmtId="0" fontId="13" fillId="0" borderId="104" xfId="0" applyFont="1" applyBorder="1" applyAlignment="1" applyProtection="1">
      <alignment horizontal="center" vertical="center" shrinkToFit="1"/>
      <protection locked="0"/>
    </xf>
    <xf numFmtId="0" fontId="13" fillId="0" borderId="173" xfId="4" applyFont="1" applyFill="1" applyBorder="1" applyAlignment="1" applyProtection="1">
      <alignment horizontal="center" vertical="center" wrapText="1"/>
      <protection locked="0"/>
    </xf>
    <xf numFmtId="0" fontId="13" fillId="0" borderId="174" xfId="4" applyFont="1" applyFill="1" applyBorder="1" applyAlignment="1" applyProtection="1">
      <alignment horizontal="center" vertical="center" wrapText="1"/>
      <protection locked="0"/>
    </xf>
    <xf numFmtId="0" fontId="13" fillId="0" borderId="103" xfId="4" applyFont="1" applyFill="1" applyBorder="1" applyAlignment="1" applyProtection="1">
      <alignment horizontal="center" vertical="center" wrapText="1"/>
      <protection locked="0"/>
    </xf>
    <xf numFmtId="0" fontId="13" fillId="0" borderId="165" xfId="4" applyFont="1" applyFill="1" applyBorder="1" applyAlignment="1" applyProtection="1">
      <alignment horizontal="center" vertical="center" wrapText="1"/>
      <protection locked="0"/>
    </xf>
    <xf numFmtId="0" fontId="13" fillId="0" borderId="176" xfId="4" applyFont="1" applyFill="1" applyBorder="1" applyAlignment="1" applyProtection="1">
      <alignment horizontal="center" vertical="center" wrapText="1"/>
      <protection locked="0"/>
    </xf>
    <xf numFmtId="0" fontId="13" fillId="0" borderId="168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177" xfId="4" applyFont="1" applyFill="1" applyBorder="1" applyAlignment="1" applyProtection="1">
      <alignment horizontal="center" vertical="center" wrapText="1"/>
      <protection locked="0"/>
    </xf>
    <xf numFmtId="0" fontId="13" fillId="0" borderId="166" xfId="4" applyFont="1" applyFill="1" applyBorder="1" applyAlignment="1" applyProtection="1">
      <alignment horizontal="center" vertical="center" wrapText="1"/>
      <protection locked="0"/>
    </xf>
    <xf numFmtId="0" fontId="13" fillId="0" borderId="167" xfId="4" applyFont="1" applyFill="1" applyBorder="1" applyAlignment="1" applyProtection="1">
      <alignment horizontal="center" vertical="center" wrapText="1"/>
      <protection locked="0"/>
    </xf>
    <xf numFmtId="0" fontId="13" fillId="0" borderId="72" xfId="4" applyFont="1" applyFill="1" applyBorder="1" applyAlignment="1" applyProtection="1">
      <alignment horizontal="center" vertical="center" wrapText="1"/>
      <protection locked="0"/>
    </xf>
    <xf numFmtId="0" fontId="13" fillId="0" borderId="55" xfId="0" applyFont="1" applyFill="1" applyBorder="1" applyAlignment="1" applyProtection="1">
      <alignment horizontal="center" vertical="center" shrinkToFit="1"/>
      <protection locked="0"/>
    </xf>
    <xf numFmtId="0" fontId="13" fillId="0" borderId="52" xfId="0" applyFont="1" applyFill="1" applyBorder="1" applyAlignment="1" applyProtection="1">
      <alignment horizontal="center" vertical="center" shrinkToFit="1"/>
      <protection locked="0"/>
    </xf>
    <xf numFmtId="0" fontId="13" fillId="0" borderId="55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59" xfId="0" applyFont="1" applyBorder="1" applyAlignment="1" applyProtection="1">
      <alignment horizontal="center" vertical="center" shrinkToFit="1"/>
      <protection locked="0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106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71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116" xfId="4" applyFont="1" applyFill="1" applyBorder="1" applyAlignment="1" applyProtection="1">
      <alignment horizontal="center" vertical="center" wrapText="1"/>
    </xf>
    <xf numFmtId="0" fontId="13" fillId="15" borderId="117" xfId="4" applyFont="1" applyFill="1" applyBorder="1" applyAlignment="1" applyProtection="1">
      <alignment horizontal="center" vertical="center" wrapText="1"/>
    </xf>
    <xf numFmtId="0" fontId="13" fillId="15" borderId="118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22" fillId="13" borderId="24" xfId="0" applyFont="1" applyFill="1" applyBorder="1" applyAlignment="1" applyProtection="1">
      <alignment horizontal="center" vertical="center"/>
      <protection locked="0"/>
    </xf>
    <xf numFmtId="0" fontId="22" fillId="13" borderId="29" xfId="0" applyFont="1" applyFill="1" applyBorder="1" applyAlignment="1" applyProtection="1">
      <alignment horizontal="center" vertical="center"/>
      <protection locked="0"/>
    </xf>
    <xf numFmtId="0" fontId="13" fillId="0" borderId="28" xfId="4" quotePrefix="1" applyFont="1" applyFill="1" applyBorder="1" applyAlignment="1" applyProtection="1">
      <alignment horizontal="center" vertical="center" wrapText="1"/>
      <protection locked="0"/>
    </xf>
    <xf numFmtId="0" fontId="13" fillId="0" borderId="119" xfId="4" quotePrefix="1" applyFont="1" applyFill="1" applyBorder="1" applyAlignment="1" applyProtection="1">
      <alignment horizontal="center" vertical="center" wrapText="1"/>
      <protection locked="0"/>
    </xf>
    <xf numFmtId="0" fontId="13" fillId="0" borderId="0" xfId="4" quotePrefix="1" applyFont="1" applyFill="1" applyBorder="1" applyAlignment="1" applyProtection="1">
      <alignment horizontal="center" vertical="center" wrapText="1"/>
      <protection locked="0"/>
    </xf>
    <xf numFmtId="0" fontId="13" fillId="0" borderId="7" xfId="4" quotePrefix="1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7" xfId="4" applyFont="1" applyFill="1" applyBorder="1" applyAlignment="1" applyProtection="1">
      <alignment horizontal="center" vertical="center" wrapText="1"/>
      <protection locked="0"/>
    </xf>
    <xf numFmtId="0" fontId="13" fillId="0" borderId="89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20" xfId="4" applyFont="1" applyFill="1" applyBorder="1" applyAlignment="1" applyProtection="1">
      <alignment horizontal="center" vertical="center" wrapText="1"/>
      <protection locked="0"/>
    </xf>
    <xf numFmtId="0" fontId="13" fillId="0" borderId="90" xfId="4" applyFont="1" applyFill="1" applyBorder="1" applyAlignment="1" applyProtection="1">
      <alignment horizontal="center" vertical="center" wrapText="1"/>
      <protection locked="0"/>
    </xf>
    <xf numFmtId="0" fontId="13" fillId="0" borderId="80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120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13" fillId="10" borderId="119" xfId="6" applyFont="1" applyFill="1" applyBorder="1" applyAlignment="1" applyProtection="1">
      <alignment horizontal="center" vertical="center" wrapText="1"/>
    </xf>
    <xf numFmtId="0" fontId="13" fillId="10" borderId="89" xfId="6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113" xfId="4" applyFont="1" applyFill="1" applyBorder="1" applyAlignment="1" applyProtection="1">
      <alignment horizontal="center" vertical="center" wrapText="1"/>
      <protection locked="0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112" xfId="4" applyFont="1" applyFill="1" applyBorder="1" applyAlignment="1" applyProtection="1">
      <alignment horizontal="center" vertical="center" wrapText="1"/>
      <protection locked="0"/>
    </xf>
    <xf numFmtId="0" fontId="13" fillId="0" borderId="55" xfId="0" applyFont="1" applyBorder="1" applyAlignment="1" applyProtection="1">
      <alignment horizontal="center" vertical="center" shrinkToFit="1"/>
      <protection locked="0"/>
    </xf>
    <xf numFmtId="0" fontId="13" fillId="0" borderId="52" xfId="0" applyFont="1" applyBorder="1" applyAlignment="1" applyProtection="1">
      <alignment horizontal="center" vertical="center" shrinkToFit="1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59" xfId="6" applyFont="1" applyFill="1" applyBorder="1" applyAlignment="1" applyProtection="1">
      <alignment horizontal="center" vertical="center" wrapText="1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6" borderId="99" xfId="4" applyFont="1" applyFill="1" applyBorder="1" applyAlignment="1" applyProtection="1">
      <alignment horizontal="center" vertical="center" wrapText="1"/>
    </xf>
    <xf numFmtId="0" fontId="13" fillId="0" borderId="6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13" fillId="0" borderId="22" xfId="0" applyFont="1" applyBorder="1" applyAlignment="1" applyProtection="1">
      <alignment horizontal="center" vertical="center" shrinkToFit="1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5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22" xfId="4" applyFont="1" applyFill="1" applyBorder="1" applyAlignment="1" applyProtection="1">
      <alignment horizontal="center" vertical="center" wrapText="1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0" fontId="13" fillId="0" borderId="25" xfId="0" applyFont="1" applyBorder="1" applyAlignment="1" applyProtection="1">
      <alignment horizontal="center" vertical="center" shrinkToFit="1"/>
      <protection locked="0"/>
    </xf>
    <xf numFmtId="0" fontId="13" fillId="0" borderId="19" xfId="4" applyFont="1" applyFill="1" applyBorder="1" applyAlignment="1" applyProtection="1">
      <alignment horizontal="center" vertical="center" wrapText="1"/>
      <protection locked="0"/>
    </xf>
    <xf numFmtId="0" fontId="13" fillId="0" borderId="80" xfId="4" quotePrefix="1" applyFont="1" applyFill="1" applyBorder="1" applyAlignment="1" applyProtection="1">
      <alignment horizontal="center" vertical="center" wrapText="1"/>
      <protection locked="0"/>
    </xf>
    <xf numFmtId="0" fontId="13" fillId="0" borderId="3" xfId="4" quotePrefix="1" applyFont="1" applyFill="1" applyBorder="1" applyAlignment="1" applyProtection="1">
      <alignment horizontal="center" vertical="center" wrapText="1"/>
      <protection locked="0"/>
    </xf>
    <xf numFmtId="0" fontId="13" fillId="0" borderId="89" xfId="4" quotePrefix="1" applyFont="1" applyFill="1" applyBorder="1" applyAlignment="1" applyProtection="1">
      <alignment horizontal="center" vertical="center" wrapText="1"/>
      <protection locked="0"/>
    </xf>
    <xf numFmtId="0" fontId="13" fillId="0" borderId="20" xfId="4" quotePrefix="1" applyFont="1" applyFill="1" applyBorder="1" applyAlignment="1" applyProtection="1">
      <alignment horizontal="center" vertical="center" wrapText="1"/>
      <protection locked="0"/>
    </xf>
    <xf numFmtId="0" fontId="13" fillId="0" borderId="6" xfId="4" applyFont="1" applyFill="1" applyBorder="1" applyAlignment="1" applyProtection="1">
      <alignment horizontal="center" vertical="center" wrapText="1"/>
      <protection locked="0"/>
    </xf>
    <xf numFmtId="0" fontId="53" fillId="0" borderId="76" xfId="0" applyFont="1" applyBorder="1" applyAlignment="1" applyProtection="1">
      <alignment horizontal="center" vertical="center"/>
      <protection locked="0"/>
    </xf>
    <xf numFmtId="0" fontId="53" fillId="0" borderId="7" xfId="0" applyFont="1" applyBorder="1" applyAlignment="1" applyProtection="1">
      <alignment horizontal="center" vertical="center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0" borderId="78" xfId="4" applyFont="1" applyFill="1" applyBorder="1" applyAlignment="1" applyProtection="1">
      <alignment horizontal="center" vertical="center" wrapText="1"/>
      <protection locked="0"/>
    </xf>
    <xf numFmtId="0" fontId="13" fillId="0" borderId="49" xfId="0" applyFont="1" applyFill="1" applyBorder="1" applyAlignment="1" applyProtection="1">
      <alignment horizontal="center" vertical="center" wrapText="1" shrinkToFit="1"/>
      <protection locked="0"/>
    </xf>
    <xf numFmtId="0" fontId="13" fillId="0" borderId="53" xfId="0" applyFont="1" applyFill="1" applyBorder="1" applyAlignment="1" applyProtection="1">
      <alignment horizontal="center" vertical="center" shrinkToFit="1"/>
      <protection locked="0"/>
    </xf>
    <xf numFmtId="0" fontId="13" fillId="0" borderId="173" xfId="0" applyFont="1" applyFill="1" applyBorder="1" applyAlignment="1" applyProtection="1">
      <alignment horizontal="center" vertical="center" shrinkToFit="1"/>
      <protection locked="0"/>
    </xf>
    <xf numFmtId="0" fontId="13" fillId="0" borderId="72" xfId="0" applyFont="1" applyFill="1" applyBorder="1" applyAlignment="1" applyProtection="1">
      <alignment horizontal="center" vertical="center" shrinkToFit="1"/>
      <protection locked="0"/>
    </xf>
    <xf numFmtId="0" fontId="13" fillId="0" borderId="175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20" xfId="4" quotePrefix="1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49" xfId="2" applyFont="1" applyBorder="1" applyAlignment="1" applyProtection="1">
      <alignment horizontal="center" vertical="center" wrapText="1"/>
      <protection locked="0"/>
    </xf>
    <xf numFmtId="0" fontId="13" fillId="0" borderId="53" xfId="2" applyFont="1" applyBorder="1" applyAlignment="1" applyProtection="1">
      <alignment horizontal="center" vertical="center" wrapText="1"/>
      <protection locked="0"/>
    </xf>
    <xf numFmtId="0" fontId="13" fillId="0" borderId="49" xfId="0" applyFont="1" applyFill="1" applyBorder="1" applyAlignment="1" applyProtection="1">
      <alignment horizontal="center" vertical="center" shrinkToFit="1"/>
      <protection locked="0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53" xfId="0" applyFont="1" applyBorder="1" applyAlignment="1" applyProtection="1">
      <alignment horizontal="center" vertical="center" shrinkToFit="1"/>
      <protection locked="0"/>
    </xf>
    <xf numFmtId="0" fontId="13" fillId="9" borderId="49" xfId="4" applyFont="1" applyFill="1" applyBorder="1" applyAlignment="1" applyProtection="1">
      <alignment horizontal="center" vertical="center" wrapText="1"/>
      <protection locked="0"/>
    </xf>
    <xf numFmtId="0" fontId="13" fillId="9" borderId="35" xfId="4" applyFont="1" applyFill="1" applyBorder="1" applyAlignment="1" applyProtection="1">
      <alignment horizontal="center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34" fillId="15" borderId="14" xfId="0" applyFont="1" applyFill="1" applyBorder="1" applyAlignment="1">
      <alignment horizontal="center" vertical="center" wrapText="1"/>
    </xf>
    <xf numFmtId="0" fontId="34" fillId="15" borderId="17" xfId="0" applyFont="1" applyFill="1" applyBorder="1" applyAlignment="1">
      <alignment horizontal="center" vertical="center" wrapText="1"/>
    </xf>
    <xf numFmtId="0" fontId="13" fillId="6" borderId="32" xfId="4" applyFont="1" applyFill="1" applyBorder="1" applyAlignment="1" applyProtection="1">
      <alignment horizontal="center" vertical="center" wrapText="1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79" xfId="0" applyFont="1" applyFill="1" applyBorder="1" applyAlignment="1">
      <alignment horizontal="center" vertical="center" wrapText="1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1" xfId="5" applyFont="1" applyFill="1" applyBorder="1" applyAlignment="1" applyProtection="1">
      <alignment horizontal="center" vertical="center" wrapText="1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106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 wrapText="1"/>
      <protection locked="0"/>
    </xf>
    <xf numFmtId="0" fontId="21" fillId="0" borderId="23" xfId="0" applyFont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5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70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3" xfId="3" applyFont="1" applyFill="1" applyBorder="1" applyAlignment="1" applyProtection="1">
      <alignment horizontal="center" vertical="center" wrapText="1"/>
      <protection locked="0"/>
    </xf>
    <xf numFmtId="0" fontId="24" fillId="3" borderId="36" xfId="3" applyFont="1" applyBorder="1" applyAlignment="1" applyProtection="1">
      <alignment horizontal="center" vertical="center"/>
      <protection locked="0"/>
    </xf>
    <xf numFmtId="0" fontId="24" fillId="3" borderId="72" xfId="3" applyFont="1" applyBorder="1" applyAlignment="1" applyProtection="1">
      <alignment horizontal="center" vertical="center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8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2" fillId="8" borderId="98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3" fillId="10" borderId="82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86" xfId="6" applyFont="1" applyFill="1" applyBorder="1" applyAlignment="1" applyProtection="1">
      <alignment horizontal="center" vertical="center" wrapText="1"/>
    </xf>
    <xf numFmtId="0" fontId="17" fillId="11" borderId="96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97" xfId="7" applyNumberFormat="1" applyFont="1" applyFill="1" applyBorder="1" applyAlignment="1" applyProtection="1">
      <alignment horizontal="center" vertical="center" shrinkToFit="1"/>
    </xf>
    <xf numFmtId="0" fontId="17" fillId="11" borderId="15" xfId="7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5" fillId="8" borderId="83" xfId="0" applyFont="1" applyFill="1" applyBorder="1" applyAlignment="1">
      <alignment horizontal="center" vertical="center"/>
    </xf>
    <xf numFmtId="0" fontId="25" fillId="8" borderId="91" xfId="0" applyFont="1" applyFill="1" applyBorder="1" applyAlignment="1">
      <alignment horizontal="center" vertical="center"/>
    </xf>
    <xf numFmtId="0" fontId="25" fillId="8" borderId="92" xfId="0" applyFont="1" applyFill="1" applyBorder="1" applyAlignment="1">
      <alignment horizontal="center" vertical="center"/>
    </xf>
    <xf numFmtId="0" fontId="25" fillId="8" borderId="56" xfId="0" applyFont="1" applyFill="1" applyBorder="1" applyAlignment="1">
      <alignment horizontal="center" vertical="center"/>
    </xf>
    <xf numFmtId="0" fontId="25" fillId="8" borderId="58" xfId="0" applyFont="1" applyFill="1" applyBorder="1" applyAlignment="1">
      <alignment horizontal="center" vertical="center"/>
    </xf>
    <xf numFmtId="0" fontId="0" fillId="0" borderId="93" xfId="0" applyFont="1" applyBorder="1" applyAlignment="1">
      <alignment horizontal="center" vertical="center"/>
    </xf>
    <xf numFmtId="0" fontId="0" fillId="0" borderId="81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192" xfId="7" applyFont="1" applyFill="1" applyBorder="1" applyAlignment="1" applyProtection="1">
      <alignment horizontal="center" vertical="center" wrapText="1"/>
    </xf>
    <xf numFmtId="0" fontId="17" fillId="11" borderId="96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193" xfId="7" applyFont="1" applyFill="1" applyBorder="1" applyAlignment="1" applyProtection="1">
      <alignment horizontal="center" vertical="center" wrapText="1"/>
    </xf>
    <xf numFmtId="0" fontId="17" fillId="11" borderId="193" xfId="7" applyNumberFormat="1" applyFont="1" applyFill="1" applyBorder="1" applyAlignment="1" applyProtection="1">
      <alignment horizontal="center" vertical="center" shrinkToFit="1"/>
    </xf>
    <xf numFmtId="0" fontId="54" fillId="16" borderId="97" xfId="7" applyNumberFormat="1" applyFont="1" applyFill="1" applyBorder="1" applyAlignment="1" applyProtection="1">
      <alignment horizontal="center" vertical="center" shrinkToFit="1"/>
    </xf>
    <xf numFmtId="0" fontId="54" fillId="16" borderId="31" xfId="7" applyNumberFormat="1" applyFont="1" applyFill="1" applyBorder="1" applyAlignment="1" applyProtection="1">
      <alignment horizontal="center" vertical="center" shrinkToFit="1"/>
    </xf>
    <xf numFmtId="0" fontId="19" fillId="9" borderId="98" xfId="7" applyFont="1" applyFill="1" applyBorder="1" applyAlignment="1" applyProtection="1">
      <alignment horizontal="center" vertical="center" wrapText="1"/>
    </xf>
    <xf numFmtId="0" fontId="19" fillId="9" borderId="26" xfId="7" applyFont="1" applyFill="1" applyBorder="1" applyAlignment="1" applyProtection="1">
      <alignment horizontal="center" vertical="center" wrapText="1"/>
    </xf>
    <xf numFmtId="0" fontId="19" fillId="9" borderId="27" xfId="7" applyFont="1" applyFill="1" applyBorder="1" applyAlignment="1" applyProtection="1">
      <alignment horizontal="center" vertical="center" wrapText="1"/>
    </xf>
    <xf numFmtId="176" fontId="19" fillId="9" borderId="108" xfId="7" applyNumberFormat="1" applyFont="1" applyFill="1" applyBorder="1" applyAlignment="1" applyProtection="1">
      <alignment horizontal="center" vertical="center" wrapText="1"/>
    </xf>
    <xf numFmtId="176" fontId="19" fillId="9" borderId="10" xfId="7" applyNumberFormat="1" applyFont="1" applyFill="1" applyBorder="1" applyAlignment="1" applyProtection="1">
      <alignment horizontal="center" vertical="center" wrapText="1"/>
    </xf>
    <xf numFmtId="176" fontId="19" fillId="9" borderId="109" xfId="7" applyNumberFormat="1" applyFont="1" applyFill="1" applyBorder="1" applyAlignment="1" applyProtection="1">
      <alignment horizontal="center" vertical="center" wrapText="1"/>
    </xf>
    <xf numFmtId="176" fontId="19" fillId="9" borderId="120" xfId="7" applyNumberFormat="1" applyFont="1" applyFill="1" applyBorder="1" applyAlignment="1" applyProtection="1">
      <alignment horizontal="center" vertical="center" wrapText="1"/>
    </xf>
    <xf numFmtId="176" fontId="19" fillId="9" borderId="20" xfId="7" applyNumberFormat="1" applyFont="1" applyFill="1" applyBorder="1" applyAlignment="1" applyProtection="1">
      <alignment horizontal="center" vertical="center" wrapText="1"/>
    </xf>
    <xf numFmtId="176" fontId="19" fillId="9" borderId="80" xfId="7" applyNumberFormat="1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7" fillId="11" borderId="96" xfId="7" applyFont="1" applyFill="1" applyBorder="1" applyAlignment="1">
      <alignment horizontal="center" vertical="center"/>
    </xf>
    <xf numFmtId="0" fontId="26" fillId="11" borderId="30" xfId="7" applyFont="1" applyFill="1" applyBorder="1" applyAlignment="1">
      <alignment horizontal="center" vertical="center" wrapText="1"/>
    </xf>
    <xf numFmtId="0" fontId="26" fillId="11" borderId="11" xfId="7" applyFont="1" applyFill="1" applyBorder="1" applyAlignment="1">
      <alignment horizontal="center" vertical="center"/>
    </xf>
    <xf numFmtId="0" fontId="26" fillId="11" borderId="31" xfId="7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26" fillId="11" borderId="96" xfId="7" applyFont="1" applyFill="1" applyBorder="1" applyAlignment="1">
      <alignment horizontal="center" vertical="center" wrapText="1"/>
    </xf>
    <xf numFmtId="0" fontId="26" fillId="11" borderId="15" xfId="7" applyFont="1" applyFill="1" applyBorder="1" applyAlignment="1">
      <alignment horizontal="center" vertical="center"/>
    </xf>
    <xf numFmtId="0" fontId="26" fillId="11" borderId="97" xfId="7" applyFont="1" applyFill="1" applyBorder="1" applyAlignment="1">
      <alignment horizontal="center" vertical="center"/>
    </xf>
    <xf numFmtId="0" fontId="55" fillId="9" borderId="98" xfId="7" applyFont="1" applyFill="1" applyBorder="1" applyAlignment="1" applyProtection="1">
      <alignment horizontal="center" vertical="center" wrapText="1"/>
    </xf>
    <xf numFmtId="0" fontId="55" fillId="9" borderId="26" xfId="7" applyFont="1" applyFill="1" applyBorder="1" applyAlignment="1" applyProtection="1">
      <alignment horizontal="center" vertical="center" wrapText="1"/>
    </xf>
    <xf numFmtId="0" fontId="55" fillId="9" borderId="27" xfId="7" applyFont="1" applyFill="1" applyBorder="1" applyAlignment="1" applyProtection="1">
      <alignment horizontal="center" vertical="center" wrapText="1"/>
    </xf>
    <xf numFmtId="0" fontId="55" fillId="9" borderId="108" xfId="7" applyFont="1" applyFill="1" applyBorder="1" applyAlignment="1" applyProtection="1">
      <alignment horizontal="center" vertical="center" wrapText="1"/>
    </xf>
    <xf numFmtId="0" fontId="55" fillId="9" borderId="10" xfId="7" applyFont="1" applyFill="1" applyBorder="1" applyAlignment="1" applyProtection="1">
      <alignment horizontal="center" vertical="center" wrapText="1"/>
    </xf>
    <xf numFmtId="0" fontId="55" fillId="9" borderId="109" xfId="7" applyFont="1" applyFill="1" applyBorder="1" applyAlignment="1" applyProtection="1">
      <alignment horizontal="center" vertical="center" wrapText="1"/>
    </xf>
    <xf numFmtId="0" fontId="56" fillId="16" borderId="184" xfId="7" applyNumberFormat="1" applyFont="1" applyFill="1" applyBorder="1" applyAlignment="1" applyProtection="1">
      <alignment horizontal="center" vertical="center" shrinkToFit="1"/>
    </xf>
    <xf numFmtId="0" fontId="56" fillId="16" borderId="185" xfId="7" applyNumberFormat="1" applyFont="1" applyFill="1" applyBorder="1" applyAlignment="1" applyProtection="1">
      <alignment horizontal="center" vertical="center" shrinkToFit="1"/>
    </xf>
    <xf numFmtId="0" fontId="56" fillId="16" borderId="182" xfId="7" applyNumberFormat="1" applyFont="1" applyFill="1" applyBorder="1" applyAlignment="1" applyProtection="1">
      <alignment horizontal="center" vertical="center" shrinkToFit="1"/>
    </xf>
    <xf numFmtId="0" fontId="56" fillId="16" borderId="183" xfId="7" applyNumberFormat="1" applyFont="1" applyFill="1" applyBorder="1" applyAlignment="1" applyProtection="1">
      <alignment horizontal="center" vertical="center" shrinkToFit="1"/>
    </xf>
    <xf numFmtId="0" fontId="56" fillId="16" borderId="188" xfId="7" applyNumberFormat="1" applyFont="1" applyFill="1" applyBorder="1" applyAlignment="1" applyProtection="1">
      <alignment horizontal="center" vertical="center" shrinkToFit="1"/>
    </xf>
    <xf numFmtId="176" fontId="55" fillId="9" borderId="108" xfId="7" applyNumberFormat="1" applyFont="1" applyFill="1" applyBorder="1" applyAlignment="1" applyProtection="1">
      <alignment horizontal="center" vertical="center" wrapText="1"/>
    </xf>
    <xf numFmtId="176" fontId="55" fillId="9" borderId="10" xfId="7" applyNumberFormat="1" applyFont="1" applyFill="1" applyBorder="1" applyAlignment="1" applyProtection="1">
      <alignment horizontal="center" vertical="center" wrapText="1"/>
    </xf>
    <xf numFmtId="176" fontId="55" fillId="9" borderId="109" xfId="7" applyNumberFormat="1" applyFont="1" applyFill="1" applyBorder="1" applyAlignment="1" applyProtection="1">
      <alignment horizontal="center" vertical="center" wrapText="1"/>
    </xf>
    <xf numFmtId="0" fontId="50" fillId="0" borderId="154" xfId="16" applyFont="1" applyBorder="1" applyAlignment="1">
      <alignment horizontal="center" vertical="center"/>
    </xf>
    <xf numFmtId="0" fontId="35" fillId="0" borderId="151" xfId="16" applyFont="1" applyBorder="1"/>
    <xf numFmtId="0" fontId="33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3" fillId="18" borderId="162" xfId="16" applyFont="1" applyFill="1" applyBorder="1" applyAlignment="1">
      <alignment horizontal="center" vertical="center" wrapText="1"/>
    </xf>
    <xf numFmtId="0" fontId="35" fillId="0" borderId="124" xfId="16" applyFont="1" applyBorder="1"/>
    <xf numFmtId="0" fontId="35" fillId="0" borderId="129" xfId="16" applyFont="1" applyBorder="1"/>
    <xf numFmtId="0" fontId="33" fillId="18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48" fillId="19" borderId="132" xfId="16" applyFont="1" applyFill="1" applyBorder="1" applyAlignment="1">
      <alignment horizontal="center" vertical="center"/>
    </xf>
    <xf numFmtId="0" fontId="35" fillId="0" borderId="134" xfId="16" applyFont="1" applyBorder="1"/>
    <xf numFmtId="0" fontId="48" fillId="19" borderId="128" xfId="16" applyFont="1" applyFill="1" applyBorder="1" applyAlignment="1">
      <alignment horizontal="center" vertical="center"/>
    </xf>
    <xf numFmtId="0" fontId="35" fillId="0" borderId="127" xfId="16" applyFont="1" applyBorder="1"/>
    <xf numFmtId="0" fontId="35" fillId="0" borderId="126" xfId="16" applyFont="1" applyBorder="1"/>
    <xf numFmtId="0" fontId="49" fillId="0" borderId="132" xfId="16" applyFont="1" applyBorder="1" applyAlignment="1">
      <alignment horizontal="center" vertical="center"/>
    </xf>
    <xf numFmtId="0" fontId="51" fillId="0" borderId="134" xfId="16" applyFont="1" applyBorder="1"/>
    <xf numFmtId="0" fontId="42" fillId="19" borderId="126" xfId="16" applyFont="1" applyFill="1" applyBorder="1" applyAlignment="1">
      <alignment horizontal="center" vertical="center" wrapText="1"/>
    </xf>
    <xf numFmtId="0" fontId="42" fillId="0" borderId="128" xfId="16" applyFont="1" applyBorder="1" applyAlignment="1">
      <alignment horizontal="center" vertical="center" wrapText="1"/>
    </xf>
    <xf numFmtId="0" fontId="33" fillId="18" borderId="122" xfId="16" applyFont="1" applyFill="1" applyBorder="1" applyAlignment="1">
      <alignment horizontal="center" vertical="center" wrapText="1"/>
    </xf>
    <xf numFmtId="0" fontId="48" fillId="19" borderId="126" xfId="16" applyFont="1" applyFill="1" applyBorder="1" applyAlignment="1">
      <alignment horizontal="center" vertical="center" wrapText="1"/>
    </xf>
    <xf numFmtId="0" fontId="44" fillId="20" borderId="126" xfId="16" applyFont="1" applyFill="1" applyBorder="1" applyAlignment="1">
      <alignment horizontal="center" vertical="center" wrapText="1"/>
    </xf>
    <xf numFmtId="0" fontId="46" fillId="20" borderId="128" xfId="16" applyFont="1" applyFill="1" applyBorder="1" applyAlignment="1">
      <alignment horizontal="center" vertical="center" wrapText="1"/>
    </xf>
    <xf numFmtId="0" fontId="48" fillId="19" borderId="126" xfId="16" applyFont="1" applyFill="1" applyBorder="1" applyAlignment="1">
      <alignment horizontal="center" vertical="center"/>
    </xf>
    <xf numFmtId="0" fontId="48" fillId="0" borderId="128" xfId="16" applyFont="1" applyBorder="1" applyAlignment="1">
      <alignment horizontal="center" vertical="center"/>
    </xf>
    <xf numFmtId="0" fontId="42" fillId="19" borderId="126" xfId="16" applyFont="1" applyFill="1" applyBorder="1" applyAlignment="1">
      <alignment horizontal="center" vertical="center"/>
    </xf>
    <xf numFmtId="0" fontId="42" fillId="0" borderId="110" xfId="16" applyFont="1" applyBorder="1" applyAlignment="1">
      <alignment horizontal="center" vertical="center"/>
    </xf>
    <xf numFmtId="0" fontId="35" fillId="0" borderId="125" xfId="16" applyFont="1" applyBorder="1"/>
    <xf numFmtId="0" fontId="35" fillId="0" borderId="135" xfId="16" applyFont="1" applyBorder="1"/>
    <xf numFmtId="0" fontId="42" fillId="0" borderId="128" xfId="16" applyFont="1" applyBorder="1" applyAlignment="1">
      <alignment horizontal="center" vertical="center"/>
    </xf>
    <xf numFmtId="0" fontId="44" fillId="0" borderId="140" xfId="16" applyFont="1" applyBorder="1" applyAlignment="1">
      <alignment horizontal="center" vertical="center" wrapText="1"/>
    </xf>
    <xf numFmtId="0" fontId="35" fillId="0" borderId="146" xfId="16" applyFont="1" applyBorder="1"/>
    <xf numFmtId="0" fontId="44" fillId="0" borderId="143" xfId="16" applyFont="1" applyBorder="1" applyAlignment="1">
      <alignment horizontal="center" vertical="center" wrapText="1"/>
    </xf>
    <xf numFmtId="0" fontId="35" fillId="0" borderId="145" xfId="16" applyFont="1" applyBorder="1"/>
    <xf numFmtId="0" fontId="35" fillId="0" borderId="133" xfId="16" applyFont="1" applyBorder="1"/>
    <xf numFmtId="0" fontId="44" fillId="0" borderId="154" xfId="16" applyFont="1" applyBorder="1" applyAlignment="1">
      <alignment horizontal="center" vertical="center" wrapText="1"/>
    </xf>
    <xf numFmtId="0" fontId="44" fillId="0" borderId="156" xfId="16" applyFont="1" applyBorder="1" applyAlignment="1">
      <alignment horizontal="center" vertical="center" wrapText="1"/>
    </xf>
    <xf numFmtId="0" fontId="35" fillId="0" borderId="157" xfId="16" applyFont="1" applyBorder="1"/>
    <xf numFmtId="0" fontId="44" fillId="0" borderId="110" xfId="16" applyFont="1" applyBorder="1" applyAlignment="1">
      <alignment horizontal="center" vertical="center" wrapText="1"/>
    </xf>
    <xf numFmtId="0" fontId="44" fillId="0" borderId="158" xfId="16" applyFont="1" applyBorder="1" applyAlignment="1">
      <alignment horizontal="center" vertical="center" wrapText="1"/>
    </xf>
    <xf numFmtId="0" fontId="35" fillId="0" borderId="159" xfId="16" applyFont="1" applyBorder="1"/>
    <xf numFmtId="0" fontId="44" fillId="0" borderId="128" xfId="16" applyFont="1" applyBorder="1" applyAlignment="1">
      <alignment horizontal="center" vertical="center" wrapText="1"/>
    </xf>
    <xf numFmtId="0" fontId="43" fillId="20" borderId="138" xfId="16" applyFont="1" applyFill="1" applyBorder="1" applyAlignment="1">
      <alignment horizontal="center" vertical="center" wrapText="1"/>
    </xf>
    <xf numFmtId="0" fontId="35" fillId="0" borderId="139" xfId="16" applyFont="1" applyBorder="1"/>
    <xf numFmtId="0" fontId="44" fillId="0" borderId="141" xfId="16" applyFont="1" applyBorder="1" applyAlignment="1">
      <alignment horizontal="center" vertical="center" wrapText="1"/>
    </xf>
    <xf numFmtId="0" fontId="35" fillId="0" borderId="147" xfId="16" applyFont="1" applyBorder="1"/>
    <xf numFmtId="0" fontId="35" fillId="0" borderId="150" xfId="16" applyFont="1" applyBorder="1"/>
    <xf numFmtId="0" fontId="44" fillId="0" borderId="126" xfId="16" applyFont="1" applyBorder="1" applyAlignment="1">
      <alignment horizontal="center" vertical="center" wrapText="1"/>
    </xf>
    <xf numFmtId="0" fontId="46" fillId="0" borderId="128" xfId="16" applyFont="1" applyBorder="1" applyAlignment="1">
      <alignment horizontal="center" vertical="center" wrapText="1"/>
    </xf>
    <xf numFmtId="0" fontId="44" fillId="20" borderId="128" xfId="16" applyFont="1" applyFill="1" applyBorder="1" applyAlignment="1">
      <alignment horizontal="center" vertical="center" wrapText="1"/>
    </xf>
    <xf numFmtId="0" fontId="42" fillId="19" borderId="131" xfId="16" applyFont="1" applyFill="1" applyBorder="1" applyAlignment="1">
      <alignment horizontal="center" vertical="center"/>
    </xf>
    <xf numFmtId="0" fontId="35" fillId="0" borderId="132" xfId="16" applyFont="1" applyBorder="1"/>
    <xf numFmtId="0" fontId="42" fillId="0" borderId="110" xfId="16" applyFont="1" applyBorder="1" applyAlignment="1">
      <alignment horizontal="center" vertical="center" wrapText="1"/>
    </xf>
    <xf numFmtId="0" fontId="35" fillId="0" borderId="131" xfId="16" applyFont="1" applyBorder="1"/>
    <xf numFmtId="0" fontId="38" fillId="0" borderId="0" xfId="16" applyFont="1" applyAlignment="1">
      <alignment horizontal="center" vertical="center"/>
    </xf>
    <xf numFmtId="0" fontId="40" fillId="0" borderId="0" xfId="16" applyFont="1" applyAlignment="1"/>
    <xf numFmtId="0" fontId="41" fillId="0" borderId="123" xfId="16" applyFont="1" applyBorder="1" applyAlignment="1">
      <alignment horizontal="center" vertical="center"/>
    </xf>
    <xf numFmtId="0" fontId="35" fillId="0" borderId="28" xfId="16" applyFont="1" applyBorder="1"/>
    <xf numFmtId="0" fontId="35" fillId="0" borderId="25" xfId="16" applyFont="1" applyBorder="1"/>
    <xf numFmtId="0" fontId="41" fillId="8" borderId="4" xfId="16" applyFont="1" applyFill="1" applyBorder="1" applyAlignment="1">
      <alignment horizontal="center" vertical="center"/>
    </xf>
    <xf numFmtId="0" fontId="35" fillId="8" borderId="28" xfId="16" applyFont="1" applyFill="1" applyBorder="1"/>
    <xf numFmtId="0" fontId="35" fillId="8" borderId="25" xfId="16" applyFont="1" applyFill="1" applyBorder="1"/>
    <xf numFmtId="0" fontId="12" fillId="12" borderId="97" xfId="0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98"/>
  <sheetViews>
    <sheetView tabSelected="1" view="pageBreakPreview" topLeftCell="E1" zoomScaleNormal="100" zoomScaleSheetLayoutView="100" workbookViewId="0">
      <pane ySplit="8" topLeftCell="A45" activePane="bottomLeft" state="frozen"/>
      <selection pane="bottomLeft" activeCell="B2" sqref="B2:U2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9.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434" t="s">
        <v>517</v>
      </c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4"/>
      <c r="R2" s="434"/>
      <c r="S2" s="434"/>
      <c r="T2" s="434"/>
      <c r="U2" s="435"/>
      <c r="V2" s="436" t="s">
        <v>130</v>
      </c>
      <c r="W2" s="437"/>
      <c r="X2" s="432">
        <v>2027</v>
      </c>
      <c r="Y2" s="433"/>
      <c r="AA2" s="438" t="s">
        <v>143</v>
      </c>
      <c r="AB2" s="19" t="s">
        <v>144</v>
      </c>
      <c r="AC2" s="29" t="s">
        <v>152</v>
      </c>
      <c r="AD2" s="20" t="s">
        <v>145</v>
      </c>
    </row>
    <row r="3" spans="2:30" ht="18" thickBot="1">
      <c r="B3" s="386" t="s">
        <v>363</v>
      </c>
      <c r="C3" s="388" t="s">
        <v>53</v>
      </c>
      <c r="D3" s="389"/>
      <c r="E3" s="389"/>
      <c r="F3" s="388" t="s">
        <v>64</v>
      </c>
      <c r="G3" s="392"/>
      <c r="H3" s="388" t="s">
        <v>54</v>
      </c>
      <c r="I3" s="389"/>
      <c r="J3" s="389"/>
      <c r="K3" s="388" t="s">
        <v>55</v>
      </c>
      <c r="L3" s="389"/>
      <c r="M3" s="389"/>
      <c r="N3" s="389"/>
      <c r="O3" s="392"/>
      <c r="P3" s="394" t="s">
        <v>56</v>
      </c>
      <c r="Q3" s="395"/>
      <c r="R3" s="395"/>
      <c r="S3" s="395"/>
      <c r="T3" s="395"/>
      <c r="U3" s="395"/>
      <c r="V3" s="395"/>
      <c r="W3" s="395"/>
      <c r="X3" s="395"/>
      <c r="Y3" s="396"/>
      <c r="AA3" s="439"/>
      <c r="AB3" s="21" t="s">
        <v>146</v>
      </c>
      <c r="AC3" s="36" t="s">
        <v>611</v>
      </c>
      <c r="AD3" s="22" t="s">
        <v>612</v>
      </c>
    </row>
    <row r="4" spans="2:30" ht="18" thickBot="1">
      <c r="B4" s="387"/>
      <c r="C4" s="390"/>
      <c r="D4" s="391"/>
      <c r="E4" s="391"/>
      <c r="F4" s="390"/>
      <c r="G4" s="393"/>
      <c r="H4" s="390"/>
      <c r="I4" s="391"/>
      <c r="J4" s="391"/>
      <c r="K4" s="390"/>
      <c r="L4" s="391"/>
      <c r="M4" s="391"/>
      <c r="N4" s="391"/>
      <c r="O4" s="393"/>
      <c r="P4" s="394" t="s">
        <v>127</v>
      </c>
      <c r="Q4" s="395"/>
      <c r="R4" s="395"/>
      <c r="S4" s="395"/>
      <c r="T4" s="394" t="s">
        <v>61</v>
      </c>
      <c r="U4" s="395"/>
      <c r="V4" s="396"/>
      <c r="W4" s="395" t="s">
        <v>128</v>
      </c>
      <c r="X4" s="395"/>
      <c r="Y4" s="396"/>
      <c r="AA4" s="439"/>
      <c r="AB4" s="23" t="s">
        <v>147</v>
      </c>
      <c r="AC4" s="37" t="s">
        <v>613</v>
      </c>
      <c r="AD4" s="22" t="s">
        <v>614</v>
      </c>
    </row>
    <row r="5" spans="2:30" ht="26.25" customHeight="1" thickBot="1">
      <c r="B5" s="71" t="s">
        <v>515</v>
      </c>
      <c r="C5" s="397" t="s">
        <v>521</v>
      </c>
      <c r="D5" s="398"/>
      <c r="E5" s="399"/>
      <c r="F5" s="397" t="s">
        <v>518</v>
      </c>
      <c r="G5" s="430"/>
      <c r="H5" s="431" t="s">
        <v>519</v>
      </c>
      <c r="I5" s="398"/>
      <c r="J5" s="399"/>
      <c r="K5" s="397" t="s">
        <v>520</v>
      </c>
      <c r="L5" s="398"/>
      <c r="M5" s="398"/>
      <c r="N5" s="398"/>
      <c r="O5" s="430"/>
      <c r="P5" s="431" t="s">
        <v>522</v>
      </c>
      <c r="Q5" s="398"/>
      <c r="R5" s="398"/>
      <c r="S5" s="399"/>
      <c r="T5" s="397" t="s">
        <v>34</v>
      </c>
      <c r="U5" s="398"/>
      <c r="V5" s="399"/>
      <c r="W5" s="400" t="s">
        <v>523</v>
      </c>
      <c r="X5" s="401"/>
      <c r="Y5" s="402"/>
      <c r="AA5" s="440"/>
      <c r="AB5" s="569" t="s">
        <v>148</v>
      </c>
      <c r="AC5" s="570" t="s">
        <v>615</v>
      </c>
      <c r="AD5" s="24" t="s">
        <v>616</v>
      </c>
    </row>
    <row r="6" spans="2:30" ht="15.75" customHeight="1" thickBot="1">
      <c r="U6" s="403"/>
      <c r="V6" s="403"/>
      <c r="W6" s="403"/>
      <c r="X6" s="403"/>
      <c r="Y6" s="403"/>
    </row>
    <row r="7" spans="2:30" s="10" customFormat="1" ht="22.5" customHeight="1">
      <c r="B7" s="404" t="s">
        <v>2</v>
      </c>
      <c r="C7" s="405"/>
      <c r="D7" s="408" t="s">
        <v>120</v>
      </c>
      <c r="E7" s="413" t="s">
        <v>57</v>
      </c>
      <c r="F7" s="414"/>
      <c r="G7" s="415"/>
      <c r="H7" s="416" t="s">
        <v>133</v>
      </c>
      <c r="I7" s="419" t="s">
        <v>134</v>
      </c>
      <c r="J7" s="423" t="s">
        <v>135</v>
      </c>
      <c r="K7" s="418" t="s">
        <v>58</v>
      </c>
      <c r="L7" s="419"/>
      <c r="M7" s="419"/>
      <c r="N7" s="420"/>
      <c r="O7" s="421" t="s">
        <v>59</v>
      </c>
      <c r="P7" s="419"/>
      <c r="Q7" s="419"/>
      <c r="R7" s="420"/>
      <c r="S7" s="418" t="s">
        <v>60</v>
      </c>
      <c r="T7" s="419"/>
      <c r="U7" s="419"/>
      <c r="V7" s="422"/>
      <c r="W7" s="416" t="s">
        <v>136</v>
      </c>
      <c r="X7" s="423"/>
      <c r="Y7" s="415" t="s">
        <v>137</v>
      </c>
      <c r="Z7" s="9"/>
    </row>
    <row r="8" spans="2:30" s="10" customFormat="1" ht="22.5" customHeight="1" thickBot="1">
      <c r="B8" s="406"/>
      <c r="C8" s="407"/>
      <c r="D8" s="409"/>
      <c r="E8" s="25" t="s">
        <v>18</v>
      </c>
      <c r="F8" s="426" t="s">
        <v>19</v>
      </c>
      <c r="G8" s="427"/>
      <c r="H8" s="417"/>
      <c r="I8" s="411"/>
      <c r="J8" s="424"/>
      <c r="K8" s="410" t="s">
        <v>0</v>
      </c>
      <c r="L8" s="411"/>
      <c r="M8" s="411" t="s">
        <v>62</v>
      </c>
      <c r="N8" s="428"/>
      <c r="O8" s="429" t="s">
        <v>0</v>
      </c>
      <c r="P8" s="411"/>
      <c r="Q8" s="411" t="s">
        <v>62</v>
      </c>
      <c r="R8" s="428"/>
      <c r="S8" s="410" t="s">
        <v>0</v>
      </c>
      <c r="T8" s="411"/>
      <c r="U8" s="411" t="s">
        <v>62</v>
      </c>
      <c r="V8" s="412"/>
      <c r="W8" s="417"/>
      <c r="X8" s="424"/>
      <c r="Y8" s="425"/>
      <c r="AA8" s="247" t="s">
        <v>502</v>
      </c>
      <c r="AB8" s="247"/>
      <c r="AC8" s="247"/>
      <c r="AD8" s="247"/>
    </row>
    <row r="9" spans="2:30" ht="16.5" customHeight="1" thickBot="1">
      <c r="B9" s="336" t="s">
        <v>337</v>
      </c>
      <c r="C9" s="337"/>
      <c r="D9" s="380" t="s">
        <v>21</v>
      </c>
      <c r="E9" s="38" t="s">
        <v>12</v>
      </c>
      <c r="F9" s="308" t="s">
        <v>201</v>
      </c>
      <c r="G9" s="328"/>
      <c r="H9" s="39">
        <v>4</v>
      </c>
      <c r="I9" s="40" t="s">
        <v>338</v>
      </c>
      <c r="J9" s="41">
        <v>3</v>
      </c>
      <c r="K9" s="308">
        <v>3</v>
      </c>
      <c r="L9" s="309"/>
      <c r="M9" s="311"/>
      <c r="N9" s="312"/>
      <c r="O9" s="310"/>
      <c r="P9" s="309"/>
      <c r="Q9" s="311"/>
      <c r="R9" s="312"/>
      <c r="S9" s="310"/>
      <c r="T9" s="309"/>
      <c r="U9" s="311"/>
      <c r="V9" s="328"/>
      <c r="W9" s="42">
        <f>SUM(K9:V9)</f>
        <v>3</v>
      </c>
      <c r="X9" s="243">
        <f>SUM(W9:W10)</f>
        <v>6</v>
      </c>
      <c r="Y9" s="375">
        <v>24</v>
      </c>
      <c r="AA9" s="132" t="s">
        <v>503</v>
      </c>
      <c r="AB9" s="133" t="s">
        <v>508</v>
      </c>
      <c r="AC9" s="133" t="s">
        <v>509</v>
      </c>
      <c r="AD9" s="134" t="s">
        <v>510</v>
      </c>
    </row>
    <row r="10" spans="2:30" ht="18" thickBot="1">
      <c r="B10" s="338"/>
      <c r="C10" s="339"/>
      <c r="D10" s="381"/>
      <c r="E10" s="43" t="s">
        <v>12</v>
      </c>
      <c r="F10" s="283" t="s">
        <v>202</v>
      </c>
      <c r="G10" s="209"/>
      <c r="H10" s="44">
        <v>4</v>
      </c>
      <c r="I10" s="45" t="s">
        <v>338</v>
      </c>
      <c r="J10" s="46">
        <v>3</v>
      </c>
      <c r="K10" s="283"/>
      <c r="L10" s="264"/>
      <c r="M10" s="208">
        <v>3</v>
      </c>
      <c r="N10" s="284"/>
      <c r="O10" s="263"/>
      <c r="P10" s="264"/>
      <c r="Q10" s="208"/>
      <c r="R10" s="284"/>
      <c r="S10" s="263"/>
      <c r="T10" s="264"/>
      <c r="U10" s="208"/>
      <c r="V10" s="209"/>
      <c r="W10" s="47">
        <f t="shared" ref="W10:W24" si="0">SUM(K10:V10)</f>
        <v>3</v>
      </c>
      <c r="X10" s="244"/>
      <c r="Y10" s="375"/>
      <c r="AA10" s="135" t="s">
        <v>504</v>
      </c>
      <c r="AB10" s="136">
        <v>4</v>
      </c>
      <c r="AC10" s="136">
        <v>-1</v>
      </c>
      <c r="AD10" s="22" t="s">
        <v>511</v>
      </c>
    </row>
    <row r="11" spans="2:30" ht="18" thickBot="1">
      <c r="B11" s="338"/>
      <c r="C11" s="339"/>
      <c r="D11" s="380" t="s">
        <v>5</v>
      </c>
      <c r="E11" s="38" t="s">
        <v>12</v>
      </c>
      <c r="F11" s="308" t="s">
        <v>213</v>
      </c>
      <c r="G11" s="328"/>
      <c r="H11" s="39">
        <v>4</v>
      </c>
      <c r="I11" s="40" t="s">
        <v>338</v>
      </c>
      <c r="J11" s="41">
        <v>3</v>
      </c>
      <c r="K11" s="308">
        <v>3</v>
      </c>
      <c r="L11" s="309"/>
      <c r="M11" s="311"/>
      <c r="N11" s="312"/>
      <c r="O11" s="310"/>
      <c r="P11" s="309"/>
      <c r="Q11" s="311"/>
      <c r="R11" s="312"/>
      <c r="S11" s="310"/>
      <c r="T11" s="309"/>
      <c r="U11" s="311"/>
      <c r="V11" s="328"/>
      <c r="W11" s="42">
        <f t="shared" si="0"/>
        <v>3</v>
      </c>
      <c r="X11" s="243">
        <f t="shared" ref="X11" si="1">SUM(W11:W13)</f>
        <v>9</v>
      </c>
      <c r="Y11" s="375"/>
      <c r="AA11" s="135" t="s">
        <v>505</v>
      </c>
      <c r="AB11" s="136">
        <v>4</v>
      </c>
      <c r="AC11" s="136" t="s">
        <v>514</v>
      </c>
      <c r="AD11" s="22" t="s">
        <v>512</v>
      </c>
    </row>
    <row r="12" spans="2:30" ht="18" thickBot="1">
      <c r="B12" s="338"/>
      <c r="C12" s="339"/>
      <c r="D12" s="381"/>
      <c r="E12" s="43" t="s">
        <v>12</v>
      </c>
      <c r="F12" s="283" t="s">
        <v>215</v>
      </c>
      <c r="G12" s="209"/>
      <c r="H12" s="44">
        <v>4</v>
      </c>
      <c r="I12" s="45" t="s">
        <v>338</v>
      </c>
      <c r="J12" s="46">
        <v>3</v>
      </c>
      <c r="K12" s="283"/>
      <c r="L12" s="264"/>
      <c r="M12" s="208">
        <v>3</v>
      </c>
      <c r="N12" s="284"/>
      <c r="O12" s="263"/>
      <c r="P12" s="264"/>
      <c r="Q12" s="208"/>
      <c r="R12" s="284"/>
      <c r="S12" s="263"/>
      <c r="T12" s="264"/>
      <c r="U12" s="208"/>
      <c r="V12" s="209"/>
      <c r="W12" s="47">
        <f t="shared" si="0"/>
        <v>3</v>
      </c>
      <c r="X12" s="244"/>
      <c r="Y12" s="375"/>
      <c r="AA12" s="135" t="s">
        <v>506</v>
      </c>
      <c r="AB12" s="136">
        <v>3</v>
      </c>
      <c r="AC12" s="136" t="s">
        <v>514</v>
      </c>
      <c r="AD12" s="22" t="s">
        <v>513</v>
      </c>
    </row>
    <row r="13" spans="2:30" ht="18" thickBot="1">
      <c r="B13" s="338"/>
      <c r="C13" s="339"/>
      <c r="D13" s="382"/>
      <c r="E13" s="48" t="s">
        <v>339</v>
      </c>
      <c r="F13" s="239" t="s">
        <v>341</v>
      </c>
      <c r="G13" s="362"/>
      <c r="H13" s="49">
        <v>4</v>
      </c>
      <c r="I13" s="50" t="s">
        <v>340</v>
      </c>
      <c r="J13" s="51">
        <v>3</v>
      </c>
      <c r="K13" s="239"/>
      <c r="L13" s="240"/>
      <c r="M13" s="359"/>
      <c r="N13" s="364"/>
      <c r="O13" s="363"/>
      <c r="P13" s="240"/>
      <c r="Q13" s="359">
        <v>3</v>
      </c>
      <c r="R13" s="364"/>
      <c r="S13" s="363"/>
      <c r="T13" s="240"/>
      <c r="U13" s="359"/>
      <c r="V13" s="362"/>
      <c r="W13" s="47">
        <f t="shared" si="0"/>
        <v>3</v>
      </c>
      <c r="X13" s="244"/>
      <c r="Y13" s="375"/>
      <c r="AA13" s="137" t="s">
        <v>507</v>
      </c>
      <c r="AB13" s="245" t="s">
        <v>516</v>
      </c>
      <c r="AC13" s="245"/>
      <c r="AD13" s="246"/>
    </row>
    <row r="14" spans="2:30" ht="18" thickBot="1">
      <c r="B14" s="338"/>
      <c r="C14" s="339"/>
      <c r="D14" s="380" t="s">
        <v>6</v>
      </c>
      <c r="E14" s="38" t="s">
        <v>12</v>
      </c>
      <c r="F14" s="308" t="s">
        <v>342</v>
      </c>
      <c r="G14" s="328"/>
      <c r="H14" s="39">
        <v>4</v>
      </c>
      <c r="I14" s="40" t="s">
        <v>338</v>
      </c>
      <c r="J14" s="41">
        <v>3</v>
      </c>
      <c r="K14" s="308">
        <v>3</v>
      </c>
      <c r="L14" s="309"/>
      <c r="M14" s="311"/>
      <c r="N14" s="312"/>
      <c r="O14" s="310"/>
      <c r="P14" s="309"/>
      <c r="Q14" s="311"/>
      <c r="R14" s="312"/>
      <c r="S14" s="310"/>
      <c r="T14" s="309"/>
      <c r="U14" s="311"/>
      <c r="V14" s="328"/>
      <c r="W14" s="42">
        <f t="shared" si="0"/>
        <v>3</v>
      </c>
      <c r="X14" s="243">
        <f t="shared" ref="X14" si="2">SUM(W14:W16)</f>
        <v>9</v>
      </c>
      <c r="Y14" s="375"/>
    </row>
    <row r="15" spans="2:30" ht="18" thickBot="1">
      <c r="B15" s="338"/>
      <c r="C15" s="339"/>
      <c r="D15" s="381"/>
      <c r="E15" s="43" t="s">
        <v>12</v>
      </c>
      <c r="F15" s="283" t="s">
        <v>226</v>
      </c>
      <c r="G15" s="209"/>
      <c r="H15" s="44">
        <v>4</v>
      </c>
      <c r="I15" s="45" t="s">
        <v>338</v>
      </c>
      <c r="J15" s="46">
        <v>3</v>
      </c>
      <c r="K15" s="283"/>
      <c r="L15" s="264"/>
      <c r="M15" s="208">
        <v>3</v>
      </c>
      <c r="N15" s="284"/>
      <c r="O15" s="263"/>
      <c r="P15" s="264"/>
      <c r="Q15" s="208"/>
      <c r="R15" s="284"/>
      <c r="S15" s="263"/>
      <c r="T15" s="264"/>
      <c r="U15" s="208"/>
      <c r="V15" s="209"/>
      <c r="W15" s="47">
        <f t="shared" si="0"/>
        <v>3</v>
      </c>
      <c r="X15" s="244"/>
      <c r="Y15" s="375"/>
    </row>
    <row r="16" spans="2:30" ht="18" thickBot="1">
      <c r="B16" s="338"/>
      <c r="C16" s="339"/>
      <c r="D16" s="382"/>
      <c r="E16" s="52" t="s">
        <v>339</v>
      </c>
      <c r="F16" s="239" t="s">
        <v>343</v>
      </c>
      <c r="G16" s="362"/>
      <c r="H16" s="49">
        <v>4</v>
      </c>
      <c r="I16" s="50" t="s">
        <v>340</v>
      </c>
      <c r="J16" s="51">
        <v>3</v>
      </c>
      <c r="K16" s="239"/>
      <c r="L16" s="240"/>
      <c r="M16" s="359"/>
      <c r="N16" s="364"/>
      <c r="O16" s="363">
        <v>3</v>
      </c>
      <c r="P16" s="240"/>
      <c r="Q16" s="359"/>
      <c r="R16" s="364"/>
      <c r="S16" s="363"/>
      <c r="T16" s="240"/>
      <c r="U16" s="359"/>
      <c r="V16" s="362"/>
      <c r="W16" s="47">
        <f t="shared" si="0"/>
        <v>3</v>
      </c>
      <c r="X16" s="244"/>
      <c r="Y16" s="375"/>
    </row>
    <row r="17" spans="2:29" ht="18" thickBot="1">
      <c r="B17" s="338"/>
      <c r="C17" s="339"/>
      <c r="D17" s="380" t="s">
        <v>344</v>
      </c>
      <c r="E17" s="38" t="s">
        <v>12</v>
      </c>
      <c r="F17" s="308" t="s">
        <v>234</v>
      </c>
      <c r="G17" s="328"/>
      <c r="H17" s="39">
        <v>3</v>
      </c>
      <c r="I17" s="53" t="s">
        <v>345</v>
      </c>
      <c r="J17" s="41">
        <v>3</v>
      </c>
      <c r="K17" s="352">
        <v>3</v>
      </c>
      <c r="L17" s="275"/>
      <c r="M17" s="216"/>
      <c r="N17" s="271"/>
      <c r="O17" s="274"/>
      <c r="P17" s="275"/>
      <c r="Q17" s="216"/>
      <c r="R17" s="271"/>
      <c r="S17" s="274"/>
      <c r="T17" s="275"/>
      <c r="U17" s="216"/>
      <c r="V17" s="217"/>
      <c r="W17" s="42">
        <f t="shared" si="0"/>
        <v>3</v>
      </c>
      <c r="X17" s="243">
        <f>SUM(W17:W18)</f>
        <v>6</v>
      </c>
      <c r="Y17" s="375">
        <v>6</v>
      </c>
    </row>
    <row r="18" spans="2:29" ht="18" thickBot="1">
      <c r="B18" s="338"/>
      <c r="C18" s="339"/>
      <c r="D18" s="381"/>
      <c r="E18" s="54" t="s">
        <v>12</v>
      </c>
      <c r="F18" s="344" t="s">
        <v>346</v>
      </c>
      <c r="G18" s="221"/>
      <c r="H18" s="55">
        <v>3</v>
      </c>
      <c r="I18" s="56" t="s">
        <v>345</v>
      </c>
      <c r="J18" s="57">
        <v>3</v>
      </c>
      <c r="K18" s="239"/>
      <c r="L18" s="240"/>
      <c r="M18" s="359">
        <v>3</v>
      </c>
      <c r="N18" s="364"/>
      <c r="O18" s="363"/>
      <c r="P18" s="240"/>
      <c r="Q18" s="359"/>
      <c r="R18" s="364"/>
      <c r="S18" s="363"/>
      <c r="T18" s="240"/>
      <c r="U18" s="359"/>
      <c r="V18" s="362"/>
      <c r="W18" s="58">
        <f t="shared" si="0"/>
        <v>3</v>
      </c>
      <c r="X18" s="307"/>
      <c r="Y18" s="375"/>
      <c r="AA18" s="253"/>
      <c r="AB18" s="253"/>
      <c r="AC18" s="30"/>
    </row>
    <row r="19" spans="2:29" ht="18" thickBot="1">
      <c r="B19" s="338"/>
      <c r="C19" s="339"/>
      <c r="D19" s="381"/>
      <c r="E19" s="38" t="s">
        <v>12</v>
      </c>
      <c r="F19" s="308" t="s">
        <v>237</v>
      </c>
      <c r="G19" s="328"/>
      <c r="H19" s="39">
        <v>4</v>
      </c>
      <c r="I19" s="53" t="s">
        <v>338</v>
      </c>
      <c r="J19" s="41">
        <v>4</v>
      </c>
      <c r="K19" s="308">
        <v>4</v>
      </c>
      <c r="L19" s="309"/>
      <c r="M19" s="311"/>
      <c r="N19" s="312"/>
      <c r="O19" s="310"/>
      <c r="P19" s="309"/>
      <c r="Q19" s="311"/>
      <c r="R19" s="312"/>
      <c r="S19" s="310"/>
      <c r="T19" s="309"/>
      <c r="U19" s="311"/>
      <c r="V19" s="328"/>
      <c r="W19" s="42">
        <f t="shared" si="0"/>
        <v>4</v>
      </c>
      <c r="X19" s="243">
        <f>SUM(W19:W20)</f>
        <v>8</v>
      </c>
      <c r="Y19" s="375">
        <v>12</v>
      </c>
    </row>
    <row r="20" spans="2:29" ht="18" thickBot="1">
      <c r="B20" s="338"/>
      <c r="C20" s="339"/>
      <c r="D20" s="382"/>
      <c r="E20" s="52" t="s">
        <v>12</v>
      </c>
      <c r="F20" s="239" t="s">
        <v>347</v>
      </c>
      <c r="G20" s="362"/>
      <c r="H20" s="49">
        <v>4</v>
      </c>
      <c r="I20" s="50" t="s">
        <v>338</v>
      </c>
      <c r="J20" s="51">
        <v>4</v>
      </c>
      <c r="K20" s="239"/>
      <c r="L20" s="240"/>
      <c r="M20" s="359">
        <v>4</v>
      </c>
      <c r="N20" s="364"/>
      <c r="O20" s="363"/>
      <c r="P20" s="240"/>
      <c r="Q20" s="359"/>
      <c r="R20" s="364"/>
      <c r="S20" s="363"/>
      <c r="T20" s="240"/>
      <c r="U20" s="359"/>
      <c r="V20" s="362"/>
      <c r="W20" s="58">
        <f t="shared" si="0"/>
        <v>4</v>
      </c>
      <c r="X20" s="307"/>
      <c r="Y20" s="375"/>
    </row>
    <row r="21" spans="2:29" ht="18" thickBot="1">
      <c r="B21" s="338"/>
      <c r="C21" s="339"/>
      <c r="D21" s="380" t="s">
        <v>26</v>
      </c>
      <c r="E21" s="38" t="s">
        <v>12</v>
      </c>
      <c r="F21" s="308" t="s">
        <v>255</v>
      </c>
      <c r="G21" s="328"/>
      <c r="H21" s="39">
        <v>4</v>
      </c>
      <c r="I21" s="53" t="s">
        <v>338</v>
      </c>
      <c r="J21" s="41">
        <v>4</v>
      </c>
      <c r="K21" s="308">
        <v>4</v>
      </c>
      <c r="L21" s="309"/>
      <c r="M21" s="311"/>
      <c r="N21" s="312"/>
      <c r="O21" s="310"/>
      <c r="P21" s="309"/>
      <c r="Q21" s="311"/>
      <c r="R21" s="312"/>
      <c r="S21" s="310"/>
      <c r="T21" s="309"/>
      <c r="U21" s="311"/>
      <c r="V21" s="328"/>
      <c r="W21" s="42">
        <f t="shared" si="0"/>
        <v>4</v>
      </c>
      <c r="X21" s="337">
        <f>SUM(W21:W24)</f>
        <v>15</v>
      </c>
      <c r="Y21" s="375"/>
    </row>
    <row r="22" spans="2:29" ht="18" thickBot="1">
      <c r="B22" s="338"/>
      <c r="C22" s="339"/>
      <c r="D22" s="381"/>
      <c r="E22" s="43" t="s">
        <v>12</v>
      </c>
      <c r="F22" s="283" t="s">
        <v>348</v>
      </c>
      <c r="G22" s="209"/>
      <c r="H22" s="44">
        <v>4</v>
      </c>
      <c r="I22" s="45" t="s">
        <v>338</v>
      </c>
      <c r="J22" s="46">
        <v>4</v>
      </c>
      <c r="K22" s="283"/>
      <c r="L22" s="264"/>
      <c r="M22" s="208">
        <v>4</v>
      </c>
      <c r="N22" s="284"/>
      <c r="O22" s="263"/>
      <c r="P22" s="264"/>
      <c r="Q22" s="208"/>
      <c r="R22" s="284"/>
      <c r="S22" s="263"/>
      <c r="T22" s="264"/>
      <c r="U22" s="208"/>
      <c r="V22" s="209"/>
      <c r="W22" s="47">
        <f t="shared" si="0"/>
        <v>4</v>
      </c>
      <c r="X22" s="339"/>
      <c r="Y22" s="375"/>
    </row>
    <row r="23" spans="2:29" ht="18" thickBot="1">
      <c r="B23" s="338"/>
      <c r="C23" s="339"/>
      <c r="D23" s="381"/>
      <c r="E23" s="141" t="s">
        <v>351</v>
      </c>
      <c r="F23" s="283" t="s">
        <v>524</v>
      </c>
      <c r="G23" s="209"/>
      <c r="H23" s="142">
        <v>4</v>
      </c>
      <c r="I23" s="143" t="s">
        <v>525</v>
      </c>
      <c r="J23" s="144">
        <v>3</v>
      </c>
      <c r="K23" s="283"/>
      <c r="L23" s="264"/>
      <c r="M23" s="208"/>
      <c r="N23" s="284"/>
      <c r="O23" s="263">
        <v>3</v>
      </c>
      <c r="P23" s="264"/>
      <c r="Q23" s="208"/>
      <c r="R23" s="284"/>
      <c r="S23" s="263"/>
      <c r="T23" s="264"/>
      <c r="U23" s="208"/>
      <c r="V23" s="209"/>
      <c r="W23" s="145">
        <v>3</v>
      </c>
      <c r="X23" s="339"/>
      <c r="Y23" s="375"/>
    </row>
    <row r="24" spans="2:29" ht="18" thickBot="1">
      <c r="B24" s="338"/>
      <c r="C24" s="339"/>
      <c r="D24" s="382"/>
      <c r="E24" s="52" t="s">
        <v>349</v>
      </c>
      <c r="F24" s="239" t="s">
        <v>350</v>
      </c>
      <c r="G24" s="362"/>
      <c r="H24" s="49">
        <v>4</v>
      </c>
      <c r="I24" s="50" t="s">
        <v>340</v>
      </c>
      <c r="J24" s="51">
        <v>4</v>
      </c>
      <c r="K24" s="239"/>
      <c r="L24" s="240"/>
      <c r="M24" s="359"/>
      <c r="N24" s="364"/>
      <c r="O24" s="363"/>
      <c r="P24" s="240"/>
      <c r="Q24" s="359">
        <v>4</v>
      </c>
      <c r="R24" s="364"/>
      <c r="S24" s="363"/>
      <c r="T24" s="240"/>
      <c r="U24" s="359"/>
      <c r="V24" s="362"/>
      <c r="W24" s="58">
        <f t="shared" si="0"/>
        <v>4</v>
      </c>
      <c r="X24" s="341"/>
      <c r="Y24" s="375"/>
    </row>
    <row r="25" spans="2:29" ht="16.5" customHeight="1" thickBot="1">
      <c r="B25" s="338"/>
      <c r="C25" s="339"/>
      <c r="D25" s="380" t="s">
        <v>8</v>
      </c>
      <c r="E25" s="38" t="s">
        <v>351</v>
      </c>
      <c r="F25" s="308" t="s">
        <v>352</v>
      </c>
      <c r="G25" s="328"/>
      <c r="H25" s="39">
        <v>3</v>
      </c>
      <c r="I25" s="53" t="s">
        <v>353</v>
      </c>
      <c r="J25" s="41">
        <f t="shared" ref="J25:J26" si="3">SUM(K25:V25)</f>
        <v>2</v>
      </c>
      <c r="K25" s="308">
        <v>2</v>
      </c>
      <c r="L25" s="309"/>
      <c r="M25" s="311"/>
      <c r="N25" s="312"/>
      <c r="O25" s="310"/>
      <c r="P25" s="309"/>
      <c r="Q25" s="311"/>
      <c r="R25" s="312"/>
      <c r="S25" s="310"/>
      <c r="T25" s="309"/>
      <c r="U25" s="311"/>
      <c r="V25" s="328"/>
      <c r="W25" s="42">
        <f>SUM(K25:V25)</f>
        <v>2</v>
      </c>
      <c r="X25" s="383">
        <f>SUM(W25:W29)</f>
        <v>8</v>
      </c>
      <c r="Y25" s="375">
        <v>8</v>
      </c>
    </row>
    <row r="26" spans="2:29" ht="18" thickBot="1">
      <c r="B26" s="338"/>
      <c r="C26" s="339"/>
      <c r="D26" s="381"/>
      <c r="E26" s="43" t="s">
        <v>351</v>
      </c>
      <c r="F26" s="283" t="s">
        <v>354</v>
      </c>
      <c r="G26" s="209"/>
      <c r="H26" s="44">
        <v>3</v>
      </c>
      <c r="I26" s="45" t="s">
        <v>353</v>
      </c>
      <c r="J26" s="46">
        <f t="shared" si="3"/>
        <v>2</v>
      </c>
      <c r="K26" s="283"/>
      <c r="L26" s="264"/>
      <c r="M26" s="208">
        <v>2</v>
      </c>
      <c r="N26" s="284"/>
      <c r="O26" s="263"/>
      <c r="P26" s="264"/>
      <c r="Q26" s="208"/>
      <c r="R26" s="284"/>
      <c r="S26" s="263"/>
      <c r="T26" s="264"/>
      <c r="U26" s="208"/>
      <c r="V26" s="209"/>
      <c r="W26" s="47">
        <f t="shared" ref="W26:W29" si="4">SUM(K26:V26)</f>
        <v>2</v>
      </c>
      <c r="X26" s="384"/>
      <c r="Y26" s="375"/>
    </row>
    <row r="27" spans="2:29" ht="18" thickBot="1">
      <c r="B27" s="338"/>
      <c r="C27" s="339"/>
      <c r="D27" s="381"/>
      <c r="E27" s="43" t="s">
        <v>339</v>
      </c>
      <c r="F27" s="283" t="s">
        <v>526</v>
      </c>
      <c r="G27" s="209"/>
      <c r="H27" s="44">
        <v>2</v>
      </c>
      <c r="I27" s="45" t="s">
        <v>355</v>
      </c>
      <c r="J27" s="46">
        <v>1</v>
      </c>
      <c r="K27" s="283"/>
      <c r="L27" s="264"/>
      <c r="M27" s="208"/>
      <c r="N27" s="284"/>
      <c r="O27" s="263">
        <v>1</v>
      </c>
      <c r="P27" s="264"/>
      <c r="Q27" s="208"/>
      <c r="R27" s="284"/>
      <c r="S27" s="263"/>
      <c r="T27" s="264"/>
      <c r="U27" s="208"/>
      <c r="V27" s="209"/>
      <c r="W27" s="47">
        <f t="shared" si="4"/>
        <v>1</v>
      </c>
      <c r="X27" s="384"/>
      <c r="Y27" s="375"/>
    </row>
    <row r="28" spans="2:29" ht="18" thickBot="1">
      <c r="B28" s="338"/>
      <c r="C28" s="339"/>
      <c r="D28" s="381"/>
      <c r="E28" s="43" t="s">
        <v>339</v>
      </c>
      <c r="F28" s="283" t="s">
        <v>527</v>
      </c>
      <c r="G28" s="209"/>
      <c r="H28" s="44">
        <v>2</v>
      </c>
      <c r="I28" s="45" t="s">
        <v>353</v>
      </c>
      <c r="J28" s="46">
        <v>2</v>
      </c>
      <c r="K28" s="283"/>
      <c r="L28" s="264"/>
      <c r="M28" s="208"/>
      <c r="N28" s="284"/>
      <c r="O28" s="263"/>
      <c r="P28" s="264"/>
      <c r="Q28" s="208">
        <v>2</v>
      </c>
      <c r="R28" s="284"/>
      <c r="S28" s="263"/>
      <c r="T28" s="264"/>
      <c r="U28" s="208"/>
      <c r="V28" s="209"/>
      <c r="W28" s="47">
        <f t="shared" si="4"/>
        <v>2</v>
      </c>
      <c r="X28" s="384"/>
      <c r="Y28" s="375"/>
    </row>
    <row r="29" spans="2:29" ht="18" thickBot="1">
      <c r="B29" s="338"/>
      <c r="C29" s="339"/>
      <c r="D29" s="382"/>
      <c r="E29" s="52" t="s">
        <v>339</v>
      </c>
      <c r="F29" s="239" t="s">
        <v>528</v>
      </c>
      <c r="G29" s="362"/>
      <c r="H29" s="49">
        <v>2</v>
      </c>
      <c r="I29" s="50" t="s">
        <v>355</v>
      </c>
      <c r="J29" s="51">
        <v>1</v>
      </c>
      <c r="K29" s="239"/>
      <c r="L29" s="240"/>
      <c r="M29" s="359"/>
      <c r="N29" s="364"/>
      <c r="O29" s="363"/>
      <c r="P29" s="240"/>
      <c r="Q29" s="359"/>
      <c r="R29" s="364"/>
      <c r="S29" s="363">
        <v>1</v>
      </c>
      <c r="T29" s="240"/>
      <c r="U29" s="359"/>
      <c r="V29" s="362"/>
      <c r="W29" s="58">
        <f t="shared" si="4"/>
        <v>1</v>
      </c>
      <c r="X29" s="385"/>
      <c r="Y29" s="375"/>
    </row>
    <row r="30" spans="2:29" ht="18" thickBot="1">
      <c r="B30" s="338"/>
      <c r="C30" s="339"/>
      <c r="D30" s="380" t="s">
        <v>28</v>
      </c>
      <c r="E30" s="38" t="s">
        <v>351</v>
      </c>
      <c r="F30" s="308" t="s">
        <v>9</v>
      </c>
      <c r="G30" s="328"/>
      <c r="H30" s="39">
        <v>3</v>
      </c>
      <c r="I30" s="53" t="s">
        <v>353</v>
      </c>
      <c r="J30" s="41">
        <v>2</v>
      </c>
      <c r="K30" s="308">
        <v>2</v>
      </c>
      <c r="L30" s="309"/>
      <c r="M30" s="311"/>
      <c r="N30" s="312"/>
      <c r="O30" s="310"/>
      <c r="P30" s="309"/>
      <c r="Q30" s="311"/>
      <c r="R30" s="312"/>
      <c r="S30" s="310"/>
      <c r="T30" s="309"/>
      <c r="U30" s="311"/>
      <c r="V30" s="328"/>
      <c r="W30" s="199">
        <f>SUM(K30:V32)</f>
        <v>8</v>
      </c>
      <c r="X30" s="200"/>
      <c r="Y30" s="375">
        <v>6</v>
      </c>
    </row>
    <row r="31" spans="2:29" ht="18" thickBot="1">
      <c r="B31" s="338"/>
      <c r="C31" s="339"/>
      <c r="D31" s="381"/>
      <c r="E31" s="48" t="s">
        <v>339</v>
      </c>
      <c r="F31" s="283" t="s">
        <v>529</v>
      </c>
      <c r="G31" s="209"/>
      <c r="H31" s="139">
        <v>3</v>
      </c>
      <c r="I31" s="45" t="s">
        <v>530</v>
      </c>
      <c r="J31" s="140">
        <v>2</v>
      </c>
      <c r="K31" s="283"/>
      <c r="L31" s="264"/>
      <c r="M31" s="208">
        <v>2</v>
      </c>
      <c r="N31" s="284"/>
      <c r="O31" s="263"/>
      <c r="P31" s="264"/>
      <c r="Q31" s="208"/>
      <c r="R31" s="284"/>
      <c r="S31" s="263"/>
      <c r="T31" s="264"/>
      <c r="U31" s="208"/>
      <c r="V31" s="209"/>
      <c r="W31" s="201"/>
      <c r="X31" s="202"/>
      <c r="Y31" s="375"/>
    </row>
    <row r="32" spans="2:29" ht="18" thickBot="1">
      <c r="B32" s="338"/>
      <c r="C32" s="339"/>
      <c r="D32" s="381"/>
      <c r="E32" s="48" t="s">
        <v>339</v>
      </c>
      <c r="F32" s="283" t="s">
        <v>282</v>
      </c>
      <c r="G32" s="209"/>
      <c r="H32" s="44">
        <v>3</v>
      </c>
      <c r="I32" s="45" t="s">
        <v>353</v>
      </c>
      <c r="J32" s="46">
        <v>4</v>
      </c>
      <c r="K32" s="283"/>
      <c r="L32" s="264"/>
      <c r="M32" s="208"/>
      <c r="N32" s="284"/>
      <c r="O32" s="263">
        <v>4</v>
      </c>
      <c r="P32" s="264"/>
      <c r="Q32" s="208"/>
      <c r="R32" s="284"/>
      <c r="S32" s="263"/>
      <c r="T32" s="264"/>
      <c r="U32" s="208"/>
      <c r="V32" s="209"/>
      <c r="W32" s="201"/>
      <c r="X32" s="202"/>
      <c r="Y32" s="375"/>
    </row>
    <row r="33" spans="2:28" ht="16.5" customHeight="1" thickBot="1">
      <c r="B33" s="338"/>
      <c r="C33" s="339"/>
      <c r="D33" s="373" t="s">
        <v>356</v>
      </c>
      <c r="E33" s="38" t="s">
        <v>339</v>
      </c>
      <c r="F33" s="308" t="s">
        <v>51</v>
      </c>
      <c r="G33" s="328"/>
      <c r="H33" s="39">
        <v>3</v>
      </c>
      <c r="I33" s="53" t="s">
        <v>353</v>
      </c>
      <c r="J33" s="41">
        <v>2</v>
      </c>
      <c r="K33" s="308"/>
      <c r="L33" s="309"/>
      <c r="M33" s="311"/>
      <c r="N33" s="312"/>
      <c r="O33" s="310"/>
      <c r="P33" s="309"/>
      <c r="Q33" s="311">
        <v>2</v>
      </c>
      <c r="R33" s="312"/>
      <c r="S33" s="310"/>
      <c r="T33" s="309"/>
      <c r="U33" s="311"/>
      <c r="V33" s="328"/>
      <c r="W33" s="199">
        <f>SUM(K33:V35)</f>
        <v>10</v>
      </c>
      <c r="X33" s="200"/>
      <c r="Y33" s="375">
        <v>8</v>
      </c>
    </row>
    <row r="34" spans="2:28" ht="16.5" customHeight="1" thickBot="1">
      <c r="B34" s="338"/>
      <c r="C34" s="339"/>
      <c r="D34" s="374"/>
      <c r="E34" s="48" t="s">
        <v>351</v>
      </c>
      <c r="F34" s="283" t="s">
        <v>562</v>
      </c>
      <c r="G34" s="209"/>
      <c r="H34" s="44">
        <v>4</v>
      </c>
      <c r="I34" s="45" t="s">
        <v>340</v>
      </c>
      <c r="J34" s="46">
        <v>5</v>
      </c>
      <c r="K34" s="283">
        <v>5</v>
      </c>
      <c r="L34" s="264"/>
      <c r="M34" s="208"/>
      <c r="N34" s="284"/>
      <c r="O34" s="263"/>
      <c r="P34" s="264"/>
      <c r="Q34" s="208"/>
      <c r="R34" s="284"/>
      <c r="S34" s="263"/>
      <c r="T34" s="264"/>
      <c r="U34" s="208"/>
      <c r="V34" s="209"/>
      <c r="W34" s="201"/>
      <c r="X34" s="202"/>
      <c r="Y34" s="375"/>
    </row>
    <row r="35" spans="2:28" ht="18" thickBot="1">
      <c r="B35" s="340"/>
      <c r="C35" s="341"/>
      <c r="D35" s="374"/>
      <c r="E35" s="48" t="s">
        <v>351</v>
      </c>
      <c r="F35" s="239" t="s">
        <v>531</v>
      </c>
      <c r="G35" s="362"/>
      <c r="H35" s="49">
        <v>4</v>
      </c>
      <c r="I35" s="50" t="s">
        <v>340</v>
      </c>
      <c r="J35" s="51">
        <v>3</v>
      </c>
      <c r="K35" s="239"/>
      <c r="L35" s="240"/>
      <c r="M35" s="359"/>
      <c r="N35" s="364"/>
      <c r="O35" s="363"/>
      <c r="P35" s="240"/>
      <c r="Q35" s="359">
        <v>3</v>
      </c>
      <c r="R35" s="364"/>
      <c r="S35" s="363"/>
      <c r="T35" s="240"/>
      <c r="U35" s="359"/>
      <c r="V35" s="362"/>
      <c r="W35" s="201"/>
      <c r="X35" s="202"/>
      <c r="Y35" s="375"/>
    </row>
    <row r="36" spans="2:28" ht="24.75" customHeight="1" thickBot="1">
      <c r="B36" s="248" t="s">
        <v>364</v>
      </c>
      <c r="C36" s="249"/>
      <c r="D36" s="249"/>
      <c r="E36" s="249"/>
      <c r="F36" s="249"/>
      <c r="G36" s="250"/>
      <c r="H36" s="33">
        <f>SUM(H9:H35)</f>
        <v>94</v>
      </c>
      <c r="I36" s="18"/>
      <c r="J36" s="34">
        <f>SUM(J9:J35)</f>
        <v>79</v>
      </c>
      <c r="K36" s="378">
        <f>SUM(K9:L35)</f>
        <v>29</v>
      </c>
      <c r="L36" s="379"/>
      <c r="M36" s="379">
        <f>SUM(M9:N35)</f>
        <v>24</v>
      </c>
      <c r="N36" s="286"/>
      <c r="O36" s="441">
        <f>SUM(O9:P35)</f>
        <v>11</v>
      </c>
      <c r="P36" s="379"/>
      <c r="Q36" s="379">
        <f>SUM(Q9:R35)</f>
        <v>14</v>
      </c>
      <c r="R36" s="443"/>
      <c r="S36" s="285">
        <f>SUM(S9:T35)</f>
        <v>1</v>
      </c>
      <c r="T36" s="379"/>
      <c r="U36" s="379">
        <f>SUM(U9:V35)</f>
        <v>0</v>
      </c>
      <c r="V36" s="442"/>
      <c r="W36" s="248">
        <f>SUM(K36:V36)</f>
        <v>79</v>
      </c>
      <c r="X36" s="285"/>
      <c r="Y36" s="34">
        <f>SUM(Y9:Y35)</f>
        <v>64</v>
      </c>
      <c r="AA36" s="265" t="b">
        <f>W36&gt;=Y36</f>
        <v>1</v>
      </c>
      <c r="AB36" s="266"/>
    </row>
    <row r="37" spans="2:28" ht="17.25" customHeight="1">
      <c r="B37" s="210" t="s">
        <v>610</v>
      </c>
      <c r="C37" s="211"/>
      <c r="D37" s="59" t="s">
        <v>533</v>
      </c>
      <c r="E37" s="60" t="s">
        <v>357</v>
      </c>
      <c r="F37" s="365" t="s">
        <v>534</v>
      </c>
      <c r="G37" s="366"/>
      <c r="H37" s="139"/>
      <c r="I37" s="147"/>
      <c r="J37" s="140">
        <v>3</v>
      </c>
      <c r="K37" s="283"/>
      <c r="L37" s="264"/>
      <c r="M37" s="208"/>
      <c r="N37" s="372"/>
      <c r="O37" s="263">
        <v>3</v>
      </c>
      <c r="P37" s="264"/>
      <c r="Q37" s="208"/>
      <c r="R37" s="284"/>
      <c r="S37" s="372"/>
      <c r="T37" s="264"/>
      <c r="U37" s="208"/>
      <c r="V37" s="209"/>
      <c r="W37" s="376">
        <f t="shared" ref="W37:W44" si="5">SUM(K37:V37)</f>
        <v>3</v>
      </c>
      <c r="X37" s="377"/>
      <c r="Y37" s="205">
        <v>80</v>
      </c>
    </row>
    <row r="38" spans="2:28" ht="17.25" customHeight="1">
      <c r="B38" s="212"/>
      <c r="C38" s="213"/>
      <c r="D38" s="59" t="s">
        <v>533</v>
      </c>
      <c r="E38" s="60" t="s">
        <v>357</v>
      </c>
      <c r="F38" s="365" t="s">
        <v>563</v>
      </c>
      <c r="G38" s="366"/>
      <c r="H38" s="139"/>
      <c r="I38" s="147"/>
      <c r="J38" s="140">
        <v>3</v>
      </c>
      <c r="K38" s="283"/>
      <c r="L38" s="264"/>
      <c r="M38" s="208"/>
      <c r="N38" s="284"/>
      <c r="O38" s="263"/>
      <c r="P38" s="264"/>
      <c r="Q38" s="208">
        <v>3</v>
      </c>
      <c r="R38" s="284"/>
      <c r="S38" s="263"/>
      <c r="T38" s="264"/>
      <c r="U38" s="208"/>
      <c r="V38" s="209"/>
      <c r="W38" s="376">
        <f t="shared" si="5"/>
        <v>3</v>
      </c>
      <c r="X38" s="377"/>
      <c r="Y38" s="206"/>
    </row>
    <row r="39" spans="2:28" ht="17.25" customHeight="1">
      <c r="B39" s="212"/>
      <c r="C39" s="213"/>
      <c r="D39" s="59" t="s">
        <v>533</v>
      </c>
      <c r="E39" s="60" t="s">
        <v>357</v>
      </c>
      <c r="F39" s="365" t="s">
        <v>535</v>
      </c>
      <c r="G39" s="366"/>
      <c r="H39" s="139"/>
      <c r="I39" s="147"/>
      <c r="J39" s="140">
        <v>4</v>
      </c>
      <c r="K39" s="283"/>
      <c r="L39" s="264"/>
      <c r="M39" s="208"/>
      <c r="N39" s="284"/>
      <c r="O39" s="263">
        <v>4</v>
      </c>
      <c r="P39" s="264"/>
      <c r="Q39" s="208"/>
      <c r="R39" s="284"/>
      <c r="S39" s="263"/>
      <c r="T39" s="264"/>
      <c r="U39" s="208"/>
      <c r="V39" s="209"/>
      <c r="W39" s="376">
        <f t="shared" si="5"/>
        <v>4</v>
      </c>
      <c r="X39" s="377"/>
      <c r="Y39" s="206"/>
    </row>
    <row r="40" spans="2:28" ht="17.25" customHeight="1">
      <c r="B40" s="212"/>
      <c r="C40" s="213"/>
      <c r="D40" s="59" t="s">
        <v>533</v>
      </c>
      <c r="E40" s="60" t="s">
        <v>357</v>
      </c>
      <c r="F40" s="367" t="s">
        <v>564</v>
      </c>
      <c r="G40" s="355"/>
      <c r="H40" s="139"/>
      <c r="I40" s="147"/>
      <c r="J40" s="140">
        <v>3</v>
      </c>
      <c r="K40" s="283"/>
      <c r="L40" s="264"/>
      <c r="M40" s="208"/>
      <c r="N40" s="284"/>
      <c r="O40" s="263"/>
      <c r="P40" s="264"/>
      <c r="Q40" s="208">
        <v>3</v>
      </c>
      <c r="R40" s="284"/>
      <c r="S40" s="263"/>
      <c r="T40" s="264"/>
      <c r="U40" s="208"/>
      <c r="V40" s="209"/>
      <c r="W40" s="376">
        <f t="shared" si="5"/>
        <v>3</v>
      </c>
      <c r="X40" s="377"/>
      <c r="Y40" s="206"/>
    </row>
    <row r="41" spans="2:28" ht="17.25" customHeight="1">
      <c r="B41" s="212"/>
      <c r="C41" s="213"/>
      <c r="D41" s="59" t="s">
        <v>533</v>
      </c>
      <c r="E41" s="60" t="s">
        <v>358</v>
      </c>
      <c r="F41" s="367" t="s">
        <v>537</v>
      </c>
      <c r="G41" s="355"/>
      <c r="H41" s="139"/>
      <c r="I41" s="147"/>
      <c r="J41" s="140">
        <v>22</v>
      </c>
      <c r="K41" s="283"/>
      <c r="L41" s="264"/>
      <c r="M41" s="208"/>
      <c r="N41" s="372"/>
      <c r="O41" s="263">
        <v>3</v>
      </c>
      <c r="P41" s="264"/>
      <c r="Q41" s="208">
        <v>3</v>
      </c>
      <c r="R41" s="284"/>
      <c r="S41" s="372">
        <v>8</v>
      </c>
      <c r="T41" s="264"/>
      <c r="U41" s="208">
        <v>8</v>
      </c>
      <c r="V41" s="209"/>
      <c r="W41" s="376">
        <f t="shared" si="5"/>
        <v>22</v>
      </c>
      <c r="X41" s="377"/>
      <c r="Y41" s="206"/>
    </row>
    <row r="42" spans="2:28" ht="17.25" customHeight="1">
      <c r="B42" s="212"/>
      <c r="C42" s="213"/>
      <c r="D42" s="59" t="s">
        <v>361</v>
      </c>
      <c r="E42" s="60" t="s">
        <v>358</v>
      </c>
      <c r="F42" s="367" t="s">
        <v>570</v>
      </c>
      <c r="G42" s="355"/>
      <c r="H42" s="139"/>
      <c r="I42" s="147"/>
      <c r="J42" s="140">
        <v>14</v>
      </c>
      <c r="K42" s="283"/>
      <c r="L42" s="264"/>
      <c r="M42" s="208"/>
      <c r="N42" s="284"/>
      <c r="O42" s="263">
        <v>4</v>
      </c>
      <c r="P42" s="264"/>
      <c r="Q42" s="208">
        <v>2</v>
      </c>
      <c r="R42" s="284"/>
      <c r="S42" s="263">
        <v>4</v>
      </c>
      <c r="T42" s="264"/>
      <c r="U42" s="208">
        <v>4</v>
      </c>
      <c r="V42" s="209"/>
      <c r="W42" s="376">
        <f>SUM(K42:V42)</f>
        <v>14</v>
      </c>
      <c r="X42" s="377"/>
      <c r="Y42" s="206"/>
    </row>
    <row r="43" spans="2:28" ht="17.25" customHeight="1">
      <c r="B43" s="212"/>
      <c r="C43" s="213"/>
      <c r="D43" s="61" t="s">
        <v>533</v>
      </c>
      <c r="E43" s="60" t="s">
        <v>358</v>
      </c>
      <c r="F43" s="367" t="s">
        <v>538</v>
      </c>
      <c r="G43" s="355"/>
      <c r="H43" s="139"/>
      <c r="I43" s="148"/>
      <c r="J43" s="46">
        <v>9</v>
      </c>
      <c r="K43" s="283"/>
      <c r="L43" s="264"/>
      <c r="M43" s="208"/>
      <c r="N43" s="372"/>
      <c r="O43" s="263"/>
      <c r="P43" s="264"/>
      <c r="Q43" s="208"/>
      <c r="R43" s="284"/>
      <c r="S43" s="372">
        <v>4</v>
      </c>
      <c r="T43" s="264"/>
      <c r="U43" s="208">
        <v>5</v>
      </c>
      <c r="V43" s="209"/>
      <c r="W43" s="376">
        <f t="shared" si="5"/>
        <v>9</v>
      </c>
      <c r="X43" s="377"/>
      <c r="Y43" s="206"/>
    </row>
    <row r="44" spans="2:28" ht="16.5" customHeight="1" thickBot="1">
      <c r="B44" s="214"/>
      <c r="C44" s="215"/>
      <c r="D44" s="62" t="s">
        <v>533</v>
      </c>
      <c r="E44" s="60" t="s">
        <v>358</v>
      </c>
      <c r="F44" s="368" t="s">
        <v>539</v>
      </c>
      <c r="G44" s="369"/>
      <c r="H44" s="44"/>
      <c r="I44" s="148"/>
      <c r="J44" s="46">
        <v>12</v>
      </c>
      <c r="K44" s="370"/>
      <c r="L44" s="371"/>
      <c r="M44" s="208"/>
      <c r="N44" s="372"/>
      <c r="O44" s="263"/>
      <c r="P44" s="264"/>
      <c r="Q44" s="208"/>
      <c r="R44" s="284"/>
      <c r="S44" s="372">
        <v>6</v>
      </c>
      <c r="T44" s="264"/>
      <c r="U44" s="208">
        <v>6</v>
      </c>
      <c r="V44" s="209"/>
      <c r="W44" s="376">
        <f t="shared" si="5"/>
        <v>12</v>
      </c>
      <c r="X44" s="377"/>
      <c r="Y44" s="206"/>
    </row>
    <row r="45" spans="2:28" ht="20.25" customHeight="1">
      <c r="B45" s="210" t="s">
        <v>565</v>
      </c>
      <c r="C45" s="211"/>
      <c r="D45" s="63" t="s">
        <v>532</v>
      </c>
      <c r="E45" s="64" t="s">
        <v>357</v>
      </c>
      <c r="F45" s="241" t="s">
        <v>543</v>
      </c>
      <c r="G45" s="242"/>
      <c r="H45" s="39"/>
      <c r="I45" s="149"/>
      <c r="J45" s="243">
        <v>5</v>
      </c>
      <c r="K45" s="308"/>
      <c r="L45" s="309"/>
      <c r="M45" s="216">
        <v>5</v>
      </c>
      <c r="N45" s="271"/>
      <c r="O45" s="310"/>
      <c r="P45" s="309"/>
      <c r="Q45" s="311"/>
      <c r="R45" s="312"/>
      <c r="S45" s="353"/>
      <c r="T45" s="309"/>
      <c r="U45" s="216"/>
      <c r="V45" s="217"/>
      <c r="W45" s="199">
        <f>SUM(K45:V45)</f>
        <v>5</v>
      </c>
      <c r="X45" s="200"/>
      <c r="Y45" s="206"/>
    </row>
    <row r="46" spans="2:28" ht="20.25" customHeight="1">
      <c r="B46" s="212"/>
      <c r="C46" s="213"/>
      <c r="D46" s="61" t="s">
        <v>540</v>
      </c>
      <c r="E46" s="67" t="s">
        <v>542</v>
      </c>
      <c r="F46" s="222" t="s">
        <v>544</v>
      </c>
      <c r="G46" s="223"/>
      <c r="H46" s="150"/>
      <c r="I46" s="151"/>
      <c r="J46" s="244"/>
      <c r="K46" s="226"/>
      <c r="L46" s="227"/>
      <c r="M46" s="218"/>
      <c r="N46" s="272"/>
      <c r="O46" s="230"/>
      <c r="P46" s="227"/>
      <c r="Q46" s="232"/>
      <c r="R46" s="233"/>
      <c r="S46" s="230"/>
      <c r="T46" s="227"/>
      <c r="U46" s="218"/>
      <c r="V46" s="219"/>
      <c r="W46" s="201"/>
      <c r="X46" s="202"/>
      <c r="Y46" s="206"/>
    </row>
    <row r="47" spans="2:28" ht="20.25" customHeight="1">
      <c r="B47" s="212"/>
      <c r="C47" s="213"/>
      <c r="D47" s="61" t="s">
        <v>541</v>
      </c>
      <c r="E47" s="67" t="s">
        <v>357</v>
      </c>
      <c r="F47" s="224" t="s">
        <v>566</v>
      </c>
      <c r="G47" s="225"/>
      <c r="H47" s="44"/>
      <c r="I47" s="151"/>
      <c r="J47" s="244"/>
      <c r="K47" s="228"/>
      <c r="L47" s="229"/>
      <c r="M47" s="218"/>
      <c r="N47" s="272"/>
      <c r="O47" s="231"/>
      <c r="P47" s="229"/>
      <c r="Q47" s="234"/>
      <c r="R47" s="235"/>
      <c r="S47" s="231"/>
      <c r="T47" s="229"/>
      <c r="U47" s="218"/>
      <c r="V47" s="219"/>
      <c r="W47" s="201"/>
      <c r="X47" s="202"/>
      <c r="Y47" s="206"/>
    </row>
    <row r="48" spans="2:28" ht="20.25" customHeight="1" thickBot="1">
      <c r="B48" s="214"/>
      <c r="C48" s="215"/>
      <c r="D48" s="66" t="s">
        <v>533</v>
      </c>
      <c r="E48" s="60" t="s">
        <v>357</v>
      </c>
      <c r="F48" s="313" t="s">
        <v>567</v>
      </c>
      <c r="G48" s="314"/>
      <c r="H48" s="49"/>
      <c r="I48" s="152"/>
      <c r="J48" s="307"/>
      <c r="K48" s="239"/>
      <c r="L48" s="240"/>
      <c r="M48" s="220"/>
      <c r="N48" s="273"/>
      <c r="O48" s="363"/>
      <c r="P48" s="240"/>
      <c r="Q48" s="359"/>
      <c r="R48" s="364"/>
      <c r="S48" s="360"/>
      <c r="T48" s="240"/>
      <c r="U48" s="220"/>
      <c r="V48" s="221"/>
      <c r="W48" s="203"/>
      <c r="X48" s="204"/>
      <c r="Y48" s="206"/>
    </row>
    <row r="49" spans="2:29" ht="16.5" customHeight="1">
      <c r="B49" s="210" t="s">
        <v>565</v>
      </c>
      <c r="C49" s="211"/>
      <c r="D49" s="62" t="s">
        <v>532</v>
      </c>
      <c r="E49" s="64" t="s">
        <v>357</v>
      </c>
      <c r="F49" s="241" t="s">
        <v>568</v>
      </c>
      <c r="G49" s="242"/>
      <c r="H49" s="39"/>
      <c r="I49" s="149"/>
      <c r="J49" s="243">
        <v>8</v>
      </c>
      <c r="K49" s="308"/>
      <c r="L49" s="309"/>
      <c r="M49" s="311"/>
      <c r="N49" s="353"/>
      <c r="O49" s="274">
        <v>4</v>
      </c>
      <c r="P49" s="275"/>
      <c r="Q49" s="216">
        <v>4</v>
      </c>
      <c r="R49" s="271"/>
      <c r="S49" s="353"/>
      <c r="T49" s="309"/>
      <c r="U49" s="311"/>
      <c r="V49" s="328"/>
      <c r="W49" s="199">
        <f>SUM(K49:V49)</f>
        <v>8</v>
      </c>
      <c r="X49" s="200"/>
      <c r="Y49" s="206"/>
    </row>
    <row r="50" spans="2:29" ht="30" customHeight="1">
      <c r="B50" s="212"/>
      <c r="C50" s="213"/>
      <c r="D50" s="61" t="s">
        <v>540</v>
      </c>
      <c r="E50" s="67" t="s">
        <v>357</v>
      </c>
      <c r="F50" s="354" t="s">
        <v>607</v>
      </c>
      <c r="G50" s="355"/>
      <c r="H50" s="139"/>
      <c r="I50" s="151"/>
      <c r="J50" s="244"/>
      <c r="K50" s="283"/>
      <c r="L50" s="264"/>
      <c r="M50" s="208"/>
      <c r="N50" s="284"/>
      <c r="O50" s="276"/>
      <c r="P50" s="277"/>
      <c r="Q50" s="218"/>
      <c r="R50" s="272"/>
      <c r="S50" s="263"/>
      <c r="T50" s="264"/>
      <c r="U50" s="208"/>
      <c r="V50" s="209"/>
      <c r="W50" s="201"/>
      <c r="X50" s="202"/>
      <c r="Y50" s="206"/>
    </row>
    <row r="51" spans="2:29">
      <c r="B51" s="212"/>
      <c r="C51" s="213"/>
      <c r="D51" s="59" t="s">
        <v>541</v>
      </c>
      <c r="E51" s="138" t="s">
        <v>358</v>
      </c>
      <c r="F51" s="356" t="s">
        <v>359</v>
      </c>
      <c r="G51" s="357"/>
      <c r="H51" s="142"/>
      <c r="I51" s="151"/>
      <c r="J51" s="244"/>
      <c r="K51" s="226"/>
      <c r="L51" s="227"/>
      <c r="M51" s="232"/>
      <c r="N51" s="358"/>
      <c r="O51" s="276"/>
      <c r="P51" s="277"/>
      <c r="Q51" s="218"/>
      <c r="R51" s="272"/>
      <c r="S51" s="358"/>
      <c r="T51" s="227"/>
      <c r="U51" s="232"/>
      <c r="V51" s="236"/>
      <c r="W51" s="201"/>
      <c r="X51" s="202"/>
      <c r="Y51" s="206"/>
    </row>
    <row r="52" spans="2:29" ht="18" thickBot="1">
      <c r="B52" s="214"/>
      <c r="C52" s="215"/>
      <c r="D52" s="66" t="s">
        <v>533</v>
      </c>
      <c r="E52" s="146" t="s">
        <v>358</v>
      </c>
      <c r="F52" s="237" t="s">
        <v>545</v>
      </c>
      <c r="G52" s="238"/>
      <c r="H52" s="49"/>
      <c r="I52" s="153"/>
      <c r="J52" s="244"/>
      <c r="K52" s="239"/>
      <c r="L52" s="240"/>
      <c r="M52" s="359"/>
      <c r="N52" s="360"/>
      <c r="O52" s="278"/>
      <c r="P52" s="279"/>
      <c r="Q52" s="220"/>
      <c r="R52" s="273"/>
      <c r="S52" s="360"/>
      <c r="T52" s="240"/>
      <c r="U52" s="359"/>
      <c r="V52" s="362"/>
      <c r="W52" s="203"/>
      <c r="X52" s="204"/>
      <c r="Y52" s="206"/>
    </row>
    <row r="53" spans="2:29" ht="16.5" customHeight="1">
      <c r="B53" s="336" t="s">
        <v>565</v>
      </c>
      <c r="C53" s="337"/>
      <c r="D53" s="63" t="s">
        <v>532</v>
      </c>
      <c r="E53" s="67" t="s">
        <v>358</v>
      </c>
      <c r="F53" s="342" t="s">
        <v>546</v>
      </c>
      <c r="G53" s="343"/>
      <c r="H53" s="139"/>
      <c r="I53" s="151"/>
      <c r="J53" s="243">
        <v>12</v>
      </c>
      <c r="K53" s="352"/>
      <c r="L53" s="275"/>
      <c r="M53" s="216"/>
      <c r="N53" s="271"/>
      <c r="O53" s="361"/>
      <c r="P53" s="267"/>
      <c r="Q53" s="267"/>
      <c r="R53" s="268"/>
      <c r="S53" s="274">
        <v>6</v>
      </c>
      <c r="T53" s="275"/>
      <c r="U53" s="216">
        <v>6</v>
      </c>
      <c r="V53" s="217"/>
      <c r="W53" s="199">
        <f>SUM(K53:V56)</f>
        <v>12</v>
      </c>
      <c r="X53" s="200"/>
      <c r="Y53" s="206"/>
    </row>
    <row r="54" spans="2:29" ht="16.5" customHeight="1">
      <c r="B54" s="338"/>
      <c r="C54" s="339"/>
      <c r="D54" s="69" t="s">
        <v>540</v>
      </c>
      <c r="E54" s="60" t="s">
        <v>358</v>
      </c>
      <c r="F54" s="332" t="s">
        <v>569</v>
      </c>
      <c r="G54" s="333"/>
      <c r="H54" s="139"/>
      <c r="I54" s="151"/>
      <c r="J54" s="244"/>
      <c r="K54" s="349"/>
      <c r="L54" s="277"/>
      <c r="M54" s="350"/>
      <c r="N54" s="351"/>
      <c r="O54" s="348"/>
      <c r="P54" s="269"/>
      <c r="Q54" s="269"/>
      <c r="R54" s="270"/>
      <c r="S54" s="276"/>
      <c r="T54" s="277"/>
      <c r="U54" s="218"/>
      <c r="V54" s="219"/>
      <c r="W54" s="201"/>
      <c r="X54" s="202"/>
      <c r="Y54" s="206"/>
    </row>
    <row r="55" spans="2:29" ht="16.5" customHeight="1">
      <c r="B55" s="338"/>
      <c r="C55" s="339"/>
      <c r="D55" s="69" t="s">
        <v>150</v>
      </c>
      <c r="E55" s="60" t="s">
        <v>358</v>
      </c>
      <c r="F55" s="332" t="s">
        <v>360</v>
      </c>
      <c r="G55" s="333"/>
      <c r="H55" s="44"/>
      <c r="I55" s="151"/>
      <c r="J55" s="244"/>
      <c r="K55" s="349"/>
      <c r="L55" s="277"/>
      <c r="M55" s="218"/>
      <c r="N55" s="272"/>
      <c r="O55" s="348"/>
      <c r="P55" s="269"/>
      <c r="Q55" s="269"/>
      <c r="R55" s="270"/>
      <c r="S55" s="276"/>
      <c r="T55" s="277"/>
      <c r="U55" s="218"/>
      <c r="V55" s="219"/>
      <c r="W55" s="201"/>
      <c r="X55" s="202"/>
      <c r="Y55" s="206"/>
      <c r="AC55" s="30"/>
    </row>
    <row r="56" spans="2:29" ht="16.5" customHeight="1" thickBot="1">
      <c r="B56" s="340"/>
      <c r="C56" s="341"/>
      <c r="D56" s="59" t="s">
        <v>361</v>
      </c>
      <c r="E56" s="65" t="s">
        <v>358</v>
      </c>
      <c r="F56" s="334" t="s">
        <v>547</v>
      </c>
      <c r="G56" s="335"/>
      <c r="H56" s="49"/>
      <c r="I56" s="152"/>
      <c r="J56" s="307"/>
      <c r="K56" s="344"/>
      <c r="L56" s="279"/>
      <c r="M56" s="220"/>
      <c r="N56" s="273"/>
      <c r="O56" s="345"/>
      <c r="P56" s="346"/>
      <c r="Q56" s="346"/>
      <c r="R56" s="347"/>
      <c r="S56" s="278"/>
      <c r="T56" s="279"/>
      <c r="U56" s="220"/>
      <c r="V56" s="221"/>
      <c r="W56" s="203"/>
      <c r="X56" s="204"/>
      <c r="Y56" s="207"/>
      <c r="AC56" s="68"/>
    </row>
    <row r="57" spans="2:29" ht="24.75" customHeight="1">
      <c r="B57" s="287" t="s">
        <v>365</v>
      </c>
      <c r="C57" s="288"/>
      <c r="D57" s="288"/>
      <c r="E57" s="288"/>
      <c r="F57" s="288"/>
      <c r="G57" s="289"/>
      <c r="H57" s="293">
        <f>SUM(H37:H44)</f>
        <v>0</v>
      </c>
      <c r="I57" s="295">
        <f>SUM(I37:I44)</f>
        <v>0</v>
      </c>
      <c r="J57" s="297">
        <f>SUM(J37:J56)</f>
        <v>95</v>
      </c>
      <c r="K57" s="287">
        <f>SUM(K37:L56)</f>
        <v>0</v>
      </c>
      <c r="L57" s="299"/>
      <c r="M57" s="301">
        <f>SUM(M37:N51)</f>
        <v>5</v>
      </c>
      <c r="N57" s="288"/>
      <c r="O57" s="303">
        <f>SUM(O37:P51)</f>
        <v>18</v>
      </c>
      <c r="P57" s="299"/>
      <c r="Q57" s="301">
        <f>SUM(Q37:R51)</f>
        <v>15</v>
      </c>
      <c r="R57" s="305"/>
      <c r="S57" s="288">
        <f>SUM(S37:T56)</f>
        <v>28</v>
      </c>
      <c r="T57" s="299"/>
      <c r="U57" s="301">
        <f>SUM(U37:V56)</f>
        <v>29</v>
      </c>
      <c r="V57" s="289"/>
      <c r="W57" s="287">
        <f>SUM(K57:V58)</f>
        <v>95</v>
      </c>
      <c r="X57" s="289"/>
      <c r="Y57" s="205">
        <f>SUM(Y37:Y52)</f>
        <v>80</v>
      </c>
      <c r="AC57" s="30"/>
    </row>
    <row r="58" spans="2:29" ht="18" thickBot="1">
      <c r="B58" s="290"/>
      <c r="C58" s="291"/>
      <c r="D58" s="291"/>
      <c r="E58" s="291"/>
      <c r="F58" s="291"/>
      <c r="G58" s="292"/>
      <c r="H58" s="294"/>
      <c r="I58" s="296"/>
      <c r="J58" s="298"/>
      <c r="K58" s="290"/>
      <c r="L58" s="300"/>
      <c r="M58" s="302"/>
      <c r="N58" s="291"/>
      <c r="O58" s="304"/>
      <c r="P58" s="300"/>
      <c r="Q58" s="302"/>
      <c r="R58" s="306"/>
      <c r="S58" s="291"/>
      <c r="T58" s="300"/>
      <c r="U58" s="302"/>
      <c r="V58" s="292"/>
      <c r="W58" s="290"/>
      <c r="X58" s="292"/>
      <c r="Y58" s="207"/>
      <c r="AC58" s="68"/>
    </row>
    <row r="59" spans="2:29" ht="17.25" customHeight="1" thickBot="1">
      <c r="B59" s="248"/>
      <c r="C59" s="249"/>
      <c r="D59" s="249"/>
      <c r="E59" s="249"/>
      <c r="F59" s="249"/>
      <c r="G59" s="250"/>
      <c r="H59" s="31">
        <f>SUM(H36,H57)</f>
        <v>94</v>
      </c>
      <c r="I59" s="32">
        <f>SUM(I36,I57)</f>
        <v>0</v>
      </c>
      <c r="J59" s="34">
        <f>SUM(J36,J57)</f>
        <v>174</v>
      </c>
      <c r="K59" s="248">
        <f>SUM(K36,K57)</f>
        <v>29</v>
      </c>
      <c r="L59" s="285"/>
      <c r="M59" s="286">
        <f>SUM(M36,M57)</f>
        <v>29</v>
      </c>
      <c r="N59" s="251"/>
      <c r="O59" s="252">
        <f>SUM(O36,O57)</f>
        <v>29</v>
      </c>
      <c r="P59" s="285"/>
      <c r="Q59" s="286">
        <f>SUM(Q36,Q57)</f>
        <v>29</v>
      </c>
      <c r="R59" s="251"/>
      <c r="S59" s="252">
        <f>SUM(S36,S57)</f>
        <v>29</v>
      </c>
      <c r="T59" s="285"/>
      <c r="U59" s="286">
        <f>SUM(U36,U57)</f>
        <v>29</v>
      </c>
      <c r="V59" s="250"/>
      <c r="W59" s="248">
        <f>SUM(K59:V59)</f>
        <v>174</v>
      </c>
      <c r="X59" s="250"/>
      <c r="Y59" s="11">
        <f>Y57+Y36</f>
        <v>144</v>
      </c>
      <c r="AA59" s="253" t="s">
        <v>154</v>
      </c>
      <c r="AB59" s="253"/>
    </row>
    <row r="60" spans="2:29" ht="18.75" customHeight="1" thickBot="1">
      <c r="B60" s="316" t="s">
        <v>366</v>
      </c>
      <c r="C60" s="317"/>
      <c r="D60" s="317"/>
      <c r="E60" s="318"/>
      <c r="F60" s="325" t="s">
        <v>362</v>
      </c>
      <c r="G60" s="326"/>
      <c r="H60" s="326"/>
      <c r="I60" s="326"/>
      <c r="J60" s="327"/>
      <c r="K60" s="308">
        <v>16</v>
      </c>
      <c r="L60" s="309"/>
      <c r="M60" s="311">
        <v>16</v>
      </c>
      <c r="N60" s="312"/>
      <c r="O60" s="310">
        <v>16</v>
      </c>
      <c r="P60" s="309"/>
      <c r="Q60" s="311">
        <v>16</v>
      </c>
      <c r="R60" s="312"/>
      <c r="S60" s="310">
        <v>16</v>
      </c>
      <c r="T60" s="309"/>
      <c r="U60" s="311">
        <v>16</v>
      </c>
      <c r="V60" s="328"/>
      <c r="W60" s="316">
        <f>SUM(K60:V62)</f>
        <v>288</v>
      </c>
      <c r="X60" s="318"/>
      <c r="Y60" s="205">
        <f>Y63*16</f>
        <v>288</v>
      </c>
      <c r="AA60" s="315"/>
      <c r="AB60" s="315"/>
    </row>
    <row r="61" spans="2:29" ht="17.25" customHeight="1" thickBot="1">
      <c r="B61" s="319"/>
      <c r="C61" s="320"/>
      <c r="D61" s="320"/>
      <c r="E61" s="321"/>
      <c r="F61" s="280" t="s">
        <v>63</v>
      </c>
      <c r="G61" s="281"/>
      <c r="H61" s="281"/>
      <c r="I61" s="281"/>
      <c r="J61" s="282"/>
      <c r="K61" s="283">
        <v>16</v>
      </c>
      <c r="L61" s="264"/>
      <c r="M61" s="208">
        <v>16</v>
      </c>
      <c r="N61" s="284"/>
      <c r="O61" s="263">
        <v>16</v>
      </c>
      <c r="P61" s="264"/>
      <c r="Q61" s="208">
        <v>16</v>
      </c>
      <c r="R61" s="284"/>
      <c r="S61" s="263">
        <v>16</v>
      </c>
      <c r="T61" s="264"/>
      <c r="U61" s="208">
        <v>16</v>
      </c>
      <c r="V61" s="209"/>
      <c r="W61" s="319"/>
      <c r="X61" s="321"/>
      <c r="Y61" s="206"/>
      <c r="AA61" s="265" t="b">
        <f>W59&gt;=Y59</f>
        <v>1</v>
      </c>
      <c r="AB61" s="266"/>
    </row>
    <row r="62" spans="2:29" ht="17.25" customHeight="1">
      <c r="B62" s="319"/>
      <c r="C62" s="320"/>
      <c r="D62" s="320"/>
      <c r="E62" s="321"/>
      <c r="F62" s="280" t="s">
        <v>11</v>
      </c>
      <c r="G62" s="281"/>
      <c r="H62" s="281"/>
      <c r="I62" s="281"/>
      <c r="J62" s="282"/>
      <c r="K62" s="283">
        <v>16</v>
      </c>
      <c r="L62" s="264"/>
      <c r="M62" s="208">
        <v>16</v>
      </c>
      <c r="N62" s="284"/>
      <c r="O62" s="263">
        <v>16</v>
      </c>
      <c r="P62" s="264"/>
      <c r="Q62" s="208">
        <v>16</v>
      </c>
      <c r="R62" s="284"/>
      <c r="S62" s="263">
        <v>16</v>
      </c>
      <c r="T62" s="264"/>
      <c r="U62" s="208">
        <v>16</v>
      </c>
      <c r="V62" s="209"/>
      <c r="W62" s="329"/>
      <c r="X62" s="330"/>
      <c r="Y62" s="331"/>
    </row>
    <row r="63" spans="2:29" ht="17.25" customHeight="1" thickBot="1">
      <c r="B63" s="322"/>
      <c r="C63" s="323"/>
      <c r="D63" s="323"/>
      <c r="E63" s="324"/>
      <c r="F63" s="254" t="s">
        <v>149</v>
      </c>
      <c r="G63" s="255"/>
      <c r="H63" s="255"/>
      <c r="I63" s="255"/>
      <c r="J63" s="256"/>
      <c r="K63" s="257">
        <v>3</v>
      </c>
      <c r="L63" s="258"/>
      <c r="M63" s="259">
        <v>3</v>
      </c>
      <c r="N63" s="260"/>
      <c r="O63" s="261">
        <v>3</v>
      </c>
      <c r="P63" s="258"/>
      <c r="Q63" s="259">
        <v>3</v>
      </c>
      <c r="R63" s="260"/>
      <c r="S63" s="261">
        <v>3</v>
      </c>
      <c r="T63" s="258"/>
      <c r="U63" s="259">
        <v>3</v>
      </c>
      <c r="V63" s="262"/>
      <c r="W63" s="254">
        <f>SUM(K63:V63)</f>
        <v>18</v>
      </c>
      <c r="X63" s="256"/>
      <c r="Y63" s="70">
        <v>18</v>
      </c>
      <c r="AA63" s="253" t="s">
        <v>155</v>
      </c>
      <c r="AB63" s="253"/>
    </row>
    <row r="64" spans="2:29" ht="17.25" customHeight="1" thickBot="1">
      <c r="B64" s="248"/>
      <c r="C64" s="249"/>
      <c r="D64" s="249"/>
      <c r="E64" s="249"/>
      <c r="F64" s="249"/>
      <c r="G64" s="249"/>
      <c r="H64" s="249"/>
      <c r="I64" s="249"/>
      <c r="J64" s="250"/>
      <c r="K64" s="248">
        <v>32</v>
      </c>
      <c r="L64" s="285"/>
      <c r="M64" s="286">
        <v>32</v>
      </c>
      <c r="N64" s="251"/>
      <c r="O64" s="252">
        <v>32</v>
      </c>
      <c r="P64" s="285"/>
      <c r="Q64" s="286">
        <v>32</v>
      </c>
      <c r="R64" s="251"/>
      <c r="S64" s="252">
        <v>32</v>
      </c>
      <c r="T64" s="285"/>
      <c r="U64" s="286">
        <v>32</v>
      </c>
      <c r="V64" s="250"/>
      <c r="W64" s="248">
        <f>SUM(K64:V64)</f>
        <v>192</v>
      </c>
      <c r="X64" s="250"/>
      <c r="Y64" s="35">
        <f>W64</f>
        <v>192</v>
      </c>
      <c r="AA64" s="265" t="b">
        <f>W63&gt;=Y63</f>
        <v>1</v>
      </c>
      <c r="AB64" s="266"/>
    </row>
    <row r="65" spans="2:28" ht="17.25" customHeight="1" thickBot="1">
      <c r="B65" s="248"/>
      <c r="C65" s="249"/>
      <c r="D65" s="249"/>
      <c r="E65" s="249"/>
      <c r="F65" s="249"/>
      <c r="G65" s="249"/>
      <c r="H65" s="249"/>
      <c r="I65" s="249"/>
      <c r="J65" s="250"/>
      <c r="K65" s="248">
        <f>SUM(K64:N64)</f>
        <v>64</v>
      </c>
      <c r="L65" s="249"/>
      <c r="M65" s="249"/>
      <c r="N65" s="251"/>
      <c r="O65" s="252">
        <f>SUM(O64:R64)</f>
        <v>64</v>
      </c>
      <c r="P65" s="249"/>
      <c r="Q65" s="249"/>
      <c r="R65" s="251"/>
      <c r="S65" s="252">
        <f>SUM(S64:V64)</f>
        <v>64</v>
      </c>
      <c r="T65" s="249"/>
      <c r="U65" s="249"/>
      <c r="V65" s="250"/>
      <c r="W65" s="248">
        <f>SUM(K65:V65)</f>
        <v>192</v>
      </c>
      <c r="X65" s="250"/>
      <c r="Y65" s="11"/>
      <c r="AA65" s="253" t="s">
        <v>153</v>
      </c>
      <c r="AB65" s="253"/>
    </row>
    <row r="66" spans="2:28" ht="17.25" customHeight="1" thickBot="1">
      <c r="AA66" s="265" t="b">
        <f>W64&gt;=Y64</f>
        <v>1</v>
      </c>
      <c r="AB66" s="266"/>
    </row>
    <row r="67" spans="2:28" ht="17.25" customHeight="1"/>
    <row r="68" spans="2:28" ht="17.25" customHeight="1"/>
    <row r="69" spans="2:28" ht="17.25" customHeight="1"/>
    <row r="71" spans="2:28" ht="24.9" customHeight="1"/>
    <row r="72" spans="2:28" ht="24.9" customHeight="1"/>
    <row r="73" spans="2:28" ht="32.25" customHeight="1"/>
    <row r="74" spans="2:28" ht="24.9" customHeight="1"/>
    <row r="76" spans="2:28" ht="16.5" customHeight="1"/>
    <row r="77" spans="2:28" ht="17.25" customHeight="1"/>
    <row r="78" spans="2:28" ht="16.5" customHeight="1"/>
    <row r="79" spans="2:28" ht="16.5" customHeight="1"/>
    <row r="80" spans="2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244.5" customHeight="1"/>
  </sheetData>
  <mergeCells count="479">
    <mergeCell ref="K24:L24"/>
    <mergeCell ref="Q25:R25"/>
    <mergeCell ref="S25:T25"/>
    <mergeCell ref="U25:V25"/>
    <mergeCell ref="W42:X42"/>
    <mergeCell ref="F31:G31"/>
    <mergeCell ref="W38:X38"/>
    <mergeCell ref="Q38:R38"/>
    <mergeCell ref="Q39:R39"/>
    <mergeCell ref="S39:T39"/>
    <mergeCell ref="U39:V39"/>
    <mergeCell ref="Q41:R41"/>
    <mergeCell ref="S41:T41"/>
    <mergeCell ref="S37:T37"/>
    <mergeCell ref="U35:V35"/>
    <mergeCell ref="U36:V36"/>
    <mergeCell ref="W36:X36"/>
    <mergeCell ref="W39:X39"/>
    <mergeCell ref="W37:X37"/>
    <mergeCell ref="Q37:R37"/>
    <mergeCell ref="Q36:R36"/>
    <mergeCell ref="W30:X32"/>
    <mergeCell ref="F41:G41"/>
    <mergeCell ref="K41:L41"/>
    <mergeCell ref="K10:L10"/>
    <mergeCell ref="M22:N22"/>
    <mergeCell ref="O22:P22"/>
    <mergeCell ref="Q22:R22"/>
    <mergeCell ref="M21:N21"/>
    <mergeCell ref="O21:P21"/>
    <mergeCell ref="Q21:R21"/>
    <mergeCell ref="Q18:R18"/>
    <mergeCell ref="Q10:R10"/>
    <mergeCell ref="K11:L11"/>
    <mergeCell ref="K14:L14"/>
    <mergeCell ref="K21:L21"/>
    <mergeCell ref="K22:L22"/>
    <mergeCell ref="U41:V41"/>
    <mergeCell ref="M38:N38"/>
    <mergeCell ref="M39:N39"/>
    <mergeCell ref="S29:T29"/>
    <mergeCell ref="U29:V29"/>
    <mergeCell ref="S36:T36"/>
    <mergeCell ref="M31:N31"/>
    <mergeCell ref="O31:P31"/>
    <mergeCell ref="Q31:R31"/>
    <mergeCell ref="S31:T31"/>
    <mergeCell ref="O38:P38"/>
    <mergeCell ref="O39:P39"/>
    <mergeCell ref="S38:T38"/>
    <mergeCell ref="U38:V38"/>
    <mergeCell ref="Y25:Y29"/>
    <mergeCell ref="M33:N33"/>
    <mergeCell ref="M34:N34"/>
    <mergeCell ref="O35:P35"/>
    <mergeCell ref="M36:N36"/>
    <mergeCell ref="O36:P36"/>
    <mergeCell ref="O34:P34"/>
    <mergeCell ref="M35:N35"/>
    <mergeCell ref="M37:N37"/>
    <mergeCell ref="U37:V37"/>
    <mergeCell ref="O33:P33"/>
    <mergeCell ref="O26:P26"/>
    <mergeCell ref="Q26:R26"/>
    <mergeCell ref="S26:T26"/>
    <mergeCell ref="U26:V26"/>
    <mergeCell ref="O29:P29"/>
    <mergeCell ref="Q29:R29"/>
    <mergeCell ref="Q35:R35"/>
    <mergeCell ref="S35:T35"/>
    <mergeCell ref="X2:Y2"/>
    <mergeCell ref="B2:U2"/>
    <mergeCell ref="V2:W2"/>
    <mergeCell ref="AA2:AA5"/>
    <mergeCell ref="S44:T44"/>
    <mergeCell ref="U43:V43"/>
    <mergeCell ref="W43:X43"/>
    <mergeCell ref="U44:V44"/>
    <mergeCell ref="W41:X41"/>
    <mergeCell ref="M40:N40"/>
    <mergeCell ref="O40:P40"/>
    <mergeCell ref="M41:N41"/>
    <mergeCell ref="O41:P41"/>
    <mergeCell ref="Q40:R40"/>
    <mergeCell ref="S40:T40"/>
    <mergeCell ref="Q33:R33"/>
    <mergeCell ref="Q34:R34"/>
    <mergeCell ref="S33:T33"/>
    <mergeCell ref="S34:T34"/>
    <mergeCell ref="U33:V33"/>
    <mergeCell ref="U34:V34"/>
    <mergeCell ref="M26:N26"/>
    <mergeCell ref="O10:P10"/>
    <mergeCell ref="Y17:Y18"/>
    <mergeCell ref="AA18:AB18"/>
    <mergeCell ref="M17:N17"/>
    <mergeCell ref="O17:P17"/>
    <mergeCell ref="Q17:R17"/>
    <mergeCell ref="S17:T17"/>
    <mergeCell ref="U17:V17"/>
    <mergeCell ref="M16:N16"/>
    <mergeCell ref="O16:P16"/>
    <mergeCell ref="Q16:R16"/>
    <mergeCell ref="S16:T16"/>
    <mergeCell ref="U16:V16"/>
    <mergeCell ref="Y9:Y16"/>
    <mergeCell ref="M15:N15"/>
    <mergeCell ref="O15:P15"/>
    <mergeCell ref="Q15:R15"/>
    <mergeCell ref="S15:T15"/>
    <mergeCell ref="U15:V15"/>
    <mergeCell ref="M14:N14"/>
    <mergeCell ref="O14:P14"/>
    <mergeCell ref="Q14:R14"/>
    <mergeCell ref="U14:V14"/>
    <mergeCell ref="M9:N9"/>
    <mergeCell ref="Y19:Y24"/>
    <mergeCell ref="M20:N20"/>
    <mergeCell ref="O20:P20"/>
    <mergeCell ref="Q20:R20"/>
    <mergeCell ref="S20:T20"/>
    <mergeCell ref="U20:V20"/>
    <mergeCell ref="M19:N19"/>
    <mergeCell ref="O19:P19"/>
    <mergeCell ref="Q19:R19"/>
    <mergeCell ref="S19:T19"/>
    <mergeCell ref="U19:V19"/>
    <mergeCell ref="M24:N24"/>
    <mergeCell ref="O24:P24"/>
    <mergeCell ref="Q24:R24"/>
    <mergeCell ref="S24:T24"/>
    <mergeCell ref="U24:V24"/>
    <mergeCell ref="S21:T21"/>
    <mergeCell ref="U21:V21"/>
    <mergeCell ref="S22:T22"/>
    <mergeCell ref="U22:V22"/>
    <mergeCell ref="X21:X24"/>
    <mergeCell ref="U12:V12"/>
    <mergeCell ref="Q23:R23"/>
    <mergeCell ref="F23:G23"/>
    <mergeCell ref="K23:L23"/>
    <mergeCell ref="F29:G29"/>
    <mergeCell ref="K29:L29"/>
    <mergeCell ref="C5:E5"/>
    <mergeCell ref="F5:G5"/>
    <mergeCell ref="H5:J5"/>
    <mergeCell ref="K5:O5"/>
    <mergeCell ref="O28:P28"/>
    <mergeCell ref="O25:P25"/>
    <mergeCell ref="D11:D13"/>
    <mergeCell ref="F11:G11"/>
    <mergeCell ref="D14:D16"/>
    <mergeCell ref="F14:G14"/>
    <mergeCell ref="D21:D24"/>
    <mergeCell ref="F21:G21"/>
    <mergeCell ref="F22:G22"/>
    <mergeCell ref="F24:G24"/>
    <mergeCell ref="P5:S5"/>
    <mergeCell ref="Q28:R28"/>
    <mergeCell ref="S28:T28"/>
    <mergeCell ref="S14:T14"/>
    <mergeCell ref="M10:N10"/>
    <mergeCell ref="T5:V5"/>
    <mergeCell ref="W5:Y5"/>
    <mergeCell ref="U6:Y6"/>
    <mergeCell ref="B7:C8"/>
    <mergeCell ref="D7:D8"/>
    <mergeCell ref="S8:T8"/>
    <mergeCell ref="U8:V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X11:X13"/>
    <mergeCell ref="F12:G12"/>
    <mergeCell ref="K12:L12"/>
    <mergeCell ref="F13:G13"/>
    <mergeCell ref="K13:L13"/>
    <mergeCell ref="X9:X10"/>
    <mergeCell ref="O9:P9"/>
    <mergeCell ref="Q9:R9"/>
    <mergeCell ref="S9:T9"/>
    <mergeCell ref="U9:V9"/>
    <mergeCell ref="M13:N13"/>
    <mergeCell ref="O13:P13"/>
    <mergeCell ref="Q13:R13"/>
    <mergeCell ref="S13:T13"/>
    <mergeCell ref="U13:V13"/>
    <mergeCell ref="M12:N12"/>
    <mergeCell ref="O12:P12"/>
    <mergeCell ref="Q12:R12"/>
    <mergeCell ref="S12:T12"/>
    <mergeCell ref="M11:N11"/>
    <mergeCell ref="O11:P11"/>
    <mergeCell ref="Q11:R11"/>
    <mergeCell ref="S10:T10"/>
    <mergeCell ref="U10:V10"/>
    <mergeCell ref="X14:X16"/>
    <mergeCell ref="F15:G15"/>
    <mergeCell ref="K15:L15"/>
    <mergeCell ref="F16:G16"/>
    <mergeCell ref="K16:L16"/>
    <mergeCell ref="X25:X29"/>
    <mergeCell ref="S11:T11"/>
    <mergeCell ref="U11:V11"/>
    <mergeCell ref="D17:D20"/>
    <mergeCell ref="F17:G17"/>
    <mergeCell ref="K17:L17"/>
    <mergeCell ref="X17:X18"/>
    <mergeCell ref="F18:G18"/>
    <mergeCell ref="K18:L18"/>
    <mergeCell ref="F19:G19"/>
    <mergeCell ref="K19:L19"/>
    <mergeCell ref="X19:X20"/>
    <mergeCell ref="F20:G20"/>
    <mergeCell ref="K20:L20"/>
    <mergeCell ref="U18:V18"/>
    <mergeCell ref="M18:N18"/>
    <mergeCell ref="O18:P18"/>
    <mergeCell ref="S18:T18"/>
    <mergeCell ref="M25:N25"/>
    <mergeCell ref="U28:V28"/>
    <mergeCell ref="M27:N27"/>
    <mergeCell ref="S23:T23"/>
    <mergeCell ref="U23:V23"/>
    <mergeCell ref="D30:D32"/>
    <mergeCell ref="F30:G30"/>
    <mergeCell ref="K30:L30"/>
    <mergeCell ref="F26:G26"/>
    <mergeCell ref="K26:L26"/>
    <mergeCell ref="F27:G27"/>
    <mergeCell ref="K27:L27"/>
    <mergeCell ref="F28:G28"/>
    <mergeCell ref="K28:L28"/>
    <mergeCell ref="O27:P27"/>
    <mergeCell ref="Q27:R27"/>
    <mergeCell ref="S27:T27"/>
    <mergeCell ref="U27:V27"/>
    <mergeCell ref="M29:N29"/>
    <mergeCell ref="M28:N28"/>
    <mergeCell ref="D25:D29"/>
    <mergeCell ref="F25:G25"/>
    <mergeCell ref="K25:L25"/>
    <mergeCell ref="M23:N23"/>
    <mergeCell ref="O23:P23"/>
    <mergeCell ref="Y30:Y32"/>
    <mergeCell ref="F32:G32"/>
    <mergeCell ref="K32:L32"/>
    <mergeCell ref="O32:P32"/>
    <mergeCell ref="Q32:R32"/>
    <mergeCell ref="S32:T32"/>
    <mergeCell ref="U32:V32"/>
    <mergeCell ref="M30:N30"/>
    <mergeCell ref="O30:P30"/>
    <mergeCell ref="Q30:R30"/>
    <mergeCell ref="S30:T30"/>
    <mergeCell ref="U30:V30"/>
    <mergeCell ref="M32:N32"/>
    <mergeCell ref="W45:X48"/>
    <mergeCell ref="S48:T48"/>
    <mergeCell ref="M44:N44"/>
    <mergeCell ref="D33:D35"/>
    <mergeCell ref="F33:G33"/>
    <mergeCell ref="K33:L33"/>
    <mergeCell ref="W33:X35"/>
    <mergeCell ref="Y33:Y35"/>
    <mergeCell ref="F34:G34"/>
    <mergeCell ref="K34:L34"/>
    <mergeCell ref="F35:G35"/>
    <mergeCell ref="K35:L35"/>
    <mergeCell ref="W44:X44"/>
    <mergeCell ref="Q44:R44"/>
    <mergeCell ref="W40:X40"/>
    <mergeCell ref="B36:G36"/>
    <mergeCell ref="K36:L36"/>
    <mergeCell ref="B37:C44"/>
    <mergeCell ref="O44:P44"/>
    <mergeCell ref="B9:C35"/>
    <mergeCell ref="D9:D10"/>
    <mergeCell ref="F9:G9"/>
    <mergeCell ref="K9:L9"/>
    <mergeCell ref="F10:G10"/>
    <mergeCell ref="F43:G43"/>
    <mergeCell ref="K43:L43"/>
    <mergeCell ref="F44:G44"/>
    <mergeCell ref="K44:L44"/>
    <mergeCell ref="F45:G45"/>
    <mergeCell ref="U45:V45"/>
    <mergeCell ref="S45:T45"/>
    <mergeCell ref="F42:G42"/>
    <mergeCell ref="K42:L42"/>
    <mergeCell ref="O42:P42"/>
    <mergeCell ref="M42:N42"/>
    <mergeCell ref="Q42:R42"/>
    <mergeCell ref="S42:T42"/>
    <mergeCell ref="U42:V42"/>
    <mergeCell ref="S43:T43"/>
    <mergeCell ref="M43:N43"/>
    <mergeCell ref="O43:P43"/>
    <mergeCell ref="Q43:R43"/>
    <mergeCell ref="AA36:AB36"/>
    <mergeCell ref="F37:G37"/>
    <mergeCell ref="K37:L37"/>
    <mergeCell ref="F38:G38"/>
    <mergeCell ref="K38:L38"/>
    <mergeCell ref="F39:G39"/>
    <mergeCell ref="K39:L39"/>
    <mergeCell ref="F40:G40"/>
    <mergeCell ref="K40:L40"/>
    <mergeCell ref="O37:P37"/>
    <mergeCell ref="U40:V40"/>
    <mergeCell ref="S49:T49"/>
    <mergeCell ref="U49:V49"/>
    <mergeCell ref="S50:T50"/>
    <mergeCell ref="U50:V50"/>
    <mergeCell ref="O53:P53"/>
    <mergeCell ref="S52:T52"/>
    <mergeCell ref="U52:V52"/>
    <mergeCell ref="S51:T51"/>
    <mergeCell ref="O48:P48"/>
    <mergeCell ref="Q48:R48"/>
    <mergeCell ref="Q49:R52"/>
    <mergeCell ref="K49:L49"/>
    <mergeCell ref="M49:N49"/>
    <mergeCell ref="F50:G50"/>
    <mergeCell ref="K50:L50"/>
    <mergeCell ref="M50:N50"/>
    <mergeCell ref="F51:G51"/>
    <mergeCell ref="K51:L51"/>
    <mergeCell ref="M51:N51"/>
    <mergeCell ref="M52:N52"/>
    <mergeCell ref="U57:V58"/>
    <mergeCell ref="W53:X56"/>
    <mergeCell ref="F54:G54"/>
    <mergeCell ref="F55:G55"/>
    <mergeCell ref="F56:G56"/>
    <mergeCell ref="B53:C56"/>
    <mergeCell ref="F53:G53"/>
    <mergeCell ref="J53:J56"/>
    <mergeCell ref="S53:T56"/>
    <mergeCell ref="K56:L56"/>
    <mergeCell ref="M55:N55"/>
    <mergeCell ref="M56:N56"/>
    <mergeCell ref="O56:P56"/>
    <mergeCell ref="Q56:R56"/>
    <mergeCell ref="Q55:R55"/>
    <mergeCell ref="O55:P55"/>
    <mergeCell ref="W57:X58"/>
    <mergeCell ref="K55:L55"/>
    <mergeCell ref="M53:N53"/>
    <mergeCell ref="M54:N54"/>
    <mergeCell ref="O54:P54"/>
    <mergeCell ref="K53:L53"/>
    <mergeCell ref="K54:L54"/>
    <mergeCell ref="Y57:Y58"/>
    <mergeCell ref="W59:X59"/>
    <mergeCell ref="AA59:AB60"/>
    <mergeCell ref="B60:E63"/>
    <mergeCell ref="F60:J60"/>
    <mergeCell ref="K60:L60"/>
    <mergeCell ref="M60:N60"/>
    <mergeCell ref="O60:P60"/>
    <mergeCell ref="Q60:R60"/>
    <mergeCell ref="S60:T60"/>
    <mergeCell ref="U60:V60"/>
    <mergeCell ref="W60:X62"/>
    <mergeCell ref="Y60:Y62"/>
    <mergeCell ref="F61:J61"/>
    <mergeCell ref="K61:L61"/>
    <mergeCell ref="M61:N61"/>
    <mergeCell ref="O61:P61"/>
    <mergeCell ref="Q61:R61"/>
    <mergeCell ref="O62:P62"/>
    <mergeCell ref="Q62:R62"/>
    <mergeCell ref="S62:T62"/>
    <mergeCell ref="U62:V62"/>
    <mergeCell ref="B59:G59"/>
    <mergeCell ref="U59:V59"/>
    <mergeCell ref="AA66:AB66"/>
    <mergeCell ref="B64:J64"/>
    <mergeCell ref="K64:L64"/>
    <mergeCell ref="M64:N64"/>
    <mergeCell ref="O64:P64"/>
    <mergeCell ref="Q64:R64"/>
    <mergeCell ref="S64:T64"/>
    <mergeCell ref="U64:V64"/>
    <mergeCell ref="W64:X64"/>
    <mergeCell ref="AA64:AB64"/>
    <mergeCell ref="F62:J62"/>
    <mergeCell ref="K62:L62"/>
    <mergeCell ref="M62:N62"/>
    <mergeCell ref="K31:L31"/>
    <mergeCell ref="K59:L59"/>
    <mergeCell ref="M59:N59"/>
    <mergeCell ref="O59:P59"/>
    <mergeCell ref="Q59:R59"/>
    <mergeCell ref="S59:T59"/>
    <mergeCell ref="B57:G58"/>
    <mergeCell ref="H57:H58"/>
    <mergeCell ref="I57:I58"/>
    <mergeCell ref="J57:J58"/>
    <mergeCell ref="K57:L58"/>
    <mergeCell ref="M57:N58"/>
    <mergeCell ref="O57:P58"/>
    <mergeCell ref="Q57:R58"/>
    <mergeCell ref="S57:T58"/>
    <mergeCell ref="J45:J48"/>
    <mergeCell ref="K45:L45"/>
    <mergeCell ref="O45:P45"/>
    <mergeCell ref="Q45:R45"/>
    <mergeCell ref="F48:G48"/>
    <mergeCell ref="K48:L48"/>
    <mergeCell ref="AB13:AD13"/>
    <mergeCell ref="AA8:AD8"/>
    <mergeCell ref="B65:J65"/>
    <mergeCell ref="K65:N65"/>
    <mergeCell ref="O65:R65"/>
    <mergeCell ref="S65:V65"/>
    <mergeCell ref="W65:X65"/>
    <mergeCell ref="AA65:AB65"/>
    <mergeCell ref="F63:J63"/>
    <mergeCell ref="K63:L63"/>
    <mergeCell ref="M63:N63"/>
    <mergeCell ref="O63:P63"/>
    <mergeCell ref="Q63:R63"/>
    <mergeCell ref="S63:T63"/>
    <mergeCell ref="U63:V63"/>
    <mergeCell ref="W63:X63"/>
    <mergeCell ref="AA63:AB63"/>
    <mergeCell ref="S61:T61"/>
    <mergeCell ref="U61:V61"/>
    <mergeCell ref="AA61:AB61"/>
    <mergeCell ref="Q53:R53"/>
    <mergeCell ref="Q54:R54"/>
    <mergeCell ref="M45:N48"/>
    <mergeCell ref="O49:P52"/>
    <mergeCell ref="W49:X52"/>
    <mergeCell ref="Y37:Y56"/>
    <mergeCell ref="U31:V31"/>
    <mergeCell ref="B45:C48"/>
    <mergeCell ref="B49:C52"/>
    <mergeCell ref="U53:V56"/>
    <mergeCell ref="F46:G46"/>
    <mergeCell ref="F47:G47"/>
    <mergeCell ref="K46:L46"/>
    <mergeCell ref="K47:L47"/>
    <mergeCell ref="O46:P46"/>
    <mergeCell ref="O47:P47"/>
    <mergeCell ref="Q46:R46"/>
    <mergeCell ref="Q47:R47"/>
    <mergeCell ref="S46:T46"/>
    <mergeCell ref="S47:T47"/>
    <mergeCell ref="U46:V46"/>
    <mergeCell ref="U47:V47"/>
    <mergeCell ref="U48:V48"/>
    <mergeCell ref="U51:V51"/>
    <mergeCell ref="F52:G52"/>
    <mergeCell ref="K52:L52"/>
    <mergeCell ref="F49:G49"/>
    <mergeCell ref="J49:J52"/>
  </mergeCells>
  <phoneticPr fontId="9" type="noConversion"/>
  <conditionalFormatting sqref="AA36:AB36 AC56 AC58 AA61:AB61 AA64:AB64 AA66:AB66">
    <cfRule type="containsText" dxfId="0" priority="1" operator="containsText" text="FALSE">
      <formula>NOT(ISERROR(SEARCH("FALSE",AA36)))</formula>
    </cfRule>
  </conditionalFormatting>
  <dataValidations count="1">
    <dataValidation type="list" allowBlank="1" showInputMessage="1" showErrorMessage="1" sqref="D53:D55" xr:uid="{390F5271-A939-4C5D-A4A8-57847F49C417}"/>
  </dataValidations>
  <printOptions horizontalCentered="1" verticalCentered="1"/>
  <pageMargins left="0.25" right="0.25" top="0.75" bottom="0.75" header="0.3" footer="0.3"/>
  <pageSetup paperSize="12" scale="52" orientation="portrait" cellComments="asDisplayed" r:id="rId1"/>
  <rowBreaks count="1" manualBreakCount="1">
    <brk id="57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38"/>
  <sheetViews>
    <sheetView showGridLines="0" view="pageBreakPreview" zoomScale="90" zoomScaleNormal="85" zoomScaleSheetLayoutView="90" workbookViewId="0">
      <selection activeCell="B2" sqref="B2:U2"/>
    </sheetView>
  </sheetViews>
  <sheetFormatPr defaultRowHeight="17.399999999999999"/>
  <cols>
    <col min="1" max="1" width="3" customWidth="1"/>
    <col min="2" max="2" width="15.3984375" customWidth="1"/>
    <col min="3" max="3" width="5.59765625" customWidth="1"/>
    <col min="4" max="4" width="26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48" t="s">
        <v>151</v>
      </c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</row>
    <row r="3" spans="2:33" ht="27" customHeight="1" thickBot="1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449" t="s">
        <v>129</v>
      </c>
      <c r="O3" s="450"/>
      <c r="P3" s="451"/>
      <c r="Q3" s="449" t="s">
        <v>127</v>
      </c>
      <c r="R3" s="450"/>
      <c r="S3" s="451"/>
      <c r="T3" s="452" t="s">
        <v>130</v>
      </c>
      <c r="U3" s="453"/>
    </row>
    <row r="4" spans="2:33" ht="27" customHeight="1" thickBot="1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454" t="s">
        <v>608</v>
      </c>
      <c r="O4" s="455"/>
      <c r="P4" s="456"/>
      <c r="Q4" s="457" t="s">
        <v>609</v>
      </c>
      <c r="R4" s="458"/>
      <c r="S4" s="459"/>
      <c r="T4" s="460">
        <v>2027</v>
      </c>
      <c r="U4" s="461"/>
    </row>
    <row r="5" spans="2:33" ht="24" customHeight="1" thickBot="1">
      <c r="B5" s="462"/>
      <c r="C5" s="462"/>
    </row>
    <row r="6" spans="2:33" ht="20.25" customHeight="1">
      <c r="B6" s="463" t="s">
        <v>13</v>
      </c>
      <c r="C6" s="466" t="s">
        <v>140</v>
      </c>
      <c r="D6" s="444" t="s">
        <v>14</v>
      </c>
      <c r="E6" s="444" t="s">
        <v>15</v>
      </c>
      <c r="F6" s="444" t="s">
        <v>141</v>
      </c>
      <c r="G6" s="444" t="s">
        <v>142</v>
      </c>
      <c r="H6" s="484" t="s">
        <v>58</v>
      </c>
      <c r="I6" s="484"/>
      <c r="J6" s="484"/>
      <c r="K6" s="484"/>
      <c r="L6" s="484" t="s">
        <v>59</v>
      </c>
      <c r="M6" s="484"/>
      <c r="N6" s="484"/>
      <c r="O6" s="484"/>
      <c r="P6" s="484" t="s">
        <v>60</v>
      </c>
      <c r="Q6" s="484"/>
      <c r="R6" s="484"/>
      <c r="S6" s="484"/>
      <c r="T6" s="491" t="s">
        <v>139</v>
      </c>
      <c r="U6" s="485" t="s">
        <v>126</v>
      </c>
      <c r="W6" s="488" t="s">
        <v>131</v>
      </c>
      <c r="X6" s="489"/>
      <c r="Y6" s="489"/>
      <c r="Z6" s="489"/>
      <c r="AA6" s="489"/>
      <c r="AB6" s="489"/>
      <c r="AC6" s="489"/>
      <c r="AD6" s="489"/>
      <c r="AE6" s="489"/>
      <c r="AF6" s="490"/>
      <c r="AG6" s="13"/>
    </row>
    <row r="7" spans="2:33" ht="16.5" customHeight="1">
      <c r="B7" s="464"/>
      <c r="C7" s="467"/>
      <c r="D7" s="445"/>
      <c r="E7" s="445"/>
      <c r="F7" s="445"/>
      <c r="G7" s="445"/>
      <c r="H7" s="447" t="s">
        <v>124</v>
      </c>
      <c r="I7" s="447"/>
      <c r="J7" s="447" t="s">
        <v>62</v>
      </c>
      <c r="K7" s="447"/>
      <c r="L7" s="447" t="s">
        <v>124</v>
      </c>
      <c r="M7" s="447"/>
      <c r="N7" s="447" t="s">
        <v>62</v>
      </c>
      <c r="O7" s="447"/>
      <c r="P7" s="447" t="s">
        <v>124</v>
      </c>
      <c r="Q7" s="447"/>
      <c r="R7" s="447" t="s">
        <v>62</v>
      </c>
      <c r="S7" s="447"/>
      <c r="T7" s="492"/>
      <c r="U7" s="486"/>
      <c r="W7" s="481" t="s">
        <v>132</v>
      </c>
      <c r="X7" s="482"/>
      <c r="Y7" s="482"/>
      <c r="Z7" s="482"/>
      <c r="AA7" s="482"/>
      <c r="AB7" s="482"/>
      <c r="AC7" s="482"/>
      <c r="AD7" s="482"/>
      <c r="AE7" s="482"/>
      <c r="AF7" s="483"/>
      <c r="AG7" s="13"/>
    </row>
    <row r="8" spans="2:33" ht="17.25" customHeight="1" thickBot="1">
      <c r="B8" s="465"/>
      <c r="C8" s="468"/>
      <c r="D8" s="469"/>
      <c r="E8" s="469"/>
      <c r="F8" s="446"/>
      <c r="G8" s="446"/>
      <c r="H8" s="26" t="s">
        <v>138</v>
      </c>
      <c r="I8" s="26" t="s">
        <v>125</v>
      </c>
      <c r="J8" s="26" t="s">
        <v>138</v>
      </c>
      <c r="K8" s="26" t="s">
        <v>125</v>
      </c>
      <c r="L8" s="26" t="s">
        <v>138</v>
      </c>
      <c r="M8" s="26" t="s">
        <v>125</v>
      </c>
      <c r="N8" s="26" t="s">
        <v>138</v>
      </c>
      <c r="O8" s="26" t="s">
        <v>125</v>
      </c>
      <c r="P8" s="26" t="s">
        <v>138</v>
      </c>
      <c r="Q8" s="26" t="s">
        <v>125</v>
      </c>
      <c r="R8" s="26" t="s">
        <v>138</v>
      </c>
      <c r="S8" s="26" t="s">
        <v>125</v>
      </c>
      <c r="T8" s="493"/>
      <c r="U8" s="487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72" t="s">
        <v>537</v>
      </c>
      <c r="C9" s="475">
        <v>22</v>
      </c>
      <c r="D9" s="195" t="s">
        <v>571</v>
      </c>
      <c r="E9" s="196" t="s">
        <v>548</v>
      </c>
      <c r="F9" s="192">
        <v>48</v>
      </c>
      <c r="G9" s="155">
        <v>4</v>
      </c>
      <c r="H9" s="156"/>
      <c r="I9" s="156">
        <f>H9*16</f>
        <v>0</v>
      </c>
      <c r="J9" s="156"/>
      <c r="K9" s="156">
        <f>J9*16</f>
        <v>0</v>
      </c>
      <c r="L9" s="156">
        <v>3</v>
      </c>
      <c r="M9" s="156">
        <v>48</v>
      </c>
      <c r="N9" s="156"/>
      <c r="O9" s="156"/>
      <c r="P9" s="156"/>
      <c r="Q9" s="156"/>
      <c r="R9" s="156"/>
      <c r="S9" s="156"/>
      <c r="T9" s="157">
        <f>SUM(H9,J9,L9,N9,P9,R9)</f>
        <v>3</v>
      </c>
      <c r="U9" s="158">
        <f>SUM(I9,K9,M9,O9,Q9,S9)</f>
        <v>48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73"/>
      <c r="C10" s="476"/>
      <c r="D10" s="159" t="s">
        <v>572</v>
      </c>
      <c r="E10" s="197" t="s">
        <v>549</v>
      </c>
      <c r="F10" s="193">
        <v>48</v>
      </c>
      <c r="G10" s="161">
        <v>4</v>
      </c>
      <c r="H10" s="162"/>
      <c r="I10" s="162"/>
      <c r="J10" s="162"/>
      <c r="K10" s="162"/>
      <c r="L10" s="162"/>
      <c r="M10" s="162"/>
      <c r="N10" s="162">
        <v>3</v>
      </c>
      <c r="O10" s="162">
        <v>48</v>
      </c>
      <c r="P10" s="163"/>
      <c r="Q10" s="163"/>
      <c r="R10" s="163"/>
      <c r="S10" s="163"/>
      <c r="T10" s="174">
        <f>SUM(H10,J10,L10,N10,P10,R10)</f>
        <v>3</v>
      </c>
      <c r="U10" s="175">
        <f>SUM(I10,K10,M10,O10,Q10,S10)</f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6.5" customHeight="1">
      <c r="B11" s="473"/>
      <c r="C11" s="476"/>
      <c r="D11" s="159" t="s">
        <v>573</v>
      </c>
      <c r="E11" s="197" t="s">
        <v>550</v>
      </c>
      <c r="F11" s="194">
        <v>128</v>
      </c>
      <c r="G11" s="164">
        <v>5</v>
      </c>
      <c r="H11" s="163"/>
      <c r="I11" s="163">
        <f t="shared" ref="I11" si="0">H11*16</f>
        <v>0</v>
      </c>
      <c r="J11" s="163"/>
      <c r="K11" s="163">
        <f t="shared" ref="K11" si="1">J11*16</f>
        <v>0</v>
      </c>
      <c r="L11" s="163"/>
      <c r="M11" s="163"/>
      <c r="N11" s="163"/>
      <c r="O11" s="163"/>
      <c r="P11" s="162">
        <v>8</v>
      </c>
      <c r="Q11" s="162">
        <v>128</v>
      </c>
      <c r="R11" s="162"/>
      <c r="S11" s="162"/>
      <c r="T11" s="165">
        <f t="shared" ref="T11" si="2">SUM(H11,J11,L11,N11,P11,R11)</f>
        <v>8</v>
      </c>
      <c r="U11" s="166">
        <f t="shared" ref="U11" si="3">SUM(I11,K11,M11,O11,Q11,S11)</f>
        <v>128</v>
      </c>
      <c r="W11" s="12"/>
      <c r="X11" s="13"/>
      <c r="Y11" s="13"/>
      <c r="Z11" s="13"/>
      <c r="AA11" s="13"/>
      <c r="AB11" s="13"/>
      <c r="AC11" s="13"/>
      <c r="AD11" s="13"/>
      <c r="AE11" s="13"/>
      <c r="AF11" s="17"/>
      <c r="AG11" s="13"/>
    </row>
    <row r="12" spans="2:33">
      <c r="B12" s="473"/>
      <c r="C12" s="476"/>
      <c r="D12" s="159" t="s">
        <v>574</v>
      </c>
      <c r="E12" s="197" t="s">
        <v>551</v>
      </c>
      <c r="F12" s="193">
        <v>128</v>
      </c>
      <c r="G12" s="161">
        <v>6</v>
      </c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>
        <v>8</v>
      </c>
      <c r="S12" s="162">
        <v>128</v>
      </c>
      <c r="T12" s="165">
        <f t="shared" ref="T12:U12" si="4">SUM(H12,J12,L12,N12,P12,R12)</f>
        <v>8</v>
      </c>
      <c r="U12" s="166">
        <f t="shared" si="4"/>
        <v>128</v>
      </c>
    </row>
    <row r="13" spans="2:33" ht="18" thickBot="1">
      <c r="B13" s="474"/>
      <c r="C13" s="477"/>
      <c r="D13" s="470" t="s">
        <v>16</v>
      </c>
      <c r="E13" s="471"/>
      <c r="F13" s="180"/>
      <c r="G13" s="191"/>
      <c r="H13" s="167">
        <f>SUM(H12:H12)</f>
        <v>0</v>
      </c>
      <c r="I13" s="167">
        <f>SUM(I12:I12)</f>
        <v>0</v>
      </c>
      <c r="J13" s="167">
        <f>SUM(J12:J12)</f>
        <v>0</v>
      </c>
      <c r="K13" s="167">
        <f>SUM(K12:K12)</f>
        <v>0</v>
      </c>
      <c r="L13" s="167">
        <f t="shared" ref="L13:U13" si="5">SUM(L9:L12)</f>
        <v>3</v>
      </c>
      <c r="M13" s="167">
        <f t="shared" si="5"/>
        <v>48</v>
      </c>
      <c r="N13" s="167">
        <f t="shared" si="5"/>
        <v>3</v>
      </c>
      <c r="O13" s="167">
        <f t="shared" si="5"/>
        <v>48</v>
      </c>
      <c r="P13" s="167">
        <f t="shared" si="5"/>
        <v>8</v>
      </c>
      <c r="Q13" s="167">
        <f t="shared" si="5"/>
        <v>128</v>
      </c>
      <c r="R13" s="167">
        <f t="shared" si="5"/>
        <v>8</v>
      </c>
      <c r="S13" s="167">
        <f t="shared" si="5"/>
        <v>128</v>
      </c>
      <c r="T13" s="168">
        <f t="shared" si="5"/>
        <v>22</v>
      </c>
      <c r="U13" s="185">
        <f t="shared" si="5"/>
        <v>352</v>
      </c>
    </row>
    <row r="14" spans="2:33">
      <c r="B14" s="472" t="s">
        <v>536</v>
      </c>
      <c r="C14" s="478">
        <v>14</v>
      </c>
      <c r="D14" s="195" t="s">
        <v>577</v>
      </c>
      <c r="E14" s="196" t="s">
        <v>575</v>
      </c>
      <c r="F14" s="192">
        <v>32</v>
      </c>
      <c r="G14" s="155">
        <v>4</v>
      </c>
      <c r="H14" s="156"/>
      <c r="I14" s="156"/>
      <c r="J14" s="156"/>
      <c r="K14" s="156"/>
      <c r="L14" s="169">
        <v>2</v>
      </c>
      <c r="M14" s="169">
        <v>32</v>
      </c>
      <c r="N14" s="169"/>
      <c r="O14" s="169"/>
      <c r="P14" s="156"/>
      <c r="Q14" s="156"/>
      <c r="R14" s="156"/>
      <c r="S14" s="156"/>
      <c r="T14" s="165">
        <f t="shared" ref="T14:U21" si="6">SUM(H14,J14,L14,N14,P14,R14)</f>
        <v>2</v>
      </c>
      <c r="U14" s="166">
        <f t="shared" si="6"/>
        <v>32</v>
      </c>
      <c r="W14" s="28"/>
    </row>
    <row r="15" spans="2:33">
      <c r="B15" s="473"/>
      <c r="C15" s="479"/>
      <c r="D15" s="159" t="s">
        <v>578</v>
      </c>
      <c r="E15" s="197" t="s">
        <v>584</v>
      </c>
      <c r="F15" s="193">
        <v>32</v>
      </c>
      <c r="G15" s="161">
        <v>4</v>
      </c>
      <c r="H15" s="162"/>
      <c r="I15" s="162"/>
      <c r="J15" s="162"/>
      <c r="K15" s="162"/>
      <c r="L15" s="170">
        <v>2</v>
      </c>
      <c r="M15" s="170">
        <v>32</v>
      </c>
      <c r="N15" s="170"/>
      <c r="O15" s="170"/>
      <c r="P15" s="162"/>
      <c r="Q15" s="162"/>
      <c r="R15" s="162"/>
      <c r="S15" s="163"/>
      <c r="T15" s="165">
        <f t="shared" si="6"/>
        <v>2</v>
      </c>
      <c r="U15" s="166">
        <f t="shared" si="6"/>
        <v>32</v>
      </c>
    </row>
    <row r="16" spans="2:33">
      <c r="B16" s="473"/>
      <c r="C16" s="479"/>
      <c r="D16" s="159" t="s">
        <v>579</v>
      </c>
      <c r="E16" s="197" t="s">
        <v>585</v>
      </c>
      <c r="F16" s="193">
        <v>16</v>
      </c>
      <c r="G16" s="161">
        <v>7</v>
      </c>
      <c r="H16" s="162"/>
      <c r="I16" s="162"/>
      <c r="J16" s="162"/>
      <c r="K16" s="162"/>
      <c r="L16" s="170"/>
      <c r="M16" s="170"/>
      <c r="N16" s="170">
        <v>1</v>
      </c>
      <c r="O16" s="170">
        <v>16</v>
      </c>
      <c r="P16" s="162"/>
      <c r="Q16" s="162"/>
      <c r="R16" s="162"/>
      <c r="S16" s="163"/>
      <c r="T16" s="165">
        <f t="shared" si="6"/>
        <v>1</v>
      </c>
      <c r="U16" s="166">
        <f t="shared" si="6"/>
        <v>16</v>
      </c>
    </row>
    <row r="17" spans="2:21">
      <c r="B17" s="473"/>
      <c r="C17" s="479"/>
      <c r="D17" s="159" t="s">
        <v>580</v>
      </c>
      <c r="E17" s="197" t="s">
        <v>586</v>
      </c>
      <c r="F17" s="193">
        <v>16</v>
      </c>
      <c r="G17" s="161">
        <v>6</v>
      </c>
      <c r="H17" s="162"/>
      <c r="I17" s="162"/>
      <c r="J17" s="162"/>
      <c r="K17" s="162"/>
      <c r="L17" s="170"/>
      <c r="M17" s="170"/>
      <c r="N17" s="170">
        <v>1</v>
      </c>
      <c r="O17" s="170">
        <v>16</v>
      </c>
      <c r="P17" s="162"/>
      <c r="Q17" s="162"/>
      <c r="R17" s="162"/>
      <c r="S17" s="163"/>
      <c r="T17" s="165">
        <f t="shared" si="6"/>
        <v>1</v>
      </c>
      <c r="U17" s="166">
        <f t="shared" si="6"/>
        <v>16</v>
      </c>
    </row>
    <row r="18" spans="2:21">
      <c r="B18" s="473"/>
      <c r="C18" s="479"/>
      <c r="D18" s="159" t="s">
        <v>581</v>
      </c>
      <c r="E18" s="197" t="s">
        <v>587</v>
      </c>
      <c r="F18" s="193">
        <v>32</v>
      </c>
      <c r="G18" s="161">
        <v>6</v>
      </c>
      <c r="H18" s="162"/>
      <c r="I18" s="162"/>
      <c r="J18" s="162"/>
      <c r="K18" s="162"/>
      <c r="L18" s="170"/>
      <c r="M18" s="170"/>
      <c r="N18" s="170"/>
      <c r="O18" s="170"/>
      <c r="P18" s="162">
        <v>2</v>
      </c>
      <c r="Q18" s="162">
        <v>32</v>
      </c>
      <c r="R18" s="162"/>
      <c r="S18" s="163"/>
      <c r="T18" s="165">
        <f t="shared" si="6"/>
        <v>2</v>
      </c>
      <c r="U18" s="166">
        <f t="shared" si="6"/>
        <v>32</v>
      </c>
    </row>
    <row r="19" spans="2:21">
      <c r="B19" s="473"/>
      <c r="C19" s="479"/>
      <c r="D19" s="159" t="s">
        <v>588</v>
      </c>
      <c r="E19" s="197" t="s">
        <v>576</v>
      </c>
      <c r="F19" s="193">
        <v>32</v>
      </c>
      <c r="G19" s="161">
        <v>4</v>
      </c>
      <c r="H19" s="162"/>
      <c r="I19" s="162"/>
      <c r="J19" s="162"/>
      <c r="K19" s="162"/>
      <c r="L19" s="170"/>
      <c r="M19" s="170"/>
      <c r="N19" s="170"/>
      <c r="O19" s="170"/>
      <c r="P19" s="162">
        <v>2</v>
      </c>
      <c r="Q19" s="162">
        <v>32</v>
      </c>
      <c r="R19" s="162"/>
      <c r="S19" s="163"/>
      <c r="T19" s="165">
        <f t="shared" si="6"/>
        <v>2</v>
      </c>
      <c r="U19" s="166">
        <f t="shared" si="6"/>
        <v>32</v>
      </c>
    </row>
    <row r="20" spans="2:21">
      <c r="B20" s="473"/>
      <c r="C20" s="479"/>
      <c r="D20" s="159" t="s">
        <v>582</v>
      </c>
      <c r="E20" s="197" t="s">
        <v>589</v>
      </c>
      <c r="F20" s="193">
        <v>32</v>
      </c>
      <c r="G20" s="161">
        <v>5</v>
      </c>
      <c r="H20" s="162"/>
      <c r="I20" s="162"/>
      <c r="J20" s="162"/>
      <c r="K20" s="162"/>
      <c r="L20" s="170"/>
      <c r="M20" s="170"/>
      <c r="N20" s="170"/>
      <c r="O20" s="170"/>
      <c r="P20" s="162"/>
      <c r="Q20" s="162"/>
      <c r="R20" s="162">
        <v>2</v>
      </c>
      <c r="S20" s="163">
        <v>32</v>
      </c>
      <c r="T20" s="165">
        <f t="shared" si="6"/>
        <v>2</v>
      </c>
      <c r="U20" s="166">
        <f t="shared" si="6"/>
        <v>32</v>
      </c>
    </row>
    <row r="21" spans="2:21">
      <c r="B21" s="473"/>
      <c r="C21" s="479"/>
      <c r="D21" s="159" t="s">
        <v>583</v>
      </c>
      <c r="E21" s="197" t="s">
        <v>590</v>
      </c>
      <c r="F21" s="194">
        <v>32</v>
      </c>
      <c r="G21" s="164">
        <v>5</v>
      </c>
      <c r="H21" s="163"/>
      <c r="I21" s="163"/>
      <c r="J21" s="163"/>
      <c r="K21" s="163"/>
      <c r="L21" s="170"/>
      <c r="M21" s="170"/>
      <c r="N21" s="170"/>
      <c r="O21" s="170"/>
      <c r="P21" s="163"/>
      <c r="Q21" s="163"/>
      <c r="R21" s="163">
        <v>2</v>
      </c>
      <c r="S21" s="163">
        <v>32</v>
      </c>
      <c r="T21" s="165">
        <f t="shared" si="6"/>
        <v>2</v>
      </c>
      <c r="U21" s="166">
        <f t="shared" si="6"/>
        <v>32</v>
      </c>
    </row>
    <row r="22" spans="2:21" ht="18" thickBot="1">
      <c r="B22" s="474"/>
      <c r="C22" s="480"/>
      <c r="D22" s="470" t="s">
        <v>16</v>
      </c>
      <c r="E22" s="471"/>
      <c r="F22" s="180"/>
      <c r="G22" s="191"/>
      <c r="H22" s="167">
        <f>SUM(H21:H21)</f>
        <v>0</v>
      </c>
      <c r="I22" s="167">
        <f>SUM(I21:I21)</f>
        <v>0</v>
      </c>
      <c r="J22" s="167">
        <f>SUM(J21:J21)</f>
        <v>0</v>
      </c>
      <c r="K22" s="167">
        <f>SUM(K21:K21)</f>
        <v>0</v>
      </c>
      <c r="L22" s="167">
        <f t="shared" ref="L22:U22" si="7">SUM(L14:L21)</f>
        <v>4</v>
      </c>
      <c r="M22" s="167">
        <f t="shared" si="7"/>
        <v>64</v>
      </c>
      <c r="N22" s="167">
        <f t="shared" si="7"/>
        <v>2</v>
      </c>
      <c r="O22" s="167">
        <f t="shared" si="7"/>
        <v>32</v>
      </c>
      <c r="P22" s="167">
        <f t="shared" si="7"/>
        <v>4</v>
      </c>
      <c r="Q22" s="167">
        <f t="shared" si="7"/>
        <v>64</v>
      </c>
      <c r="R22" s="167">
        <f t="shared" si="7"/>
        <v>4</v>
      </c>
      <c r="S22" s="167">
        <f t="shared" si="7"/>
        <v>64</v>
      </c>
      <c r="T22" s="168">
        <f t="shared" si="7"/>
        <v>14</v>
      </c>
      <c r="U22" s="185">
        <f t="shared" si="7"/>
        <v>224</v>
      </c>
    </row>
    <row r="23" spans="2:21">
      <c r="B23" s="495" t="s">
        <v>538</v>
      </c>
      <c r="C23" s="498">
        <v>9</v>
      </c>
      <c r="D23" s="198" t="s">
        <v>591</v>
      </c>
      <c r="E23" s="187" t="s">
        <v>552</v>
      </c>
      <c r="F23" s="161">
        <v>64</v>
      </c>
      <c r="G23" s="171">
        <v>4</v>
      </c>
      <c r="H23" s="162"/>
      <c r="I23" s="162"/>
      <c r="J23" s="162"/>
      <c r="K23" s="162"/>
      <c r="L23" s="170"/>
      <c r="M23" s="170"/>
      <c r="N23" s="170"/>
      <c r="O23" s="170"/>
      <c r="P23" s="170">
        <v>4</v>
      </c>
      <c r="Q23" s="170">
        <v>64</v>
      </c>
      <c r="R23" s="170"/>
      <c r="S23" s="170"/>
      <c r="T23" s="157">
        <f>SUM(H23,J23,L23,N23,P23,R23)</f>
        <v>4</v>
      </c>
      <c r="U23" s="158">
        <f>SUM(I23,K23,M23,O23,Q23,S23)</f>
        <v>64</v>
      </c>
    </row>
    <row r="24" spans="2:21">
      <c r="B24" s="495"/>
      <c r="C24" s="498"/>
      <c r="D24" s="159" t="s">
        <v>592</v>
      </c>
      <c r="E24" s="160" t="s">
        <v>553</v>
      </c>
      <c r="F24" s="161">
        <v>48</v>
      </c>
      <c r="G24" s="171">
        <v>5</v>
      </c>
      <c r="H24" s="162"/>
      <c r="I24" s="162"/>
      <c r="J24" s="162"/>
      <c r="K24" s="162"/>
      <c r="L24" s="170"/>
      <c r="M24" s="170"/>
      <c r="N24" s="170"/>
      <c r="O24" s="170"/>
      <c r="P24" s="170"/>
      <c r="Q24" s="170"/>
      <c r="R24" s="170">
        <v>3</v>
      </c>
      <c r="S24" s="170">
        <v>48</v>
      </c>
      <c r="T24" s="165">
        <f t="shared" ref="T24:U25" si="8">SUM(H24,J24,L24,N24,P24,R24)</f>
        <v>3</v>
      </c>
      <c r="U24" s="166">
        <f t="shared" si="8"/>
        <v>48</v>
      </c>
    </row>
    <row r="25" spans="2:21" ht="18" thickBot="1">
      <c r="B25" s="495"/>
      <c r="C25" s="498"/>
      <c r="D25" s="159" t="s">
        <v>593</v>
      </c>
      <c r="E25" s="172" t="s">
        <v>554</v>
      </c>
      <c r="F25" s="161">
        <v>32</v>
      </c>
      <c r="G25" s="171">
        <v>5</v>
      </c>
      <c r="H25" s="162"/>
      <c r="I25" s="162"/>
      <c r="J25" s="162"/>
      <c r="K25" s="162"/>
      <c r="L25" s="170"/>
      <c r="M25" s="170"/>
      <c r="N25" s="170"/>
      <c r="O25" s="170"/>
      <c r="P25" s="170"/>
      <c r="Q25" s="170"/>
      <c r="R25" s="170">
        <v>2</v>
      </c>
      <c r="S25" s="173">
        <v>32</v>
      </c>
      <c r="T25" s="174">
        <f t="shared" si="8"/>
        <v>2</v>
      </c>
      <c r="U25" s="175">
        <f t="shared" si="8"/>
        <v>32</v>
      </c>
    </row>
    <row r="26" spans="2:21" ht="18" thickBot="1">
      <c r="B26" s="496"/>
      <c r="C26" s="499"/>
      <c r="D26" s="502" t="s">
        <v>16</v>
      </c>
      <c r="E26" s="503"/>
      <c r="F26" s="176"/>
      <c r="G26" s="177"/>
      <c r="H26" s="167">
        <f>SUM(H25:H25)</f>
        <v>0</v>
      </c>
      <c r="I26" s="167">
        <f>SUM(I25:I25)</f>
        <v>0</v>
      </c>
      <c r="J26" s="167">
        <f>SUM(J25:J25)</f>
        <v>0</v>
      </c>
      <c r="K26" s="167">
        <f>SUM(K25:K25)</f>
        <v>0</v>
      </c>
      <c r="L26" s="167">
        <f t="shared" ref="L26:U26" si="9">SUM(L23:L25)</f>
        <v>0</v>
      </c>
      <c r="M26" s="167">
        <f t="shared" si="9"/>
        <v>0</v>
      </c>
      <c r="N26" s="167">
        <f t="shared" si="9"/>
        <v>0</v>
      </c>
      <c r="O26" s="167">
        <f t="shared" si="9"/>
        <v>0</v>
      </c>
      <c r="P26" s="167">
        <f t="shared" si="9"/>
        <v>4</v>
      </c>
      <c r="Q26" s="167">
        <f t="shared" si="9"/>
        <v>64</v>
      </c>
      <c r="R26" s="167">
        <f t="shared" si="9"/>
        <v>5</v>
      </c>
      <c r="S26" s="167">
        <f t="shared" si="9"/>
        <v>80</v>
      </c>
      <c r="T26" s="168">
        <f t="shared" si="9"/>
        <v>9</v>
      </c>
      <c r="U26" s="185">
        <f t="shared" si="9"/>
        <v>144</v>
      </c>
    </row>
    <row r="27" spans="2:21" ht="18" thickTop="1">
      <c r="B27" s="494" t="s">
        <v>569</v>
      </c>
      <c r="C27" s="505">
        <v>12</v>
      </c>
      <c r="D27" s="189" t="s">
        <v>595</v>
      </c>
      <c r="E27" s="154" t="s">
        <v>601</v>
      </c>
      <c r="F27" s="155">
        <v>32</v>
      </c>
      <c r="G27" s="178">
        <v>2</v>
      </c>
      <c r="H27" s="156"/>
      <c r="I27" s="156"/>
      <c r="J27" s="156"/>
      <c r="K27" s="156"/>
      <c r="L27" s="169"/>
      <c r="M27" s="169"/>
      <c r="N27" s="169"/>
      <c r="O27" s="169"/>
      <c r="P27" s="169">
        <v>2</v>
      </c>
      <c r="Q27" s="169">
        <v>32</v>
      </c>
      <c r="R27" s="169"/>
      <c r="S27" s="169"/>
      <c r="T27" s="157">
        <f>SUM(H27,J27,L27,N27,P27,R27)</f>
        <v>2</v>
      </c>
      <c r="U27" s="158">
        <f>SUM(I27,K27,M27,O27,Q27,S27)</f>
        <v>32</v>
      </c>
    </row>
    <row r="28" spans="2:21">
      <c r="B28" s="495"/>
      <c r="C28" s="506"/>
      <c r="D28" s="186" t="s">
        <v>596</v>
      </c>
      <c r="E28" s="187" t="s">
        <v>602</v>
      </c>
      <c r="F28" s="161">
        <v>32</v>
      </c>
      <c r="G28" s="188">
        <v>2</v>
      </c>
      <c r="H28" s="162"/>
      <c r="I28" s="162"/>
      <c r="J28" s="162"/>
      <c r="K28" s="162"/>
      <c r="L28" s="170"/>
      <c r="M28" s="170"/>
      <c r="N28" s="170"/>
      <c r="O28" s="170"/>
      <c r="P28" s="170">
        <v>2</v>
      </c>
      <c r="Q28" s="170">
        <v>32</v>
      </c>
      <c r="R28" s="170"/>
      <c r="S28" s="170"/>
      <c r="T28" s="174">
        <f t="shared" ref="T28:U31" si="10">SUM(H28,J28,L28,N28,P28,R28)</f>
        <v>2</v>
      </c>
      <c r="U28" s="175">
        <f t="shared" si="10"/>
        <v>32</v>
      </c>
    </row>
    <row r="29" spans="2:21">
      <c r="B29" s="495"/>
      <c r="C29" s="506"/>
      <c r="D29" s="186" t="s">
        <v>597</v>
      </c>
      <c r="E29" s="187" t="s">
        <v>603</v>
      </c>
      <c r="F29" s="161">
        <v>32</v>
      </c>
      <c r="G29" s="188">
        <v>2</v>
      </c>
      <c r="H29" s="162"/>
      <c r="I29" s="162"/>
      <c r="J29" s="162"/>
      <c r="K29" s="162"/>
      <c r="L29" s="170"/>
      <c r="M29" s="170"/>
      <c r="N29" s="170"/>
      <c r="O29" s="170"/>
      <c r="P29" s="170">
        <v>2</v>
      </c>
      <c r="Q29" s="170">
        <v>32</v>
      </c>
      <c r="R29" s="170"/>
      <c r="S29" s="170"/>
      <c r="T29" s="174">
        <f t="shared" si="10"/>
        <v>2</v>
      </c>
      <c r="U29" s="175">
        <f t="shared" si="10"/>
        <v>32</v>
      </c>
    </row>
    <row r="30" spans="2:21">
      <c r="B30" s="495"/>
      <c r="C30" s="506"/>
      <c r="D30" s="186" t="s">
        <v>598</v>
      </c>
      <c r="E30" s="187" t="s">
        <v>604</v>
      </c>
      <c r="F30" s="161">
        <v>32</v>
      </c>
      <c r="G30" s="188">
        <v>2</v>
      </c>
      <c r="H30" s="162"/>
      <c r="I30" s="162"/>
      <c r="J30" s="162"/>
      <c r="K30" s="162"/>
      <c r="L30" s="170"/>
      <c r="M30" s="170"/>
      <c r="N30" s="170"/>
      <c r="O30" s="170"/>
      <c r="P30" s="170"/>
      <c r="Q30" s="170"/>
      <c r="R30" s="170">
        <v>2</v>
      </c>
      <c r="S30" s="170">
        <v>32</v>
      </c>
      <c r="T30" s="174">
        <f t="shared" si="10"/>
        <v>2</v>
      </c>
      <c r="U30" s="175">
        <f t="shared" si="10"/>
        <v>32</v>
      </c>
    </row>
    <row r="31" spans="2:21">
      <c r="B31" s="495"/>
      <c r="C31" s="506"/>
      <c r="D31" s="186" t="s">
        <v>599</v>
      </c>
      <c r="E31" s="187" t="s">
        <v>605</v>
      </c>
      <c r="F31" s="161">
        <v>32</v>
      </c>
      <c r="G31" s="188">
        <v>3</v>
      </c>
      <c r="H31" s="162"/>
      <c r="I31" s="162"/>
      <c r="J31" s="162"/>
      <c r="K31" s="162"/>
      <c r="L31" s="170"/>
      <c r="M31" s="170"/>
      <c r="N31" s="170"/>
      <c r="O31" s="170"/>
      <c r="P31" s="170"/>
      <c r="Q31" s="170"/>
      <c r="R31" s="170">
        <v>2</v>
      </c>
      <c r="S31" s="170">
        <v>32</v>
      </c>
      <c r="T31" s="174">
        <f t="shared" si="10"/>
        <v>2</v>
      </c>
      <c r="U31" s="175">
        <f t="shared" si="10"/>
        <v>32</v>
      </c>
    </row>
    <row r="32" spans="2:21">
      <c r="B32" s="495"/>
      <c r="C32" s="506"/>
      <c r="D32" s="190" t="s">
        <v>600</v>
      </c>
      <c r="E32" s="160" t="s">
        <v>606</v>
      </c>
      <c r="F32" s="164">
        <v>32</v>
      </c>
      <c r="G32" s="179">
        <v>3</v>
      </c>
      <c r="H32" s="163"/>
      <c r="I32" s="163"/>
      <c r="J32" s="163"/>
      <c r="K32" s="163"/>
      <c r="L32" s="173"/>
      <c r="M32" s="173"/>
      <c r="N32" s="173"/>
      <c r="O32" s="173"/>
      <c r="P32" s="173"/>
      <c r="Q32" s="173"/>
      <c r="R32" s="173">
        <v>2</v>
      </c>
      <c r="S32" s="173">
        <v>32</v>
      </c>
      <c r="T32" s="174">
        <f t="shared" ref="T32:U32" si="11">SUM(H32,J32,L32,N32,P32,R32)</f>
        <v>2</v>
      </c>
      <c r="U32" s="175">
        <f t="shared" si="11"/>
        <v>32</v>
      </c>
    </row>
    <row r="33" spans="2:21" ht="18" thickBot="1">
      <c r="B33" s="496"/>
      <c r="C33" s="507"/>
      <c r="D33" s="504" t="s">
        <v>16</v>
      </c>
      <c r="E33" s="503"/>
      <c r="F33" s="180"/>
      <c r="G33" s="177"/>
      <c r="H33" s="167">
        <f>SUM(H32:H32)</f>
        <v>0</v>
      </c>
      <c r="I33" s="167">
        <f>SUM(I32:I32)</f>
        <v>0</v>
      </c>
      <c r="J33" s="167">
        <f t="shared" ref="J33:U33" si="12">SUM(J27:J32)</f>
        <v>0</v>
      </c>
      <c r="K33" s="167">
        <f t="shared" si="12"/>
        <v>0</v>
      </c>
      <c r="L33" s="167">
        <f t="shared" si="12"/>
        <v>0</v>
      </c>
      <c r="M33" s="167">
        <f t="shared" si="12"/>
        <v>0</v>
      </c>
      <c r="N33" s="167">
        <f t="shared" si="12"/>
        <v>0</v>
      </c>
      <c r="O33" s="167">
        <f t="shared" si="12"/>
        <v>0</v>
      </c>
      <c r="P33" s="167">
        <f t="shared" si="12"/>
        <v>6</v>
      </c>
      <c r="Q33" s="167">
        <f t="shared" si="12"/>
        <v>96</v>
      </c>
      <c r="R33" s="167">
        <f t="shared" si="12"/>
        <v>6</v>
      </c>
      <c r="S33" s="167">
        <f t="shared" si="12"/>
        <v>96</v>
      </c>
      <c r="T33" s="168">
        <f t="shared" si="12"/>
        <v>12</v>
      </c>
      <c r="U33" s="185">
        <f t="shared" si="12"/>
        <v>192</v>
      </c>
    </row>
    <row r="34" spans="2:21" ht="18" thickTop="1">
      <c r="B34" s="494" t="s">
        <v>539</v>
      </c>
      <c r="C34" s="497">
        <v>16</v>
      </c>
      <c r="D34" s="181" t="s">
        <v>594</v>
      </c>
      <c r="E34" s="182" t="s">
        <v>555</v>
      </c>
      <c r="F34" s="161">
        <v>48</v>
      </c>
      <c r="G34" s="171">
        <v>2</v>
      </c>
      <c r="H34" s="162"/>
      <c r="I34" s="162"/>
      <c r="J34" s="162"/>
      <c r="K34" s="162"/>
      <c r="L34" s="170"/>
      <c r="M34" s="170"/>
      <c r="N34" s="170"/>
      <c r="O34" s="170"/>
      <c r="P34" s="170">
        <v>3</v>
      </c>
      <c r="Q34" s="170">
        <v>48</v>
      </c>
      <c r="R34" s="170"/>
      <c r="S34" s="170"/>
      <c r="T34" s="157">
        <f>SUM(H34,J34,L34,N34,P34,R34)</f>
        <v>3</v>
      </c>
      <c r="U34" s="158">
        <f>SUM(I34,K34,M34,O34,Q34,S34)</f>
        <v>48</v>
      </c>
    </row>
    <row r="35" spans="2:21">
      <c r="B35" s="495"/>
      <c r="C35" s="498"/>
      <c r="D35" s="183" t="s">
        <v>556</v>
      </c>
      <c r="E35" s="184" t="s">
        <v>557</v>
      </c>
      <c r="F35" s="161">
        <v>48</v>
      </c>
      <c r="G35" s="171">
        <v>4</v>
      </c>
      <c r="H35" s="162"/>
      <c r="I35" s="162"/>
      <c r="J35" s="162"/>
      <c r="K35" s="162"/>
      <c r="L35" s="170"/>
      <c r="M35" s="170"/>
      <c r="N35" s="170"/>
      <c r="O35" s="170"/>
      <c r="P35" s="170">
        <v>3</v>
      </c>
      <c r="Q35" s="170">
        <v>48</v>
      </c>
      <c r="R35" s="170"/>
      <c r="S35" s="170"/>
      <c r="T35" s="165">
        <f t="shared" ref="T35:U37" si="13">SUM(H35,J35,L35,N35,P35,R35)</f>
        <v>3</v>
      </c>
      <c r="U35" s="166">
        <f t="shared" si="13"/>
        <v>48</v>
      </c>
    </row>
    <row r="36" spans="2:21">
      <c r="B36" s="495"/>
      <c r="C36" s="498"/>
      <c r="D36" s="183" t="s">
        <v>558</v>
      </c>
      <c r="E36" s="184" t="s">
        <v>559</v>
      </c>
      <c r="F36" s="161">
        <v>48</v>
      </c>
      <c r="G36" s="171">
        <v>4</v>
      </c>
      <c r="H36" s="162"/>
      <c r="I36" s="162"/>
      <c r="J36" s="162"/>
      <c r="K36" s="162"/>
      <c r="L36" s="170"/>
      <c r="M36" s="170"/>
      <c r="N36" s="170"/>
      <c r="O36" s="170"/>
      <c r="P36" s="170"/>
      <c r="Q36" s="170"/>
      <c r="R36" s="170">
        <v>3</v>
      </c>
      <c r="S36" s="170">
        <v>48</v>
      </c>
      <c r="T36" s="165">
        <f t="shared" si="13"/>
        <v>3</v>
      </c>
      <c r="U36" s="166">
        <f t="shared" si="13"/>
        <v>48</v>
      </c>
    </row>
    <row r="37" spans="2:21">
      <c r="B37" s="495"/>
      <c r="C37" s="498"/>
      <c r="D37" s="183" t="s">
        <v>560</v>
      </c>
      <c r="E37" s="184" t="s">
        <v>561</v>
      </c>
      <c r="F37" s="161">
        <v>48</v>
      </c>
      <c r="G37" s="171">
        <v>3</v>
      </c>
      <c r="H37" s="162"/>
      <c r="I37" s="162"/>
      <c r="J37" s="162"/>
      <c r="K37" s="162"/>
      <c r="L37" s="170"/>
      <c r="M37" s="170"/>
      <c r="N37" s="170"/>
      <c r="O37" s="170"/>
      <c r="P37" s="170"/>
      <c r="Q37" s="170"/>
      <c r="R37" s="170">
        <v>3</v>
      </c>
      <c r="S37" s="173">
        <v>48</v>
      </c>
      <c r="T37" s="174">
        <f t="shared" si="13"/>
        <v>3</v>
      </c>
      <c r="U37" s="175">
        <f t="shared" si="13"/>
        <v>48</v>
      </c>
    </row>
    <row r="38" spans="2:21" ht="18" thickBot="1">
      <c r="B38" s="496"/>
      <c r="C38" s="499"/>
      <c r="D38" s="500" t="s">
        <v>16</v>
      </c>
      <c r="E38" s="501"/>
      <c r="F38" s="176"/>
      <c r="G38" s="177"/>
      <c r="H38" s="167">
        <f>SUM(H36:H37)</f>
        <v>0</v>
      </c>
      <c r="I38" s="167">
        <f>SUM(I36:I37)</f>
        <v>0</v>
      </c>
      <c r="J38" s="167">
        <f>SUM(J36:J37)</f>
        <v>0</v>
      </c>
      <c r="K38" s="167">
        <f>SUM(K36:K37)</f>
        <v>0</v>
      </c>
      <c r="L38" s="167">
        <f t="shared" ref="L38:U38" si="14">SUM(L34:L37)</f>
        <v>0</v>
      </c>
      <c r="M38" s="167">
        <f t="shared" si="14"/>
        <v>0</v>
      </c>
      <c r="N38" s="167">
        <f t="shared" si="14"/>
        <v>0</v>
      </c>
      <c r="O38" s="167">
        <f t="shared" si="14"/>
        <v>0</v>
      </c>
      <c r="P38" s="167">
        <f t="shared" si="14"/>
        <v>6</v>
      </c>
      <c r="Q38" s="167">
        <f t="shared" si="14"/>
        <v>96</v>
      </c>
      <c r="R38" s="167">
        <f t="shared" si="14"/>
        <v>6</v>
      </c>
      <c r="S38" s="167">
        <f t="shared" si="14"/>
        <v>96</v>
      </c>
      <c r="T38" s="168">
        <f t="shared" si="14"/>
        <v>12</v>
      </c>
      <c r="U38" s="185">
        <f t="shared" si="14"/>
        <v>192</v>
      </c>
    </row>
  </sheetData>
  <mergeCells count="42">
    <mergeCell ref="B34:B38"/>
    <mergeCell ref="C34:C38"/>
    <mergeCell ref="D38:E38"/>
    <mergeCell ref="B23:B26"/>
    <mergeCell ref="C23:C26"/>
    <mergeCell ref="D26:E26"/>
    <mergeCell ref="D33:E33"/>
    <mergeCell ref="C27:C33"/>
    <mergeCell ref="B27:B33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D22:E22"/>
    <mergeCell ref="D13:E13"/>
    <mergeCell ref="B9:B13"/>
    <mergeCell ref="C9:C13"/>
    <mergeCell ref="B14:B22"/>
    <mergeCell ref="C14:C22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04" activePane="bottomLeft" state="frozen"/>
      <selection pane="bottomLeft" activeCell="I11" sqref="I11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201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338</v>
      </c>
      <c r="G2" s="5"/>
      <c r="H2" s="3" t="s">
        <v>74</v>
      </c>
      <c r="I2" s="3" t="s">
        <v>66</v>
      </c>
      <c r="J2" s="3" t="s">
        <v>166</v>
      </c>
      <c r="K2" s="3" t="s">
        <v>166</v>
      </c>
      <c r="L2" s="3" t="s">
        <v>123</v>
      </c>
    </row>
    <row r="3" spans="1:12">
      <c r="A3" s="3" t="s">
        <v>202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338</v>
      </c>
      <c r="G3" s="5"/>
      <c r="H3" s="3" t="s">
        <v>75</v>
      </c>
      <c r="I3" s="3" t="s">
        <v>67</v>
      </c>
      <c r="J3" s="3" t="s">
        <v>167</v>
      </c>
      <c r="K3" s="3" t="s">
        <v>167</v>
      </c>
      <c r="L3" s="3" t="s">
        <v>118</v>
      </c>
    </row>
    <row r="4" spans="1:12">
      <c r="A4" s="3" t="s">
        <v>204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340</v>
      </c>
      <c r="G4" s="5"/>
      <c r="H4" s="3" t="s">
        <v>76</v>
      </c>
      <c r="I4" s="3" t="s">
        <v>156</v>
      </c>
      <c r="J4" s="3" t="s">
        <v>93</v>
      </c>
      <c r="K4" s="3" t="s">
        <v>93</v>
      </c>
      <c r="L4" s="3" t="s">
        <v>119</v>
      </c>
    </row>
    <row r="5" spans="1:12">
      <c r="A5" s="3" t="s">
        <v>205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340</v>
      </c>
      <c r="G5" s="5"/>
      <c r="H5" s="3" t="s">
        <v>77</v>
      </c>
      <c r="I5" s="3" t="s">
        <v>157</v>
      </c>
      <c r="J5" s="3" t="s">
        <v>168</v>
      </c>
      <c r="K5" s="3" t="s">
        <v>168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340</v>
      </c>
      <c r="G6" s="5"/>
      <c r="H6" s="3" t="s">
        <v>78</v>
      </c>
      <c r="I6" s="3" t="s">
        <v>158</v>
      </c>
      <c r="J6" s="3" t="s">
        <v>169</v>
      </c>
      <c r="K6" s="3" t="s">
        <v>169</v>
      </c>
      <c r="L6" s="8"/>
    </row>
    <row r="7" spans="1:12">
      <c r="A7" s="3" t="s">
        <v>206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340</v>
      </c>
      <c r="G7" s="5"/>
      <c r="H7" s="3" t="s">
        <v>79</v>
      </c>
      <c r="I7" s="3" t="s">
        <v>164</v>
      </c>
      <c r="J7" s="3" t="s">
        <v>94</v>
      </c>
      <c r="K7" s="3" t="s">
        <v>94</v>
      </c>
      <c r="L7" s="5"/>
    </row>
    <row r="8" spans="1:12">
      <c r="A8" s="3" t="s">
        <v>207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340</v>
      </c>
      <c r="G8" s="5"/>
      <c r="H8" s="3" t="s">
        <v>80</v>
      </c>
      <c r="I8" s="3" t="s">
        <v>159</v>
      </c>
      <c r="J8" s="3" t="s">
        <v>170</v>
      </c>
      <c r="K8" s="3" t="s">
        <v>170</v>
      </c>
      <c r="L8" s="5"/>
    </row>
    <row r="9" spans="1:12">
      <c r="A9" s="3" t="s">
        <v>208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340</v>
      </c>
      <c r="G9" s="5"/>
      <c r="H9" s="3" t="s">
        <v>81</v>
      </c>
      <c r="I9" s="3" t="s">
        <v>68</v>
      </c>
      <c r="J9" s="3" t="s">
        <v>171</v>
      </c>
      <c r="K9" s="3" t="s">
        <v>171</v>
      </c>
      <c r="L9" s="5"/>
    </row>
    <row r="10" spans="1:12">
      <c r="A10" s="3" t="s">
        <v>209</v>
      </c>
      <c r="B10" s="3" t="s">
        <v>17</v>
      </c>
      <c r="C10" s="3" t="s">
        <v>21</v>
      </c>
      <c r="D10" s="3" t="s">
        <v>212</v>
      </c>
      <c r="E10" s="3">
        <v>4</v>
      </c>
      <c r="F10" s="7" t="s">
        <v>340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210</v>
      </c>
      <c r="B11" s="3" t="s">
        <v>17</v>
      </c>
      <c r="C11" s="3" t="s">
        <v>21</v>
      </c>
      <c r="D11" s="3" t="s">
        <v>212</v>
      </c>
      <c r="E11" s="3">
        <v>4</v>
      </c>
      <c r="F11" s="7" t="s">
        <v>340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211</v>
      </c>
      <c r="B12" s="3" t="s">
        <v>17</v>
      </c>
      <c r="C12" s="3" t="s">
        <v>21</v>
      </c>
      <c r="D12" s="3" t="s">
        <v>212</v>
      </c>
      <c r="E12" s="3">
        <v>4</v>
      </c>
      <c r="F12" s="7" t="s">
        <v>340</v>
      </c>
      <c r="G12" s="5"/>
      <c r="H12" s="3" t="s">
        <v>84</v>
      </c>
      <c r="I12" s="3" t="s">
        <v>160</v>
      </c>
      <c r="J12" s="3" t="s">
        <v>96</v>
      </c>
      <c r="K12" s="3" t="s">
        <v>96</v>
      </c>
      <c r="L12" s="5"/>
    </row>
    <row r="13" spans="1:12">
      <c r="A13" s="3" t="s">
        <v>213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338</v>
      </c>
      <c r="G13" s="5"/>
      <c r="H13" s="3" t="s">
        <v>85</v>
      </c>
      <c r="I13" s="3" t="s">
        <v>71</v>
      </c>
      <c r="J13" s="3" t="s">
        <v>172</v>
      </c>
      <c r="K13" s="3" t="s">
        <v>172</v>
      </c>
      <c r="L13" s="5"/>
    </row>
    <row r="14" spans="1:12">
      <c r="A14" s="3" t="s">
        <v>215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338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216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340</v>
      </c>
      <c r="G15" s="5"/>
      <c r="H15" s="3" t="s">
        <v>87</v>
      </c>
      <c r="I15" s="3" t="s">
        <v>161</v>
      </c>
      <c r="J15" s="3" t="s">
        <v>173</v>
      </c>
      <c r="K15" s="3" t="s">
        <v>173</v>
      </c>
      <c r="L15" s="5"/>
    </row>
    <row r="16" spans="1:12">
      <c r="A16" s="3" t="s">
        <v>217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340</v>
      </c>
      <c r="G16" s="5"/>
      <c r="H16" s="3" t="s">
        <v>88</v>
      </c>
      <c r="I16" s="3" t="s">
        <v>162</v>
      </c>
      <c r="J16" s="3" t="s">
        <v>174</v>
      </c>
      <c r="K16" s="3" t="s">
        <v>174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340</v>
      </c>
      <c r="G17" s="5"/>
      <c r="H17" s="3" t="s">
        <v>89</v>
      </c>
      <c r="I17" s="3" t="s">
        <v>163</v>
      </c>
      <c r="J17" s="3" t="s">
        <v>175</v>
      </c>
      <c r="K17" s="3" t="s">
        <v>175</v>
      </c>
      <c r="L17" s="5"/>
    </row>
    <row r="18" spans="1:12">
      <c r="A18" s="3" t="s">
        <v>218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340</v>
      </c>
      <c r="G18" s="5"/>
      <c r="H18" s="3" t="s">
        <v>90</v>
      </c>
      <c r="I18" s="3" t="s">
        <v>165</v>
      </c>
      <c r="J18" s="3" t="s">
        <v>176</v>
      </c>
      <c r="K18" s="3" t="s">
        <v>176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340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340</v>
      </c>
      <c r="G20" s="5"/>
      <c r="J20" s="3" t="s">
        <v>177</v>
      </c>
      <c r="K20" s="3" t="s">
        <v>177</v>
      </c>
      <c r="L20" s="5"/>
    </row>
    <row r="21" spans="1:12">
      <c r="A21" s="3" t="s">
        <v>219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340</v>
      </c>
      <c r="G21" s="5"/>
      <c r="J21" s="3" t="s">
        <v>98</v>
      </c>
      <c r="K21" s="3" t="s">
        <v>98</v>
      </c>
      <c r="L21" s="5"/>
    </row>
    <row r="22" spans="1:12">
      <c r="A22" s="3" t="s">
        <v>221</v>
      </c>
      <c r="B22" s="3" t="s">
        <v>17</v>
      </c>
      <c r="C22" s="3" t="s">
        <v>5</v>
      </c>
      <c r="D22" s="3" t="s">
        <v>222</v>
      </c>
      <c r="E22" s="3">
        <v>4</v>
      </c>
      <c r="F22" s="7" t="s">
        <v>340</v>
      </c>
      <c r="G22" s="5"/>
      <c r="H22" s="3"/>
      <c r="I22" s="3"/>
      <c r="J22" s="3" t="s">
        <v>178</v>
      </c>
      <c r="K22" s="3" t="s">
        <v>178</v>
      </c>
      <c r="L22" s="5"/>
    </row>
    <row r="23" spans="1:12">
      <c r="A23" s="3" t="s">
        <v>223</v>
      </c>
      <c r="B23" s="3" t="s">
        <v>17</v>
      </c>
      <c r="C23" s="3" t="s">
        <v>5</v>
      </c>
      <c r="D23" s="3" t="s">
        <v>212</v>
      </c>
      <c r="E23" s="3">
        <v>4</v>
      </c>
      <c r="F23" s="7" t="s">
        <v>340</v>
      </c>
      <c r="G23" s="5"/>
      <c r="H23" s="3"/>
      <c r="I23" s="3"/>
      <c r="J23" s="3" t="s">
        <v>179</v>
      </c>
      <c r="K23" s="3" t="s">
        <v>179</v>
      </c>
      <c r="L23" s="5"/>
    </row>
    <row r="24" spans="1:12">
      <c r="A24" s="3" t="s">
        <v>224</v>
      </c>
      <c r="B24" s="3" t="s">
        <v>17</v>
      </c>
      <c r="C24" s="3" t="s">
        <v>5</v>
      </c>
      <c r="D24" s="3" t="s">
        <v>212</v>
      </c>
      <c r="E24" s="3">
        <v>4</v>
      </c>
      <c r="F24" s="7" t="s">
        <v>340</v>
      </c>
      <c r="G24" s="5"/>
      <c r="H24" s="3"/>
      <c r="I24" s="3"/>
      <c r="J24" s="3" t="s">
        <v>180</v>
      </c>
      <c r="K24" s="3" t="s">
        <v>180</v>
      </c>
      <c r="L24" s="5"/>
    </row>
    <row r="25" spans="1:12">
      <c r="A25" s="3" t="s">
        <v>225</v>
      </c>
      <c r="B25" s="3" t="s">
        <v>17</v>
      </c>
      <c r="C25" s="3" t="s">
        <v>5</v>
      </c>
      <c r="D25" s="3" t="s">
        <v>212</v>
      </c>
      <c r="E25" s="3">
        <v>4</v>
      </c>
      <c r="F25" s="7" t="s">
        <v>340</v>
      </c>
      <c r="G25" s="5"/>
      <c r="H25" s="3"/>
      <c r="I25" s="3"/>
      <c r="J25" s="3" t="s">
        <v>181</v>
      </c>
      <c r="K25" s="3" t="s">
        <v>181</v>
      </c>
      <c r="L25" s="5"/>
    </row>
    <row r="26" spans="1:12">
      <c r="A26" s="3" t="s">
        <v>220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338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226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340</v>
      </c>
      <c r="G27" s="5"/>
      <c r="H27" s="5"/>
      <c r="I27" s="5"/>
      <c r="J27" s="3" t="s">
        <v>182</v>
      </c>
      <c r="K27" s="3" t="s">
        <v>182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340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340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340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340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227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340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228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340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229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340</v>
      </c>
      <c r="G34" s="5"/>
      <c r="H34" s="5"/>
      <c r="I34" s="5"/>
      <c r="J34" s="3" t="s">
        <v>183</v>
      </c>
      <c r="K34" s="3" t="s">
        <v>183</v>
      </c>
      <c r="L34" s="5"/>
    </row>
    <row r="35" spans="1:12">
      <c r="A35" s="3" t="s">
        <v>230</v>
      </c>
      <c r="B35" s="3" t="s">
        <v>17</v>
      </c>
      <c r="C35" s="3" t="s">
        <v>6</v>
      </c>
      <c r="D35" s="3" t="s">
        <v>222</v>
      </c>
      <c r="E35" s="3">
        <v>4</v>
      </c>
      <c r="F35" s="7" t="s">
        <v>340</v>
      </c>
      <c r="G35" s="5"/>
      <c r="H35" s="5"/>
      <c r="I35" s="5"/>
      <c r="J35" s="3" t="s">
        <v>184</v>
      </c>
      <c r="K35" s="3" t="s">
        <v>184</v>
      </c>
      <c r="L35" s="5"/>
    </row>
    <row r="36" spans="1:12">
      <c r="A36" s="3" t="s">
        <v>231</v>
      </c>
      <c r="B36" s="3" t="s">
        <v>17</v>
      </c>
      <c r="C36" s="3" t="s">
        <v>6</v>
      </c>
      <c r="D36" s="3" t="s">
        <v>212</v>
      </c>
      <c r="E36" s="3">
        <v>4</v>
      </c>
      <c r="F36" s="7" t="s">
        <v>340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232</v>
      </c>
      <c r="B37" s="3" t="s">
        <v>17</v>
      </c>
      <c r="C37" s="3" t="s">
        <v>6</v>
      </c>
      <c r="D37" s="3" t="s">
        <v>212</v>
      </c>
      <c r="E37" s="3">
        <v>4</v>
      </c>
      <c r="F37" s="7" t="s">
        <v>340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233</v>
      </c>
      <c r="B38" s="3" t="s">
        <v>17</v>
      </c>
      <c r="C38" s="3" t="s">
        <v>6</v>
      </c>
      <c r="D38" s="3" t="s">
        <v>212</v>
      </c>
      <c r="E38" s="3">
        <v>4</v>
      </c>
      <c r="F38" s="7" t="s">
        <v>340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234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368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235</v>
      </c>
      <c r="B40" s="3" t="s">
        <v>17</v>
      </c>
      <c r="C40" s="3" t="s">
        <v>7</v>
      </c>
      <c r="D40" s="3" t="s">
        <v>236</v>
      </c>
      <c r="E40" s="3">
        <v>3</v>
      </c>
      <c r="F40" s="7" t="s">
        <v>368</v>
      </c>
      <c r="G40" s="5"/>
      <c r="H40" s="5"/>
      <c r="I40" s="5"/>
      <c r="J40" s="3" t="s">
        <v>185</v>
      </c>
      <c r="K40" s="3" t="s">
        <v>185</v>
      </c>
      <c r="L40" s="5"/>
    </row>
    <row r="41" spans="1:12" ht="17.25" customHeight="1">
      <c r="A41" s="3" t="s">
        <v>237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338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238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338</v>
      </c>
      <c r="G42" s="5"/>
      <c r="H42" s="5"/>
      <c r="I42" s="5"/>
      <c r="J42" s="3" t="s">
        <v>186</v>
      </c>
      <c r="K42" s="3" t="s">
        <v>186</v>
      </c>
      <c r="L42" s="5"/>
    </row>
    <row r="43" spans="1:12" ht="17.25" customHeight="1">
      <c r="A43" s="3" t="s">
        <v>250</v>
      </c>
      <c r="B43" s="3" t="s">
        <v>17</v>
      </c>
      <c r="C43" s="3" t="s">
        <v>25</v>
      </c>
      <c r="D43" s="3" t="s">
        <v>254</v>
      </c>
      <c r="E43" s="3">
        <v>4</v>
      </c>
      <c r="F43" s="7" t="s">
        <v>340</v>
      </c>
      <c r="G43" s="5"/>
      <c r="H43" s="5"/>
      <c r="I43" s="5"/>
      <c r="J43" s="3" t="s">
        <v>187</v>
      </c>
      <c r="K43" s="3" t="s">
        <v>187</v>
      </c>
      <c r="L43" s="5"/>
    </row>
    <row r="44" spans="1:12" ht="17.25" customHeight="1">
      <c r="A44" s="3" t="s">
        <v>251</v>
      </c>
      <c r="B44" s="3" t="s">
        <v>17</v>
      </c>
      <c r="C44" s="3" t="s">
        <v>25</v>
      </c>
      <c r="D44" s="3" t="s">
        <v>254</v>
      </c>
      <c r="E44" s="3">
        <v>4</v>
      </c>
      <c r="F44" s="7" t="s">
        <v>340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252</v>
      </c>
      <c r="B45" s="3" t="s">
        <v>17</v>
      </c>
      <c r="C45" s="3" t="s">
        <v>25</v>
      </c>
      <c r="D45" s="3" t="s">
        <v>254</v>
      </c>
      <c r="E45" s="3">
        <v>4</v>
      </c>
      <c r="F45" s="7" t="s">
        <v>340</v>
      </c>
      <c r="G45" s="5"/>
      <c r="H45" s="5"/>
      <c r="I45" s="5"/>
      <c r="J45" s="3" t="s">
        <v>188</v>
      </c>
      <c r="K45" s="3" t="s">
        <v>188</v>
      </c>
      <c r="L45" s="5"/>
    </row>
    <row r="46" spans="1:12" ht="17.25" customHeight="1">
      <c r="A46" s="3" t="s">
        <v>253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340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239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340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240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340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241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340</v>
      </c>
      <c r="G49" s="5"/>
      <c r="H49" s="5"/>
      <c r="I49" s="5"/>
      <c r="J49" s="5" t="s">
        <v>189</v>
      </c>
      <c r="K49" s="5" t="s">
        <v>189</v>
      </c>
      <c r="L49" s="5"/>
    </row>
    <row r="50" spans="1:12">
      <c r="A50" s="3" t="s">
        <v>242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340</v>
      </c>
      <c r="G50" s="5"/>
      <c r="H50" s="5"/>
      <c r="I50" s="5"/>
      <c r="J50" s="5" t="s">
        <v>190</v>
      </c>
      <c r="K50" s="5" t="s">
        <v>190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340</v>
      </c>
      <c r="G51" s="5"/>
      <c r="H51" s="5"/>
      <c r="I51" s="5"/>
      <c r="J51" s="5" t="s">
        <v>191</v>
      </c>
      <c r="K51" s="5" t="s">
        <v>191</v>
      </c>
      <c r="L51" s="5"/>
    </row>
    <row r="52" spans="1:12">
      <c r="A52" s="3" t="s">
        <v>243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340</v>
      </c>
      <c r="G52" s="5"/>
      <c r="H52" s="5"/>
      <c r="I52" s="5"/>
      <c r="J52" s="5" t="s">
        <v>192</v>
      </c>
      <c r="K52" s="5" t="s">
        <v>192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340</v>
      </c>
      <c r="G53" s="5"/>
      <c r="H53" s="5"/>
      <c r="I53" s="5"/>
      <c r="J53" s="5" t="s">
        <v>193</v>
      </c>
      <c r="K53" s="5" t="s">
        <v>193</v>
      </c>
      <c r="L53" s="5"/>
    </row>
    <row r="54" spans="1:12">
      <c r="A54" s="3" t="s">
        <v>244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340</v>
      </c>
      <c r="G54" s="5"/>
      <c r="H54" s="5"/>
      <c r="I54" s="5"/>
      <c r="J54" s="5" t="s">
        <v>194</v>
      </c>
      <c r="K54" s="5" t="s">
        <v>194</v>
      </c>
      <c r="L54" s="5"/>
    </row>
    <row r="55" spans="1:12">
      <c r="A55" s="3" t="s">
        <v>245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340</v>
      </c>
      <c r="G55" s="5"/>
      <c r="H55" s="5"/>
      <c r="I55" s="5"/>
      <c r="J55" s="5" t="s">
        <v>196</v>
      </c>
      <c r="K55" s="5" t="s">
        <v>196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212</v>
      </c>
      <c r="E56" s="3">
        <v>4</v>
      </c>
      <c r="F56" s="7" t="s">
        <v>340</v>
      </c>
      <c r="G56" s="5"/>
      <c r="H56" s="5"/>
      <c r="I56" s="5"/>
      <c r="J56" s="5" t="s">
        <v>195</v>
      </c>
      <c r="K56" s="5" t="s">
        <v>195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212</v>
      </c>
      <c r="E57" s="3">
        <v>4</v>
      </c>
      <c r="F57" s="7" t="s">
        <v>340</v>
      </c>
      <c r="G57" s="5"/>
      <c r="H57" s="5"/>
      <c r="I57" s="5"/>
      <c r="J57" s="5" t="s">
        <v>197</v>
      </c>
      <c r="K57" s="5" t="s">
        <v>197</v>
      </c>
      <c r="L57" s="5"/>
    </row>
    <row r="58" spans="1:12">
      <c r="A58" s="3" t="s">
        <v>246</v>
      </c>
      <c r="B58" s="3" t="s">
        <v>17</v>
      </c>
      <c r="C58" s="3" t="s">
        <v>25</v>
      </c>
      <c r="D58" s="3" t="s">
        <v>212</v>
      </c>
      <c r="E58" s="3">
        <v>4</v>
      </c>
      <c r="F58" s="7" t="s">
        <v>340</v>
      </c>
      <c r="G58" s="5"/>
      <c r="H58" s="5"/>
      <c r="I58" s="5"/>
      <c r="J58" s="5" t="s">
        <v>198</v>
      </c>
      <c r="K58" s="5" t="s">
        <v>198</v>
      </c>
      <c r="L58" s="5"/>
    </row>
    <row r="59" spans="1:12">
      <c r="A59" s="3" t="s">
        <v>247</v>
      </c>
      <c r="B59" s="3" t="s">
        <v>17</v>
      </c>
      <c r="C59" s="3" t="s">
        <v>25</v>
      </c>
      <c r="D59" s="3" t="s">
        <v>212</v>
      </c>
      <c r="E59" s="3">
        <v>4</v>
      </c>
      <c r="F59" s="7" t="s">
        <v>340</v>
      </c>
      <c r="G59" s="5"/>
      <c r="H59" s="5"/>
      <c r="I59" s="5"/>
      <c r="J59" s="5" t="s">
        <v>199</v>
      </c>
      <c r="K59" s="5" t="s">
        <v>199</v>
      </c>
      <c r="L59" s="5"/>
    </row>
    <row r="60" spans="1:12">
      <c r="A60" s="3" t="s">
        <v>248</v>
      </c>
      <c r="B60" s="3" t="s">
        <v>17</v>
      </c>
      <c r="C60" s="3" t="s">
        <v>25</v>
      </c>
      <c r="D60" s="3" t="s">
        <v>212</v>
      </c>
      <c r="E60" s="3">
        <v>4</v>
      </c>
      <c r="F60" s="7" t="s">
        <v>340</v>
      </c>
      <c r="G60" s="5"/>
      <c r="H60" s="5"/>
      <c r="I60" s="5"/>
      <c r="J60" s="3"/>
      <c r="K60" s="3"/>
      <c r="L60" s="5"/>
    </row>
    <row r="61" spans="1:12">
      <c r="A61" s="3" t="s">
        <v>249</v>
      </c>
      <c r="B61" s="3" t="s">
        <v>17</v>
      </c>
      <c r="C61" s="3" t="s">
        <v>25</v>
      </c>
      <c r="D61" s="3" t="s">
        <v>212</v>
      </c>
      <c r="E61" s="3">
        <v>4</v>
      </c>
      <c r="F61" s="7" t="s">
        <v>340</v>
      </c>
      <c r="G61" s="5"/>
      <c r="H61" s="5"/>
      <c r="I61" s="5"/>
      <c r="J61" s="3"/>
      <c r="K61" s="3"/>
      <c r="L61" s="5"/>
    </row>
    <row r="62" spans="1:12">
      <c r="A62" s="3" t="s">
        <v>255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338</v>
      </c>
      <c r="G62" s="5"/>
      <c r="H62" s="5"/>
      <c r="I62" s="5"/>
      <c r="L62" s="5"/>
    </row>
    <row r="63" spans="1:12">
      <c r="A63" s="3" t="s">
        <v>256</v>
      </c>
      <c r="B63" s="3" t="s">
        <v>17</v>
      </c>
      <c r="C63" s="3" t="s">
        <v>26</v>
      </c>
      <c r="D63" s="3" t="s">
        <v>236</v>
      </c>
      <c r="E63" s="3">
        <v>4</v>
      </c>
      <c r="F63" s="7" t="s">
        <v>338</v>
      </c>
      <c r="G63" s="5"/>
      <c r="H63" s="5"/>
      <c r="I63" s="5"/>
      <c r="J63" s="3"/>
      <c r="K63" s="3"/>
      <c r="L63" s="5"/>
    </row>
    <row r="64" spans="1:12">
      <c r="A64" s="3" t="s">
        <v>257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338</v>
      </c>
      <c r="G64" s="5"/>
      <c r="H64" s="5"/>
      <c r="I64" s="5"/>
      <c r="L64" s="5"/>
    </row>
    <row r="65" spans="1:12">
      <c r="A65" s="3" t="s">
        <v>258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338</v>
      </c>
      <c r="G65" s="5"/>
      <c r="H65" s="5"/>
      <c r="I65" s="5"/>
      <c r="J65" s="3"/>
      <c r="K65" s="3"/>
      <c r="L65" s="5"/>
    </row>
    <row r="66" spans="1:12">
      <c r="A66" s="3" t="s">
        <v>259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340</v>
      </c>
      <c r="G66" s="5"/>
      <c r="H66" s="5"/>
      <c r="I66" s="5"/>
      <c r="J66" s="3"/>
      <c r="K66" s="3"/>
      <c r="L66" s="5"/>
    </row>
    <row r="67" spans="1:12">
      <c r="A67" s="3" t="s">
        <v>260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340</v>
      </c>
      <c r="G67" s="5"/>
      <c r="H67" s="5"/>
      <c r="I67" s="5"/>
      <c r="J67" s="3"/>
      <c r="K67" s="3"/>
      <c r="L67" s="5"/>
    </row>
    <row r="68" spans="1:12">
      <c r="A68" s="3" t="s">
        <v>261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340</v>
      </c>
      <c r="G68" s="5"/>
      <c r="H68" s="5"/>
      <c r="I68" s="5"/>
      <c r="J68" s="3"/>
      <c r="K68" s="3"/>
      <c r="L68" s="5"/>
    </row>
    <row r="69" spans="1:12">
      <c r="A69" s="3" t="s">
        <v>262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340</v>
      </c>
      <c r="G69" s="5"/>
      <c r="H69" s="5"/>
      <c r="I69" s="5"/>
      <c r="L69" s="5"/>
    </row>
    <row r="70" spans="1:12">
      <c r="A70" s="3" t="s">
        <v>263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340</v>
      </c>
      <c r="G70" s="5"/>
      <c r="H70" s="5"/>
      <c r="I70" s="5"/>
      <c r="L70" s="5"/>
    </row>
    <row r="71" spans="1:12">
      <c r="A71" s="3" t="s">
        <v>264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340</v>
      </c>
      <c r="G71" s="5"/>
      <c r="H71" s="5"/>
      <c r="I71" s="5"/>
      <c r="L71" s="5"/>
    </row>
    <row r="72" spans="1:12">
      <c r="A72" s="3" t="s">
        <v>265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340</v>
      </c>
      <c r="G72" s="5"/>
      <c r="H72" s="5"/>
      <c r="I72" s="5"/>
      <c r="L72" s="5"/>
    </row>
    <row r="73" spans="1:12">
      <c r="A73" s="3" t="s">
        <v>266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340</v>
      </c>
      <c r="G73" s="5"/>
      <c r="H73" s="5"/>
      <c r="I73" s="5"/>
      <c r="L73" s="5"/>
    </row>
    <row r="74" spans="1:12">
      <c r="A74" s="3" t="s">
        <v>267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340</v>
      </c>
      <c r="G74" s="5"/>
      <c r="H74" s="5"/>
      <c r="I74" s="5"/>
      <c r="L74" s="5"/>
    </row>
    <row r="75" spans="1:12">
      <c r="A75" s="3" t="s">
        <v>268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340</v>
      </c>
      <c r="G75" s="5"/>
      <c r="H75" s="5"/>
      <c r="I75" s="5"/>
      <c r="L75" s="5"/>
    </row>
    <row r="76" spans="1:12">
      <c r="A76" s="3" t="s">
        <v>269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340</v>
      </c>
      <c r="G76" s="5"/>
      <c r="H76" s="5"/>
      <c r="I76" s="5"/>
      <c r="L76" s="5"/>
    </row>
    <row r="77" spans="1:12">
      <c r="A77" s="3" t="s">
        <v>270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340</v>
      </c>
      <c r="G77" s="5"/>
      <c r="H77" s="5"/>
      <c r="I77" s="5"/>
      <c r="L77" s="5"/>
    </row>
    <row r="78" spans="1:12">
      <c r="A78" s="3" t="s">
        <v>271</v>
      </c>
      <c r="B78" s="3" t="s">
        <v>17</v>
      </c>
      <c r="C78" s="3" t="s">
        <v>26</v>
      </c>
      <c r="D78" s="3" t="s">
        <v>274</v>
      </c>
      <c r="E78" s="3">
        <v>4</v>
      </c>
      <c r="F78" s="7" t="s">
        <v>340</v>
      </c>
      <c r="G78" s="5"/>
      <c r="H78" s="5"/>
      <c r="I78" s="5"/>
      <c r="L78" s="5"/>
    </row>
    <row r="79" spans="1:12">
      <c r="A79" s="3" t="s">
        <v>272</v>
      </c>
      <c r="B79" s="3" t="s">
        <v>17</v>
      </c>
      <c r="C79" s="3" t="s">
        <v>26</v>
      </c>
      <c r="D79" s="3" t="s">
        <v>212</v>
      </c>
      <c r="E79" s="3">
        <v>4</v>
      </c>
      <c r="F79" s="7" t="s">
        <v>340</v>
      </c>
      <c r="G79" s="5"/>
      <c r="H79" s="5"/>
      <c r="I79" s="5"/>
      <c r="L79" s="5"/>
    </row>
    <row r="80" spans="1:12">
      <c r="A80" s="3" t="s">
        <v>273</v>
      </c>
      <c r="B80" s="3" t="s">
        <v>17</v>
      </c>
      <c r="C80" s="3" t="s">
        <v>26</v>
      </c>
      <c r="D80" s="3" t="s">
        <v>212</v>
      </c>
      <c r="E80" s="3">
        <v>4</v>
      </c>
      <c r="F80" s="7" t="s">
        <v>340</v>
      </c>
      <c r="G80" s="5"/>
      <c r="H80" s="5"/>
      <c r="I80" s="5"/>
      <c r="L80" s="5"/>
    </row>
    <row r="81" spans="1:12">
      <c r="A81" s="3" t="s">
        <v>275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353</v>
      </c>
      <c r="G81" s="5"/>
      <c r="H81" s="5"/>
      <c r="I81" s="5"/>
      <c r="L81" s="5"/>
    </row>
    <row r="82" spans="1:12">
      <c r="A82" s="3" t="s">
        <v>276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353</v>
      </c>
      <c r="G82" s="5"/>
      <c r="H82" s="5"/>
      <c r="I82" s="5"/>
      <c r="L82" s="5"/>
    </row>
    <row r="83" spans="1:12">
      <c r="A83" s="3" t="s">
        <v>277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353</v>
      </c>
      <c r="G83" s="5"/>
      <c r="H83" s="5"/>
      <c r="I83" s="5"/>
      <c r="L83" s="5"/>
    </row>
    <row r="84" spans="1:12">
      <c r="A84" s="3" t="s">
        <v>278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353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355</v>
      </c>
      <c r="G85" s="5"/>
      <c r="H85" s="5"/>
      <c r="I85" s="5"/>
      <c r="J85" s="5"/>
      <c r="K85" s="5"/>
      <c r="L85" s="5"/>
    </row>
    <row r="86" spans="1:12">
      <c r="A86" s="3" t="s">
        <v>279</v>
      </c>
      <c r="B86" s="3" t="s">
        <v>17</v>
      </c>
      <c r="C86" s="3" t="s">
        <v>8</v>
      </c>
      <c r="D86" s="3" t="s">
        <v>212</v>
      </c>
      <c r="E86" s="3">
        <v>3</v>
      </c>
      <c r="F86" s="7" t="s">
        <v>353</v>
      </c>
      <c r="G86" s="5"/>
      <c r="H86" s="5"/>
      <c r="I86" s="5"/>
      <c r="J86" s="5"/>
      <c r="K86" s="5"/>
      <c r="L86" s="5"/>
    </row>
    <row r="87" spans="1:12">
      <c r="A87" s="3" t="s">
        <v>280</v>
      </c>
      <c r="B87" s="3" t="s">
        <v>17</v>
      </c>
      <c r="C87" s="3" t="s">
        <v>8</v>
      </c>
      <c r="D87" s="3" t="s">
        <v>212</v>
      </c>
      <c r="E87" s="3">
        <v>2</v>
      </c>
      <c r="F87" s="7" t="s">
        <v>355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353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353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353</v>
      </c>
      <c r="G90" s="5"/>
      <c r="H90" s="5"/>
      <c r="I90" s="5"/>
      <c r="J90" s="5"/>
      <c r="K90" s="5"/>
      <c r="L90" s="5"/>
    </row>
    <row r="91" spans="1:12">
      <c r="A91" s="3" t="s">
        <v>281</v>
      </c>
      <c r="B91" s="3" t="s">
        <v>17</v>
      </c>
      <c r="C91" s="3" t="s">
        <v>28</v>
      </c>
      <c r="D91" s="3" t="s">
        <v>222</v>
      </c>
      <c r="E91" s="3">
        <v>3</v>
      </c>
      <c r="F91" s="7" t="s">
        <v>353</v>
      </c>
      <c r="G91" s="5"/>
      <c r="H91" s="5"/>
      <c r="I91" s="5"/>
      <c r="J91" s="5"/>
      <c r="K91" s="5"/>
      <c r="L91" s="5"/>
    </row>
    <row r="92" spans="1:12">
      <c r="A92" s="3" t="s">
        <v>282</v>
      </c>
      <c r="B92" s="3" t="s">
        <v>17</v>
      </c>
      <c r="C92" s="3" t="s">
        <v>28</v>
      </c>
      <c r="D92" s="3" t="s">
        <v>222</v>
      </c>
      <c r="E92" s="3">
        <v>3</v>
      </c>
      <c r="F92" s="7" t="s">
        <v>353</v>
      </c>
      <c r="G92" s="5"/>
      <c r="H92" s="5"/>
      <c r="I92" s="5"/>
      <c r="J92" s="5"/>
      <c r="K92" s="5"/>
      <c r="L92" s="5"/>
    </row>
    <row r="93" spans="1:12">
      <c r="A93" s="3" t="s">
        <v>283</v>
      </c>
      <c r="B93" s="3" t="s">
        <v>17</v>
      </c>
      <c r="C93" s="3" t="s">
        <v>28</v>
      </c>
      <c r="D93" s="3" t="s">
        <v>222</v>
      </c>
      <c r="E93" s="3">
        <v>3</v>
      </c>
      <c r="F93" s="7" t="s">
        <v>353</v>
      </c>
      <c r="G93" s="5"/>
      <c r="H93" s="5"/>
      <c r="I93" s="5"/>
      <c r="J93" s="5"/>
      <c r="K93" s="5"/>
      <c r="L93" s="5"/>
    </row>
    <row r="94" spans="1:12">
      <c r="A94" s="3" t="s">
        <v>284</v>
      </c>
      <c r="B94" s="3" t="s">
        <v>17</v>
      </c>
      <c r="C94" s="3" t="s">
        <v>28</v>
      </c>
      <c r="D94" s="3" t="s">
        <v>222</v>
      </c>
      <c r="E94" s="3">
        <v>3</v>
      </c>
      <c r="F94" s="7" t="s">
        <v>353</v>
      </c>
      <c r="G94" s="5"/>
      <c r="H94" s="5"/>
      <c r="I94" s="5"/>
      <c r="J94" s="5"/>
      <c r="K94" s="5"/>
      <c r="L94" s="5"/>
    </row>
    <row r="95" spans="1:12">
      <c r="A95" s="3" t="s">
        <v>285</v>
      </c>
      <c r="B95" s="3" t="s">
        <v>17</v>
      </c>
      <c r="C95" s="3" t="s">
        <v>28</v>
      </c>
      <c r="D95" s="3" t="s">
        <v>212</v>
      </c>
      <c r="E95" s="3">
        <v>3</v>
      </c>
      <c r="F95" s="7" t="s">
        <v>353</v>
      </c>
      <c r="G95" s="5"/>
      <c r="H95" s="5"/>
      <c r="I95" s="5"/>
      <c r="J95" s="5"/>
      <c r="K95" s="5"/>
      <c r="L95" s="5"/>
    </row>
    <row r="96" spans="1:12">
      <c r="A96" s="3" t="s">
        <v>286</v>
      </c>
      <c r="B96" s="3" t="s">
        <v>17</v>
      </c>
      <c r="C96" s="3" t="s">
        <v>28</v>
      </c>
      <c r="D96" s="3" t="s">
        <v>212</v>
      </c>
      <c r="E96" s="3">
        <v>3</v>
      </c>
      <c r="F96" s="7" t="s">
        <v>353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340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340</v>
      </c>
      <c r="G98" s="5"/>
      <c r="H98" s="5"/>
      <c r="I98" s="5"/>
      <c r="J98" s="5"/>
      <c r="K98" s="5"/>
      <c r="L98" s="5"/>
    </row>
    <row r="99" spans="1:12">
      <c r="A99" s="3" t="s">
        <v>287</v>
      </c>
      <c r="B99" s="3" t="s">
        <v>17</v>
      </c>
      <c r="C99" s="3" t="s">
        <v>10</v>
      </c>
      <c r="D99" s="3" t="s">
        <v>222</v>
      </c>
      <c r="E99" s="3">
        <v>4</v>
      </c>
      <c r="F99" s="7" t="s">
        <v>340</v>
      </c>
      <c r="G99" s="5"/>
      <c r="H99" s="5"/>
      <c r="I99" s="5"/>
      <c r="J99" s="5"/>
      <c r="K99" s="5"/>
      <c r="L99" s="5"/>
    </row>
    <row r="100" spans="1:12">
      <c r="A100" s="3" t="s">
        <v>288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340</v>
      </c>
      <c r="G100" s="5"/>
      <c r="H100" s="5"/>
      <c r="I100" s="5"/>
      <c r="J100" s="5"/>
      <c r="K100" s="5"/>
      <c r="L100" s="5"/>
    </row>
    <row r="101" spans="1:12">
      <c r="A101" s="3" t="s">
        <v>289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340</v>
      </c>
      <c r="G101" s="5"/>
      <c r="H101" s="5"/>
      <c r="I101" s="5"/>
      <c r="J101" s="5"/>
      <c r="K101" s="5"/>
      <c r="L101" s="5"/>
    </row>
    <row r="102" spans="1:12">
      <c r="A102" s="3" t="s">
        <v>290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340</v>
      </c>
      <c r="G102" s="5"/>
      <c r="H102" s="5"/>
      <c r="I102" s="5"/>
      <c r="J102" s="5"/>
      <c r="K102" s="5"/>
      <c r="L102" s="5"/>
    </row>
    <row r="103" spans="1:12">
      <c r="A103" s="3" t="s">
        <v>291</v>
      </c>
      <c r="B103" s="3" t="s">
        <v>17</v>
      </c>
      <c r="C103" s="3" t="s">
        <v>10</v>
      </c>
      <c r="D103" s="3" t="s">
        <v>212</v>
      </c>
      <c r="E103" s="3">
        <v>4</v>
      </c>
      <c r="F103" s="7" t="s">
        <v>340</v>
      </c>
      <c r="G103" s="5"/>
      <c r="H103" s="5"/>
      <c r="I103" s="5"/>
      <c r="J103" s="5"/>
      <c r="K103" s="5"/>
      <c r="L103" s="5"/>
    </row>
    <row r="104" spans="1:12">
      <c r="A104" s="3" t="s">
        <v>292</v>
      </c>
      <c r="B104" s="3" t="s">
        <v>17</v>
      </c>
      <c r="C104" s="3" t="s">
        <v>10</v>
      </c>
      <c r="D104" s="3" t="s">
        <v>212</v>
      </c>
      <c r="E104" s="3">
        <v>4</v>
      </c>
      <c r="F104" s="7" t="s">
        <v>340</v>
      </c>
      <c r="G104" s="5"/>
      <c r="H104" s="5"/>
      <c r="I104" s="5"/>
      <c r="J104" s="5"/>
      <c r="K104" s="5"/>
      <c r="L104" s="5"/>
    </row>
    <row r="105" spans="1:12">
      <c r="A105" s="3" t="s">
        <v>293</v>
      </c>
      <c r="B105" s="3" t="s">
        <v>17</v>
      </c>
      <c r="C105" s="3" t="s">
        <v>10</v>
      </c>
      <c r="D105" s="3" t="s">
        <v>212</v>
      </c>
      <c r="E105" s="3">
        <v>4</v>
      </c>
      <c r="F105" s="7" t="s">
        <v>340</v>
      </c>
      <c r="G105" s="5"/>
      <c r="H105" s="5"/>
      <c r="I105" s="5"/>
      <c r="J105" s="5"/>
      <c r="K105" s="5"/>
      <c r="L105" s="5"/>
    </row>
    <row r="106" spans="1:12">
      <c r="A106" s="3" t="s">
        <v>294</v>
      </c>
      <c r="B106" s="3" t="s">
        <v>17</v>
      </c>
      <c r="C106" s="3" t="s">
        <v>10</v>
      </c>
      <c r="D106" s="3" t="s">
        <v>212</v>
      </c>
      <c r="E106" s="3">
        <v>2</v>
      </c>
      <c r="F106" s="7" t="s">
        <v>355</v>
      </c>
      <c r="G106" s="5"/>
      <c r="H106" s="5"/>
      <c r="I106" s="5"/>
      <c r="J106" s="5"/>
      <c r="K106" s="5"/>
      <c r="L106" s="5"/>
    </row>
    <row r="107" spans="1:12">
      <c r="A107" s="3" t="s">
        <v>295</v>
      </c>
      <c r="B107" s="3" t="s">
        <v>17</v>
      </c>
      <c r="C107" s="3" t="s">
        <v>10</v>
      </c>
      <c r="D107" s="3" t="s">
        <v>212</v>
      </c>
      <c r="E107" s="3">
        <v>4</v>
      </c>
      <c r="F107" s="7" t="s">
        <v>340</v>
      </c>
      <c r="G107" s="5"/>
      <c r="H107" s="5"/>
      <c r="I107" s="5"/>
      <c r="J107" s="5"/>
      <c r="K107" s="5"/>
      <c r="L107" s="5"/>
    </row>
    <row r="108" spans="1:12">
      <c r="A108" s="3" t="s">
        <v>296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340</v>
      </c>
      <c r="G108" s="5"/>
      <c r="H108" s="5"/>
      <c r="I108" s="5"/>
      <c r="J108" s="5"/>
      <c r="K108" s="5"/>
      <c r="L108" s="5"/>
    </row>
    <row r="109" spans="1:12">
      <c r="A109" s="3" t="s">
        <v>297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340</v>
      </c>
      <c r="G109" s="5"/>
      <c r="H109" s="5"/>
      <c r="I109" s="5"/>
      <c r="J109" s="5"/>
      <c r="K109" s="5"/>
      <c r="L109" s="5"/>
    </row>
    <row r="110" spans="1:12">
      <c r="A110" s="3" t="s">
        <v>298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340</v>
      </c>
      <c r="G110" s="5"/>
      <c r="H110" s="5"/>
      <c r="I110" s="5"/>
      <c r="J110" s="5"/>
      <c r="K110" s="5"/>
      <c r="L110" s="5"/>
    </row>
    <row r="111" spans="1:12">
      <c r="A111" s="3" t="s">
        <v>299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340</v>
      </c>
      <c r="G111" s="5"/>
      <c r="H111" s="5"/>
      <c r="I111" s="5"/>
      <c r="J111" s="5"/>
      <c r="K111" s="5"/>
      <c r="L111" s="5"/>
    </row>
    <row r="112" spans="1:12">
      <c r="A112" s="3" t="s">
        <v>300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340</v>
      </c>
      <c r="G112" s="5"/>
      <c r="H112" s="5"/>
      <c r="I112" s="5"/>
      <c r="J112" s="5"/>
      <c r="K112" s="5"/>
      <c r="L112" s="5"/>
    </row>
    <row r="113" spans="1:12">
      <c r="A113" s="3" t="s">
        <v>301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340</v>
      </c>
      <c r="G113" s="5"/>
      <c r="H113" s="5"/>
      <c r="I113" s="5"/>
      <c r="J113" s="5"/>
      <c r="K113" s="5"/>
      <c r="L113" s="5"/>
    </row>
    <row r="114" spans="1:12">
      <c r="A114" s="3" t="s">
        <v>302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340</v>
      </c>
      <c r="G114" s="5"/>
      <c r="H114" s="5"/>
      <c r="I114" s="5"/>
      <c r="J114" s="5"/>
      <c r="K114" s="5"/>
      <c r="L114" s="5"/>
    </row>
    <row r="115" spans="1:12">
      <c r="A115" s="3" t="s">
        <v>303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340</v>
      </c>
      <c r="G115" s="5"/>
      <c r="H115" s="5"/>
      <c r="I115" s="5"/>
      <c r="J115" s="5"/>
      <c r="K115" s="5"/>
      <c r="L115" s="5"/>
    </row>
    <row r="116" spans="1:12">
      <c r="A116" s="3" t="s">
        <v>304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340</v>
      </c>
      <c r="G116" s="5"/>
      <c r="H116" s="5"/>
      <c r="I116" s="5"/>
      <c r="J116" s="5"/>
      <c r="K116" s="5"/>
      <c r="L116" s="5"/>
    </row>
    <row r="117" spans="1:12">
      <c r="A117" s="3" t="s">
        <v>305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340</v>
      </c>
      <c r="G117" s="5"/>
      <c r="H117" s="5"/>
      <c r="I117" s="5"/>
      <c r="J117" s="5"/>
      <c r="K117" s="5"/>
      <c r="L117" s="5"/>
    </row>
    <row r="118" spans="1:12">
      <c r="A118" s="3" t="s">
        <v>306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340</v>
      </c>
      <c r="G118" s="5"/>
      <c r="H118" s="5"/>
      <c r="I118" s="5"/>
      <c r="J118" s="5"/>
      <c r="K118" s="5"/>
      <c r="L118" s="5"/>
    </row>
    <row r="119" spans="1:12">
      <c r="A119" s="3" t="s">
        <v>307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340</v>
      </c>
      <c r="G119" s="5"/>
      <c r="H119" s="5"/>
      <c r="I119" s="5"/>
      <c r="J119" s="5"/>
      <c r="K119" s="5"/>
      <c r="L119" s="5"/>
    </row>
    <row r="120" spans="1:12">
      <c r="A120" s="3" t="s">
        <v>308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340</v>
      </c>
      <c r="G120" s="5"/>
      <c r="H120" s="5"/>
      <c r="I120" s="5"/>
      <c r="J120" s="5"/>
      <c r="K120" s="5"/>
      <c r="L120" s="5"/>
    </row>
    <row r="121" spans="1:12">
      <c r="A121" s="3" t="s">
        <v>309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340</v>
      </c>
      <c r="G121" s="5"/>
      <c r="H121" s="5"/>
      <c r="I121" s="5"/>
      <c r="J121" s="5"/>
      <c r="K121" s="5"/>
      <c r="L121" s="5"/>
    </row>
    <row r="122" spans="1:12">
      <c r="A122" s="3" t="s">
        <v>310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340</v>
      </c>
      <c r="G122" s="5"/>
      <c r="H122" s="5"/>
      <c r="I122" s="5"/>
      <c r="J122" s="5"/>
      <c r="K122" s="5"/>
      <c r="L122" s="5"/>
    </row>
    <row r="123" spans="1:12">
      <c r="A123" s="3" t="s">
        <v>311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340</v>
      </c>
      <c r="G123" s="5"/>
      <c r="H123" s="5"/>
      <c r="I123" s="5"/>
      <c r="J123" s="5"/>
      <c r="K123" s="5"/>
      <c r="L123" s="5"/>
    </row>
    <row r="124" spans="1:12">
      <c r="A124" s="3" t="s">
        <v>312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340</v>
      </c>
      <c r="G124" s="5"/>
      <c r="H124" s="5"/>
      <c r="I124" s="5"/>
      <c r="J124" s="5"/>
      <c r="K124" s="5"/>
      <c r="L124" s="5"/>
    </row>
    <row r="125" spans="1:12">
      <c r="A125" s="3" t="s">
        <v>313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340</v>
      </c>
      <c r="G125" s="5"/>
      <c r="H125" s="5"/>
      <c r="I125" s="5"/>
      <c r="J125" s="5"/>
      <c r="K125" s="5"/>
      <c r="L125" s="5"/>
    </row>
    <row r="126" spans="1:12">
      <c r="A126" s="3" t="s">
        <v>315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340</v>
      </c>
      <c r="G126" s="5"/>
      <c r="H126" s="5"/>
      <c r="I126" s="5"/>
      <c r="J126" s="5"/>
      <c r="K126" s="5"/>
      <c r="L126" s="5"/>
    </row>
    <row r="127" spans="1:12">
      <c r="A127" s="3" t="s">
        <v>314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340</v>
      </c>
      <c r="G127" s="5"/>
      <c r="H127" s="5"/>
      <c r="I127" s="5"/>
      <c r="J127" s="5"/>
      <c r="K127" s="5"/>
      <c r="L127" s="5"/>
    </row>
    <row r="128" spans="1:12">
      <c r="A128" s="3" t="s">
        <v>316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340</v>
      </c>
      <c r="G128" s="5"/>
      <c r="H128" s="5"/>
      <c r="I128" s="5"/>
      <c r="J128" s="5"/>
      <c r="K128" s="5"/>
      <c r="L128" s="5"/>
    </row>
    <row r="129" spans="1:12">
      <c r="A129" s="3" t="s">
        <v>317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340</v>
      </c>
      <c r="G129" s="5"/>
      <c r="H129" s="5"/>
      <c r="I129" s="5"/>
      <c r="J129" s="5"/>
      <c r="K129" s="5"/>
      <c r="L129" s="5"/>
    </row>
    <row r="130" spans="1:12">
      <c r="A130" s="3" t="s">
        <v>318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340</v>
      </c>
      <c r="G130" s="5"/>
      <c r="H130" s="5"/>
      <c r="I130" s="5"/>
      <c r="J130" s="5"/>
      <c r="K130" s="5"/>
      <c r="L130" s="5"/>
    </row>
    <row r="131" spans="1:12">
      <c r="A131" s="3" t="s">
        <v>322</v>
      </c>
      <c r="B131" s="3" t="s">
        <v>17</v>
      </c>
      <c r="C131" s="3" t="s">
        <v>30</v>
      </c>
      <c r="D131" s="3" t="s">
        <v>212</v>
      </c>
      <c r="E131" s="3">
        <v>4</v>
      </c>
      <c r="F131" s="7" t="s">
        <v>340</v>
      </c>
      <c r="G131" s="5"/>
      <c r="H131" s="5"/>
      <c r="I131" s="5"/>
      <c r="J131" s="5"/>
      <c r="K131" s="5"/>
      <c r="L131" s="5"/>
    </row>
    <row r="132" spans="1:12">
      <c r="A132" s="3" t="s">
        <v>323</v>
      </c>
      <c r="B132" s="3" t="s">
        <v>17</v>
      </c>
      <c r="C132" s="3" t="s">
        <v>30</v>
      </c>
      <c r="D132" s="3" t="s">
        <v>212</v>
      </c>
      <c r="E132" s="3">
        <v>4</v>
      </c>
      <c r="F132" s="7" t="s">
        <v>340</v>
      </c>
      <c r="G132" s="5"/>
      <c r="H132" s="5"/>
      <c r="I132" s="5"/>
      <c r="J132" s="5"/>
      <c r="K132" s="5"/>
      <c r="L132" s="5"/>
    </row>
    <row r="133" spans="1:12">
      <c r="A133" s="3" t="s">
        <v>324</v>
      </c>
      <c r="B133" s="3" t="s">
        <v>17</v>
      </c>
      <c r="C133" s="3" t="s">
        <v>30</v>
      </c>
      <c r="D133" s="3" t="s">
        <v>212</v>
      </c>
      <c r="E133" s="3">
        <v>4</v>
      </c>
      <c r="F133" s="7" t="s">
        <v>340</v>
      </c>
      <c r="G133" s="5"/>
      <c r="H133" s="5"/>
      <c r="I133" s="5"/>
      <c r="J133" s="5"/>
      <c r="K133" s="5"/>
      <c r="L133" s="5"/>
    </row>
    <row r="134" spans="1:12">
      <c r="A134" s="3" t="s">
        <v>325</v>
      </c>
      <c r="B134" s="3" t="s">
        <v>17</v>
      </c>
      <c r="C134" s="3" t="s">
        <v>30</v>
      </c>
      <c r="D134" s="3" t="s">
        <v>212</v>
      </c>
      <c r="E134" s="3">
        <v>4</v>
      </c>
      <c r="F134" s="7" t="s">
        <v>340</v>
      </c>
      <c r="G134" s="5"/>
      <c r="H134" s="5"/>
      <c r="I134" s="5"/>
      <c r="J134" s="5"/>
      <c r="K134" s="5"/>
      <c r="L134" s="5"/>
    </row>
    <row r="135" spans="1:12">
      <c r="A135" s="3" t="s">
        <v>326</v>
      </c>
      <c r="B135" s="3" t="s">
        <v>17</v>
      </c>
      <c r="C135" s="3" t="s">
        <v>30</v>
      </c>
      <c r="D135" s="3" t="s">
        <v>212</v>
      </c>
      <c r="E135" s="3">
        <v>4</v>
      </c>
      <c r="F135" s="7" t="s">
        <v>340</v>
      </c>
      <c r="G135" s="5"/>
      <c r="H135" s="5"/>
      <c r="I135" s="5"/>
      <c r="J135" s="5"/>
      <c r="K135" s="5"/>
      <c r="L135" s="5"/>
    </row>
    <row r="136" spans="1:12">
      <c r="A136" s="3" t="s">
        <v>327</v>
      </c>
      <c r="B136" s="3" t="s">
        <v>17</v>
      </c>
      <c r="C136" s="3" t="s">
        <v>30</v>
      </c>
      <c r="D136" s="3" t="s">
        <v>212</v>
      </c>
      <c r="E136" s="3">
        <v>4</v>
      </c>
      <c r="F136" s="7" t="s">
        <v>340</v>
      </c>
      <c r="G136" s="5"/>
      <c r="H136" s="5"/>
      <c r="I136" s="5"/>
      <c r="J136" s="5"/>
      <c r="K136" s="5"/>
      <c r="L136" s="5"/>
    </row>
    <row r="137" spans="1:12">
      <c r="A137" s="3" t="s">
        <v>328</v>
      </c>
      <c r="B137" s="3" t="s">
        <v>17</v>
      </c>
      <c r="C137" s="3" t="s">
        <v>30</v>
      </c>
      <c r="D137" s="3" t="s">
        <v>212</v>
      </c>
      <c r="E137" s="3">
        <v>4</v>
      </c>
      <c r="F137" s="7" t="s">
        <v>340</v>
      </c>
      <c r="G137" s="5"/>
      <c r="H137" s="5"/>
      <c r="I137" s="5"/>
      <c r="J137" s="5"/>
      <c r="K137" s="5"/>
      <c r="L137" s="5"/>
    </row>
    <row r="138" spans="1:12">
      <c r="A138" s="3" t="s">
        <v>329</v>
      </c>
      <c r="B138" s="3" t="s">
        <v>17</v>
      </c>
      <c r="C138" s="3" t="s">
        <v>30</v>
      </c>
      <c r="D138" s="3" t="s">
        <v>212</v>
      </c>
      <c r="E138" s="3">
        <v>4</v>
      </c>
      <c r="F138" s="7" t="s">
        <v>340</v>
      </c>
      <c r="G138" s="5"/>
      <c r="H138" s="5"/>
      <c r="I138" s="5"/>
      <c r="J138" s="5"/>
      <c r="K138" s="5"/>
      <c r="L138" s="5"/>
    </row>
    <row r="139" spans="1:12">
      <c r="A139" s="3" t="s">
        <v>320</v>
      </c>
      <c r="B139" s="3" t="s">
        <v>17</v>
      </c>
      <c r="C139" s="3" t="s">
        <v>320</v>
      </c>
      <c r="D139" s="3" t="s">
        <v>254</v>
      </c>
      <c r="E139" s="3">
        <v>4</v>
      </c>
      <c r="F139" s="7" t="s">
        <v>340</v>
      </c>
      <c r="G139" s="5"/>
      <c r="H139" s="5"/>
      <c r="I139" s="5"/>
      <c r="J139" s="5"/>
      <c r="K139" s="5"/>
      <c r="L139" s="5"/>
    </row>
    <row r="140" spans="1:12">
      <c r="A140" s="3" t="s">
        <v>319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340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353</v>
      </c>
      <c r="G141" s="5"/>
      <c r="H141" s="5"/>
      <c r="I141" s="5"/>
      <c r="J141" s="5"/>
      <c r="K141" s="5"/>
      <c r="L141" s="5"/>
    </row>
    <row r="142" spans="1:12">
      <c r="A142" s="3" t="s">
        <v>330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353</v>
      </c>
      <c r="G142" s="5"/>
      <c r="H142" s="5"/>
      <c r="I142" s="5"/>
      <c r="J142" s="5"/>
      <c r="K142" s="5"/>
      <c r="L142" s="5"/>
    </row>
    <row r="143" spans="1:12">
      <c r="A143" s="3" t="s">
        <v>331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353</v>
      </c>
      <c r="G143" s="5"/>
      <c r="H143" s="5"/>
      <c r="I143" s="5"/>
      <c r="J143" s="5"/>
      <c r="K143" s="5"/>
      <c r="L143" s="5"/>
    </row>
    <row r="144" spans="1:12">
      <c r="A144" s="3" t="s">
        <v>332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353</v>
      </c>
      <c r="G144" s="5"/>
      <c r="H144" s="5"/>
      <c r="I144" s="5"/>
      <c r="J144" s="5"/>
      <c r="K144" s="5"/>
      <c r="L144" s="5"/>
    </row>
    <row r="145" spans="1:12">
      <c r="A145" s="3" t="s">
        <v>333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353</v>
      </c>
      <c r="G145" s="5"/>
      <c r="H145" s="5"/>
      <c r="I145" s="5"/>
      <c r="J145" s="5"/>
      <c r="K145" s="5"/>
      <c r="L145" s="5"/>
    </row>
    <row r="146" spans="1:12">
      <c r="A146" s="3" t="s">
        <v>334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353</v>
      </c>
      <c r="G146" s="5"/>
      <c r="H146" s="5"/>
      <c r="I146" s="5"/>
      <c r="J146" s="5"/>
      <c r="K146" s="5"/>
      <c r="L146" s="5"/>
    </row>
    <row r="147" spans="1:12">
      <c r="A147" s="3" t="s">
        <v>335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353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353</v>
      </c>
      <c r="G148" s="5"/>
      <c r="H148" s="5"/>
      <c r="I148" s="5"/>
      <c r="J148" s="5"/>
      <c r="K148" s="5"/>
      <c r="L148" s="5"/>
    </row>
    <row r="149" spans="1:12">
      <c r="A149" s="3" t="s">
        <v>336</v>
      </c>
      <c r="B149" s="3" t="s">
        <v>17</v>
      </c>
      <c r="C149" s="3" t="s">
        <v>32</v>
      </c>
      <c r="D149" s="3" t="s">
        <v>274</v>
      </c>
      <c r="E149" s="3">
        <v>3</v>
      </c>
      <c r="F149" s="7" t="s">
        <v>353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212</v>
      </c>
      <c r="E150" s="3">
        <v>3</v>
      </c>
      <c r="F150" s="7" t="s">
        <v>353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54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73" customWidth="1"/>
    <col min="2" max="2" width="7.5" style="73" customWidth="1"/>
    <col min="3" max="3" width="0.8984375" style="73" customWidth="1"/>
    <col min="4" max="4" width="4" style="73" customWidth="1"/>
    <col min="5" max="5" width="5.8984375" style="73" customWidth="1"/>
    <col min="6" max="6" width="5.59765625" style="73" customWidth="1"/>
    <col min="7" max="7" width="11.19921875" style="73" customWidth="1"/>
    <col min="8" max="8" width="9.09765625" style="73" customWidth="1"/>
    <col min="9" max="9" width="12.69921875" style="73" customWidth="1"/>
    <col min="10" max="10" width="1.3984375" style="73" customWidth="1"/>
    <col min="11" max="11" width="1" style="73" customWidth="1"/>
    <col min="12" max="12" width="10.69921875" style="73" customWidth="1"/>
    <col min="13" max="13" width="10.09765625" style="73" customWidth="1"/>
    <col min="14" max="14" width="16.59765625" style="73" customWidth="1"/>
    <col min="15" max="15" width="8.3984375" style="73" customWidth="1"/>
    <col min="16" max="16" width="9.5" style="73" customWidth="1"/>
    <col min="17" max="17" width="1.19921875" style="73" customWidth="1"/>
    <col min="18" max="18" width="0.5" style="73" customWidth="1"/>
    <col min="19" max="26" width="0" style="73" hidden="1" customWidth="1"/>
    <col min="27" max="16384" width="11" style="73" hidden="1"/>
  </cols>
  <sheetData>
    <row r="1" spans="2:26" ht="15.6"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2:26" ht="36.6" thickBot="1">
      <c r="B2" s="561" t="s">
        <v>371</v>
      </c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  <c r="R2" s="72"/>
      <c r="S2" s="72"/>
      <c r="T2" s="72"/>
      <c r="U2" s="72"/>
      <c r="V2" s="72"/>
      <c r="W2" s="72"/>
      <c r="X2" s="72"/>
      <c r="Y2" s="72"/>
      <c r="Z2" s="72"/>
    </row>
    <row r="3" spans="2:26" ht="24" customHeight="1" thickBot="1">
      <c r="B3" s="74" t="s">
        <v>372</v>
      </c>
      <c r="C3" s="563" t="s">
        <v>373</v>
      </c>
      <c r="D3" s="564"/>
      <c r="E3" s="564"/>
      <c r="F3" s="564"/>
      <c r="G3" s="564"/>
      <c r="H3" s="564"/>
      <c r="I3" s="564"/>
      <c r="J3" s="565"/>
      <c r="K3" s="566" t="s">
        <v>374</v>
      </c>
      <c r="L3" s="567"/>
      <c r="M3" s="567"/>
      <c r="N3" s="567"/>
      <c r="O3" s="567"/>
      <c r="P3" s="567"/>
      <c r="Q3" s="568"/>
      <c r="R3" s="72"/>
      <c r="S3" s="72"/>
      <c r="T3" s="72"/>
      <c r="U3" s="72"/>
      <c r="V3" s="72"/>
      <c r="W3" s="72"/>
      <c r="X3" s="72"/>
      <c r="Y3" s="72"/>
      <c r="Z3" s="72"/>
    </row>
    <row r="4" spans="2:26" ht="15.6">
      <c r="B4" s="526" t="s">
        <v>375</v>
      </c>
      <c r="C4" s="75" t="s">
        <v>376</v>
      </c>
      <c r="D4" s="76"/>
      <c r="E4" s="76"/>
      <c r="F4" s="76"/>
      <c r="G4" s="76"/>
      <c r="H4" s="76"/>
      <c r="I4" s="76"/>
      <c r="J4" s="77"/>
      <c r="K4" s="78" t="s">
        <v>376</v>
      </c>
      <c r="L4" s="76"/>
      <c r="M4" s="76"/>
      <c r="N4" s="76"/>
      <c r="O4" s="76"/>
      <c r="P4" s="76"/>
      <c r="Q4" s="77"/>
      <c r="R4" s="72"/>
      <c r="S4" s="72"/>
      <c r="T4" s="72"/>
      <c r="U4" s="72"/>
      <c r="V4" s="72"/>
      <c r="W4" s="72"/>
      <c r="X4" s="72"/>
      <c r="Y4" s="72"/>
      <c r="Z4" s="72"/>
    </row>
    <row r="5" spans="2:26" ht="18.75" customHeight="1">
      <c r="B5" s="513"/>
      <c r="C5" s="79"/>
      <c r="D5" s="532" t="s">
        <v>377</v>
      </c>
      <c r="E5" s="521"/>
      <c r="F5" s="521"/>
      <c r="G5" s="520"/>
      <c r="H5" s="536" t="s">
        <v>378</v>
      </c>
      <c r="I5" s="521"/>
      <c r="J5" s="80"/>
      <c r="K5" s="81"/>
      <c r="L5" s="532" t="s">
        <v>377</v>
      </c>
      <c r="M5" s="521"/>
      <c r="N5" s="520"/>
      <c r="O5" s="536" t="s">
        <v>379</v>
      </c>
      <c r="P5" s="521"/>
      <c r="Q5" s="80"/>
      <c r="R5" s="72"/>
      <c r="S5" s="72"/>
      <c r="T5" s="72"/>
      <c r="U5" s="72"/>
      <c r="V5" s="72"/>
      <c r="W5" s="72"/>
      <c r="X5" s="72"/>
      <c r="Y5" s="72"/>
      <c r="Z5" s="72"/>
    </row>
    <row r="6" spans="2:26" ht="18.75" customHeight="1">
      <c r="B6" s="513"/>
      <c r="C6" s="79"/>
      <c r="D6" s="532" t="s">
        <v>380</v>
      </c>
      <c r="E6" s="521"/>
      <c r="F6" s="521"/>
      <c r="G6" s="520"/>
      <c r="H6" s="536" t="s">
        <v>381</v>
      </c>
      <c r="I6" s="521"/>
      <c r="J6" s="80"/>
      <c r="K6" s="81"/>
      <c r="L6" s="532" t="s">
        <v>380</v>
      </c>
      <c r="M6" s="521"/>
      <c r="N6" s="520"/>
      <c r="O6" s="536" t="s">
        <v>382</v>
      </c>
      <c r="P6" s="521"/>
      <c r="Q6" s="80"/>
      <c r="R6" s="72"/>
      <c r="S6" s="72"/>
      <c r="T6" s="72"/>
      <c r="U6" s="72"/>
      <c r="V6" s="72"/>
      <c r="W6" s="72"/>
      <c r="X6" s="72"/>
      <c r="Y6" s="72"/>
      <c r="Z6" s="72"/>
    </row>
    <row r="7" spans="2:26" ht="18.75" customHeight="1">
      <c r="B7" s="513"/>
      <c r="C7" s="79"/>
      <c r="D7" s="532" t="s">
        <v>383</v>
      </c>
      <c r="E7" s="521"/>
      <c r="F7" s="521"/>
      <c r="G7" s="520"/>
      <c r="H7" s="536" t="s">
        <v>384</v>
      </c>
      <c r="I7" s="521"/>
      <c r="J7" s="80"/>
      <c r="K7" s="81"/>
      <c r="L7" s="532" t="s">
        <v>383</v>
      </c>
      <c r="M7" s="521"/>
      <c r="N7" s="520"/>
      <c r="O7" s="536" t="s">
        <v>385</v>
      </c>
      <c r="P7" s="521"/>
      <c r="Q7" s="80"/>
      <c r="R7" s="72"/>
      <c r="S7" s="72"/>
      <c r="T7" s="72"/>
      <c r="U7" s="72"/>
      <c r="V7" s="72"/>
      <c r="W7" s="72"/>
      <c r="X7" s="72"/>
      <c r="Y7" s="72"/>
      <c r="Z7" s="72"/>
    </row>
    <row r="8" spans="2:26" ht="18.75" customHeight="1">
      <c r="B8" s="513"/>
      <c r="C8" s="79"/>
      <c r="D8" s="532" t="s">
        <v>386</v>
      </c>
      <c r="E8" s="521"/>
      <c r="F8" s="521"/>
      <c r="G8" s="520"/>
      <c r="H8" s="536" t="s">
        <v>387</v>
      </c>
      <c r="I8" s="521"/>
      <c r="J8" s="80"/>
      <c r="K8" s="81"/>
      <c r="L8" s="532" t="s">
        <v>386</v>
      </c>
      <c r="M8" s="521"/>
      <c r="N8" s="520"/>
      <c r="O8" s="536" t="s">
        <v>387</v>
      </c>
      <c r="P8" s="521"/>
      <c r="Q8" s="80"/>
      <c r="R8" s="72"/>
      <c r="S8" s="72"/>
      <c r="T8" s="72"/>
      <c r="U8" s="72"/>
      <c r="V8" s="72"/>
      <c r="W8" s="72"/>
      <c r="X8" s="72"/>
      <c r="Y8" s="72"/>
      <c r="Z8" s="72"/>
    </row>
    <row r="9" spans="2:26" ht="8.25" customHeight="1" thickBot="1">
      <c r="B9" s="514"/>
      <c r="C9" s="82"/>
      <c r="D9" s="83"/>
      <c r="E9" s="83"/>
      <c r="F9" s="83"/>
      <c r="G9" s="83"/>
      <c r="H9" s="83"/>
      <c r="I9" s="83"/>
      <c r="J9" s="84"/>
      <c r="K9" s="85"/>
      <c r="L9" s="83"/>
      <c r="M9" s="83"/>
      <c r="N9" s="83"/>
      <c r="O9" s="83"/>
      <c r="P9" s="83"/>
      <c r="Q9" s="84"/>
      <c r="R9" s="72"/>
      <c r="S9" s="72"/>
      <c r="T9" s="72"/>
      <c r="U9" s="72"/>
      <c r="V9" s="72"/>
      <c r="W9" s="72"/>
      <c r="X9" s="72"/>
      <c r="Y9" s="72"/>
      <c r="Z9" s="72"/>
    </row>
    <row r="10" spans="2:26" ht="6.75" customHeight="1">
      <c r="B10" s="526" t="s">
        <v>388</v>
      </c>
      <c r="C10" s="75"/>
      <c r="D10" s="76"/>
      <c r="E10" s="76"/>
      <c r="F10" s="76"/>
      <c r="G10" s="76"/>
      <c r="H10" s="76"/>
      <c r="I10" s="76"/>
      <c r="J10" s="77"/>
      <c r="K10" s="78"/>
      <c r="L10" s="76"/>
      <c r="M10" s="76"/>
      <c r="N10" s="76"/>
      <c r="O10" s="76"/>
      <c r="P10" s="76"/>
      <c r="Q10" s="77"/>
      <c r="R10" s="72"/>
      <c r="S10" s="72"/>
      <c r="T10" s="72"/>
      <c r="U10" s="72"/>
      <c r="V10" s="72"/>
      <c r="W10" s="72"/>
      <c r="X10" s="72"/>
      <c r="Y10" s="72"/>
      <c r="Z10" s="72"/>
    </row>
    <row r="11" spans="2:26" ht="16.5" customHeight="1">
      <c r="B11" s="513"/>
      <c r="C11" s="79"/>
      <c r="D11" s="532" t="s">
        <v>321</v>
      </c>
      <c r="E11" s="521"/>
      <c r="F11" s="521"/>
      <c r="G11" s="536" t="s">
        <v>389</v>
      </c>
      <c r="H11" s="521"/>
      <c r="I11" s="521"/>
      <c r="J11" s="80"/>
      <c r="K11" s="81"/>
      <c r="L11" s="557" t="s">
        <v>321</v>
      </c>
      <c r="M11" s="558"/>
      <c r="N11" s="559" t="s">
        <v>390</v>
      </c>
      <c r="O11" s="560"/>
      <c r="P11" s="560"/>
      <c r="Q11" s="80"/>
      <c r="R11" s="72"/>
      <c r="S11" s="72"/>
      <c r="T11" s="72"/>
      <c r="U11" s="72"/>
      <c r="V11" s="72"/>
      <c r="W11" s="72"/>
      <c r="X11" s="72"/>
      <c r="Y11" s="72"/>
      <c r="Z11" s="72"/>
    </row>
    <row r="12" spans="2:26" ht="16.5" customHeight="1">
      <c r="B12" s="513"/>
      <c r="C12" s="79"/>
      <c r="D12" s="532" t="s">
        <v>391</v>
      </c>
      <c r="E12" s="521"/>
      <c r="F12" s="521"/>
      <c r="G12" s="536" t="s">
        <v>392</v>
      </c>
      <c r="H12" s="521"/>
      <c r="I12" s="521"/>
      <c r="J12" s="80"/>
      <c r="K12" s="81"/>
      <c r="L12" s="541"/>
      <c r="M12" s="518"/>
      <c r="N12" s="535"/>
      <c r="O12" s="541"/>
      <c r="P12" s="541"/>
      <c r="Q12" s="80"/>
      <c r="R12" s="72"/>
      <c r="S12" s="72"/>
      <c r="T12" s="72"/>
      <c r="U12" s="72"/>
      <c r="V12" s="72"/>
      <c r="W12" s="72"/>
      <c r="X12" s="72"/>
      <c r="Y12" s="72"/>
      <c r="Z12" s="72"/>
    </row>
    <row r="13" spans="2:26" ht="16.5" customHeight="1">
      <c r="B13" s="513"/>
      <c r="C13" s="79"/>
      <c r="D13" s="532" t="s">
        <v>393</v>
      </c>
      <c r="E13" s="521"/>
      <c r="F13" s="521"/>
      <c r="G13" s="536" t="s">
        <v>394</v>
      </c>
      <c r="H13" s="521"/>
      <c r="I13" s="521"/>
      <c r="J13" s="80"/>
      <c r="K13" s="81"/>
      <c r="L13" s="532" t="s">
        <v>395</v>
      </c>
      <c r="M13" s="520"/>
      <c r="N13" s="536" t="s">
        <v>394</v>
      </c>
      <c r="O13" s="521"/>
      <c r="P13" s="521"/>
      <c r="Q13" s="80"/>
      <c r="R13" s="72"/>
      <c r="S13" s="72"/>
      <c r="T13" s="72"/>
      <c r="U13" s="72"/>
      <c r="V13" s="72"/>
      <c r="W13" s="72"/>
      <c r="X13" s="72"/>
      <c r="Y13" s="72"/>
      <c r="Z13" s="72"/>
    </row>
    <row r="14" spans="2:26" ht="6.75" customHeight="1" thickBot="1">
      <c r="B14" s="514"/>
      <c r="C14" s="82"/>
      <c r="D14" s="83"/>
      <c r="E14" s="83"/>
      <c r="F14" s="83"/>
      <c r="G14" s="83"/>
      <c r="H14" s="83"/>
      <c r="I14" s="83"/>
      <c r="J14" s="84"/>
      <c r="K14" s="85"/>
      <c r="L14" s="83"/>
      <c r="M14" s="83"/>
      <c r="N14" s="83"/>
      <c r="O14" s="83"/>
      <c r="P14" s="83"/>
      <c r="Q14" s="84"/>
      <c r="R14" s="72"/>
      <c r="S14" s="72"/>
      <c r="T14" s="72"/>
      <c r="U14" s="72"/>
      <c r="V14" s="72"/>
      <c r="W14" s="72"/>
      <c r="X14" s="72"/>
      <c r="Y14" s="72"/>
      <c r="Z14" s="72"/>
    </row>
    <row r="15" spans="2:26" ht="6.75" customHeight="1">
      <c r="B15" s="526" t="s">
        <v>396</v>
      </c>
      <c r="C15" s="75"/>
      <c r="D15" s="76"/>
      <c r="E15" s="76"/>
      <c r="F15" s="76"/>
      <c r="G15" s="76"/>
      <c r="H15" s="76"/>
      <c r="I15" s="76"/>
      <c r="J15" s="77"/>
      <c r="K15" s="78"/>
      <c r="L15" s="76"/>
      <c r="M15" s="76"/>
      <c r="N15" s="76"/>
      <c r="O15" s="76"/>
      <c r="P15" s="76"/>
      <c r="Q15" s="77"/>
      <c r="R15" s="72"/>
      <c r="S15" s="72"/>
      <c r="T15" s="72"/>
      <c r="U15" s="72"/>
      <c r="V15" s="72"/>
      <c r="W15" s="72"/>
      <c r="X15" s="72"/>
      <c r="Y15" s="72"/>
      <c r="Z15" s="72"/>
    </row>
    <row r="16" spans="2:26" ht="20.25" customHeight="1">
      <c r="B16" s="513"/>
      <c r="C16" s="79"/>
      <c r="D16" s="532" t="s">
        <v>397</v>
      </c>
      <c r="E16" s="521"/>
      <c r="F16" s="521"/>
      <c r="G16" s="520"/>
      <c r="H16" s="536">
        <v>1</v>
      </c>
      <c r="I16" s="521"/>
      <c r="J16" s="80"/>
      <c r="K16" s="81"/>
      <c r="L16" s="532" t="s">
        <v>397</v>
      </c>
      <c r="M16" s="521"/>
      <c r="N16" s="520"/>
      <c r="O16" s="536" t="s">
        <v>398</v>
      </c>
      <c r="P16" s="521"/>
      <c r="Q16" s="80"/>
      <c r="R16" s="72"/>
      <c r="S16" s="72"/>
      <c r="T16" s="72"/>
      <c r="U16" s="72"/>
      <c r="V16" s="72"/>
      <c r="W16" s="72"/>
      <c r="X16" s="72"/>
      <c r="Y16" s="72"/>
      <c r="Z16" s="72"/>
    </row>
    <row r="17" spans="2:26" ht="20.25" customHeight="1">
      <c r="B17" s="513"/>
      <c r="C17" s="79"/>
      <c r="D17" s="532" t="s">
        <v>399</v>
      </c>
      <c r="E17" s="521"/>
      <c r="F17" s="521"/>
      <c r="G17" s="520"/>
      <c r="H17" s="536">
        <v>179</v>
      </c>
      <c r="I17" s="521"/>
      <c r="J17" s="80"/>
      <c r="K17" s="81"/>
      <c r="L17" s="532" t="s">
        <v>400</v>
      </c>
      <c r="M17" s="521"/>
      <c r="N17" s="520"/>
      <c r="O17" s="536" t="s">
        <v>401</v>
      </c>
      <c r="P17" s="521"/>
      <c r="Q17" s="80"/>
      <c r="R17" s="72"/>
      <c r="S17" s="72"/>
      <c r="T17" s="72"/>
      <c r="U17" s="72"/>
      <c r="V17" s="72"/>
      <c r="W17" s="72"/>
      <c r="X17" s="72"/>
      <c r="Y17" s="72"/>
      <c r="Z17" s="72"/>
    </row>
    <row r="18" spans="2:26" ht="20.25" customHeight="1">
      <c r="B18" s="513"/>
      <c r="C18" s="79"/>
      <c r="D18" s="532" t="s">
        <v>402</v>
      </c>
      <c r="E18" s="521"/>
      <c r="F18" s="521"/>
      <c r="G18" s="520"/>
      <c r="H18" s="536">
        <v>368</v>
      </c>
      <c r="I18" s="521"/>
      <c r="J18" s="80"/>
      <c r="K18" s="81"/>
      <c r="L18" s="532" t="s">
        <v>403</v>
      </c>
      <c r="M18" s="521"/>
      <c r="N18" s="520"/>
      <c r="O18" s="536" t="s">
        <v>404</v>
      </c>
      <c r="P18" s="521"/>
      <c r="Q18" s="80"/>
      <c r="R18" s="72"/>
      <c r="S18" s="72"/>
      <c r="T18" s="72"/>
      <c r="U18" s="72"/>
      <c r="V18" s="72"/>
      <c r="W18" s="72"/>
      <c r="X18" s="72"/>
      <c r="Y18" s="72"/>
      <c r="Z18" s="72"/>
    </row>
    <row r="19" spans="2:26" ht="20.25" customHeight="1">
      <c r="B19" s="513"/>
      <c r="C19" s="79"/>
      <c r="D19" s="532" t="s">
        <v>405</v>
      </c>
      <c r="E19" s="521"/>
      <c r="F19" s="521"/>
      <c r="G19" s="520"/>
      <c r="H19" s="536">
        <v>548</v>
      </c>
      <c r="I19" s="521"/>
      <c r="J19" s="80"/>
      <c r="K19" s="81"/>
      <c r="L19" s="532" t="s">
        <v>405</v>
      </c>
      <c r="M19" s="521"/>
      <c r="N19" s="520"/>
      <c r="O19" s="536" t="s">
        <v>406</v>
      </c>
      <c r="P19" s="521"/>
      <c r="Q19" s="80"/>
      <c r="R19" s="72"/>
      <c r="S19" s="72"/>
      <c r="T19" s="72"/>
      <c r="U19" s="72"/>
      <c r="V19" s="72"/>
      <c r="W19" s="72"/>
      <c r="X19" s="72"/>
      <c r="Y19" s="72"/>
      <c r="Z19" s="72"/>
    </row>
    <row r="20" spans="2:26" ht="5.25" customHeight="1" thickBot="1">
      <c r="B20" s="514"/>
      <c r="C20" s="82"/>
      <c r="D20" s="83"/>
      <c r="E20" s="83"/>
      <c r="F20" s="83"/>
      <c r="G20" s="83"/>
      <c r="H20" s="83"/>
      <c r="I20" s="83"/>
      <c r="J20" s="84"/>
      <c r="K20" s="85"/>
      <c r="L20" s="83"/>
      <c r="M20" s="83"/>
      <c r="N20" s="83"/>
      <c r="O20" s="83"/>
      <c r="P20" s="83"/>
      <c r="Q20" s="84"/>
      <c r="R20" s="72"/>
      <c r="S20" s="72"/>
      <c r="T20" s="72"/>
      <c r="U20" s="72"/>
      <c r="V20" s="72"/>
      <c r="W20" s="72"/>
      <c r="X20" s="72"/>
      <c r="Y20" s="72"/>
      <c r="Z20" s="72"/>
    </row>
    <row r="21" spans="2:26" ht="5.25" customHeight="1">
      <c r="B21" s="526" t="s">
        <v>407</v>
      </c>
      <c r="C21" s="75"/>
      <c r="D21" s="76"/>
      <c r="E21" s="76"/>
      <c r="F21" s="76"/>
      <c r="G21" s="76"/>
      <c r="H21" s="76"/>
      <c r="I21" s="76"/>
      <c r="J21" s="77"/>
      <c r="K21" s="78"/>
      <c r="L21" s="76"/>
      <c r="M21" s="76"/>
      <c r="N21" s="76"/>
      <c r="O21" s="76"/>
      <c r="P21" s="76"/>
      <c r="Q21" s="77"/>
      <c r="R21" s="72"/>
      <c r="S21" s="72"/>
      <c r="T21" s="72"/>
      <c r="U21" s="72"/>
      <c r="V21" s="72"/>
      <c r="W21" s="72"/>
      <c r="X21" s="72"/>
      <c r="Y21" s="72"/>
      <c r="Z21" s="72"/>
    </row>
    <row r="22" spans="2:26" ht="31.8" thickBot="1">
      <c r="B22" s="513"/>
      <c r="C22" s="79"/>
      <c r="D22" s="86"/>
      <c r="E22" s="87"/>
      <c r="F22" s="88" t="s">
        <v>408</v>
      </c>
      <c r="G22" s="88" t="s">
        <v>409</v>
      </c>
      <c r="H22" s="88" t="s">
        <v>410</v>
      </c>
      <c r="I22" s="89" t="s">
        <v>411</v>
      </c>
      <c r="J22" s="90"/>
      <c r="K22" s="91"/>
      <c r="L22" s="86"/>
      <c r="M22" s="88" t="s">
        <v>409</v>
      </c>
      <c r="N22" s="88" t="s">
        <v>412</v>
      </c>
      <c r="O22" s="549" t="s">
        <v>411</v>
      </c>
      <c r="P22" s="550"/>
      <c r="Q22" s="80"/>
      <c r="R22" s="72"/>
      <c r="S22" s="72"/>
      <c r="T22" s="72"/>
      <c r="U22" s="72"/>
      <c r="V22" s="72"/>
      <c r="W22" s="72"/>
      <c r="X22" s="72"/>
      <c r="Y22" s="72"/>
      <c r="Z22" s="72"/>
    </row>
    <row r="23" spans="2:26" ht="16.2" thickTop="1">
      <c r="B23" s="513"/>
      <c r="C23" s="79"/>
      <c r="D23" s="537" t="s">
        <v>409</v>
      </c>
      <c r="E23" s="551" t="s">
        <v>413</v>
      </c>
      <c r="F23" s="551" t="s">
        <v>414</v>
      </c>
      <c r="G23" s="92" t="s">
        <v>415</v>
      </c>
      <c r="H23" s="92" t="s">
        <v>416</v>
      </c>
      <c r="I23" s="539">
        <v>24</v>
      </c>
      <c r="J23" s="90"/>
      <c r="K23" s="91"/>
      <c r="L23" s="537" t="s">
        <v>417</v>
      </c>
      <c r="M23" s="93" t="s">
        <v>415</v>
      </c>
      <c r="N23" s="93" t="s">
        <v>418</v>
      </c>
      <c r="O23" s="539">
        <v>24</v>
      </c>
      <c r="P23" s="540"/>
      <c r="Q23" s="80"/>
      <c r="R23" s="72"/>
      <c r="S23" s="72"/>
      <c r="T23" s="72"/>
      <c r="U23" s="72"/>
      <c r="V23" s="72"/>
      <c r="W23" s="72"/>
      <c r="X23" s="72"/>
      <c r="Y23" s="72"/>
      <c r="Z23" s="72"/>
    </row>
    <row r="24" spans="2:26" ht="15.6">
      <c r="B24" s="513"/>
      <c r="C24" s="79"/>
      <c r="D24" s="538"/>
      <c r="E24" s="552"/>
      <c r="F24" s="552"/>
      <c r="G24" s="94" t="s">
        <v>419</v>
      </c>
      <c r="H24" s="94" t="s">
        <v>420</v>
      </c>
      <c r="I24" s="534"/>
      <c r="J24" s="90"/>
      <c r="K24" s="91"/>
      <c r="L24" s="538"/>
      <c r="M24" s="95" t="s">
        <v>419</v>
      </c>
      <c r="N24" s="95" t="s">
        <v>421</v>
      </c>
      <c r="O24" s="534"/>
      <c r="P24" s="511"/>
      <c r="Q24" s="80"/>
      <c r="R24" s="72"/>
      <c r="S24" s="72"/>
      <c r="T24" s="72"/>
      <c r="U24" s="72"/>
      <c r="V24" s="72"/>
      <c r="W24" s="72"/>
      <c r="X24" s="72"/>
      <c r="Y24" s="72"/>
      <c r="Z24" s="72"/>
    </row>
    <row r="25" spans="2:26" ht="15.6">
      <c r="B25" s="513"/>
      <c r="C25" s="79"/>
      <c r="D25" s="538"/>
      <c r="E25" s="552"/>
      <c r="F25" s="552"/>
      <c r="G25" s="94" t="s">
        <v>422</v>
      </c>
      <c r="H25" s="94" t="s">
        <v>423</v>
      </c>
      <c r="I25" s="553"/>
      <c r="J25" s="90"/>
      <c r="K25" s="91"/>
      <c r="L25" s="538"/>
      <c r="M25" s="95" t="s">
        <v>422</v>
      </c>
      <c r="N25" s="95" t="s">
        <v>424</v>
      </c>
      <c r="O25" s="535"/>
      <c r="P25" s="541"/>
      <c r="Q25" s="80"/>
      <c r="R25" s="72"/>
      <c r="S25" s="72"/>
      <c r="T25" s="72"/>
      <c r="U25" s="72"/>
      <c r="V25" s="72"/>
      <c r="W25" s="72"/>
      <c r="X25" s="72"/>
      <c r="Y25" s="72"/>
      <c r="Z25" s="72"/>
    </row>
    <row r="26" spans="2:26" ht="15.6">
      <c r="B26" s="513"/>
      <c r="C26" s="79"/>
      <c r="D26" s="538"/>
      <c r="E26" s="552"/>
      <c r="F26" s="509"/>
      <c r="G26" s="96" t="s">
        <v>425</v>
      </c>
      <c r="H26" s="96" t="s">
        <v>426</v>
      </c>
      <c r="I26" s="97">
        <v>6</v>
      </c>
      <c r="J26" s="90"/>
      <c r="K26" s="91"/>
      <c r="L26" s="538"/>
      <c r="M26" s="542" t="s">
        <v>427</v>
      </c>
      <c r="N26" s="98" t="s">
        <v>428</v>
      </c>
      <c r="O26" s="543">
        <v>6</v>
      </c>
      <c r="P26" s="544"/>
      <c r="Q26" s="80"/>
      <c r="R26" s="72"/>
      <c r="S26" s="72"/>
      <c r="T26" s="72"/>
      <c r="U26" s="72"/>
      <c r="V26" s="72"/>
      <c r="W26" s="72"/>
      <c r="X26" s="72"/>
      <c r="Y26" s="72"/>
      <c r="Z26" s="72"/>
    </row>
    <row r="27" spans="2:26" ht="46.8">
      <c r="B27" s="513"/>
      <c r="C27" s="79"/>
      <c r="D27" s="538"/>
      <c r="E27" s="552"/>
      <c r="F27" s="542" t="s">
        <v>429</v>
      </c>
      <c r="G27" s="98" t="s">
        <v>427</v>
      </c>
      <c r="H27" s="98" t="s">
        <v>430</v>
      </c>
      <c r="I27" s="545">
        <v>12</v>
      </c>
      <c r="J27" s="90"/>
      <c r="K27" s="91"/>
      <c r="L27" s="538"/>
      <c r="M27" s="509"/>
      <c r="N27" s="96" t="s">
        <v>431</v>
      </c>
      <c r="O27" s="546">
        <v>12</v>
      </c>
      <c r="P27" s="547"/>
      <c r="Q27" s="80"/>
      <c r="R27" s="72"/>
      <c r="S27" s="72"/>
      <c r="T27" s="72"/>
      <c r="U27" s="72"/>
      <c r="V27" s="72"/>
      <c r="W27" s="72"/>
      <c r="X27" s="72"/>
      <c r="Y27" s="72"/>
      <c r="Z27" s="72"/>
    </row>
    <row r="28" spans="2:26" ht="31.2">
      <c r="B28" s="513"/>
      <c r="C28" s="79"/>
      <c r="D28" s="538"/>
      <c r="E28" s="552"/>
      <c r="F28" s="509"/>
      <c r="G28" s="96" t="s">
        <v>432</v>
      </c>
      <c r="H28" s="96" t="s">
        <v>433</v>
      </c>
      <c r="I28" s="535"/>
      <c r="J28" s="90"/>
      <c r="K28" s="91"/>
      <c r="L28" s="538"/>
      <c r="M28" s="95" t="s">
        <v>432</v>
      </c>
      <c r="N28" s="95" t="s">
        <v>434</v>
      </c>
      <c r="O28" s="535"/>
      <c r="P28" s="541"/>
      <c r="Q28" s="80"/>
      <c r="R28" s="72"/>
      <c r="S28" s="72"/>
      <c r="T28" s="72"/>
      <c r="U28" s="72"/>
      <c r="V28" s="72"/>
      <c r="W28" s="72"/>
      <c r="X28" s="72"/>
      <c r="Y28" s="72"/>
      <c r="Z28" s="72"/>
    </row>
    <row r="29" spans="2:26" ht="15.6">
      <c r="B29" s="513"/>
      <c r="C29" s="79"/>
      <c r="D29" s="538"/>
      <c r="E29" s="552"/>
      <c r="F29" s="542" t="s">
        <v>435</v>
      </c>
      <c r="G29" s="98" t="s">
        <v>436</v>
      </c>
      <c r="H29" s="99"/>
      <c r="I29" s="100">
        <v>8</v>
      </c>
      <c r="J29" s="90"/>
      <c r="K29" s="91"/>
      <c r="L29" s="538"/>
      <c r="M29" s="95" t="s">
        <v>436</v>
      </c>
      <c r="N29" s="101"/>
      <c r="O29" s="548">
        <v>8</v>
      </c>
      <c r="P29" s="521"/>
      <c r="Q29" s="80"/>
      <c r="R29" s="72"/>
      <c r="S29" s="72"/>
      <c r="T29" s="72"/>
      <c r="U29" s="72"/>
      <c r="V29" s="72"/>
      <c r="W29" s="72"/>
      <c r="X29" s="72"/>
      <c r="Y29" s="72"/>
      <c r="Z29" s="72"/>
    </row>
    <row r="30" spans="2:26" ht="15.6">
      <c r="B30" s="513"/>
      <c r="C30" s="79"/>
      <c r="D30" s="538"/>
      <c r="E30" s="552"/>
      <c r="F30" s="509"/>
      <c r="G30" s="96" t="s">
        <v>437</v>
      </c>
      <c r="H30" s="102"/>
      <c r="I30" s="97">
        <v>6</v>
      </c>
      <c r="J30" s="90"/>
      <c r="K30" s="91"/>
      <c r="L30" s="538"/>
      <c r="M30" s="95" t="s">
        <v>437</v>
      </c>
      <c r="N30" s="101"/>
      <c r="O30" s="548">
        <v>6</v>
      </c>
      <c r="P30" s="521"/>
      <c r="Q30" s="80"/>
      <c r="R30" s="72"/>
      <c r="S30" s="72"/>
      <c r="T30" s="72"/>
      <c r="U30" s="72"/>
      <c r="V30" s="72"/>
      <c r="W30" s="72"/>
      <c r="X30" s="72"/>
      <c r="Y30" s="72"/>
      <c r="Z30" s="72"/>
    </row>
    <row r="31" spans="2:26" ht="62.4">
      <c r="B31" s="513"/>
      <c r="C31" s="79"/>
      <c r="D31" s="538"/>
      <c r="E31" s="552"/>
      <c r="F31" s="95" t="s">
        <v>438</v>
      </c>
      <c r="G31" s="95" t="s">
        <v>439</v>
      </c>
      <c r="H31" s="101"/>
      <c r="I31" s="103">
        <v>10</v>
      </c>
      <c r="J31" s="90"/>
      <c r="K31" s="91"/>
      <c r="L31" s="538"/>
      <c r="M31" s="95" t="s">
        <v>440</v>
      </c>
      <c r="N31" s="101"/>
      <c r="O31" s="548">
        <v>8</v>
      </c>
      <c r="P31" s="521"/>
      <c r="Q31" s="80"/>
      <c r="R31" s="72"/>
      <c r="S31" s="72"/>
      <c r="T31" s="72"/>
      <c r="U31" s="72"/>
      <c r="V31" s="72"/>
      <c r="W31" s="72"/>
      <c r="X31" s="72"/>
      <c r="Y31" s="72"/>
      <c r="Z31" s="72"/>
    </row>
    <row r="32" spans="2:26" ht="18.75" customHeight="1">
      <c r="B32" s="513"/>
      <c r="C32" s="79"/>
      <c r="D32" s="538"/>
      <c r="E32" s="509"/>
      <c r="F32" s="556" t="s">
        <v>405</v>
      </c>
      <c r="G32" s="521"/>
      <c r="H32" s="520"/>
      <c r="I32" s="104">
        <v>66</v>
      </c>
      <c r="J32" s="90"/>
      <c r="K32" s="91"/>
      <c r="L32" s="518"/>
      <c r="M32" s="556" t="s">
        <v>405</v>
      </c>
      <c r="N32" s="520"/>
      <c r="O32" s="529">
        <v>64</v>
      </c>
      <c r="P32" s="521"/>
      <c r="Q32" s="80"/>
      <c r="R32" s="72"/>
      <c r="S32" s="72"/>
      <c r="T32" s="72"/>
      <c r="U32" s="72"/>
      <c r="V32" s="72"/>
      <c r="W32" s="72"/>
      <c r="X32" s="72"/>
      <c r="Y32" s="72"/>
      <c r="Z32" s="72"/>
    </row>
    <row r="33" spans="2:26" ht="35.25" customHeight="1">
      <c r="B33" s="513"/>
      <c r="C33" s="79"/>
      <c r="D33" s="518"/>
      <c r="E33" s="105" t="s">
        <v>441</v>
      </c>
      <c r="F33" s="556" t="s">
        <v>442</v>
      </c>
      <c r="G33" s="521"/>
      <c r="H33" s="520"/>
      <c r="I33" s="104">
        <v>86</v>
      </c>
      <c r="J33" s="90"/>
      <c r="K33" s="91"/>
      <c r="L33" s="106" t="s">
        <v>443</v>
      </c>
      <c r="M33" s="556" t="s">
        <v>444</v>
      </c>
      <c r="N33" s="520"/>
      <c r="O33" s="529">
        <v>80</v>
      </c>
      <c r="P33" s="521"/>
      <c r="Q33" s="80"/>
      <c r="R33" s="72"/>
      <c r="S33" s="72"/>
      <c r="T33" s="72"/>
      <c r="U33" s="72"/>
      <c r="V33" s="72"/>
      <c r="W33" s="72"/>
      <c r="X33" s="72"/>
      <c r="Y33" s="72"/>
      <c r="Z33" s="72"/>
    </row>
    <row r="34" spans="2:26" ht="21.75" customHeight="1">
      <c r="B34" s="513"/>
      <c r="C34" s="79"/>
      <c r="D34" s="554" t="s">
        <v>383</v>
      </c>
      <c r="E34" s="521"/>
      <c r="F34" s="521"/>
      <c r="G34" s="521"/>
      <c r="H34" s="520"/>
      <c r="I34" s="107">
        <v>22</v>
      </c>
      <c r="J34" s="90"/>
      <c r="K34" s="91"/>
      <c r="L34" s="554" t="s">
        <v>383</v>
      </c>
      <c r="M34" s="521"/>
      <c r="N34" s="520"/>
      <c r="O34" s="555">
        <v>30</v>
      </c>
      <c r="P34" s="521"/>
      <c r="Q34" s="80"/>
      <c r="R34" s="72"/>
      <c r="S34" s="72"/>
      <c r="T34" s="72"/>
      <c r="U34" s="72"/>
      <c r="V34" s="72"/>
      <c r="W34" s="72"/>
      <c r="X34" s="72"/>
      <c r="Y34" s="72"/>
      <c r="Z34" s="72"/>
    </row>
    <row r="35" spans="2:26" ht="24" customHeight="1">
      <c r="B35" s="513"/>
      <c r="C35" s="79"/>
      <c r="D35" s="554" t="s">
        <v>386</v>
      </c>
      <c r="E35" s="521"/>
      <c r="F35" s="521"/>
      <c r="G35" s="521"/>
      <c r="H35" s="520"/>
      <c r="I35" s="107">
        <v>18</v>
      </c>
      <c r="J35" s="90"/>
      <c r="K35" s="91"/>
      <c r="L35" s="554" t="s">
        <v>386</v>
      </c>
      <c r="M35" s="521"/>
      <c r="N35" s="520"/>
      <c r="O35" s="555">
        <v>18</v>
      </c>
      <c r="P35" s="521"/>
      <c r="Q35" s="80"/>
      <c r="R35" s="72"/>
      <c r="S35" s="72"/>
      <c r="T35" s="72"/>
      <c r="U35" s="72"/>
      <c r="V35" s="72"/>
      <c r="W35" s="72"/>
      <c r="X35" s="72"/>
      <c r="Y35" s="72"/>
      <c r="Z35" s="72"/>
    </row>
    <row r="36" spans="2:26" ht="15.6">
      <c r="B36" s="513"/>
      <c r="C36" s="79"/>
      <c r="D36" s="528" t="s">
        <v>445</v>
      </c>
      <c r="E36" s="521"/>
      <c r="F36" s="521"/>
      <c r="G36" s="521"/>
      <c r="H36" s="520"/>
      <c r="I36" s="104">
        <v>192</v>
      </c>
      <c r="J36" s="90"/>
      <c r="K36" s="91"/>
      <c r="L36" s="528" t="s">
        <v>445</v>
      </c>
      <c r="M36" s="521"/>
      <c r="N36" s="520"/>
      <c r="O36" s="529">
        <v>192</v>
      </c>
      <c r="P36" s="521"/>
      <c r="Q36" s="80"/>
      <c r="R36" s="72"/>
      <c r="S36" s="72"/>
      <c r="T36" s="72"/>
      <c r="U36" s="72"/>
      <c r="V36" s="72"/>
      <c r="W36" s="72"/>
      <c r="X36" s="72"/>
      <c r="Y36" s="72"/>
      <c r="Z36" s="72"/>
    </row>
    <row r="37" spans="2:26" ht="5.25" customHeight="1" thickBot="1">
      <c r="B37" s="514"/>
      <c r="C37" s="82"/>
      <c r="D37" s="83"/>
      <c r="E37" s="83"/>
      <c r="F37" s="83"/>
      <c r="G37" s="83"/>
      <c r="H37" s="83"/>
      <c r="I37" s="83"/>
      <c r="J37" s="84"/>
      <c r="K37" s="85"/>
      <c r="L37" s="83"/>
      <c r="M37" s="83"/>
      <c r="N37" s="83"/>
      <c r="O37" s="83"/>
      <c r="P37" s="83"/>
      <c r="Q37" s="84"/>
      <c r="R37" s="72"/>
      <c r="S37" s="72"/>
      <c r="T37" s="72"/>
      <c r="U37" s="72"/>
      <c r="V37" s="72"/>
      <c r="W37" s="72"/>
      <c r="X37" s="72"/>
      <c r="Y37" s="72"/>
      <c r="Z37" s="72"/>
    </row>
    <row r="38" spans="2:26" ht="5.25" customHeight="1">
      <c r="B38" s="526" t="s">
        <v>446</v>
      </c>
      <c r="C38" s="75"/>
      <c r="D38" s="76"/>
      <c r="E38" s="76"/>
      <c r="F38" s="76"/>
      <c r="G38" s="76"/>
      <c r="H38" s="76"/>
      <c r="I38" s="76"/>
      <c r="J38" s="77"/>
      <c r="K38" s="78"/>
      <c r="L38" s="76"/>
      <c r="M38" s="76"/>
      <c r="N38" s="76"/>
      <c r="O38" s="76"/>
      <c r="P38" s="76"/>
      <c r="Q38" s="77"/>
      <c r="R38" s="72"/>
      <c r="S38" s="72"/>
      <c r="T38" s="72"/>
      <c r="U38" s="72"/>
      <c r="V38" s="72"/>
      <c r="W38" s="72"/>
      <c r="X38" s="72"/>
      <c r="Y38" s="72"/>
      <c r="Z38" s="72"/>
    </row>
    <row r="39" spans="2:26" ht="15.6">
      <c r="B39" s="513"/>
      <c r="C39" s="79" t="s">
        <v>447</v>
      </c>
      <c r="D39" s="108"/>
      <c r="E39" s="108"/>
      <c r="F39" s="108"/>
      <c r="G39" s="108"/>
      <c r="H39" s="108"/>
      <c r="I39" s="108"/>
      <c r="J39" s="80"/>
      <c r="K39" s="81"/>
      <c r="L39" s="108" t="s">
        <v>448</v>
      </c>
      <c r="M39" s="108"/>
      <c r="N39" s="108"/>
      <c r="O39" s="108"/>
      <c r="P39" s="108"/>
      <c r="Q39" s="80"/>
      <c r="R39" s="72"/>
      <c r="S39" s="72"/>
      <c r="T39" s="72"/>
      <c r="U39" s="72"/>
      <c r="V39" s="72"/>
      <c r="W39" s="72"/>
      <c r="X39" s="72"/>
      <c r="Y39" s="72"/>
      <c r="Z39" s="72"/>
    </row>
    <row r="40" spans="2:26" ht="15.6">
      <c r="B40" s="513"/>
      <c r="C40" s="79" t="s">
        <v>449</v>
      </c>
      <c r="D40" s="108"/>
      <c r="E40" s="108"/>
      <c r="F40" s="108"/>
      <c r="G40" s="108"/>
      <c r="H40" s="108"/>
      <c r="I40" s="108"/>
      <c r="J40" s="80"/>
      <c r="K40" s="81"/>
      <c r="L40" s="108" t="s">
        <v>450</v>
      </c>
      <c r="M40" s="108"/>
      <c r="N40" s="108"/>
      <c r="O40" s="108"/>
      <c r="P40" s="108"/>
      <c r="Q40" s="80"/>
      <c r="R40" s="72"/>
      <c r="S40" s="72"/>
      <c r="T40" s="72"/>
      <c r="U40" s="72"/>
      <c r="V40" s="72"/>
      <c r="W40" s="72"/>
      <c r="X40" s="72"/>
      <c r="Y40" s="72"/>
      <c r="Z40" s="72"/>
    </row>
    <row r="41" spans="2:26" ht="5.25" customHeight="1" thickBot="1">
      <c r="B41" s="514"/>
      <c r="C41" s="82"/>
      <c r="D41" s="83"/>
      <c r="E41" s="83"/>
      <c r="F41" s="83"/>
      <c r="G41" s="83"/>
      <c r="H41" s="83"/>
      <c r="I41" s="83"/>
      <c r="J41" s="84"/>
      <c r="K41" s="85"/>
      <c r="L41" s="83"/>
      <c r="M41" s="83"/>
      <c r="N41" s="83"/>
      <c r="O41" s="83"/>
      <c r="P41" s="83"/>
      <c r="Q41" s="84"/>
      <c r="R41" s="72"/>
      <c r="S41" s="72"/>
      <c r="T41" s="72"/>
      <c r="U41" s="72"/>
      <c r="V41" s="72"/>
      <c r="W41" s="72"/>
      <c r="X41" s="72"/>
      <c r="Y41" s="72"/>
      <c r="Z41" s="72"/>
    </row>
    <row r="42" spans="2:26" ht="5.25" customHeight="1">
      <c r="B42" s="526" t="s">
        <v>451</v>
      </c>
      <c r="C42" s="75"/>
      <c r="D42" s="76"/>
      <c r="E42" s="76"/>
      <c r="F42" s="76"/>
      <c r="G42" s="76"/>
      <c r="H42" s="76"/>
      <c r="I42" s="76"/>
      <c r="J42" s="77"/>
      <c r="K42" s="78"/>
      <c r="L42" s="76"/>
      <c r="M42" s="76"/>
      <c r="N42" s="76"/>
      <c r="O42" s="76"/>
      <c r="P42" s="76"/>
      <c r="Q42" s="77"/>
      <c r="R42" s="72"/>
      <c r="S42" s="72"/>
      <c r="T42" s="72"/>
      <c r="U42" s="72"/>
      <c r="V42" s="72"/>
      <c r="W42" s="72"/>
      <c r="X42" s="72"/>
      <c r="Y42" s="72"/>
      <c r="Z42" s="72"/>
    </row>
    <row r="43" spans="2:26" ht="15.6">
      <c r="B43" s="513"/>
      <c r="C43" s="79"/>
      <c r="D43" s="108" t="s">
        <v>452</v>
      </c>
      <c r="E43" s="108"/>
      <c r="F43" s="108"/>
      <c r="G43" s="108"/>
      <c r="H43" s="108"/>
      <c r="I43" s="108"/>
      <c r="J43" s="80"/>
      <c r="K43" s="81"/>
      <c r="L43" s="108" t="s">
        <v>453</v>
      </c>
      <c r="M43" s="108"/>
      <c r="N43" s="108"/>
      <c r="O43" s="108"/>
      <c r="P43" s="108"/>
      <c r="Q43" s="80"/>
      <c r="R43" s="72"/>
      <c r="S43" s="72"/>
      <c r="T43" s="72"/>
      <c r="U43" s="72"/>
      <c r="V43" s="72"/>
      <c r="W43" s="72"/>
      <c r="X43" s="72"/>
      <c r="Y43" s="72"/>
      <c r="Z43" s="72"/>
    </row>
    <row r="44" spans="2:26" ht="15.6">
      <c r="B44" s="513"/>
      <c r="C44" s="79"/>
      <c r="D44" s="108" t="s">
        <v>454</v>
      </c>
      <c r="E44" s="109"/>
      <c r="F44" s="109"/>
      <c r="G44" s="109"/>
      <c r="H44" s="109"/>
      <c r="I44" s="109"/>
      <c r="J44" s="80"/>
      <c r="K44" s="81"/>
      <c r="L44" s="108"/>
      <c r="M44" s="108"/>
      <c r="N44" s="108"/>
      <c r="O44" s="108"/>
      <c r="P44" s="108"/>
      <c r="Q44" s="80"/>
      <c r="R44" s="72"/>
      <c r="S44" s="72"/>
      <c r="T44" s="72"/>
      <c r="U44" s="72"/>
      <c r="V44" s="72"/>
      <c r="W44" s="72"/>
      <c r="X44" s="72"/>
      <c r="Y44" s="72"/>
      <c r="Z44" s="72"/>
    </row>
    <row r="45" spans="2:26" ht="15.6">
      <c r="B45" s="513"/>
      <c r="C45" s="79"/>
      <c r="D45" s="530" t="s">
        <v>372</v>
      </c>
      <c r="E45" s="521"/>
      <c r="F45" s="520"/>
      <c r="G45" s="531" t="s">
        <v>455</v>
      </c>
      <c r="H45" s="520"/>
      <c r="I45" s="110" t="s">
        <v>456</v>
      </c>
      <c r="J45" s="80"/>
      <c r="K45" s="81"/>
      <c r="L45" s="530" t="s">
        <v>372</v>
      </c>
      <c r="M45" s="520"/>
      <c r="N45" s="531" t="s">
        <v>455</v>
      </c>
      <c r="O45" s="520"/>
      <c r="P45" s="110" t="s">
        <v>457</v>
      </c>
      <c r="Q45" s="80"/>
      <c r="R45" s="72"/>
      <c r="S45" s="72"/>
      <c r="T45" s="72"/>
      <c r="U45" s="72"/>
      <c r="V45" s="72"/>
      <c r="W45" s="72"/>
      <c r="X45" s="72"/>
      <c r="Y45" s="72"/>
      <c r="Z45" s="72"/>
    </row>
    <row r="46" spans="2:26" ht="38.25" customHeight="1">
      <c r="B46" s="513"/>
      <c r="C46" s="79"/>
      <c r="D46" s="532" t="s">
        <v>458</v>
      </c>
      <c r="E46" s="520"/>
      <c r="F46" s="111">
        <v>1</v>
      </c>
      <c r="G46" s="525" t="s">
        <v>459</v>
      </c>
      <c r="H46" s="520"/>
      <c r="I46" s="533">
        <v>86</v>
      </c>
      <c r="J46" s="80"/>
      <c r="K46" s="81"/>
      <c r="L46" s="112" t="s">
        <v>458</v>
      </c>
      <c r="M46" s="111">
        <v>3</v>
      </c>
      <c r="N46" s="525" t="s">
        <v>460</v>
      </c>
      <c r="O46" s="520"/>
      <c r="P46" s="533">
        <v>80</v>
      </c>
      <c r="Q46" s="80"/>
      <c r="R46" s="72"/>
      <c r="S46" s="72"/>
      <c r="T46" s="72"/>
      <c r="U46" s="72"/>
      <c r="V46" s="72"/>
      <c r="W46" s="72"/>
      <c r="X46" s="72"/>
      <c r="Y46" s="72"/>
      <c r="Z46" s="72"/>
    </row>
    <row r="47" spans="2:26" ht="16.5" customHeight="1">
      <c r="B47" s="513"/>
      <c r="C47" s="79"/>
      <c r="D47" s="532" t="s">
        <v>461</v>
      </c>
      <c r="E47" s="520"/>
      <c r="F47" s="111">
        <v>179</v>
      </c>
      <c r="G47" s="536" t="s">
        <v>444</v>
      </c>
      <c r="H47" s="520"/>
      <c r="I47" s="534"/>
      <c r="J47" s="80"/>
      <c r="K47" s="81"/>
      <c r="L47" s="112" t="s">
        <v>462</v>
      </c>
      <c r="M47" s="111">
        <v>216</v>
      </c>
      <c r="N47" s="536" t="s">
        <v>444</v>
      </c>
      <c r="O47" s="520"/>
      <c r="P47" s="534"/>
      <c r="Q47" s="80"/>
      <c r="R47" s="72"/>
      <c r="S47" s="72"/>
      <c r="T47" s="72"/>
      <c r="U47" s="72"/>
      <c r="V47" s="72"/>
      <c r="W47" s="72"/>
      <c r="X47" s="72"/>
      <c r="Y47" s="72"/>
      <c r="Z47" s="72"/>
    </row>
    <row r="48" spans="2:26" ht="16.5" customHeight="1">
      <c r="B48" s="513"/>
      <c r="C48" s="79"/>
      <c r="D48" s="532" t="s">
        <v>463</v>
      </c>
      <c r="E48" s="520"/>
      <c r="F48" s="111">
        <v>368</v>
      </c>
      <c r="G48" s="536" t="s">
        <v>444</v>
      </c>
      <c r="H48" s="520"/>
      <c r="I48" s="535"/>
      <c r="J48" s="80"/>
      <c r="K48" s="81"/>
      <c r="L48" s="112" t="s">
        <v>464</v>
      </c>
      <c r="M48" s="111">
        <v>309</v>
      </c>
      <c r="N48" s="536" t="s">
        <v>444</v>
      </c>
      <c r="O48" s="520"/>
      <c r="P48" s="535"/>
      <c r="Q48" s="80"/>
      <c r="R48" s="72"/>
      <c r="S48" s="72"/>
      <c r="T48" s="72"/>
      <c r="U48" s="72"/>
      <c r="V48" s="72"/>
      <c r="W48" s="72"/>
      <c r="X48" s="72"/>
      <c r="Y48" s="72"/>
      <c r="Z48" s="72"/>
    </row>
    <row r="49" spans="2:26" ht="5.25" customHeight="1" thickBot="1">
      <c r="B49" s="514"/>
      <c r="C49" s="82"/>
      <c r="D49" s="83"/>
      <c r="E49" s="83"/>
      <c r="F49" s="83"/>
      <c r="G49" s="83"/>
      <c r="H49" s="83"/>
      <c r="I49" s="83"/>
      <c r="J49" s="84"/>
      <c r="K49" s="85"/>
      <c r="L49" s="83"/>
      <c r="M49" s="83"/>
      <c r="N49" s="83"/>
      <c r="O49" s="83"/>
      <c r="P49" s="83"/>
      <c r="Q49" s="84"/>
      <c r="R49" s="72"/>
      <c r="S49" s="72"/>
      <c r="T49" s="72"/>
      <c r="U49" s="72"/>
      <c r="V49" s="72"/>
      <c r="W49" s="72"/>
      <c r="X49" s="72"/>
      <c r="Y49" s="72"/>
      <c r="Z49" s="72"/>
    </row>
    <row r="50" spans="2:26" ht="5.25" customHeight="1">
      <c r="B50" s="526" t="s">
        <v>465</v>
      </c>
      <c r="C50" s="75"/>
      <c r="D50" s="76"/>
      <c r="E50" s="76"/>
      <c r="F50" s="76"/>
      <c r="G50" s="76"/>
      <c r="H50" s="76"/>
      <c r="I50" s="76"/>
      <c r="J50" s="77"/>
      <c r="K50" s="78"/>
      <c r="L50" s="76"/>
      <c r="M50" s="76"/>
      <c r="N50" s="76"/>
      <c r="O50" s="76"/>
      <c r="P50" s="76"/>
      <c r="Q50" s="77"/>
      <c r="R50" s="72"/>
      <c r="S50" s="72"/>
      <c r="T50" s="72"/>
      <c r="U50" s="72"/>
      <c r="V50" s="72"/>
      <c r="W50" s="72"/>
      <c r="X50" s="72"/>
      <c r="Y50" s="72"/>
      <c r="Z50" s="72"/>
    </row>
    <row r="51" spans="2:26" ht="26.4">
      <c r="B51" s="513"/>
      <c r="C51" s="79"/>
      <c r="D51" s="527" t="s">
        <v>372</v>
      </c>
      <c r="E51" s="521"/>
      <c r="F51" s="520"/>
      <c r="G51" s="113" t="s">
        <v>466</v>
      </c>
      <c r="H51" s="113" t="s">
        <v>467</v>
      </c>
      <c r="I51" s="114" t="s">
        <v>468</v>
      </c>
      <c r="J51" s="90"/>
      <c r="K51" s="91"/>
      <c r="L51" s="527" t="s">
        <v>372</v>
      </c>
      <c r="M51" s="520"/>
      <c r="N51" s="113" t="s">
        <v>466</v>
      </c>
      <c r="O51" s="113" t="s">
        <v>467</v>
      </c>
      <c r="P51" s="114" t="s">
        <v>469</v>
      </c>
      <c r="Q51" s="80"/>
      <c r="R51" s="72"/>
      <c r="S51" s="72"/>
      <c r="T51" s="72"/>
      <c r="U51" s="72"/>
      <c r="V51" s="72"/>
      <c r="W51" s="72"/>
      <c r="X51" s="72"/>
      <c r="Y51" s="72"/>
      <c r="Z51" s="72"/>
    </row>
    <row r="52" spans="2:26" ht="15.6">
      <c r="B52" s="513"/>
      <c r="C52" s="79"/>
      <c r="D52" s="524" t="s">
        <v>470</v>
      </c>
      <c r="E52" s="521"/>
      <c r="F52" s="520"/>
      <c r="G52" s="115">
        <v>8</v>
      </c>
      <c r="H52" s="115">
        <v>-2</v>
      </c>
      <c r="I52" s="116" t="s">
        <v>471</v>
      </c>
      <c r="J52" s="90"/>
      <c r="K52" s="91"/>
      <c r="L52" s="524" t="s">
        <v>470</v>
      </c>
      <c r="M52" s="520"/>
      <c r="N52" s="115">
        <v>4</v>
      </c>
      <c r="O52" s="115">
        <v>-1</v>
      </c>
      <c r="P52" s="116" t="s">
        <v>367</v>
      </c>
      <c r="Q52" s="80"/>
      <c r="R52" s="72"/>
      <c r="S52" s="72"/>
      <c r="T52" s="72"/>
      <c r="U52" s="72"/>
      <c r="V52" s="72"/>
      <c r="W52" s="72"/>
      <c r="X52" s="72"/>
      <c r="Y52" s="72"/>
      <c r="Z52" s="72"/>
    </row>
    <row r="53" spans="2:26" ht="27.75" customHeight="1">
      <c r="B53" s="513"/>
      <c r="C53" s="79"/>
      <c r="D53" s="524" t="s">
        <v>472</v>
      </c>
      <c r="E53" s="521"/>
      <c r="F53" s="520"/>
      <c r="G53" s="115">
        <v>6</v>
      </c>
      <c r="H53" s="117"/>
      <c r="I53" s="116" t="s">
        <v>473</v>
      </c>
      <c r="J53" s="90"/>
      <c r="K53" s="91"/>
      <c r="L53" s="524" t="s">
        <v>474</v>
      </c>
      <c r="M53" s="520"/>
      <c r="N53" s="115">
        <v>3</v>
      </c>
      <c r="O53" s="117"/>
      <c r="P53" s="116">
        <v>3</v>
      </c>
      <c r="Q53" s="80"/>
      <c r="R53" s="72"/>
      <c r="S53" s="72"/>
      <c r="T53" s="72"/>
      <c r="U53" s="72"/>
      <c r="V53" s="72"/>
      <c r="W53" s="72"/>
      <c r="X53" s="72"/>
      <c r="Y53" s="72"/>
      <c r="Z53" s="72"/>
    </row>
    <row r="54" spans="2:26" ht="15.6">
      <c r="B54" s="513"/>
      <c r="C54" s="79"/>
      <c r="D54" s="524" t="s">
        <v>475</v>
      </c>
      <c r="E54" s="521"/>
      <c r="F54" s="520"/>
      <c r="G54" s="115">
        <v>5</v>
      </c>
      <c r="H54" s="115" t="s">
        <v>476</v>
      </c>
      <c r="I54" s="116" t="s">
        <v>477</v>
      </c>
      <c r="J54" s="90"/>
      <c r="K54" s="91"/>
      <c r="L54" s="524" t="s">
        <v>478</v>
      </c>
      <c r="M54" s="520"/>
      <c r="N54" s="115">
        <v>4</v>
      </c>
      <c r="O54" s="115" t="s">
        <v>479</v>
      </c>
      <c r="P54" s="116" t="s">
        <v>369</v>
      </c>
      <c r="Q54" s="80"/>
      <c r="R54" s="72"/>
      <c r="S54" s="72"/>
      <c r="T54" s="72"/>
      <c r="U54" s="72"/>
      <c r="V54" s="72"/>
      <c r="W54" s="72"/>
      <c r="X54" s="72"/>
      <c r="Y54" s="72"/>
      <c r="Z54" s="72"/>
    </row>
    <row r="55" spans="2:26" ht="15.6">
      <c r="B55" s="513"/>
      <c r="C55" s="79"/>
      <c r="D55" s="524" t="s">
        <v>480</v>
      </c>
      <c r="E55" s="521"/>
      <c r="F55" s="520"/>
      <c r="G55" s="115">
        <v>5</v>
      </c>
      <c r="H55" s="115" t="s">
        <v>481</v>
      </c>
      <c r="I55" s="116" t="s">
        <v>482</v>
      </c>
      <c r="J55" s="90"/>
      <c r="K55" s="91"/>
      <c r="L55" s="524" t="s">
        <v>483</v>
      </c>
      <c r="M55" s="520"/>
      <c r="N55" s="115">
        <v>3</v>
      </c>
      <c r="O55" s="115" t="s">
        <v>479</v>
      </c>
      <c r="P55" s="116" t="s">
        <v>370</v>
      </c>
      <c r="Q55" s="80"/>
      <c r="R55" s="72"/>
      <c r="S55" s="72"/>
      <c r="T55" s="72"/>
      <c r="U55" s="72"/>
      <c r="V55" s="72"/>
      <c r="W55" s="72"/>
      <c r="X55" s="72"/>
      <c r="Y55" s="72"/>
      <c r="Z55" s="72"/>
    </row>
    <row r="56" spans="2:26" ht="15.6">
      <c r="B56" s="513"/>
      <c r="C56" s="79"/>
      <c r="D56" s="524" t="s">
        <v>484</v>
      </c>
      <c r="E56" s="521"/>
      <c r="F56" s="520"/>
      <c r="G56" s="115">
        <v>5</v>
      </c>
      <c r="H56" s="115" t="s">
        <v>481</v>
      </c>
      <c r="I56" s="116" t="s">
        <v>482</v>
      </c>
      <c r="J56" s="90"/>
      <c r="K56" s="91"/>
      <c r="L56" s="524" t="s">
        <v>395</v>
      </c>
      <c r="M56" s="520"/>
      <c r="N56" s="525" t="s">
        <v>485</v>
      </c>
      <c r="O56" s="521"/>
      <c r="P56" s="521"/>
      <c r="Q56" s="80"/>
      <c r="R56" s="72"/>
      <c r="S56" s="72"/>
      <c r="T56" s="72"/>
      <c r="U56" s="72"/>
      <c r="V56" s="72"/>
      <c r="W56" s="72"/>
      <c r="X56" s="72"/>
      <c r="Y56" s="72"/>
      <c r="Z56" s="72"/>
    </row>
    <row r="57" spans="2:26" ht="15.6">
      <c r="B57" s="513"/>
      <c r="C57" s="79"/>
      <c r="D57" s="524" t="s">
        <v>393</v>
      </c>
      <c r="E57" s="521"/>
      <c r="F57" s="520"/>
      <c r="G57" s="525" t="s">
        <v>485</v>
      </c>
      <c r="H57" s="521"/>
      <c r="I57" s="521"/>
      <c r="J57" s="90"/>
      <c r="K57" s="91"/>
      <c r="L57" s="118"/>
      <c r="M57" s="108"/>
      <c r="N57" s="108"/>
      <c r="O57" s="108"/>
      <c r="P57" s="108"/>
      <c r="Q57" s="80"/>
      <c r="R57" s="72"/>
      <c r="S57" s="72"/>
      <c r="T57" s="72"/>
      <c r="U57" s="72"/>
      <c r="V57" s="72"/>
      <c r="W57" s="72"/>
      <c r="X57" s="72"/>
      <c r="Y57" s="72"/>
      <c r="Z57" s="72"/>
    </row>
    <row r="58" spans="2:26" ht="15.6">
      <c r="B58" s="513"/>
      <c r="C58" s="79"/>
      <c r="D58" s="108"/>
      <c r="E58" s="108"/>
      <c r="F58" s="108"/>
      <c r="G58" s="108"/>
      <c r="H58" s="108"/>
      <c r="I58" s="108"/>
      <c r="J58" s="80"/>
      <c r="K58" s="81"/>
      <c r="L58" s="108"/>
      <c r="M58" s="108"/>
      <c r="N58" s="108"/>
      <c r="O58" s="108"/>
      <c r="P58" s="108"/>
      <c r="Q58" s="80"/>
      <c r="R58" s="72"/>
      <c r="S58" s="72"/>
      <c r="T58" s="72"/>
      <c r="U58" s="72"/>
      <c r="V58" s="72"/>
      <c r="W58" s="72"/>
      <c r="X58" s="72"/>
      <c r="Y58" s="72"/>
      <c r="Z58" s="72"/>
    </row>
    <row r="59" spans="2:26" ht="33.75" customHeight="1">
      <c r="B59" s="513"/>
      <c r="C59" s="79"/>
      <c r="D59" s="510" t="s">
        <v>486</v>
      </c>
      <c r="E59" s="511"/>
      <c r="F59" s="511"/>
      <c r="G59" s="511"/>
      <c r="H59" s="511"/>
      <c r="I59" s="511"/>
      <c r="J59" s="80"/>
      <c r="K59" s="81"/>
      <c r="L59" s="510" t="s">
        <v>487</v>
      </c>
      <c r="M59" s="510"/>
      <c r="N59" s="510"/>
      <c r="O59" s="510"/>
      <c r="P59" s="510"/>
      <c r="Q59" s="80"/>
      <c r="R59" s="72"/>
      <c r="S59" s="72"/>
      <c r="T59" s="72"/>
      <c r="U59" s="72"/>
      <c r="V59" s="72"/>
      <c r="W59" s="72"/>
      <c r="X59" s="72"/>
      <c r="Y59" s="72"/>
      <c r="Z59" s="72"/>
    </row>
    <row r="60" spans="2:26" ht="5.25" customHeight="1" thickBot="1">
      <c r="B60" s="514"/>
      <c r="C60" s="82"/>
      <c r="D60" s="83"/>
      <c r="E60" s="83"/>
      <c r="F60" s="83"/>
      <c r="G60" s="83"/>
      <c r="H60" s="83"/>
      <c r="I60" s="83"/>
      <c r="J60" s="84"/>
      <c r="K60" s="85"/>
      <c r="L60" s="83"/>
      <c r="M60" s="83"/>
      <c r="N60" s="83"/>
      <c r="O60" s="83"/>
      <c r="P60" s="83"/>
      <c r="Q60" s="84"/>
      <c r="R60" s="72"/>
      <c r="S60" s="72"/>
      <c r="T60" s="72"/>
      <c r="U60" s="72"/>
      <c r="V60" s="72"/>
      <c r="W60" s="72"/>
      <c r="X60" s="72"/>
      <c r="Y60" s="72"/>
      <c r="Z60" s="72"/>
    </row>
    <row r="61" spans="2:26" ht="5.25" customHeight="1">
      <c r="B61" s="515" t="s">
        <v>488</v>
      </c>
      <c r="C61" s="79"/>
      <c r="D61" s="108"/>
      <c r="E61" s="108"/>
      <c r="F61" s="108"/>
      <c r="G61" s="108"/>
      <c r="H61" s="108"/>
      <c r="I61" s="108"/>
      <c r="J61" s="108"/>
      <c r="K61" s="78"/>
      <c r="L61" s="76"/>
      <c r="M61" s="76"/>
      <c r="N61" s="76"/>
      <c r="O61" s="76"/>
      <c r="P61" s="76"/>
      <c r="Q61" s="77"/>
      <c r="R61" s="72"/>
      <c r="S61" s="72"/>
      <c r="T61" s="72"/>
      <c r="U61" s="72"/>
      <c r="V61" s="72"/>
      <c r="W61" s="72"/>
      <c r="X61" s="72"/>
      <c r="Y61" s="72"/>
      <c r="Z61" s="72"/>
    </row>
    <row r="62" spans="2:26" ht="15.6">
      <c r="B62" s="516"/>
      <c r="C62" s="79"/>
      <c r="D62" s="108"/>
      <c r="E62" s="108"/>
      <c r="F62" s="108"/>
      <c r="G62" s="108"/>
      <c r="H62" s="108"/>
      <c r="I62" s="108"/>
      <c r="J62" s="108"/>
      <c r="K62" s="81"/>
      <c r="L62" s="108" t="s">
        <v>489</v>
      </c>
      <c r="M62" s="108"/>
      <c r="N62" s="108"/>
      <c r="O62" s="108"/>
      <c r="P62" s="108"/>
      <c r="Q62" s="80"/>
      <c r="R62" s="72"/>
      <c r="S62" s="72"/>
      <c r="T62" s="72"/>
      <c r="U62" s="72"/>
      <c r="V62" s="72"/>
      <c r="W62" s="72"/>
      <c r="X62" s="72"/>
      <c r="Y62" s="72"/>
      <c r="Z62" s="72"/>
    </row>
    <row r="63" spans="2:26" ht="15.6">
      <c r="B63" s="516"/>
      <c r="C63" s="79"/>
      <c r="D63" s="108"/>
      <c r="E63" s="108"/>
      <c r="F63" s="108"/>
      <c r="G63" s="108"/>
      <c r="H63" s="108"/>
      <c r="I63" s="108"/>
      <c r="J63" s="108"/>
      <c r="K63" s="81"/>
      <c r="L63" s="108" t="s">
        <v>490</v>
      </c>
      <c r="M63" s="108"/>
      <c r="N63" s="108"/>
      <c r="O63" s="108"/>
      <c r="P63" s="108"/>
      <c r="Q63" s="80"/>
      <c r="R63" s="72"/>
      <c r="S63" s="72"/>
      <c r="T63" s="72"/>
      <c r="U63" s="72"/>
      <c r="V63" s="72"/>
      <c r="W63" s="72"/>
      <c r="X63" s="72"/>
      <c r="Y63" s="72"/>
      <c r="Z63" s="72"/>
    </row>
    <row r="64" spans="2:26" ht="15.6">
      <c r="B64" s="516"/>
      <c r="C64" s="79"/>
      <c r="D64" s="108"/>
      <c r="E64" s="108"/>
      <c r="F64" s="108"/>
      <c r="G64" s="108"/>
      <c r="H64" s="108"/>
      <c r="I64" s="108"/>
      <c r="J64" s="108"/>
      <c r="K64" s="81"/>
      <c r="L64" s="517" t="s">
        <v>372</v>
      </c>
      <c r="M64" s="519" t="s">
        <v>491</v>
      </c>
      <c r="N64" s="520"/>
      <c r="O64" s="519" t="s">
        <v>492</v>
      </c>
      <c r="P64" s="521"/>
      <c r="Q64" s="80"/>
      <c r="R64" s="72"/>
      <c r="S64" s="72"/>
      <c r="T64" s="72"/>
      <c r="U64" s="72"/>
      <c r="V64" s="72"/>
      <c r="W64" s="72"/>
      <c r="X64" s="72"/>
      <c r="Y64" s="72"/>
      <c r="Z64" s="72"/>
    </row>
    <row r="65" spans="2:26" ht="15.6">
      <c r="B65" s="516"/>
      <c r="C65" s="79"/>
      <c r="D65" s="108"/>
      <c r="E65" s="108"/>
      <c r="F65" s="108"/>
      <c r="G65" s="108"/>
      <c r="H65" s="108"/>
      <c r="I65" s="108"/>
      <c r="J65" s="108"/>
      <c r="K65" s="81"/>
      <c r="L65" s="518"/>
      <c r="M65" s="111" t="s">
        <v>0</v>
      </c>
      <c r="N65" s="111" t="s">
        <v>493</v>
      </c>
      <c r="O65" s="111" t="s">
        <v>0</v>
      </c>
      <c r="P65" s="119" t="s">
        <v>493</v>
      </c>
      <c r="Q65" s="80"/>
      <c r="R65" s="72"/>
      <c r="S65" s="72"/>
      <c r="T65" s="72"/>
      <c r="U65" s="72"/>
      <c r="V65" s="72"/>
      <c r="W65" s="72"/>
      <c r="X65" s="72"/>
      <c r="Y65" s="72"/>
      <c r="Z65" s="72"/>
    </row>
    <row r="66" spans="2:26" ht="15.6">
      <c r="B66" s="516"/>
      <c r="C66" s="79"/>
      <c r="D66" s="108"/>
      <c r="E66" s="108"/>
      <c r="F66" s="108"/>
      <c r="G66" s="108"/>
      <c r="H66" s="108"/>
      <c r="I66" s="108"/>
      <c r="J66" s="108"/>
      <c r="K66" s="81"/>
      <c r="L66" s="120" t="s">
        <v>200</v>
      </c>
      <c r="M66" s="121">
        <v>2</v>
      </c>
      <c r="N66" s="121">
        <v>2</v>
      </c>
      <c r="O66" s="121">
        <v>4</v>
      </c>
      <c r="P66" s="110">
        <v>0</v>
      </c>
      <c r="Q66" s="80"/>
      <c r="R66" s="72"/>
      <c r="S66" s="72"/>
      <c r="T66" s="72"/>
      <c r="U66" s="72"/>
      <c r="V66" s="72"/>
      <c r="W66" s="72"/>
      <c r="X66" s="72"/>
      <c r="Y66" s="72"/>
      <c r="Z66" s="72"/>
    </row>
    <row r="67" spans="2:26" ht="15.6">
      <c r="B67" s="516"/>
      <c r="C67" s="79"/>
      <c r="D67" s="108"/>
      <c r="E67" s="108"/>
      <c r="F67" s="108"/>
      <c r="G67" s="108"/>
      <c r="H67" s="108"/>
      <c r="I67" s="108"/>
      <c r="J67" s="108"/>
      <c r="K67" s="81"/>
      <c r="L67" s="120" t="s">
        <v>214</v>
      </c>
      <c r="M67" s="121">
        <v>2</v>
      </c>
      <c r="N67" s="121">
        <v>2</v>
      </c>
      <c r="O67" s="121">
        <v>0</v>
      </c>
      <c r="P67" s="110">
        <v>4</v>
      </c>
      <c r="Q67" s="80"/>
      <c r="R67" s="72"/>
      <c r="S67" s="72"/>
      <c r="T67" s="72"/>
      <c r="U67" s="72"/>
      <c r="V67" s="72"/>
      <c r="W67" s="72"/>
      <c r="X67" s="72"/>
      <c r="Y67" s="72"/>
      <c r="Z67" s="72"/>
    </row>
    <row r="68" spans="2:26" ht="15.6">
      <c r="B68" s="516"/>
      <c r="C68" s="79"/>
      <c r="D68" s="108"/>
      <c r="E68" s="108"/>
      <c r="F68" s="108"/>
      <c r="G68" s="108"/>
      <c r="H68" s="108"/>
      <c r="I68" s="108"/>
      <c r="J68" s="108"/>
      <c r="K68" s="81"/>
      <c r="L68" s="120" t="s">
        <v>203</v>
      </c>
      <c r="M68" s="121">
        <v>2</v>
      </c>
      <c r="N68" s="121">
        <v>2</v>
      </c>
      <c r="O68" s="121">
        <v>4</v>
      </c>
      <c r="P68" s="110">
        <v>0</v>
      </c>
      <c r="Q68" s="80"/>
      <c r="R68" s="72"/>
      <c r="S68" s="72"/>
      <c r="T68" s="72"/>
      <c r="U68" s="72"/>
      <c r="V68" s="72"/>
      <c r="W68" s="72"/>
      <c r="X68" s="72"/>
      <c r="Y68" s="72"/>
      <c r="Z68" s="72"/>
    </row>
    <row r="69" spans="2:26" ht="15.6">
      <c r="B69" s="516"/>
      <c r="C69" s="79"/>
      <c r="D69" s="108"/>
      <c r="E69" s="108"/>
      <c r="F69" s="108"/>
      <c r="G69" s="108"/>
      <c r="H69" s="108"/>
      <c r="I69" s="108"/>
      <c r="J69" s="108"/>
      <c r="K69" s="81"/>
      <c r="L69" s="108" t="s">
        <v>494</v>
      </c>
      <c r="M69" s="108"/>
      <c r="N69" s="108"/>
      <c r="O69" s="108"/>
      <c r="P69" s="108"/>
      <c r="Q69" s="80"/>
      <c r="R69" s="72"/>
      <c r="S69" s="72"/>
      <c r="T69" s="72"/>
      <c r="U69" s="72"/>
      <c r="V69" s="72"/>
      <c r="W69" s="72"/>
      <c r="X69" s="72"/>
      <c r="Y69" s="72"/>
      <c r="Z69" s="72"/>
    </row>
    <row r="70" spans="2:26" ht="15.6">
      <c r="B70" s="516"/>
      <c r="C70" s="79"/>
      <c r="D70" s="108"/>
      <c r="E70" s="108"/>
      <c r="F70" s="108"/>
      <c r="G70" s="108"/>
      <c r="H70" s="108"/>
      <c r="I70" s="108"/>
      <c r="J70" s="108"/>
      <c r="K70" s="81"/>
      <c r="L70" s="517" t="s">
        <v>372</v>
      </c>
      <c r="M70" s="519" t="s">
        <v>491</v>
      </c>
      <c r="N70" s="520"/>
      <c r="O70" s="519" t="s">
        <v>492</v>
      </c>
      <c r="P70" s="521"/>
      <c r="Q70" s="80"/>
      <c r="R70" s="72"/>
      <c r="S70" s="72"/>
      <c r="T70" s="72"/>
      <c r="U70" s="72"/>
      <c r="V70" s="72"/>
      <c r="W70" s="72"/>
      <c r="X70" s="72"/>
      <c r="Y70" s="72"/>
      <c r="Z70" s="72"/>
    </row>
    <row r="71" spans="2:26" ht="15.6">
      <c r="B71" s="516"/>
      <c r="C71" s="79"/>
      <c r="D71" s="108"/>
      <c r="E71" s="108"/>
      <c r="F71" s="108"/>
      <c r="G71" s="108"/>
      <c r="H71" s="108"/>
      <c r="I71" s="108"/>
      <c r="J71" s="108"/>
      <c r="K71" s="81"/>
      <c r="L71" s="518"/>
      <c r="M71" s="111" t="s">
        <v>0</v>
      </c>
      <c r="N71" s="111" t="s">
        <v>493</v>
      </c>
      <c r="O71" s="111" t="s">
        <v>0</v>
      </c>
      <c r="P71" s="119" t="s">
        <v>493</v>
      </c>
      <c r="Q71" s="80"/>
      <c r="R71" s="72"/>
      <c r="S71" s="72"/>
      <c r="T71" s="72"/>
      <c r="U71" s="72"/>
      <c r="V71" s="72"/>
      <c r="W71" s="72"/>
      <c r="X71" s="72"/>
      <c r="Y71" s="72"/>
      <c r="Z71" s="72"/>
    </row>
    <row r="72" spans="2:26" ht="15.6">
      <c r="B72" s="516"/>
      <c r="C72" s="79"/>
      <c r="D72" s="108"/>
      <c r="E72" s="108"/>
      <c r="F72" s="108"/>
      <c r="G72" s="108"/>
      <c r="H72" s="108"/>
      <c r="I72" s="108"/>
      <c r="J72" s="108"/>
      <c r="K72" s="81"/>
      <c r="L72" s="120" t="s">
        <v>458</v>
      </c>
      <c r="M72" s="121">
        <v>1</v>
      </c>
      <c r="N72" s="121">
        <v>1</v>
      </c>
      <c r="O72" s="121">
        <v>2</v>
      </c>
      <c r="P72" s="110">
        <v>0</v>
      </c>
      <c r="Q72" s="80"/>
      <c r="R72" s="72"/>
      <c r="S72" s="72"/>
      <c r="T72" s="72"/>
      <c r="U72" s="72"/>
      <c r="V72" s="72"/>
      <c r="W72" s="72"/>
      <c r="X72" s="72"/>
      <c r="Y72" s="72"/>
      <c r="Z72" s="72"/>
    </row>
    <row r="73" spans="2:26" ht="15.6">
      <c r="B73" s="516"/>
      <c r="C73" s="79"/>
      <c r="D73" s="108"/>
      <c r="E73" s="108"/>
      <c r="F73" s="108"/>
      <c r="G73" s="108"/>
      <c r="H73" s="108"/>
      <c r="I73" s="108"/>
      <c r="J73" s="108"/>
      <c r="K73" s="81"/>
      <c r="L73" s="120" t="s">
        <v>462</v>
      </c>
      <c r="M73" s="121">
        <v>2</v>
      </c>
      <c r="N73" s="121">
        <v>2</v>
      </c>
      <c r="O73" s="121">
        <v>0</v>
      </c>
      <c r="P73" s="110">
        <v>4</v>
      </c>
      <c r="Q73" s="80"/>
      <c r="R73" s="72"/>
      <c r="S73" s="72"/>
      <c r="T73" s="72"/>
      <c r="U73" s="72"/>
      <c r="V73" s="72"/>
      <c r="W73" s="72"/>
      <c r="X73" s="72"/>
      <c r="Y73" s="72"/>
      <c r="Z73" s="72"/>
    </row>
    <row r="74" spans="2:26" ht="15.6">
      <c r="B74" s="516"/>
      <c r="C74" s="79"/>
      <c r="D74" s="108"/>
      <c r="E74" s="108"/>
      <c r="F74" s="108"/>
      <c r="G74" s="108"/>
      <c r="H74" s="108"/>
      <c r="I74" s="108"/>
      <c r="J74" s="108"/>
      <c r="K74" s="81"/>
      <c r="L74" s="522" t="s">
        <v>495</v>
      </c>
      <c r="M74" s="508" t="s">
        <v>496</v>
      </c>
      <c r="N74" s="508" t="s">
        <v>496</v>
      </c>
      <c r="O74" s="122">
        <v>8</v>
      </c>
      <c r="P74" s="123">
        <v>0</v>
      </c>
      <c r="Q74" s="80"/>
      <c r="R74" s="72"/>
      <c r="S74" s="72"/>
      <c r="T74" s="72"/>
      <c r="U74" s="72"/>
      <c r="V74" s="72"/>
      <c r="W74" s="72"/>
      <c r="X74" s="72"/>
      <c r="Y74" s="72"/>
      <c r="Z74" s="72"/>
    </row>
    <row r="75" spans="2:26" ht="15.6">
      <c r="B75" s="516"/>
      <c r="C75" s="79"/>
      <c r="D75" s="108"/>
      <c r="E75" s="108"/>
      <c r="F75" s="108"/>
      <c r="G75" s="108"/>
      <c r="H75" s="108"/>
      <c r="I75" s="108"/>
      <c r="J75" s="108"/>
      <c r="K75" s="81"/>
      <c r="L75" s="523"/>
      <c r="M75" s="509"/>
      <c r="N75" s="509"/>
      <c r="O75" s="122">
        <v>4</v>
      </c>
      <c r="P75" s="123">
        <v>4</v>
      </c>
      <c r="Q75" s="80"/>
      <c r="R75" s="72"/>
      <c r="S75" s="72"/>
      <c r="T75" s="72"/>
      <c r="U75" s="72"/>
      <c r="V75" s="72"/>
      <c r="W75" s="72"/>
      <c r="X75" s="72"/>
      <c r="Y75" s="72"/>
      <c r="Z75" s="72"/>
    </row>
    <row r="76" spans="2:26" ht="33.75" customHeight="1">
      <c r="B76" s="516"/>
      <c r="C76" s="79"/>
      <c r="D76" s="108"/>
      <c r="E76" s="108"/>
      <c r="F76" s="108"/>
      <c r="G76" s="108"/>
      <c r="H76" s="108"/>
      <c r="I76" s="108"/>
      <c r="J76" s="108"/>
      <c r="K76" s="81"/>
      <c r="L76" s="510" t="s">
        <v>497</v>
      </c>
      <c r="M76" s="511"/>
      <c r="N76" s="511"/>
      <c r="O76" s="511"/>
      <c r="P76" s="511"/>
      <c r="Q76" s="80"/>
      <c r="R76" s="72"/>
      <c r="S76" s="72"/>
      <c r="T76" s="72"/>
      <c r="U76" s="72"/>
      <c r="V76" s="72"/>
      <c r="W76" s="72"/>
      <c r="X76" s="72"/>
      <c r="Y76" s="72"/>
      <c r="Z76" s="72"/>
    </row>
    <row r="77" spans="2:26" ht="5.25" customHeight="1">
      <c r="B77" s="516"/>
      <c r="C77" s="124"/>
      <c r="D77" s="125"/>
      <c r="E77" s="125"/>
      <c r="F77" s="125"/>
      <c r="G77" s="125"/>
      <c r="H77" s="125"/>
      <c r="I77" s="125"/>
      <c r="J77" s="125"/>
      <c r="K77" s="126"/>
      <c r="L77" s="125"/>
      <c r="M77" s="125"/>
      <c r="N77" s="125"/>
      <c r="O77" s="125"/>
      <c r="P77" s="125"/>
      <c r="Q77" s="127"/>
      <c r="R77" s="72"/>
      <c r="S77" s="72"/>
      <c r="T77" s="72"/>
      <c r="U77" s="72"/>
      <c r="V77" s="72"/>
      <c r="W77" s="72"/>
      <c r="X77" s="72"/>
      <c r="Y77" s="72"/>
      <c r="Z77" s="72"/>
    </row>
    <row r="78" spans="2:26" ht="5.25" customHeight="1">
      <c r="B78" s="512" t="s">
        <v>498</v>
      </c>
      <c r="C78" s="128"/>
      <c r="D78" s="129"/>
      <c r="E78" s="129"/>
      <c r="F78" s="129"/>
      <c r="G78" s="129"/>
      <c r="H78" s="129"/>
      <c r="I78" s="129"/>
      <c r="J78" s="129"/>
      <c r="K78" s="130"/>
      <c r="L78" s="129"/>
      <c r="M78" s="129"/>
      <c r="N78" s="129"/>
      <c r="O78" s="129"/>
      <c r="P78" s="129"/>
      <c r="Q78" s="131"/>
      <c r="R78" s="72"/>
      <c r="S78" s="72"/>
      <c r="T78" s="72"/>
      <c r="U78" s="72"/>
      <c r="V78" s="72"/>
      <c r="W78" s="72"/>
      <c r="X78" s="72"/>
      <c r="Y78" s="72"/>
      <c r="Z78" s="72"/>
    </row>
    <row r="79" spans="2:26" ht="15.6">
      <c r="B79" s="513"/>
      <c r="C79" s="79"/>
      <c r="D79" s="108" t="s">
        <v>499</v>
      </c>
      <c r="E79" s="108"/>
      <c r="F79" s="108"/>
      <c r="G79" s="108"/>
      <c r="H79" s="108"/>
      <c r="I79" s="108"/>
      <c r="J79" s="108"/>
      <c r="K79" s="81"/>
      <c r="L79" s="108" t="s">
        <v>500</v>
      </c>
      <c r="M79" s="108"/>
      <c r="N79" s="108"/>
      <c r="O79" s="108"/>
      <c r="P79" s="108"/>
      <c r="Q79" s="80"/>
      <c r="R79" s="72"/>
      <c r="S79" s="72"/>
      <c r="T79" s="72"/>
      <c r="U79" s="72"/>
      <c r="V79" s="72"/>
      <c r="W79" s="72"/>
      <c r="X79" s="72"/>
      <c r="Y79" s="72"/>
      <c r="Z79" s="72"/>
    </row>
    <row r="80" spans="2:26" ht="15.6">
      <c r="B80" s="513"/>
      <c r="C80" s="79"/>
      <c r="D80" s="108"/>
      <c r="E80" s="108"/>
      <c r="F80" s="108"/>
      <c r="G80" s="108"/>
      <c r="H80" s="108"/>
      <c r="I80" s="108"/>
      <c r="J80" s="108"/>
      <c r="K80" s="81"/>
      <c r="L80" s="108" t="s">
        <v>501</v>
      </c>
      <c r="M80" s="108"/>
      <c r="N80" s="108"/>
      <c r="O80" s="108"/>
      <c r="P80" s="108"/>
      <c r="Q80" s="80"/>
      <c r="R80" s="72"/>
      <c r="S80" s="72"/>
      <c r="T80" s="72"/>
      <c r="U80" s="72"/>
      <c r="V80" s="72"/>
      <c r="W80" s="72"/>
      <c r="X80" s="72"/>
      <c r="Y80" s="72"/>
      <c r="Z80" s="72"/>
    </row>
    <row r="81" spans="2:26" ht="5.25" customHeight="1" thickBot="1">
      <c r="B81" s="514"/>
      <c r="C81" s="82"/>
      <c r="D81" s="83"/>
      <c r="E81" s="83"/>
      <c r="F81" s="83"/>
      <c r="G81" s="83"/>
      <c r="H81" s="83"/>
      <c r="I81" s="83"/>
      <c r="J81" s="83"/>
      <c r="K81" s="85"/>
      <c r="L81" s="83"/>
      <c r="M81" s="83"/>
      <c r="N81" s="83"/>
      <c r="O81" s="83"/>
      <c r="P81" s="83"/>
      <c r="Q81" s="84"/>
      <c r="R81" s="72"/>
      <c r="S81" s="72"/>
      <c r="T81" s="72"/>
      <c r="U81" s="72"/>
      <c r="V81" s="72"/>
      <c r="W81" s="72"/>
      <c r="X81" s="72"/>
      <c r="Y81" s="72"/>
      <c r="Z81" s="72"/>
    </row>
    <row r="82" spans="2:26" ht="4.5" customHeight="1"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2:26" ht="15.6" hidden="1"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2:26" ht="15.6" hidden="1"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2:26" ht="15.6" hidden="1"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2:26" ht="15.6" hidden="1"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2:26" ht="15.6" hidden="1"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2:26" ht="15.6" hidden="1"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2:26" ht="15.6" hidden="1"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2:26" ht="15.6" hidden="1"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2:26" ht="15.6" hidden="1"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2:26" ht="15.6" hidden="1"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2:26" ht="15.6" hidden="1"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2:26" ht="15.6" hidden="1"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2:26" ht="15.6" hidden="1"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2:26" ht="15.6" hidden="1"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2:26" ht="15.6" hidden="1"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2:26" ht="15.6" hidden="1"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2:26" ht="15.6" hidden="1"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2:26" ht="15.6" hidden="1"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2:26" ht="15.6" hidden="1"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2:26" ht="15.6" hidden="1"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2:26" ht="15.6" hidden="1"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2:26" ht="15.6" hidden="1"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2:26" ht="15.6" hidden="1"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2:26" ht="15.6" hidden="1"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2:26" ht="15.6" hidden="1"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2:26" ht="15.6" hidden="1"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2:26" ht="15.6" hidden="1"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2:26" ht="15.6" hidden="1"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2:26" ht="15.6" hidden="1"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2:26" ht="15.6" hidden="1"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2:26" ht="15.6" hidden="1"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2:26" ht="15.6" hidden="1"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2:26" ht="15.6" hidden="1"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2:26" ht="15.6" hidden="1"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2:26" ht="15.6" hidden="1"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2:26" ht="15.6" hidden="1"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2:26" ht="15.6" hidden="1"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2:26" ht="15.6" hidden="1"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2:26" ht="15.6" hidden="1"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2:26" ht="15.6" hidden="1"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2:26" ht="15.6" hidden="1"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2:26" ht="15.6" hidden="1"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2:26" ht="15.6" hidden="1"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2:26" ht="15.6" hidden="1"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2:26" ht="15.6" hidden="1"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2:26" ht="15.6" hidden="1"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2:26" ht="15.6" hidden="1"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2:26" ht="15.6" hidden="1"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2:26" ht="15.6" hidden="1"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2:26" ht="15.6" hidden="1"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2:26" ht="15.6" hidden="1"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2:26" ht="15.6" hidden="1"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2:26" ht="15.6" hidden="1"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2:26" ht="15.6" hidden="1"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2:26" ht="15.6" hidden="1"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2:26" ht="15.6" hidden="1"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2:26" ht="15.6" hidden="1"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2:26" ht="15.6" hidden="1"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2:26" ht="15.6" hidden="1"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2:26" ht="15.6" hidden="1"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2:26" ht="15.6" hidden="1"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2:26" ht="15.6" hidden="1"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2:26" ht="15.6" hidden="1"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2:26" ht="15.6" hidden="1"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2:26" ht="15.6" hidden="1"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2:26" ht="15.6" hidden="1"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2:26" ht="15.6" hidden="1"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2:26" ht="15.6" hidden="1"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2:26" ht="15.6" hidden="1"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2:26" ht="15.6" hidden="1"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2:26" ht="15.6" hidden="1"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2:26" ht="15.6" hidden="1"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2:26" ht="15.6" hidden="1"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2:26" ht="15.6" hidden="1"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2:26" ht="15.6" hidden="1"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2:26" ht="15.6" hidden="1"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2:26" ht="15.6" hidden="1"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2:26" ht="15.6" hidden="1"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2:26" ht="15.6" hidden="1"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2:26" ht="15.6" hidden="1"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2:26" ht="15.6" hidden="1"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2:26" ht="15.6" hidden="1"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2:26" ht="15.6" hidden="1"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2:26" ht="15.6" hidden="1"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2:26" ht="15.6" hidden="1"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2:26" ht="15.6" hidden="1"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2:26" ht="15.6" hidden="1"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2:26" ht="15.6" hidden="1"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2:26" ht="15.6" hidden="1"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2:26" ht="15.6" hidden="1"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2:26" ht="15.6" hidden="1"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2:26" ht="15.6" hidden="1"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2:26" ht="15.6" hidden="1"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2:26" ht="15.6" hidden="1"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2:26" ht="15.6" hidden="1"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2:26" ht="15.6" hidden="1"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2:26" ht="15.6" hidden="1"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2:26" ht="15.6" hidden="1"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2:26" ht="15.6" hidden="1"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2:26" ht="15.6" hidden="1"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2:26" ht="15.6" hidden="1"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2:26" ht="15.6" hidden="1"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2:26" ht="15.6" hidden="1"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2:26" ht="15.6" hidden="1"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2:26" ht="15.6" hidden="1"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2:26" ht="15.6" hidden="1"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2:26" ht="15.6" hidden="1"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2:26" ht="15.6" hidden="1"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2:26" ht="15.6" hidden="1"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2:26" ht="15.6" hidden="1"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2:26" ht="15.6" hidden="1"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2:26" ht="15.6" hidden="1"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2:26" ht="15.6" hidden="1"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2:26" ht="15.6" hidden="1"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2:26" ht="15.6" hidden="1"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2:26" ht="15.6" hidden="1"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2:26" ht="15.6" hidden="1"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2:26" ht="15.6" hidden="1"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2:26" ht="15.6" hidden="1"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2:26" ht="15.6" hidden="1"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2:26" ht="15.6" hidden="1"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2:26" ht="15.6" hidden="1"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2:26" ht="15.6" hidden="1"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2:26" ht="15.6" hidden="1"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2:26" ht="15.6" hidden="1"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2:26" ht="15.6" hidden="1"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2:26" ht="15.6" hidden="1"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2:26" ht="15.6" hidden="1"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2:26" ht="15.6" hidden="1"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2:26" ht="15.6" hidden="1"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2:26" ht="15.6" hidden="1"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2:26" ht="15.6" hidden="1"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2:26" ht="15.6" hidden="1"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2:26" ht="15.6" hidden="1"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2:26" ht="15.6" hidden="1"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2:26" ht="15.6" hidden="1"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2:26" ht="15.6" hidden="1"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2:26" ht="15.6" hidden="1"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2:26" ht="15.6" hidden="1"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2:26" ht="15.6" hidden="1"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2:26" ht="15.6" hidden="1"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2:26" ht="15.6" hidden="1"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2:26" ht="15.6" hidden="1"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2:26" ht="15.6" hidden="1"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2:26" ht="15.6" hidden="1"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2:26" ht="15.6" hidden="1"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2:26" ht="15.6" hidden="1"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2:26" ht="15.6" hidden="1"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2:26" ht="15.6" hidden="1"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2:26" ht="15.6" hidden="1"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2:26" ht="15.6" hidden="1"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2:26" ht="15.6" hidden="1"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2:26" ht="15.6" hidden="1"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2:26" ht="15.6" hidden="1"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2:26" ht="15.6" hidden="1"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2:26" ht="15.6" hidden="1"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2:26" ht="15.6" hidden="1"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2:26" ht="15.6" hidden="1"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2:26" ht="15.6" hidden="1"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2:26" ht="15.6" hidden="1"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2:26" ht="15.6" hidden="1"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2:26" ht="15.6" hidden="1"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2:26" ht="15.6" hidden="1"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2:26" ht="15.6" hidden="1"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2:26" ht="15.6" hidden="1"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2:26" ht="15.6" hidden="1"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2:26" ht="15.6" hidden="1"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2:26" ht="15.6" hidden="1"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2:26" ht="15.6" hidden="1"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2:26" ht="15.6" hidden="1"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2:26" ht="15.6" hidden="1"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2:26" ht="15.6" hidden="1"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2:26" ht="15.6" hidden="1"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2:26" ht="15.6" hidden="1"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2:26" ht="15.6" hidden="1"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2:26" ht="15.6" hidden="1"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2:26" ht="15.6" hidden="1"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2:26" ht="15.6" hidden="1"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2:26" ht="15.6" hidden="1"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2:26" ht="15.6" hidden="1"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2:26" ht="15.6" hidden="1"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2:26" ht="15.6" hidden="1"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2:26" ht="15.6" hidden="1"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2:26" ht="15.6" hidden="1"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2:26" ht="15.6" hidden="1"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2:26" ht="15.6" hidden="1"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2:26" ht="15.6" hidden="1"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2:26" ht="15.6" hidden="1"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2:26" ht="15.6" hidden="1"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2:26" ht="15.6" hidden="1"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2:26" ht="15.6" hidden="1"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2:26" ht="15.6" hidden="1"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2:26" ht="15.6" hidden="1"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2:26" ht="15.6" hidden="1"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2:26" ht="15.6" hidden="1"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2:26" ht="15.6" hidden="1"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2:26" ht="15.6" hidden="1"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2:26" ht="15.6" hidden="1"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2:26" ht="15.6" hidden="1"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2:26" ht="15.6" hidden="1"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2:26" ht="15.6" hidden="1"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2:26" ht="15.6" hidden="1"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2:26" ht="15.6" hidden="1"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2:26" ht="15.6" hidden="1"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2:26" ht="15.6" hidden="1"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2:26" ht="15.6" hidden="1"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2:26" ht="15.6" hidden="1"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2:26" ht="15.6" hidden="1"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2:26" ht="15.6" hidden="1"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2:26" ht="15.6" hidden="1"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2:26" ht="15.6" hidden="1"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2:26" ht="15.6" hidden="1"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2:26" ht="15.6" hidden="1"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2:26" ht="15.6" hidden="1"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2:26" ht="15.6" hidden="1"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2:26" ht="15.6" hidden="1"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2:26" ht="15.6" hidden="1"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2:26" ht="15.6" hidden="1"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2:26" ht="15.6" hidden="1"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2:26" ht="15.6" hidden="1"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2:26" ht="15.6" hidden="1"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2:26" ht="15.6" hidden="1"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2:26" ht="15.6" hidden="1"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2:26" ht="15.6" hidden="1"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2:26" ht="15.6" hidden="1"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2:26" ht="15.6" hidden="1"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2:26" ht="15.6" hidden="1"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2:26" ht="15.6" hidden="1"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2:26" ht="15.6" hidden="1"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2:26" ht="15.6" hidden="1"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2:26" ht="15.6" hidden="1"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2:26" ht="15.6" hidden="1"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2:26" ht="15.6" hidden="1"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2:26" ht="15.6" hidden="1"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2:26" ht="15.6" hidden="1"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2:26" ht="15.6" hidden="1"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2:26" ht="15.6" hidden="1"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2:26" ht="15.6" hidden="1"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2:26" ht="15.6" hidden="1"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2:26" ht="15.6" hidden="1"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2:26" ht="15.6" hidden="1"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2:26" ht="15.6" hidden="1"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2:26" ht="15.6" hidden="1"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2:26" ht="15.6" hidden="1"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2:26" ht="15.6" hidden="1"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2:26" ht="15.6" hidden="1"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2:26" ht="15.6" hidden="1"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2:26" ht="15.6" hidden="1"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2:26" ht="15.6" hidden="1"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2:26" ht="15.6" hidden="1"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2:26" ht="15.6" hidden="1"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2:26" ht="15.6" hidden="1"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2:26" ht="15.6" hidden="1"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2:26" ht="15.6" hidden="1"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2:26" ht="15.6" hidden="1"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2:26" ht="15.6" hidden="1"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2:26" ht="15.6" hidden="1"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2:26" ht="15.6" hidden="1"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2:26" ht="15.6" hidden="1"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2:26" ht="15.6" hidden="1"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2:26" ht="15.6" hidden="1"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2:26" ht="15.6" hidden="1"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2:26" ht="15.6" hidden="1"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2:26" ht="15.6" hidden="1"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2:26" ht="15.6" hidden="1"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2:26" ht="15.6" hidden="1"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2:26" ht="15.6" hidden="1"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2:26" ht="15.6" hidden="1"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2:26" ht="15.6" hidden="1"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2:26" ht="15.6" hidden="1"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2:26" ht="15.6" hidden="1"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2:26" ht="15.6" hidden="1"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2:26" ht="15.6" hidden="1"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2:26" ht="15.6" hidden="1"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2:26" ht="15.6" hidden="1"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2:26" ht="15.6" hidden="1"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2:26" ht="15.6" hidden="1"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2:26" ht="15.6" hidden="1"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2:26" ht="15.6" hidden="1"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2:26" ht="15.6" hidden="1"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2:26" ht="15.6" hidden="1"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2:26" ht="15.6" hidden="1"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2:26" ht="15.6" hidden="1"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2:26" ht="15.6" hidden="1"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2:26" ht="15.6" hidden="1"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2:26" ht="15.6" hidden="1"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2:26" ht="15.6" hidden="1"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2:26" ht="15.6" hidden="1"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2:26" ht="15.6" hidden="1"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2:26" ht="15.6" hidden="1"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2:26" ht="15.6" hidden="1"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2:26" ht="15.6" hidden="1"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2:26" ht="15.6" hidden="1"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2:26" ht="15.6" hidden="1"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2:26" ht="15.6" hidden="1"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2:26" ht="15.6" hidden="1"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2:26" ht="15.6" hidden="1"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2:26" ht="15.6" hidden="1"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2:26" ht="15.6" hidden="1"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2:26" ht="15.6" hidden="1"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2:26" ht="15.6" hidden="1"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2:26" ht="15.6" hidden="1"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2:26" ht="15.6" hidden="1"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2:26" ht="15.6" hidden="1"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2:26" ht="15.6" hidden="1"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2:26" ht="15.6" hidden="1"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2:26" ht="15.6" hidden="1"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2:26" ht="15.6" hidden="1"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2:26" ht="15.6" hidden="1"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2:26" ht="15.6" hidden="1"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2:26" ht="15.6" hidden="1"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2:26" ht="15.6" hidden="1"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2:26" ht="15.6" hidden="1"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2:26" ht="15.6" hidden="1"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2:26" ht="15.6" hidden="1"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2:26" ht="15.6" hidden="1"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2:26" ht="15.6" hidden="1"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2:26" ht="15.6" hidden="1"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2:26" ht="15.6" hidden="1"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2:26" ht="15.6" hidden="1"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2:26" ht="15.6" hidden="1"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2:26" ht="15.6" hidden="1"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2:26" ht="15.6" hidden="1"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2:26" ht="15.6" hidden="1"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2:26" ht="15.6" hidden="1"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2:26" ht="15.6" hidden="1"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2:26" ht="15.6" hidden="1"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2:26" ht="15.6" hidden="1"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2:26" ht="15.6" hidden="1"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2:26" ht="15.6" hidden="1"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2:26" ht="15.6" hidden="1"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2:26" ht="15.6" hidden="1"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2:26" ht="15.6" hidden="1"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2:26" ht="15.6" hidden="1"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2:26" ht="15.6" hidden="1"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2:26" ht="15.6" hidden="1"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2:26" ht="15.6" hidden="1"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2:26" ht="15.6" hidden="1"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2:26" ht="15.6" hidden="1"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2:26" ht="15.6" hidden="1"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2:26" ht="15.6" hidden="1"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2:26" ht="15.6" hidden="1"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2:26" ht="15.6" hidden="1"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2:26" ht="15.6" hidden="1"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2:26" ht="15.6" hidden="1"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2:26" ht="15.6" hidden="1"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2:26" ht="15.6" hidden="1"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2:26" ht="15.6" hidden="1"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2:26" ht="15.6" hidden="1"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2:26" ht="15.6" hidden="1"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2:26" ht="15.6" hidden="1"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2:26" ht="15.6" hidden="1"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2:26" ht="15.6" hidden="1"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2:26" ht="15.6" hidden="1"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2:26" ht="15.6" hidden="1"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2:26" ht="15.6" hidden="1"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2:26" ht="15.6" hidden="1"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2:26" ht="15.6" hidden="1"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2:26" ht="15.6" hidden="1"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2:26" ht="15.6" hidden="1"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2:26" ht="15.6" hidden="1"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2:26" ht="15.6" hidden="1"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2:26" ht="15.6" hidden="1"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2:26" ht="15.6" hidden="1"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2:26" ht="15.6" hidden="1"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2:26" ht="15.6" hidden="1"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2:26" ht="15.6" hidden="1"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2:26" ht="15.6" hidden="1"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2:26" ht="15.6" hidden="1"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2:26" ht="15.6" hidden="1"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2:26" ht="15.6" hidden="1"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2:26" ht="15.6" hidden="1"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2:26" ht="15.6" hidden="1"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2:26" ht="15.6" hidden="1"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2:26" ht="15.6" hidden="1"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2:26" ht="15.6" hidden="1"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2:26" ht="15.6" hidden="1"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2:26" ht="15.6" hidden="1"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2:26" ht="15.6" hidden="1"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2:26" ht="15.6" hidden="1"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2:26" ht="15.6" hidden="1"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2:26" ht="15.6" hidden="1"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2:26" ht="15.6" hidden="1"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2:26" ht="15.6" hidden="1"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2:26" ht="15.6" hidden="1"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2:26" ht="15.6" hidden="1"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2:26" ht="15.6" hidden="1"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2:26" ht="15.6" hidden="1"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2:26" ht="15.6" hidden="1"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2:26" ht="15.6" hidden="1"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2:26" ht="15.6" hidden="1"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2:26" ht="15.6" hidden="1"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2:26" ht="15.6" hidden="1"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2:26" ht="15.6" hidden="1"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2:26" ht="15.6" hidden="1"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2:26" ht="15.6" hidden="1"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2:26" ht="15.6" hidden="1"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2:26" ht="15.6" hidden="1"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2:26" ht="15.6" hidden="1"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2:26" ht="15.6" hidden="1"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2:26" ht="15.6" hidden="1"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2:26" ht="15.6" hidden="1"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2:26" ht="15.6" hidden="1"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2:26" ht="15.6" hidden="1"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2:26" ht="15.6" hidden="1"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2:26" ht="15.6" hidden="1"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2:26" ht="15.6" hidden="1"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2:26" ht="15.6" hidden="1"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2:26" ht="15.6" hidden="1"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2:26" ht="15.6" hidden="1"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2:26" ht="15.6" hidden="1"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2:26" ht="15.6" hidden="1"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2:26" ht="15.6" hidden="1"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2:26" ht="15.6" hidden="1"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2:26" ht="15.6" hidden="1"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2:26" ht="15.6" hidden="1"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2:26" ht="15.6" hidden="1"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2:26" ht="15.6" hidden="1"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2:26" ht="15.6" hidden="1"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2:26" ht="15.6" hidden="1"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2:26" ht="15.6" hidden="1"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2:26" ht="15.6" hidden="1"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2:26" ht="15.6" hidden="1"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2:26" ht="15.6" hidden="1"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2:26" ht="15.6" hidden="1"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2:26" ht="15.6" hidden="1"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2:26" ht="15.6" hidden="1"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2:26" ht="15.6" hidden="1"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2:26" ht="15.6" hidden="1"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2:26" ht="15.6" hidden="1"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2:26" ht="15.6" hidden="1"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2:26" ht="15.6" hidden="1"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2:26" ht="15.6" hidden="1"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2:26" ht="15.6" hidden="1"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2:26" ht="15.6" hidden="1"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2:26" ht="15.6" hidden="1"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2:26" ht="15.6" hidden="1"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2:26" ht="15.6" hidden="1"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2:26" ht="15.6" hidden="1"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2:26" ht="15.6" hidden="1"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2:26" ht="15.6" hidden="1"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2:26" ht="15.6" hidden="1"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2:26" ht="15.6" hidden="1"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2:26" ht="15.6" hidden="1"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2:26" ht="15.6" hidden="1"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2:26" ht="15.6" hidden="1"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2:26" ht="15.6" hidden="1"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2:26" ht="15.6" hidden="1"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2:26" ht="15.6" hidden="1"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2:26" ht="15.6" hidden="1"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2:26" ht="15.6" hidden="1"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2:26" ht="15.6" hidden="1"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2:26" ht="15.6" hidden="1"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2:26" ht="15.6" hidden="1"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2:26" ht="15.6" hidden="1"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2:26" ht="15.6" hidden="1"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2:26" ht="15.6" hidden="1"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2:26" ht="15.6" hidden="1"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2:26" ht="15.6" hidden="1"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2:26" ht="15.6" hidden="1"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2:26" ht="15.6" hidden="1"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2:26" ht="15.6" hidden="1"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2:26" ht="15.6" hidden="1"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2:26" ht="15.6" hidden="1"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2:26" ht="15.6" hidden="1"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2:26" ht="15.6" hidden="1"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2:26" ht="15.6" hidden="1"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2:26" ht="15.6" hidden="1"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2:26" ht="15.6" hidden="1"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2:26" ht="15.6" hidden="1"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2:26" ht="15.6" hidden="1"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2:26" ht="15.6" hidden="1"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2:26" ht="15.6" hidden="1"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2:26" ht="15.6" hidden="1"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2:26" ht="15.6" hidden="1"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2:26" ht="15.6" hidden="1"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2:26" ht="15.6" hidden="1"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2:26" ht="15.6" hidden="1"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2:26" ht="15.6" hidden="1"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2:26" ht="15.6" hidden="1"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2:26" ht="15.6" hidden="1"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2:26" ht="15.6" hidden="1"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2:26" ht="15.6" hidden="1"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2:26" ht="15.6" hidden="1"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2:26" ht="15.6" hidden="1"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2:26" ht="15.6" hidden="1"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2:26" ht="15.6" hidden="1"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2:26" ht="15.6" hidden="1"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2:26" ht="15.6" hidden="1"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2:26" ht="15.6" hidden="1"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2:26" ht="15.6" hidden="1"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2:26" ht="15.6" hidden="1"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2:26" ht="15.6" hidden="1"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2:26" ht="15.6" hidden="1"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2:26" ht="15.6" hidden="1"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2:26" ht="15.6" hidden="1"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2:26" ht="15.6" hidden="1"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2:26" ht="15.6" hidden="1"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2:26" ht="15.6" hidden="1"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2:26" ht="15.6" hidden="1"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2:26" ht="15.6" hidden="1"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2:26" ht="15.6" hidden="1"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2:26" ht="15.6" hidden="1"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2:26" ht="15.6" hidden="1"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2:26" ht="15.6" hidden="1"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2:26" ht="15.6" hidden="1"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2:26" ht="15.6" hidden="1"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2:26" ht="15.6" hidden="1"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2:26" ht="15.6" hidden="1"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2:26" ht="15.6" hidden="1"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2:26" ht="15.6" hidden="1"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2:26" ht="15.6" hidden="1"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2:26" ht="15.6" hidden="1"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2:26" ht="15.6" hidden="1"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2:26" ht="15.6" hidden="1"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2:26" ht="15.6" hidden="1"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2:26" ht="15.6" hidden="1"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2:26" ht="15.6" hidden="1"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2:26" ht="15.6" hidden="1"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2:26" ht="15.6" hidden="1"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2:26" ht="15.6" hidden="1"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2:26" ht="15.6" hidden="1"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2:26" ht="15.6" hidden="1"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2:26" ht="15.6" hidden="1"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2:26" ht="15.6" hidden="1"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2:26" ht="15.6" hidden="1"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2:26" ht="15.6" hidden="1"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2:26" ht="15.6" hidden="1"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2:26" ht="15.6" hidden="1"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2:26" ht="15.6" hidden="1"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2:26" ht="15.6" hidden="1"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2:26" ht="15.6" hidden="1"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2:26" ht="15.6" hidden="1"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2:26" ht="15.6" hidden="1"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2:26" ht="15.6" hidden="1"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2:26" ht="15.6" hidden="1"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2:26" ht="15.6" hidden="1"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2:26" ht="15.6" hidden="1"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2:26" ht="15.6" hidden="1"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2:26" ht="15.6" hidden="1"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2:26" ht="15.6" hidden="1"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2:26" ht="15.6" hidden="1"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2:26" ht="15.6" hidden="1"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2:26" ht="15.6" hidden="1"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2:26" ht="15.6" hidden="1"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2:26" ht="15.6" hidden="1"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2:26" ht="15.6" hidden="1"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2:26" ht="15.6" hidden="1"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2:26" ht="15.6" hidden="1"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2:26" ht="15.6" hidden="1"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2:26" ht="15.6" hidden="1"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2:26" ht="15.6" hidden="1"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2:26" ht="15.6" hidden="1"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2:26" ht="15.6" hidden="1"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2:26" ht="15.6" hidden="1"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2:26" ht="15.6" hidden="1"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2:26" ht="15.6" hidden="1"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2:26" ht="15.6" hidden="1"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2:26" ht="15.6" hidden="1"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2:26" ht="15.6" hidden="1"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2:26" ht="15.6" hidden="1"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2:26" ht="15.6" hidden="1"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2:26" ht="15.6" hidden="1"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2:26" ht="15.6" hidden="1"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2:26" ht="15.6" hidden="1"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2:26" ht="15.6" hidden="1"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2:26" ht="15.6" hidden="1"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2:26" ht="15.6" hidden="1"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2:26" ht="15.6" hidden="1"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2:26" ht="15.6" hidden="1"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2:26" ht="15.6" hidden="1"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2:26" ht="15.6" hidden="1"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2:26" ht="15.6" hidden="1"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2:26" ht="15.6" hidden="1"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2:26" ht="15.6" hidden="1"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2:26" ht="15.6" hidden="1"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2:26" ht="15.6" hidden="1"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2:26" ht="15.6" hidden="1"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2:26" ht="15.6" hidden="1"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2:26" ht="15.6" hidden="1"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2:26" ht="15.6" hidden="1"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2:26" ht="15.6" hidden="1"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2:26" ht="15.6" hidden="1"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2:26" ht="15.6" hidden="1"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2:26" ht="15.6" hidden="1"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2:26" ht="15.6" hidden="1"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2:26" ht="15.6" hidden="1"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2:26" ht="15.6" hidden="1"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2:26" ht="15.6" hidden="1"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2:26" ht="15.6" hidden="1"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2:26" ht="15.6" hidden="1"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2:26" ht="15.6" hidden="1"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2:26" ht="15.6" hidden="1"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2:26" ht="15.6" hidden="1"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2:26" ht="15.6" hidden="1"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2:26" ht="15.6" hidden="1"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2:26" ht="15.6" hidden="1"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2:26" ht="15.6" hidden="1"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2:26" ht="15.6" hidden="1"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2:26" ht="15.6" hidden="1"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2:26" ht="15.6" hidden="1"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2:26" ht="15.6" hidden="1"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2:26" ht="15.6" hidden="1"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2:26" ht="15.6" hidden="1"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2:26" ht="15.6" hidden="1"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2:26" ht="15.6" hidden="1"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2:26" ht="15.6" hidden="1"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2:26" ht="15.6" hidden="1"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2:26" ht="15.6" hidden="1"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2:26" ht="15.6" hidden="1"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2:26" ht="15.6" hidden="1"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2:26" ht="15.6" hidden="1"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2:26" ht="15.6" hidden="1"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2:26" ht="15.6" hidden="1"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2:26" ht="15.6" hidden="1"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2:26" ht="15.6" hidden="1"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2:26" ht="15.6" hidden="1"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2:26" ht="15.6" hidden="1"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2:26" ht="15.6" hidden="1"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2:26" ht="15.6" hidden="1"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2:26" ht="15.6" hidden="1"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2:26" ht="15.6" hidden="1"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2:26" ht="15.6" hidden="1"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2:26" ht="15.6" hidden="1"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2:26" ht="15.6" hidden="1"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2:26" ht="15.6" hidden="1"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2:26" ht="15.6" hidden="1"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2:26" ht="15.6" hidden="1"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2:26" ht="15.6" hidden="1"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2:26" ht="15.6" hidden="1"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2:26" ht="15.6" hidden="1"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2:26" ht="15.6" hidden="1"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2:26" ht="15.6" hidden="1"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2:26" ht="15.6" hidden="1"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2:26" ht="15.6" hidden="1"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2:26" ht="15.6" hidden="1"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2:26" ht="15.6" hidden="1"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2:26" ht="15.6" hidden="1"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2:26" ht="15.6" hidden="1"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2:26" ht="15.6" hidden="1"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2:26" ht="15.6" hidden="1"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2:26" ht="15.6" hidden="1"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2:26" ht="15.6" hidden="1"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2:26" ht="15.6" hidden="1"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2:26" ht="15.6" hidden="1"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2:26" ht="15.6" hidden="1"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2:26" ht="15.6" hidden="1"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2:26" ht="15.6" hidden="1"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2:26" ht="15.6" hidden="1"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2:26" ht="15.6" hidden="1"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2:26" ht="15.6" hidden="1"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2:26" ht="15.6" hidden="1"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2:26" ht="15.6" hidden="1"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2:26" ht="15.6" hidden="1"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2:26" ht="15.6" hidden="1"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2:26" ht="15.6" hidden="1"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2:26" ht="15.6" hidden="1"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2:26" ht="15.6" hidden="1"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2:26" ht="15.6" hidden="1"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2:26" ht="15.6" hidden="1"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2:26" ht="15.6" hidden="1"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2:26" ht="15.6" hidden="1"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2:26" ht="15.6" hidden="1"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2:26" ht="15.6" hidden="1"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2:26" ht="15.6" hidden="1"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2:26" ht="15.6" hidden="1"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2:26" ht="15.6" hidden="1"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2:26" ht="15.6" hidden="1"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2:26" ht="15.6" hidden="1"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2:26" ht="15.6" hidden="1"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2:26" ht="15.6" hidden="1"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2:26" ht="15.6" hidden="1"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2:26" ht="15.6" hidden="1"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2:26" ht="15.6" hidden="1"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2:26" ht="15.6" hidden="1"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2:26" ht="15.6" hidden="1"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2:26" ht="15.6" hidden="1"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2:26" ht="15.6" hidden="1"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2:26" ht="15.6" hidden="1"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2:26" ht="15.6" hidden="1"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2:26" ht="15.6" hidden="1"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2:26" ht="15.6" hidden="1"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2:26" ht="15.6" hidden="1"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2:26" ht="15.6" hidden="1"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2:26" ht="15.6" hidden="1"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2:26" ht="15.6" hidden="1"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2:26" ht="15.6" hidden="1"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2:26" ht="15.6" hidden="1"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2:26" ht="15.6" hidden="1"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2:26" ht="15.6" hidden="1"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2:26" ht="15.6" hidden="1"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2:26" ht="15.6" hidden="1"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2:26" ht="15.6" hidden="1"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2:26" ht="15.6" hidden="1"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2:26" ht="15.6" hidden="1"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2:26" ht="15.6" hidden="1"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2:26" ht="15.6" hidden="1"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2:26" ht="15.6" hidden="1"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2:26" ht="15.6" hidden="1"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2:26" ht="15.6" hidden="1"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2:26" ht="15.6" hidden="1"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2:26" ht="15.6" hidden="1"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2:26" ht="15.6" hidden="1"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2:26" ht="15.6" hidden="1"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2:26" ht="15.6" hidden="1"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2:26" ht="15.6" hidden="1"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2:26" ht="15.6" hidden="1"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2:26" ht="15.6" hidden="1"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2:26" ht="15.6" hidden="1"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2:26" ht="15.6" hidden="1"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2:26" ht="15.6" hidden="1"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2:26" ht="15.6" hidden="1"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2:26" ht="15.6" hidden="1"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2:26" ht="15.6" hidden="1"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2:26" ht="15.6" hidden="1"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2:26" ht="15.6" hidden="1"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2:26" ht="15.6" hidden="1"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2:26" ht="15.6" hidden="1"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2:26" ht="15.6" hidden="1"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2:26" ht="15.6" hidden="1"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2:26" ht="15.6" hidden="1"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2:26" ht="15.6" hidden="1"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2:26" ht="15.6" hidden="1"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2:26" ht="15.6" hidden="1"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2:26" ht="15.6" hidden="1"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2:26" ht="15.6" hidden="1"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2:26" ht="15.6" hidden="1"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2:26" ht="15.6" hidden="1"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2:26" ht="15.6" hidden="1"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2:26" ht="15.6" hidden="1"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2:26" ht="15.6" hidden="1"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2:26" ht="15.6" hidden="1"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2:26" ht="15.6" hidden="1"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2:26" ht="15.6" hidden="1"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2:26" ht="15.6" hidden="1"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2:26" ht="15.6" hidden="1"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2:26" ht="15.6" hidden="1"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2:26" ht="15.6" hidden="1"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2:26" ht="15.6" hidden="1"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2:26" ht="15.6" hidden="1"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2:26" ht="15.6" hidden="1"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2:26" ht="15.6" hidden="1"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2:26" ht="15.6" hidden="1"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2:26" ht="15.6" hidden="1"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2:26" ht="15.6" hidden="1"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2:26" ht="15.6" hidden="1"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2:26" ht="15.6" hidden="1"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2:26" ht="15.6" hidden="1"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2:26" ht="15.6" hidden="1"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2:26" ht="15.6" hidden="1"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2:26" ht="15.6" hidden="1"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2:26" ht="15.6" hidden="1"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2:26" ht="15.6" hidden="1"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2:26" ht="15.6" hidden="1"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2:26" ht="15.6" hidden="1"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2:26" ht="15.6" hidden="1"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2:26" ht="15.6" hidden="1"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2:26" ht="15.6" hidden="1"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2:26" ht="15.6" hidden="1"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2:26" ht="15.6" hidden="1"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2:26" ht="15.6" hidden="1"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2:26" ht="15.6" hidden="1"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2:26" ht="15.6" hidden="1"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2:26" ht="15.6" hidden="1"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2:26" ht="15.6" hidden="1"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2:26" ht="15.6" hidden="1"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2:26" ht="15.6" hidden="1"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2:26" ht="15.6" hidden="1"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2:26" ht="15.6" hidden="1"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2:26" ht="15.6" hidden="1"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2:26" ht="15.6" hidden="1"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2:26" ht="15.6" hidden="1"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2:26" ht="15.6" hidden="1"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2:26" ht="15.6" hidden="1"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2:26" ht="15.6" hidden="1"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2:26" ht="15.6" hidden="1"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2:26" ht="15.6" hidden="1"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2:26" ht="15.6" hidden="1"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2:26" ht="15.6" hidden="1"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2:26" ht="15.6" hidden="1"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2:26" ht="15.6" hidden="1"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2:26" ht="15.6" hidden="1"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2:26" ht="15.6" hidden="1"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2:26" ht="15.6" hidden="1"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2:26" ht="15.6" hidden="1"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2:26" ht="15.6" hidden="1"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2:26" ht="15.6" hidden="1"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2:26" ht="15.6" hidden="1"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2:26" ht="15.6" hidden="1"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2:26" ht="15.6" hidden="1"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2:26" ht="15.6" hidden="1"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2:26" ht="15.6" hidden="1"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2:26" ht="15.6" hidden="1"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2:26" ht="15.6" hidden="1"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2:26" ht="15.6" hidden="1"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2:26" ht="15.6" hidden="1"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2:26" ht="15.6" hidden="1"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2:26" ht="15.6" hidden="1"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2:26" ht="15.6" hidden="1"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2:26" ht="15.6" hidden="1"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2:26" ht="15.6" hidden="1"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2:26" ht="15.6" hidden="1"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2:26" ht="15.6" hidden="1"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2:26" ht="15.6" hidden="1"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2:26" ht="15.6" hidden="1"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2:26" ht="15.6" hidden="1"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2:26" ht="15.6" hidden="1"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2:26" ht="15.6" hidden="1"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2:26" ht="15.6" hidden="1"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2:26" ht="15.6" hidden="1"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2:26" ht="15.6" hidden="1"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2:26" ht="15.6" hidden="1"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2:26" ht="15.6" hidden="1"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2:26" ht="15.6" hidden="1"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2:26" ht="15.6" hidden="1"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2:26" ht="15.6" hidden="1"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2:26" ht="15.6" hidden="1"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2:26" ht="15.6" hidden="1"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2:26" ht="15.6" hidden="1"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2:26" ht="15.6" hidden="1"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2:26" ht="15.6" hidden="1"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2:26" ht="15.6" hidden="1"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2:26" ht="15.6" hidden="1"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2:26" ht="15.6" hidden="1"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2:26" ht="15.6" hidden="1"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2:26" ht="15.6" hidden="1"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2:26" ht="15.6" hidden="1"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2:26" ht="15.6" hidden="1"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2:26" ht="15.6" hidden="1"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2:26" ht="15.6" hidden="1"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2:26" ht="15.6" hidden="1"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2:26" ht="15.6" hidden="1"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2:26" ht="15.6" hidden="1"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2:26" ht="15.6" hidden="1"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2:26" ht="15.6" hidden="1"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2:26" ht="15.6" hidden="1"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2:26" ht="15.6" hidden="1"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2:26" ht="15.6" hidden="1"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2:26" ht="15.6" hidden="1"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2:26" ht="15.6" hidden="1"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2:26" ht="15.6" hidden="1"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2:26" ht="15.6" hidden="1"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2:26" ht="15.6" hidden="1"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2:26" ht="15.6" hidden="1"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2:26" ht="15.6" hidden="1"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2:26" ht="15.6" hidden="1"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2:26" ht="15.6" hidden="1"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2:26" ht="15.6" hidden="1"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2:26" ht="15.6" hidden="1"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2:26" ht="15.6" hidden="1"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2:26" ht="15.6" hidden="1"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2:26" ht="15.6" hidden="1"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2:26" ht="15.6" hidden="1"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2:26" ht="15.6" hidden="1"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2:26" ht="15.6" hidden="1"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2:26" ht="15.6" hidden="1"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2:26" ht="15.6" hidden="1"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2:26" ht="15.6" hidden="1"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2:26" ht="15.6" hidden="1"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2:26" ht="15.6" hidden="1"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2:26" ht="15.6" hidden="1"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2:26" ht="15.6" hidden="1"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2:26" ht="15.6" hidden="1"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2:26" ht="15.6" hidden="1"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2:26" ht="15.6" hidden="1"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2:26" ht="15.6" hidden="1"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2:26" ht="15.6" hidden="1"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2:26" ht="15.6" hidden="1"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2:26" ht="15.6" hidden="1"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2:26" ht="15.6" hidden="1"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2:26" ht="15.6" hidden="1"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2:26" ht="15.6" hidden="1"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2:26" ht="15.6" hidden="1"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2:26" ht="15.6" hidden="1"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2:26" ht="15.6" hidden="1"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2:26" ht="15.6" hidden="1"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2:26" ht="15.6" hidden="1"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2:26" ht="15.6" hidden="1"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2:26" ht="15.6" hidden="1"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2:26" ht="15.6" hidden="1"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2:26" ht="15.6" hidden="1"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2:26" ht="15.6" hidden="1"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2:26" ht="15.6" hidden="1"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2:26" ht="15.6" hidden="1"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2:26" ht="15.6" hidden="1"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2:26" ht="15.6" hidden="1"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2:26" ht="15.6" hidden="1"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2:26" ht="15.6" hidden="1"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2:26" ht="15.6" hidden="1"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2:26" ht="15.6" hidden="1"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2:26" ht="15.6" hidden="1"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2:26" ht="15.6" hidden="1"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2:26" ht="15.6" hidden="1"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2:26" ht="15.6" hidden="1"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2:26" ht="15.6" hidden="1"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2:26" ht="15.6" hidden="1"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2:26" ht="15.6" hidden="1"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2:26" ht="15.6" hidden="1"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2:26" ht="15.6" hidden="1"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2:26" ht="15.6" hidden="1"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2:26" ht="15.6" hidden="1"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2:26" ht="15.6" hidden="1"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2:26" ht="15.6" hidden="1"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2:26" ht="15.6" hidden="1"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2:26" ht="15.6" hidden="1"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2:26" ht="15.6" hidden="1"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2:26" ht="15.6" hidden="1"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2:26" ht="15.6" hidden="1"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2:26" ht="15.6" hidden="1"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2:26" ht="15.6" hidden="1"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2:26" ht="15.6" hidden="1"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2:26" ht="15.6" hidden="1"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2:26" ht="15.6" hidden="1"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2:26" ht="15.6" hidden="1"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2:26" ht="15.6" hidden="1"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2:26" ht="15.6" hidden="1"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2:26" ht="15.6" hidden="1"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교육과정편제표(건설시스템과)</vt:lpstr>
      <vt:lpstr>실무과목 능력단위(건설시스템과)</vt:lpstr>
      <vt:lpstr>삭제금지</vt:lpstr>
      <vt:lpstr>(참고1) 편성 기준🔐</vt:lpstr>
      <vt:lpstr>'교육과정편제표(건설시스템과)'!Print_Area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2021-10-27T23:58:37Z</cp:lastPrinted>
  <dcterms:created xsi:type="dcterms:W3CDTF">2020-03-04T02:26:59Z</dcterms:created>
  <dcterms:modified xsi:type="dcterms:W3CDTF">2026-10-21T23:44:06Z</dcterms:modified>
</cp:coreProperties>
</file>