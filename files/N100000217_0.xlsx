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(2026)교육과정업무\편제표\2027학년도 신입생 편제표 교육청 제출\"/>
    </mc:Choice>
  </mc:AlternateContent>
  <xr:revisionPtr revIDLastSave="0" documentId="13_ncr:1_{1AB0E39A-DEB3-4036-913B-CE6C808DF85E}" xr6:coauthVersionLast="47" xr6:coauthVersionMax="47" xr10:uidLastSave="{00000000-0000-0000-0000-000000000000}"/>
  <bookViews>
    <workbookView xWindow="-120" yWindow="-120" windowWidth="29040" windowHeight="15720" tabRatio="795" xr2:uid="{00000000-000D-0000-FFFF-FFFF00000000}"/>
  </bookViews>
  <sheets>
    <sheet name="교육과정편제표(국제통상외국어과)" sheetId="8" r:id="rId1"/>
    <sheet name="실무과목 능력단위(국제통상외국어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'교육과정편제표(국제통상외국어과)'!$M$3:$P$4</definedName>
    <definedName name="_xlnm._FilterDatabase" localSheetId="2" hidden="1">삭제금지!$A$1:$F$151</definedName>
    <definedName name="_xlnm._FilterDatabase" localSheetId="1" hidden="1">'실무과목 능력단위(국제통상외국어과)'!#REF!</definedName>
    <definedName name="_xlnm.Print_Area" localSheetId="0">'교육과정편제표(국제통상외국어과)'!$A$1:$AE$77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2" i="14" l="1"/>
  <c r="U33" i="14"/>
  <c r="U34" i="14"/>
  <c r="U35" i="14"/>
  <c r="U36" i="14"/>
  <c r="U37" i="14"/>
  <c r="U41" i="14" s="1"/>
  <c r="U38" i="14"/>
  <c r="U39" i="14"/>
  <c r="U40" i="14"/>
  <c r="U42" i="14"/>
  <c r="U47" i="14" s="1"/>
  <c r="U43" i="14"/>
  <c r="U44" i="14"/>
  <c r="U45" i="14"/>
  <c r="U46" i="14"/>
  <c r="U31" i="14"/>
  <c r="U24" i="14"/>
  <c r="T24" i="14"/>
  <c r="T31" i="14"/>
  <c r="T47" i="14"/>
  <c r="U19" i="14"/>
  <c r="U20" i="14"/>
  <c r="U21" i="14"/>
  <c r="U22" i="14"/>
  <c r="U23" i="14"/>
  <c r="U25" i="14"/>
  <c r="U26" i="14"/>
  <c r="U27" i="14"/>
  <c r="U28" i="14"/>
  <c r="U29" i="14"/>
  <c r="U30" i="14"/>
  <c r="U14" i="14"/>
  <c r="U18" i="14" s="1"/>
  <c r="U15" i="14"/>
  <c r="U16" i="14"/>
  <c r="U17" i="14"/>
  <c r="T46" i="14"/>
  <c r="T45" i="14"/>
  <c r="T44" i="14"/>
  <c r="T43" i="14"/>
  <c r="T42" i="14"/>
  <c r="T40" i="14"/>
  <c r="T39" i="14"/>
  <c r="T38" i="14"/>
  <c r="T37" i="14"/>
  <c r="T35" i="14"/>
  <c r="T34" i="14"/>
  <c r="T33" i="14"/>
  <c r="T32" i="14"/>
  <c r="T26" i="14"/>
  <c r="T27" i="14"/>
  <c r="T28" i="14"/>
  <c r="T29" i="14"/>
  <c r="T30" i="14"/>
  <c r="T25" i="14"/>
  <c r="T20" i="14"/>
  <c r="T21" i="14"/>
  <c r="T22" i="14"/>
  <c r="T23" i="14"/>
  <c r="T19" i="14"/>
  <c r="T15" i="14"/>
  <c r="T16" i="14"/>
  <c r="T17" i="14"/>
  <c r="T14" i="14"/>
  <c r="T10" i="14"/>
  <c r="T11" i="14"/>
  <c r="T41" i="14" l="1"/>
  <c r="T36" i="14"/>
  <c r="T18" i="14"/>
  <c r="W50" i="8"/>
  <c r="W56" i="8"/>
  <c r="W43" i="8" l="1"/>
  <c r="W42" i="8"/>
  <c r="W39" i="8"/>
  <c r="W38" i="8"/>
  <c r="J26" i="8"/>
  <c r="J25" i="8"/>
  <c r="W18" i="8"/>
  <c r="W17" i="8"/>
  <c r="W16" i="8"/>
  <c r="W15" i="8"/>
  <c r="W19" i="8"/>
  <c r="W20" i="8"/>
  <c r="W21" i="8"/>
  <c r="W22" i="8"/>
  <c r="W23" i="8"/>
  <c r="W24" i="8"/>
  <c r="X23" i="8" l="1"/>
  <c r="X15" i="8"/>
  <c r="X19" i="8"/>
  <c r="X21" i="8"/>
  <c r="S75" i="8" l="1"/>
  <c r="O75" i="8"/>
  <c r="K75" i="8"/>
  <c r="W74" i="8"/>
  <c r="Y74" i="8" s="1"/>
  <c r="W73" i="8"/>
  <c r="AA74" i="8" s="1"/>
  <c r="Y70" i="8"/>
  <c r="W70" i="8"/>
  <c r="Y67" i="8"/>
  <c r="U67" i="8"/>
  <c r="S67" i="8"/>
  <c r="Q67" i="8"/>
  <c r="O67" i="8"/>
  <c r="M67" i="8"/>
  <c r="K67" i="8"/>
  <c r="I67" i="8"/>
  <c r="I69" i="8" s="1"/>
  <c r="H67" i="8"/>
  <c r="J67" i="8"/>
  <c r="W49" i="8"/>
  <c r="W48" i="8"/>
  <c r="W47" i="8"/>
  <c r="W46" i="8"/>
  <c r="W45" i="8"/>
  <c r="W44" i="8"/>
  <c r="W41" i="8"/>
  <c r="W40" i="8"/>
  <c r="Y37" i="8"/>
  <c r="U37" i="8"/>
  <c r="S37" i="8"/>
  <c r="Q37" i="8"/>
  <c r="O37" i="8"/>
  <c r="M37" i="8"/>
  <c r="K37" i="8"/>
  <c r="H37" i="8"/>
  <c r="W31" i="8"/>
  <c r="W29" i="8"/>
  <c r="W28" i="8"/>
  <c r="W27" i="8"/>
  <c r="W26" i="8"/>
  <c r="W25" i="8"/>
  <c r="W14" i="8"/>
  <c r="W13" i="8"/>
  <c r="W12" i="8"/>
  <c r="W11" i="8"/>
  <c r="W10" i="8"/>
  <c r="W9" i="8"/>
  <c r="X25" i="8" l="1"/>
  <c r="O69" i="8"/>
  <c r="M69" i="8"/>
  <c r="W75" i="8"/>
  <c r="Q69" i="8"/>
  <c r="U69" i="8"/>
  <c r="W67" i="8"/>
  <c r="S69" i="8"/>
  <c r="X12" i="8"/>
  <c r="J37" i="8"/>
  <c r="J69" i="8" s="1"/>
  <c r="X9" i="8"/>
  <c r="AA76" i="8"/>
  <c r="Y69" i="8"/>
  <c r="H69" i="8"/>
  <c r="W37" i="8"/>
  <c r="AA37" i="8" s="1"/>
  <c r="W61" i="8"/>
  <c r="K69" i="8"/>
  <c r="U11" i="14"/>
  <c r="T12" i="14"/>
  <c r="K10" i="14"/>
  <c r="I10" i="14"/>
  <c r="U12" i="14" l="1"/>
  <c r="U10" i="14"/>
  <c r="W69" i="8"/>
  <c r="AA71" i="8" s="1"/>
  <c r="I9" i="14"/>
  <c r="K9" i="14"/>
  <c r="M13" i="14"/>
  <c r="O13" i="14"/>
  <c r="T9" i="14"/>
  <c r="H13" i="14"/>
  <c r="I13" i="14"/>
  <c r="J13" i="14"/>
  <c r="K13" i="14"/>
  <c r="L13" i="14"/>
  <c r="N13" i="14"/>
  <c r="P13" i="14"/>
  <c r="R13" i="14"/>
  <c r="U9" i="14" l="1"/>
  <c r="U13" i="14" s="1"/>
  <c r="Q13" i="14"/>
  <c r="S13" i="14"/>
  <c r="T1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0" authorId="0" shapeId="0" xr:uid="{94A773AC-2CEE-4B7D-9606-66E5367CE546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1" authorId="0" shapeId="0" xr:uid="{E6BDCF90-7287-4078-BF7B-EB2029076E3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7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<sst xmlns="http://schemas.openxmlformats.org/spreadsheetml/2006/main" count="1481" uniqueCount="632">
  <si>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</si>
  <si>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</si>
  <si>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</si>
  <si>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</si>
  <si>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</si>
  <si>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</si>
  <si>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</si>
  <si>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</si>
  <si>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</si>
  <si>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</si>
  <si>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</si>
  <si>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</si>
  <si>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</si>
  <si>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</si>
  <si>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</si>
  <si>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</si>
  <si>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</si>
  <si>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</si>
  <si>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</si>
  <si>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</si>
  <si>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</si>
  <si>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</si>
  <si>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</si>
  <si>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</si>
  <si>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</si>
  <si>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</si>
  <si>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</si>
  <si>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</si>
  <si>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</si>
  <si>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</si>
  <si>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</si>
  <si>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</si>
  <si>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</si>
  <si>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</si>
  <si>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</si>
  <si>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</si>
  <si>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</si>
  <si>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</si>
  <si>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</si>
  <si>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</si>
  <si>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</si>
  <si>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</si>
  <si>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</si>
  <si>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</si>
  <si>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</si>
  <si>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</si>
  <si>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</si>
  <si>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</si>
  <si>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</si>
  <si>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</si>
  <si>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</si>
  <si>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</si>
  <si>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</si>
  <si>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</si>
  <si>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</si>
  <si>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</si>
  <si>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</si>
  <si>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</si>
  <si>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</si>
  <si>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</si>
  <si>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</si>
  <si>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</si>
  <si>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</si>
  <si>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</si>
  <si>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</si>
  <si>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</si>
  <si>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</si>
  <si>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</si>
  <si>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</si>
  <si>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</si>
  <si>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</si>
  <si>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</si>
  <si>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</si>
  <si>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</si>
  <si>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</si>
  <si>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</si>
  <si>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</si>
  <si>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</si>
  <si>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</si>
  <si>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</si>
  <si>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</si>
  <si>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</si>
  <si>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</si>
  <si>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</si>
  <si>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</si>
  <si>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</si>
  <si>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</si>
  <si>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</si>
  <si>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</si>
  <si>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</si>
  <si>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</si>
  <si>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</si>
  <si>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</si>
  <si>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</si>
  <si>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</si>
  <si>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</si>
  <si>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</si>
  <si>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</si>
  <si>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</si>
  <si>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</si>
  <si>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</si>
  <si>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</si>
  <si>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</si>
  <si>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</si>
  <si>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</si>
  <si>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</si>
  <si>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</si>
  <si>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</si>
  <si>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</si>
  <si>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</si>
  <si>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</si>
  <si>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</si>
  <si>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</si>
  <si>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</si>
  <si>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</si>
  <si>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</si>
  <si>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</si>
  <si>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</si>
  <si>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</si>
  <si>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</si>
  <si>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</si>
  <si>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</si>
  <si>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</si>
  <si>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</si>
  <si>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</si>
  <si>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</si>
  <si>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</si>
  <si>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</si>
  <si>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</si>
  <si>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</si>
  <si>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</si>
  <si>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</si>
  <si>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</si>
  <si>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</si>
  <si>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</si>
  <si>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</si>
  <si>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</si>
  <si>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</si>
  <si>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</si>
  <si>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</si>
  <si>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</si>
  <si>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</si>
  <si>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</si>
  <si>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</si>
  <si>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</si>
  <si>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</si>
  <si>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</si>
  <si>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</si>
  <si>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</si>
  <si>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회계실무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</si>
  <si>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</si>
  <si>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</si>
  <si>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</si>
  <si>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</si>
  <si>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</si>
  <si>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</si>
  <si>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</si>
  <si>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</si>
  <si>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</si>
  <si>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</si>
  <si>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</si>
  <si>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</si>
  <si>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</si>
  <si>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</si>
  <si>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</si>
  <si>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</si>
  <si>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</si>
  <si>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</si>
  <si>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</si>
  <si>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</si>
  <si>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</si>
  <si>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</si>
  <si>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</si>
  <si>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</si>
  <si>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</si>
  <si>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</si>
  <si>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</si>
  <si>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</si>
  <si>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</si>
  <si>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</si>
  <si>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</si>
  <si>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</si>
  <si>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</si>
  <si>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</si>
  <si>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</si>
  <si>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</si>
  <si>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</si>
  <si>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</si>
  <si>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</si>
  <si>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</si>
  <si>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</si>
  <si>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</si>
  <si>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</si>
  <si>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</si>
  <si>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</si>
  <si>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</si>
  <si>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</si>
  <si>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</si>
  <si>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</si>
  <si>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</si>
  <si>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</si>
  <si>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</si>
  <si>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</si>
  <si>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</si>
  <si>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</si>
  <si>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</si>
  <si>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</si>
  <si>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</si>
  <si>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</si>
  <si>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</si>
  <si>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</si>
  <si>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</si>
  <si>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</si>
  <si>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</si>
  <si>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</si>
  <si>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</si>
  <si>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</si>
  <si>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</si>
  <si>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</si>
  <si>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</si>
  <si>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</si>
  <si>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</si>
  <si>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</si>
  <si>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</si>
  <si>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</si>
  <si>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</si>
  <si>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</si>
  <si>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</si>
  <si>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</si>
  <si>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</si>
  <si>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</si>
  <si>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</si>
  <si>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</si>
  <si>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</si>
  <si>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</si>
  <si>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</si>
  <si>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</si>
  <si>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</si>
  <si>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</si>
  <si>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</si>
  <si>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</si>
  <si>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</si>
  <si>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</si>
  <si>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</si>
  <si>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</si>
  <si>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</si>
  <si>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</si>
  <si>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</si>
  <si>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</si>
  <si>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</si>
  <si>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</si>
  <si>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</si>
  <si>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</si>
  <si>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</si>
  <si>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</si>
  <si>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</si>
  <si>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</si>
  <si>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</si>
  <si>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</si>
  <si>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</si>
  <si>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</si>
  <si>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</si>
  <si>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</si>
  <si>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</si>
  <si>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</si>
  <si>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</si>
  <si>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</si>
  <si>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</si>
  <si>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</si>
  <si>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</si>
  <si>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</si>
  <si>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</si>
  <si>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</si>
  <si>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</si>
  <si>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</si>
  <si>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</si>
  <si>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</si>
  <si>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</si>
  <si>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</si>
  <si>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</si>
  <si>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</si>
  <si>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</si>
  <si>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</si>
  <si>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</si>
  <si>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</si>
  <si>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</si>
  <si>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</si>
  <si>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</si>
  <si>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</si>
  <si>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</si>
  <si>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</si>
  <si>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</si>
  <si>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</si>
  <si>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</si>
  <si>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</si>
  <si>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</si>
  <si>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</si>
  <si>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</si>
  <si>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</si>
  <si>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</si>
  <si>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</si>
  <si>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</si>
  <si>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</si>
  <si>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</si>
  <si>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</si>
  <si>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</si>
  <si>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</si>
  <si>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</si>
  <si>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</si>
  <si>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</si>
  <si>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</si>
  <si>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</si>
  <si>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</si>
  <si>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</si>
  <si>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</si>
  <si>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</si>
  <si>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</si>
  <si>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</si>
  <si>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</si>
  <si>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</si>
  <si>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</si>
  <si>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</si>
  <si>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</si>
  <si>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</si>
  <si>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</si>
  <si>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</si>
  <si>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</si>
  <si>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</si>
  <si>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</si>
  <si>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</si>
  <si>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</si>
  <si>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</si>
  <si>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</si>
  <si>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</si>
  <si>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</si>
  <si>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</si>
  <si>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</si>
  <si>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</si>
  <si>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</si>
  <si>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</si>
  <si>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</si>
  <si>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</si>
  <si>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사회(역사/도덕 포함)</t>
    <phoneticPr fontId="9" type="noConversion"/>
  </si>
  <si>
    <t>3~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</si>
  <si>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</si>
  <si>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</si>
  <si>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</si>
  <si>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</si>
  <si>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</si>
  <si>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</si>
  <si>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</si>
  <si>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</si>
  <si>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</si>
  <si>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</si>
  <si>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</si>
  <si>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</si>
  <si>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</si>
  <si>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</si>
  <si>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</si>
  <si>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</si>
  <si>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</si>
  <si>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</si>
  <si>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</si>
  <si>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</si>
  <si>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</si>
  <si>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</si>
  <si>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</si>
  <si>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</si>
  <si>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</si>
  <si>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</si>
  <si>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</si>
  <si>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</si>
  <si>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</si>
  <si>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</si>
  <si>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</si>
  <si>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</si>
  <si>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</si>
  <si>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</si>
  <si>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</si>
  <si>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</si>
  <si>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</si>
  <si>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</si>
  <si>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</si>
  <si>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</si>
  <si>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</si>
  <si>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</si>
  <si>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</si>
  <si>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</si>
  <si>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</si>
  <si>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</si>
  <si>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</si>
  <si>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</si>
  <si>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</si>
  <si>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</si>
  <si>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</si>
  <si>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</si>
  <si>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</si>
  <si>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</si>
  <si>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</si>
  <si>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</si>
  <si>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</si>
  <si>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</si>
  <si>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</si>
  <si>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</si>
  <si>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</si>
  <si>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</si>
  <si>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</si>
  <si>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</si>
  <si>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</si>
  <si>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</si>
  <si>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</si>
  <si>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</si>
  <si>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</si>
  <si>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</si>
  <si>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</si>
  <si>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</si>
  <si>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</si>
  <si>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</si>
  <si>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</si>
  <si>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</si>
  <si>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</si>
  <si>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</si>
  <si>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</si>
  <si>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</si>
  <si>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</si>
  <si>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</si>
  <si>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</si>
  <si>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</si>
  <si>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</si>
  <si>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</si>
  <si>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</si>
  <si>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</si>
  <si>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</si>
  <si>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</si>
  <si>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</si>
  <si>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</si>
  <si>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</si>
  <si>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</si>
  <si>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</si>
  <si>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</si>
  <si>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</si>
  <si>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</si>
  <si>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</si>
  <si>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</si>
  <si>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</si>
  <si>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</si>
  <si>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</si>
  <si>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</si>
  <si>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</si>
  <si>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</si>
  <si>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</si>
  <si>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</si>
  <si>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</si>
  <si>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</si>
  <si>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</si>
  <si>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</si>
  <si>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</si>
  <si>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</si>
  <si>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</si>
  <si>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</si>
  <si>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</si>
  <si>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</si>
  <si>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</si>
  <si>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</si>
  <si>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</si>
  <si>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</si>
  <si>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</si>
  <si>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</si>
  <si>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</si>
  <si>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</si>
  <si>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</si>
  <si>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</si>
  <si>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</si>
  <si>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</si>
  <si>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</si>
  <si>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</si>
  <si>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</si>
  <si>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</si>
  <si>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</si>
  <si>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</si>
  <si>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</si>
  <si>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</si>
  <si>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</si>
  <si>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</si>
  <si>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</si>
  <si>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</si>
  <si>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</si>
  <si>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</si>
  <si>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</si>
  <si>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</si>
  <si>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</si>
  <si>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</si>
  <si>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</si>
  <si>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</si>
  <si>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</si>
  <si>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</si>
  <si>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</si>
  <si>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</si>
  <si>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</si>
  <si>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</si>
  <si>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</si>
  <si>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</si>
  <si>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</si>
  <si>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</si>
  <si>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</si>
  <si>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</si>
  <si>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</si>
  <si>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</si>
  <si>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</si>
  <si>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</si>
  <si>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</si>
  <si>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</si>
  <si>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</si>
  <si>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한올고등학교</t>
    <phoneticPr fontId="9" type="noConversion"/>
  </si>
  <si>
    <t>경영·금융</t>
  </si>
  <si>
    <t>경영사무과</t>
  </si>
  <si>
    <t>국제통상외국어과</t>
    <phoneticPr fontId="9" type="noConversion"/>
  </si>
  <si>
    <t>운동과 건강</t>
    <phoneticPr fontId="9" type="noConversion"/>
  </si>
  <si>
    <t>일반선택</t>
  </si>
  <si>
    <t>진로선택</t>
  </si>
  <si>
    <t>일본어</t>
  </si>
  <si>
    <t>중국어</t>
  </si>
  <si>
    <t>일본어 회화</t>
  </si>
  <si>
    <t>중국어 회화</t>
  </si>
  <si>
    <t>인간과 철학</t>
  </si>
  <si>
    <t>삶과 종교</t>
  </si>
  <si>
    <t>노동 인권과 산업 안전 보건</t>
    <phoneticPr fontId="9" type="noConversion"/>
  </si>
  <si>
    <t>성공적인 직업 생활</t>
    <phoneticPr fontId="9" type="noConversion"/>
  </si>
  <si>
    <t>회계 원리</t>
    <phoneticPr fontId="5" type="noConversion"/>
  </si>
  <si>
    <t>상업 경제</t>
    <phoneticPr fontId="5" type="noConversion"/>
  </si>
  <si>
    <t>사무 관리</t>
    <phoneticPr fontId="5" type="noConversion"/>
  </si>
  <si>
    <t>컴퓨터 시스템 일반</t>
    <phoneticPr fontId="5" type="noConversion"/>
  </si>
  <si>
    <t>회계 정보 처리 시스템</t>
    <phoneticPr fontId="5" type="noConversion"/>
  </si>
  <si>
    <t>기업 자원 통합 관리</t>
    <phoneticPr fontId="9" type="noConversion"/>
  </si>
  <si>
    <t>사무 행정</t>
    <phoneticPr fontId="9" type="noConversion"/>
  </si>
  <si>
    <t>회계 실무</t>
    <phoneticPr fontId="9" type="noConversion"/>
  </si>
  <si>
    <t>컴퓨터 그래픽</t>
    <phoneticPr fontId="9" type="noConversion"/>
  </si>
  <si>
    <t>정보 처리와 관리</t>
    <phoneticPr fontId="5" type="noConversion"/>
  </si>
  <si>
    <t>지정</t>
    <phoneticPr fontId="9" type="noConversion"/>
  </si>
  <si>
    <t>전공일반
(학기 단위
운영
_학기 별
택2)</t>
    <phoneticPr fontId="9" type="noConversion"/>
  </si>
  <si>
    <t>유통 일반</t>
    <phoneticPr fontId="5" type="noConversion"/>
  </si>
  <si>
    <t>무역 일반</t>
    <phoneticPr fontId="5" type="noConversion"/>
  </si>
  <si>
    <t>금융 일반</t>
    <phoneticPr fontId="5" type="noConversion"/>
  </si>
  <si>
    <t>마케팅과 광고</t>
    <phoneticPr fontId="9" type="noConversion"/>
  </si>
  <si>
    <t>창업 일반</t>
    <phoneticPr fontId="9" type="noConversion"/>
  </si>
  <si>
    <t>세무 일반</t>
    <phoneticPr fontId="5" type="noConversion"/>
  </si>
  <si>
    <t>전공실무
(학년 단위
운영_택3)</t>
    <phoneticPr fontId="9" type="noConversion"/>
  </si>
  <si>
    <t>총무</t>
    <phoneticPr fontId="5" type="noConversion"/>
  </si>
  <si>
    <t>유통 관리</t>
    <phoneticPr fontId="5" type="noConversion"/>
  </si>
  <si>
    <t>수출입 관리</t>
    <phoneticPr fontId="9" type="noConversion"/>
  </si>
  <si>
    <t>세무 실무</t>
    <phoneticPr fontId="9" type="noConversion"/>
  </si>
  <si>
    <t>비서</t>
    <phoneticPr fontId="9" type="noConversion"/>
  </si>
  <si>
    <t>전문_보통 교과 선택
(학기 별 택1)</t>
    <phoneticPr fontId="9" type="noConversion"/>
  </si>
  <si>
    <t>관광 영어</t>
    <phoneticPr fontId="9" type="noConversion"/>
  </si>
  <si>
    <t>관광 일본어</t>
    <phoneticPr fontId="9" type="noConversion"/>
  </si>
  <si>
    <t>관광 중국어</t>
    <phoneticPr fontId="9" type="noConversion"/>
  </si>
  <si>
    <t>튱합선택</t>
    <phoneticPr fontId="9" type="noConversion"/>
  </si>
  <si>
    <t>최동연</t>
    <phoneticPr fontId="9" type="noConversion"/>
  </si>
  <si>
    <t>김태윤</t>
    <phoneticPr fontId="9" type="noConversion"/>
  </si>
  <si>
    <t>070-4858-8802</t>
    <phoneticPr fontId="9" type="noConversion"/>
  </si>
  <si>
    <t>070-4858-8856</t>
    <phoneticPr fontId="9" type="noConversion"/>
  </si>
  <si>
    <t>사무행정</t>
    <phoneticPr fontId="9" type="noConversion"/>
  </si>
  <si>
    <t>문서작성</t>
    <phoneticPr fontId="9" type="noConversion"/>
  </si>
  <si>
    <t>0202030201_22v3</t>
    <phoneticPr fontId="9" type="noConversion"/>
  </si>
  <si>
    <t>문서관리</t>
    <phoneticPr fontId="9" type="noConversion"/>
  </si>
  <si>
    <t>0202030202_22v3</t>
    <phoneticPr fontId="9" type="noConversion"/>
  </si>
  <si>
    <t>회의 운영ㆍ지원</t>
    <phoneticPr fontId="9" type="noConversion"/>
  </si>
  <si>
    <t>0202030206_22v4</t>
    <phoneticPr fontId="9" type="noConversion"/>
  </si>
  <si>
    <t>사무행정업무관리</t>
    <phoneticPr fontId="9" type="noConversion"/>
  </si>
  <si>
    <t>0202030207_22v4</t>
    <phoneticPr fontId="9" type="noConversion"/>
  </si>
  <si>
    <t>내용영역 합계</t>
  </si>
  <si>
    <t>전표 관리</t>
    <phoneticPr fontId="9" type="noConversion"/>
  </si>
  <si>
    <t>0203020101_20v4</t>
    <phoneticPr fontId="9" type="noConversion"/>
  </si>
  <si>
    <t>원가 계산</t>
    <phoneticPr fontId="9" type="noConversion"/>
  </si>
  <si>
    <t>0203020103_20v4</t>
    <phoneticPr fontId="9" type="noConversion"/>
  </si>
  <si>
    <t>결산 처리</t>
    <phoneticPr fontId="9" type="noConversion"/>
  </si>
  <si>
    <t>0203020104_20v4</t>
    <phoneticPr fontId="9" type="noConversion"/>
  </si>
  <si>
    <t>자금 관리</t>
    <phoneticPr fontId="9" type="noConversion"/>
  </si>
  <si>
    <t>0203020102_20v4</t>
    <phoneticPr fontId="9" type="noConversion"/>
  </si>
  <si>
    <t>총무</t>
    <phoneticPr fontId="9" type="noConversion"/>
  </si>
  <si>
    <t>비품관리</t>
    <phoneticPr fontId="9" type="noConversion"/>
  </si>
  <si>
    <t>0202010104_19v2</t>
    <phoneticPr fontId="9" type="noConversion"/>
  </si>
  <si>
    <t>업무지원</t>
    <phoneticPr fontId="9" type="noConversion"/>
  </si>
  <si>
    <t>0202010107_19v2</t>
    <phoneticPr fontId="9" type="noConversion"/>
  </si>
  <si>
    <t>총무문서관리</t>
    <phoneticPr fontId="9" type="noConversion"/>
  </si>
  <si>
    <t>0202010108_19v2</t>
    <phoneticPr fontId="9" type="noConversion"/>
  </si>
  <si>
    <t>차량운영관리</t>
    <phoneticPr fontId="9" type="noConversion"/>
  </si>
  <si>
    <t>0202010105_19v2</t>
    <phoneticPr fontId="9" type="noConversion"/>
  </si>
  <si>
    <t>용역관리</t>
    <phoneticPr fontId="9" type="noConversion"/>
  </si>
  <si>
    <t>0202010106_19v2</t>
    <phoneticPr fontId="9" type="noConversion"/>
  </si>
  <si>
    <t>경영진일정관리</t>
    <phoneticPr fontId="9" type="noConversion"/>
  </si>
  <si>
    <t>0202030103_22v2</t>
    <phoneticPr fontId="9" type="noConversion"/>
  </si>
  <si>
    <t>응대업무</t>
    <phoneticPr fontId="9" type="noConversion"/>
  </si>
  <si>
    <t>0202030105_22v2</t>
    <phoneticPr fontId="9" type="noConversion"/>
  </si>
  <si>
    <t>비서사무정보관리</t>
    <phoneticPr fontId="9" type="noConversion"/>
  </si>
  <si>
    <t>0202030109_22v2</t>
    <phoneticPr fontId="9" type="noConversion"/>
  </si>
  <si>
    <t>경영진 지원업무</t>
    <phoneticPr fontId="9" type="noConversion"/>
  </si>
  <si>
    <t>0202030101_22v2</t>
    <phoneticPr fontId="9" type="noConversion"/>
  </si>
  <si>
    <t>보고업무</t>
    <phoneticPr fontId="9" type="noConversion"/>
  </si>
  <si>
    <t>0202030106_22v3</t>
    <phoneticPr fontId="9" type="noConversion"/>
  </si>
  <si>
    <t>출장관리</t>
    <phoneticPr fontId="9" type="noConversion"/>
  </si>
  <si>
    <t>0202030104_22v2</t>
    <phoneticPr fontId="9" type="noConversion"/>
  </si>
  <si>
    <t>세무실무</t>
    <phoneticPr fontId="9" type="noConversion"/>
  </si>
  <si>
    <t>전표처리</t>
    <phoneticPr fontId="9" type="noConversion"/>
  </si>
  <si>
    <t>0203020201_20v5</t>
    <phoneticPr fontId="9" type="noConversion"/>
  </si>
  <si>
    <t>부가가치세 신고</t>
    <phoneticPr fontId="9" type="noConversion"/>
  </si>
  <si>
    <t>0203020205_20v5</t>
    <phoneticPr fontId="9" type="noConversion"/>
  </si>
  <si>
    <t>원천징수</t>
    <phoneticPr fontId="9" type="noConversion"/>
  </si>
  <si>
    <t>0203020204_20v5</t>
    <phoneticPr fontId="9" type="noConversion"/>
  </si>
  <si>
    <t>종합소득세 신고</t>
    <phoneticPr fontId="9" type="noConversion"/>
  </si>
  <si>
    <t>0203020206_20v5</t>
    <phoneticPr fontId="9" type="noConversion"/>
  </si>
  <si>
    <t>유통관리</t>
    <phoneticPr fontId="9" type="noConversion"/>
  </si>
  <si>
    <t>상품구성기획</t>
  </si>
  <si>
    <t>0201030401_21v2</t>
  </si>
  <si>
    <t>매장관리</t>
  </si>
  <si>
    <t>0201030403_21v2</t>
  </si>
  <si>
    <t>판매촉진관리</t>
  </si>
  <si>
    <t>0201030404_21v2</t>
  </si>
  <si>
    <t>고객관리</t>
  </si>
  <si>
    <t>0201030406_21v2</t>
  </si>
  <si>
    <t>수출입관리</t>
    <phoneticPr fontId="9" type="noConversion"/>
  </si>
  <si>
    <t>수출입계약</t>
    <phoneticPr fontId="9" type="noConversion"/>
  </si>
  <si>
    <t>0204030204_24v2</t>
    <phoneticPr fontId="9" type="noConversion"/>
  </si>
  <si>
    <t>수출통관</t>
    <phoneticPr fontId="9" type="noConversion"/>
  </si>
  <si>
    <t>0204030210_24v3</t>
    <phoneticPr fontId="9" type="noConversion"/>
  </si>
  <si>
    <t>수입통관</t>
    <phoneticPr fontId="9" type="noConversion"/>
  </si>
  <si>
    <t>0204030211_24v3</t>
    <phoneticPr fontId="9" type="noConversion"/>
  </si>
  <si>
    <t>수출대금결제</t>
    <phoneticPr fontId="9" type="noConversion"/>
  </si>
  <si>
    <t>0204030212_24v3</t>
    <phoneticPr fontId="9" type="noConversion"/>
  </si>
  <si>
    <t>수입대금결제</t>
    <phoneticPr fontId="9" type="noConversion"/>
  </si>
  <si>
    <t>0204030213_24v3</t>
    <phoneticPr fontId="9" type="noConversion"/>
  </si>
  <si>
    <t>경영지원, 금융회계, 무역사무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</si>
</sst>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b/>
      <sz val="11"/>
      <color rgb="FF000000"/>
      <name val="Malgun Gothic"/>
      <family val="3"/>
      <charset val="129"/>
    </font>
    <font>
      <sz val="11"/>
      <name val="Calibri"/>
      <family val="2"/>
    </font>
    <font>
      <b/>
      <sz val="11"/>
      <color theme="1"/>
      <name val="Malgun Gothic"/>
      <family val="3"/>
      <charset val="129"/>
    </font>
    <font>
      <sz val="11"/>
      <name val="Malgun Gothic"/>
      <family val="3"/>
      <charset val="129"/>
    </font>
    <font>
      <sz val="11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rgb="FFFDE9D9"/>
      </patternFill>
    </fill>
  </fills>
  <borders count="1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5" fillId="0" borderId="0"/>
  </cellStyleXfs>
  <cellXfs count="5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7" xfId="4" applyFont="1" applyFill="1" applyBorder="1" applyAlignment="1" applyProtection="1">
      <alignment horizontal="center" vertical="center" wrapText="1"/>
    </xf>
    <xf numFmtId="0" fontId="32" fillId="0" borderId="6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2" fillId="0" borderId="19" xfId="0" applyFont="1" applyBorder="1" applyAlignment="1">
      <alignment vertical="center"/>
    </xf>
    <xf numFmtId="0" fontId="13" fillId="10" borderId="93" xfId="6" applyFont="1" applyFill="1" applyBorder="1" applyAlignment="1" applyProtection="1">
      <alignment horizontal="center" vertical="center" wrapText="1"/>
    </xf>
    <xf numFmtId="0" fontId="12" fillId="12" borderId="94" xfId="0" applyFont="1" applyFill="1" applyBorder="1" applyAlignment="1" applyProtection="1">
      <alignment horizontal="center" vertical="center"/>
      <protection locked="0"/>
    </xf>
    <xf numFmtId="0" fontId="12" fillId="12" borderId="28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3" fillId="12" borderId="95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25" fillId="3" borderId="54" xfId="3" applyFont="1" applyBorder="1" applyAlignment="1" applyProtection="1">
      <alignment horizontal="center" vertical="center"/>
      <protection locked="0"/>
    </xf>
    <xf numFmtId="0" fontId="38" fillId="9" borderId="14" xfId="7" applyNumberFormat="1" applyFont="1" applyFill="1" applyBorder="1" applyAlignment="1" applyProtection="1">
      <alignment horizontal="center" vertical="center" shrinkToFit="1"/>
    </xf>
    <xf numFmtId="176" fontId="38" fillId="9" borderId="14" xfId="7" applyNumberFormat="1" applyFont="1" applyFill="1" applyBorder="1" applyAlignment="1" applyProtection="1">
      <alignment horizontal="center" vertical="center" shrinkToFit="1"/>
    </xf>
    <xf numFmtId="176" fontId="18" fillId="16" borderId="95" xfId="7" applyNumberFormat="1" applyFont="1" applyFill="1" applyBorder="1" applyAlignment="1" applyProtection="1">
      <alignment horizontal="center" vertical="center" shrinkToFit="1"/>
    </xf>
    <xf numFmtId="0" fontId="28" fillId="11" borderId="95" xfId="7" applyFont="1" applyFill="1" applyBorder="1" applyAlignment="1" applyProtection="1">
      <alignment horizontal="center" vertical="center" wrapText="1"/>
    </xf>
    <xf numFmtId="0" fontId="38" fillId="9" borderId="94" xfId="7" applyNumberFormat="1" applyFont="1" applyFill="1" applyBorder="1" applyAlignment="1" applyProtection="1">
      <alignment horizontal="center" vertical="center" shrinkToFit="1"/>
    </xf>
    <xf numFmtId="176" fontId="38" fillId="9" borderId="94" xfId="7" applyNumberFormat="1" applyFont="1" applyFill="1" applyBorder="1" applyAlignment="1" applyProtection="1">
      <alignment horizontal="center" vertical="center" shrinkToFit="1"/>
    </xf>
    <xf numFmtId="176" fontId="37" fillId="16" borderId="95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8" fillId="9" borderId="30" xfId="7" applyNumberFormat="1" applyFont="1" applyFill="1" applyBorder="1" applyAlignment="1" applyProtection="1">
      <alignment horizontal="center" vertical="center" shrinkToFit="1"/>
    </xf>
    <xf numFmtId="176" fontId="38" fillId="9" borderId="11" xfId="7" applyNumberFormat="1" applyFont="1" applyFill="1" applyBorder="1" applyAlignment="1" applyProtection="1">
      <alignment horizontal="center" vertical="center" shrinkToFit="1"/>
    </xf>
    <xf numFmtId="0" fontId="38" fillId="9" borderId="11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38" fillId="0" borderId="94" xfId="7" applyNumberFormat="1" applyFont="1" applyFill="1" applyBorder="1" applyAlignment="1" applyProtection="1">
      <alignment horizontal="center" vertical="center" shrinkToFit="1"/>
    </xf>
    <xf numFmtId="0" fontId="41" fillId="9" borderId="94" xfId="7" applyNumberFormat="1" applyFont="1" applyFill="1" applyBorder="1" applyAlignment="1" applyProtection="1">
      <alignment horizontal="center" vertical="center" shrinkToFit="1"/>
    </xf>
    <xf numFmtId="176" fontId="41" fillId="9" borderId="94" xfId="7" applyNumberFormat="1" applyFont="1" applyFill="1" applyBorder="1" applyAlignment="1" applyProtection="1">
      <alignment horizontal="center" vertical="center" shrinkToFit="1"/>
    </xf>
    <xf numFmtId="0" fontId="41" fillId="9" borderId="14" xfId="7" applyNumberFormat="1" applyFont="1" applyFill="1" applyBorder="1" applyAlignment="1" applyProtection="1">
      <alignment horizontal="center" vertical="center" shrinkToFit="1"/>
    </xf>
    <xf numFmtId="0" fontId="41" fillId="9" borderId="11" xfId="7" applyNumberFormat="1" applyFont="1" applyFill="1" applyBorder="1" applyAlignment="1" applyProtection="1">
      <alignment horizontal="center" vertical="center" shrinkToFit="1"/>
    </xf>
    <xf numFmtId="176" fontId="41" fillId="9" borderId="14" xfId="7" applyNumberFormat="1" applyFont="1" applyFill="1" applyBorder="1" applyAlignment="1" applyProtection="1">
      <alignment horizontal="center" vertical="center" shrinkToFit="1"/>
    </xf>
    <xf numFmtId="176" fontId="41" fillId="9" borderId="11" xfId="7" applyNumberFormat="1" applyFont="1" applyFill="1" applyBorder="1" applyAlignment="1" applyProtection="1">
      <alignment horizontal="center" vertical="center" shrinkToFit="1"/>
    </xf>
    <xf numFmtId="176" fontId="40" fillId="16" borderId="95" xfId="7" applyNumberFormat="1" applyFont="1" applyFill="1" applyBorder="1" applyAlignment="1" applyProtection="1">
      <alignment horizontal="center" vertical="center" shrinkToFit="1"/>
    </xf>
    <xf numFmtId="0" fontId="12" fillId="12" borderId="107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6" borderId="23" xfId="4" applyFont="1" applyFill="1" applyBorder="1" applyAlignment="1" applyProtection="1">
      <alignment horizontal="center" vertical="center" wrapText="1"/>
    </xf>
    <xf numFmtId="0" fontId="12" fillId="0" borderId="105" xfId="0" applyFont="1" applyBorder="1" applyAlignment="1" applyProtection="1">
      <alignment horizontal="center" vertical="center"/>
      <protection locked="0"/>
    </xf>
    <xf numFmtId="0" fontId="12" fillId="0" borderId="105" xfId="0" applyFont="1" applyBorder="1" applyAlignment="1" applyProtection="1">
      <alignment horizontal="center" vertical="center" shrinkToFit="1"/>
      <protection locked="0"/>
    </xf>
    <xf numFmtId="0" fontId="33" fillId="0" borderId="8" xfId="0" applyFont="1" applyBorder="1" applyAlignment="1" applyProtection="1">
      <alignment horizontal="center" vertical="center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7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8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2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97" xfId="4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  <protection locked="0"/>
    </xf>
    <xf numFmtId="0" fontId="13" fillId="15" borderId="97" xfId="4" applyFont="1" applyFill="1" applyBorder="1" applyAlignment="1" applyProtection="1">
      <alignment horizontal="center" vertical="center" shrinkToFit="1"/>
    </xf>
    <xf numFmtId="0" fontId="13" fillId="6" borderId="71" xfId="4" applyFont="1" applyFill="1" applyBorder="1" applyAlignment="1" applyProtection="1">
      <alignment horizontal="center" vertical="center" wrapText="1"/>
    </xf>
    <xf numFmtId="0" fontId="22" fillId="0" borderId="117" xfId="0" applyFont="1" applyBorder="1" applyAlignment="1" applyProtection="1">
      <alignment horizontal="center" vertical="center"/>
      <protection locked="0"/>
    </xf>
    <xf numFmtId="0" fontId="36" fillId="0" borderId="0" xfId="16" applyFont="1" applyAlignment="1">
      <alignment vertical="center"/>
    </xf>
    <xf numFmtId="0" fontId="16" fillId="0" borderId="0" xfId="16" applyFont="1" applyAlignment="1"/>
    <xf numFmtId="0" fontId="36" fillId="19" borderId="118" xfId="16" applyFont="1" applyFill="1" applyBorder="1" applyAlignment="1">
      <alignment horizontal="center" vertical="center"/>
    </xf>
    <xf numFmtId="0" fontId="36" fillId="0" borderId="119" xfId="16" applyFont="1" applyBorder="1" applyAlignment="1">
      <alignment vertical="center"/>
    </xf>
    <xf numFmtId="0" fontId="36" fillId="0" borderId="26" xfId="16" applyFont="1" applyBorder="1" applyAlignment="1">
      <alignment vertical="center"/>
    </xf>
    <xf numFmtId="0" fontId="36" fillId="0" borderId="23" xfId="16" applyFont="1" applyBorder="1" applyAlignment="1">
      <alignment vertical="center"/>
    </xf>
    <xf numFmtId="0" fontId="36" fillId="0" borderId="4" xfId="16" applyFont="1" applyBorder="1" applyAlignment="1">
      <alignment vertical="center"/>
    </xf>
    <xf numFmtId="0" fontId="36" fillId="0" borderId="121" xfId="16" applyFont="1" applyBorder="1" applyAlignment="1">
      <alignment vertical="center"/>
    </xf>
    <xf numFmtId="0" fontId="36" fillId="0" borderId="19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36" fillId="0" borderId="126" xfId="16" applyFont="1" applyBorder="1" applyAlignment="1">
      <alignment vertical="center"/>
    </xf>
    <xf numFmtId="0" fontId="36" fillId="0" borderId="3" xfId="16" applyFont="1" applyBorder="1" applyAlignment="1">
      <alignment vertical="center"/>
    </xf>
    <xf numFmtId="0" fontId="36" fillId="0" borderId="20" xfId="16" applyFont="1" applyBorder="1" applyAlignment="1">
      <alignment vertical="center"/>
    </xf>
    <xf numFmtId="0" fontId="36" fillId="0" borderId="17" xfId="16" applyFont="1" applyBorder="1" applyAlignment="1">
      <alignment vertical="center"/>
    </xf>
    <xf numFmtId="0" fontId="36" fillId="21" borderId="132" xfId="16" applyFont="1" applyFill="1" applyBorder="1" applyAlignment="1">
      <alignment horizontal="center" vertical="center" wrapText="1"/>
    </xf>
    <xf numFmtId="0" fontId="36" fillId="21" borderId="133" xfId="16" applyFont="1" applyFill="1" applyBorder="1" applyAlignment="1">
      <alignment horizontal="center" vertical="center" wrapText="1"/>
    </xf>
    <xf numFmtId="0" fontId="51" fillId="21" borderId="133" xfId="16" applyFont="1" applyFill="1" applyBorder="1" applyAlignment="1">
      <alignment horizontal="center" vertical="center" wrapText="1"/>
    </xf>
    <xf numFmtId="0" fontId="51" fillId="21" borderId="134" xfId="16" applyFont="1" applyFill="1" applyBorder="1" applyAlignment="1">
      <alignment horizontal="center" vertical="center" wrapText="1"/>
    </xf>
    <xf numFmtId="0" fontId="36" fillId="0" borderId="19" xfId="16" applyFont="1" applyBorder="1" applyAlignment="1">
      <alignment vertical="center" wrapText="1"/>
    </xf>
    <xf numFmtId="0" fontId="36" fillId="0" borderId="6" xfId="16" applyFont="1" applyBorder="1" applyAlignment="1">
      <alignment vertical="center" wrapText="1"/>
    </xf>
    <xf numFmtId="0" fontId="52" fillId="0" borderId="138" xfId="16" applyFont="1" applyBorder="1" applyAlignment="1">
      <alignment horizontal="center" vertical="center" wrapText="1"/>
    </xf>
    <xf numFmtId="0" fontId="52" fillId="0" borderId="140" xfId="16" applyFont="1" applyBorder="1" applyAlignment="1">
      <alignment horizontal="center" vertical="center" wrapText="1"/>
    </xf>
    <xf numFmtId="0" fontId="52" fillId="0" borderId="144" xfId="16" applyFont="1" applyBorder="1" applyAlignment="1">
      <alignment horizontal="center" vertical="center" wrapText="1"/>
    </xf>
    <xf numFmtId="0" fontId="52" fillId="0" borderId="145" xfId="16" applyFont="1" applyBorder="1" applyAlignment="1">
      <alignment horizontal="center" vertical="center" wrapText="1"/>
    </xf>
    <xf numFmtId="0" fontId="52" fillId="0" borderId="148" xfId="16" applyFont="1" applyBorder="1" applyAlignment="1">
      <alignment horizontal="center" vertical="center" wrapText="1"/>
    </xf>
    <xf numFmtId="0" fontId="52" fillId="0" borderId="149" xfId="16" applyFont="1" applyBorder="1" applyAlignment="1">
      <alignment horizontal="center" vertical="center" wrapText="1"/>
    </xf>
    <xf numFmtId="0" fontId="52" fillId="0" borderId="151" xfId="16" applyFont="1" applyBorder="1" applyAlignment="1">
      <alignment horizontal="center" vertical="center" wrapText="1"/>
    </xf>
    <xf numFmtId="0" fontId="36" fillId="0" borderId="151" xfId="16" applyFont="1" applyBorder="1" applyAlignment="1">
      <alignment horizontal="center" vertical="center" wrapText="1"/>
    </xf>
    <xf numFmtId="0" fontId="52" fillId="0" borderId="152" xfId="16" applyFont="1" applyBorder="1" applyAlignment="1">
      <alignment horizontal="center" vertical="center" wrapText="1"/>
    </xf>
    <xf numFmtId="0" fontId="36" fillId="0" borderId="145" xfId="16" applyFont="1" applyBorder="1" applyAlignment="1">
      <alignment horizontal="center" vertical="center" wrapText="1"/>
    </xf>
    <xf numFmtId="0" fontId="36" fillId="0" borderId="148" xfId="16" applyFont="1" applyBorder="1" applyAlignment="1">
      <alignment horizontal="center" vertical="center" wrapText="1"/>
    </xf>
    <xf numFmtId="0" fontId="52" fillId="0" borderId="124" xfId="16" applyFont="1" applyBorder="1" applyAlignment="1">
      <alignment horizontal="center" vertical="center" wrapText="1"/>
    </xf>
    <xf numFmtId="0" fontId="54" fillId="21" borderId="124" xfId="16" applyFont="1" applyFill="1" applyBorder="1" applyAlignment="1">
      <alignment horizontal="center" vertical="center" wrapText="1"/>
    </xf>
    <xf numFmtId="0" fontId="55" fillId="0" borderId="145" xfId="16" applyFont="1" applyBorder="1" applyAlignment="1">
      <alignment horizontal="center" vertical="center" wrapText="1"/>
    </xf>
    <xf numFmtId="0" fontId="55" fillId="0" borderId="123" xfId="16" applyFont="1" applyBorder="1" applyAlignment="1">
      <alignment horizontal="center" vertical="center" wrapText="1"/>
    </xf>
    <xf numFmtId="0" fontId="54" fillId="0" borderId="124" xfId="16" applyFont="1" applyBorder="1" applyAlignment="1">
      <alignment horizontal="center" vertical="center" wrapText="1"/>
    </xf>
    <xf numFmtId="0" fontId="36" fillId="0" borderId="0" xfId="16" applyFont="1" applyBorder="1" applyAlignment="1">
      <alignment vertical="center"/>
    </xf>
    <xf numFmtId="0" fontId="56" fillId="0" borderId="0" xfId="16" applyFont="1" applyBorder="1" applyAlignment="1">
      <alignment horizontal="center" vertical="center"/>
    </xf>
    <xf numFmtId="0" fontId="50" fillId="0" borderId="124" xfId="16" applyFont="1" applyBorder="1" applyAlignment="1">
      <alignment horizontal="center" vertical="center"/>
    </xf>
    <xf numFmtId="0" fontId="50" fillId="20" borderId="145" xfId="16" applyFont="1" applyFill="1" applyBorder="1" applyAlignment="1">
      <alignment horizontal="center" vertical="center"/>
    </xf>
    <xf numFmtId="0" fontId="50" fillId="20" borderId="123" xfId="16" applyFont="1" applyFill="1" applyBorder="1" applyAlignment="1">
      <alignment horizontal="center" vertical="center" wrapText="1"/>
    </xf>
    <xf numFmtId="0" fontId="56" fillId="0" borderId="145" xfId="16" applyFont="1" applyBorder="1" applyAlignment="1">
      <alignment horizontal="center" vertical="center" wrapText="1"/>
    </xf>
    <xf numFmtId="0" fontId="56" fillId="0" borderId="124" xfId="16" applyFont="1" applyBorder="1" applyAlignment="1">
      <alignment horizontal="center" vertical="center" wrapText="1"/>
    </xf>
    <xf numFmtId="0" fontId="50" fillId="0" borderId="145" xfId="16" applyFont="1" applyBorder="1" applyAlignment="1">
      <alignment horizontal="center" vertical="center" wrapText="1"/>
    </xf>
    <xf numFmtId="0" fontId="50" fillId="0" borderId="124" xfId="16" applyFont="1" applyBorder="1" applyAlignment="1">
      <alignment horizontal="center" vertical="center" wrapText="1"/>
    </xf>
    <xf numFmtId="0" fontId="36" fillId="0" borderId="145" xfId="16" applyFont="1" applyBorder="1" applyAlignment="1">
      <alignment vertical="center" wrapText="1"/>
    </xf>
    <xf numFmtId="0" fontId="36" fillId="0" borderId="0" xfId="16" applyFont="1" applyBorder="1" applyAlignment="1">
      <alignment vertical="center" wrapText="1"/>
    </xf>
    <xf numFmtId="0" fontId="50" fillId="20" borderId="124" xfId="16" applyFont="1" applyFill="1" applyBorder="1" applyAlignment="1">
      <alignment horizontal="center" vertical="center"/>
    </xf>
    <xf numFmtId="0" fontId="50" fillId="0" borderId="123" xfId="16" applyFont="1" applyBorder="1" applyAlignment="1">
      <alignment horizontal="center" vertical="center"/>
    </xf>
    <xf numFmtId="0" fontId="50" fillId="0" borderId="145" xfId="16" applyFont="1" applyBorder="1" applyAlignment="1">
      <alignment horizontal="center" vertical="center"/>
    </xf>
    <xf numFmtId="0" fontId="57" fillId="0" borderId="145" xfId="16" applyFont="1" applyBorder="1" applyAlignment="1">
      <alignment horizontal="center" vertical="center"/>
    </xf>
    <xf numFmtId="0" fontId="57" fillId="0" borderId="124" xfId="16" applyFont="1" applyBorder="1" applyAlignment="1">
      <alignment horizontal="center" vertical="center"/>
    </xf>
    <xf numFmtId="0" fontId="36" fillId="0" borderId="131" xfId="16" applyFont="1" applyBorder="1" applyAlignment="1">
      <alignment vertical="center"/>
    </xf>
    <xf numFmtId="0" fontId="36" fillId="0" borderId="129" xfId="16" applyFont="1" applyBorder="1" applyAlignment="1">
      <alignment vertical="center"/>
    </xf>
    <xf numFmtId="0" fontId="36" fillId="0" borderId="156" xfId="16" applyFont="1" applyBorder="1" applyAlignment="1">
      <alignment vertical="center"/>
    </xf>
    <xf numFmtId="0" fontId="36" fillId="0" borderId="157" xfId="16" applyFont="1" applyBorder="1" applyAlignment="1">
      <alignment vertical="center"/>
    </xf>
    <xf numFmtId="0" fontId="36" fillId="0" borderId="106" xfId="16" applyFont="1" applyBorder="1" applyAlignment="1">
      <alignment vertical="center"/>
    </xf>
    <xf numFmtId="0" fontId="36" fillId="0" borderId="127" xfId="16" applyFont="1" applyBorder="1" applyAlignment="1">
      <alignment vertical="center"/>
    </xf>
    <xf numFmtId="0" fontId="36" fillId="0" borderId="159" xfId="16" applyFont="1" applyBorder="1" applyAlignment="1">
      <alignment vertical="center"/>
    </xf>
    <xf numFmtId="0" fontId="36" fillId="0" borderId="160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40" fillId="16" borderId="95" xfId="7" applyNumberFormat="1" applyFont="1" applyFill="1" applyBorder="1" applyAlignment="1" applyProtection="1">
      <alignment horizontal="center" vertical="center" shrinkToFit="1"/>
    </xf>
    <xf numFmtId="0" fontId="18" fillId="16" borderId="95" xfId="7" applyNumberFormat="1" applyFont="1" applyFill="1" applyBorder="1" applyAlignment="1" applyProtection="1">
      <alignment horizontal="center" vertical="center" shrinkToFit="1"/>
    </xf>
    <xf numFmtId="0" fontId="37" fillId="16" borderId="95" xfId="7" applyNumberFormat="1" applyFont="1" applyFill="1" applyBorder="1" applyAlignment="1" applyProtection="1">
      <alignment horizontal="center" vertical="center" shrinkToFit="1"/>
    </xf>
    <xf numFmtId="0" fontId="13" fillId="15" borderId="67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13" fillId="15" borderId="59" xfId="4" applyFont="1" applyFill="1" applyBorder="1" applyAlignment="1" applyProtection="1">
      <alignment horizontal="center" vertical="center" wrapText="1"/>
    </xf>
    <xf numFmtId="0" fontId="13" fillId="0" borderId="53" xfId="4" applyFont="1" applyFill="1" applyBorder="1" applyAlignment="1" applyProtection="1">
      <alignment horizontal="center" vertical="center" wrapText="1"/>
    </xf>
    <xf numFmtId="0" fontId="13" fillId="0" borderId="40" xfId="4" applyFont="1" applyFill="1" applyBorder="1" applyAlignment="1" applyProtection="1">
      <alignment horizontal="center" vertical="center" wrapText="1"/>
    </xf>
    <xf numFmtId="0" fontId="13" fillId="15" borderId="26" xfId="4" applyFont="1" applyFill="1" applyBorder="1" applyAlignment="1" applyProtection="1">
      <alignment horizontal="center" vertical="center" wrapText="1"/>
    </xf>
    <xf numFmtId="0" fontId="13" fillId="0" borderId="99" xfId="4" applyFont="1" applyFill="1" applyBorder="1" applyAlignment="1" applyProtection="1">
      <alignment horizontal="center" vertical="center" wrapText="1"/>
    </xf>
    <xf numFmtId="0" fontId="13" fillId="0" borderId="32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15" borderId="166" xfId="4" applyFont="1" applyFill="1" applyBorder="1" applyAlignment="1" applyProtection="1">
      <alignment horizontal="center" vertical="center" wrapText="1"/>
    </xf>
    <xf numFmtId="0" fontId="13" fillId="0" borderId="92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shrinkToFit="1"/>
    </xf>
    <xf numFmtId="0" fontId="13" fillId="0" borderId="45" xfId="4" applyFont="1" applyFill="1" applyBorder="1" applyAlignment="1" applyProtection="1">
      <alignment horizontal="center" vertical="center" wrapText="1"/>
    </xf>
    <xf numFmtId="49" fontId="39" fillId="18" borderId="145" xfId="0" applyNumberFormat="1" applyFont="1" applyFill="1" applyBorder="1" applyAlignment="1">
      <alignment horizontal="center" vertical="center" shrinkToFit="1"/>
    </xf>
    <xf numFmtId="49" fontId="39" fillId="0" borderId="14" xfId="0" applyNumberFormat="1" applyFont="1" applyFill="1" applyBorder="1" applyAlignment="1">
      <alignment horizontal="center" vertical="center" shrinkToFit="1"/>
    </xf>
    <xf numFmtId="49" fontId="39" fillId="18" borderId="171" xfId="0" applyNumberFormat="1" applyFont="1" applyFill="1" applyBorder="1" applyAlignment="1">
      <alignment horizontal="center" vertical="center" shrinkToFit="1"/>
    </xf>
    <xf numFmtId="49" fontId="39" fillId="0" borderId="94" xfId="0" applyNumberFormat="1" applyFont="1" applyFill="1" applyBorder="1" applyAlignment="1">
      <alignment horizontal="center" vertical="center" shrinkToFit="1"/>
    </xf>
    <xf numFmtId="49" fontId="39" fillId="18" borderId="124" xfId="7" applyNumberFormat="1" applyFont="1" applyFill="1" applyBorder="1" applyAlignment="1">
      <alignment horizontal="center" vertical="center" shrinkToFit="1"/>
    </xf>
    <xf numFmtId="49" fontId="39" fillId="0" borderId="124" xfId="7" applyNumberFormat="1" applyFont="1" applyFill="1" applyBorder="1" applyAlignment="1">
      <alignment horizontal="center" vertical="center" shrinkToFit="1"/>
    </xf>
    <xf numFmtId="49" fontId="39" fillId="0" borderId="14" xfId="7" applyNumberFormat="1" applyFont="1" applyFill="1" applyBorder="1" applyAlignment="1">
      <alignment horizontal="center" vertical="center" shrinkToFit="1"/>
    </xf>
    <xf numFmtId="49" fontId="39" fillId="18" borderId="124" xfId="0" applyNumberFormat="1" applyFont="1" applyFill="1" applyBorder="1" applyAlignment="1">
      <alignment horizontal="center" vertical="center" shrinkToFit="1"/>
    </xf>
    <xf numFmtId="0" fontId="38" fillId="0" borderId="11" xfId="7" applyNumberFormat="1" applyFont="1" applyFill="1" applyBorder="1" applyAlignment="1" applyProtection="1">
      <alignment horizontal="center" vertical="center" shrinkToFit="1"/>
    </xf>
    <xf numFmtId="176" fontId="20" fillId="9" borderId="94" xfId="7" applyNumberFormat="1" applyFont="1" applyFill="1" applyBorder="1" applyAlignment="1" applyProtection="1">
      <alignment horizontal="center" vertical="center" shrinkToFit="1"/>
    </xf>
    <xf numFmtId="176" fontId="65" fillId="0" borderId="94" xfId="0" applyNumberFormat="1" applyFont="1" applyBorder="1">
      <alignment vertical="center"/>
    </xf>
    <xf numFmtId="176" fontId="65" fillId="0" borderId="28" xfId="0" applyNumberFormat="1" applyFont="1" applyBorder="1">
      <alignment vertical="center"/>
    </xf>
    <xf numFmtId="176" fontId="20" fillId="9" borderId="14" xfId="7" applyNumberFormat="1" applyFont="1" applyFill="1" applyBorder="1" applyAlignment="1" applyProtection="1">
      <alignment horizontal="center" vertical="center" shrinkToFit="1"/>
    </xf>
    <xf numFmtId="176" fontId="65" fillId="0" borderId="10" xfId="0" applyNumberFormat="1" applyFont="1" applyBorder="1">
      <alignment vertical="center"/>
    </xf>
    <xf numFmtId="176" fontId="20" fillId="9" borderId="11" xfId="7" applyNumberFormat="1" applyFont="1" applyFill="1" applyBorder="1" applyAlignment="1" applyProtection="1">
      <alignment horizontal="center" vertical="center" shrinkToFit="1"/>
    </xf>
    <xf numFmtId="176" fontId="65" fillId="0" borderId="11" xfId="0" applyNumberFormat="1" applyFont="1" applyBorder="1">
      <alignment vertical="center"/>
    </xf>
    <xf numFmtId="176" fontId="65" fillId="0" borderId="103" xfId="0" applyNumberFormat="1" applyFont="1" applyBorder="1">
      <alignment vertical="center"/>
    </xf>
    <xf numFmtId="176" fontId="18" fillId="16" borderId="95" xfId="7" applyNumberFormat="1" applyFont="1" applyFill="1" applyBorder="1" applyAlignment="1" applyProtection="1">
      <alignment horizontal="right" vertical="center" shrinkToFit="1"/>
    </xf>
    <xf numFmtId="176" fontId="18" fillId="16" borderId="29" xfId="7" applyNumberFormat="1" applyFont="1" applyFill="1" applyBorder="1" applyAlignment="1" applyProtection="1">
      <alignment horizontal="right" vertical="center" shrinkToFit="1"/>
    </xf>
    <xf numFmtId="176" fontId="64" fillId="18" borderId="11" xfId="0" applyNumberFormat="1" applyFont="1" applyFill="1" applyBorder="1" applyAlignment="1">
      <alignment horizontal="center" vertical="center" shrinkToFit="1"/>
    </xf>
    <xf numFmtId="176" fontId="64" fillId="18" borderId="14" xfId="0" applyNumberFormat="1" applyFont="1" applyFill="1" applyBorder="1" applyAlignment="1">
      <alignment horizontal="center" vertical="center" shrinkToFit="1"/>
    </xf>
    <xf numFmtId="49" fontId="64" fillId="0" borderId="177" xfId="7" applyNumberFormat="1" applyFont="1" applyFill="1" applyBorder="1" applyAlignment="1">
      <alignment horizontal="center" vertical="center" shrinkToFit="1"/>
    </xf>
    <xf numFmtId="49" fontId="64" fillId="0" borderId="94" xfId="7" applyNumberFormat="1" applyFont="1" applyFill="1" applyBorder="1" applyAlignment="1">
      <alignment horizontal="center" vertical="center" shrinkToFit="1"/>
    </xf>
    <xf numFmtId="49" fontId="39" fillId="18" borderId="177" xfId="0" applyNumberFormat="1" applyFont="1" applyFill="1" applyBorder="1" applyAlignment="1">
      <alignment horizontal="center" vertical="center" shrinkToFit="1"/>
    </xf>
    <xf numFmtId="49" fontId="39" fillId="18" borderId="177" xfId="7" applyNumberFormat="1" applyFont="1" applyFill="1" applyBorder="1" applyAlignment="1">
      <alignment horizontal="center" vertical="center" shrinkToFit="1"/>
    </xf>
    <xf numFmtId="49" fontId="39" fillId="0" borderId="94" xfId="7" applyNumberFormat="1" applyFont="1" applyFill="1" applyBorder="1" applyAlignment="1">
      <alignment horizontal="center" vertical="center" shrinkToFit="1"/>
    </xf>
    <xf numFmtId="176" fontId="64" fillId="18" borderId="94" xfId="0" applyNumberFormat="1" applyFont="1" applyFill="1" applyBorder="1" applyAlignment="1">
      <alignment horizontal="center" vertical="center" shrinkToFit="1"/>
    </xf>
    <xf numFmtId="49" fontId="64" fillId="18" borderId="177" xfId="7" applyNumberFormat="1" applyFont="1" applyFill="1" applyBorder="1" applyAlignment="1">
      <alignment horizontal="center" vertical="center" shrinkToFit="1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111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13" fillId="0" borderId="110" xfId="4" applyFont="1" applyFill="1" applyBorder="1" applyAlignment="1" applyProtection="1">
      <alignment horizontal="center" vertical="center" wrapText="1"/>
      <protection locked="0"/>
    </xf>
    <xf numFmtId="0" fontId="13" fillId="6" borderId="31" xfId="4" applyFont="1" applyFill="1" applyBorder="1" applyAlignment="1" applyProtection="1">
      <alignment horizontal="center" vertical="center" wrapText="1"/>
    </xf>
    <xf numFmtId="0" fontId="29" fillId="0" borderId="69" xfId="4" applyFont="1" applyFill="1" applyBorder="1" applyAlignment="1" applyProtection="1">
      <alignment horizontal="center" vertical="center" wrapText="1"/>
      <protection locked="0"/>
    </xf>
    <xf numFmtId="0" fontId="29" fillId="0" borderId="108" xfId="4" applyFont="1" applyFill="1" applyBorder="1" applyAlignment="1" applyProtection="1">
      <alignment horizontal="center" vertical="center" wrapText="1"/>
      <protection locked="0"/>
    </xf>
    <xf numFmtId="0" fontId="29" fillId="0" borderId="33" xfId="4" applyFont="1" applyFill="1" applyBorder="1" applyAlignment="1" applyProtection="1">
      <alignment horizontal="center" vertical="center" wrapText="1"/>
      <protection locked="0"/>
    </xf>
    <xf numFmtId="0" fontId="29" fillId="0" borderId="110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29" fillId="0" borderId="112" xfId="4" applyFont="1" applyFill="1" applyBorder="1" applyAlignment="1" applyProtection="1">
      <alignment horizontal="center" vertical="center" wrapText="1"/>
      <protection locked="0"/>
    </xf>
    <xf numFmtId="0" fontId="29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29" fillId="0" borderId="58" xfId="4" applyFont="1" applyFill="1" applyBorder="1" applyAlignment="1" applyProtection="1">
      <alignment horizontal="center" vertical="center" wrapText="1"/>
      <protection locked="0"/>
    </xf>
    <xf numFmtId="0" fontId="13" fillId="0" borderId="112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29" fillId="0" borderId="111" xfId="4" applyFont="1" applyFill="1" applyBorder="1" applyAlignment="1" applyProtection="1">
      <alignment horizontal="center" vertical="center" wrapText="1"/>
      <protection locked="0"/>
    </xf>
    <xf numFmtId="0" fontId="29" fillId="0" borderId="34" xfId="4" applyFont="1" applyFill="1" applyBorder="1" applyAlignment="1" applyProtection="1">
      <alignment horizontal="center" vertical="center" wrapText="1"/>
      <protection locked="0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27" xfId="0" applyFont="1" applyFill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0" xfId="0" applyFont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2" fillId="8" borderId="96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08" xfId="4" applyFont="1" applyFill="1" applyBorder="1" applyAlignment="1" applyProtection="1">
      <alignment horizontal="center" vertical="center" wrapText="1"/>
      <protection locked="0"/>
    </xf>
    <xf numFmtId="0" fontId="29" fillId="0" borderId="109" xfId="4" applyFont="1" applyFill="1" applyBorder="1" applyAlignment="1" applyProtection="1">
      <alignment horizontal="center" vertical="center" wrapText="1"/>
      <protection locked="0"/>
    </xf>
    <xf numFmtId="0" fontId="29" fillId="0" borderId="49" xfId="4" applyFont="1" applyFill="1" applyBorder="1" applyAlignment="1" applyProtection="1">
      <alignment horizontal="center" vertical="center" wrapText="1"/>
      <protection locked="0"/>
    </xf>
    <xf numFmtId="0" fontId="29" fillId="0" borderId="52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65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109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29" fillId="0" borderId="51" xfId="4" applyFont="1" applyFill="1" applyBorder="1" applyAlignment="1" applyProtection="1">
      <alignment horizontal="center" vertical="center" wrapText="1"/>
      <protection locked="0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3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78" xfId="0" applyFont="1" applyFill="1" applyBorder="1" applyAlignment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169" xfId="4" applyFont="1" applyFill="1" applyBorder="1" applyAlignment="1" applyProtection="1">
      <alignment horizontal="center" vertical="center" wrapText="1"/>
      <protection locked="0"/>
    </xf>
    <xf numFmtId="0" fontId="13" fillId="0" borderId="168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65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17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29" fillId="0" borderId="114" xfId="4" applyFont="1" applyFill="1" applyBorder="1" applyAlignment="1" applyProtection="1">
      <alignment horizontal="center" vertical="center" wrapText="1"/>
      <protection locked="0"/>
    </xf>
    <xf numFmtId="0" fontId="29" fillId="0" borderId="50" xfId="4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5" fillId="8" borderId="17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0" borderId="104" xfId="0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3" xfId="3" applyFont="1" applyFill="1" applyBorder="1" applyAlignment="1" applyProtection="1">
      <alignment horizontal="center" vertical="center" wrapText="1"/>
      <protection locked="0"/>
    </xf>
    <xf numFmtId="0" fontId="14" fillId="4" borderId="17" xfId="3" applyFont="1" applyFill="1" applyBorder="1" applyAlignment="1" applyProtection="1">
      <alignment horizontal="center" vertical="center" wrapText="1"/>
      <protection locked="0"/>
    </xf>
    <xf numFmtId="0" fontId="14" fillId="4" borderId="20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5" fillId="3" borderId="35" xfId="3" applyFont="1" applyBorder="1" applyAlignment="1" applyProtection="1">
      <alignment horizontal="center" vertical="center"/>
      <protection locked="0"/>
    </xf>
    <xf numFmtId="0" fontId="25" fillId="3" borderId="71" xfId="3" applyFont="1" applyBorder="1" applyAlignment="1" applyProtection="1">
      <alignment horizontal="center" vertical="center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0" borderId="17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42" fillId="15" borderId="13" xfId="0" applyFont="1" applyFill="1" applyBorder="1" applyAlignment="1">
      <alignment horizontal="center" vertical="center" wrapText="1"/>
    </xf>
    <xf numFmtId="0" fontId="42" fillId="15" borderId="16" xfId="0" applyFont="1" applyFill="1" applyBorder="1" applyAlignment="1">
      <alignment horizontal="center" vertical="center" wrapText="1"/>
    </xf>
    <xf numFmtId="0" fontId="29" fillId="0" borderId="47" xfId="4" applyFont="1" applyFill="1" applyBorder="1" applyAlignment="1" applyProtection="1">
      <alignment horizontal="center" vertical="center" wrapText="1"/>
      <protection locked="0"/>
    </xf>
    <xf numFmtId="0" fontId="29" fillId="0" borderId="48" xfId="4" applyFont="1" applyFill="1" applyBorder="1" applyAlignment="1" applyProtection="1">
      <alignment horizontal="center" vertical="center" wrapText="1"/>
      <protection locked="0"/>
    </xf>
    <xf numFmtId="0" fontId="29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48" xfId="2" applyFont="1" applyBorder="1" applyAlignment="1" applyProtection="1">
      <alignment horizontal="center" vertical="center" wrapText="1"/>
      <protection locked="0"/>
    </xf>
    <xf numFmtId="0" fontId="13" fillId="0" borderId="52" xfId="2" applyFont="1" applyBorder="1" applyAlignment="1" applyProtection="1">
      <alignment horizontal="center" vertical="center" wrapText="1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13" fillId="0" borderId="167" xfId="2" applyFont="1" applyBorder="1" applyAlignment="1" applyProtection="1">
      <alignment horizontal="center" vertical="center" wrapText="1"/>
      <protection locked="0"/>
    </xf>
    <xf numFmtId="0" fontId="13" fillId="0" borderId="71" xfId="2" applyFont="1" applyBorder="1" applyAlignment="1" applyProtection="1">
      <alignment horizontal="center" vertical="center" wrapText="1"/>
      <protection locked="0"/>
    </xf>
    <xf numFmtId="0" fontId="13" fillId="0" borderId="167" xfId="4" applyFont="1" applyFill="1" applyBorder="1" applyAlignment="1" applyProtection="1">
      <alignment horizontal="center" vertical="center" wrapText="1"/>
      <protection locked="0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23" fillId="13" borderId="22" xfId="0" applyFont="1" applyFill="1" applyBorder="1" applyAlignment="1" applyProtection="1">
      <alignment horizontal="center" vertical="center"/>
      <protection locked="0"/>
    </xf>
    <xf numFmtId="0" fontId="23" fillId="13" borderId="27" xfId="0" applyFont="1" applyFill="1" applyBorder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85" xfId="6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0" borderId="47" xfId="2" applyFont="1" applyBorder="1" applyAlignment="1" applyProtection="1">
      <alignment horizontal="center" vertical="center" wrapText="1"/>
      <protection locked="0"/>
    </xf>
    <xf numFmtId="0" fontId="13" fillId="0" borderId="58" xfId="2" applyFont="1" applyBorder="1" applyAlignment="1" applyProtection="1">
      <alignment horizontal="center" vertical="center" wrapText="1"/>
      <protection locked="0"/>
    </xf>
    <xf numFmtId="0" fontId="13" fillId="0" borderId="54" xfId="2" applyFont="1" applyBorder="1" applyAlignment="1" applyProtection="1">
      <alignment horizontal="center" vertical="center" wrapText="1"/>
      <protection locked="0"/>
    </xf>
    <xf numFmtId="0" fontId="13" fillId="0" borderId="51" xfId="2" applyFont="1" applyBorder="1" applyAlignment="1" applyProtection="1">
      <alignment horizontal="center" vertical="center" wrapText="1"/>
      <protection locked="0"/>
    </xf>
    <xf numFmtId="0" fontId="13" fillId="6" borderId="13" xfId="4" quotePrefix="1" applyFont="1" applyFill="1" applyBorder="1" applyAlignment="1" applyProtection="1">
      <alignment horizontal="center" vertical="center" wrapText="1"/>
    </xf>
    <xf numFmtId="0" fontId="13" fillId="6" borderId="16" xfId="4" quotePrefix="1" applyFont="1" applyFill="1" applyBorder="1" applyAlignment="1" applyProtection="1">
      <alignment horizontal="center" vertical="center" wrapText="1"/>
    </xf>
    <xf numFmtId="0" fontId="13" fillId="6" borderId="78" xfId="4" quotePrefix="1" applyFont="1" applyFill="1" applyBorder="1" applyAlignment="1" applyProtection="1">
      <alignment horizontal="center" vertical="center" wrapText="1"/>
    </xf>
    <xf numFmtId="0" fontId="13" fillId="0" borderId="6" xfId="0" applyFont="1" applyBorder="1" applyAlignment="1" applyProtection="1">
      <alignment horizontal="center" vertical="center" shrinkToFit="1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13" fillId="0" borderId="17" xfId="0" applyFont="1" applyBorder="1" applyAlignment="1" applyProtection="1">
      <alignment horizontal="center" vertical="center" shrinkToFit="1"/>
      <protection locked="0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0" xfId="4" applyFont="1" applyFill="1" applyBorder="1" applyAlignment="1" applyProtection="1">
      <alignment horizontal="center" vertical="center" wrapText="1"/>
      <protection locked="0"/>
    </xf>
    <xf numFmtId="0" fontId="13" fillId="0" borderId="89" xfId="4" applyFont="1" applyFill="1" applyBorder="1" applyAlignment="1" applyProtection="1">
      <alignment horizontal="center" vertical="center" wrapText="1"/>
      <protection locked="0"/>
    </xf>
    <xf numFmtId="0" fontId="13" fillId="0" borderId="3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0" borderId="54" xfId="0" applyFont="1" applyBorder="1" applyAlignment="1" applyProtection="1">
      <alignment horizontal="center" vertical="center" shrinkToFit="1"/>
      <protection locked="0"/>
    </xf>
    <xf numFmtId="0" fontId="13" fillId="0" borderId="51" xfId="0" applyFont="1" applyBorder="1" applyAlignment="1" applyProtection="1">
      <alignment horizontal="center" vertical="center" shrinkToFit="1"/>
      <protection locked="0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17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116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115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6" xfId="6" applyFont="1" applyFill="1" applyBorder="1" applyAlignment="1" applyProtection="1">
      <alignment horizontal="center" vertical="center" wrapText="1"/>
    </xf>
    <xf numFmtId="0" fontId="13" fillId="15" borderId="23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17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15" borderId="101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97" xfId="4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0" borderId="104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12" xfId="4" applyFont="1" applyFill="1" applyBorder="1" applyAlignment="1" applyProtection="1">
      <alignment horizontal="center" vertical="center" wrapText="1"/>
    </xf>
    <xf numFmtId="0" fontId="13" fillId="15" borderId="113" xfId="4" applyFont="1" applyFill="1" applyBorder="1" applyAlignment="1" applyProtection="1">
      <alignment horizontal="center" vertical="center" wrapText="1"/>
    </xf>
    <xf numFmtId="0" fontId="13" fillId="15" borderId="114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0" borderId="79" xfId="4" applyFont="1" applyFill="1" applyBorder="1" applyAlignment="1" applyProtection="1">
      <alignment horizontal="center" vertical="center" wrapText="1"/>
      <protection locked="0"/>
    </xf>
    <xf numFmtId="0" fontId="13" fillId="0" borderId="61" xfId="4" applyFont="1" applyFill="1" applyBorder="1" applyAlignment="1" applyProtection="1">
      <alignment horizontal="center" vertical="center" wrapText="1"/>
      <protection locked="0"/>
    </xf>
    <xf numFmtId="0" fontId="13" fillId="0" borderId="88" xfId="4" applyFont="1" applyFill="1" applyBorder="1" applyAlignment="1" applyProtection="1">
      <alignment horizontal="center" vertical="center" wrapText="1"/>
      <protection locked="0"/>
    </xf>
    <xf numFmtId="0" fontId="13" fillId="0" borderId="164" xfId="4" applyFont="1" applyFill="1" applyBorder="1" applyAlignment="1" applyProtection="1">
      <alignment horizontal="center" vertical="center" wrapText="1"/>
      <protection locked="0"/>
    </xf>
    <xf numFmtId="0" fontId="13" fillId="0" borderId="161" xfId="4" applyFont="1" applyFill="1" applyBorder="1" applyAlignment="1" applyProtection="1">
      <alignment horizontal="center" vertical="center" wrapText="1"/>
      <protection locked="0"/>
    </xf>
    <xf numFmtId="0" fontId="13" fillId="0" borderId="162" xfId="4" applyFont="1" applyFill="1" applyBorder="1" applyAlignment="1" applyProtection="1">
      <alignment horizontal="center" vertical="center" wrapText="1"/>
      <protection locked="0"/>
    </xf>
    <xf numFmtId="0" fontId="13" fillId="0" borderId="163" xfId="4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22" fillId="15" borderId="23" xfId="4" applyFont="1" applyFill="1" applyBorder="1" applyAlignment="1" applyProtection="1">
      <alignment horizontal="center" vertical="center" wrapText="1"/>
    </xf>
    <xf numFmtId="0" fontId="22" fillId="15" borderId="19" xfId="4" applyFont="1" applyFill="1" applyBorder="1" applyAlignment="1" applyProtection="1">
      <alignment horizontal="center" vertical="center" wrapText="1"/>
    </xf>
    <xf numFmtId="0" fontId="22" fillId="15" borderId="20" xfId="4" applyFont="1" applyFill="1" applyBorder="1" applyAlignment="1" applyProtection="1">
      <alignment horizontal="center" vertical="center" wrapText="1"/>
    </xf>
    <xf numFmtId="0" fontId="13" fillId="0" borderId="101" xfId="4" applyFont="1" applyFill="1" applyBorder="1" applyAlignment="1" applyProtection="1">
      <alignment horizontal="center" vertical="center" wrapText="1"/>
      <protection locked="0"/>
    </xf>
    <xf numFmtId="0" fontId="13" fillId="0" borderId="101" xfId="2" applyFont="1" applyBorder="1" applyAlignment="1" applyProtection="1">
      <alignment horizontal="center" vertical="center" wrapText="1"/>
      <protection locked="0"/>
    </xf>
    <xf numFmtId="0" fontId="13" fillId="0" borderId="102" xfId="2" applyFont="1" applyBorder="1" applyAlignment="1" applyProtection="1">
      <alignment horizontal="center" vertical="center" wrapText="1"/>
      <protection locked="0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wrapText="1"/>
    </xf>
    <xf numFmtId="0" fontId="13" fillId="0" borderId="77" xfId="4" applyFont="1" applyFill="1" applyBorder="1" applyAlignment="1" applyProtection="1">
      <alignment horizontal="center" vertical="center" wrapText="1"/>
      <protection locked="0"/>
    </xf>
    <xf numFmtId="0" fontId="13" fillId="15" borderId="47" xfId="5" applyFont="1" applyFill="1" applyBorder="1" applyAlignment="1" applyProtection="1">
      <alignment horizontal="center" vertical="center" wrapText="1"/>
    </xf>
    <xf numFmtId="0" fontId="13" fillId="15" borderId="58" xfId="5" applyFont="1" applyFill="1" applyBorder="1" applyAlignment="1" applyProtection="1">
      <alignment horizontal="center" vertical="center" wrapText="1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17" xfId="0" applyNumberFormat="1" applyFont="1" applyFill="1" applyBorder="1" applyAlignment="1">
      <alignment horizontal="center" vertical="center" wrapText="1"/>
    </xf>
    <xf numFmtId="176" fontId="13" fillId="15" borderId="20" xfId="0" applyNumberFormat="1" applyFont="1" applyFill="1" applyBorder="1" applyAlignment="1">
      <alignment horizontal="center" vertical="center" wrapText="1"/>
    </xf>
    <xf numFmtId="0" fontId="13" fillId="0" borderId="17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29" fillId="22" borderId="75" xfId="4" applyFont="1" applyFill="1" applyBorder="1" applyAlignment="1" applyProtection="1">
      <alignment horizontal="center" vertical="center" wrapText="1"/>
      <protection locked="0"/>
    </xf>
    <xf numFmtId="0" fontId="29" fillId="22" borderId="19" xfId="4" applyFont="1" applyFill="1" applyBorder="1" applyAlignment="1" applyProtection="1">
      <alignment horizontal="center" vertical="center" wrapText="1"/>
      <protection locked="0"/>
    </xf>
    <xf numFmtId="0" fontId="29" fillId="22" borderId="61" xfId="4" applyFont="1" applyFill="1" applyBorder="1" applyAlignment="1" applyProtection="1">
      <alignment horizontal="center" vertical="center" wrapText="1"/>
      <protection locked="0"/>
    </xf>
    <xf numFmtId="0" fontId="29" fillId="22" borderId="20" xfId="4" applyFont="1" applyFill="1" applyBorder="1" applyAlignment="1" applyProtection="1">
      <alignment horizontal="center" vertical="center" wrapText="1"/>
      <protection locked="0"/>
    </xf>
    <xf numFmtId="0" fontId="13" fillId="0" borderId="23" xfId="4" applyFont="1" applyFill="1" applyBorder="1" applyAlignment="1" applyProtection="1">
      <alignment horizontal="center" vertical="center" wrapText="1"/>
      <protection locked="0"/>
    </xf>
    <xf numFmtId="0" fontId="13" fillId="0" borderId="75" xfId="4" applyFont="1" applyFill="1" applyBorder="1" applyAlignment="1" applyProtection="1">
      <alignment horizontal="center" vertical="center" wrapTex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18" xfId="4" applyFont="1" applyFill="1" applyBorder="1" applyAlignment="1" applyProtection="1">
      <alignment horizontal="center" vertical="center" wrapText="1"/>
      <protection locked="0"/>
    </xf>
    <xf numFmtId="0" fontId="13" fillId="0" borderId="7" xfId="4" applyFont="1" applyFill="1" applyBorder="1" applyAlignment="1" applyProtection="1">
      <alignment horizontal="center" vertical="center" wrapText="1"/>
      <protection locked="0"/>
    </xf>
    <xf numFmtId="0" fontId="13" fillId="0" borderId="26" xfId="4" applyFont="1" applyFill="1" applyBorder="1" applyAlignment="1" applyProtection="1">
      <alignment horizontal="center" vertical="center" wrapText="1"/>
      <protection locked="0"/>
    </xf>
    <xf numFmtId="0" fontId="61" fillId="18" borderId="118" xfId="7" applyFont="1" applyFill="1" applyBorder="1" applyAlignment="1">
      <alignment horizontal="center" vertical="center" wrapText="1"/>
    </xf>
    <xf numFmtId="0" fontId="62" fillId="0" borderId="120" xfId="7" applyFont="1" applyBorder="1">
      <alignment vertical="center"/>
    </xf>
    <xf numFmtId="0" fontId="62" fillId="0" borderId="125" xfId="7" applyFont="1" applyBorder="1">
      <alignment vertical="center"/>
    </xf>
    <xf numFmtId="0" fontId="61" fillId="18" borderId="170" xfId="7" applyFont="1" applyFill="1" applyBorder="1" applyAlignment="1">
      <alignment horizontal="center" vertical="center" wrapText="1"/>
    </xf>
    <xf numFmtId="0" fontId="62" fillId="0" borderId="143" xfId="7" applyFont="1" applyBorder="1">
      <alignment vertical="center"/>
    </xf>
    <xf numFmtId="0" fontId="62" fillId="0" borderId="172" xfId="7" applyFont="1" applyBorder="1">
      <alignment vertical="center"/>
    </xf>
    <xf numFmtId="49" fontId="63" fillId="23" borderId="173" xfId="7" applyNumberFormat="1" applyFont="1" applyFill="1" applyBorder="1" applyAlignment="1">
      <alignment horizontal="center" vertical="center" shrinkToFit="1"/>
    </xf>
    <xf numFmtId="0" fontId="62" fillId="16" borderId="174" xfId="7" applyFont="1" applyFill="1" applyBorder="1">
      <alignment vertical="center"/>
    </xf>
    <xf numFmtId="0" fontId="61" fillId="18" borderId="120" xfId="7" applyFont="1" applyFill="1" applyBorder="1" applyAlignment="1">
      <alignment horizontal="center" vertical="center" wrapText="1"/>
    </xf>
    <xf numFmtId="0" fontId="61" fillId="18" borderId="125" xfId="7" applyFont="1" applyFill="1" applyBorder="1" applyAlignment="1">
      <alignment horizontal="center" vertical="center" wrapText="1"/>
    </xf>
    <xf numFmtId="0" fontId="61" fillId="18" borderId="143" xfId="7" applyFont="1" applyFill="1" applyBorder="1" applyAlignment="1">
      <alignment horizontal="center" vertical="center" wrapText="1"/>
    </xf>
    <xf numFmtId="0" fontId="61" fillId="18" borderId="172" xfId="7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7" fillId="11" borderId="94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7" fillId="11" borderId="94" xfId="7" applyFont="1" applyFill="1" applyBorder="1" applyAlignment="1">
      <alignment horizontal="center" vertical="center"/>
    </xf>
    <xf numFmtId="0" fontId="27" fillId="11" borderId="28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27" fillId="11" borderId="94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5" xfId="7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26" fillId="8" borderId="175" xfId="0" applyFont="1" applyFill="1" applyBorder="1" applyAlignment="1">
      <alignment horizontal="center" vertical="center"/>
    </xf>
    <xf numFmtId="0" fontId="26" fillId="8" borderId="63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/>
    </xf>
    <xf numFmtId="0" fontId="0" fillId="0" borderId="91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176" xfId="0" applyFont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0" borderId="80" xfId="0" applyFont="1" applyBorder="1" applyAlignment="1">
      <alignment horizontal="center" vertical="center"/>
    </xf>
    <xf numFmtId="0" fontId="31" fillId="0" borderId="176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4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50" fillId="20" borderId="122" xfId="16" applyFont="1" applyFill="1" applyBorder="1" applyAlignment="1">
      <alignment horizontal="center" vertical="center"/>
    </xf>
    <xf numFmtId="0" fontId="43" fillId="0" borderId="122" xfId="16" applyFont="1" applyBorder="1"/>
    <xf numFmtId="0" fontId="43" fillId="0" borderId="123" xfId="16" applyFont="1" applyBorder="1"/>
    <xf numFmtId="0" fontId="50" fillId="0" borderId="124" xfId="16" applyFont="1" applyBorder="1" applyAlignment="1">
      <alignment horizontal="center" vertical="center"/>
    </xf>
    <xf numFmtId="0" fontId="46" fillId="0" borderId="0" xfId="16" applyFont="1" applyAlignment="1">
      <alignment horizontal="center" vertical="center"/>
    </xf>
    <xf numFmtId="0" fontId="48" fillId="0" borderId="0" xfId="16" applyFont="1" applyAlignment="1"/>
    <xf numFmtId="0" fontId="49" fillId="0" borderId="119" xfId="16" applyFont="1" applyBorder="1" applyAlignment="1">
      <alignment horizontal="center" vertical="center"/>
    </xf>
    <xf numFmtId="0" fontId="43" fillId="0" borderId="26" xfId="16" applyFont="1" applyBorder="1"/>
    <xf numFmtId="0" fontId="43" fillId="0" borderId="23" xfId="16" applyFont="1" applyBorder="1"/>
    <xf numFmtId="0" fontId="49" fillId="8" borderId="4" xfId="16" applyFont="1" applyFill="1" applyBorder="1" applyAlignment="1">
      <alignment horizontal="center" vertical="center"/>
    </xf>
    <xf numFmtId="0" fontId="43" fillId="8" borderId="26" xfId="16" applyFont="1" applyFill="1" applyBorder="1"/>
    <xf numFmtId="0" fontId="43" fillId="8" borderId="23" xfId="16" applyFont="1" applyFill="1" applyBorder="1"/>
    <xf numFmtId="0" fontId="36" fillId="19" borderId="118" xfId="16" applyFont="1" applyFill="1" applyBorder="1" applyAlignment="1">
      <alignment horizontal="center" vertical="center" wrapText="1"/>
    </xf>
    <xf numFmtId="0" fontId="43" fillId="0" borderId="120" xfId="16" applyFont="1" applyBorder="1"/>
    <xf numFmtId="0" fontId="43" fillId="0" borderId="125" xfId="16" applyFont="1" applyBorder="1"/>
    <xf numFmtId="0" fontId="50" fillId="20" borderId="127" xfId="16" applyFont="1" applyFill="1" applyBorder="1" applyAlignment="1">
      <alignment horizontal="center" vertical="center"/>
    </xf>
    <xf numFmtId="0" fontId="43" fillId="0" borderId="128" xfId="16" applyFont="1" applyBorder="1"/>
    <xf numFmtId="0" fontId="43" fillId="0" borderId="129" xfId="16" applyFont="1" applyBorder="1"/>
    <xf numFmtId="0" fontId="43" fillId="0" borderId="130" xfId="16" applyFont="1" applyBorder="1"/>
    <xf numFmtId="0" fontId="50" fillId="0" borderId="106" xfId="16" applyFont="1" applyBorder="1" applyAlignment="1">
      <alignment horizontal="center" vertical="center" wrapText="1"/>
    </xf>
    <xf numFmtId="0" fontId="43" fillId="0" borderId="127" xfId="16" applyFont="1" applyBorder="1"/>
    <xf numFmtId="0" fontId="43" fillId="0" borderId="131" xfId="16" applyFont="1" applyBorder="1"/>
    <xf numFmtId="0" fontId="51" fillId="21" borderId="134" xfId="16" applyFont="1" applyFill="1" applyBorder="1" applyAlignment="1">
      <alignment horizontal="center" vertical="center" wrapText="1"/>
    </xf>
    <xf numFmtId="0" fontId="43" fillId="0" borderId="135" xfId="16" applyFont="1" applyBorder="1"/>
    <xf numFmtId="0" fontId="52" fillId="0" borderId="136" xfId="16" applyFont="1" applyBorder="1" applyAlignment="1">
      <alignment horizontal="center" vertical="center" wrapText="1"/>
    </xf>
    <xf numFmtId="0" fontId="43" fillId="0" borderId="142" xfId="16" applyFont="1" applyBorder="1"/>
    <xf numFmtId="0" fontId="52" fillId="0" borderId="137" xfId="16" applyFont="1" applyBorder="1" applyAlignment="1">
      <alignment horizontal="center" vertical="center" wrapText="1"/>
    </xf>
    <xf numFmtId="0" fontId="43" fillId="0" borderId="143" xfId="16" applyFont="1" applyBorder="1"/>
    <xf numFmtId="0" fontId="43" fillId="0" borderId="147" xfId="16" applyFont="1" applyBorder="1"/>
    <xf numFmtId="0" fontId="52" fillId="0" borderId="139" xfId="16" applyFont="1" applyBorder="1" applyAlignment="1">
      <alignment horizontal="center" vertical="center" wrapText="1"/>
    </xf>
    <xf numFmtId="0" fontId="43" fillId="0" borderId="121" xfId="16" applyFont="1" applyBorder="1"/>
    <xf numFmtId="0" fontId="43" fillId="0" borderId="146" xfId="16" applyFont="1" applyBorder="1"/>
    <xf numFmtId="0" fontId="52" fillId="0" borderId="122" xfId="16" applyFont="1" applyBorder="1" applyAlignment="1">
      <alignment horizontal="center" vertical="center" wrapText="1"/>
    </xf>
    <xf numFmtId="0" fontId="54" fillId="0" borderId="124" xfId="16" applyFont="1" applyBorder="1" applyAlignment="1">
      <alignment horizontal="center" vertical="center" wrapText="1"/>
    </xf>
    <xf numFmtId="0" fontId="52" fillId="0" borderId="124" xfId="16" applyFont="1" applyBorder="1" applyAlignment="1">
      <alignment horizontal="center" vertical="center" wrapText="1"/>
    </xf>
    <xf numFmtId="0" fontId="52" fillId="21" borderId="124" xfId="16" applyFont="1" applyFill="1" applyBorder="1" applyAlignment="1">
      <alignment horizontal="center" vertical="center" wrapText="1"/>
    </xf>
    <xf numFmtId="0" fontId="54" fillId="21" borderId="124" xfId="16" applyFont="1" applyFill="1" applyBorder="1" applyAlignment="1">
      <alignment horizontal="center" vertical="center" wrapText="1"/>
    </xf>
    <xf numFmtId="0" fontId="43" fillId="0" borderId="141" xfId="16" applyFont="1" applyBorder="1"/>
    <xf numFmtId="0" fontId="16" fillId="0" borderId="0" xfId="16" applyFont="1" applyBorder="1" applyAlignment="1"/>
    <xf numFmtId="0" fontId="52" fillId="0" borderId="150" xfId="16" applyFont="1" applyBorder="1" applyAlignment="1">
      <alignment horizontal="center" vertical="center" wrapText="1"/>
    </xf>
    <xf numFmtId="0" fontId="52" fillId="0" borderId="152" xfId="16" applyFont="1" applyBorder="1" applyAlignment="1">
      <alignment horizontal="center" vertical="center" wrapText="1"/>
    </xf>
    <xf numFmtId="0" fontId="43" fillId="0" borderId="153" xfId="16" applyFont="1" applyBorder="1"/>
    <xf numFmtId="0" fontId="52" fillId="0" borderId="106" xfId="16" applyFont="1" applyBorder="1" applyAlignment="1">
      <alignment horizontal="center" vertical="center" wrapText="1"/>
    </xf>
    <xf numFmtId="0" fontId="52" fillId="0" borderId="154" xfId="16" applyFont="1" applyBorder="1" applyAlignment="1">
      <alignment horizontal="center" vertical="center" wrapText="1"/>
    </xf>
    <xf numFmtId="0" fontId="43" fillId="0" borderId="155" xfId="16" applyFont="1" applyBorder="1"/>
    <xf numFmtId="0" fontId="52" fillId="21" borderId="122" xfId="16" applyFont="1" applyFill="1" applyBorder="1" applyAlignment="1">
      <alignment horizontal="center" vertical="center" wrapText="1"/>
    </xf>
    <xf numFmtId="0" fontId="56" fillId="20" borderId="122" xfId="16" applyFont="1" applyFill="1" applyBorder="1" applyAlignment="1">
      <alignment horizontal="center" vertical="center"/>
    </xf>
    <xf numFmtId="0" fontId="56" fillId="0" borderId="124" xfId="16" applyFont="1" applyBorder="1" applyAlignment="1">
      <alignment horizontal="center" vertical="center"/>
    </xf>
    <xf numFmtId="0" fontId="50" fillId="0" borderId="124" xfId="16" applyFont="1" applyBorder="1" applyAlignment="1">
      <alignment horizontal="center" vertical="center" wrapText="1"/>
    </xf>
    <xf numFmtId="0" fontId="50" fillId="0" borderId="106" xfId="16" applyFont="1" applyBorder="1" applyAlignment="1">
      <alignment horizontal="center" vertical="center"/>
    </xf>
    <xf numFmtId="0" fontId="50" fillId="20" borderId="122" xfId="16" applyFont="1" applyFill="1" applyBorder="1" applyAlignment="1">
      <alignment horizontal="center" vertical="center" wrapText="1"/>
    </xf>
    <xf numFmtId="0" fontId="56" fillId="20" borderId="122" xfId="16" applyFont="1" applyFill="1" applyBorder="1" applyAlignment="1">
      <alignment horizontal="center" vertical="center" wrapText="1"/>
    </xf>
    <xf numFmtId="0" fontId="58" fillId="0" borderId="150" xfId="16" applyFont="1" applyBorder="1" applyAlignment="1">
      <alignment horizontal="center" vertical="center"/>
    </xf>
    <xf numFmtId="0" fontId="36" fillId="0" borderId="0" xfId="16" applyFont="1" applyBorder="1" applyAlignment="1">
      <alignment vertical="center" wrapText="1"/>
    </xf>
    <xf numFmtId="0" fontId="36" fillId="19" borderId="158" xfId="16" applyFont="1" applyFill="1" applyBorder="1" applyAlignment="1">
      <alignment horizontal="center" vertical="center" wrapText="1"/>
    </xf>
    <xf numFmtId="0" fontId="36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6" fillId="20" borderId="128" xfId="16" applyFont="1" applyFill="1" applyBorder="1" applyAlignment="1">
      <alignment horizontal="center" vertical="center"/>
    </xf>
    <xf numFmtId="0" fontId="56" fillId="20" borderId="124" xfId="16" applyFont="1" applyFill="1" applyBorder="1" applyAlignment="1">
      <alignment horizontal="center" vertical="center"/>
    </xf>
    <xf numFmtId="0" fontId="57" fillId="0" borderId="128" xfId="16" applyFont="1" applyBorder="1" applyAlignment="1">
      <alignment horizontal="center" vertical="center"/>
    </xf>
    <xf numFmtId="0" fontId="59" fillId="0" borderId="130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08"/>
  <sheetViews>
    <sheetView tabSelected="1" view="pageBreakPreview" zoomScaleNormal="100" zoomScaleSheetLayoutView="100" workbookViewId="0">
      <pane ySplit="8" topLeftCell="A9" activePane="bottomLeft" state="frozen"/>
      <selection pane="bottomLeft" activeCell="A3" sqref="A3:XFD4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33" t="s">
        <v>512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4"/>
      <c r="V2" s="235" t="s">
        <v>129</v>
      </c>
      <c r="W2" s="236"/>
      <c r="X2" s="231">
        <v>2027</v>
      </c>
      <c r="Y2" s="232"/>
      <c r="AA2" s="237" t="s">
        <v>142</v>
      </c>
      <c r="AB2" s="19" t="s">
        <v>143</v>
      </c>
      <c r="AC2" s="47" t="s">
        <v>151</v>
      </c>
      <c r="AD2" s="20" t="s">
        <v>144</v>
      </c>
    </row>
    <row r="3" spans="2:30" ht="22.5" customHeight="1" thickBot="1">
      <c r="B3" s="281" t="s">
        <v>356</v>
      </c>
      <c r="C3" s="283" t="s">
        <v>52</v>
      </c>
      <c r="D3" s="284"/>
      <c r="E3" s="284"/>
      <c r="F3" s="283" t="s">
        <v>63</v>
      </c>
      <c r="G3" s="287"/>
      <c r="H3" s="283" t="s">
        <v>53</v>
      </c>
      <c r="I3" s="284"/>
      <c r="J3" s="284"/>
      <c r="K3" s="283" t="s">
        <v>54</v>
      </c>
      <c r="L3" s="284"/>
      <c r="M3" s="284"/>
      <c r="N3" s="284"/>
      <c r="O3" s="287"/>
      <c r="P3" s="289" t="s">
        <v>55</v>
      </c>
      <c r="Q3" s="290"/>
      <c r="R3" s="290"/>
      <c r="S3" s="290"/>
      <c r="T3" s="290"/>
      <c r="U3" s="290"/>
      <c r="V3" s="290"/>
      <c r="W3" s="290"/>
      <c r="X3" s="290"/>
      <c r="Y3" s="291"/>
      <c r="AA3" s="238"/>
      <c r="AB3" s="21" t="s">
        <v>145</v>
      </c>
      <c r="AC3" s="54" t="s">
        <v>557</v>
      </c>
      <c r="AD3" s="22" t="s">
        <v>559</v>
      </c>
    </row>
    <row r="4" spans="2:30" ht="22.5" customHeight="1" thickBot="1">
      <c r="B4" s="282"/>
      <c r="C4" s="285"/>
      <c r="D4" s="286"/>
      <c r="E4" s="286"/>
      <c r="F4" s="285"/>
      <c r="G4" s="288"/>
      <c r="H4" s="285"/>
      <c r="I4" s="286"/>
      <c r="J4" s="286"/>
      <c r="K4" s="285"/>
      <c r="L4" s="286"/>
      <c r="M4" s="286"/>
      <c r="N4" s="286"/>
      <c r="O4" s="288"/>
      <c r="P4" s="289" t="s">
        <v>126</v>
      </c>
      <c r="Q4" s="290"/>
      <c r="R4" s="290"/>
      <c r="S4" s="290"/>
      <c r="T4" s="289" t="s">
        <v>60</v>
      </c>
      <c r="U4" s="290"/>
      <c r="V4" s="291"/>
      <c r="W4" s="290" t="s">
        <v>127</v>
      </c>
      <c r="X4" s="290"/>
      <c r="Y4" s="291"/>
      <c r="AA4" s="238"/>
      <c r="AB4" s="23" t="s">
        <v>146</v>
      </c>
      <c r="AC4" s="55" t="s">
        <v>558</v>
      </c>
      <c r="AD4" s="22" t="s">
        <v>560</v>
      </c>
    </row>
    <row r="5" spans="2:30" ht="27" customHeight="1" thickBot="1">
      <c r="B5" s="88" t="s">
        <v>510</v>
      </c>
      <c r="C5" s="292" t="s">
        <v>513</v>
      </c>
      <c r="D5" s="293"/>
      <c r="E5" s="294"/>
      <c r="F5" s="292" t="s">
        <v>514</v>
      </c>
      <c r="G5" s="295"/>
      <c r="H5" s="296" t="s">
        <v>515</v>
      </c>
      <c r="I5" s="293"/>
      <c r="J5" s="294"/>
      <c r="K5" s="292"/>
      <c r="L5" s="293"/>
      <c r="M5" s="293"/>
      <c r="N5" s="293"/>
      <c r="O5" s="295"/>
      <c r="P5" s="296" t="s">
        <v>516</v>
      </c>
      <c r="Q5" s="293"/>
      <c r="R5" s="293"/>
      <c r="S5" s="294"/>
      <c r="T5" s="292" t="s">
        <v>33</v>
      </c>
      <c r="U5" s="293"/>
      <c r="V5" s="294"/>
      <c r="W5" s="297" t="s">
        <v>631</v>
      </c>
      <c r="X5" s="298"/>
      <c r="Y5" s="299"/>
      <c r="AA5" s="239"/>
      <c r="AB5" s="24" t="s">
        <v>147</v>
      </c>
      <c r="AC5" s="56"/>
      <c r="AD5" s="25"/>
    </row>
    <row r="6" spans="2:30" ht="15.75" customHeight="1" thickBot="1">
      <c r="U6" s="300"/>
      <c r="V6" s="300"/>
      <c r="W6" s="300"/>
      <c r="X6" s="300"/>
      <c r="Y6" s="300"/>
    </row>
    <row r="7" spans="2:30" s="10" customFormat="1" ht="22.5" customHeight="1">
      <c r="B7" s="301" t="s">
        <v>2</v>
      </c>
      <c r="C7" s="302"/>
      <c r="D7" s="305" t="s">
        <v>119</v>
      </c>
      <c r="E7" s="307" t="s">
        <v>56</v>
      </c>
      <c r="F7" s="308"/>
      <c r="G7" s="309"/>
      <c r="H7" s="310" t="s">
        <v>132</v>
      </c>
      <c r="I7" s="313" t="s">
        <v>133</v>
      </c>
      <c r="J7" s="317" t="s">
        <v>134</v>
      </c>
      <c r="K7" s="312" t="s">
        <v>57</v>
      </c>
      <c r="L7" s="313"/>
      <c r="M7" s="313"/>
      <c r="N7" s="314"/>
      <c r="O7" s="315" t="s">
        <v>58</v>
      </c>
      <c r="P7" s="313"/>
      <c r="Q7" s="313"/>
      <c r="R7" s="314"/>
      <c r="S7" s="312" t="s">
        <v>59</v>
      </c>
      <c r="T7" s="313"/>
      <c r="U7" s="313"/>
      <c r="V7" s="316"/>
      <c r="W7" s="310" t="s">
        <v>135</v>
      </c>
      <c r="X7" s="317"/>
      <c r="Y7" s="309" t="s">
        <v>136</v>
      </c>
      <c r="Z7" s="9"/>
    </row>
    <row r="8" spans="2:30" s="10" customFormat="1" ht="22.5" customHeight="1" thickBot="1">
      <c r="B8" s="303"/>
      <c r="C8" s="304"/>
      <c r="D8" s="306"/>
      <c r="E8" s="26" t="s">
        <v>17</v>
      </c>
      <c r="F8" s="320" t="s">
        <v>18</v>
      </c>
      <c r="G8" s="321"/>
      <c r="H8" s="311"/>
      <c r="I8" s="223"/>
      <c r="J8" s="318"/>
      <c r="K8" s="222" t="s">
        <v>0</v>
      </c>
      <c r="L8" s="223"/>
      <c r="M8" s="223" t="s">
        <v>61</v>
      </c>
      <c r="N8" s="322"/>
      <c r="O8" s="323" t="s">
        <v>0</v>
      </c>
      <c r="P8" s="223"/>
      <c r="Q8" s="223" t="s">
        <v>61</v>
      </c>
      <c r="R8" s="322"/>
      <c r="S8" s="222" t="s">
        <v>0</v>
      </c>
      <c r="T8" s="223"/>
      <c r="U8" s="223" t="s">
        <v>61</v>
      </c>
      <c r="V8" s="224"/>
      <c r="W8" s="311"/>
      <c r="X8" s="318"/>
      <c r="Y8" s="319"/>
      <c r="AA8" s="418" t="s">
        <v>496</v>
      </c>
      <c r="AB8" s="418"/>
      <c r="AC8" s="418"/>
      <c r="AD8" s="418"/>
    </row>
    <row r="9" spans="2:30" ht="16.5" customHeight="1" thickBot="1">
      <c r="B9" s="256" t="s">
        <v>336</v>
      </c>
      <c r="C9" s="257"/>
      <c r="D9" s="262" t="s">
        <v>20</v>
      </c>
      <c r="E9" s="57" t="s">
        <v>12</v>
      </c>
      <c r="F9" s="265" t="s">
        <v>200</v>
      </c>
      <c r="G9" s="252"/>
      <c r="H9" s="58">
        <v>4</v>
      </c>
      <c r="I9" s="59" t="s">
        <v>337</v>
      </c>
      <c r="J9" s="60">
        <v>3</v>
      </c>
      <c r="K9" s="265">
        <v>3</v>
      </c>
      <c r="L9" s="251"/>
      <c r="M9" s="240"/>
      <c r="N9" s="241"/>
      <c r="O9" s="250"/>
      <c r="P9" s="251"/>
      <c r="Q9" s="240"/>
      <c r="R9" s="241"/>
      <c r="S9" s="250"/>
      <c r="T9" s="251"/>
      <c r="U9" s="240"/>
      <c r="V9" s="252"/>
      <c r="W9" s="61">
        <f>SUM(K9:V9)</f>
        <v>3</v>
      </c>
      <c r="X9" s="254">
        <f>SUM(W9:W11)</f>
        <v>9</v>
      </c>
      <c r="Y9" s="209">
        <v>24</v>
      </c>
      <c r="AA9" s="149" t="s">
        <v>497</v>
      </c>
      <c r="AB9" s="150" t="s">
        <v>503</v>
      </c>
      <c r="AC9" s="150" t="s">
        <v>504</v>
      </c>
      <c r="AD9" s="151" t="s">
        <v>505</v>
      </c>
    </row>
    <row r="10" spans="2:30" ht="17.25" thickBot="1">
      <c r="B10" s="258"/>
      <c r="C10" s="259"/>
      <c r="D10" s="263"/>
      <c r="E10" s="62" t="s">
        <v>12</v>
      </c>
      <c r="F10" s="266" t="s">
        <v>201</v>
      </c>
      <c r="G10" s="221"/>
      <c r="H10" s="63">
        <v>4</v>
      </c>
      <c r="I10" s="64" t="s">
        <v>337</v>
      </c>
      <c r="J10" s="65">
        <v>3</v>
      </c>
      <c r="K10" s="266"/>
      <c r="L10" s="205"/>
      <c r="M10" s="202">
        <v>3</v>
      </c>
      <c r="N10" s="208"/>
      <c r="O10" s="204"/>
      <c r="P10" s="205"/>
      <c r="Q10" s="202"/>
      <c r="R10" s="208"/>
      <c r="S10" s="204"/>
      <c r="T10" s="205"/>
      <c r="U10" s="202"/>
      <c r="V10" s="221"/>
      <c r="W10" s="66">
        <f t="shared" ref="W10:W24" si="0">SUM(K10:V10)</f>
        <v>3</v>
      </c>
      <c r="X10" s="255"/>
      <c r="Y10" s="209"/>
      <c r="AA10" s="152" t="s">
        <v>498</v>
      </c>
      <c r="AB10" s="153">
        <v>4</v>
      </c>
      <c r="AC10" s="153">
        <v>-1</v>
      </c>
      <c r="AD10" s="22" t="s">
        <v>506</v>
      </c>
    </row>
    <row r="11" spans="2:30" ht="17.25" thickBot="1">
      <c r="B11" s="258"/>
      <c r="C11" s="259"/>
      <c r="D11" s="264"/>
      <c r="E11" s="67" t="s">
        <v>338</v>
      </c>
      <c r="F11" s="267" t="s">
        <v>339</v>
      </c>
      <c r="G11" s="228"/>
      <c r="H11" s="68">
        <v>4</v>
      </c>
      <c r="I11" s="69" t="s">
        <v>340</v>
      </c>
      <c r="J11" s="70">
        <v>3</v>
      </c>
      <c r="K11" s="267"/>
      <c r="L11" s="215"/>
      <c r="M11" s="226"/>
      <c r="N11" s="227"/>
      <c r="O11" s="214">
        <v>3</v>
      </c>
      <c r="P11" s="215"/>
      <c r="Q11" s="226"/>
      <c r="R11" s="227"/>
      <c r="S11" s="214"/>
      <c r="T11" s="215"/>
      <c r="U11" s="226"/>
      <c r="V11" s="228"/>
      <c r="W11" s="66">
        <f t="shared" si="0"/>
        <v>3</v>
      </c>
      <c r="X11" s="255"/>
      <c r="Y11" s="209"/>
      <c r="AA11" s="152" t="s">
        <v>499</v>
      </c>
      <c r="AB11" s="153">
        <v>3</v>
      </c>
      <c r="AC11" s="153"/>
      <c r="AD11" s="22">
        <v>3</v>
      </c>
    </row>
    <row r="12" spans="2:30" ht="17.25" thickBot="1">
      <c r="B12" s="258"/>
      <c r="C12" s="259"/>
      <c r="D12" s="262" t="s">
        <v>5</v>
      </c>
      <c r="E12" s="57" t="s">
        <v>12</v>
      </c>
      <c r="F12" s="265" t="s">
        <v>212</v>
      </c>
      <c r="G12" s="252"/>
      <c r="H12" s="58">
        <v>4</v>
      </c>
      <c r="I12" s="59" t="s">
        <v>337</v>
      </c>
      <c r="J12" s="60">
        <v>3</v>
      </c>
      <c r="K12" s="265">
        <v>3</v>
      </c>
      <c r="L12" s="251"/>
      <c r="M12" s="240"/>
      <c r="N12" s="241"/>
      <c r="O12" s="250"/>
      <c r="P12" s="251"/>
      <c r="Q12" s="240"/>
      <c r="R12" s="241"/>
      <c r="S12" s="250"/>
      <c r="T12" s="251"/>
      <c r="U12" s="240"/>
      <c r="V12" s="252"/>
      <c r="W12" s="61">
        <f t="shared" si="0"/>
        <v>3</v>
      </c>
      <c r="X12" s="254">
        <f t="shared" ref="X12" si="1">SUM(W12:W14)</f>
        <v>9</v>
      </c>
      <c r="Y12" s="209"/>
      <c r="AA12" s="152" t="s">
        <v>500</v>
      </c>
      <c r="AB12" s="153">
        <v>4</v>
      </c>
      <c r="AC12" s="153" t="s">
        <v>509</v>
      </c>
      <c r="AD12" s="22" t="s">
        <v>507</v>
      </c>
    </row>
    <row r="13" spans="2:30" ht="17.25" thickBot="1">
      <c r="B13" s="258"/>
      <c r="C13" s="259"/>
      <c r="D13" s="263"/>
      <c r="E13" s="62" t="s">
        <v>12</v>
      </c>
      <c r="F13" s="266" t="s">
        <v>214</v>
      </c>
      <c r="G13" s="221"/>
      <c r="H13" s="63">
        <v>4</v>
      </c>
      <c r="I13" s="64" t="s">
        <v>337</v>
      </c>
      <c r="J13" s="65">
        <v>3</v>
      </c>
      <c r="K13" s="266"/>
      <c r="L13" s="205"/>
      <c r="M13" s="202">
        <v>3</v>
      </c>
      <c r="N13" s="208"/>
      <c r="O13" s="204"/>
      <c r="P13" s="205"/>
      <c r="Q13" s="202"/>
      <c r="R13" s="208"/>
      <c r="S13" s="204"/>
      <c r="T13" s="205"/>
      <c r="U13" s="202"/>
      <c r="V13" s="221"/>
      <c r="W13" s="66">
        <f t="shared" si="0"/>
        <v>3</v>
      </c>
      <c r="X13" s="255"/>
      <c r="Y13" s="209"/>
      <c r="AA13" s="152" t="s">
        <v>501</v>
      </c>
      <c r="AB13" s="153">
        <v>3</v>
      </c>
      <c r="AC13" s="153" t="s">
        <v>509</v>
      </c>
      <c r="AD13" s="22" t="s">
        <v>508</v>
      </c>
    </row>
    <row r="14" spans="2:30" ht="17.25" thickBot="1">
      <c r="B14" s="258"/>
      <c r="C14" s="259"/>
      <c r="D14" s="264"/>
      <c r="E14" s="67" t="s">
        <v>338</v>
      </c>
      <c r="F14" s="267" t="s">
        <v>341</v>
      </c>
      <c r="G14" s="228"/>
      <c r="H14" s="68">
        <v>4</v>
      </c>
      <c r="I14" s="69" t="s">
        <v>340</v>
      </c>
      <c r="J14" s="70">
        <v>3</v>
      </c>
      <c r="K14" s="267"/>
      <c r="L14" s="215"/>
      <c r="M14" s="226"/>
      <c r="N14" s="227"/>
      <c r="O14" s="214"/>
      <c r="P14" s="215"/>
      <c r="Q14" s="226">
        <v>3</v>
      </c>
      <c r="R14" s="227"/>
      <c r="S14" s="214"/>
      <c r="T14" s="215"/>
      <c r="U14" s="226"/>
      <c r="V14" s="228"/>
      <c r="W14" s="66">
        <f t="shared" si="0"/>
        <v>3</v>
      </c>
      <c r="X14" s="255"/>
      <c r="Y14" s="209"/>
      <c r="AA14" s="154" t="s">
        <v>502</v>
      </c>
      <c r="AB14" s="416" t="s">
        <v>511</v>
      </c>
      <c r="AC14" s="416"/>
      <c r="AD14" s="417"/>
    </row>
    <row r="15" spans="2:30" ht="17.25" thickBot="1">
      <c r="B15" s="258"/>
      <c r="C15" s="259"/>
      <c r="D15" s="262" t="s">
        <v>6</v>
      </c>
      <c r="E15" s="57" t="s">
        <v>12</v>
      </c>
      <c r="F15" s="265" t="s">
        <v>219</v>
      </c>
      <c r="G15" s="252"/>
      <c r="H15" s="58">
        <v>4</v>
      </c>
      <c r="I15" s="59" t="s">
        <v>337</v>
      </c>
      <c r="J15" s="60">
        <v>3</v>
      </c>
      <c r="K15" s="265">
        <v>3</v>
      </c>
      <c r="L15" s="251"/>
      <c r="M15" s="240"/>
      <c r="N15" s="241"/>
      <c r="O15" s="250"/>
      <c r="P15" s="251"/>
      <c r="Q15" s="240"/>
      <c r="R15" s="241"/>
      <c r="S15" s="250"/>
      <c r="T15" s="251"/>
      <c r="U15" s="240"/>
      <c r="V15" s="252"/>
      <c r="W15" s="61">
        <f t="shared" ref="W15:W18" si="2">SUM(K15:V15)</f>
        <v>3</v>
      </c>
      <c r="X15" s="254">
        <f>SUM(W15:W18)</f>
        <v>12</v>
      </c>
      <c r="Y15" s="209"/>
    </row>
    <row r="16" spans="2:30" ht="17.25" thickBot="1">
      <c r="B16" s="258"/>
      <c r="C16" s="259"/>
      <c r="D16" s="263"/>
      <c r="E16" s="62" t="s">
        <v>12</v>
      </c>
      <c r="F16" s="266" t="s">
        <v>225</v>
      </c>
      <c r="G16" s="221"/>
      <c r="H16" s="63">
        <v>4</v>
      </c>
      <c r="I16" s="64" t="s">
        <v>337</v>
      </c>
      <c r="J16" s="65">
        <v>3</v>
      </c>
      <c r="K16" s="266"/>
      <c r="L16" s="205"/>
      <c r="M16" s="202">
        <v>3</v>
      </c>
      <c r="N16" s="208"/>
      <c r="O16" s="204"/>
      <c r="P16" s="205"/>
      <c r="Q16" s="202"/>
      <c r="R16" s="208"/>
      <c r="S16" s="204"/>
      <c r="T16" s="205"/>
      <c r="U16" s="202"/>
      <c r="V16" s="221"/>
      <c r="W16" s="66">
        <f t="shared" si="2"/>
        <v>3</v>
      </c>
      <c r="X16" s="255"/>
      <c r="Y16" s="209"/>
    </row>
    <row r="17" spans="2:29" ht="17.25" thickBot="1">
      <c r="B17" s="258"/>
      <c r="C17" s="259"/>
      <c r="D17" s="263"/>
      <c r="E17" s="62" t="s">
        <v>338</v>
      </c>
      <c r="F17" s="266" t="s">
        <v>227</v>
      </c>
      <c r="G17" s="221"/>
      <c r="H17" s="63">
        <v>4</v>
      </c>
      <c r="I17" s="64" t="s">
        <v>340</v>
      </c>
      <c r="J17" s="65">
        <v>3</v>
      </c>
      <c r="K17" s="266"/>
      <c r="L17" s="205"/>
      <c r="M17" s="202"/>
      <c r="N17" s="208"/>
      <c r="O17" s="204">
        <v>3</v>
      </c>
      <c r="P17" s="205"/>
      <c r="Q17" s="202"/>
      <c r="R17" s="208"/>
      <c r="S17" s="204"/>
      <c r="T17" s="205"/>
      <c r="U17" s="202"/>
      <c r="V17" s="221"/>
      <c r="W17" s="66">
        <f t="shared" si="2"/>
        <v>3</v>
      </c>
      <c r="X17" s="255"/>
      <c r="Y17" s="209"/>
    </row>
    <row r="18" spans="2:29" ht="17.25" thickBot="1">
      <c r="B18" s="258"/>
      <c r="C18" s="259"/>
      <c r="D18" s="264"/>
      <c r="E18" s="71" t="s">
        <v>344</v>
      </c>
      <c r="F18" s="267" t="s">
        <v>230</v>
      </c>
      <c r="G18" s="228"/>
      <c r="H18" s="68">
        <v>4</v>
      </c>
      <c r="I18" s="69" t="s">
        <v>340</v>
      </c>
      <c r="J18" s="70">
        <v>3</v>
      </c>
      <c r="K18" s="267"/>
      <c r="L18" s="215"/>
      <c r="M18" s="226"/>
      <c r="N18" s="227"/>
      <c r="O18" s="214"/>
      <c r="P18" s="215"/>
      <c r="Q18" s="226">
        <v>3</v>
      </c>
      <c r="R18" s="227"/>
      <c r="S18" s="214"/>
      <c r="T18" s="215"/>
      <c r="U18" s="226"/>
      <c r="V18" s="228"/>
      <c r="W18" s="66">
        <f t="shared" si="2"/>
        <v>3</v>
      </c>
      <c r="X18" s="255"/>
      <c r="Y18" s="209"/>
    </row>
    <row r="19" spans="2:29" ht="17.25" customHeight="1" thickBot="1">
      <c r="B19" s="258"/>
      <c r="C19" s="259"/>
      <c r="D19" s="262" t="s">
        <v>342</v>
      </c>
      <c r="E19" s="57" t="s">
        <v>12</v>
      </c>
      <c r="F19" s="265" t="s">
        <v>233</v>
      </c>
      <c r="G19" s="252"/>
      <c r="H19" s="58">
        <v>3</v>
      </c>
      <c r="I19" s="72" t="s">
        <v>343</v>
      </c>
      <c r="J19" s="60">
        <v>3</v>
      </c>
      <c r="K19" s="324"/>
      <c r="L19" s="249"/>
      <c r="M19" s="246"/>
      <c r="N19" s="247"/>
      <c r="O19" s="248">
        <v>3</v>
      </c>
      <c r="P19" s="249"/>
      <c r="Q19" s="246"/>
      <c r="R19" s="247"/>
      <c r="S19" s="248"/>
      <c r="T19" s="249"/>
      <c r="U19" s="210"/>
      <c r="V19" s="225"/>
      <c r="W19" s="61">
        <f t="shared" si="0"/>
        <v>3</v>
      </c>
      <c r="X19" s="254">
        <f>SUM(W19:W20)</f>
        <v>6</v>
      </c>
      <c r="Y19" s="209">
        <v>6</v>
      </c>
    </row>
    <row r="20" spans="2:29" ht="17.25" customHeight="1" thickBot="1">
      <c r="B20" s="258"/>
      <c r="C20" s="259"/>
      <c r="D20" s="263"/>
      <c r="E20" s="73" t="s">
        <v>12</v>
      </c>
      <c r="F20" s="326" t="s">
        <v>234</v>
      </c>
      <c r="G20" s="327"/>
      <c r="H20" s="74">
        <v>3</v>
      </c>
      <c r="I20" s="75" t="s">
        <v>343</v>
      </c>
      <c r="J20" s="157">
        <v>3</v>
      </c>
      <c r="K20" s="267"/>
      <c r="L20" s="215"/>
      <c r="M20" s="226"/>
      <c r="N20" s="227"/>
      <c r="O20" s="214"/>
      <c r="P20" s="215"/>
      <c r="Q20" s="226">
        <v>3</v>
      </c>
      <c r="R20" s="227"/>
      <c r="S20" s="214"/>
      <c r="T20" s="215"/>
      <c r="U20" s="219"/>
      <c r="V20" s="253"/>
      <c r="W20" s="76">
        <f t="shared" si="0"/>
        <v>3</v>
      </c>
      <c r="X20" s="325"/>
      <c r="Y20" s="209"/>
      <c r="AA20" s="245"/>
      <c r="AB20" s="245"/>
      <c r="AC20" s="48"/>
    </row>
    <row r="21" spans="2:29" ht="17.25" thickBot="1">
      <c r="B21" s="258"/>
      <c r="C21" s="259"/>
      <c r="D21" s="263"/>
      <c r="E21" s="57" t="s">
        <v>12</v>
      </c>
      <c r="F21" s="265" t="s">
        <v>236</v>
      </c>
      <c r="G21" s="252"/>
      <c r="H21" s="58">
        <v>4</v>
      </c>
      <c r="I21" s="72" t="s">
        <v>337</v>
      </c>
      <c r="J21" s="60">
        <v>3</v>
      </c>
      <c r="K21" s="265">
        <v>3</v>
      </c>
      <c r="L21" s="251"/>
      <c r="M21" s="240"/>
      <c r="N21" s="241"/>
      <c r="O21" s="250"/>
      <c r="P21" s="251"/>
      <c r="Q21" s="240"/>
      <c r="R21" s="241"/>
      <c r="S21" s="250"/>
      <c r="T21" s="251"/>
      <c r="U21" s="210"/>
      <c r="V21" s="225"/>
      <c r="W21" s="61">
        <f t="shared" si="0"/>
        <v>3</v>
      </c>
      <c r="X21" s="254">
        <f>SUM(W21:W22)</f>
        <v>6</v>
      </c>
      <c r="Y21" s="209">
        <v>12</v>
      </c>
    </row>
    <row r="22" spans="2:29" ht="17.25" thickBot="1">
      <c r="B22" s="258"/>
      <c r="C22" s="259"/>
      <c r="D22" s="264"/>
      <c r="E22" s="71" t="s">
        <v>12</v>
      </c>
      <c r="F22" s="267" t="s">
        <v>237</v>
      </c>
      <c r="G22" s="228"/>
      <c r="H22" s="68">
        <v>4</v>
      </c>
      <c r="I22" s="69" t="s">
        <v>337</v>
      </c>
      <c r="J22" s="70">
        <v>3</v>
      </c>
      <c r="K22" s="267"/>
      <c r="L22" s="215"/>
      <c r="M22" s="226">
        <v>3</v>
      </c>
      <c r="N22" s="227"/>
      <c r="O22" s="214"/>
      <c r="P22" s="215"/>
      <c r="Q22" s="226"/>
      <c r="R22" s="227"/>
      <c r="S22" s="214"/>
      <c r="T22" s="215"/>
      <c r="U22" s="219"/>
      <c r="V22" s="253"/>
      <c r="W22" s="76">
        <f t="shared" si="0"/>
        <v>3</v>
      </c>
      <c r="X22" s="325"/>
      <c r="Y22" s="209"/>
    </row>
    <row r="23" spans="2:29" ht="17.25" thickBot="1">
      <c r="B23" s="258"/>
      <c r="C23" s="259"/>
      <c r="D23" s="262" t="s">
        <v>25</v>
      </c>
      <c r="E23" s="57" t="s">
        <v>12</v>
      </c>
      <c r="F23" s="265" t="s">
        <v>254</v>
      </c>
      <c r="G23" s="252"/>
      <c r="H23" s="58">
        <v>4</v>
      </c>
      <c r="I23" s="72" t="s">
        <v>337</v>
      </c>
      <c r="J23" s="60">
        <v>3</v>
      </c>
      <c r="K23" s="265">
        <v>3</v>
      </c>
      <c r="L23" s="251"/>
      <c r="M23" s="240"/>
      <c r="N23" s="241"/>
      <c r="O23" s="250"/>
      <c r="P23" s="251"/>
      <c r="Q23" s="240"/>
      <c r="R23" s="241"/>
      <c r="S23" s="250"/>
      <c r="T23" s="251"/>
      <c r="U23" s="210"/>
      <c r="V23" s="225"/>
      <c r="W23" s="61">
        <f t="shared" si="0"/>
        <v>3</v>
      </c>
      <c r="X23" s="254">
        <f>SUM(W23:W24)</f>
        <v>6</v>
      </c>
      <c r="Y23" s="209"/>
    </row>
    <row r="24" spans="2:29" ht="17.25" thickBot="1">
      <c r="B24" s="258"/>
      <c r="C24" s="259"/>
      <c r="D24" s="263"/>
      <c r="E24" s="62" t="s">
        <v>12</v>
      </c>
      <c r="F24" s="266" t="s">
        <v>255</v>
      </c>
      <c r="G24" s="221"/>
      <c r="H24" s="63">
        <v>4</v>
      </c>
      <c r="I24" s="64" t="s">
        <v>337</v>
      </c>
      <c r="J24" s="65">
        <v>3</v>
      </c>
      <c r="K24" s="266"/>
      <c r="L24" s="205"/>
      <c r="M24" s="202">
        <v>3</v>
      </c>
      <c r="N24" s="208"/>
      <c r="O24" s="204"/>
      <c r="P24" s="205"/>
      <c r="Q24" s="202"/>
      <c r="R24" s="208"/>
      <c r="S24" s="204"/>
      <c r="T24" s="205"/>
      <c r="U24" s="212"/>
      <c r="V24" s="244"/>
      <c r="W24" s="66">
        <f t="shared" si="0"/>
        <v>3</v>
      </c>
      <c r="X24" s="255"/>
      <c r="Y24" s="209"/>
    </row>
    <row r="25" spans="2:29" ht="16.5" customHeight="1" thickBot="1">
      <c r="B25" s="258"/>
      <c r="C25" s="259"/>
      <c r="D25" s="262" t="s">
        <v>8</v>
      </c>
      <c r="E25" s="57" t="s">
        <v>345</v>
      </c>
      <c r="F25" s="265" t="s">
        <v>346</v>
      </c>
      <c r="G25" s="252"/>
      <c r="H25" s="58">
        <v>3</v>
      </c>
      <c r="I25" s="72" t="s">
        <v>347</v>
      </c>
      <c r="J25" s="60">
        <f t="shared" ref="J25:J26" si="3">SUM(K25:V25)</f>
        <v>2</v>
      </c>
      <c r="K25" s="265">
        <v>2</v>
      </c>
      <c r="L25" s="251"/>
      <c r="M25" s="240"/>
      <c r="N25" s="241"/>
      <c r="O25" s="250"/>
      <c r="P25" s="251"/>
      <c r="Q25" s="240"/>
      <c r="R25" s="241"/>
      <c r="S25" s="250"/>
      <c r="T25" s="251"/>
      <c r="U25" s="210"/>
      <c r="V25" s="225"/>
      <c r="W25" s="61">
        <f>SUM(K25:V25)</f>
        <v>2</v>
      </c>
      <c r="X25" s="328">
        <f>SUM(W25:W28)</f>
        <v>8</v>
      </c>
      <c r="Y25" s="209">
        <v>8</v>
      </c>
    </row>
    <row r="26" spans="2:29" ht="17.25" thickBot="1">
      <c r="B26" s="258"/>
      <c r="C26" s="259"/>
      <c r="D26" s="263"/>
      <c r="E26" s="62" t="s">
        <v>345</v>
      </c>
      <c r="F26" s="266" t="s">
        <v>348</v>
      </c>
      <c r="G26" s="221"/>
      <c r="H26" s="63">
        <v>3</v>
      </c>
      <c r="I26" s="64" t="s">
        <v>347</v>
      </c>
      <c r="J26" s="65">
        <f t="shared" si="3"/>
        <v>2</v>
      </c>
      <c r="K26" s="266"/>
      <c r="L26" s="205"/>
      <c r="M26" s="202">
        <v>2</v>
      </c>
      <c r="N26" s="208"/>
      <c r="O26" s="204"/>
      <c r="P26" s="205"/>
      <c r="Q26" s="202"/>
      <c r="R26" s="208"/>
      <c r="S26" s="204"/>
      <c r="T26" s="205"/>
      <c r="U26" s="212"/>
      <c r="V26" s="244"/>
      <c r="W26" s="66">
        <f t="shared" ref="W26:W28" si="4">SUM(K26:V26)</f>
        <v>2</v>
      </c>
      <c r="X26" s="329"/>
      <c r="Y26" s="209"/>
    </row>
    <row r="27" spans="2:29" ht="17.25" thickBot="1">
      <c r="B27" s="258"/>
      <c r="C27" s="259"/>
      <c r="D27" s="263"/>
      <c r="E27" s="62" t="s">
        <v>338</v>
      </c>
      <c r="F27" s="266" t="s">
        <v>517</v>
      </c>
      <c r="G27" s="221"/>
      <c r="H27" s="63">
        <v>3</v>
      </c>
      <c r="I27" s="64" t="s">
        <v>347</v>
      </c>
      <c r="J27" s="65">
        <v>2</v>
      </c>
      <c r="K27" s="266"/>
      <c r="L27" s="205"/>
      <c r="M27" s="202"/>
      <c r="N27" s="208"/>
      <c r="O27" s="204">
        <v>2</v>
      </c>
      <c r="P27" s="205"/>
      <c r="Q27" s="202"/>
      <c r="R27" s="208"/>
      <c r="S27" s="204"/>
      <c r="T27" s="205"/>
      <c r="U27" s="212"/>
      <c r="V27" s="244"/>
      <c r="W27" s="66">
        <f t="shared" si="4"/>
        <v>2</v>
      </c>
      <c r="X27" s="329"/>
      <c r="Y27" s="209"/>
    </row>
    <row r="28" spans="2:29" ht="17.25" thickBot="1">
      <c r="B28" s="258"/>
      <c r="C28" s="259"/>
      <c r="D28" s="264"/>
      <c r="E28" s="71" t="s">
        <v>338</v>
      </c>
      <c r="F28" s="267" t="s">
        <v>364</v>
      </c>
      <c r="G28" s="228"/>
      <c r="H28" s="68">
        <v>2</v>
      </c>
      <c r="I28" s="69" t="s">
        <v>349</v>
      </c>
      <c r="J28" s="70">
        <v>2</v>
      </c>
      <c r="K28" s="267"/>
      <c r="L28" s="215"/>
      <c r="M28" s="226"/>
      <c r="N28" s="227"/>
      <c r="O28" s="214"/>
      <c r="P28" s="215"/>
      <c r="Q28" s="226">
        <v>2</v>
      </c>
      <c r="R28" s="227"/>
      <c r="S28" s="214"/>
      <c r="T28" s="215"/>
      <c r="U28" s="219"/>
      <c r="V28" s="253"/>
      <c r="W28" s="76">
        <f t="shared" si="4"/>
        <v>2</v>
      </c>
      <c r="X28" s="330"/>
      <c r="Y28" s="209"/>
    </row>
    <row r="29" spans="2:29" ht="17.25" thickBot="1">
      <c r="B29" s="258"/>
      <c r="C29" s="259"/>
      <c r="D29" s="262" t="s">
        <v>27</v>
      </c>
      <c r="E29" s="57" t="s">
        <v>345</v>
      </c>
      <c r="F29" s="265" t="s">
        <v>46</v>
      </c>
      <c r="G29" s="252"/>
      <c r="H29" s="58">
        <v>3</v>
      </c>
      <c r="I29" s="77" t="s">
        <v>347</v>
      </c>
      <c r="J29" s="60">
        <v>3</v>
      </c>
      <c r="K29" s="265">
        <v>3</v>
      </c>
      <c r="L29" s="251"/>
      <c r="M29" s="240"/>
      <c r="N29" s="241"/>
      <c r="O29" s="250"/>
      <c r="P29" s="251"/>
      <c r="Q29" s="210"/>
      <c r="R29" s="211"/>
      <c r="S29" s="242"/>
      <c r="T29" s="243"/>
      <c r="U29" s="210"/>
      <c r="V29" s="225"/>
      <c r="W29" s="273">
        <f>SUM(K29:V30)</f>
        <v>6</v>
      </c>
      <c r="X29" s="274"/>
      <c r="Y29" s="209">
        <v>6</v>
      </c>
    </row>
    <row r="30" spans="2:29" ht="17.25" thickBot="1">
      <c r="B30" s="258"/>
      <c r="C30" s="259"/>
      <c r="D30" s="263"/>
      <c r="E30" s="67" t="s">
        <v>345</v>
      </c>
      <c r="F30" s="266" t="s">
        <v>9</v>
      </c>
      <c r="G30" s="221"/>
      <c r="H30" s="63">
        <v>3</v>
      </c>
      <c r="I30" s="69" t="s">
        <v>347</v>
      </c>
      <c r="J30" s="65">
        <v>3</v>
      </c>
      <c r="K30" s="266"/>
      <c r="L30" s="205"/>
      <c r="M30" s="202">
        <v>3</v>
      </c>
      <c r="N30" s="208"/>
      <c r="O30" s="204"/>
      <c r="P30" s="205"/>
      <c r="Q30" s="212"/>
      <c r="R30" s="213"/>
      <c r="S30" s="229"/>
      <c r="T30" s="230"/>
      <c r="U30" s="212"/>
      <c r="V30" s="244"/>
      <c r="W30" s="275"/>
      <c r="X30" s="276"/>
      <c r="Y30" s="209"/>
    </row>
    <row r="31" spans="2:29" ht="16.5" customHeight="1" thickBot="1">
      <c r="B31" s="258"/>
      <c r="C31" s="259"/>
      <c r="D31" s="331" t="s">
        <v>350</v>
      </c>
      <c r="E31" s="57" t="s">
        <v>518</v>
      </c>
      <c r="F31" s="265" t="s">
        <v>520</v>
      </c>
      <c r="G31" s="252"/>
      <c r="H31" s="58">
        <v>4</v>
      </c>
      <c r="I31" s="72" t="s">
        <v>362</v>
      </c>
      <c r="J31" s="60">
        <v>3</v>
      </c>
      <c r="K31" s="333"/>
      <c r="L31" s="243"/>
      <c r="M31" s="210"/>
      <c r="N31" s="211"/>
      <c r="O31" s="248">
        <v>3</v>
      </c>
      <c r="P31" s="249"/>
      <c r="Q31" s="240"/>
      <c r="R31" s="241"/>
      <c r="S31" s="242"/>
      <c r="T31" s="243"/>
      <c r="U31" s="210"/>
      <c r="V31" s="225"/>
      <c r="W31" s="273">
        <f>SUM(K31:V36)</f>
        <v>10</v>
      </c>
      <c r="X31" s="274"/>
      <c r="Y31" s="209">
        <v>8</v>
      </c>
    </row>
    <row r="32" spans="2:29" ht="16.5" customHeight="1" thickBot="1">
      <c r="B32" s="258"/>
      <c r="C32" s="259"/>
      <c r="D32" s="332"/>
      <c r="E32" s="67" t="s">
        <v>518</v>
      </c>
      <c r="F32" s="266" t="s">
        <v>521</v>
      </c>
      <c r="G32" s="221"/>
      <c r="H32" s="63">
        <v>4</v>
      </c>
      <c r="I32" s="64" t="s">
        <v>362</v>
      </c>
      <c r="J32" s="65">
        <v>3</v>
      </c>
      <c r="K32" s="334"/>
      <c r="L32" s="230"/>
      <c r="M32" s="212"/>
      <c r="N32" s="213"/>
      <c r="O32" s="431"/>
      <c r="P32" s="432"/>
      <c r="Q32" s="202"/>
      <c r="R32" s="208"/>
      <c r="S32" s="229"/>
      <c r="T32" s="230"/>
      <c r="U32" s="212"/>
      <c r="V32" s="244"/>
      <c r="W32" s="275"/>
      <c r="X32" s="276"/>
      <c r="Y32" s="209"/>
    </row>
    <row r="33" spans="2:28" ht="16.5" customHeight="1" thickBot="1">
      <c r="B33" s="258"/>
      <c r="C33" s="259"/>
      <c r="D33" s="332"/>
      <c r="E33" s="67" t="s">
        <v>519</v>
      </c>
      <c r="F33" s="266" t="s">
        <v>522</v>
      </c>
      <c r="G33" s="221"/>
      <c r="H33" s="63">
        <v>4</v>
      </c>
      <c r="I33" s="64" t="s">
        <v>362</v>
      </c>
      <c r="J33" s="65">
        <v>3</v>
      </c>
      <c r="K33" s="334"/>
      <c r="L33" s="230"/>
      <c r="M33" s="212"/>
      <c r="N33" s="213"/>
      <c r="O33" s="204"/>
      <c r="P33" s="205"/>
      <c r="Q33" s="270">
        <v>3</v>
      </c>
      <c r="R33" s="271"/>
      <c r="S33" s="229"/>
      <c r="T33" s="230"/>
      <c r="U33" s="212"/>
      <c r="V33" s="244"/>
      <c r="W33" s="275"/>
      <c r="X33" s="276"/>
      <c r="Y33" s="209"/>
    </row>
    <row r="34" spans="2:28" ht="16.5" customHeight="1" thickBot="1">
      <c r="B34" s="258"/>
      <c r="C34" s="259"/>
      <c r="D34" s="332"/>
      <c r="E34" s="67" t="s">
        <v>519</v>
      </c>
      <c r="F34" s="266" t="s">
        <v>523</v>
      </c>
      <c r="G34" s="221"/>
      <c r="H34" s="63">
        <v>4</v>
      </c>
      <c r="I34" s="64" t="s">
        <v>362</v>
      </c>
      <c r="J34" s="65">
        <v>3</v>
      </c>
      <c r="K34" s="334"/>
      <c r="L34" s="230"/>
      <c r="M34" s="212"/>
      <c r="N34" s="213"/>
      <c r="O34" s="204"/>
      <c r="P34" s="205"/>
      <c r="Q34" s="433"/>
      <c r="R34" s="434"/>
      <c r="S34" s="229"/>
      <c r="T34" s="230"/>
      <c r="U34" s="212"/>
      <c r="V34" s="244"/>
      <c r="W34" s="275"/>
      <c r="X34" s="276"/>
      <c r="Y34" s="209"/>
    </row>
    <row r="35" spans="2:28" ht="16.5" customHeight="1" thickBot="1">
      <c r="B35" s="258"/>
      <c r="C35" s="259"/>
      <c r="D35" s="332"/>
      <c r="E35" s="67" t="s">
        <v>519</v>
      </c>
      <c r="F35" s="266" t="s">
        <v>524</v>
      </c>
      <c r="G35" s="221"/>
      <c r="H35" s="63">
        <v>3</v>
      </c>
      <c r="I35" s="64" t="s">
        <v>363</v>
      </c>
      <c r="J35" s="65">
        <v>2</v>
      </c>
      <c r="K35" s="334"/>
      <c r="L35" s="230"/>
      <c r="M35" s="212"/>
      <c r="N35" s="213"/>
      <c r="O35" s="204">
        <v>2</v>
      </c>
      <c r="P35" s="205"/>
      <c r="Q35" s="202"/>
      <c r="R35" s="208"/>
      <c r="S35" s="229"/>
      <c r="T35" s="230"/>
      <c r="U35" s="212"/>
      <c r="V35" s="244"/>
      <c r="W35" s="275"/>
      <c r="X35" s="276"/>
      <c r="Y35" s="209"/>
    </row>
    <row r="36" spans="2:28" ht="17.25" thickBot="1">
      <c r="B36" s="260"/>
      <c r="C36" s="261"/>
      <c r="D36" s="332"/>
      <c r="E36" s="67" t="s">
        <v>519</v>
      </c>
      <c r="F36" s="267" t="s">
        <v>525</v>
      </c>
      <c r="G36" s="228"/>
      <c r="H36" s="68">
        <v>3</v>
      </c>
      <c r="I36" s="69" t="s">
        <v>363</v>
      </c>
      <c r="J36" s="70">
        <v>2</v>
      </c>
      <c r="K36" s="335"/>
      <c r="L36" s="280"/>
      <c r="M36" s="219"/>
      <c r="N36" s="220"/>
      <c r="O36" s="214"/>
      <c r="P36" s="215"/>
      <c r="Q36" s="226">
        <v>2</v>
      </c>
      <c r="R36" s="227"/>
      <c r="S36" s="229"/>
      <c r="T36" s="230"/>
      <c r="U36" s="212"/>
      <c r="V36" s="244"/>
      <c r="W36" s="275"/>
      <c r="X36" s="276"/>
      <c r="Y36" s="209"/>
    </row>
    <row r="37" spans="2:28" ht="24.75" customHeight="1" thickBot="1">
      <c r="B37" s="343" t="s">
        <v>357</v>
      </c>
      <c r="C37" s="344"/>
      <c r="D37" s="344"/>
      <c r="E37" s="344"/>
      <c r="F37" s="344"/>
      <c r="G37" s="345"/>
      <c r="H37" s="51">
        <f>SUM(H21:H36)</f>
        <v>55</v>
      </c>
      <c r="I37" s="18"/>
      <c r="J37" s="52">
        <f>SUM(J21:J36)</f>
        <v>42</v>
      </c>
      <c r="K37" s="346">
        <f>SUM(K9:L36)</f>
        <v>20</v>
      </c>
      <c r="L37" s="216"/>
      <c r="M37" s="216">
        <f>SUM(M9:N36)</f>
        <v>20</v>
      </c>
      <c r="N37" s="217"/>
      <c r="O37" s="218">
        <f>SUM(O9:P36)</f>
        <v>16</v>
      </c>
      <c r="P37" s="216"/>
      <c r="Q37" s="216">
        <f>SUM(Q9:R36)</f>
        <v>16</v>
      </c>
      <c r="R37" s="351"/>
      <c r="S37" s="350">
        <f>SUM(S9:T36)</f>
        <v>0</v>
      </c>
      <c r="T37" s="216"/>
      <c r="U37" s="216">
        <f>SUM(U9:V36)</f>
        <v>0</v>
      </c>
      <c r="V37" s="349"/>
      <c r="W37" s="343">
        <f>SUM(K37:V37)</f>
        <v>72</v>
      </c>
      <c r="X37" s="350"/>
      <c r="Y37" s="52">
        <f>SUM(Y9:Y36)</f>
        <v>64</v>
      </c>
      <c r="AA37" s="347" t="b">
        <f>W37&gt;=Y37</f>
        <v>1</v>
      </c>
      <c r="AB37" s="348"/>
    </row>
    <row r="38" spans="2:28" ht="17.25" customHeight="1">
      <c r="B38" s="443" t="s">
        <v>351</v>
      </c>
      <c r="C38" s="437" t="s">
        <v>538</v>
      </c>
      <c r="D38" s="448" t="s">
        <v>352</v>
      </c>
      <c r="E38" s="449"/>
      <c r="F38" s="435" t="s">
        <v>527</v>
      </c>
      <c r="G38" s="436"/>
      <c r="H38" s="58"/>
      <c r="I38" s="165"/>
      <c r="J38" s="166">
        <v>2</v>
      </c>
      <c r="K38" s="265"/>
      <c r="L38" s="251"/>
      <c r="M38" s="240"/>
      <c r="N38" s="445"/>
      <c r="O38" s="250">
        <v>2</v>
      </c>
      <c r="P38" s="251"/>
      <c r="Q38" s="240"/>
      <c r="R38" s="241"/>
      <c r="S38" s="445"/>
      <c r="T38" s="251"/>
      <c r="U38" s="240"/>
      <c r="V38" s="252"/>
      <c r="W38" s="446">
        <f t="shared" ref="W38" si="5">SUM(K38:V38)</f>
        <v>2</v>
      </c>
      <c r="X38" s="447"/>
      <c r="Y38" s="392">
        <v>80</v>
      </c>
    </row>
    <row r="39" spans="2:28" ht="17.25" customHeight="1" thickBot="1">
      <c r="B39" s="444"/>
      <c r="C39" s="438"/>
      <c r="D39" s="450"/>
      <c r="E39" s="451"/>
      <c r="F39" s="452" t="s">
        <v>526</v>
      </c>
      <c r="G39" s="453"/>
      <c r="H39" s="163"/>
      <c r="I39" s="164"/>
      <c r="J39" s="157">
        <v>2</v>
      </c>
      <c r="K39" s="326"/>
      <c r="L39" s="369"/>
      <c r="M39" s="429"/>
      <c r="N39" s="430"/>
      <c r="O39" s="428"/>
      <c r="P39" s="369"/>
      <c r="Q39" s="429">
        <v>2</v>
      </c>
      <c r="R39" s="430"/>
      <c r="S39" s="428"/>
      <c r="T39" s="369"/>
      <c r="U39" s="429"/>
      <c r="V39" s="327"/>
      <c r="W39" s="277">
        <f>SUM(K39:V39)</f>
        <v>2</v>
      </c>
      <c r="X39" s="278"/>
      <c r="Y39" s="409"/>
    </row>
    <row r="40" spans="2:28" ht="17.25" customHeight="1">
      <c r="B40" s="444"/>
      <c r="C40" s="438"/>
      <c r="D40" s="172" t="s">
        <v>65</v>
      </c>
      <c r="E40" s="79" t="s">
        <v>353</v>
      </c>
      <c r="F40" s="336" t="s">
        <v>528</v>
      </c>
      <c r="G40" s="337"/>
      <c r="H40" s="161"/>
      <c r="I40" s="167"/>
      <c r="J40" s="162">
        <v>5</v>
      </c>
      <c r="K40" s="266">
        <v>5</v>
      </c>
      <c r="L40" s="205"/>
      <c r="M40" s="202"/>
      <c r="N40" s="203"/>
      <c r="O40" s="204"/>
      <c r="P40" s="205"/>
      <c r="Q40" s="202"/>
      <c r="R40" s="208"/>
      <c r="S40" s="203"/>
      <c r="T40" s="205"/>
      <c r="U40" s="202"/>
      <c r="V40" s="221"/>
      <c r="W40" s="206">
        <f t="shared" ref="W40:W49" si="6">SUM(K40:V40)</f>
        <v>5</v>
      </c>
      <c r="X40" s="207"/>
      <c r="Y40" s="409"/>
    </row>
    <row r="41" spans="2:28" ht="17.25" customHeight="1">
      <c r="B41" s="444"/>
      <c r="C41" s="438"/>
      <c r="D41" s="78" t="s">
        <v>514</v>
      </c>
      <c r="E41" s="79" t="s">
        <v>353</v>
      </c>
      <c r="F41" s="336" t="s">
        <v>529</v>
      </c>
      <c r="G41" s="337"/>
      <c r="H41" s="161"/>
      <c r="I41" s="167"/>
      <c r="J41" s="162">
        <v>5</v>
      </c>
      <c r="K41" s="266"/>
      <c r="L41" s="205"/>
      <c r="M41" s="202">
        <v>5</v>
      </c>
      <c r="N41" s="203"/>
      <c r="O41" s="204"/>
      <c r="P41" s="205"/>
      <c r="Q41" s="202"/>
      <c r="R41" s="208"/>
      <c r="S41" s="204"/>
      <c r="T41" s="205"/>
      <c r="U41" s="202"/>
      <c r="V41" s="221"/>
      <c r="W41" s="206">
        <f t="shared" si="6"/>
        <v>5</v>
      </c>
      <c r="X41" s="207"/>
      <c r="Y41" s="409"/>
    </row>
    <row r="42" spans="2:28" ht="17.25" customHeight="1">
      <c r="B42" s="444"/>
      <c r="C42" s="438"/>
      <c r="D42" s="78" t="s">
        <v>514</v>
      </c>
      <c r="E42" s="79" t="s">
        <v>353</v>
      </c>
      <c r="F42" s="336" t="s">
        <v>530</v>
      </c>
      <c r="G42" s="337"/>
      <c r="H42" s="161"/>
      <c r="I42" s="167"/>
      <c r="J42" s="162">
        <v>4</v>
      </c>
      <c r="K42" s="266">
        <v>4</v>
      </c>
      <c r="L42" s="205"/>
      <c r="M42" s="202"/>
      <c r="N42" s="208"/>
      <c r="O42" s="204"/>
      <c r="P42" s="205"/>
      <c r="Q42" s="202"/>
      <c r="R42" s="208"/>
      <c r="S42" s="204"/>
      <c r="T42" s="205"/>
      <c r="U42" s="202"/>
      <c r="V42" s="221"/>
      <c r="W42" s="206">
        <f t="shared" ref="W42:W43" si="7">SUM(K42:V42)</f>
        <v>4</v>
      </c>
      <c r="X42" s="207"/>
      <c r="Y42" s="409"/>
    </row>
    <row r="43" spans="2:28" ht="17.25" customHeight="1">
      <c r="B43" s="444"/>
      <c r="C43" s="438"/>
      <c r="D43" s="78" t="s">
        <v>71</v>
      </c>
      <c r="E43" s="79" t="s">
        <v>353</v>
      </c>
      <c r="F43" s="336" t="s">
        <v>531</v>
      </c>
      <c r="G43" s="337"/>
      <c r="H43" s="161"/>
      <c r="I43" s="167"/>
      <c r="J43" s="162">
        <v>4</v>
      </c>
      <c r="K43" s="266"/>
      <c r="L43" s="205"/>
      <c r="M43" s="202">
        <v>4</v>
      </c>
      <c r="N43" s="208"/>
      <c r="O43" s="204"/>
      <c r="P43" s="205"/>
      <c r="Q43" s="202"/>
      <c r="R43" s="208"/>
      <c r="S43" s="204"/>
      <c r="T43" s="205"/>
      <c r="U43" s="202"/>
      <c r="V43" s="221"/>
      <c r="W43" s="206">
        <f t="shared" si="7"/>
        <v>4</v>
      </c>
      <c r="X43" s="207"/>
      <c r="Y43" s="409"/>
    </row>
    <row r="44" spans="2:28" ht="17.25" customHeight="1">
      <c r="B44" s="444"/>
      <c r="C44" s="438"/>
      <c r="D44" s="78" t="s">
        <v>514</v>
      </c>
      <c r="E44" s="79" t="s">
        <v>353</v>
      </c>
      <c r="F44" s="336" t="s">
        <v>532</v>
      </c>
      <c r="G44" s="337"/>
      <c r="H44" s="161"/>
      <c r="I44" s="167"/>
      <c r="J44" s="162">
        <v>4</v>
      </c>
      <c r="K44" s="266"/>
      <c r="L44" s="205"/>
      <c r="M44" s="202"/>
      <c r="N44" s="208"/>
      <c r="O44" s="204">
        <v>4</v>
      </c>
      <c r="P44" s="205"/>
      <c r="Q44" s="202"/>
      <c r="R44" s="208"/>
      <c r="S44" s="204"/>
      <c r="T44" s="205"/>
      <c r="U44" s="202"/>
      <c r="V44" s="221"/>
      <c r="W44" s="206">
        <f t="shared" si="6"/>
        <v>4</v>
      </c>
      <c r="X44" s="207"/>
      <c r="Y44" s="409"/>
    </row>
    <row r="45" spans="2:28" ht="17.25" customHeight="1">
      <c r="B45" s="444"/>
      <c r="C45" s="438"/>
      <c r="D45" s="78" t="s">
        <v>514</v>
      </c>
      <c r="E45" s="79" t="s">
        <v>353</v>
      </c>
      <c r="F45" s="336" t="s">
        <v>533</v>
      </c>
      <c r="G45" s="337"/>
      <c r="H45" s="161"/>
      <c r="I45" s="167"/>
      <c r="J45" s="162">
        <v>4</v>
      </c>
      <c r="K45" s="266"/>
      <c r="L45" s="205"/>
      <c r="M45" s="202"/>
      <c r="N45" s="208"/>
      <c r="O45" s="204"/>
      <c r="P45" s="205"/>
      <c r="Q45" s="202">
        <v>4</v>
      </c>
      <c r="R45" s="208"/>
      <c r="S45" s="204"/>
      <c r="T45" s="205"/>
      <c r="U45" s="202"/>
      <c r="V45" s="221"/>
      <c r="W45" s="206">
        <f t="shared" si="6"/>
        <v>4</v>
      </c>
      <c r="X45" s="207"/>
      <c r="Y45" s="409"/>
    </row>
    <row r="46" spans="2:28" ht="17.25" customHeight="1">
      <c r="B46" s="444"/>
      <c r="C46" s="438"/>
      <c r="D46" s="78" t="s">
        <v>514</v>
      </c>
      <c r="E46" s="79" t="s">
        <v>354</v>
      </c>
      <c r="F46" s="338" t="s">
        <v>534</v>
      </c>
      <c r="G46" s="339"/>
      <c r="H46" s="161"/>
      <c r="I46" s="167"/>
      <c r="J46" s="162">
        <v>8</v>
      </c>
      <c r="K46" s="266"/>
      <c r="L46" s="205"/>
      <c r="M46" s="202"/>
      <c r="N46" s="208"/>
      <c r="O46" s="204"/>
      <c r="P46" s="205"/>
      <c r="Q46" s="202"/>
      <c r="R46" s="208"/>
      <c r="S46" s="204">
        <v>4</v>
      </c>
      <c r="T46" s="205"/>
      <c r="U46" s="202">
        <v>4</v>
      </c>
      <c r="V46" s="221"/>
      <c r="W46" s="206">
        <f t="shared" si="6"/>
        <v>8</v>
      </c>
      <c r="X46" s="207"/>
      <c r="Y46" s="409"/>
    </row>
    <row r="47" spans="2:28" ht="17.25" customHeight="1">
      <c r="B47" s="444"/>
      <c r="C47" s="438"/>
      <c r="D47" s="78" t="s">
        <v>514</v>
      </c>
      <c r="E47" s="79" t="s">
        <v>354</v>
      </c>
      <c r="F47" s="338" t="s">
        <v>535</v>
      </c>
      <c r="G47" s="339"/>
      <c r="H47" s="161"/>
      <c r="I47" s="167"/>
      <c r="J47" s="162">
        <v>10</v>
      </c>
      <c r="K47" s="266"/>
      <c r="L47" s="205"/>
      <c r="M47" s="202"/>
      <c r="N47" s="203"/>
      <c r="O47" s="204"/>
      <c r="P47" s="205"/>
      <c r="Q47" s="202"/>
      <c r="R47" s="208"/>
      <c r="S47" s="203">
        <v>5</v>
      </c>
      <c r="T47" s="205"/>
      <c r="U47" s="202">
        <v>5</v>
      </c>
      <c r="V47" s="221"/>
      <c r="W47" s="206">
        <f t="shared" si="6"/>
        <v>10</v>
      </c>
      <c r="X47" s="207"/>
      <c r="Y47" s="409"/>
    </row>
    <row r="48" spans="2:28" ht="16.5" customHeight="1">
      <c r="B48" s="444"/>
      <c r="C48" s="438"/>
      <c r="D48" s="78" t="s">
        <v>155</v>
      </c>
      <c r="E48" s="79" t="s">
        <v>353</v>
      </c>
      <c r="F48" s="338" t="s">
        <v>536</v>
      </c>
      <c r="G48" s="339"/>
      <c r="H48" s="161"/>
      <c r="I48" s="168"/>
      <c r="J48" s="65">
        <v>4</v>
      </c>
      <c r="K48" s="266"/>
      <c r="L48" s="205"/>
      <c r="M48" s="202"/>
      <c r="N48" s="203"/>
      <c r="O48" s="204"/>
      <c r="P48" s="205"/>
      <c r="Q48" s="202"/>
      <c r="R48" s="208"/>
      <c r="S48" s="203">
        <v>4</v>
      </c>
      <c r="T48" s="205"/>
      <c r="U48" s="202"/>
      <c r="V48" s="221"/>
      <c r="W48" s="206">
        <f t="shared" si="6"/>
        <v>4</v>
      </c>
      <c r="X48" s="207"/>
      <c r="Y48" s="409"/>
    </row>
    <row r="49" spans="2:29" ht="16.5" customHeight="1" thickBot="1">
      <c r="B49" s="444"/>
      <c r="C49" s="439"/>
      <c r="D49" s="83" t="s">
        <v>71</v>
      </c>
      <c r="E49" s="169" t="s">
        <v>353</v>
      </c>
      <c r="F49" s="340" t="s">
        <v>537</v>
      </c>
      <c r="G49" s="341"/>
      <c r="H49" s="170"/>
      <c r="I49" s="171"/>
      <c r="J49" s="156">
        <v>4</v>
      </c>
      <c r="K49" s="342"/>
      <c r="L49" s="269"/>
      <c r="M49" s="270"/>
      <c r="N49" s="271"/>
      <c r="O49" s="268"/>
      <c r="P49" s="269"/>
      <c r="Q49" s="270"/>
      <c r="R49" s="271"/>
      <c r="S49" s="268"/>
      <c r="T49" s="269"/>
      <c r="U49" s="270">
        <v>4</v>
      </c>
      <c r="V49" s="272"/>
      <c r="W49" s="206">
        <f t="shared" si="6"/>
        <v>4</v>
      </c>
      <c r="X49" s="207"/>
      <c r="Y49" s="409"/>
    </row>
    <row r="50" spans="2:29" ht="16.5" customHeight="1">
      <c r="B50" s="444"/>
      <c r="C50" s="352" t="s">
        <v>539</v>
      </c>
      <c r="D50" s="172" t="s">
        <v>514</v>
      </c>
      <c r="E50" s="81" t="s">
        <v>353</v>
      </c>
      <c r="F50" s="355" t="s">
        <v>540</v>
      </c>
      <c r="G50" s="356"/>
      <c r="H50" s="58"/>
      <c r="I50" s="165"/>
      <c r="J50" s="254">
        <v>4</v>
      </c>
      <c r="K50" s="265"/>
      <c r="L50" s="251"/>
      <c r="M50" s="240"/>
      <c r="N50" s="241"/>
      <c r="O50" s="248">
        <v>8</v>
      </c>
      <c r="P50" s="249"/>
      <c r="Q50" s="246">
        <v>8</v>
      </c>
      <c r="R50" s="247"/>
      <c r="S50" s="242"/>
      <c r="T50" s="243"/>
      <c r="U50" s="210"/>
      <c r="V50" s="225"/>
      <c r="W50" s="273">
        <f>SUM(K50:V55)</f>
        <v>16</v>
      </c>
      <c r="X50" s="274"/>
      <c r="Y50" s="409"/>
    </row>
    <row r="51" spans="2:29" ht="16.5" customHeight="1">
      <c r="B51" s="444"/>
      <c r="C51" s="353"/>
      <c r="D51" s="78" t="s">
        <v>514</v>
      </c>
      <c r="E51" s="79" t="s">
        <v>353</v>
      </c>
      <c r="F51" s="336" t="s">
        <v>541</v>
      </c>
      <c r="G51" s="337"/>
      <c r="H51" s="161"/>
      <c r="I51" s="167"/>
      <c r="J51" s="255"/>
      <c r="K51" s="266"/>
      <c r="L51" s="205"/>
      <c r="M51" s="202"/>
      <c r="N51" s="208"/>
      <c r="O51" s="461"/>
      <c r="P51" s="367"/>
      <c r="Q51" s="459"/>
      <c r="R51" s="462"/>
      <c r="S51" s="229"/>
      <c r="T51" s="230"/>
      <c r="U51" s="212"/>
      <c r="V51" s="244"/>
      <c r="W51" s="275"/>
      <c r="X51" s="276"/>
      <c r="Y51" s="409"/>
    </row>
    <row r="52" spans="2:29" ht="16.5" customHeight="1">
      <c r="B52" s="444"/>
      <c r="C52" s="353"/>
      <c r="D52" s="78" t="s">
        <v>514</v>
      </c>
      <c r="E52" s="79" t="s">
        <v>353</v>
      </c>
      <c r="F52" s="336" t="s">
        <v>542</v>
      </c>
      <c r="G52" s="337"/>
      <c r="H52" s="161"/>
      <c r="I52" s="167"/>
      <c r="J52" s="255"/>
      <c r="K52" s="266"/>
      <c r="L52" s="205"/>
      <c r="M52" s="202"/>
      <c r="N52" s="208"/>
      <c r="O52" s="461"/>
      <c r="P52" s="367"/>
      <c r="Q52" s="459"/>
      <c r="R52" s="462"/>
      <c r="S52" s="229"/>
      <c r="T52" s="230"/>
      <c r="U52" s="212"/>
      <c r="V52" s="244"/>
      <c r="W52" s="275"/>
      <c r="X52" s="276"/>
      <c r="Y52" s="409"/>
    </row>
    <row r="53" spans="2:29" ht="16.5" customHeight="1">
      <c r="B53" s="444"/>
      <c r="C53" s="353"/>
      <c r="D53" s="78" t="s">
        <v>514</v>
      </c>
      <c r="E53" s="79" t="s">
        <v>353</v>
      </c>
      <c r="F53" s="336" t="s">
        <v>543</v>
      </c>
      <c r="G53" s="337"/>
      <c r="H53" s="161"/>
      <c r="I53" s="167"/>
      <c r="J53" s="255"/>
      <c r="K53" s="266"/>
      <c r="L53" s="205"/>
      <c r="M53" s="202"/>
      <c r="N53" s="208"/>
      <c r="O53" s="461"/>
      <c r="P53" s="367"/>
      <c r="Q53" s="459"/>
      <c r="R53" s="462"/>
      <c r="S53" s="229"/>
      <c r="T53" s="230"/>
      <c r="U53" s="212"/>
      <c r="V53" s="244"/>
      <c r="W53" s="275"/>
      <c r="X53" s="276"/>
      <c r="Y53" s="409"/>
    </row>
    <row r="54" spans="2:29" ht="16.5" customHeight="1">
      <c r="B54" s="444"/>
      <c r="C54" s="353"/>
      <c r="D54" s="78" t="s">
        <v>514</v>
      </c>
      <c r="E54" s="79" t="s">
        <v>354</v>
      </c>
      <c r="F54" s="338" t="s">
        <v>544</v>
      </c>
      <c r="G54" s="339"/>
      <c r="H54" s="161"/>
      <c r="I54" s="167"/>
      <c r="J54" s="255"/>
      <c r="K54" s="266"/>
      <c r="L54" s="205"/>
      <c r="M54" s="202"/>
      <c r="N54" s="208"/>
      <c r="O54" s="461"/>
      <c r="P54" s="367"/>
      <c r="Q54" s="459"/>
      <c r="R54" s="462"/>
      <c r="S54" s="229"/>
      <c r="T54" s="230"/>
      <c r="U54" s="212"/>
      <c r="V54" s="244"/>
      <c r="W54" s="275"/>
      <c r="X54" s="276"/>
      <c r="Y54" s="409"/>
    </row>
    <row r="55" spans="2:29" ht="17.25" thickBot="1">
      <c r="B55" s="444"/>
      <c r="C55" s="354"/>
      <c r="D55" s="83" t="s">
        <v>514</v>
      </c>
      <c r="E55" s="82" t="s">
        <v>353</v>
      </c>
      <c r="F55" s="357" t="s">
        <v>545</v>
      </c>
      <c r="G55" s="358"/>
      <c r="H55" s="74"/>
      <c r="I55" s="164"/>
      <c r="J55" s="325"/>
      <c r="K55" s="267"/>
      <c r="L55" s="215"/>
      <c r="M55" s="226"/>
      <c r="N55" s="227"/>
      <c r="O55" s="428"/>
      <c r="P55" s="369"/>
      <c r="Q55" s="429"/>
      <c r="R55" s="430"/>
      <c r="S55" s="279"/>
      <c r="T55" s="280"/>
      <c r="U55" s="219"/>
      <c r="V55" s="253"/>
      <c r="W55" s="277"/>
      <c r="X55" s="278"/>
      <c r="Y55" s="409"/>
    </row>
    <row r="56" spans="2:29">
      <c r="B56" s="444"/>
      <c r="C56" s="352" t="s">
        <v>546</v>
      </c>
      <c r="D56" s="80" t="s">
        <v>514</v>
      </c>
      <c r="E56" s="84" t="s">
        <v>354</v>
      </c>
      <c r="F56" s="441" t="s">
        <v>547</v>
      </c>
      <c r="G56" s="442"/>
      <c r="H56" s="161"/>
      <c r="I56" s="167"/>
      <c r="J56" s="254">
        <v>8</v>
      </c>
      <c r="K56" s="440"/>
      <c r="L56" s="432"/>
      <c r="M56" s="433"/>
      <c r="N56" s="434"/>
      <c r="O56" s="431"/>
      <c r="P56" s="432"/>
      <c r="Q56" s="433"/>
      <c r="R56" s="434"/>
      <c r="S56" s="248">
        <v>24</v>
      </c>
      <c r="T56" s="463"/>
      <c r="U56" s="463"/>
      <c r="V56" s="458"/>
      <c r="W56" s="273">
        <f>SUM(K56:V60)</f>
        <v>24</v>
      </c>
      <c r="X56" s="274"/>
      <c r="Y56" s="409"/>
    </row>
    <row r="57" spans="2:29">
      <c r="B57" s="444"/>
      <c r="C57" s="353"/>
      <c r="D57" s="78" t="s">
        <v>514</v>
      </c>
      <c r="E57" s="79" t="s">
        <v>354</v>
      </c>
      <c r="F57" s="336" t="s">
        <v>548</v>
      </c>
      <c r="G57" s="337"/>
      <c r="H57" s="161"/>
      <c r="I57" s="167"/>
      <c r="J57" s="255"/>
      <c r="K57" s="266"/>
      <c r="L57" s="205"/>
      <c r="M57" s="202"/>
      <c r="N57" s="208"/>
      <c r="O57" s="204"/>
      <c r="P57" s="205"/>
      <c r="Q57" s="202"/>
      <c r="R57" s="208"/>
      <c r="S57" s="461"/>
      <c r="T57" s="366"/>
      <c r="U57" s="366"/>
      <c r="V57" s="460"/>
      <c r="W57" s="275"/>
      <c r="X57" s="276"/>
      <c r="Y57" s="409"/>
    </row>
    <row r="58" spans="2:29">
      <c r="B58" s="444"/>
      <c r="C58" s="353"/>
      <c r="D58" s="78" t="s">
        <v>514</v>
      </c>
      <c r="E58" s="79" t="s">
        <v>354</v>
      </c>
      <c r="F58" s="336" t="s">
        <v>549</v>
      </c>
      <c r="G58" s="337"/>
      <c r="H58" s="161"/>
      <c r="I58" s="167"/>
      <c r="J58" s="255"/>
      <c r="K58" s="266"/>
      <c r="L58" s="205"/>
      <c r="M58" s="202"/>
      <c r="N58" s="208"/>
      <c r="O58" s="204"/>
      <c r="P58" s="205"/>
      <c r="Q58" s="202"/>
      <c r="R58" s="208"/>
      <c r="S58" s="461"/>
      <c r="T58" s="366"/>
      <c r="U58" s="366"/>
      <c r="V58" s="460"/>
      <c r="W58" s="275"/>
      <c r="X58" s="276"/>
      <c r="Y58" s="409"/>
    </row>
    <row r="59" spans="2:29">
      <c r="B59" s="444"/>
      <c r="C59" s="353"/>
      <c r="D59" s="78" t="s">
        <v>514</v>
      </c>
      <c r="E59" s="79" t="s">
        <v>354</v>
      </c>
      <c r="F59" s="338" t="s">
        <v>550</v>
      </c>
      <c r="G59" s="339"/>
      <c r="H59" s="161"/>
      <c r="I59" s="167"/>
      <c r="J59" s="255"/>
      <c r="K59" s="266"/>
      <c r="L59" s="205"/>
      <c r="M59" s="202"/>
      <c r="N59" s="208"/>
      <c r="O59" s="204"/>
      <c r="P59" s="205"/>
      <c r="Q59" s="202"/>
      <c r="R59" s="208"/>
      <c r="S59" s="461"/>
      <c r="T59" s="366"/>
      <c r="U59" s="366"/>
      <c r="V59" s="460"/>
      <c r="W59" s="275"/>
      <c r="X59" s="276"/>
      <c r="Y59" s="409"/>
    </row>
    <row r="60" spans="2:29" ht="17.25" thickBot="1">
      <c r="B60" s="444"/>
      <c r="C60" s="353"/>
      <c r="D60" s="83" t="s">
        <v>514</v>
      </c>
      <c r="E60" s="82" t="s">
        <v>354</v>
      </c>
      <c r="F60" s="370" t="s">
        <v>551</v>
      </c>
      <c r="G60" s="371"/>
      <c r="H60" s="68"/>
      <c r="I60" s="173"/>
      <c r="J60" s="325"/>
      <c r="K60" s="266"/>
      <c r="L60" s="205"/>
      <c r="M60" s="202"/>
      <c r="N60" s="208"/>
      <c r="O60" s="214"/>
      <c r="P60" s="215"/>
      <c r="Q60" s="226"/>
      <c r="R60" s="227"/>
      <c r="S60" s="428"/>
      <c r="T60" s="368"/>
      <c r="U60" s="368"/>
      <c r="V60" s="327"/>
      <c r="W60" s="277"/>
      <c r="X60" s="278"/>
      <c r="Y60" s="409"/>
    </row>
    <row r="61" spans="2:29" ht="16.5" customHeight="1">
      <c r="B61" s="256" t="s">
        <v>552</v>
      </c>
      <c r="C61" s="257"/>
      <c r="D61" s="86" t="s">
        <v>157</v>
      </c>
      <c r="E61" s="84" t="s">
        <v>353</v>
      </c>
      <c r="F61" s="362" t="s">
        <v>553</v>
      </c>
      <c r="G61" s="363"/>
      <c r="H61" s="161"/>
      <c r="I61" s="171"/>
      <c r="J61" s="162">
        <v>3</v>
      </c>
      <c r="K61" s="265"/>
      <c r="L61" s="251"/>
      <c r="M61" s="240"/>
      <c r="N61" s="241"/>
      <c r="O61" s="242"/>
      <c r="P61" s="243"/>
      <c r="Q61" s="240"/>
      <c r="R61" s="241"/>
      <c r="S61" s="366">
        <v>3</v>
      </c>
      <c r="T61" s="367"/>
      <c r="U61" s="246">
        <v>3</v>
      </c>
      <c r="V61" s="458"/>
      <c r="W61" s="273">
        <f>J61</f>
        <v>3</v>
      </c>
      <c r="X61" s="274"/>
      <c r="Y61" s="359"/>
    </row>
    <row r="62" spans="2:29" ht="16.5" customHeight="1">
      <c r="B62" s="258"/>
      <c r="C62" s="259"/>
      <c r="D62" s="86" t="s">
        <v>157</v>
      </c>
      <c r="E62" s="79" t="s">
        <v>353</v>
      </c>
      <c r="F62" s="362" t="s">
        <v>554</v>
      </c>
      <c r="G62" s="363"/>
      <c r="H62" s="161"/>
      <c r="I62" s="171"/>
      <c r="J62" s="162">
        <v>3</v>
      </c>
      <c r="K62" s="266"/>
      <c r="L62" s="205"/>
      <c r="M62" s="202"/>
      <c r="N62" s="208"/>
      <c r="O62" s="229"/>
      <c r="P62" s="230"/>
      <c r="Q62" s="202"/>
      <c r="R62" s="208"/>
      <c r="S62" s="366"/>
      <c r="T62" s="367"/>
      <c r="U62" s="459"/>
      <c r="V62" s="460"/>
      <c r="W62" s="275"/>
      <c r="X62" s="276"/>
      <c r="Y62" s="360"/>
    </row>
    <row r="63" spans="2:29" ht="16.5" customHeight="1">
      <c r="B63" s="258"/>
      <c r="C63" s="259"/>
      <c r="D63" s="86" t="s">
        <v>157</v>
      </c>
      <c r="E63" s="79" t="s">
        <v>353</v>
      </c>
      <c r="F63" s="362" t="s">
        <v>555</v>
      </c>
      <c r="G63" s="363"/>
      <c r="H63" s="63"/>
      <c r="I63" s="171"/>
      <c r="J63" s="162">
        <v>3</v>
      </c>
      <c r="K63" s="266"/>
      <c r="L63" s="205"/>
      <c r="M63" s="202"/>
      <c r="N63" s="208"/>
      <c r="O63" s="229"/>
      <c r="P63" s="230"/>
      <c r="Q63" s="202"/>
      <c r="R63" s="208"/>
      <c r="S63" s="366"/>
      <c r="T63" s="367"/>
      <c r="U63" s="459"/>
      <c r="V63" s="460"/>
      <c r="W63" s="275"/>
      <c r="X63" s="276"/>
      <c r="Y63" s="360"/>
      <c r="AC63" s="155"/>
    </row>
    <row r="64" spans="2:29" ht="16.5" customHeight="1">
      <c r="B64" s="258"/>
      <c r="C64" s="259"/>
      <c r="D64" s="86" t="s">
        <v>20</v>
      </c>
      <c r="E64" s="79" t="s">
        <v>344</v>
      </c>
      <c r="F64" s="362" t="s">
        <v>209</v>
      </c>
      <c r="G64" s="363"/>
      <c r="H64" s="161">
        <v>4</v>
      </c>
      <c r="I64" s="171" t="s">
        <v>362</v>
      </c>
      <c r="J64" s="162">
        <v>3</v>
      </c>
      <c r="K64" s="266"/>
      <c r="L64" s="205"/>
      <c r="M64" s="202"/>
      <c r="N64" s="208"/>
      <c r="O64" s="229"/>
      <c r="P64" s="230"/>
      <c r="Q64" s="202"/>
      <c r="R64" s="208"/>
      <c r="S64" s="366"/>
      <c r="T64" s="367"/>
      <c r="U64" s="454"/>
      <c r="V64" s="455"/>
      <c r="W64" s="275"/>
      <c r="X64" s="276"/>
      <c r="Y64" s="360"/>
    </row>
    <row r="65" spans="2:29" ht="16.5" customHeight="1">
      <c r="B65" s="258"/>
      <c r="C65" s="259"/>
      <c r="D65" s="86" t="s">
        <v>5</v>
      </c>
      <c r="E65" s="79" t="s">
        <v>556</v>
      </c>
      <c r="F65" s="362" t="s">
        <v>222</v>
      </c>
      <c r="G65" s="363"/>
      <c r="H65" s="161">
        <v>4</v>
      </c>
      <c r="I65" s="171" t="s">
        <v>362</v>
      </c>
      <c r="J65" s="162">
        <v>3</v>
      </c>
      <c r="K65" s="266"/>
      <c r="L65" s="205"/>
      <c r="M65" s="202"/>
      <c r="N65" s="208"/>
      <c r="O65" s="229"/>
      <c r="P65" s="230"/>
      <c r="Q65" s="202"/>
      <c r="R65" s="208"/>
      <c r="S65" s="366"/>
      <c r="T65" s="367"/>
      <c r="U65" s="454"/>
      <c r="V65" s="455"/>
      <c r="W65" s="275"/>
      <c r="X65" s="276"/>
      <c r="Y65" s="360"/>
      <c r="AC65" s="48"/>
    </row>
    <row r="66" spans="2:29" ht="16.5" customHeight="1" thickBot="1">
      <c r="B66" s="260"/>
      <c r="C66" s="261"/>
      <c r="D66" s="78" t="s">
        <v>6</v>
      </c>
      <c r="E66" s="82" t="s">
        <v>344</v>
      </c>
      <c r="F66" s="364" t="s">
        <v>232</v>
      </c>
      <c r="G66" s="365"/>
      <c r="H66" s="68">
        <v>4</v>
      </c>
      <c r="I66" s="164" t="s">
        <v>362</v>
      </c>
      <c r="J66" s="162">
        <v>3</v>
      </c>
      <c r="K66" s="267"/>
      <c r="L66" s="215"/>
      <c r="M66" s="226"/>
      <c r="N66" s="227"/>
      <c r="O66" s="279"/>
      <c r="P66" s="280"/>
      <c r="Q66" s="226"/>
      <c r="R66" s="227"/>
      <c r="S66" s="368"/>
      <c r="T66" s="369"/>
      <c r="U66" s="456"/>
      <c r="V66" s="457"/>
      <c r="W66" s="277"/>
      <c r="X66" s="278"/>
      <c r="Y66" s="361"/>
      <c r="AC66" s="85"/>
    </row>
    <row r="67" spans="2:29" ht="24.75" customHeight="1">
      <c r="B67" s="376" t="s">
        <v>358</v>
      </c>
      <c r="C67" s="377"/>
      <c r="D67" s="377"/>
      <c r="E67" s="377"/>
      <c r="F67" s="377"/>
      <c r="G67" s="373"/>
      <c r="H67" s="380">
        <f>SUM(H38:H49)</f>
        <v>0</v>
      </c>
      <c r="I67" s="382">
        <f>SUM(I38:I49)</f>
        <v>0</v>
      </c>
      <c r="J67" s="384">
        <f>SUM(J38:J66)</f>
        <v>86</v>
      </c>
      <c r="K67" s="376">
        <f>SUM(K38:L66)</f>
        <v>9</v>
      </c>
      <c r="L67" s="386"/>
      <c r="M67" s="372">
        <f>SUM(M38:N55)</f>
        <v>9</v>
      </c>
      <c r="N67" s="377"/>
      <c r="O67" s="388">
        <f>SUM(O38:P55)</f>
        <v>14</v>
      </c>
      <c r="P67" s="386"/>
      <c r="Q67" s="372">
        <f>SUM(Q38:R55)</f>
        <v>14</v>
      </c>
      <c r="R67" s="390"/>
      <c r="S67" s="377">
        <f>SUM(S38:T55)</f>
        <v>13</v>
      </c>
      <c r="T67" s="386"/>
      <c r="U67" s="372">
        <f>SUM(U38:V55)</f>
        <v>13</v>
      </c>
      <c r="V67" s="373"/>
      <c r="W67" s="376">
        <f>SUM(K67:V68)</f>
        <v>72</v>
      </c>
      <c r="X67" s="373"/>
      <c r="Y67" s="392">
        <f>SUM(Y38:Y56)</f>
        <v>80</v>
      </c>
      <c r="AC67" s="48"/>
    </row>
    <row r="68" spans="2:29" ht="17.25" thickBot="1">
      <c r="B68" s="378"/>
      <c r="C68" s="379"/>
      <c r="D68" s="379"/>
      <c r="E68" s="379"/>
      <c r="F68" s="379"/>
      <c r="G68" s="375"/>
      <c r="H68" s="381"/>
      <c r="I68" s="383"/>
      <c r="J68" s="385"/>
      <c r="K68" s="378"/>
      <c r="L68" s="387"/>
      <c r="M68" s="374"/>
      <c r="N68" s="379"/>
      <c r="O68" s="389"/>
      <c r="P68" s="387"/>
      <c r="Q68" s="374"/>
      <c r="R68" s="391"/>
      <c r="S68" s="379"/>
      <c r="T68" s="387"/>
      <c r="U68" s="374"/>
      <c r="V68" s="375"/>
      <c r="W68" s="378"/>
      <c r="X68" s="375"/>
      <c r="Y68" s="393"/>
      <c r="AC68" s="85"/>
    </row>
    <row r="69" spans="2:29" ht="17.25" customHeight="1" thickBot="1">
      <c r="B69" s="343"/>
      <c r="C69" s="344"/>
      <c r="D69" s="344"/>
      <c r="E69" s="344"/>
      <c r="F69" s="344"/>
      <c r="G69" s="345"/>
      <c r="H69" s="49">
        <f>SUM(H37,H67)</f>
        <v>55</v>
      </c>
      <c r="I69" s="50">
        <f>SUM(I37,I67)</f>
        <v>0</v>
      </c>
      <c r="J69" s="52">
        <f>SUM(J37,J67)</f>
        <v>128</v>
      </c>
      <c r="K69" s="343">
        <f>SUM(K37,K67)</f>
        <v>29</v>
      </c>
      <c r="L69" s="350"/>
      <c r="M69" s="217">
        <f>SUM(M37,M67)</f>
        <v>29</v>
      </c>
      <c r="N69" s="414"/>
      <c r="O69" s="415">
        <f>SUM(O37,O67)</f>
        <v>30</v>
      </c>
      <c r="P69" s="350"/>
      <c r="Q69" s="217">
        <f>SUM(Q37,Q67)</f>
        <v>30</v>
      </c>
      <c r="R69" s="414"/>
      <c r="S69" s="415">
        <f>SUM(S37,S67)</f>
        <v>13</v>
      </c>
      <c r="T69" s="350"/>
      <c r="U69" s="217">
        <f>SUM(U37,U67)</f>
        <v>13</v>
      </c>
      <c r="V69" s="345"/>
      <c r="W69" s="343">
        <f>SUM(K69:V69)</f>
        <v>144</v>
      </c>
      <c r="X69" s="345"/>
      <c r="Y69" s="11">
        <f>Y67+Y37</f>
        <v>144</v>
      </c>
      <c r="AA69" s="245" t="s">
        <v>153</v>
      </c>
      <c r="AB69" s="245"/>
    </row>
    <row r="70" spans="2:29" ht="18.75" customHeight="1" thickBot="1">
      <c r="B70" s="395" t="s">
        <v>359</v>
      </c>
      <c r="C70" s="396"/>
      <c r="D70" s="396"/>
      <c r="E70" s="397"/>
      <c r="F70" s="404" t="s">
        <v>355</v>
      </c>
      <c r="G70" s="405"/>
      <c r="H70" s="405"/>
      <c r="I70" s="405"/>
      <c r="J70" s="406"/>
      <c r="K70" s="265">
        <v>16</v>
      </c>
      <c r="L70" s="251"/>
      <c r="M70" s="240">
        <v>16</v>
      </c>
      <c r="N70" s="241"/>
      <c r="O70" s="250">
        <v>16</v>
      </c>
      <c r="P70" s="251"/>
      <c r="Q70" s="240">
        <v>16</v>
      </c>
      <c r="R70" s="241"/>
      <c r="S70" s="250">
        <v>16</v>
      </c>
      <c r="T70" s="251"/>
      <c r="U70" s="240">
        <v>16</v>
      </c>
      <c r="V70" s="252"/>
      <c r="W70" s="395">
        <f>SUM(K70:V72)</f>
        <v>288</v>
      </c>
      <c r="X70" s="397"/>
      <c r="Y70" s="392">
        <f>Y73*16</f>
        <v>288</v>
      </c>
      <c r="AA70" s="394"/>
      <c r="AB70" s="394"/>
    </row>
    <row r="71" spans="2:29" ht="17.25" customHeight="1" thickBot="1">
      <c r="B71" s="398"/>
      <c r="C71" s="399"/>
      <c r="D71" s="399"/>
      <c r="E71" s="400"/>
      <c r="F71" s="411" t="s">
        <v>62</v>
      </c>
      <c r="G71" s="412"/>
      <c r="H71" s="412"/>
      <c r="I71" s="412"/>
      <c r="J71" s="413"/>
      <c r="K71" s="266">
        <v>16</v>
      </c>
      <c r="L71" s="205"/>
      <c r="M71" s="202">
        <v>16</v>
      </c>
      <c r="N71" s="208"/>
      <c r="O71" s="204">
        <v>16</v>
      </c>
      <c r="P71" s="205"/>
      <c r="Q71" s="202">
        <v>16</v>
      </c>
      <c r="R71" s="208"/>
      <c r="S71" s="204">
        <v>16</v>
      </c>
      <c r="T71" s="205"/>
      <c r="U71" s="202">
        <v>16</v>
      </c>
      <c r="V71" s="221"/>
      <c r="W71" s="398"/>
      <c r="X71" s="400"/>
      <c r="Y71" s="409"/>
      <c r="AA71" s="347" t="b">
        <f>W69&gt;=Y69</f>
        <v>1</v>
      </c>
      <c r="AB71" s="348"/>
    </row>
    <row r="72" spans="2:29" ht="17.25" customHeight="1">
      <c r="B72" s="398"/>
      <c r="C72" s="399"/>
      <c r="D72" s="399"/>
      <c r="E72" s="400"/>
      <c r="F72" s="411" t="s">
        <v>11</v>
      </c>
      <c r="G72" s="412"/>
      <c r="H72" s="412"/>
      <c r="I72" s="412"/>
      <c r="J72" s="413"/>
      <c r="K72" s="266">
        <v>16</v>
      </c>
      <c r="L72" s="205"/>
      <c r="M72" s="202">
        <v>16</v>
      </c>
      <c r="N72" s="208"/>
      <c r="O72" s="204">
        <v>16</v>
      </c>
      <c r="P72" s="205"/>
      <c r="Q72" s="202">
        <v>16</v>
      </c>
      <c r="R72" s="208"/>
      <c r="S72" s="204">
        <v>16</v>
      </c>
      <c r="T72" s="205"/>
      <c r="U72" s="202">
        <v>16</v>
      </c>
      <c r="V72" s="221"/>
      <c r="W72" s="407"/>
      <c r="X72" s="408"/>
      <c r="Y72" s="410"/>
    </row>
    <row r="73" spans="2:29" ht="17.25" customHeight="1" thickBot="1">
      <c r="B73" s="401"/>
      <c r="C73" s="402"/>
      <c r="D73" s="402"/>
      <c r="E73" s="403"/>
      <c r="F73" s="419" t="s">
        <v>148</v>
      </c>
      <c r="G73" s="420"/>
      <c r="H73" s="420"/>
      <c r="I73" s="420"/>
      <c r="J73" s="421"/>
      <c r="K73" s="422">
        <v>3</v>
      </c>
      <c r="L73" s="423"/>
      <c r="M73" s="424">
        <v>3</v>
      </c>
      <c r="N73" s="425"/>
      <c r="O73" s="426">
        <v>3</v>
      </c>
      <c r="P73" s="423"/>
      <c r="Q73" s="424">
        <v>3</v>
      </c>
      <c r="R73" s="425"/>
      <c r="S73" s="426">
        <v>3</v>
      </c>
      <c r="T73" s="423"/>
      <c r="U73" s="424">
        <v>3</v>
      </c>
      <c r="V73" s="427"/>
      <c r="W73" s="419">
        <f>SUM(K73:V73)</f>
        <v>18</v>
      </c>
      <c r="X73" s="421"/>
      <c r="Y73" s="87">
        <v>18</v>
      </c>
      <c r="AA73" s="245" t="s">
        <v>154</v>
      </c>
      <c r="AB73" s="245"/>
    </row>
    <row r="74" spans="2:29" ht="17.25" customHeight="1" thickBot="1">
      <c r="B74" s="343"/>
      <c r="C74" s="344"/>
      <c r="D74" s="344"/>
      <c r="E74" s="344"/>
      <c r="F74" s="344"/>
      <c r="G74" s="344"/>
      <c r="H74" s="344"/>
      <c r="I74" s="344"/>
      <c r="J74" s="345"/>
      <c r="K74" s="343">
        <v>32</v>
      </c>
      <c r="L74" s="350"/>
      <c r="M74" s="217">
        <v>32</v>
      </c>
      <c r="N74" s="414"/>
      <c r="O74" s="415">
        <v>32</v>
      </c>
      <c r="P74" s="350"/>
      <c r="Q74" s="217">
        <v>32</v>
      </c>
      <c r="R74" s="414"/>
      <c r="S74" s="415">
        <v>32</v>
      </c>
      <c r="T74" s="350"/>
      <c r="U74" s="217">
        <v>32</v>
      </c>
      <c r="V74" s="345"/>
      <c r="W74" s="343">
        <f>SUM(K74:V74)</f>
        <v>192</v>
      </c>
      <c r="X74" s="345"/>
      <c r="Y74" s="53">
        <f>W74</f>
        <v>192</v>
      </c>
      <c r="AA74" s="347" t="b">
        <f>W73&gt;=Y73</f>
        <v>1</v>
      </c>
      <c r="AB74" s="348"/>
    </row>
    <row r="75" spans="2:29" ht="17.25" customHeight="1" thickBot="1">
      <c r="B75" s="343"/>
      <c r="C75" s="344"/>
      <c r="D75" s="344"/>
      <c r="E75" s="344"/>
      <c r="F75" s="344"/>
      <c r="G75" s="344"/>
      <c r="H75" s="344"/>
      <c r="I75" s="344"/>
      <c r="J75" s="345"/>
      <c r="K75" s="343">
        <f>SUM(K74:N74)</f>
        <v>64</v>
      </c>
      <c r="L75" s="344"/>
      <c r="M75" s="344"/>
      <c r="N75" s="414"/>
      <c r="O75" s="415">
        <f>SUM(O74:R74)</f>
        <v>64</v>
      </c>
      <c r="P75" s="344"/>
      <c r="Q75" s="344"/>
      <c r="R75" s="414"/>
      <c r="S75" s="415">
        <f>SUM(S74:V74)</f>
        <v>64</v>
      </c>
      <c r="T75" s="344"/>
      <c r="U75" s="344"/>
      <c r="V75" s="345"/>
      <c r="W75" s="343">
        <f>SUM(K75:V75)</f>
        <v>192</v>
      </c>
      <c r="X75" s="345"/>
      <c r="Y75" s="11"/>
      <c r="AA75" s="245" t="s">
        <v>152</v>
      </c>
      <c r="AB75" s="245"/>
    </row>
    <row r="76" spans="2:29" ht="17.25" customHeight="1" thickBot="1">
      <c r="AA76" s="347" t="b">
        <f>W74&gt;=Y74</f>
        <v>1</v>
      </c>
      <c r="AB76" s="348"/>
    </row>
    <row r="77" spans="2:29" ht="17.25" customHeight="1"/>
    <row r="78" spans="2:29" ht="17.25" customHeight="1"/>
    <row r="79" spans="2:29" ht="17.25" customHeight="1"/>
    <row r="81" ht="24.95" customHeight="1"/>
    <row r="82" ht="24.95" customHeight="1"/>
    <row r="83" ht="32.25" customHeight="1"/>
    <row r="84" ht="24.95" customHeight="1"/>
    <row r="86" ht="16.5" customHeight="1"/>
    <row r="87" ht="17.2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244.5" customHeight="1"/>
  </sheetData>
  <mergeCells count="540">
    <mergeCell ref="O65:P65"/>
    <mergeCell ref="Q65:R65"/>
    <mergeCell ref="O66:P66"/>
    <mergeCell ref="Q66:R66"/>
    <mergeCell ref="U64:V66"/>
    <mergeCell ref="U61:V63"/>
    <mergeCell ref="S54:T54"/>
    <mergeCell ref="U54:V54"/>
    <mergeCell ref="J50:J55"/>
    <mergeCell ref="O50:P55"/>
    <mergeCell ref="Q50:R55"/>
    <mergeCell ref="Q61:R61"/>
    <mergeCell ref="S56:V60"/>
    <mergeCell ref="B38:B60"/>
    <mergeCell ref="F51:G51"/>
    <mergeCell ref="K51:L51"/>
    <mergeCell ref="M51:N51"/>
    <mergeCell ref="S51:T51"/>
    <mergeCell ref="U51:V51"/>
    <mergeCell ref="F53:G53"/>
    <mergeCell ref="M38:N38"/>
    <mergeCell ref="O38:P38"/>
    <mergeCell ref="Q38:R38"/>
    <mergeCell ref="S38:T38"/>
    <mergeCell ref="U38:V38"/>
    <mergeCell ref="D38:E39"/>
    <mergeCell ref="F39:G39"/>
    <mergeCell ref="K39:L39"/>
    <mergeCell ref="M39:N39"/>
    <mergeCell ref="F59:G59"/>
    <mergeCell ref="K59:L59"/>
    <mergeCell ref="M59:N59"/>
    <mergeCell ref="O59:P59"/>
    <mergeCell ref="Q59:R59"/>
    <mergeCell ref="F58:G58"/>
    <mergeCell ref="K58:L58"/>
    <mergeCell ref="M58:N58"/>
    <mergeCell ref="S53:T53"/>
    <mergeCell ref="U53:V53"/>
    <mergeCell ref="F54:G54"/>
    <mergeCell ref="F38:G38"/>
    <mergeCell ref="K38:L38"/>
    <mergeCell ref="C38:C49"/>
    <mergeCell ref="C56:C60"/>
    <mergeCell ref="W56:X60"/>
    <mergeCell ref="K56:L56"/>
    <mergeCell ref="U55:V55"/>
    <mergeCell ref="F57:G57"/>
    <mergeCell ref="F56:G56"/>
    <mergeCell ref="W38:X38"/>
    <mergeCell ref="O58:P58"/>
    <mergeCell ref="Q58:R58"/>
    <mergeCell ref="J56:J60"/>
    <mergeCell ref="M56:N56"/>
    <mergeCell ref="O56:P56"/>
    <mergeCell ref="Q56:R56"/>
    <mergeCell ref="K42:L42"/>
    <mergeCell ref="M42:N42"/>
    <mergeCell ref="O42:P42"/>
    <mergeCell ref="Q42:R42"/>
    <mergeCell ref="S42:T42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O16:P16"/>
    <mergeCell ref="Q16:R16"/>
    <mergeCell ref="S16:T16"/>
    <mergeCell ref="U16:V16"/>
    <mergeCell ref="F34:G34"/>
    <mergeCell ref="K34:L34"/>
    <mergeCell ref="M34:N34"/>
    <mergeCell ref="O34:P34"/>
    <mergeCell ref="S34:T34"/>
    <mergeCell ref="U34:V34"/>
    <mergeCell ref="F32:G32"/>
    <mergeCell ref="K32:L32"/>
    <mergeCell ref="M32:N32"/>
    <mergeCell ref="Q32:R32"/>
    <mergeCell ref="S32:T32"/>
    <mergeCell ref="U32:V32"/>
    <mergeCell ref="F33:G33"/>
    <mergeCell ref="K33:L33"/>
    <mergeCell ref="M33:N33"/>
    <mergeCell ref="S29:T29"/>
    <mergeCell ref="F24:G24"/>
    <mergeCell ref="O33:P33"/>
    <mergeCell ref="S33:T33"/>
    <mergeCell ref="U33:V33"/>
    <mergeCell ref="AB14:AD14"/>
    <mergeCell ref="AA8:AD8"/>
    <mergeCell ref="B75:J75"/>
    <mergeCell ref="K75:N75"/>
    <mergeCell ref="O75:R75"/>
    <mergeCell ref="S75:V75"/>
    <mergeCell ref="W75:X75"/>
    <mergeCell ref="AA75:AB75"/>
    <mergeCell ref="F73:J73"/>
    <mergeCell ref="K73:L73"/>
    <mergeCell ref="M73:N73"/>
    <mergeCell ref="O73:P73"/>
    <mergeCell ref="Q73:R73"/>
    <mergeCell ref="S73:T73"/>
    <mergeCell ref="U73:V73"/>
    <mergeCell ref="W73:X73"/>
    <mergeCell ref="AA73:AB73"/>
    <mergeCell ref="S71:T71"/>
    <mergeCell ref="U71:V71"/>
    <mergeCell ref="AA71:AB71"/>
    <mergeCell ref="F72:J72"/>
    <mergeCell ref="K72:L72"/>
    <mergeCell ref="M72:N72"/>
    <mergeCell ref="K69:L69"/>
    <mergeCell ref="M69:N69"/>
    <mergeCell ref="O69:P69"/>
    <mergeCell ref="Q69:R69"/>
    <mergeCell ref="S69:T69"/>
    <mergeCell ref="U69:V69"/>
    <mergeCell ref="AA76:AB76"/>
    <mergeCell ref="B74:J74"/>
    <mergeCell ref="K74:L74"/>
    <mergeCell ref="M74:N74"/>
    <mergeCell ref="O74:P74"/>
    <mergeCell ref="Q74:R74"/>
    <mergeCell ref="S74:T74"/>
    <mergeCell ref="U74:V74"/>
    <mergeCell ref="W74:X74"/>
    <mergeCell ref="AA74:AB74"/>
    <mergeCell ref="W67:X68"/>
    <mergeCell ref="Y67:Y68"/>
    <mergeCell ref="W69:X69"/>
    <mergeCell ref="AA69:AB70"/>
    <mergeCell ref="B70:E73"/>
    <mergeCell ref="F70:J70"/>
    <mergeCell ref="K70:L70"/>
    <mergeCell ref="M70:N70"/>
    <mergeCell ref="O70:P70"/>
    <mergeCell ref="Q70:R70"/>
    <mergeCell ref="S70:T70"/>
    <mergeCell ref="U70:V70"/>
    <mergeCell ref="W70:X72"/>
    <mergeCell ref="Y70:Y72"/>
    <mergeCell ref="F71:J71"/>
    <mergeCell ref="K71:L71"/>
    <mergeCell ref="M71:N71"/>
    <mergeCell ref="O71:P71"/>
    <mergeCell ref="Q71:R71"/>
    <mergeCell ref="O72:P72"/>
    <mergeCell ref="Q72:R72"/>
    <mergeCell ref="S72:T72"/>
    <mergeCell ref="U72:V72"/>
    <mergeCell ref="B69:G69"/>
    <mergeCell ref="U67:V68"/>
    <mergeCell ref="F62:G62"/>
    <mergeCell ref="F63:G63"/>
    <mergeCell ref="K62:L62"/>
    <mergeCell ref="K63:L63"/>
    <mergeCell ref="K64:L64"/>
    <mergeCell ref="M64:N64"/>
    <mergeCell ref="K65:L65"/>
    <mergeCell ref="M65:N65"/>
    <mergeCell ref="K66:L66"/>
    <mergeCell ref="M66:N66"/>
    <mergeCell ref="O64:P64"/>
    <mergeCell ref="Q64:R64"/>
    <mergeCell ref="O62:P62"/>
    <mergeCell ref="Q62:R62"/>
    <mergeCell ref="B67:G68"/>
    <mergeCell ref="H67:H68"/>
    <mergeCell ref="I67:I68"/>
    <mergeCell ref="J67:J68"/>
    <mergeCell ref="K67:L68"/>
    <mergeCell ref="M67:N68"/>
    <mergeCell ref="O67:P68"/>
    <mergeCell ref="Q67:R68"/>
    <mergeCell ref="S67:T68"/>
    <mergeCell ref="W61:X66"/>
    <mergeCell ref="Y61:Y66"/>
    <mergeCell ref="F64:G64"/>
    <mergeCell ref="F65:G65"/>
    <mergeCell ref="F66:G66"/>
    <mergeCell ref="B61:C66"/>
    <mergeCell ref="F61:G61"/>
    <mergeCell ref="S61:T66"/>
    <mergeCell ref="K57:L57"/>
    <mergeCell ref="F60:G60"/>
    <mergeCell ref="K60:L60"/>
    <mergeCell ref="K61:L61"/>
    <mergeCell ref="M57:N57"/>
    <mergeCell ref="Q57:R57"/>
    <mergeCell ref="M63:N63"/>
    <mergeCell ref="O63:P63"/>
    <mergeCell ref="Q63:R63"/>
    <mergeCell ref="O61:P61"/>
    <mergeCell ref="M60:N60"/>
    <mergeCell ref="O60:P60"/>
    <mergeCell ref="Q60:R60"/>
    <mergeCell ref="O57:P57"/>
    <mergeCell ref="M61:N61"/>
    <mergeCell ref="M62:N62"/>
    <mergeCell ref="C50:C55"/>
    <mergeCell ref="F50:G50"/>
    <mergeCell ref="K50:L50"/>
    <mergeCell ref="M50:N50"/>
    <mergeCell ref="K54:L54"/>
    <mergeCell ref="M54:N54"/>
    <mergeCell ref="F52:G52"/>
    <mergeCell ref="K52:L52"/>
    <mergeCell ref="M52:N52"/>
    <mergeCell ref="F55:G55"/>
    <mergeCell ref="K55:L55"/>
    <mergeCell ref="M55:N55"/>
    <mergeCell ref="K53:L53"/>
    <mergeCell ref="M53:N53"/>
    <mergeCell ref="B37:G37"/>
    <mergeCell ref="K37:L37"/>
    <mergeCell ref="AA37:AB37"/>
    <mergeCell ref="F40:G40"/>
    <mergeCell ref="K40:L40"/>
    <mergeCell ref="F41:G41"/>
    <mergeCell ref="K41:L41"/>
    <mergeCell ref="F44:G44"/>
    <mergeCell ref="K44:L44"/>
    <mergeCell ref="S40:T40"/>
    <mergeCell ref="U37:V37"/>
    <mergeCell ref="W37:X37"/>
    <mergeCell ref="W44:X44"/>
    <mergeCell ref="W40:X40"/>
    <mergeCell ref="Q40:R40"/>
    <mergeCell ref="Q37:R37"/>
    <mergeCell ref="S37:T37"/>
    <mergeCell ref="O39:P39"/>
    <mergeCell ref="Q39:R39"/>
    <mergeCell ref="S39:T39"/>
    <mergeCell ref="U39:V39"/>
    <mergeCell ref="W39:X39"/>
    <mergeCell ref="Y38:Y60"/>
    <mergeCell ref="F42:G42"/>
    <mergeCell ref="F45:G45"/>
    <mergeCell ref="K45:L45"/>
    <mergeCell ref="F46:G46"/>
    <mergeCell ref="K46:L46"/>
    <mergeCell ref="F47:G47"/>
    <mergeCell ref="K47:L47"/>
    <mergeCell ref="F48:G48"/>
    <mergeCell ref="K48:L48"/>
    <mergeCell ref="F49:G49"/>
    <mergeCell ref="K49:L49"/>
    <mergeCell ref="D29:D30"/>
    <mergeCell ref="F29:G29"/>
    <mergeCell ref="K29:L29"/>
    <mergeCell ref="W29:X30"/>
    <mergeCell ref="Y29:Y30"/>
    <mergeCell ref="F30:G30"/>
    <mergeCell ref="K30:L30"/>
    <mergeCell ref="D31:D36"/>
    <mergeCell ref="F31:G31"/>
    <mergeCell ref="K31:L31"/>
    <mergeCell ref="W31:X36"/>
    <mergeCell ref="Y31:Y36"/>
    <mergeCell ref="F35:G35"/>
    <mergeCell ref="K35:L35"/>
    <mergeCell ref="F36:G36"/>
    <mergeCell ref="K36:L36"/>
    <mergeCell ref="O30:P30"/>
    <mergeCell ref="Q30:R30"/>
    <mergeCell ref="S30:T30"/>
    <mergeCell ref="U30:V30"/>
    <mergeCell ref="M29:N29"/>
    <mergeCell ref="O29:P29"/>
    <mergeCell ref="Q29:R29"/>
    <mergeCell ref="O31:P32"/>
    <mergeCell ref="K24:L24"/>
    <mergeCell ref="F25:G25"/>
    <mergeCell ref="K25:L25"/>
    <mergeCell ref="D25:D28"/>
    <mergeCell ref="X25:X28"/>
    <mergeCell ref="F26:G26"/>
    <mergeCell ref="K26:L26"/>
    <mergeCell ref="F27:G27"/>
    <mergeCell ref="K27:L27"/>
    <mergeCell ref="F28:G28"/>
    <mergeCell ref="K28:L28"/>
    <mergeCell ref="O27:P27"/>
    <mergeCell ref="Q27:R27"/>
    <mergeCell ref="S27:T27"/>
    <mergeCell ref="U27:V27"/>
    <mergeCell ref="X15:X18"/>
    <mergeCell ref="F17:G17"/>
    <mergeCell ref="K17:L17"/>
    <mergeCell ref="F18:G18"/>
    <mergeCell ref="K18:L18"/>
    <mergeCell ref="D19:D22"/>
    <mergeCell ref="F19:G19"/>
    <mergeCell ref="K19:L19"/>
    <mergeCell ref="X19:X20"/>
    <mergeCell ref="F20:G20"/>
    <mergeCell ref="K20:L20"/>
    <mergeCell ref="F21:G21"/>
    <mergeCell ref="K21:L21"/>
    <mergeCell ref="X21:X22"/>
    <mergeCell ref="F22:G22"/>
    <mergeCell ref="K22:L22"/>
    <mergeCell ref="U20:V20"/>
    <mergeCell ref="M20:N20"/>
    <mergeCell ref="O20:P20"/>
    <mergeCell ref="S20:T20"/>
    <mergeCell ref="D15:D18"/>
    <mergeCell ref="F16:G16"/>
    <mergeCell ref="K16:L16"/>
    <mergeCell ref="M16:N16"/>
    <mergeCell ref="X12:X14"/>
    <mergeCell ref="F13:G13"/>
    <mergeCell ref="K13:L13"/>
    <mergeCell ref="F14:G14"/>
    <mergeCell ref="K14:L14"/>
    <mergeCell ref="X9:X11"/>
    <mergeCell ref="O9:P9"/>
    <mergeCell ref="Q9:R9"/>
    <mergeCell ref="S9:T9"/>
    <mergeCell ref="U9:V9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W49:X49"/>
    <mergeCell ref="S50:T50"/>
    <mergeCell ref="U50:V50"/>
    <mergeCell ref="W50:X55"/>
    <mergeCell ref="S52:T52"/>
    <mergeCell ref="U52:V52"/>
    <mergeCell ref="S55:T5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M28:N28"/>
    <mergeCell ref="O28:P28"/>
    <mergeCell ref="Q28:R28"/>
    <mergeCell ref="S28:T28"/>
    <mergeCell ref="U28:V28"/>
    <mergeCell ref="M27:N27"/>
    <mergeCell ref="O49:P49"/>
    <mergeCell ref="Q49:R49"/>
    <mergeCell ref="S49:T49"/>
    <mergeCell ref="U49:V49"/>
    <mergeCell ref="M49:N49"/>
    <mergeCell ref="Q33:R34"/>
    <mergeCell ref="U36:V36"/>
    <mergeCell ref="M25:N25"/>
    <mergeCell ref="O25:P25"/>
    <mergeCell ref="Q25:R25"/>
    <mergeCell ref="S25:T25"/>
    <mergeCell ref="U25:V25"/>
    <mergeCell ref="M26:N26"/>
    <mergeCell ref="O26:P26"/>
    <mergeCell ref="Q26:R26"/>
    <mergeCell ref="S26:T26"/>
    <mergeCell ref="U26:V26"/>
    <mergeCell ref="B9:C36"/>
    <mergeCell ref="D9:D11"/>
    <mergeCell ref="F9:G9"/>
    <mergeCell ref="K9:L9"/>
    <mergeCell ref="F10:G10"/>
    <mergeCell ref="K10:L10"/>
    <mergeCell ref="M24:N24"/>
    <mergeCell ref="O24:P24"/>
    <mergeCell ref="Q24:R24"/>
    <mergeCell ref="M23:N23"/>
    <mergeCell ref="O23:P23"/>
    <mergeCell ref="Q23:R23"/>
    <mergeCell ref="Q20:R20"/>
    <mergeCell ref="F11:G11"/>
    <mergeCell ref="K11:L11"/>
    <mergeCell ref="D12:D14"/>
    <mergeCell ref="F12:G12"/>
    <mergeCell ref="K12:L12"/>
    <mergeCell ref="F15:G15"/>
    <mergeCell ref="K15:L15"/>
    <mergeCell ref="D23:D24"/>
    <mergeCell ref="F23:G23"/>
    <mergeCell ref="K23:L23"/>
    <mergeCell ref="M30:N30"/>
    <mergeCell ref="Y21:Y24"/>
    <mergeCell ref="M22:N22"/>
    <mergeCell ref="O22:P22"/>
    <mergeCell ref="Q22:R22"/>
    <mergeCell ref="S22:T22"/>
    <mergeCell ref="U22:V22"/>
    <mergeCell ref="M21:N21"/>
    <mergeCell ref="O21:P21"/>
    <mergeCell ref="Q21:R21"/>
    <mergeCell ref="S21:T21"/>
    <mergeCell ref="U21:V21"/>
    <mergeCell ref="S23:T23"/>
    <mergeCell ref="U23:V23"/>
    <mergeCell ref="S24:T24"/>
    <mergeCell ref="U24:V24"/>
    <mergeCell ref="X23:X24"/>
    <mergeCell ref="Y19:Y20"/>
    <mergeCell ref="AA20:AB20"/>
    <mergeCell ref="M19:N19"/>
    <mergeCell ref="O19:P19"/>
    <mergeCell ref="Q19:R19"/>
    <mergeCell ref="S19:T19"/>
    <mergeCell ref="U19:V19"/>
    <mergeCell ref="M18:N18"/>
    <mergeCell ref="O18:P18"/>
    <mergeCell ref="Q18:R18"/>
    <mergeCell ref="S18:T18"/>
    <mergeCell ref="U18:V18"/>
    <mergeCell ref="Y9:Y18"/>
    <mergeCell ref="M17:N17"/>
    <mergeCell ref="O17:P17"/>
    <mergeCell ref="Q17:R17"/>
    <mergeCell ref="S17:T17"/>
    <mergeCell ref="U17:V17"/>
    <mergeCell ref="M15:N15"/>
    <mergeCell ref="O15:P15"/>
    <mergeCell ref="Q15:R15"/>
    <mergeCell ref="S15:T15"/>
    <mergeCell ref="U15:V15"/>
    <mergeCell ref="M9:N9"/>
    <mergeCell ref="X2:Y2"/>
    <mergeCell ref="B2:U2"/>
    <mergeCell ref="V2:W2"/>
    <mergeCell ref="AA2:AA5"/>
    <mergeCell ref="S48:T48"/>
    <mergeCell ref="U47:V47"/>
    <mergeCell ref="W47:X47"/>
    <mergeCell ref="U48:V48"/>
    <mergeCell ref="W46:X46"/>
    <mergeCell ref="M45:N45"/>
    <mergeCell ref="O45:P45"/>
    <mergeCell ref="M46:N46"/>
    <mergeCell ref="O46:P46"/>
    <mergeCell ref="Q45:R45"/>
    <mergeCell ref="S45:T45"/>
    <mergeCell ref="Q31:R31"/>
    <mergeCell ref="Q35:R35"/>
    <mergeCell ref="S31:T31"/>
    <mergeCell ref="S35:T35"/>
    <mergeCell ref="U31:V31"/>
    <mergeCell ref="U35:V35"/>
    <mergeCell ref="U13:V13"/>
    <mergeCell ref="M10:N10"/>
    <mergeCell ref="O10:P10"/>
    <mergeCell ref="S8:T8"/>
    <mergeCell ref="U8:V8"/>
    <mergeCell ref="Q10:R10"/>
    <mergeCell ref="S10:T10"/>
    <mergeCell ref="U10:V10"/>
    <mergeCell ref="U29:V29"/>
    <mergeCell ref="S47:T47"/>
    <mergeCell ref="M47:N47"/>
    <mergeCell ref="O47:P47"/>
    <mergeCell ref="U46:V46"/>
    <mergeCell ref="M41:N41"/>
    <mergeCell ref="M44:N44"/>
    <mergeCell ref="O41:P41"/>
    <mergeCell ref="O44:P44"/>
    <mergeCell ref="S41:T41"/>
    <mergeCell ref="U41:V41"/>
    <mergeCell ref="M11:N11"/>
    <mergeCell ref="O11:P11"/>
    <mergeCell ref="Q11:R11"/>
    <mergeCell ref="S11:T11"/>
    <mergeCell ref="U11:V11"/>
    <mergeCell ref="O40:P40"/>
    <mergeCell ref="Q36:R36"/>
    <mergeCell ref="S36:T36"/>
    <mergeCell ref="M48:N48"/>
    <mergeCell ref="O48:P48"/>
    <mergeCell ref="W48:X48"/>
    <mergeCell ref="Q47:R47"/>
    <mergeCell ref="Q48:R48"/>
    <mergeCell ref="Y25:Y28"/>
    <mergeCell ref="M31:N31"/>
    <mergeCell ref="M35:N35"/>
    <mergeCell ref="O36:P36"/>
    <mergeCell ref="M37:N37"/>
    <mergeCell ref="O37:P37"/>
    <mergeCell ref="O35:P35"/>
    <mergeCell ref="M36:N36"/>
    <mergeCell ref="M40:N40"/>
    <mergeCell ref="U40:V40"/>
    <mergeCell ref="U45:V45"/>
    <mergeCell ref="W45:X45"/>
    <mergeCell ref="W41:X41"/>
    <mergeCell ref="Q41:R41"/>
    <mergeCell ref="Q44:R44"/>
    <mergeCell ref="S44:T44"/>
    <mergeCell ref="U44:V44"/>
    <mergeCell ref="Q46:R46"/>
    <mergeCell ref="S46:T46"/>
  </mergeCells>
  <phoneticPr fontId="9" type="noConversion"/>
  <conditionalFormatting sqref="AA37:AB37 AC66 AC68 AA71:AB71 AA74:AB74 AA76:AB76">
    <cfRule type="containsText" dxfId="0" priority="1" operator="containsText" text="FALSE">
      <formula>NOT(ISERROR(SEARCH("FALSE",AA37)))</formula>
    </cfRule>
  </conditionalFormatting>
  <dataValidations disablePrompts="1" count="1">
    <dataValidation type="list" allowBlank="1" showInputMessage="1" showErrorMessage="1" sqref="D61:D65" xr:uid="{62E495C6-F452-446E-AD88-2CC81E20C95F}"/>
  </dataValidations>
  <printOptions horizontalCentered="1" verticalCentered="1"/>
  <pageMargins left="0.25" right="0.25" top="0.75" bottom="0.75" header="0.3" footer="0.3"/>
  <pageSetup paperSize="12" scale="52" orientation="portrait" cellComments="asDisplayed" r:id="rId1"/>
  <rowBreaks count="1" manualBreakCount="1">
    <brk id="67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47"/>
  <sheetViews>
    <sheetView showGridLines="0" view="pageBreakPreview" zoomScale="90" zoomScaleNormal="85" zoomScaleSheetLayoutView="90" workbookViewId="0">
      <selection activeCell="G59" sqref="G59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493" t="s">
        <v>150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</row>
    <row r="3" spans="2:33" ht="27" customHeight="1" thickBot="1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494" t="s">
        <v>128</v>
      </c>
      <c r="O3" s="495"/>
      <c r="P3" s="496"/>
      <c r="Q3" s="494" t="s">
        <v>126</v>
      </c>
      <c r="R3" s="495"/>
      <c r="S3" s="496"/>
      <c r="T3" s="497" t="s">
        <v>129</v>
      </c>
      <c r="U3" s="498"/>
    </row>
    <row r="4" spans="2:33" ht="27" customHeight="1" thickBot="1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499" t="s">
        <v>513</v>
      </c>
      <c r="O4" s="500"/>
      <c r="P4" s="501"/>
      <c r="Q4" s="502" t="s">
        <v>516</v>
      </c>
      <c r="R4" s="503"/>
      <c r="S4" s="504"/>
      <c r="T4" s="505">
        <v>2027</v>
      </c>
      <c r="U4" s="506"/>
    </row>
    <row r="5" spans="2:33" ht="24" customHeight="1" thickBot="1">
      <c r="B5" s="507"/>
      <c r="C5" s="507"/>
    </row>
    <row r="6" spans="2:33" ht="20.25" customHeight="1">
      <c r="B6" s="508" t="s">
        <v>13</v>
      </c>
      <c r="C6" s="511" t="s">
        <v>139</v>
      </c>
      <c r="D6" s="479" t="s">
        <v>14</v>
      </c>
      <c r="E6" s="479" t="s">
        <v>15</v>
      </c>
      <c r="F6" s="479" t="s">
        <v>140</v>
      </c>
      <c r="G6" s="479" t="s">
        <v>141</v>
      </c>
      <c r="H6" s="482" t="s">
        <v>57</v>
      </c>
      <c r="I6" s="482"/>
      <c r="J6" s="482"/>
      <c r="K6" s="482"/>
      <c r="L6" s="482" t="s">
        <v>58</v>
      </c>
      <c r="M6" s="482"/>
      <c r="N6" s="482"/>
      <c r="O6" s="482"/>
      <c r="P6" s="482" t="s">
        <v>59</v>
      </c>
      <c r="Q6" s="482"/>
      <c r="R6" s="482"/>
      <c r="S6" s="482"/>
      <c r="T6" s="490" t="s">
        <v>138</v>
      </c>
      <c r="U6" s="483" t="s">
        <v>125</v>
      </c>
      <c r="W6" s="486" t="s">
        <v>130</v>
      </c>
      <c r="X6" s="487"/>
      <c r="Y6" s="487"/>
      <c r="Z6" s="487"/>
      <c r="AA6" s="487"/>
      <c r="AB6" s="487"/>
      <c r="AC6" s="487"/>
      <c r="AD6" s="487"/>
      <c r="AE6" s="487"/>
      <c r="AF6" s="488"/>
      <c r="AG6" s="13"/>
    </row>
    <row r="7" spans="2:33" ht="16.5" customHeight="1">
      <c r="B7" s="509"/>
      <c r="C7" s="512"/>
      <c r="D7" s="480"/>
      <c r="E7" s="480"/>
      <c r="F7" s="480"/>
      <c r="G7" s="480"/>
      <c r="H7" s="489" t="s">
        <v>123</v>
      </c>
      <c r="I7" s="489"/>
      <c r="J7" s="489" t="s">
        <v>61</v>
      </c>
      <c r="K7" s="489"/>
      <c r="L7" s="489" t="s">
        <v>123</v>
      </c>
      <c r="M7" s="489"/>
      <c r="N7" s="489" t="s">
        <v>61</v>
      </c>
      <c r="O7" s="489"/>
      <c r="P7" s="489" t="s">
        <v>123</v>
      </c>
      <c r="Q7" s="489"/>
      <c r="R7" s="489" t="s">
        <v>61</v>
      </c>
      <c r="S7" s="489"/>
      <c r="T7" s="491"/>
      <c r="U7" s="484"/>
      <c r="W7" s="476" t="s">
        <v>131</v>
      </c>
      <c r="X7" s="477"/>
      <c r="Y7" s="477"/>
      <c r="Z7" s="477"/>
      <c r="AA7" s="477"/>
      <c r="AB7" s="477"/>
      <c r="AC7" s="477"/>
      <c r="AD7" s="477"/>
      <c r="AE7" s="477"/>
      <c r="AF7" s="478"/>
      <c r="AG7" s="13"/>
    </row>
    <row r="8" spans="2:33" ht="17.25" customHeight="1" thickBot="1">
      <c r="B8" s="510"/>
      <c r="C8" s="513"/>
      <c r="D8" s="481"/>
      <c r="E8" s="481"/>
      <c r="F8" s="481"/>
      <c r="G8" s="481"/>
      <c r="H8" s="30" t="s">
        <v>137</v>
      </c>
      <c r="I8" s="30" t="s">
        <v>124</v>
      </c>
      <c r="J8" s="30" t="s">
        <v>137</v>
      </c>
      <c r="K8" s="30" t="s">
        <v>124</v>
      </c>
      <c r="L8" s="30" t="s">
        <v>137</v>
      </c>
      <c r="M8" s="30" t="s">
        <v>124</v>
      </c>
      <c r="N8" s="30" t="s">
        <v>137</v>
      </c>
      <c r="O8" s="30" t="s">
        <v>124</v>
      </c>
      <c r="P8" s="30" t="s">
        <v>137</v>
      </c>
      <c r="Q8" s="30" t="s">
        <v>124</v>
      </c>
      <c r="R8" s="30" t="s">
        <v>137</v>
      </c>
      <c r="S8" s="30" t="s">
        <v>124</v>
      </c>
      <c r="T8" s="492"/>
      <c r="U8" s="485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64" t="s">
        <v>561</v>
      </c>
      <c r="C9" s="467">
        <v>8</v>
      </c>
      <c r="D9" s="176" t="s">
        <v>562</v>
      </c>
      <c r="E9" s="177" t="s">
        <v>563</v>
      </c>
      <c r="F9" s="40"/>
      <c r="G9" s="40"/>
      <c r="H9" s="41"/>
      <c r="I9" s="41">
        <f>H9*16</f>
        <v>0</v>
      </c>
      <c r="J9" s="41"/>
      <c r="K9" s="41">
        <f>J9*16</f>
        <v>0</v>
      </c>
      <c r="L9" s="41"/>
      <c r="M9" s="41"/>
      <c r="N9" s="183"/>
      <c r="O9" s="183"/>
      <c r="P9" s="183">
        <v>2</v>
      </c>
      <c r="Q9" s="183">
        <v>32</v>
      </c>
      <c r="R9" s="183"/>
      <c r="S9" s="183"/>
      <c r="T9" s="184">
        <f>SUM(H9,J9,L9,N9,P9,R9)</f>
        <v>2</v>
      </c>
      <c r="U9" s="185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65"/>
      <c r="C10" s="468"/>
      <c r="D10" s="174" t="s">
        <v>564</v>
      </c>
      <c r="E10" s="175" t="s">
        <v>565</v>
      </c>
      <c r="F10" s="42"/>
      <c r="G10" s="42"/>
      <c r="H10" s="44"/>
      <c r="I10" s="44">
        <f t="shared" ref="I10" si="0">H10*16</f>
        <v>0</v>
      </c>
      <c r="J10" s="44"/>
      <c r="K10" s="44">
        <f t="shared" ref="K10" si="1">J10*16</f>
        <v>0</v>
      </c>
      <c r="L10" s="44"/>
      <c r="M10" s="44"/>
      <c r="N10" s="186"/>
      <c r="O10" s="186"/>
      <c r="P10" s="186">
        <v>2</v>
      </c>
      <c r="Q10" s="186">
        <v>32</v>
      </c>
      <c r="R10" s="186"/>
      <c r="S10" s="186"/>
      <c r="T10" s="189">
        <f t="shared" ref="T10:U26" si="2">SUM(H10,J10,L10,N10,P10,R10)</f>
        <v>2</v>
      </c>
      <c r="U10" s="187">
        <f t="shared" ref="U10" si="3">SUM(I10,K10,M10,O10,Q10,S10)</f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65"/>
      <c r="C11" s="468"/>
      <c r="D11" s="174" t="s">
        <v>566</v>
      </c>
      <c r="E11" s="175" t="s">
        <v>567</v>
      </c>
      <c r="F11" s="43"/>
      <c r="G11" s="43"/>
      <c r="H11" s="45"/>
      <c r="I11" s="45"/>
      <c r="J11" s="45"/>
      <c r="K11" s="45"/>
      <c r="L11" s="45"/>
      <c r="M11" s="45"/>
      <c r="N11" s="188"/>
      <c r="O11" s="188"/>
      <c r="P11" s="188"/>
      <c r="Q11" s="188"/>
      <c r="R11" s="188">
        <v>2</v>
      </c>
      <c r="S11" s="188">
        <v>32</v>
      </c>
      <c r="T11" s="189">
        <f t="shared" si="2"/>
        <v>2</v>
      </c>
      <c r="U11" s="190">
        <f>Q11+S11</f>
        <v>32</v>
      </c>
    </row>
    <row r="12" spans="2:33">
      <c r="B12" s="465"/>
      <c r="C12" s="468"/>
      <c r="D12" s="174" t="s">
        <v>568</v>
      </c>
      <c r="E12" s="175" t="s">
        <v>569</v>
      </c>
      <c r="F12" s="43"/>
      <c r="G12" s="43"/>
      <c r="H12" s="45"/>
      <c r="I12" s="45"/>
      <c r="J12" s="45"/>
      <c r="K12" s="45"/>
      <c r="L12" s="45"/>
      <c r="M12" s="45"/>
      <c r="N12" s="188"/>
      <c r="O12" s="188"/>
      <c r="P12" s="188"/>
      <c r="Q12" s="188"/>
      <c r="R12" s="188">
        <v>2</v>
      </c>
      <c r="S12" s="188">
        <v>32</v>
      </c>
      <c r="T12" s="189">
        <f t="shared" si="2"/>
        <v>2</v>
      </c>
      <c r="U12" s="190">
        <f t="shared" si="2"/>
        <v>32</v>
      </c>
    </row>
    <row r="13" spans="2:33" ht="17.25" thickBot="1">
      <c r="B13" s="466"/>
      <c r="C13" s="469"/>
      <c r="D13" s="470" t="s">
        <v>570</v>
      </c>
      <c r="E13" s="471"/>
      <c r="F13" s="158"/>
      <c r="G13" s="158"/>
      <c r="H13" s="46">
        <f>SUM(H11:H12)</f>
        <v>0</v>
      </c>
      <c r="I13" s="46">
        <f>SUM(I11:I12)</f>
        <v>0</v>
      </c>
      <c r="J13" s="46">
        <f>SUM(J11:J12)</f>
        <v>0</v>
      </c>
      <c r="K13" s="46">
        <f>SUM(K11:K12)</f>
        <v>0</v>
      </c>
      <c r="L13" s="46">
        <f t="shared" ref="L13:U13" si="4">SUM(L9:L12)</f>
        <v>0</v>
      </c>
      <c r="M13" s="46">
        <f t="shared" si="4"/>
        <v>0</v>
      </c>
      <c r="N13" s="29">
        <f t="shared" si="4"/>
        <v>0</v>
      </c>
      <c r="O13" s="29">
        <f t="shared" si="4"/>
        <v>0</v>
      </c>
      <c r="P13" s="29">
        <f t="shared" si="4"/>
        <v>4</v>
      </c>
      <c r="Q13" s="29">
        <f t="shared" si="4"/>
        <v>64</v>
      </c>
      <c r="R13" s="29">
        <f t="shared" si="4"/>
        <v>4</v>
      </c>
      <c r="S13" s="29">
        <f t="shared" si="4"/>
        <v>64</v>
      </c>
      <c r="T13" s="191">
        <f t="shared" si="4"/>
        <v>8</v>
      </c>
      <c r="U13" s="192">
        <f t="shared" si="4"/>
        <v>128</v>
      </c>
    </row>
    <row r="14" spans="2:33">
      <c r="B14" s="464" t="s">
        <v>149</v>
      </c>
      <c r="C14" s="467">
        <v>10</v>
      </c>
      <c r="D14" s="195" t="s">
        <v>571</v>
      </c>
      <c r="E14" s="196" t="s">
        <v>572</v>
      </c>
      <c r="F14" s="31"/>
      <c r="G14" s="31"/>
      <c r="H14" s="32"/>
      <c r="I14" s="32"/>
      <c r="J14" s="32"/>
      <c r="K14" s="32"/>
      <c r="L14" s="32"/>
      <c r="M14" s="32"/>
      <c r="N14" s="183"/>
      <c r="O14" s="183"/>
      <c r="P14" s="183">
        <v>2</v>
      </c>
      <c r="Q14" s="183">
        <v>32</v>
      </c>
      <c r="R14" s="183"/>
      <c r="S14" s="183"/>
      <c r="T14" s="184">
        <f t="shared" si="2"/>
        <v>2</v>
      </c>
      <c r="U14" s="185">
        <f t="shared" si="2"/>
        <v>32</v>
      </c>
      <c r="W14" s="38"/>
    </row>
    <row r="15" spans="2:33">
      <c r="B15" s="465"/>
      <c r="C15" s="468"/>
      <c r="D15" s="179" t="s">
        <v>573</v>
      </c>
      <c r="E15" s="180" t="s">
        <v>574</v>
      </c>
      <c r="F15" s="37"/>
      <c r="G15" s="37"/>
      <c r="H15" s="36"/>
      <c r="I15" s="36"/>
      <c r="J15" s="36"/>
      <c r="K15" s="36"/>
      <c r="L15" s="36"/>
      <c r="M15" s="36"/>
      <c r="N15" s="188"/>
      <c r="O15" s="188"/>
      <c r="P15" s="188">
        <v>3</v>
      </c>
      <c r="Q15" s="188">
        <v>48</v>
      </c>
      <c r="R15" s="188"/>
      <c r="S15" s="186"/>
      <c r="T15" s="189">
        <f t="shared" si="2"/>
        <v>3</v>
      </c>
      <c r="U15" s="190">
        <f t="shared" si="2"/>
        <v>48</v>
      </c>
    </row>
    <row r="16" spans="2:33">
      <c r="B16" s="465"/>
      <c r="C16" s="468"/>
      <c r="D16" s="179" t="s">
        <v>575</v>
      </c>
      <c r="E16" s="180" t="s">
        <v>576</v>
      </c>
      <c r="F16" s="37"/>
      <c r="G16" s="37"/>
      <c r="H16" s="36"/>
      <c r="I16" s="36"/>
      <c r="J16" s="36"/>
      <c r="K16" s="36"/>
      <c r="L16" s="36"/>
      <c r="M16" s="36"/>
      <c r="N16" s="188"/>
      <c r="O16" s="188"/>
      <c r="P16" s="188"/>
      <c r="Q16" s="188"/>
      <c r="R16" s="188">
        <v>2</v>
      </c>
      <c r="S16" s="186">
        <v>32</v>
      </c>
      <c r="T16" s="189">
        <f t="shared" si="2"/>
        <v>2</v>
      </c>
      <c r="U16" s="190">
        <f t="shared" si="2"/>
        <v>32</v>
      </c>
    </row>
    <row r="17" spans="2:21">
      <c r="B17" s="465"/>
      <c r="C17" s="468"/>
      <c r="D17" s="179" t="s">
        <v>577</v>
      </c>
      <c r="E17" s="180" t="s">
        <v>578</v>
      </c>
      <c r="F17" s="27"/>
      <c r="G17" s="27"/>
      <c r="H17" s="28"/>
      <c r="I17" s="28"/>
      <c r="J17" s="28"/>
      <c r="K17" s="28"/>
      <c r="L17" s="28"/>
      <c r="M17" s="28"/>
      <c r="N17" s="186"/>
      <c r="O17" s="186"/>
      <c r="P17" s="186"/>
      <c r="Q17" s="186"/>
      <c r="R17" s="186">
        <v>3</v>
      </c>
      <c r="S17" s="186">
        <v>48</v>
      </c>
      <c r="T17" s="189">
        <f t="shared" si="2"/>
        <v>3</v>
      </c>
      <c r="U17" s="190">
        <f t="shared" si="2"/>
        <v>48</v>
      </c>
    </row>
    <row r="18" spans="2:21" ht="17.25" thickBot="1">
      <c r="B18" s="466"/>
      <c r="C18" s="469"/>
      <c r="D18" s="470" t="s">
        <v>570</v>
      </c>
      <c r="E18" s="471"/>
      <c r="F18" s="158"/>
      <c r="G18" s="158"/>
      <c r="H18" s="33"/>
      <c r="I18" s="33"/>
      <c r="J18" s="33"/>
      <c r="K18" s="33"/>
      <c r="L18" s="33"/>
      <c r="M18" s="33"/>
      <c r="N18" s="29"/>
      <c r="O18" s="29"/>
      <c r="P18" s="29"/>
      <c r="Q18" s="29"/>
      <c r="R18" s="29"/>
      <c r="S18" s="29"/>
      <c r="T18" s="191">
        <f t="shared" ref="T18:U18" si="5">SUM(T14:T17)</f>
        <v>10</v>
      </c>
      <c r="U18" s="192">
        <f t="shared" si="5"/>
        <v>160</v>
      </c>
    </row>
    <row r="19" spans="2:21">
      <c r="B19" s="464" t="s">
        <v>579</v>
      </c>
      <c r="C19" s="467">
        <v>8</v>
      </c>
      <c r="D19" s="197" t="s">
        <v>580</v>
      </c>
      <c r="E19" s="177" t="s">
        <v>581</v>
      </c>
      <c r="F19" s="31"/>
      <c r="G19" s="31"/>
      <c r="H19" s="32"/>
      <c r="I19" s="32"/>
      <c r="J19" s="32"/>
      <c r="K19" s="32"/>
      <c r="L19" s="32"/>
      <c r="M19" s="32"/>
      <c r="N19" s="183"/>
      <c r="O19" s="183"/>
      <c r="P19" s="183">
        <v>2</v>
      </c>
      <c r="Q19" s="183">
        <v>32</v>
      </c>
      <c r="R19" s="183"/>
      <c r="S19" s="183"/>
      <c r="T19" s="184">
        <f t="shared" si="2"/>
        <v>2</v>
      </c>
      <c r="U19" s="185">
        <f t="shared" si="2"/>
        <v>32</v>
      </c>
    </row>
    <row r="20" spans="2:21">
      <c r="B20" s="465"/>
      <c r="C20" s="468"/>
      <c r="D20" s="181" t="s">
        <v>582</v>
      </c>
      <c r="E20" s="175" t="s">
        <v>583</v>
      </c>
      <c r="F20" s="37"/>
      <c r="G20" s="37"/>
      <c r="H20" s="36"/>
      <c r="I20" s="36"/>
      <c r="J20" s="36"/>
      <c r="K20" s="36"/>
      <c r="L20" s="36"/>
      <c r="M20" s="36"/>
      <c r="N20" s="188"/>
      <c r="O20" s="188"/>
      <c r="P20" s="188">
        <v>1</v>
      </c>
      <c r="Q20" s="188">
        <v>16</v>
      </c>
      <c r="R20" s="188"/>
      <c r="S20" s="186"/>
      <c r="T20" s="189">
        <f t="shared" si="2"/>
        <v>1</v>
      </c>
      <c r="U20" s="190">
        <f t="shared" si="2"/>
        <v>16</v>
      </c>
    </row>
    <row r="21" spans="2:21">
      <c r="B21" s="465"/>
      <c r="C21" s="468"/>
      <c r="D21" s="181" t="s">
        <v>584</v>
      </c>
      <c r="E21" s="175" t="s">
        <v>585</v>
      </c>
      <c r="F21" s="37"/>
      <c r="G21" s="37"/>
      <c r="H21" s="36"/>
      <c r="I21" s="36"/>
      <c r="J21" s="36"/>
      <c r="K21" s="36"/>
      <c r="L21" s="36"/>
      <c r="M21" s="36"/>
      <c r="N21" s="188"/>
      <c r="O21" s="188"/>
      <c r="P21" s="188">
        <v>1</v>
      </c>
      <c r="Q21" s="188">
        <v>16</v>
      </c>
      <c r="R21" s="188"/>
      <c r="S21" s="186"/>
      <c r="T21" s="189">
        <f t="shared" si="2"/>
        <v>1</v>
      </c>
      <c r="U21" s="190">
        <f t="shared" si="2"/>
        <v>16</v>
      </c>
    </row>
    <row r="22" spans="2:21">
      <c r="B22" s="465"/>
      <c r="C22" s="468"/>
      <c r="D22" s="181" t="s">
        <v>586</v>
      </c>
      <c r="E22" s="175" t="s">
        <v>587</v>
      </c>
      <c r="F22" s="37"/>
      <c r="G22" s="37"/>
      <c r="H22" s="36"/>
      <c r="I22" s="36"/>
      <c r="J22" s="36"/>
      <c r="K22" s="36"/>
      <c r="L22" s="36"/>
      <c r="M22" s="36"/>
      <c r="N22" s="188"/>
      <c r="O22" s="188"/>
      <c r="P22" s="188"/>
      <c r="Q22" s="188"/>
      <c r="R22" s="188">
        <v>2</v>
      </c>
      <c r="S22" s="186">
        <v>32</v>
      </c>
      <c r="T22" s="189">
        <f t="shared" si="2"/>
        <v>2</v>
      </c>
      <c r="U22" s="190">
        <f t="shared" si="2"/>
        <v>32</v>
      </c>
    </row>
    <row r="23" spans="2:21">
      <c r="B23" s="465"/>
      <c r="C23" s="468"/>
      <c r="D23" s="181" t="s">
        <v>588</v>
      </c>
      <c r="E23" s="175" t="s">
        <v>589</v>
      </c>
      <c r="F23" s="37"/>
      <c r="G23" s="37"/>
      <c r="H23" s="36"/>
      <c r="I23" s="36"/>
      <c r="J23" s="36"/>
      <c r="K23" s="36"/>
      <c r="L23" s="36"/>
      <c r="M23" s="36"/>
      <c r="N23" s="188"/>
      <c r="O23" s="188"/>
      <c r="P23" s="188"/>
      <c r="Q23" s="188"/>
      <c r="R23" s="188">
        <v>2</v>
      </c>
      <c r="S23" s="186">
        <v>32</v>
      </c>
      <c r="T23" s="189">
        <f t="shared" si="2"/>
        <v>2</v>
      </c>
      <c r="U23" s="190">
        <f t="shared" si="2"/>
        <v>32</v>
      </c>
    </row>
    <row r="24" spans="2:21" ht="17.25" thickBot="1">
      <c r="B24" s="466"/>
      <c r="C24" s="469"/>
      <c r="D24" s="470" t="s">
        <v>570</v>
      </c>
      <c r="E24" s="471"/>
      <c r="F24" s="160"/>
      <c r="G24" s="160"/>
      <c r="H24" s="33"/>
      <c r="I24" s="33"/>
      <c r="J24" s="33"/>
      <c r="K24" s="33"/>
      <c r="L24" s="33"/>
      <c r="M24" s="33"/>
      <c r="N24" s="29"/>
      <c r="O24" s="29"/>
      <c r="P24" s="29"/>
      <c r="Q24" s="29"/>
      <c r="R24" s="29"/>
      <c r="S24" s="29"/>
      <c r="T24" s="191">
        <f>SUM(T19:T23)</f>
        <v>8</v>
      </c>
      <c r="U24" s="192">
        <f>SUM(U19:U23)</f>
        <v>128</v>
      </c>
    </row>
    <row r="25" spans="2:21">
      <c r="B25" s="464" t="s">
        <v>551</v>
      </c>
      <c r="C25" s="467">
        <v>8</v>
      </c>
      <c r="D25" s="198" t="s">
        <v>590</v>
      </c>
      <c r="E25" s="199" t="s">
        <v>591</v>
      </c>
      <c r="F25" s="31"/>
      <c r="G25" s="39"/>
      <c r="H25" s="32"/>
      <c r="I25" s="32"/>
      <c r="J25" s="32"/>
      <c r="K25" s="32"/>
      <c r="L25" s="32"/>
      <c r="M25" s="32"/>
      <c r="N25" s="183"/>
      <c r="O25" s="183"/>
      <c r="P25" s="183">
        <v>1</v>
      </c>
      <c r="Q25" s="183">
        <v>16</v>
      </c>
      <c r="R25" s="183"/>
      <c r="S25" s="183"/>
      <c r="T25" s="184">
        <f t="shared" si="2"/>
        <v>1</v>
      </c>
      <c r="U25" s="185">
        <f t="shared" si="2"/>
        <v>16</v>
      </c>
    </row>
    <row r="26" spans="2:21">
      <c r="B26" s="472"/>
      <c r="C26" s="474"/>
      <c r="D26" s="178" t="s">
        <v>592</v>
      </c>
      <c r="E26" s="180" t="s">
        <v>593</v>
      </c>
      <c r="F26" s="37"/>
      <c r="G26" s="182"/>
      <c r="H26" s="36"/>
      <c r="I26" s="36"/>
      <c r="J26" s="36"/>
      <c r="K26" s="36"/>
      <c r="L26" s="36"/>
      <c r="M26" s="36"/>
      <c r="N26" s="188"/>
      <c r="O26" s="188"/>
      <c r="P26" s="188">
        <v>2</v>
      </c>
      <c r="Q26" s="188">
        <v>32</v>
      </c>
      <c r="R26" s="188"/>
      <c r="S26" s="188"/>
      <c r="T26" s="189">
        <f t="shared" si="2"/>
        <v>2</v>
      </c>
      <c r="U26" s="190">
        <f t="shared" si="2"/>
        <v>32</v>
      </c>
    </row>
    <row r="27" spans="2:21">
      <c r="B27" s="472"/>
      <c r="C27" s="474"/>
      <c r="D27" s="178" t="s">
        <v>594</v>
      </c>
      <c r="E27" s="180" t="s">
        <v>595</v>
      </c>
      <c r="F27" s="37"/>
      <c r="G27" s="182"/>
      <c r="H27" s="36"/>
      <c r="I27" s="36"/>
      <c r="J27" s="36"/>
      <c r="K27" s="36"/>
      <c r="L27" s="36"/>
      <c r="M27" s="36"/>
      <c r="N27" s="188"/>
      <c r="O27" s="188"/>
      <c r="P27" s="188">
        <v>1</v>
      </c>
      <c r="Q27" s="188">
        <v>16</v>
      </c>
      <c r="R27" s="188"/>
      <c r="S27" s="188"/>
      <c r="T27" s="189">
        <f t="shared" ref="T27:U30" si="6">SUM(H27,J27,L27,N27,P27,R27)</f>
        <v>1</v>
      </c>
      <c r="U27" s="190">
        <f t="shared" si="6"/>
        <v>16</v>
      </c>
    </row>
    <row r="28" spans="2:21">
      <c r="B28" s="472"/>
      <c r="C28" s="474"/>
      <c r="D28" s="178" t="s">
        <v>596</v>
      </c>
      <c r="E28" s="180" t="s">
        <v>597</v>
      </c>
      <c r="F28" s="37"/>
      <c r="G28" s="37"/>
      <c r="H28" s="36"/>
      <c r="I28" s="36"/>
      <c r="J28" s="36"/>
      <c r="K28" s="36"/>
      <c r="L28" s="36"/>
      <c r="M28" s="36"/>
      <c r="N28" s="188"/>
      <c r="O28" s="188"/>
      <c r="P28" s="188"/>
      <c r="Q28" s="188"/>
      <c r="R28" s="188">
        <v>1</v>
      </c>
      <c r="S28" s="188">
        <v>16</v>
      </c>
      <c r="T28" s="189">
        <f t="shared" si="6"/>
        <v>1</v>
      </c>
      <c r="U28" s="190">
        <f t="shared" si="6"/>
        <v>16</v>
      </c>
    </row>
    <row r="29" spans="2:21">
      <c r="B29" s="472"/>
      <c r="C29" s="474"/>
      <c r="D29" s="178" t="s">
        <v>598</v>
      </c>
      <c r="E29" s="180" t="s">
        <v>599</v>
      </c>
      <c r="F29" s="27"/>
      <c r="G29" s="27"/>
      <c r="H29" s="28"/>
      <c r="I29" s="28"/>
      <c r="J29" s="28"/>
      <c r="K29" s="28"/>
      <c r="L29" s="28"/>
      <c r="M29" s="28"/>
      <c r="N29" s="186"/>
      <c r="O29" s="186"/>
      <c r="P29" s="186"/>
      <c r="Q29" s="186"/>
      <c r="R29" s="186">
        <v>2</v>
      </c>
      <c r="S29" s="186">
        <v>32</v>
      </c>
      <c r="T29" s="189">
        <f t="shared" si="6"/>
        <v>2</v>
      </c>
      <c r="U29" s="190">
        <f t="shared" si="6"/>
        <v>32</v>
      </c>
    </row>
    <row r="30" spans="2:21">
      <c r="B30" s="472"/>
      <c r="C30" s="474"/>
      <c r="D30" s="178" t="s">
        <v>600</v>
      </c>
      <c r="E30" s="180" t="s">
        <v>601</v>
      </c>
      <c r="F30" s="27"/>
      <c r="G30" s="27"/>
      <c r="H30" s="28"/>
      <c r="I30" s="28"/>
      <c r="J30" s="28"/>
      <c r="K30" s="28"/>
      <c r="L30" s="28"/>
      <c r="M30" s="28"/>
      <c r="N30" s="186"/>
      <c r="O30" s="186"/>
      <c r="P30" s="186"/>
      <c r="Q30" s="186"/>
      <c r="R30" s="186">
        <v>1</v>
      </c>
      <c r="S30" s="186">
        <v>16</v>
      </c>
      <c r="T30" s="189">
        <f t="shared" si="6"/>
        <v>1</v>
      </c>
      <c r="U30" s="190">
        <f t="shared" si="6"/>
        <v>16</v>
      </c>
    </row>
    <row r="31" spans="2:21" ht="17.25" thickBot="1">
      <c r="B31" s="473"/>
      <c r="C31" s="475"/>
      <c r="D31" s="470" t="s">
        <v>570</v>
      </c>
      <c r="E31" s="471"/>
      <c r="F31" s="160"/>
      <c r="G31" s="160"/>
      <c r="H31" s="33"/>
      <c r="I31" s="33"/>
      <c r="J31" s="33"/>
      <c r="K31" s="33"/>
      <c r="L31" s="33"/>
      <c r="M31" s="33"/>
      <c r="N31" s="29"/>
      <c r="O31" s="29"/>
      <c r="P31" s="29"/>
      <c r="Q31" s="29"/>
      <c r="R31" s="29"/>
      <c r="S31" s="29"/>
      <c r="T31" s="191">
        <f>SUM(T25:T30)</f>
        <v>8</v>
      </c>
      <c r="U31" s="192">
        <f>SUM(U25:U30)</f>
        <v>128</v>
      </c>
    </row>
    <row r="32" spans="2:21">
      <c r="B32" s="464" t="s">
        <v>602</v>
      </c>
      <c r="C32" s="467">
        <v>8</v>
      </c>
      <c r="D32" s="198" t="s">
        <v>603</v>
      </c>
      <c r="E32" s="177" t="s">
        <v>604</v>
      </c>
      <c r="F32" s="31"/>
      <c r="G32" s="31"/>
      <c r="H32" s="32"/>
      <c r="I32" s="32"/>
      <c r="J32" s="32"/>
      <c r="K32" s="32"/>
      <c r="L32" s="32"/>
      <c r="M32" s="32"/>
      <c r="N32" s="183"/>
      <c r="O32" s="183"/>
      <c r="P32" s="200">
        <v>2</v>
      </c>
      <c r="Q32" s="200">
        <v>32</v>
      </c>
      <c r="R32" s="200"/>
      <c r="S32" s="200"/>
      <c r="T32" s="184">
        <f t="shared" ref="T32:U35" si="7">SUM(H32,J32,L32,N32,P32,R32)</f>
        <v>2</v>
      </c>
      <c r="U32" s="185">
        <f t="shared" si="7"/>
        <v>32</v>
      </c>
    </row>
    <row r="33" spans="2:21">
      <c r="B33" s="472"/>
      <c r="C33" s="474"/>
      <c r="D33" s="178" t="s">
        <v>605</v>
      </c>
      <c r="E33" s="175" t="s">
        <v>606</v>
      </c>
      <c r="F33" s="37"/>
      <c r="G33" s="37"/>
      <c r="H33" s="36"/>
      <c r="I33" s="36"/>
      <c r="J33" s="36"/>
      <c r="K33" s="36"/>
      <c r="L33" s="36"/>
      <c r="M33" s="36"/>
      <c r="N33" s="188"/>
      <c r="O33" s="188"/>
      <c r="P33" s="193">
        <v>2</v>
      </c>
      <c r="Q33" s="193">
        <v>32</v>
      </c>
      <c r="R33" s="193"/>
      <c r="S33" s="193"/>
      <c r="T33" s="189">
        <f t="shared" si="7"/>
        <v>2</v>
      </c>
      <c r="U33" s="190">
        <f t="shared" si="7"/>
        <v>32</v>
      </c>
    </row>
    <row r="34" spans="2:21">
      <c r="B34" s="472"/>
      <c r="C34" s="474"/>
      <c r="D34" s="178" t="s">
        <v>607</v>
      </c>
      <c r="E34" s="175" t="s">
        <v>608</v>
      </c>
      <c r="F34" s="27"/>
      <c r="G34" s="37"/>
      <c r="H34" s="36"/>
      <c r="I34" s="36"/>
      <c r="J34" s="36"/>
      <c r="K34" s="36"/>
      <c r="L34" s="36"/>
      <c r="M34" s="36"/>
      <c r="N34" s="188"/>
      <c r="O34" s="188"/>
      <c r="P34" s="193"/>
      <c r="Q34" s="193"/>
      <c r="R34" s="193">
        <v>2</v>
      </c>
      <c r="S34" s="193">
        <v>32</v>
      </c>
      <c r="T34" s="189">
        <f t="shared" si="7"/>
        <v>2</v>
      </c>
      <c r="U34" s="190">
        <f t="shared" si="7"/>
        <v>32</v>
      </c>
    </row>
    <row r="35" spans="2:21">
      <c r="B35" s="472"/>
      <c r="C35" s="474"/>
      <c r="D35" s="178" t="s">
        <v>609</v>
      </c>
      <c r="E35" s="175" t="s">
        <v>610</v>
      </c>
      <c r="F35" s="35"/>
      <c r="G35" s="27"/>
      <c r="H35" s="28"/>
      <c r="I35" s="28"/>
      <c r="J35" s="28"/>
      <c r="K35" s="28"/>
      <c r="L35" s="28"/>
      <c r="M35" s="28"/>
      <c r="N35" s="186"/>
      <c r="O35" s="186"/>
      <c r="P35" s="194"/>
      <c r="Q35" s="194"/>
      <c r="R35" s="194">
        <v>2</v>
      </c>
      <c r="S35" s="194">
        <v>32</v>
      </c>
      <c r="T35" s="189">
        <f t="shared" si="7"/>
        <v>2</v>
      </c>
      <c r="U35" s="190">
        <f t="shared" si="7"/>
        <v>32</v>
      </c>
    </row>
    <row r="36" spans="2:21" ht="17.25" thickBot="1">
      <c r="B36" s="473"/>
      <c r="C36" s="475"/>
      <c r="D36" s="470" t="s">
        <v>570</v>
      </c>
      <c r="E36" s="471"/>
      <c r="F36" s="159"/>
      <c r="G36" s="15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91">
        <f t="shared" ref="T36:U36" si="8">SUM(T32:T35)</f>
        <v>8</v>
      </c>
      <c r="U36" s="192">
        <f t="shared" si="8"/>
        <v>128</v>
      </c>
    </row>
    <row r="37" spans="2:21">
      <c r="B37" s="464" t="s">
        <v>611</v>
      </c>
      <c r="C37" s="467">
        <v>8</v>
      </c>
      <c r="D37" s="201" t="s">
        <v>612</v>
      </c>
      <c r="E37" s="196" t="s">
        <v>613</v>
      </c>
      <c r="F37" s="31"/>
      <c r="G37" s="31"/>
      <c r="H37" s="32"/>
      <c r="I37" s="32"/>
      <c r="J37" s="32"/>
      <c r="K37" s="32"/>
      <c r="L37" s="32"/>
      <c r="M37" s="32"/>
      <c r="N37" s="183"/>
      <c r="O37" s="183"/>
      <c r="P37" s="200">
        <v>2</v>
      </c>
      <c r="Q37" s="200">
        <v>32</v>
      </c>
      <c r="R37" s="200"/>
      <c r="S37" s="200"/>
      <c r="T37" s="184">
        <f t="shared" ref="T37:U40" si="9">SUM(H37,J37,L37,N37,P37,R37)</f>
        <v>2</v>
      </c>
      <c r="U37" s="185">
        <f t="shared" si="9"/>
        <v>32</v>
      </c>
    </row>
    <row r="38" spans="2:21">
      <c r="B38" s="465"/>
      <c r="C38" s="468"/>
      <c r="D38" s="178" t="s">
        <v>614</v>
      </c>
      <c r="E38" s="180" t="s">
        <v>615</v>
      </c>
      <c r="F38" s="37"/>
      <c r="G38" s="37"/>
      <c r="H38" s="36"/>
      <c r="I38" s="36"/>
      <c r="J38" s="36"/>
      <c r="K38" s="36"/>
      <c r="L38" s="36"/>
      <c r="M38" s="36"/>
      <c r="N38" s="188"/>
      <c r="O38" s="188"/>
      <c r="P38" s="193">
        <v>2</v>
      </c>
      <c r="Q38" s="193">
        <v>32</v>
      </c>
      <c r="R38" s="193"/>
      <c r="S38" s="193"/>
      <c r="T38" s="189">
        <f t="shared" si="9"/>
        <v>2</v>
      </c>
      <c r="U38" s="190">
        <f t="shared" si="9"/>
        <v>32</v>
      </c>
    </row>
    <row r="39" spans="2:21">
      <c r="B39" s="465"/>
      <c r="C39" s="468"/>
      <c r="D39" s="178" t="s">
        <v>616</v>
      </c>
      <c r="E39" s="180" t="s">
        <v>617</v>
      </c>
      <c r="F39" s="27"/>
      <c r="G39" s="37"/>
      <c r="H39" s="36"/>
      <c r="I39" s="36"/>
      <c r="J39" s="36"/>
      <c r="K39" s="36"/>
      <c r="L39" s="36"/>
      <c r="M39" s="36"/>
      <c r="N39" s="188"/>
      <c r="O39" s="188"/>
      <c r="P39" s="193"/>
      <c r="Q39" s="193"/>
      <c r="R39" s="193">
        <v>2</v>
      </c>
      <c r="S39" s="193">
        <v>32</v>
      </c>
      <c r="T39" s="189">
        <f t="shared" si="9"/>
        <v>2</v>
      </c>
      <c r="U39" s="190">
        <f t="shared" si="9"/>
        <v>32</v>
      </c>
    </row>
    <row r="40" spans="2:21">
      <c r="B40" s="465"/>
      <c r="C40" s="468"/>
      <c r="D40" s="178" t="s">
        <v>618</v>
      </c>
      <c r="E40" s="180" t="s">
        <v>619</v>
      </c>
      <c r="F40" s="35"/>
      <c r="G40" s="27"/>
      <c r="H40" s="28"/>
      <c r="I40" s="28"/>
      <c r="J40" s="28"/>
      <c r="K40" s="28"/>
      <c r="L40" s="28"/>
      <c r="M40" s="28"/>
      <c r="N40" s="186"/>
      <c r="O40" s="186"/>
      <c r="P40" s="194"/>
      <c r="Q40" s="194"/>
      <c r="R40" s="194">
        <v>2</v>
      </c>
      <c r="S40" s="194">
        <v>32</v>
      </c>
      <c r="T40" s="189">
        <f t="shared" si="9"/>
        <v>2</v>
      </c>
      <c r="U40" s="190">
        <f t="shared" si="9"/>
        <v>32</v>
      </c>
    </row>
    <row r="41" spans="2:21" ht="17.25" thickBot="1">
      <c r="B41" s="466"/>
      <c r="C41" s="469"/>
      <c r="D41" s="470" t="s">
        <v>570</v>
      </c>
      <c r="E41" s="471"/>
      <c r="F41" s="159"/>
      <c r="G41" s="15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91">
        <f t="shared" ref="T41:U41" si="10">SUM(T37:T40)</f>
        <v>8</v>
      </c>
      <c r="U41" s="192">
        <f t="shared" si="10"/>
        <v>128</v>
      </c>
    </row>
    <row r="42" spans="2:21">
      <c r="B42" s="464" t="s">
        <v>620</v>
      </c>
      <c r="C42" s="467">
        <v>8</v>
      </c>
      <c r="D42" s="176" t="s">
        <v>621</v>
      </c>
      <c r="E42" s="177" t="s">
        <v>622</v>
      </c>
      <c r="F42" s="31"/>
      <c r="G42" s="31"/>
      <c r="H42" s="32"/>
      <c r="I42" s="32"/>
      <c r="J42" s="32"/>
      <c r="K42" s="32"/>
      <c r="L42" s="32"/>
      <c r="M42" s="32"/>
      <c r="N42" s="183"/>
      <c r="O42" s="183"/>
      <c r="P42" s="200">
        <v>2</v>
      </c>
      <c r="Q42" s="200">
        <v>32</v>
      </c>
      <c r="R42" s="200"/>
      <c r="S42" s="200"/>
      <c r="T42" s="184">
        <f t="shared" ref="T42:U46" si="11">SUM(H42,J42,L42,N42,P42,R42)</f>
        <v>2</v>
      </c>
      <c r="U42" s="185">
        <f t="shared" si="11"/>
        <v>32</v>
      </c>
    </row>
    <row r="43" spans="2:21">
      <c r="B43" s="465"/>
      <c r="C43" s="468"/>
      <c r="D43" s="174" t="s">
        <v>623</v>
      </c>
      <c r="E43" s="175" t="s">
        <v>624</v>
      </c>
      <c r="F43" s="37"/>
      <c r="G43" s="37"/>
      <c r="H43" s="36"/>
      <c r="I43" s="36"/>
      <c r="J43" s="36"/>
      <c r="K43" s="36"/>
      <c r="L43" s="36"/>
      <c r="M43" s="36"/>
      <c r="N43" s="188"/>
      <c r="O43" s="188"/>
      <c r="P43" s="193">
        <v>2</v>
      </c>
      <c r="Q43" s="193">
        <v>32</v>
      </c>
      <c r="R43" s="193"/>
      <c r="S43" s="193"/>
      <c r="T43" s="189">
        <f t="shared" si="11"/>
        <v>2</v>
      </c>
      <c r="U43" s="190">
        <f t="shared" si="11"/>
        <v>32</v>
      </c>
    </row>
    <row r="44" spans="2:21">
      <c r="B44" s="465"/>
      <c r="C44" s="468"/>
      <c r="D44" s="174" t="s">
        <v>625</v>
      </c>
      <c r="E44" s="175" t="s">
        <v>626</v>
      </c>
      <c r="F44" s="37"/>
      <c r="G44" s="37"/>
      <c r="H44" s="36"/>
      <c r="I44" s="36"/>
      <c r="J44" s="36"/>
      <c r="K44" s="36"/>
      <c r="L44" s="36"/>
      <c r="M44" s="36"/>
      <c r="N44" s="188"/>
      <c r="O44" s="188"/>
      <c r="P44" s="193"/>
      <c r="Q44" s="193"/>
      <c r="R44" s="193">
        <v>2</v>
      </c>
      <c r="S44" s="193">
        <v>32</v>
      </c>
      <c r="T44" s="189">
        <f t="shared" si="11"/>
        <v>2</v>
      </c>
      <c r="U44" s="190">
        <f t="shared" si="11"/>
        <v>32</v>
      </c>
    </row>
    <row r="45" spans="2:21">
      <c r="B45" s="465"/>
      <c r="C45" s="468"/>
      <c r="D45" s="174" t="s">
        <v>627</v>
      </c>
      <c r="E45" s="175" t="s">
        <v>628</v>
      </c>
      <c r="F45" s="27"/>
      <c r="G45" s="37"/>
      <c r="H45" s="36"/>
      <c r="I45" s="36"/>
      <c r="J45" s="36"/>
      <c r="K45" s="36"/>
      <c r="L45" s="36"/>
      <c r="M45" s="36"/>
      <c r="N45" s="188"/>
      <c r="O45" s="188"/>
      <c r="P45" s="193"/>
      <c r="Q45" s="193"/>
      <c r="R45" s="193">
        <v>1</v>
      </c>
      <c r="S45" s="193">
        <v>16</v>
      </c>
      <c r="T45" s="189">
        <f t="shared" si="11"/>
        <v>1</v>
      </c>
      <c r="U45" s="190">
        <f t="shared" si="11"/>
        <v>16</v>
      </c>
    </row>
    <row r="46" spans="2:21">
      <c r="B46" s="465"/>
      <c r="C46" s="468"/>
      <c r="D46" s="174" t="s">
        <v>629</v>
      </c>
      <c r="E46" s="175" t="s">
        <v>630</v>
      </c>
      <c r="F46" s="35"/>
      <c r="G46" s="27"/>
      <c r="H46" s="28"/>
      <c r="I46" s="28"/>
      <c r="J46" s="28"/>
      <c r="K46" s="28"/>
      <c r="L46" s="28"/>
      <c r="M46" s="28"/>
      <c r="N46" s="186"/>
      <c r="O46" s="186"/>
      <c r="P46" s="194"/>
      <c r="Q46" s="194"/>
      <c r="R46" s="194">
        <v>1</v>
      </c>
      <c r="S46" s="194">
        <v>16</v>
      </c>
      <c r="T46" s="189">
        <f t="shared" si="11"/>
        <v>1</v>
      </c>
      <c r="U46" s="190">
        <f t="shared" si="11"/>
        <v>16</v>
      </c>
    </row>
    <row r="47" spans="2:21" ht="17.25" thickBot="1">
      <c r="B47" s="466"/>
      <c r="C47" s="469"/>
      <c r="D47" s="470" t="s">
        <v>570</v>
      </c>
      <c r="E47" s="471"/>
      <c r="F47" s="159"/>
      <c r="G47" s="15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191">
        <f>SUM(T42:T46)</f>
        <v>8</v>
      </c>
      <c r="U47" s="192">
        <f>SUM(U42:U46)</f>
        <v>128</v>
      </c>
    </row>
  </sheetData>
  <mergeCells count="48"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14:B18"/>
    <mergeCell ref="C14:C18"/>
    <mergeCell ref="D18:E18"/>
    <mergeCell ref="D13:E13"/>
    <mergeCell ref="B9:B13"/>
    <mergeCell ref="C9:C13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42:B47"/>
    <mergeCell ref="C42:C47"/>
    <mergeCell ref="D47:E47"/>
    <mergeCell ref="B19:B24"/>
    <mergeCell ref="C19:C24"/>
    <mergeCell ref="D24:E24"/>
    <mergeCell ref="B25:B31"/>
    <mergeCell ref="C25:C31"/>
    <mergeCell ref="D31:E31"/>
    <mergeCell ref="B37:B41"/>
    <mergeCell ref="C37:C41"/>
    <mergeCell ref="D41:E41"/>
    <mergeCell ref="B32:B36"/>
    <mergeCell ref="C32:C36"/>
    <mergeCell ref="D36:E3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18</v>
      </c>
      <c r="B1" s="2" t="s">
        <v>1</v>
      </c>
      <c r="C1" s="2" t="s">
        <v>3</v>
      </c>
      <c r="D1" s="2" t="s">
        <v>17</v>
      </c>
      <c r="E1" s="2" t="s">
        <v>121</v>
      </c>
      <c r="F1" s="2" t="s">
        <v>19</v>
      </c>
      <c r="G1" s="5"/>
      <c r="H1" s="6" t="s">
        <v>72</v>
      </c>
      <c r="I1" s="6" t="s">
        <v>64</v>
      </c>
      <c r="J1" s="6" t="s">
        <v>90</v>
      </c>
      <c r="K1" s="6" t="s">
        <v>91</v>
      </c>
      <c r="L1" s="6" t="s">
        <v>116</v>
      </c>
    </row>
    <row r="2" spans="1:12">
      <c r="A2" s="3" t="s">
        <v>200</v>
      </c>
      <c r="B2" s="3" t="s">
        <v>16</v>
      </c>
      <c r="C2" s="3" t="s">
        <v>20</v>
      </c>
      <c r="D2" s="3" t="s">
        <v>32</v>
      </c>
      <c r="E2" s="3">
        <v>4</v>
      </c>
      <c r="F2" s="7" t="s">
        <v>337</v>
      </c>
      <c r="G2" s="5"/>
      <c r="H2" s="3" t="s">
        <v>73</v>
      </c>
      <c r="I2" s="3" t="s">
        <v>65</v>
      </c>
      <c r="J2" s="3" t="s">
        <v>165</v>
      </c>
      <c r="K2" s="3" t="s">
        <v>165</v>
      </c>
      <c r="L2" s="3" t="s">
        <v>122</v>
      </c>
    </row>
    <row r="3" spans="1:12">
      <c r="A3" s="3" t="s">
        <v>201</v>
      </c>
      <c r="B3" s="3" t="s">
        <v>16</v>
      </c>
      <c r="C3" s="3" t="s">
        <v>20</v>
      </c>
      <c r="D3" s="3" t="s">
        <v>12</v>
      </c>
      <c r="E3" s="3">
        <v>4</v>
      </c>
      <c r="F3" s="7" t="s">
        <v>337</v>
      </c>
      <c r="G3" s="5"/>
      <c r="H3" s="3" t="s">
        <v>74</v>
      </c>
      <c r="I3" s="3" t="s">
        <v>66</v>
      </c>
      <c r="J3" s="3" t="s">
        <v>166</v>
      </c>
      <c r="K3" s="3" t="s">
        <v>166</v>
      </c>
      <c r="L3" s="3" t="s">
        <v>117</v>
      </c>
    </row>
    <row r="4" spans="1:12">
      <c r="A4" s="3" t="s">
        <v>203</v>
      </c>
      <c r="B4" s="3" t="s">
        <v>16</v>
      </c>
      <c r="C4" s="3" t="s">
        <v>20</v>
      </c>
      <c r="D4" s="3" t="s">
        <v>33</v>
      </c>
      <c r="E4" s="3">
        <v>4</v>
      </c>
      <c r="F4" s="7" t="s">
        <v>340</v>
      </c>
      <c r="G4" s="5"/>
      <c r="H4" s="3" t="s">
        <v>75</v>
      </c>
      <c r="I4" s="3" t="s">
        <v>155</v>
      </c>
      <c r="J4" s="3" t="s">
        <v>92</v>
      </c>
      <c r="K4" s="3" t="s">
        <v>92</v>
      </c>
      <c r="L4" s="3" t="s">
        <v>118</v>
      </c>
    </row>
    <row r="5" spans="1:12">
      <c r="A5" s="3" t="s">
        <v>204</v>
      </c>
      <c r="B5" s="3" t="s">
        <v>16</v>
      </c>
      <c r="C5" s="3" t="s">
        <v>20</v>
      </c>
      <c r="D5" s="3" t="s">
        <v>33</v>
      </c>
      <c r="E5" s="3">
        <v>4</v>
      </c>
      <c r="F5" s="7" t="s">
        <v>340</v>
      </c>
      <c r="G5" s="5"/>
      <c r="H5" s="3" t="s">
        <v>76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16</v>
      </c>
      <c r="C6" s="3" t="s">
        <v>20</v>
      </c>
      <c r="D6" s="3" t="s">
        <v>33</v>
      </c>
      <c r="E6" s="3">
        <v>4</v>
      </c>
      <c r="F6" s="7" t="s">
        <v>340</v>
      </c>
      <c r="G6" s="5"/>
      <c r="H6" s="3" t="s">
        <v>77</v>
      </c>
      <c r="I6" s="3" t="s">
        <v>157</v>
      </c>
      <c r="J6" s="3" t="s">
        <v>168</v>
      </c>
      <c r="K6" s="3" t="s">
        <v>168</v>
      </c>
      <c r="L6" s="8"/>
    </row>
    <row r="7" spans="1:12">
      <c r="A7" s="3" t="s">
        <v>205</v>
      </c>
      <c r="B7" s="3" t="s">
        <v>16</v>
      </c>
      <c r="C7" s="3" t="s">
        <v>20</v>
      </c>
      <c r="D7" s="3" t="s">
        <v>34</v>
      </c>
      <c r="E7" s="3">
        <v>4</v>
      </c>
      <c r="F7" s="7" t="s">
        <v>340</v>
      </c>
      <c r="G7" s="5"/>
      <c r="H7" s="3" t="s">
        <v>78</v>
      </c>
      <c r="I7" s="3" t="s">
        <v>163</v>
      </c>
      <c r="J7" s="3" t="s">
        <v>93</v>
      </c>
      <c r="K7" s="3" t="s">
        <v>93</v>
      </c>
      <c r="L7" s="5"/>
    </row>
    <row r="8" spans="1:12">
      <c r="A8" s="3" t="s">
        <v>206</v>
      </c>
      <c r="B8" s="3" t="s">
        <v>16</v>
      </c>
      <c r="C8" s="3" t="s">
        <v>20</v>
      </c>
      <c r="D8" s="3" t="s">
        <v>34</v>
      </c>
      <c r="E8" s="3">
        <v>4</v>
      </c>
      <c r="F8" s="7" t="s">
        <v>340</v>
      </c>
      <c r="G8" s="5"/>
      <c r="H8" s="3" t="s">
        <v>79</v>
      </c>
      <c r="I8" s="3" t="s">
        <v>158</v>
      </c>
      <c r="J8" s="3" t="s">
        <v>169</v>
      </c>
      <c r="K8" s="3" t="s">
        <v>169</v>
      </c>
      <c r="L8" s="5"/>
    </row>
    <row r="9" spans="1:12">
      <c r="A9" s="3" t="s">
        <v>207</v>
      </c>
      <c r="B9" s="3" t="s">
        <v>16</v>
      </c>
      <c r="C9" s="3" t="s">
        <v>20</v>
      </c>
      <c r="D9" s="3" t="s">
        <v>34</v>
      </c>
      <c r="E9" s="3">
        <v>4</v>
      </c>
      <c r="F9" s="7" t="s">
        <v>340</v>
      </c>
      <c r="G9" s="5"/>
      <c r="H9" s="3" t="s">
        <v>80</v>
      </c>
      <c r="I9" s="3" t="s">
        <v>67</v>
      </c>
      <c r="J9" s="3" t="s">
        <v>170</v>
      </c>
      <c r="K9" s="3" t="s">
        <v>170</v>
      </c>
      <c r="L9" s="5"/>
    </row>
    <row r="10" spans="1:12">
      <c r="A10" s="3" t="s">
        <v>208</v>
      </c>
      <c r="B10" s="3" t="s">
        <v>16</v>
      </c>
      <c r="C10" s="3" t="s">
        <v>20</v>
      </c>
      <c r="D10" s="3" t="s">
        <v>211</v>
      </c>
      <c r="E10" s="3">
        <v>4</v>
      </c>
      <c r="F10" s="7" t="s">
        <v>340</v>
      </c>
      <c r="G10" s="5"/>
      <c r="H10" s="3" t="s">
        <v>81</v>
      </c>
      <c r="I10" s="3" t="s">
        <v>68</v>
      </c>
      <c r="J10" s="3" t="s">
        <v>111</v>
      </c>
      <c r="K10" s="3" t="s">
        <v>111</v>
      </c>
      <c r="L10" s="5"/>
    </row>
    <row r="11" spans="1:12">
      <c r="A11" s="3" t="s">
        <v>209</v>
      </c>
      <c r="B11" s="3" t="s">
        <v>16</v>
      </c>
      <c r="C11" s="3" t="s">
        <v>20</v>
      </c>
      <c r="D11" s="3" t="s">
        <v>211</v>
      </c>
      <c r="E11" s="3">
        <v>4</v>
      </c>
      <c r="F11" s="7" t="s">
        <v>340</v>
      </c>
      <c r="G11" s="5"/>
      <c r="H11" s="3" t="s">
        <v>82</v>
      </c>
      <c r="I11" s="3" t="s">
        <v>69</v>
      </c>
      <c r="J11" s="3" t="s">
        <v>94</v>
      </c>
      <c r="K11" s="3" t="s">
        <v>94</v>
      </c>
      <c r="L11" s="5"/>
    </row>
    <row r="12" spans="1:12">
      <c r="A12" s="3" t="s">
        <v>210</v>
      </c>
      <c r="B12" s="3" t="s">
        <v>16</v>
      </c>
      <c r="C12" s="3" t="s">
        <v>20</v>
      </c>
      <c r="D12" s="3" t="s">
        <v>211</v>
      </c>
      <c r="E12" s="3">
        <v>4</v>
      </c>
      <c r="F12" s="7" t="s">
        <v>340</v>
      </c>
      <c r="G12" s="5"/>
      <c r="H12" s="3" t="s">
        <v>83</v>
      </c>
      <c r="I12" s="3" t="s">
        <v>159</v>
      </c>
      <c r="J12" s="3" t="s">
        <v>95</v>
      </c>
      <c r="K12" s="3" t="s">
        <v>95</v>
      </c>
      <c r="L12" s="5"/>
    </row>
    <row r="13" spans="1:12">
      <c r="A13" s="3" t="s">
        <v>212</v>
      </c>
      <c r="B13" s="3" t="s">
        <v>16</v>
      </c>
      <c r="C13" s="3" t="s">
        <v>21</v>
      </c>
      <c r="D13" s="3" t="s">
        <v>32</v>
      </c>
      <c r="E13" s="3">
        <v>4</v>
      </c>
      <c r="F13" s="7" t="s">
        <v>337</v>
      </c>
      <c r="G13" s="5"/>
      <c r="H13" s="3" t="s">
        <v>84</v>
      </c>
      <c r="I13" s="3" t="s">
        <v>70</v>
      </c>
      <c r="J13" s="3" t="s">
        <v>171</v>
      </c>
      <c r="K13" s="3" t="s">
        <v>171</v>
      </c>
      <c r="L13" s="5"/>
    </row>
    <row r="14" spans="1:12">
      <c r="A14" s="3" t="s">
        <v>214</v>
      </c>
      <c r="B14" s="3" t="s">
        <v>16</v>
      </c>
      <c r="C14" s="3" t="s">
        <v>21</v>
      </c>
      <c r="D14" s="3" t="s">
        <v>12</v>
      </c>
      <c r="E14" s="3">
        <v>4</v>
      </c>
      <c r="F14" s="7" t="s">
        <v>337</v>
      </c>
      <c r="G14" s="5"/>
      <c r="H14" s="3" t="s">
        <v>85</v>
      </c>
      <c r="I14" s="3" t="s">
        <v>71</v>
      </c>
      <c r="J14" s="3" t="s">
        <v>96</v>
      </c>
      <c r="K14" s="3" t="s">
        <v>96</v>
      </c>
      <c r="L14" s="5"/>
    </row>
    <row r="15" spans="1:12">
      <c r="A15" s="3" t="s">
        <v>215</v>
      </c>
      <c r="B15" s="3" t="s">
        <v>16</v>
      </c>
      <c r="C15" s="3" t="s">
        <v>21</v>
      </c>
      <c r="D15" s="3" t="s">
        <v>33</v>
      </c>
      <c r="E15" s="3">
        <v>4</v>
      </c>
      <c r="F15" s="7" t="s">
        <v>340</v>
      </c>
      <c r="G15" s="5"/>
      <c r="H15" s="3" t="s">
        <v>86</v>
      </c>
      <c r="I15" s="3" t="s">
        <v>160</v>
      </c>
      <c r="J15" s="3" t="s">
        <v>172</v>
      </c>
      <c r="K15" s="3" t="s">
        <v>172</v>
      </c>
      <c r="L15" s="5"/>
    </row>
    <row r="16" spans="1:12">
      <c r="A16" s="3" t="s">
        <v>216</v>
      </c>
      <c r="B16" s="3" t="s">
        <v>16</v>
      </c>
      <c r="C16" s="3" t="s">
        <v>21</v>
      </c>
      <c r="D16" s="3" t="s">
        <v>33</v>
      </c>
      <c r="E16" s="3">
        <v>4</v>
      </c>
      <c r="F16" s="7" t="s">
        <v>340</v>
      </c>
      <c r="G16" s="5"/>
      <c r="H16" s="3" t="s">
        <v>87</v>
      </c>
      <c r="I16" s="3" t="s">
        <v>161</v>
      </c>
      <c r="J16" s="3" t="s">
        <v>173</v>
      </c>
      <c r="K16" s="3" t="s">
        <v>173</v>
      </c>
      <c r="L16" s="5"/>
    </row>
    <row r="17" spans="1:12">
      <c r="A17" s="3" t="s">
        <v>35</v>
      </c>
      <c r="B17" s="3" t="s">
        <v>16</v>
      </c>
      <c r="C17" s="3" t="s">
        <v>21</v>
      </c>
      <c r="D17" s="3" t="s">
        <v>33</v>
      </c>
      <c r="E17" s="3">
        <v>4</v>
      </c>
      <c r="F17" s="7" t="s">
        <v>340</v>
      </c>
      <c r="G17" s="5"/>
      <c r="H17" s="3" t="s">
        <v>88</v>
      </c>
      <c r="I17" s="3" t="s">
        <v>162</v>
      </c>
      <c r="J17" s="3" t="s">
        <v>174</v>
      </c>
      <c r="K17" s="3" t="s">
        <v>174</v>
      </c>
      <c r="L17" s="5"/>
    </row>
    <row r="18" spans="1:12">
      <c r="A18" s="3" t="s">
        <v>217</v>
      </c>
      <c r="B18" s="3" t="s">
        <v>16</v>
      </c>
      <c r="C18" s="3" t="s">
        <v>21</v>
      </c>
      <c r="D18" s="3" t="s">
        <v>34</v>
      </c>
      <c r="E18" s="3">
        <v>4</v>
      </c>
      <c r="F18" s="7" t="s">
        <v>340</v>
      </c>
      <c r="G18" s="5"/>
      <c r="H18" s="3" t="s">
        <v>89</v>
      </c>
      <c r="I18" s="3" t="s">
        <v>164</v>
      </c>
      <c r="J18" s="3" t="s">
        <v>175</v>
      </c>
      <c r="K18" s="3" t="s">
        <v>175</v>
      </c>
      <c r="L18" s="5"/>
    </row>
    <row r="19" spans="1:12">
      <c r="A19" s="3" t="s">
        <v>36</v>
      </c>
      <c r="B19" s="3" t="s">
        <v>16</v>
      </c>
      <c r="C19" s="3" t="s">
        <v>21</v>
      </c>
      <c r="D19" s="3" t="s">
        <v>34</v>
      </c>
      <c r="E19" s="3">
        <v>4</v>
      </c>
      <c r="F19" s="7" t="s">
        <v>340</v>
      </c>
      <c r="G19" s="5"/>
      <c r="J19" s="3" t="s">
        <v>110</v>
      </c>
      <c r="K19" s="3" t="s">
        <v>110</v>
      </c>
      <c r="L19" s="5"/>
    </row>
    <row r="20" spans="1:12">
      <c r="A20" s="3" t="s">
        <v>120</v>
      </c>
      <c r="B20" s="3" t="s">
        <v>16</v>
      </c>
      <c r="C20" s="3" t="s">
        <v>21</v>
      </c>
      <c r="D20" s="3" t="s">
        <v>34</v>
      </c>
      <c r="E20" s="3">
        <v>4</v>
      </c>
      <c r="F20" s="7" t="s">
        <v>340</v>
      </c>
      <c r="G20" s="5"/>
      <c r="J20" s="3" t="s">
        <v>176</v>
      </c>
      <c r="K20" s="3" t="s">
        <v>176</v>
      </c>
      <c r="L20" s="5"/>
    </row>
    <row r="21" spans="1:12">
      <c r="A21" s="3" t="s">
        <v>218</v>
      </c>
      <c r="B21" s="3" t="s">
        <v>16</v>
      </c>
      <c r="C21" s="3" t="s">
        <v>21</v>
      </c>
      <c r="D21" s="3" t="s">
        <v>34</v>
      </c>
      <c r="E21" s="3">
        <v>4</v>
      </c>
      <c r="F21" s="7" t="s">
        <v>340</v>
      </c>
      <c r="G21" s="5"/>
      <c r="J21" s="3" t="s">
        <v>97</v>
      </c>
      <c r="K21" s="3" t="s">
        <v>97</v>
      </c>
      <c r="L21" s="5"/>
    </row>
    <row r="22" spans="1:12">
      <c r="A22" s="3" t="s">
        <v>220</v>
      </c>
      <c r="B22" s="3" t="s">
        <v>16</v>
      </c>
      <c r="C22" s="3" t="s">
        <v>5</v>
      </c>
      <c r="D22" s="3" t="s">
        <v>221</v>
      </c>
      <c r="E22" s="3">
        <v>4</v>
      </c>
      <c r="F22" s="7" t="s">
        <v>340</v>
      </c>
      <c r="G22" s="5"/>
      <c r="H22" s="3"/>
      <c r="I22" s="3"/>
      <c r="J22" s="3" t="s">
        <v>177</v>
      </c>
      <c r="K22" s="3" t="s">
        <v>177</v>
      </c>
      <c r="L22" s="5"/>
    </row>
    <row r="23" spans="1:12">
      <c r="A23" s="3" t="s">
        <v>222</v>
      </c>
      <c r="B23" s="3" t="s">
        <v>16</v>
      </c>
      <c r="C23" s="3" t="s">
        <v>5</v>
      </c>
      <c r="D23" s="3" t="s">
        <v>211</v>
      </c>
      <c r="E23" s="3">
        <v>4</v>
      </c>
      <c r="F23" s="7" t="s">
        <v>340</v>
      </c>
      <c r="G23" s="5"/>
      <c r="H23" s="3"/>
      <c r="I23" s="3"/>
      <c r="J23" s="3" t="s">
        <v>178</v>
      </c>
      <c r="K23" s="3" t="s">
        <v>178</v>
      </c>
      <c r="L23" s="5"/>
    </row>
    <row r="24" spans="1:12">
      <c r="A24" s="3" t="s">
        <v>223</v>
      </c>
      <c r="B24" s="3" t="s">
        <v>16</v>
      </c>
      <c r="C24" s="3" t="s">
        <v>5</v>
      </c>
      <c r="D24" s="3" t="s">
        <v>211</v>
      </c>
      <c r="E24" s="3">
        <v>4</v>
      </c>
      <c r="F24" s="7" t="s">
        <v>340</v>
      </c>
      <c r="G24" s="5"/>
      <c r="H24" s="3"/>
      <c r="I24" s="3"/>
      <c r="J24" s="3" t="s">
        <v>179</v>
      </c>
      <c r="K24" s="3" t="s">
        <v>179</v>
      </c>
      <c r="L24" s="5"/>
    </row>
    <row r="25" spans="1:12">
      <c r="A25" s="3" t="s">
        <v>224</v>
      </c>
      <c r="B25" s="3" t="s">
        <v>16</v>
      </c>
      <c r="C25" s="3" t="s">
        <v>5</v>
      </c>
      <c r="D25" s="3" t="s">
        <v>211</v>
      </c>
      <c r="E25" s="3">
        <v>4</v>
      </c>
      <c r="F25" s="7" t="s">
        <v>340</v>
      </c>
      <c r="G25" s="5"/>
      <c r="H25" s="3"/>
      <c r="I25" s="3"/>
      <c r="J25" s="3" t="s">
        <v>180</v>
      </c>
      <c r="K25" s="3" t="s">
        <v>180</v>
      </c>
      <c r="L25" s="5"/>
    </row>
    <row r="26" spans="1:12">
      <c r="A26" s="3" t="s">
        <v>219</v>
      </c>
      <c r="B26" s="3" t="s">
        <v>16</v>
      </c>
      <c r="C26" s="3" t="s">
        <v>22</v>
      </c>
      <c r="D26" s="3" t="s">
        <v>32</v>
      </c>
      <c r="E26" s="3">
        <v>4</v>
      </c>
      <c r="F26" s="7" t="s">
        <v>337</v>
      </c>
      <c r="G26" s="5"/>
      <c r="H26" s="5"/>
      <c r="I26" s="3"/>
      <c r="J26" s="3" t="s">
        <v>98</v>
      </c>
      <c r="K26" s="3" t="s">
        <v>98</v>
      </c>
      <c r="L26" s="5"/>
    </row>
    <row r="27" spans="1:12">
      <c r="A27" s="3" t="s">
        <v>225</v>
      </c>
      <c r="B27" s="3" t="s">
        <v>16</v>
      </c>
      <c r="C27" s="3" t="s">
        <v>22</v>
      </c>
      <c r="D27" s="3" t="s">
        <v>33</v>
      </c>
      <c r="E27" s="3">
        <v>4</v>
      </c>
      <c r="F27" s="7" t="s">
        <v>340</v>
      </c>
      <c r="G27" s="5"/>
      <c r="H27" s="5"/>
      <c r="I27" s="5"/>
      <c r="J27" s="3" t="s">
        <v>181</v>
      </c>
      <c r="K27" s="3" t="s">
        <v>181</v>
      </c>
      <c r="L27" s="5"/>
    </row>
    <row r="28" spans="1:12">
      <c r="A28" s="3" t="s">
        <v>37</v>
      </c>
      <c r="B28" s="3" t="s">
        <v>16</v>
      </c>
      <c r="C28" s="3" t="s">
        <v>22</v>
      </c>
      <c r="D28" s="3" t="s">
        <v>33</v>
      </c>
      <c r="E28" s="3">
        <v>4</v>
      </c>
      <c r="F28" s="7" t="s">
        <v>340</v>
      </c>
      <c r="G28" s="5"/>
      <c r="H28" s="5"/>
      <c r="I28" s="5"/>
      <c r="J28" s="3" t="s">
        <v>99</v>
      </c>
      <c r="K28" s="3" t="s">
        <v>99</v>
      </c>
      <c r="L28" s="5"/>
    </row>
    <row r="29" spans="1:12">
      <c r="A29" s="3" t="s">
        <v>38</v>
      </c>
      <c r="B29" s="3" t="s">
        <v>16</v>
      </c>
      <c r="C29" s="3" t="s">
        <v>22</v>
      </c>
      <c r="D29" s="3" t="s">
        <v>33</v>
      </c>
      <c r="E29" s="3">
        <v>4</v>
      </c>
      <c r="F29" s="7" t="s">
        <v>340</v>
      </c>
      <c r="G29" s="5"/>
      <c r="H29" s="5"/>
      <c r="I29" s="5"/>
      <c r="J29" s="3" t="s">
        <v>100</v>
      </c>
      <c r="K29" s="3" t="s">
        <v>100</v>
      </c>
      <c r="L29" s="5"/>
    </row>
    <row r="30" spans="1:12">
      <c r="A30" s="3" t="s">
        <v>39</v>
      </c>
      <c r="B30" s="3" t="s">
        <v>16</v>
      </c>
      <c r="C30" s="3" t="s">
        <v>22</v>
      </c>
      <c r="D30" s="3" t="s">
        <v>33</v>
      </c>
      <c r="E30" s="3">
        <v>4</v>
      </c>
      <c r="F30" s="7" t="s">
        <v>340</v>
      </c>
      <c r="G30" s="5"/>
      <c r="H30" s="5"/>
      <c r="I30" s="5"/>
      <c r="J30" s="3" t="s">
        <v>101</v>
      </c>
      <c r="K30" s="3" t="s">
        <v>101</v>
      </c>
      <c r="L30" s="5"/>
    </row>
    <row r="31" spans="1:12">
      <c r="A31" s="3" t="s">
        <v>40</v>
      </c>
      <c r="B31" s="3" t="s">
        <v>16</v>
      </c>
      <c r="C31" s="3" t="s">
        <v>22</v>
      </c>
      <c r="D31" s="3" t="s">
        <v>34</v>
      </c>
      <c r="E31" s="3">
        <v>4</v>
      </c>
      <c r="F31" s="7" t="s">
        <v>340</v>
      </c>
      <c r="G31" s="5"/>
      <c r="H31" s="5"/>
      <c r="I31" s="5"/>
      <c r="J31" s="3" t="s">
        <v>102</v>
      </c>
      <c r="K31" s="3" t="s">
        <v>102</v>
      </c>
      <c r="L31" s="5"/>
    </row>
    <row r="32" spans="1:12">
      <c r="A32" s="3" t="s">
        <v>226</v>
      </c>
      <c r="B32" s="3" t="s">
        <v>16</v>
      </c>
      <c r="C32" s="3" t="s">
        <v>22</v>
      </c>
      <c r="D32" s="3" t="s">
        <v>34</v>
      </c>
      <c r="E32" s="3">
        <v>4</v>
      </c>
      <c r="F32" s="7" t="s">
        <v>340</v>
      </c>
      <c r="G32" s="5"/>
      <c r="H32" s="5"/>
      <c r="I32" s="5"/>
      <c r="J32" s="3" t="s">
        <v>103</v>
      </c>
      <c r="K32" s="3" t="s">
        <v>103</v>
      </c>
      <c r="L32" s="5"/>
    </row>
    <row r="33" spans="1:12">
      <c r="A33" s="3" t="s">
        <v>227</v>
      </c>
      <c r="B33" s="3" t="s">
        <v>16</v>
      </c>
      <c r="C33" s="3" t="s">
        <v>22</v>
      </c>
      <c r="D33" s="3" t="s">
        <v>34</v>
      </c>
      <c r="E33" s="3">
        <v>4</v>
      </c>
      <c r="F33" s="7" t="s">
        <v>340</v>
      </c>
      <c r="G33" s="5"/>
      <c r="H33" s="5"/>
      <c r="I33" s="5"/>
      <c r="J33" s="3" t="s">
        <v>104</v>
      </c>
      <c r="K33" s="3" t="s">
        <v>104</v>
      </c>
      <c r="L33" s="5"/>
    </row>
    <row r="34" spans="1:12">
      <c r="A34" s="3" t="s">
        <v>228</v>
      </c>
      <c r="B34" s="3" t="s">
        <v>16</v>
      </c>
      <c r="C34" s="3" t="s">
        <v>22</v>
      </c>
      <c r="D34" s="3" t="s">
        <v>34</v>
      </c>
      <c r="E34" s="3">
        <v>4</v>
      </c>
      <c r="F34" s="7" t="s">
        <v>340</v>
      </c>
      <c r="G34" s="5"/>
      <c r="H34" s="5"/>
      <c r="I34" s="5"/>
      <c r="J34" s="3" t="s">
        <v>182</v>
      </c>
      <c r="K34" s="3" t="s">
        <v>182</v>
      </c>
      <c r="L34" s="5"/>
    </row>
    <row r="35" spans="1:12">
      <c r="A35" s="3" t="s">
        <v>229</v>
      </c>
      <c r="B35" s="3" t="s">
        <v>16</v>
      </c>
      <c r="C35" s="3" t="s">
        <v>6</v>
      </c>
      <c r="D35" s="3" t="s">
        <v>221</v>
      </c>
      <c r="E35" s="3">
        <v>4</v>
      </c>
      <c r="F35" s="7" t="s">
        <v>340</v>
      </c>
      <c r="G35" s="5"/>
      <c r="H35" s="5"/>
      <c r="I35" s="5"/>
      <c r="J35" s="3" t="s">
        <v>183</v>
      </c>
      <c r="K35" s="3" t="s">
        <v>183</v>
      </c>
      <c r="L35" s="5"/>
    </row>
    <row r="36" spans="1:12">
      <c r="A36" s="3" t="s">
        <v>230</v>
      </c>
      <c r="B36" s="3" t="s">
        <v>16</v>
      </c>
      <c r="C36" s="3" t="s">
        <v>6</v>
      </c>
      <c r="D36" s="3" t="s">
        <v>211</v>
      </c>
      <c r="E36" s="3">
        <v>4</v>
      </c>
      <c r="F36" s="7" t="s">
        <v>340</v>
      </c>
      <c r="G36" s="5"/>
      <c r="H36" s="5"/>
      <c r="I36" s="5"/>
      <c r="J36" s="3" t="s">
        <v>105</v>
      </c>
      <c r="K36" s="3" t="s">
        <v>105</v>
      </c>
      <c r="L36" s="5"/>
    </row>
    <row r="37" spans="1:12">
      <c r="A37" s="3" t="s">
        <v>231</v>
      </c>
      <c r="B37" s="3" t="s">
        <v>16</v>
      </c>
      <c r="C37" s="3" t="s">
        <v>6</v>
      </c>
      <c r="D37" s="3" t="s">
        <v>211</v>
      </c>
      <c r="E37" s="3">
        <v>4</v>
      </c>
      <c r="F37" s="7" t="s">
        <v>340</v>
      </c>
      <c r="G37" s="5"/>
      <c r="H37" s="5"/>
      <c r="I37" s="5"/>
      <c r="J37" s="3" t="s">
        <v>106</v>
      </c>
      <c r="K37" s="3" t="s">
        <v>106</v>
      </c>
      <c r="L37" s="5"/>
    </row>
    <row r="38" spans="1:12">
      <c r="A38" s="3" t="s">
        <v>232</v>
      </c>
      <c r="B38" s="3" t="s">
        <v>16</v>
      </c>
      <c r="C38" s="3" t="s">
        <v>6</v>
      </c>
      <c r="D38" s="3" t="s">
        <v>211</v>
      </c>
      <c r="E38" s="3">
        <v>4</v>
      </c>
      <c r="F38" s="7" t="s">
        <v>340</v>
      </c>
      <c r="G38" s="5"/>
      <c r="H38" s="5"/>
      <c r="I38" s="5"/>
      <c r="J38" s="3" t="s">
        <v>107</v>
      </c>
      <c r="K38" s="3" t="s">
        <v>107</v>
      </c>
      <c r="L38" s="5"/>
    </row>
    <row r="39" spans="1:12">
      <c r="A39" s="3" t="s">
        <v>233</v>
      </c>
      <c r="B39" s="3" t="s">
        <v>16</v>
      </c>
      <c r="C39" s="3" t="s">
        <v>23</v>
      </c>
      <c r="D39" s="3" t="s">
        <v>32</v>
      </c>
      <c r="E39" s="3">
        <v>3</v>
      </c>
      <c r="F39" s="7" t="s">
        <v>361</v>
      </c>
      <c r="G39" s="5"/>
      <c r="H39" s="5"/>
      <c r="I39" s="5"/>
      <c r="J39" s="3" t="s">
        <v>108</v>
      </c>
      <c r="K39" s="3" t="s">
        <v>108</v>
      </c>
      <c r="L39" s="5"/>
    </row>
    <row r="40" spans="1:12">
      <c r="A40" s="3" t="s">
        <v>234</v>
      </c>
      <c r="B40" s="3" t="s">
        <v>16</v>
      </c>
      <c r="C40" s="3" t="s">
        <v>7</v>
      </c>
      <c r="D40" s="3" t="s">
        <v>235</v>
      </c>
      <c r="E40" s="3">
        <v>3</v>
      </c>
      <c r="F40" s="7" t="s">
        <v>361</v>
      </c>
      <c r="G40" s="5"/>
      <c r="H40" s="5"/>
      <c r="I40" s="5"/>
      <c r="J40" s="3" t="s">
        <v>184</v>
      </c>
      <c r="K40" s="3" t="s">
        <v>184</v>
      </c>
      <c r="L40" s="5"/>
    </row>
    <row r="41" spans="1:12" ht="17.25" customHeight="1">
      <c r="A41" s="3" t="s">
        <v>236</v>
      </c>
      <c r="B41" s="3" t="s">
        <v>16</v>
      </c>
      <c r="C41" s="3" t="s">
        <v>24</v>
      </c>
      <c r="D41" s="3" t="s">
        <v>32</v>
      </c>
      <c r="E41" s="3">
        <v>4</v>
      </c>
      <c r="F41" s="7" t="s">
        <v>337</v>
      </c>
      <c r="G41" s="5"/>
      <c r="H41" s="5"/>
      <c r="I41" s="5"/>
      <c r="J41" s="3" t="s">
        <v>109</v>
      </c>
      <c r="K41" s="3" t="s">
        <v>109</v>
      </c>
      <c r="L41" s="5"/>
    </row>
    <row r="42" spans="1:12" ht="17.25" customHeight="1">
      <c r="A42" s="3" t="s">
        <v>237</v>
      </c>
      <c r="B42" s="3" t="s">
        <v>16</v>
      </c>
      <c r="C42" s="3" t="s">
        <v>24</v>
      </c>
      <c r="D42" s="3" t="s">
        <v>12</v>
      </c>
      <c r="E42" s="3">
        <v>4</v>
      </c>
      <c r="F42" s="7" t="s">
        <v>337</v>
      </c>
      <c r="G42" s="5"/>
      <c r="H42" s="5"/>
      <c r="I42" s="5"/>
      <c r="J42" s="3" t="s">
        <v>185</v>
      </c>
      <c r="K42" s="3" t="s">
        <v>185</v>
      </c>
      <c r="L42" s="5"/>
    </row>
    <row r="43" spans="1:12" ht="17.25" customHeight="1">
      <c r="A43" s="3" t="s">
        <v>249</v>
      </c>
      <c r="B43" s="3" t="s">
        <v>16</v>
      </c>
      <c r="C43" s="3" t="s">
        <v>24</v>
      </c>
      <c r="D43" s="3" t="s">
        <v>253</v>
      </c>
      <c r="E43" s="3">
        <v>4</v>
      </c>
      <c r="F43" s="7" t="s">
        <v>340</v>
      </c>
      <c r="G43" s="5"/>
      <c r="H43" s="5"/>
      <c r="I43" s="5"/>
      <c r="J43" s="3" t="s">
        <v>186</v>
      </c>
      <c r="K43" s="3" t="s">
        <v>186</v>
      </c>
      <c r="L43" s="5"/>
    </row>
    <row r="44" spans="1:12" ht="17.25" customHeight="1">
      <c r="A44" s="3" t="s">
        <v>250</v>
      </c>
      <c r="B44" s="3" t="s">
        <v>16</v>
      </c>
      <c r="C44" s="3" t="s">
        <v>24</v>
      </c>
      <c r="D44" s="3" t="s">
        <v>253</v>
      </c>
      <c r="E44" s="3">
        <v>4</v>
      </c>
      <c r="F44" s="7" t="s">
        <v>340</v>
      </c>
      <c r="G44" s="5"/>
      <c r="H44" s="5"/>
      <c r="I44" s="5"/>
      <c r="J44" s="3" t="s">
        <v>112</v>
      </c>
      <c r="K44" s="3" t="s">
        <v>112</v>
      </c>
      <c r="L44" s="5"/>
    </row>
    <row r="45" spans="1:12" ht="17.25" customHeight="1">
      <c r="A45" s="3" t="s">
        <v>251</v>
      </c>
      <c r="B45" s="3" t="s">
        <v>16</v>
      </c>
      <c r="C45" s="3" t="s">
        <v>24</v>
      </c>
      <c r="D45" s="3" t="s">
        <v>253</v>
      </c>
      <c r="E45" s="3">
        <v>4</v>
      </c>
      <c r="F45" s="7" t="s">
        <v>340</v>
      </c>
      <c r="G45" s="5"/>
      <c r="H45" s="5"/>
      <c r="I45" s="5"/>
      <c r="J45" s="3" t="s">
        <v>187</v>
      </c>
      <c r="K45" s="3" t="s">
        <v>187</v>
      </c>
      <c r="L45" s="5"/>
    </row>
    <row r="46" spans="1:12" ht="17.25" customHeight="1">
      <c r="A46" s="3" t="s">
        <v>252</v>
      </c>
      <c r="B46" s="3" t="s">
        <v>16</v>
      </c>
      <c r="C46" s="3" t="s">
        <v>24</v>
      </c>
      <c r="D46" s="3" t="s">
        <v>33</v>
      </c>
      <c r="E46" s="3">
        <v>4</v>
      </c>
      <c r="F46" s="7" t="s">
        <v>340</v>
      </c>
      <c r="G46" s="5"/>
      <c r="H46" s="5"/>
      <c r="I46" s="5"/>
      <c r="J46" s="3" t="s">
        <v>113</v>
      </c>
      <c r="K46" s="3" t="s">
        <v>113</v>
      </c>
      <c r="L46" s="5"/>
    </row>
    <row r="47" spans="1:12">
      <c r="A47" s="3" t="s">
        <v>238</v>
      </c>
      <c r="B47" s="3" t="s">
        <v>16</v>
      </c>
      <c r="C47" s="3" t="s">
        <v>24</v>
      </c>
      <c r="D47" s="3" t="s">
        <v>34</v>
      </c>
      <c r="E47" s="3">
        <v>4</v>
      </c>
      <c r="F47" s="7" t="s">
        <v>340</v>
      </c>
      <c r="G47" s="5"/>
      <c r="H47" s="5"/>
      <c r="I47" s="5"/>
      <c r="J47" s="3" t="s">
        <v>114</v>
      </c>
      <c r="K47" s="3" t="s">
        <v>114</v>
      </c>
      <c r="L47" s="5"/>
    </row>
    <row r="48" spans="1:12">
      <c r="A48" s="3" t="s">
        <v>239</v>
      </c>
      <c r="B48" s="3" t="s">
        <v>16</v>
      </c>
      <c r="C48" s="3" t="s">
        <v>24</v>
      </c>
      <c r="D48" s="3" t="s">
        <v>34</v>
      </c>
      <c r="E48" s="3">
        <v>4</v>
      </c>
      <c r="F48" s="7" t="s">
        <v>340</v>
      </c>
      <c r="G48" s="5"/>
      <c r="H48" s="5"/>
      <c r="I48" s="5"/>
      <c r="J48" s="3" t="s">
        <v>115</v>
      </c>
      <c r="K48" s="3" t="s">
        <v>115</v>
      </c>
      <c r="L48" s="5"/>
    </row>
    <row r="49" spans="1:12">
      <c r="A49" s="3" t="s">
        <v>240</v>
      </c>
      <c r="B49" s="3" t="s">
        <v>16</v>
      </c>
      <c r="C49" s="3" t="s">
        <v>24</v>
      </c>
      <c r="D49" s="3" t="s">
        <v>34</v>
      </c>
      <c r="E49" s="3">
        <v>4</v>
      </c>
      <c r="F49" s="7" t="s">
        <v>340</v>
      </c>
      <c r="G49" s="5"/>
      <c r="H49" s="5"/>
      <c r="I49" s="5"/>
      <c r="J49" s="5" t="s">
        <v>188</v>
      </c>
      <c r="K49" s="5" t="s">
        <v>188</v>
      </c>
      <c r="L49" s="5"/>
    </row>
    <row r="50" spans="1:12">
      <c r="A50" s="3" t="s">
        <v>241</v>
      </c>
      <c r="B50" s="3" t="s">
        <v>16</v>
      </c>
      <c r="C50" s="3" t="s">
        <v>24</v>
      </c>
      <c r="D50" s="3" t="s">
        <v>34</v>
      </c>
      <c r="E50" s="3">
        <v>4</v>
      </c>
      <c r="F50" s="7" t="s">
        <v>340</v>
      </c>
      <c r="G50" s="5"/>
      <c r="H50" s="5"/>
      <c r="I50" s="5"/>
      <c r="J50" s="5" t="s">
        <v>189</v>
      </c>
      <c r="K50" s="5" t="s">
        <v>189</v>
      </c>
      <c r="L50" s="5"/>
    </row>
    <row r="51" spans="1:12">
      <c r="A51" s="3" t="s">
        <v>41</v>
      </c>
      <c r="B51" s="3" t="s">
        <v>16</v>
      </c>
      <c r="C51" s="3" t="s">
        <v>24</v>
      </c>
      <c r="D51" s="3" t="s">
        <v>34</v>
      </c>
      <c r="E51" s="3">
        <v>4</v>
      </c>
      <c r="F51" s="7" t="s">
        <v>340</v>
      </c>
      <c r="G51" s="5"/>
      <c r="H51" s="5"/>
      <c r="I51" s="5"/>
      <c r="J51" s="5" t="s">
        <v>190</v>
      </c>
      <c r="K51" s="5" t="s">
        <v>190</v>
      </c>
      <c r="L51" s="5"/>
    </row>
    <row r="52" spans="1:12">
      <c r="A52" s="3" t="s">
        <v>242</v>
      </c>
      <c r="B52" s="3" t="s">
        <v>16</v>
      </c>
      <c r="C52" s="3" t="s">
        <v>24</v>
      </c>
      <c r="D52" s="3" t="s">
        <v>34</v>
      </c>
      <c r="E52" s="3">
        <v>4</v>
      </c>
      <c r="F52" s="7" t="s">
        <v>340</v>
      </c>
      <c r="G52" s="5"/>
      <c r="H52" s="5"/>
      <c r="I52" s="5"/>
      <c r="J52" s="5" t="s">
        <v>191</v>
      </c>
      <c r="K52" s="5" t="s">
        <v>191</v>
      </c>
      <c r="L52" s="5"/>
    </row>
    <row r="53" spans="1:12">
      <c r="A53" s="3" t="s">
        <v>42</v>
      </c>
      <c r="B53" s="3" t="s">
        <v>16</v>
      </c>
      <c r="C53" s="3" t="s">
        <v>24</v>
      </c>
      <c r="D53" s="3" t="s">
        <v>34</v>
      </c>
      <c r="E53" s="3">
        <v>4</v>
      </c>
      <c r="F53" s="7" t="s">
        <v>340</v>
      </c>
      <c r="G53" s="5"/>
      <c r="H53" s="5"/>
      <c r="I53" s="5"/>
      <c r="J53" s="5" t="s">
        <v>192</v>
      </c>
      <c r="K53" s="5" t="s">
        <v>192</v>
      </c>
      <c r="L53" s="5"/>
    </row>
    <row r="54" spans="1:12">
      <c r="A54" s="3" t="s">
        <v>243</v>
      </c>
      <c r="B54" s="3" t="s">
        <v>16</v>
      </c>
      <c r="C54" s="3" t="s">
        <v>24</v>
      </c>
      <c r="D54" s="3" t="s">
        <v>34</v>
      </c>
      <c r="E54" s="3">
        <v>4</v>
      </c>
      <c r="F54" s="7" t="s">
        <v>340</v>
      </c>
      <c r="G54" s="5"/>
      <c r="H54" s="5"/>
      <c r="I54" s="5"/>
      <c r="J54" s="5" t="s">
        <v>193</v>
      </c>
      <c r="K54" s="5" t="s">
        <v>193</v>
      </c>
      <c r="L54" s="5"/>
    </row>
    <row r="55" spans="1:12">
      <c r="A55" s="3" t="s">
        <v>244</v>
      </c>
      <c r="B55" s="3" t="s">
        <v>16</v>
      </c>
      <c r="C55" s="3" t="s">
        <v>24</v>
      </c>
      <c r="D55" s="3" t="s">
        <v>34</v>
      </c>
      <c r="E55" s="3">
        <v>4</v>
      </c>
      <c r="F55" s="7" t="s">
        <v>340</v>
      </c>
      <c r="G55" s="5"/>
      <c r="H55" s="5"/>
      <c r="I55" s="5"/>
      <c r="J55" s="5" t="s">
        <v>195</v>
      </c>
      <c r="K55" s="5" t="s">
        <v>195</v>
      </c>
      <c r="L55" s="5"/>
    </row>
    <row r="56" spans="1:12">
      <c r="A56" s="3" t="s">
        <v>43</v>
      </c>
      <c r="B56" s="3" t="s">
        <v>16</v>
      </c>
      <c r="C56" s="3" t="s">
        <v>24</v>
      </c>
      <c r="D56" s="3" t="s">
        <v>211</v>
      </c>
      <c r="E56" s="3">
        <v>4</v>
      </c>
      <c r="F56" s="7" t="s">
        <v>340</v>
      </c>
      <c r="G56" s="5"/>
      <c r="H56" s="5"/>
      <c r="I56" s="5"/>
      <c r="J56" s="5" t="s">
        <v>194</v>
      </c>
      <c r="K56" s="5" t="s">
        <v>194</v>
      </c>
      <c r="L56" s="5"/>
    </row>
    <row r="57" spans="1:12">
      <c r="A57" s="3" t="s">
        <v>44</v>
      </c>
      <c r="B57" s="3" t="s">
        <v>16</v>
      </c>
      <c r="C57" s="3" t="s">
        <v>24</v>
      </c>
      <c r="D57" s="3" t="s">
        <v>211</v>
      </c>
      <c r="E57" s="3">
        <v>4</v>
      </c>
      <c r="F57" s="7" t="s">
        <v>340</v>
      </c>
      <c r="G57" s="5"/>
      <c r="H57" s="5"/>
      <c r="I57" s="5"/>
      <c r="J57" s="5" t="s">
        <v>196</v>
      </c>
      <c r="K57" s="5" t="s">
        <v>196</v>
      </c>
      <c r="L57" s="5"/>
    </row>
    <row r="58" spans="1:12">
      <c r="A58" s="3" t="s">
        <v>245</v>
      </c>
      <c r="B58" s="3" t="s">
        <v>16</v>
      </c>
      <c r="C58" s="3" t="s">
        <v>24</v>
      </c>
      <c r="D58" s="3" t="s">
        <v>211</v>
      </c>
      <c r="E58" s="3">
        <v>4</v>
      </c>
      <c r="F58" s="7" t="s">
        <v>340</v>
      </c>
      <c r="G58" s="5"/>
      <c r="H58" s="5"/>
      <c r="I58" s="5"/>
      <c r="J58" s="5" t="s">
        <v>197</v>
      </c>
      <c r="K58" s="5" t="s">
        <v>197</v>
      </c>
      <c r="L58" s="5"/>
    </row>
    <row r="59" spans="1:12">
      <c r="A59" s="3" t="s">
        <v>246</v>
      </c>
      <c r="B59" s="3" t="s">
        <v>16</v>
      </c>
      <c r="C59" s="3" t="s">
        <v>24</v>
      </c>
      <c r="D59" s="3" t="s">
        <v>211</v>
      </c>
      <c r="E59" s="3">
        <v>4</v>
      </c>
      <c r="F59" s="7" t="s">
        <v>340</v>
      </c>
      <c r="G59" s="5"/>
      <c r="H59" s="5"/>
      <c r="I59" s="5"/>
      <c r="J59" s="5" t="s">
        <v>198</v>
      </c>
      <c r="K59" s="5" t="s">
        <v>198</v>
      </c>
      <c r="L59" s="5"/>
    </row>
    <row r="60" spans="1:12">
      <c r="A60" s="3" t="s">
        <v>247</v>
      </c>
      <c r="B60" s="3" t="s">
        <v>16</v>
      </c>
      <c r="C60" s="3" t="s">
        <v>24</v>
      </c>
      <c r="D60" s="3" t="s">
        <v>211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248</v>
      </c>
      <c r="B61" s="3" t="s">
        <v>16</v>
      </c>
      <c r="C61" s="3" t="s">
        <v>24</v>
      </c>
      <c r="D61" s="3" t="s">
        <v>211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254</v>
      </c>
      <c r="B62" s="3" t="s">
        <v>16</v>
      </c>
      <c r="C62" s="3" t="s">
        <v>25</v>
      </c>
      <c r="D62" s="3" t="s">
        <v>32</v>
      </c>
      <c r="E62" s="3">
        <v>4</v>
      </c>
      <c r="F62" s="7" t="s">
        <v>337</v>
      </c>
      <c r="G62" s="5"/>
      <c r="H62" s="5"/>
      <c r="I62" s="5"/>
      <c r="L62" s="5"/>
    </row>
    <row r="63" spans="1:12">
      <c r="A63" s="3" t="s">
        <v>255</v>
      </c>
      <c r="B63" s="3" t="s">
        <v>16</v>
      </c>
      <c r="C63" s="3" t="s">
        <v>25</v>
      </c>
      <c r="D63" s="3" t="s">
        <v>235</v>
      </c>
      <c r="E63" s="3">
        <v>4</v>
      </c>
      <c r="F63" s="7" t="s">
        <v>337</v>
      </c>
      <c r="G63" s="5"/>
      <c r="H63" s="5"/>
      <c r="I63" s="5"/>
      <c r="J63" s="3"/>
      <c r="K63" s="3"/>
      <c r="L63" s="5"/>
    </row>
    <row r="64" spans="1:12">
      <c r="A64" s="3" t="s">
        <v>256</v>
      </c>
      <c r="B64" s="3" t="s">
        <v>16</v>
      </c>
      <c r="C64" s="3" t="s">
        <v>25</v>
      </c>
      <c r="D64" s="3" t="s">
        <v>32</v>
      </c>
      <c r="E64" s="3">
        <v>4</v>
      </c>
      <c r="F64" s="7" t="s">
        <v>337</v>
      </c>
      <c r="G64" s="5"/>
      <c r="H64" s="5"/>
      <c r="I64" s="5"/>
      <c r="L64" s="5"/>
    </row>
    <row r="65" spans="1:12">
      <c r="A65" s="3" t="s">
        <v>257</v>
      </c>
      <c r="B65" s="3" t="s">
        <v>16</v>
      </c>
      <c r="C65" s="3" t="s">
        <v>25</v>
      </c>
      <c r="D65" s="3" t="s">
        <v>12</v>
      </c>
      <c r="E65" s="3">
        <v>4</v>
      </c>
      <c r="F65" s="7" t="s">
        <v>337</v>
      </c>
      <c r="G65" s="5"/>
      <c r="H65" s="5"/>
      <c r="I65" s="5"/>
      <c r="J65" s="3"/>
      <c r="K65" s="3"/>
      <c r="L65" s="5"/>
    </row>
    <row r="66" spans="1:12">
      <c r="A66" s="3" t="s">
        <v>258</v>
      </c>
      <c r="B66" s="3" t="s">
        <v>16</v>
      </c>
      <c r="C66" s="3" t="s">
        <v>25</v>
      </c>
      <c r="D66" s="3" t="s">
        <v>33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259</v>
      </c>
      <c r="B67" s="3" t="s">
        <v>16</v>
      </c>
      <c r="C67" s="3" t="s">
        <v>25</v>
      </c>
      <c r="D67" s="3" t="s">
        <v>33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260</v>
      </c>
      <c r="B68" s="3" t="s">
        <v>16</v>
      </c>
      <c r="C68" s="3" t="s">
        <v>25</v>
      </c>
      <c r="D68" s="3" t="s">
        <v>33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261</v>
      </c>
      <c r="B69" s="3" t="s">
        <v>16</v>
      </c>
      <c r="C69" s="3" t="s">
        <v>25</v>
      </c>
      <c r="D69" s="3" t="s">
        <v>33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262</v>
      </c>
      <c r="B70" s="3" t="s">
        <v>16</v>
      </c>
      <c r="C70" s="3" t="s">
        <v>25</v>
      </c>
      <c r="D70" s="3" t="s">
        <v>34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263</v>
      </c>
      <c r="B71" s="3" t="s">
        <v>16</v>
      </c>
      <c r="C71" s="3" t="s">
        <v>25</v>
      </c>
      <c r="D71" s="3" t="s">
        <v>34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264</v>
      </c>
      <c r="B72" s="3" t="s">
        <v>16</v>
      </c>
      <c r="C72" s="3" t="s">
        <v>25</v>
      </c>
      <c r="D72" s="3" t="s">
        <v>34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265</v>
      </c>
      <c r="B73" s="3" t="s">
        <v>16</v>
      </c>
      <c r="C73" s="3" t="s">
        <v>25</v>
      </c>
      <c r="D73" s="3" t="s">
        <v>34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266</v>
      </c>
      <c r="B74" s="3" t="s">
        <v>16</v>
      </c>
      <c r="C74" s="3" t="s">
        <v>25</v>
      </c>
      <c r="D74" s="3" t="s">
        <v>34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267</v>
      </c>
      <c r="B75" s="3" t="s">
        <v>16</v>
      </c>
      <c r="C75" s="3" t="s">
        <v>25</v>
      </c>
      <c r="D75" s="3" t="s">
        <v>34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268</v>
      </c>
      <c r="B76" s="3" t="s">
        <v>16</v>
      </c>
      <c r="C76" s="3" t="s">
        <v>25</v>
      </c>
      <c r="D76" s="3" t="s">
        <v>34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269</v>
      </c>
      <c r="B77" s="3" t="s">
        <v>16</v>
      </c>
      <c r="C77" s="3" t="s">
        <v>25</v>
      </c>
      <c r="D77" s="3" t="s">
        <v>34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270</v>
      </c>
      <c r="B78" s="3" t="s">
        <v>16</v>
      </c>
      <c r="C78" s="3" t="s">
        <v>25</v>
      </c>
      <c r="D78" s="3" t="s">
        <v>273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271</v>
      </c>
      <c r="B79" s="3" t="s">
        <v>16</v>
      </c>
      <c r="C79" s="3" t="s">
        <v>25</v>
      </c>
      <c r="D79" s="3" t="s">
        <v>211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272</v>
      </c>
      <c r="B80" s="3" t="s">
        <v>16</v>
      </c>
      <c r="C80" s="3" t="s">
        <v>25</v>
      </c>
      <c r="D80" s="3" t="s">
        <v>211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274</v>
      </c>
      <c r="B81" s="3" t="s">
        <v>16</v>
      </c>
      <c r="C81" s="3" t="s">
        <v>26</v>
      </c>
      <c r="D81" s="3" t="s">
        <v>33</v>
      </c>
      <c r="E81" s="3">
        <v>3</v>
      </c>
      <c r="F81" s="7" t="s">
        <v>347</v>
      </c>
      <c r="G81" s="5"/>
      <c r="H81" s="5"/>
      <c r="I81" s="5"/>
      <c r="L81" s="5"/>
    </row>
    <row r="82" spans="1:12">
      <c r="A82" s="3" t="s">
        <v>275</v>
      </c>
      <c r="B82" s="3" t="s">
        <v>16</v>
      </c>
      <c r="C82" s="3" t="s">
        <v>26</v>
      </c>
      <c r="D82" s="3" t="s">
        <v>33</v>
      </c>
      <c r="E82" s="3">
        <v>3</v>
      </c>
      <c r="F82" s="7" t="s">
        <v>347</v>
      </c>
      <c r="G82" s="5"/>
      <c r="H82" s="5"/>
      <c r="I82" s="5"/>
      <c r="L82" s="5"/>
    </row>
    <row r="83" spans="1:12">
      <c r="A83" s="3" t="s">
        <v>276</v>
      </c>
      <c r="B83" s="3" t="s">
        <v>16</v>
      </c>
      <c r="C83" s="3" t="s">
        <v>26</v>
      </c>
      <c r="D83" s="3" t="s">
        <v>34</v>
      </c>
      <c r="E83" s="3">
        <v>3</v>
      </c>
      <c r="F83" s="7" t="s">
        <v>347</v>
      </c>
      <c r="G83" s="5"/>
      <c r="H83" s="5"/>
      <c r="I83" s="5"/>
      <c r="L83" s="5"/>
    </row>
    <row r="84" spans="1:12">
      <c r="A84" s="3" t="s">
        <v>277</v>
      </c>
      <c r="B84" s="3" t="s">
        <v>16</v>
      </c>
      <c r="C84" s="3" t="s">
        <v>8</v>
      </c>
      <c r="D84" s="3" t="s">
        <v>34</v>
      </c>
      <c r="E84" s="3">
        <v>3</v>
      </c>
      <c r="F84" s="7" t="s">
        <v>347</v>
      </c>
      <c r="G84" s="5"/>
      <c r="H84" s="5"/>
      <c r="I84" s="5"/>
      <c r="L84" s="5"/>
    </row>
    <row r="85" spans="1:12">
      <c r="A85" s="3" t="s">
        <v>45</v>
      </c>
      <c r="B85" s="3" t="s">
        <v>16</v>
      </c>
      <c r="C85" s="3" t="s">
        <v>8</v>
      </c>
      <c r="D85" s="3" t="s">
        <v>34</v>
      </c>
      <c r="E85" s="3">
        <v>2</v>
      </c>
      <c r="F85" s="7" t="s">
        <v>349</v>
      </c>
      <c r="G85" s="5"/>
      <c r="H85" s="5"/>
      <c r="I85" s="5"/>
      <c r="J85" s="5"/>
      <c r="K85" s="5"/>
      <c r="L85" s="5"/>
    </row>
    <row r="86" spans="1:12">
      <c r="A86" s="3" t="s">
        <v>278</v>
      </c>
      <c r="B86" s="3" t="s">
        <v>16</v>
      </c>
      <c r="C86" s="3" t="s">
        <v>8</v>
      </c>
      <c r="D86" s="3" t="s">
        <v>211</v>
      </c>
      <c r="E86" s="3">
        <v>3</v>
      </c>
      <c r="F86" s="7" t="s">
        <v>347</v>
      </c>
      <c r="G86" s="5"/>
      <c r="H86" s="5"/>
      <c r="I86" s="5"/>
      <c r="J86" s="5"/>
      <c r="K86" s="5"/>
      <c r="L86" s="5"/>
    </row>
    <row r="87" spans="1:12">
      <c r="A87" s="3" t="s">
        <v>279</v>
      </c>
      <c r="B87" s="3" t="s">
        <v>16</v>
      </c>
      <c r="C87" s="3" t="s">
        <v>8</v>
      </c>
      <c r="D87" s="3" t="s">
        <v>211</v>
      </c>
      <c r="E87" s="3">
        <v>2</v>
      </c>
      <c r="F87" s="7" t="s">
        <v>349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16</v>
      </c>
      <c r="C88" s="3" t="s">
        <v>27</v>
      </c>
      <c r="D88" s="3" t="s">
        <v>33</v>
      </c>
      <c r="E88" s="3">
        <v>3</v>
      </c>
      <c r="F88" s="7" t="s">
        <v>347</v>
      </c>
      <c r="G88" s="5"/>
      <c r="H88" s="5"/>
      <c r="I88" s="5"/>
      <c r="J88" s="5"/>
      <c r="K88" s="5"/>
      <c r="L88" s="5"/>
    </row>
    <row r="89" spans="1:12">
      <c r="A89" s="3" t="s">
        <v>46</v>
      </c>
      <c r="B89" s="3" t="s">
        <v>16</v>
      </c>
      <c r="C89" s="3" t="s">
        <v>27</v>
      </c>
      <c r="D89" s="3" t="s">
        <v>33</v>
      </c>
      <c r="E89" s="3">
        <v>3</v>
      </c>
      <c r="F89" s="7" t="s">
        <v>347</v>
      </c>
      <c r="G89" s="5"/>
      <c r="H89" s="5"/>
      <c r="I89" s="5"/>
      <c r="J89" s="5"/>
      <c r="K89" s="5"/>
      <c r="L89" s="5"/>
    </row>
    <row r="90" spans="1:12">
      <c r="A90" s="3" t="s">
        <v>47</v>
      </c>
      <c r="B90" s="3" t="s">
        <v>16</v>
      </c>
      <c r="C90" s="3" t="s">
        <v>27</v>
      </c>
      <c r="D90" s="3" t="s">
        <v>33</v>
      </c>
      <c r="E90" s="3">
        <v>3</v>
      </c>
      <c r="F90" s="7" t="s">
        <v>347</v>
      </c>
      <c r="G90" s="5"/>
      <c r="H90" s="5"/>
      <c r="I90" s="5"/>
      <c r="J90" s="5"/>
      <c r="K90" s="5"/>
      <c r="L90" s="5"/>
    </row>
    <row r="91" spans="1:12">
      <c r="A91" s="3" t="s">
        <v>280</v>
      </c>
      <c r="B91" s="3" t="s">
        <v>16</v>
      </c>
      <c r="C91" s="3" t="s">
        <v>27</v>
      </c>
      <c r="D91" s="3" t="s">
        <v>221</v>
      </c>
      <c r="E91" s="3">
        <v>3</v>
      </c>
      <c r="F91" s="7" t="s">
        <v>347</v>
      </c>
      <c r="G91" s="5"/>
      <c r="H91" s="5"/>
      <c r="I91" s="5"/>
      <c r="J91" s="5"/>
      <c r="K91" s="5"/>
      <c r="L91" s="5"/>
    </row>
    <row r="92" spans="1:12">
      <c r="A92" s="3" t="s">
        <v>281</v>
      </c>
      <c r="B92" s="3" t="s">
        <v>16</v>
      </c>
      <c r="C92" s="3" t="s">
        <v>27</v>
      </c>
      <c r="D92" s="3" t="s">
        <v>221</v>
      </c>
      <c r="E92" s="3">
        <v>3</v>
      </c>
      <c r="F92" s="7" t="s">
        <v>347</v>
      </c>
      <c r="G92" s="5"/>
      <c r="H92" s="5"/>
      <c r="I92" s="5"/>
      <c r="J92" s="5"/>
      <c r="K92" s="5"/>
      <c r="L92" s="5"/>
    </row>
    <row r="93" spans="1:12">
      <c r="A93" s="3" t="s">
        <v>282</v>
      </c>
      <c r="B93" s="3" t="s">
        <v>16</v>
      </c>
      <c r="C93" s="3" t="s">
        <v>27</v>
      </c>
      <c r="D93" s="3" t="s">
        <v>221</v>
      </c>
      <c r="E93" s="3">
        <v>3</v>
      </c>
      <c r="F93" s="7" t="s">
        <v>347</v>
      </c>
      <c r="G93" s="5"/>
      <c r="H93" s="5"/>
      <c r="I93" s="5"/>
      <c r="J93" s="5"/>
      <c r="K93" s="5"/>
      <c r="L93" s="5"/>
    </row>
    <row r="94" spans="1:12">
      <c r="A94" s="3" t="s">
        <v>283</v>
      </c>
      <c r="B94" s="3" t="s">
        <v>16</v>
      </c>
      <c r="C94" s="3" t="s">
        <v>27</v>
      </c>
      <c r="D94" s="3" t="s">
        <v>221</v>
      </c>
      <c r="E94" s="3">
        <v>3</v>
      </c>
      <c r="F94" s="7" t="s">
        <v>347</v>
      </c>
      <c r="G94" s="5"/>
      <c r="H94" s="5"/>
      <c r="I94" s="5"/>
      <c r="J94" s="5"/>
      <c r="K94" s="5"/>
      <c r="L94" s="5"/>
    </row>
    <row r="95" spans="1:12">
      <c r="A95" s="3" t="s">
        <v>284</v>
      </c>
      <c r="B95" s="3" t="s">
        <v>16</v>
      </c>
      <c r="C95" s="3" t="s">
        <v>27</v>
      </c>
      <c r="D95" s="3" t="s">
        <v>211</v>
      </c>
      <c r="E95" s="3">
        <v>3</v>
      </c>
      <c r="F95" s="7" t="s">
        <v>347</v>
      </c>
      <c r="G95" s="5"/>
      <c r="H95" s="5"/>
      <c r="I95" s="5"/>
      <c r="J95" s="5"/>
      <c r="K95" s="5"/>
      <c r="L95" s="5"/>
    </row>
    <row r="96" spans="1:12">
      <c r="A96" s="3" t="s">
        <v>285</v>
      </c>
      <c r="B96" s="3" t="s">
        <v>16</v>
      </c>
      <c r="C96" s="3" t="s">
        <v>27</v>
      </c>
      <c r="D96" s="3" t="s">
        <v>211</v>
      </c>
      <c r="E96" s="3">
        <v>3</v>
      </c>
      <c r="F96" s="7" t="s">
        <v>347</v>
      </c>
      <c r="G96" s="5"/>
      <c r="H96" s="5"/>
      <c r="I96" s="5"/>
      <c r="J96" s="5"/>
      <c r="K96" s="5"/>
      <c r="L96" s="5"/>
    </row>
    <row r="97" spans="1:12">
      <c r="A97" s="3" t="s">
        <v>28</v>
      </c>
      <c r="B97" s="3" t="s">
        <v>16</v>
      </c>
      <c r="C97" s="3" t="s">
        <v>28</v>
      </c>
      <c r="D97" s="3" t="s">
        <v>33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48</v>
      </c>
      <c r="B98" s="3" t="s">
        <v>16</v>
      </c>
      <c r="C98" s="3" t="s">
        <v>28</v>
      </c>
      <c r="D98" s="3" t="s">
        <v>33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286</v>
      </c>
      <c r="B99" s="3" t="s">
        <v>16</v>
      </c>
      <c r="C99" s="3" t="s">
        <v>10</v>
      </c>
      <c r="D99" s="3" t="s">
        <v>221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287</v>
      </c>
      <c r="B100" s="3" t="s">
        <v>16</v>
      </c>
      <c r="C100" s="3" t="s">
        <v>10</v>
      </c>
      <c r="D100" s="3" t="s">
        <v>34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288</v>
      </c>
      <c r="B101" s="3" t="s">
        <v>16</v>
      </c>
      <c r="C101" s="3" t="s">
        <v>10</v>
      </c>
      <c r="D101" s="3" t="s">
        <v>34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289</v>
      </c>
      <c r="B102" s="3" t="s">
        <v>16</v>
      </c>
      <c r="C102" s="3" t="s">
        <v>10</v>
      </c>
      <c r="D102" s="3" t="s">
        <v>34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290</v>
      </c>
      <c r="B103" s="3" t="s">
        <v>16</v>
      </c>
      <c r="C103" s="3" t="s">
        <v>10</v>
      </c>
      <c r="D103" s="3" t="s">
        <v>211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291</v>
      </c>
      <c r="B104" s="3" t="s">
        <v>16</v>
      </c>
      <c r="C104" s="3" t="s">
        <v>10</v>
      </c>
      <c r="D104" s="3" t="s">
        <v>211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292</v>
      </c>
      <c r="B105" s="3" t="s">
        <v>16</v>
      </c>
      <c r="C105" s="3" t="s">
        <v>10</v>
      </c>
      <c r="D105" s="3" t="s">
        <v>211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293</v>
      </c>
      <c r="B106" s="3" t="s">
        <v>16</v>
      </c>
      <c r="C106" s="3" t="s">
        <v>10</v>
      </c>
      <c r="D106" s="3" t="s">
        <v>211</v>
      </c>
      <c r="E106" s="3">
        <v>2</v>
      </c>
      <c r="F106" s="7" t="s">
        <v>349</v>
      </c>
      <c r="G106" s="5"/>
      <c r="H106" s="5"/>
      <c r="I106" s="5"/>
      <c r="J106" s="5"/>
      <c r="K106" s="5"/>
      <c r="L106" s="5"/>
    </row>
    <row r="107" spans="1:12">
      <c r="A107" s="3" t="s">
        <v>294</v>
      </c>
      <c r="B107" s="3" t="s">
        <v>16</v>
      </c>
      <c r="C107" s="3" t="s">
        <v>10</v>
      </c>
      <c r="D107" s="3" t="s">
        <v>211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295</v>
      </c>
      <c r="B108" s="3" t="s">
        <v>16</v>
      </c>
      <c r="C108" s="3" t="s">
        <v>29</v>
      </c>
      <c r="D108" s="3" t="s">
        <v>33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296</v>
      </c>
      <c r="B109" s="3" t="s">
        <v>16</v>
      </c>
      <c r="C109" s="3" t="s">
        <v>28</v>
      </c>
      <c r="D109" s="3" t="s">
        <v>33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297</v>
      </c>
      <c r="B110" s="3" t="s">
        <v>16</v>
      </c>
      <c r="C110" s="3" t="s">
        <v>28</v>
      </c>
      <c r="D110" s="3" t="s">
        <v>33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298</v>
      </c>
      <c r="B111" s="3" t="s">
        <v>16</v>
      </c>
      <c r="C111" s="3" t="s">
        <v>28</v>
      </c>
      <c r="D111" s="3" t="s">
        <v>33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299</v>
      </c>
      <c r="B112" s="3" t="s">
        <v>16</v>
      </c>
      <c r="C112" s="3" t="s">
        <v>28</v>
      </c>
      <c r="D112" s="3" t="s">
        <v>33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300</v>
      </c>
      <c r="B113" s="3" t="s">
        <v>16</v>
      </c>
      <c r="C113" s="3" t="s">
        <v>28</v>
      </c>
      <c r="D113" s="3" t="s">
        <v>33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301</v>
      </c>
      <c r="B114" s="3" t="s">
        <v>16</v>
      </c>
      <c r="C114" s="3" t="s">
        <v>29</v>
      </c>
      <c r="D114" s="3" t="s">
        <v>33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302</v>
      </c>
      <c r="B115" s="3" t="s">
        <v>16</v>
      </c>
      <c r="C115" s="3" t="s">
        <v>29</v>
      </c>
      <c r="D115" s="3" t="s">
        <v>33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303</v>
      </c>
      <c r="B116" s="3" t="s">
        <v>16</v>
      </c>
      <c r="C116" s="3" t="s">
        <v>29</v>
      </c>
      <c r="D116" s="3" t="s">
        <v>33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304</v>
      </c>
      <c r="B117" s="3" t="s">
        <v>16</v>
      </c>
      <c r="C117" s="3" t="s">
        <v>29</v>
      </c>
      <c r="D117" s="3" t="s">
        <v>33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305</v>
      </c>
      <c r="B118" s="3" t="s">
        <v>16</v>
      </c>
      <c r="C118" s="3" t="s">
        <v>29</v>
      </c>
      <c r="D118" s="3" t="s">
        <v>33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306</v>
      </c>
      <c r="B119" s="3" t="s">
        <v>16</v>
      </c>
      <c r="C119" s="3" t="s">
        <v>29</v>
      </c>
      <c r="D119" s="3" t="s">
        <v>33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307</v>
      </c>
      <c r="B120" s="3" t="s">
        <v>16</v>
      </c>
      <c r="C120" s="3" t="s">
        <v>29</v>
      </c>
      <c r="D120" s="3" t="s">
        <v>33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308</v>
      </c>
      <c r="B121" s="3" t="s">
        <v>16</v>
      </c>
      <c r="C121" s="3" t="s">
        <v>29</v>
      </c>
      <c r="D121" s="3" t="s">
        <v>33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309</v>
      </c>
      <c r="B122" s="3" t="s">
        <v>16</v>
      </c>
      <c r="C122" s="3" t="s">
        <v>29</v>
      </c>
      <c r="D122" s="3" t="s">
        <v>33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310</v>
      </c>
      <c r="B123" s="3" t="s">
        <v>16</v>
      </c>
      <c r="C123" s="3" t="s">
        <v>29</v>
      </c>
      <c r="D123" s="3" t="s">
        <v>33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311</v>
      </c>
      <c r="B124" s="3" t="s">
        <v>16</v>
      </c>
      <c r="C124" s="3" t="s">
        <v>29</v>
      </c>
      <c r="D124" s="3" t="s">
        <v>34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312</v>
      </c>
      <c r="B125" s="3" t="s">
        <v>16</v>
      </c>
      <c r="C125" s="3" t="s">
        <v>29</v>
      </c>
      <c r="D125" s="3" t="s">
        <v>34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314</v>
      </c>
      <c r="B126" s="3" t="s">
        <v>16</v>
      </c>
      <c r="C126" s="3" t="s">
        <v>29</v>
      </c>
      <c r="D126" s="3" t="s">
        <v>34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313</v>
      </c>
      <c r="B127" s="3" t="s">
        <v>16</v>
      </c>
      <c r="C127" s="3" t="s">
        <v>29</v>
      </c>
      <c r="D127" s="3" t="s">
        <v>34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315</v>
      </c>
      <c r="B128" s="3" t="s">
        <v>16</v>
      </c>
      <c r="C128" s="3" t="s">
        <v>29</v>
      </c>
      <c r="D128" s="3" t="s">
        <v>34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316</v>
      </c>
      <c r="B129" s="3" t="s">
        <v>16</v>
      </c>
      <c r="C129" s="3" t="s">
        <v>29</v>
      </c>
      <c r="D129" s="3" t="s">
        <v>34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317</v>
      </c>
      <c r="B130" s="3" t="s">
        <v>16</v>
      </c>
      <c r="C130" s="3" t="s">
        <v>29</v>
      </c>
      <c r="D130" s="3" t="s">
        <v>34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321</v>
      </c>
      <c r="B131" s="3" t="s">
        <v>16</v>
      </c>
      <c r="C131" s="3" t="s">
        <v>29</v>
      </c>
      <c r="D131" s="3" t="s">
        <v>211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322</v>
      </c>
      <c r="B132" s="3" t="s">
        <v>16</v>
      </c>
      <c r="C132" s="3" t="s">
        <v>29</v>
      </c>
      <c r="D132" s="3" t="s">
        <v>211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323</v>
      </c>
      <c r="B133" s="3" t="s">
        <v>16</v>
      </c>
      <c r="C133" s="3" t="s">
        <v>29</v>
      </c>
      <c r="D133" s="3" t="s">
        <v>211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324</v>
      </c>
      <c r="B134" s="3" t="s">
        <v>16</v>
      </c>
      <c r="C134" s="3" t="s">
        <v>29</v>
      </c>
      <c r="D134" s="3" t="s">
        <v>211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325</v>
      </c>
      <c r="B135" s="3" t="s">
        <v>16</v>
      </c>
      <c r="C135" s="3" t="s">
        <v>29</v>
      </c>
      <c r="D135" s="3" t="s">
        <v>211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326</v>
      </c>
      <c r="B136" s="3" t="s">
        <v>16</v>
      </c>
      <c r="C136" s="3" t="s">
        <v>29</v>
      </c>
      <c r="D136" s="3" t="s">
        <v>211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327</v>
      </c>
      <c r="B137" s="3" t="s">
        <v>16</v>
      </c>
      <c r="C137" s="3" t="s">
        <v>29</v>
      </c>
      <c r="D137" s="3" t="s">
        <v>211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328</v>
      </c>
      <c r="B138" s="3" t="s">
        <v>16</v>
      </c>
      <c r="C138" s="3" t="s">
        <v>29</v>
      </c>
      <c r="D138" s="3" t="s">
        <v>211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319</v>
      </c>
      <c r="B139" s="3" t="s">
        <v>16</v>
      </c>
      <c r="C139" s="3" t="s">
        <v>319</v>
      </c>
      <c r="D139" s="3" t="s">
        <v>253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318</v>
      </c>
      <c r="B140" s="3" t="s">
        <v>16</v>
      </c>
      <c r="C140" s="3" t="s">
        <v>30</v>
      </c>
      <c r="D140" s="3" t="s">
        <v>34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49</v>
      </c>
      <c r="B141" s="3" t="s">
        <v>16</v>
      </c>
      <c r="C141" s="3" t="s">
        <v>31</v>
      </c>
      <c r="D141" s="3" t="s">
        <v>33</v>
      </c>
      <c r="E141" s="3">
        <v>3</v>
      </c>
      <c r="F141" s="7" t="s">
        <v>347</v>
      </c>
      <c r="G141" s="5"/>
      <c r="H141" s="5"/>
      <c r="I141" s="5"/>
      <c r="J141" s="5"/>
      <c r="K141" s="5"/>
      <c r="L141" s="5"/>
    </row>
    <row r="142" spans="1:12">
      <c r="A142" s="3" t="s">
        <v>329</v>
      </c>
      <c r="B142" s="3" t="s">
        <v>16</v>
      </c>
      <c r="C142" s="3" t="s">
        <v>31</v>
      </c>
      <c r="D142" s="3" t="s">
        <v>33</v>
      </c>
      <c r="E142" s="3">
        <v>3</v>
      </c>
      <c r="F142" s="7" t="s">
        <v>347</v>
      </c>
      <c r="G142" s="5"/>
      <c r="H142" s="5"/>
      <c r="I142" s="5"/>
      <c r="J142" s="5"/>
      <c r="K142" s="5"/>
      <c r="L142" s="5"/>
    </row>
    <row r="143" spans="1:12">
      <c r="A143" s="3" t="s">
        <v>330</v>
      </c>
      <c r="B143" s="3" t="s">
        <v>16</v>
      </c>
      <c r="C143" s="3" t="s">
        <v>31</v>
      </c>
      <c r="D143" s="3" t="s">
        <v>34</v>
      </c>
      <c r="E143" s="3">
        <v>3</v>
      </c>
      <c r="F143" s="7" t="s">
        <v>347</v>
      </c>
      <c r="G143" s="5"/>
      <c r="H143" s="5"/>
      <c r="I143" s="5"/>
      <c r="J143" s="5"/>
      <c r="K143" s="5"/>
      <c r="L143" s="5"/>
    </row>
    <row r="144" spans="1:12">
      <c r="A144" s="3" t="s">
        <v>331</v>
      </c>
      <c r="B144" s="3" t="s">
        <v>16</v>
      </c>
      <c r="C144" s="3" t="s">
        <v>31</v>
      </c>
      <c r="D144" s="3" t="s">
        <v>34</v>
      </c>
      <c r="E144" s="3">
        <v>3</v>
      </c>
      <c r="F144" s="7" t="s">
        <v>347</v>
      </c>
      <c r="G144" s="5"/>
      <c r="H144" s="5"/>
      <c r="I144" s="5"/>
      <c r="J144" s="5"/>
      <c r="K144" s="5"/>
      <c r="L144" s="5"/>
    </row>
    <row r="145" spans="1:12">
      <c r="A145" s="3" t="s">
        <v>332</v>
      </c>
      <c r="B145" s="3" t="s">
        <v>16</v>
      </c>
      <c r="C145" s="3" t="s">
        <v>31</v>
      </c>
      <c r="D145" s="3" t="s">
        <v>34</v>
      </c>
      <c r="E145" s="3">
        <v>3</v>
      </c>
      <c r="F145" s="7" t="s">
        <v>347</v>
      </c>
      <c r="G145" s="5"/>
      <c r="H145" s="5"/>
      <c r="I145" s="5"/>
      <c r="J145" s="5"/>
      <c r="K145" s="5"/>
      <c r="L145" s="5"/>
    </row>
    <row r="146" spans="1:12">
      <c r="A146" s="3" t="s">
        <v>333</v>
      </c>
      <c r="B146" s="3" t="s">
        <v>16</v>
      </c>
      <c r="C146" s="3" t="s">
        <v>31</v>
      </c>
      <c r="D146" s="3" t="s">
        <v>34</v>
      </c>
      <c r="E146" s="3">
        <v>3</v>
      </c>
      <c r="F146" s="7" t="s">
        <v>347</v>
      </c>
      <c r="G146" s="5"/>
      <c r="H146" s="5"/>
      <c r="I146" s="5"/>
      <c r="J146" s="5"/>
      <c r="K146" s="5"/>
      <c r="L146" s="5"/>
    </row>
    <row r="147" spans="1:12">
      <c r="A147" s="3" t="s">
        <v>334</v>
      </c>
      <c r="B147" s="3" t="s">
        <v>16</v>
      </c>
      <c r="C147" s="3" t="s">
        <v>31</v>
      </c>
      <c r="D147" s="3" t="s">
        <v>34</v>
      </c>
      <c r="E147" s="3">
        <v>3</v>
      </c>
      <c r="F147" s="7" t="s">
        <v>347</v>
      </c>
      <c r="G147" s="5"/>
      <c r="H147" s="5"/>
      <c r="I147" s="5"/>
      <c r="J147" s="5"/>
      <c r="K147" s="5"/>
      <c r="L147" s="5"/>
    </row>
    <row r="148" spans="1:12">
      <c r="A148" s="3" t="s">
        <v>50</v>
      </c>
      <c r="B148" s="3" t="s">
        <v>16</v>
      </c>
      <c r="C148" s="3" t="s">
        <v>31</v>
      </c>
      <c r="D148" s="3" t="s">
        <v>34</v>
      </c>
      <c r="E148" s="3">
        <v>3</v>
      </c>
      <c r="F148" s="7" t="s">
        <v>347</v>
      </c>
      <c r="G148" s="5"/>
      <c r="H148" s="5"/>
      <c r="I148" s="5"/>
      <c r="J148" s="5"/>
      <c r="K148" s="5"/>
      <c r="L148" s="5"/>
    </row>
    <row r="149" spans="1:12">
      <c r="A149" s="3" t="s">
        <v>335</v>
      </c>
      <c r="B149" s="3" t="s">
        <v>16</v>
      </c>
      <c r="C149" s="3" t="s">
        <v>31</v>
      </c>
      <c r="D149" s="3" t="s">
        <v>273</v>
      </c>
      <c r="E149" s="3">
        <v>3</v>
      </c>
      <c r="F149" s="7" t="s">
        <v>347</v>
      </c>
      <c r="G149" s="5"/>
      <c r="H149" s="5"/>
      <c r="I149" s="5"/>
      <c r="J149" s="5"/>
      <c r="K149" s="5"/>
      <c r="L149" s="5"/>
    </row>
    <row r="150" spans="1:12">
      <c r="A150" s="3" t="s">
        <v>51</v>
      </c>
      <c r="B150" s="3" t="s">
        <v>16</v>
      </c>
      <c r="C150" s="3" t="s">
        <v>31</v>
      </c>
      <c r="D150" s="3" t="s">
        <v>211</v>
      </c>
      <c r="E150" s="3">
        <v>3</v>
      </c>
      <c r="F150" s="7" t="s">
        <v>347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5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90" customWidth="1"/>
    <col min="2" max="2" width="7.5" style="90" customWidth="1"/>
    <col min="3" max="3" width="0.875" style="90" customWidth="1"/>
    <col min="4" max="4" width="4" style="90" customWidth="1"/>
    <col min="5" max="5" width="5.875" style="90" customWidth="1"/>
    <col min="6" max="6" width="5.625" style="90" customWidth="1"/>
    <col min="7" max="7" width="11.25" style="90" customWidth="1"/>
    <col min="8" max="8" width="9.125" style="90" customWidth="1"/>
    <col min="9" max="9" width="12.75" style="90" customWidth="1"/>
    <col min="10" max="10" width="1.375" style="90" customWidth="1"/>
    <col min="11" max="11" width="1" style="90" customWidth="1"/>
    <col min="12" max="12" width="10.75" style="90" customWidth="1"/>
    <col min="13" max="13" width="10.125" style="90" customWidth="1"/>
    <col min="14" max="14" width="16.625" style="90" customWidth="1"/>
    <col min="15" max="15" width="8.375" style="90" customWidth="1"/>
    <col min="16" max="16" width="9.5" style="90" customWidth="1"/>
    <col min="17" max="17" width="1.25" style="90" customWidth="1"/>
    <col min="18" max="18" width="0.5" style="90" customWidth="1"/>
    <col min="19" max="26" width="0" style="90" hidden="1" customWidth="1"/>
    <col min="27" max="16384" width="11" style="90" hidden="1"/>
  </cols>
  <sheetData>
    <row r="1" spans="2:26" ht="13.5"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2:26" ht="39" thickBot="1">
      <c r="B2" s="518" t="s">
        <v>365</v>
      </c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89"/>
      <c r="S2" s="89"/>
      <c r="T2" s="89"/>
      <c r="U2" s="89"/>
      <c r="V2" s="89"/>
      <c r="W2" s="89"/>
      <c r="X2" s="89"/>
      <c r="Y2" s="89"/>
      <c r="Z2" s="89"/>
    </row>
    <row r="3" spans="2:26" ht="24" customHeight="1" thickBot="1">
      <c r="B3" s="91" t="s">
        <v>366</v>
      </c>
      <c r="C3" s="520" t="s">
        <v>367</v>
      </c>
      <c r="D3" s="521"/>
      <c r="E3" s="521"/>
      <c r="F3" s="521"/>
      <c r="G3" s="521"/>
      <c r="H3" s="521"/>
      <c r="I3" s="521"/>
      <c r="J3" s="522"/>
      <c r="K3" s="523" t="s">
        <v>368</v>
      </c>
      <c r="L3" s="524"/>
      <c r="M3" s="524"/>
      <c r="N3" s="524"/>
      <c r="O3" s="524"/>
      <c r="P3" s="524"/>
      <c r="Q3" s="525"/>
      <c r="R3" s="89"/>
      <c r="S3" s="89"/>
      <c r="T3" s="89"/>
      <c r="U3" s="89"/>
      <c r="V3" s="89"/>
      <c r="W3" s="89"/>
      <c r="X3" s="89"/>
      <c r="Y3" s="89"/>
      <c r="Z3" s="89"/>
    </row>
    <row r="4" spans="2:26" ht="13.5">
      <c r="B4" s="526" t="s">
        <v>369</v>
      </c>
      <c r="C4" s="92" t="s">
        <v>370</v>
      </c>
      <c r="D4" s="93"/>
      <c r="E4" s="93"/>
      <c r="F4" s="93"/>
      <c r="G4" s="93"/>
      <c r="H4" s="93"/>
      <c r="I4" s="93"/>
      <c r="J4" s="94"/>
      <c r="K4" s="95" t="s">
        <v>370</v>
      </c>
      <c r="L4" s="93"/>
      <c r="M4" s="93"/>
      <c r="N4" s="93"/>
      <c r="O4" s="93"/>
      <c r="P4" s="93"/>
      <c r="Q4" s="94"/>
      <c r="R4" s="89"/>
      <c r="S4" s="89"/>
      <c r="T4" s="89"/>
      <c r="U4" s="89"/>
      <c r="V4" s="89"/>
      <c r="W4" s="89"/>
      <c r="X4" s="89"/>
      <c r="Y4" s="89"/>
      <c r="Z4" s="89"/>
    </row>
    <row r="5" spans="2:26" ht="18.75" customHeight="1">
      <c r="B5" s="527"/>
      <c r="C5" s="96"/>
      <c r="D5" s="514" t="s">
        <v>371</v>
      </c>
      <c r="E5" s="515"/>
      <c r="F5" s="515"/>
      <c r="G5" s="516"/>
      <c r="H5" s="517" t="s">
        <v>372</v>
      </c>
      <c r="I5" s="515"/>
      <c r="J5" s="97"/>
      <c r="K5" s="98"/>
      <c r="L5" s="514" t="s">
        <v>371</v>
      </c>
      <c r="M5" s="515"/>
      <c r="N5" s="516"/>
      <c r="O5" s="517" t="s">
        <v>373</v>
      </c>
      <c r="P5" s="515"/>
      <c r="Q5" s="97"/>
      <c r="R5" s="89"/>
      <c r="S5" s="89"/>
      <c r="T5" s="89"/>
      <c r="U5" s="89"/>
      <c r="V5" s="89"/>
      <c r="W5" s="89"/>
      <c r="X5" s="89"/>
      <c r="Y5" s="89"/>
      <c r="Z5" s="89"/>
    </row>
    <row r="6" spans="2:26" ht="18.75" customHeight="1">
      <c r="B6" s="527"/>
      <c r="C6" s="96"/>
      <c r="D6" s="514" t="s">
        <v>374</v>
      </c>
      <c r="E6" s="515"/>
      <c r="F6" s="515"/>
      <c r="G6" s="516"/>
      <c r="H6" s="517" t="s">
        <v>375</v>
      </c>
      <c r="I6" s="515"/>
      <c r="J6" s="97"/>
      <c r="K6" s="98"/>
      <c r="L6" s="514" t="s">
        <v>374</v>
      </c>
      <c r="M6" s="515"/>
      <c r="N6" s="516"/>
      <c r="O6" s="517" t="s">
        <v>376</v>
      </c>
      <c r="P6" s="515"/>
      <c r="Q6" s="97"/>
      <c r="R6" s="89"/>
      <c r="S6" s="89"/>
      <c r="T6" s="89"/>
      <c r="U6" s="89"/>
      <c r="V6" s="89"/>
      <c r="W6" s="89"/>
      <c r="X6" s="89"/>
      <c r="Y6" s="89"/>
      <c r="Z6" s="89"/>
    </row>
    <row r="7" spans="2:26" ht="18.75" customHeight="1">
      <c r="B7" s="527"/>
      <c r="C7" s="96"/>
      <c r="D7" s="514" t="s">
        <v>377</v>
      </c>
      <c r="E7" s="515"/>
      <c r="F7" s="515"/>
      <c r="G7" s="516"/>
      <c r="H7" s="517" t="s">
        <v>378</v>
      </c>
      <c r="I7" s="515"/>
      <c r="J7" s="97"/>
      <c r="K7" s="98"/>
      <c r="L7" s="514" t="s">
        <v>377</v>
      </c>
      <c r="M7" s="515"/>
      <c r="N7" s="516"/>
      <c r="O7" s="517" t="s">
        <v>379</v>
      </c>
      <c r="P7" s="515"/>
      <c r="Q7" s="97"/>
      <c r="R7" s="89"/>
      <c r="S7" s="89"/>
      <c r="T7" s="89"/>
      <c r="U7" s="89"/>
      <c r="V7" s="89"/>
      <c r="W7" s="89"/>
      <c r="X7" s="89"/>
      <c r="Y7" s="89"/>
      <c r="Z7" s="89"/>
    </row>
    <row r="8" spans="2:26" ht="18.75" customHeight="1">
      <c r="B8" s="527"/>
      <c r="C8" s="96"/>
      <c r="D8" s="514" t="s">
        <v>380</v>
      </c>
      <c r="E8" s="515"/>
      <c r="F8" s="515"/>
      <c r="G8" s="516"/>
      <c r="H8" s="517" t="s">
        <v>381</v>
      </c>
      <c r="I8" s="515"/>
      <c r="J8" s="97"/>
      <c r="K8" s="98"/>
      <c r="L8" s="514" t="s">
        <v>380</v>
      </c>
      <c r="M8" s="515"/>
      <c r="N8" s="516"/>
      <c r="O8" s="517" t="s">
        <v>381</v>
      </c>
      <c r="P8" s="515"/>
      <c r="Q8" s="97"/>
      <c r="R8" s="89"/>
      <c r="S8" s="89"/>
      <c r="T8" s="89"/>
      <c r="U8" s="89"/>
      <c r="V8" s="89"/>
      <c r="W8" s="89"/>
      <c r="X8" s="89"/>
      <c r="Y8" s="89"/>
      <c r="Z8" s="89"/>
    </row>
    <row r="9" spans="2:26" ht="8.25" customHeight="1" thickBot="1">
      <c r="B9" s="528"/>
      <c r="C9" s="99"/>
      <c r="D9" s="100"/>
      <c r="E9" s="100"/>
      <c r="F9" s="100"/>
      <c r="G9" s="100"/>
      <c r="H9" s="100"/>
      <c r="I9" s="100"/>
      <c r="J9" s="101"/>
      <c r="K9" s="102"/>
      <c r="L9" s="100"/>
      <c r="M9" s="100"/>
      <c r="N9" s="100"/>
      <c r="O9" s="100"/>
      <c r="P9" s="100"/>
      <c r="Q9" s="101"/>
      <c r="R9" s="89"/>
      <c r="S9" s="89"/>
      <c r="T9" s="89"/>
      <c r="U9" s="89"/>
      <c r="V9" s="89"/>
      <c r="W9" s="89"/>
      <c r="X9" s="89"/>
      <c r="Y9" s="89"/>
      <c r="Z9" s="89"/>
    </row>
    <row r="10" spans="2:26" ht="6.75" customHeight="1">
      <c r="B10" s="526" t="s">
        <v>382</v>
      </c>
      <c r="C10" s="92"/>
      <c r="D10" s="93"/>
      <c r="E10" s="93"/>
      <c r="F10" s="93"/>
      <c r="G10" s="93"/>
      <c r="H10" s="93"/>
      <c r="I10" s="93"/>
      <c r="J10" s="94"/>
      <c r="K10" s="95"/>
      <c r="L10" s="93"/>
      <c r="M10" s="93"/>
      <c r="N10" s="93"/>
      <c r="O10" s="93"/>
      <c r="P10" s="93"/>
      <c r="Q10" s="94"/>
      <c r="R10" s="89"/>
      <c r="S10" s="89"/>
      <c r="T10" s="89"/>
      <c r="U10" s="89"/>
      <c r="V10" s="89"/>
      <c r="W10" s="89"/>
      <c r="X10" s="89"/>
      <c r="Y10" s="89"/>
      <c r="Z10" s="89"/>
    </row>
    <row r="11" spans="2:26" ht="16.5" customHeight="1">
      <c r="B11" s="527"/>
      <c r="C11" s="96"/>
      <c r="D11" s="514" t="s">
        <v>320</v>
      </c>
      <c r="E11" s="515"/>
      <c r="F11" s="515"/>
      <c r="G11" s="517" t="s">
        <v>383</v>
      </c>
      <c r="H11" s="515"/>
      <c r="I11" s="515"/>
      <c r="J11" s="97"/>
      <c r="K11" s="98"/>
      <c r="L11" s="529" t="s">
        <v>320</v>
      </c>
      <c r="M11" s="530"/>
      <c r="N11" s="533" t="s">
        <v>384</v>
      </c>
      <c r="O11" s="534"/>
      <c r="P11" s="534"/>
      <c r="Q11" s="97"/>
      <c r="R11" s="89"/>
      <c r="S11" s="89"/>
      <c r="T11" s="89"/>
      <c r="U11" s="89"/>
      <c r="V11" s="89"/>
      <c r="W11" s="89"/>
      <c r="X11" s="89"/>
      <c r="Y11" s="89"/>
      <c r="Z11" s="89"/>
    </row>
    <row r="12" spans="2:26" ht="16.5" customHeight="1">
      <c r="B12" s="527"/>
      <c r="C12" s="96"/>
      <c r="D12" s="514" t="s">
        <v>385</v>
      </c>
      <c r="E12" s="515"/>
      <c r="F12" s="515"/>
      <c r="G12" s="517" t="s">
        <v>386</v>
      </c>
      <c r="H12" s="515"/>
      <c r="I12" s="515"/>
      <c r="J12" s="97"/>
      <c r="K12" s="98"/>
      <c r="L12" s="531"/>
      <c r="M12" s="532"/>
      <c r="N12" s="535"/>
      <c r="O12" s="531"/>
      <c r="P12" s="531"/>
      <c r="Q12" s="97"/>
      <c r="R12" s="89"/>
      <c r="S12" s="89"/>
      <c r="T12" s="89"/>
      <c r="U12" s="89"/>
      <c r="V12" s="89"/>
      <c r="W12" s="89"/>
      <c r="X12" s="89"/>
      <c r="Y12" s="89"/>
      <c r="Z12" s="89"/>
    </row>
    <row r="13" spans="2:26" ht="16.5" customHeight="1">
      <c r="B13" s="527"/>
      <c r="C13" s="96"/>
      <c r="D13" s="514" t="s">
        <v>387</v>
      </c>
      <c r="E13" s="515"/>
      <c r="F13" s="515"/>
      <c r="G13" s="517" t="s">
        <v>388</v>
      </c>
      <c r="H13" s="515"/>
      <c r="I13" s="515"/>
      <c r="J13" s="97"/>
      <c r="K13" s="98"/>
      <c r="L13" s="514" t="s">
        <v>389</v>
      </c>
      <c r="M13" s="516"/>
      <c r="N13" s="517" t="s">
        <v>388</v>
      </c>
      <c r="O13" s="515"/>
      <c r="P13" s="515"/>
      <c r="Q13" s="97"/>
      <c r="R13" s="89"/>
      <c r="S13" s="89"/>
      <c r="T13" s="89"/>
      <c r="U13" s="89"/>
      <c r="V13" s="89"/>
      <c r="W13" s="89"/>
      <c r="X13" s="89"/>
      <c r="Y13" s="89"/>
      <c r="Z13" s="89"/>
    </row>
    <row r="14" spans="2:26" ht="6.75" customHeight="1" thickBot="1">
      <c r="B14" s="528"/>
      <c r="C14" s="99"/>
      <c r="D14" s="100"/>
      <c r="E14" s="100"/>
      <c r="F14" s="100"/>
      <c r="G14" s="100"/>
      <c r="H14" s="100"/>
      <c r="I14" s="100"/>
      <c r="J14" s="101"/>
      <c r="K14" s="102"/>
      <c r="L14" s="100"/>
      <c r="M14" s="100"/>
      <c r="N14" s="100"/>
      <c r="O14" s="100"/>
      <c r="P14" s="100"/>
      <c r="Q14" s="101"/>
      <c r="R14" s="89"/>
      <c r="S14" s="89"/>
      <c r="T14" s="89"/>
      <c r="U14" s="89"/>
      <c r="V14" s="89"/>
      <c r="W14" s="89"/>
      <c r="X14" s="89"/>
      <c r="Y14" s="89"/>
      <c r="Z14" s="89"/>
    </row>
    <row r="15" spans="2:26" ht="6.75" customHeight="1">
      <c r="B15" s="526" t="s">
        <v>390</v>
      </c>
      <c r="C15" s="92"/>
      <c r="D15" s="93"/>
      <c r="E15" s="93"/>
      <c r="F15" s="93"/>
      <c r="G15" s="93"/>
      <c r="H15" s="93"/>
      <c r="I15" s="93"/>
      <c r="J15" s="94"/>
      <c r="K15" s="95"/>
      <c r="L15" s="93"/>
      <c r="M15" s="93"/>
      <c r="N15" s="93"/>
      <c r="O15" s="93"/>
      <c r="P15" s="93"/>
      <c r="Q15" s="94"/>
      <c r="R15" s="89"/>
      <c r="S15" s="89"/>
      <c r="T15" s="89"/>
      <c r="U15" s="89"/>
      <c r="V15" s="89"/>
      <c r="W15" s="89"/>
      <c r="X15" s="89"/>
      <c r="Y15" s="89"/>
      <c r="Z15" s="89"/>
    </row>
    <row r="16" spans="2:26" ht="20.25" customHeight="1">
      <c r="B16" s="527"/>
      <c r="C16" s="96"/>
      <c r="D16" s="514" t="s">
        <v>391</v>
      </c>
      <c r="E16" s="515"/>
      <c r="F16" s="515"/>
      <c r="G16" s="516"/>
      <c r="H16" s="517">
        <v>1</v>
      </c>
      <c r="I16" s="515"/>
      <c r="J16" s="97"/>
      <c r="K16" s="98"/>
      <c r="L16" s="514" t="s">
        <v>391</v>
      </c>
      <c r="M16" s="515"/>
      <c r="N16" s="516"/>
      <c r="O16" s="517" t="s">
        <v>392</v>
      </c>
      <c r="P16" s="515"/>
      <c r="Q16" s="97"/>
      <c r="R16" s="89"/>
      <c r="S16" s="89"/>
      <c r="T16" s="89"/>
      <c r="U16" s="89"/>
      <c r="V16" s="89"/>
      <c r="W16" s="89"/>
      <c r="X16" s="89"/>
      <c r="Y16" s="89"/>
      <c r="Z16" s="89"/>
    </row>
    <row r="17" spans="2:26" ht="20.25" customHeight="1">
      <c r="B17" s="527"/>
      <c r="C17" s="96"/>
      <c r="D17" s="514" t="s">
        <v>393</v>
      </c>
      <c r="E17" s="515"/>
      <c r="F17" s="515"/>
      <c r="G17" s="516"/>
      <c r="H17" s="517">
        <v>179</v>
      </c>
      <c r="I17" s="515"/>
      <c r="J17" s="97"/>
      <c r="K17" s="98"/>
      <c r="L17" s="514" t="s">
        <v>394</v>
      </c>
      <c r="M17" s="515"/>
      <c r="N17" s="516"/>
      <c r="O17" s="517" t="s">
        <v>395</v>
      </c>
      <c r="P17" s="515"/>
      <c r="Q17" s="97"/>
      <c r="R17" s="89"/>
      <c r="S17" s="89"/>
      <c r="T17" s="89"/>
      <c r="U17" s="89"/>
      <c r="V17" s="89"/>
      <c r="W17" s="89"/>
      <c r="X17" s="89"/>
      <c r="Y17" s="89"/>
      <c r="Z17" s="89"/>
    </row>
    <row r="18" spans="2:26" ht="20.25" customHeight="1">
      <c r="B18" s="527"/>
      <c r="C18" s="96"/>
      <c r="D18" s="514" t="s">
        <v>396</v>
      </c>
      <c r="E18" s="515"/>
      <c r="F18" s="515"/>
      <c r="G18" s="516"/>
      <c r="H18" s="517">
        <v>368</v>
      </c>
      <c r="I18" s="515"/>
      <c r="J18" s="97"/>
      <c r="K18" s="98"/>
      <c r="L18" s="514" t="s">
        <v>397</v>
      </c>
      <c r="M18" s="515"/>
      <c r="N18" s="516"/>
      <c r="O18" s="517" t="s">
        <v>398</v>
      </c>
      <c r="P18" s="515"/>
      <c r="Q18" s="97"/>
      <c r="R18" s="89"/>
      <c r="S18" s="89"/>
      <c r="T18" s="89"/>
      <c r="U18" s="89"/>
      <c r="V18" s="89"/>
      <c r="W18" s="89"/>
      <c r="X18" s="89"/>
      <c r="Y18" s="89"/>
      <c r="Z18" s="89"/>
    </row>
    <row r="19" spans="2:26" ht="20.25" customHeight="1">
      <c r="B19" s="527"/>
      <c r="C19" s="96"/>
      <c r="D19" s="514" t="s">
        <v>399</v>
      </c>
      <c r="E19" s="515"/>
      <c r="F19" s="515"/>
      <c r="G19" s="516"/>
      <c r="H19" s="517">
        <v>548</v>
      </c>
      <c r="I19" s="515"/>
      <c r="J19" s="97"/>
      <c r="K19" s="98"/>
      <c r="L19" s="514" t="s">
        <v>399</v>
      </c>
      <c r="M19" s="515"/>
      <c r="N19" s="516"/>
      <c r="O19" s="517" t="s">
        <v>400</v>
      </c>
      <c r="P19" s="515"/>
      <c r="Q19" s="97"/>
      <c r="R19" s="89"/>
      <c r="S19" s="89"/>
      <c r="T19" s="89"/>
      <c r="U19" s="89"/>
      <c r="V19" s="89"/>
      <c r="W19" s="89"/>
      <c r="X19" s="89"/>
      <c r="Y19" s="89"/>
      <c r="Z19" s="89"/>
    </row>
    <row r="20" spans="2:26" ht="5.25" customHeight="1" thickBot="1">
      <c r="B20" s="528"/>
      <c r="C20" s="99"/>
      <c r="D20" s="100"/>
      <c r="E20" s="100"/>
      <c r="F20" s="100"/>
      <c r="G20" s="100"/>
      <c r="H20" s="100"/>
      <c r="I20" s="100"/>
      <c r="J20" s="101"/>
      <c r="K20" s="102"/>
      <c r="L20" s="100"/>
      <c r="M20" s="100"/>
      <c r="N20" s="100"/>
      <c r="O20" s="100"/>
      <c r="P20" s="100"/>
      <c r="Q20" s="101"/>
      <c r="R20" s="89"/>
      <c r="S20" s="89"/>
      <c r="T20" s="89"/>
      <c r="U20" s="89"/>
      <c r="V20" s="89"/>
      <c r="W20" s="89"/>
      <c r="X20" s="89"/>
      <c r="Y20" s="89"/>
      <c r="Z20" s="89"/>
    </row>
    <row r="21" spans="2:26" ht="5.25" customHeight="1">
      <c r="B21" s="526" t="s">
        <v>401</v>
      </c>
      <c r="C21" s="92"/>
      <c r="D21" s="93"/>
      <c r="E21" s="93"/>
      <c r="F21" s="93"/>
      <c r="G21" s="93"/>
      <c r="H21" s="93"/>
      <c r="I21" s="93"/>
      <c r="J21" s="94"/>
      <c r="K21" s="95"/>
      <c r="L21" s="93"/>
      <c r="M21" s="93"/>
      <c r="N21" s="93"/>
      <c r="O21" s="93"/>
      <c r="P21" s="93"/>
      <c r="Q21" s="94"/>
      <c r="R21" s="89"/>
      <c r="S21" s="89"/>
      <c r="T21" s="89"/>
      <c r="U21" s="89"/>
      <c r="V21" s="89"/>
      <c r="W21" s="89"/>
      <c r="X21" s="89"/>
      <c r="Y21" s="89"/>
      <c r="Z21" s="89"/>
    </row>
    <row r="22" spans="2:26" ht="27.75" thickBot="1">
      <c r="B22" s="527"/>
      <c r="C22" s="96"/>
      <c r="D22" s="103"/>
      <c r="E22" s="104"/>
      <c r="F22" s="105" t="s">
        <v>402</v>
      </c>
      <c r="G22" s="105" t="s">
        <v>403</v>
      </c>
      <c r="H22" s="105" t="s">
        <v>404</v>
      </c>
      <c r="I22" s="106" t="s">
        <v>405</v>
      </c>
      <c r="J22" s="107"/>
      <c r="K22" s="108"/>
      <c r="L22" s="103"/>
      <c r="M22" s="105" t="s">
        <v>403</v>
      </c>
      <c r="N22" s="105" t="s">
        <v>406</v>
      </c>
      <c r="O22" s="536" t="s">
        <v>405</v>
      </c>
      <c r="P22" s="537"/>
      <c r="Q22" s="97"/>
      <c r="R22" s="89"/>
      <c r="S22" s="89"/>
      <c r="T22" s="89"/>
      <c r="U22" s="89"/>
      <c r="V22" s="89"/>
      <c r="W22" s="89"/>
      <c r="X22" s="89"/>
      <c r="Y22" s="89"/>
      <c r="Z22" s="89"/>
    </row>
    <row r="23" spans="2:26" ht="14.25" thickTop="1">
      <c r="B23" s="527"/>
      <c r="C23" s="96"/>
      <c r="D23" s="538" t="s">
        <v>403</v>
      </c>
      <c r="E23" s="540" t="s">
        <v>407</v>
      </c>
      <c r="F23" s="540" t="s">
        <v>408</v>
      </c>
      <c r="G23" s="109" t="s">
        <v>409</v>
      </c>
      <c r="H23" s="109" t="s">
        <v>410</v>
      </c>
      <c r="I23" s="543">
        <v>24</v>
      </c>
      <c r="J23" s="107"/>
      <c r="K23" s="108"/>
      <c r="L23" s="538" t="s">
        <v>411</v>
      </c>
      <c r="M23" s="110" t="s">
        <v>409</v>
      </c>
      <c r="N23" s="110" t="s">
        <v>412</v>
      </c>
      <c r="O23" s="543">
        <v>24</v>
      </c>
      <c r="P23" s="551"/>
      <c r="Q23" s="97"/>
      <c r="R23" s="89"/>
      <c r="S23" s="89"/>
      <c r="T23" s="89"/>
      <c r="U23" s="89"/>
      <c r="V23" s="89"/>
      <c r="W23" s="89"/>
      <c r="X23" s="89"/>
      <c r="Y23" s="89"/>
      <c r="Z23" s="89"/>
    </row>
    <row r="24" spans="2:26" ht="13.5">
      <c r="B24" s="527"/>
      <c r="C24" s="96"/>
      <c r="D24" s="539"/>
      <c r="E24" s="541"/>
      <c r="F24" s="541"/>
      <c r="G24" s="111" t="s">
        <v>413</v>
      </c>
      <c r="H24" s="111" t="s">
        <v>414</v>
      </c>
      <c r="I24" s="544"/>
      <c r="J24" s="107"/>
      <c r="K24" s="108"/>
      <c r="L24" s="539"/>
      <c r="M24" s="112" t="s">
        <v>413</v>
      </c>
      <c r="N24" s="112" t="s">
        <v>415</v>
      </c>
      <c r="O24" s="544"/>
      <c r="P24" s="552"/>
      <c r="Q24" s="97"/>
      <c r="R24" s="89"/>
      <c r="S24" s="89"/>
      <c r="T24" s="89"/>
      <c r="U24" s="89"/>
      <c r="V24" s="89"/>
      <c r="W24" s="89"/>
      <c r="X24" s="89"/>
      <c r="Y24" s="89"/>
      <c r="Z24" s="89"/>
    </row>
    <row r="25" spans="2:26" ht="13.5">
      <c r="B25" s="527"/>
      <c r="C25" s="96"/>
      <c r="D25" s="539"/>
      <c r="E25" s="541"/>
      <c r="F25" s="541"/>
      <c r="G25" s="111" t="s">
        <v>416</v>
      </c>
      <c r="H25" s="111" t="s">
        <v>417</v>
      </c>
      <c r="I25" s="545"/>
      <c r="J25" s="107"/>
      <c r="K25" s="108"/>
      <c r="L25" s="539"/>
      <c r="M25" s="112" t="s">
        <v>416</v>
      </c>
      <c r="N25" s="112" t="s">
        <v>418</v>
      </c>
      <c r="O25" s="535"/>
      <c r="P25" s="531"/>
      <c r="Q25" s="97"/>
      <c r="R25" s="89"/>
      <c r="S25" s="89"/>
      <c r="T25" s="89"/>
      <c r="U25" s="89"/>
      <c r="V25" s="89"/>
      <c r="W25" s="89"/>
      <c r="X25" s="89"/>
      <c r="Y25" s="89"/>
      <c r="Z25" s="89"/>
    </row>
    <row r="26" spans="2:26" ht="13.5">
      <c r="B26" s="527"/>
      <c r="C26" s="96"/>
      <c r="D26" s="539"/>
      <c r="E26" s="541"/>
      <c r="F26" s="542"/>
      <c r="G26" s="113" t="s">
        <v>419</v>
      </c>
      <c r="H26" s="113" t="s">
        <v>420</v>
      </c>
      <c r="I26" s="114">
        <v>6</v>
      </c>
      <c r="J26" s="107"/>
      <c r="K26" s="108"/>
      <c r="L26" s="539"/>
      <c r="M26" s="553" t="s">
        <v>421</v>
      </c>
      <c r="N26" s="115" t="s">
        <v>422</v>
      </c>
      <c r="O26" s="554">
        <v>6</v>
      </c>
      <c r="P26" s="555"/>
      <c r="Q26" s="97"/>
      <c r="R26" s="89"/>
      <c r="S26" s="89"/>
      <c r="T26" s="89"/>
      <c r="U26" s="89"/>
      <c r="V26" s="89"/>
      <c r="W26" s="89"/>
      <c r="X26" s="89"/>
      <c r="Y26" s="89"/>
      <c r="Z26" s="89"/>
    </row>
    <row r="27" spans="2:26" ht="40.5">
      <c r="B27" s="527"/>
      <c r="C27" s="96"/>
      <c r="D27" s="539"/>
      <c r="E27" s="541"/>
      <c r="F27" s="553" t="s">
        <v>423</v>
      </c>
      <c r="G27" s="115" t="s">
        <v>421</v>
      </c>
      <c r="H27" s="115" t="s">
        <v>424</v>
      </c>
      <c r="I27" s="556">
        <v>12</v>
      </c>
      <c r="J27" s="107"/>
      <c r="K27" s="108"/>
      <c r="L27" s="539"/>
      <c r="M27" s="542"/>
      <c r="N27" s="113" t="s">
        <v>425</v>
      </c>
      <c r="O27" s="557">
        <v>12</v>
      </c>
      <c r="P27" s="558"/>
      <c r="Q27" s="97"/>
      <c r="R27" s="89"/>
      <c r="S27" s="89"/>
      <c r="T27" s="89"/>
      <c r="U27" s="89"/>
      <c r="V27" s="89"/>
      <c r="W27" s="89"/>
      <c r="X27" s="89"/>
      <c r="Y27" s="89"/>
      <c r="Z27" s="89"/>
    </row>
    <row r="28" spans="2:26" ht="13.5">
      <c r="B28" s="527"/>
      <c r="C28" s="96"/>
      <c r="D28" s="539"/>
      <c r="E28" s="541"/>
      <c r="F28" s="542"/>
      <c r="G28" s="113" t="s">
        <v>426</v>
      </c>
      <c r="H28" s="113" t="s">
        <v>427</v>
      </c>
      <c r="I28" s="535"/>
      <c r="J28" s="107"/>
      <c r="K28" s="108"/>
      <c r="L28" s="539"/>
      <c r="M28" s="112" t="s">
        <v>426</v>
      </c>
      <c r="N28" s="112" t="s">
        <v>428</v>
      </c>
      <c r="O28" s="535"/>
      <c r="P28" s="531"/>
      <c r="Q28" s="97"/>
      <c r="R28" s="89"/>
      <c r="S28" s="89"/>
      <c r="T28" s="89"/>
      <c r="U28" s="89"/>
      <c r="V28" s="89"/>
      <c r="W28" s="89"/>
      <c r="X28" s="89"/>
      <c r="Y28" s="89"/>
      <c r="Z28" s="89"/>
    </row>
    <row r="29" spans="2:26" ht="13.5">
      <c r="B29" s="527"/>
      <c r="C29" s="96"/>
      <c r="D29" s="539"/>
      <c r="E29" s="541"/>
      <c r="F29" s="553" t="s">
        <v>429</v>
      </c>
      <c r="G29" s="115" t="s">
        <v>430</v>
      </c>
      <c r="H29" s="116"/>
      <c r="I29" s="117">
        <v>8</v>
      </c>
      <c r="J29" s="107"/>
      <c r="K29" s="108"/>
      <c r="L29" s="539"/>
      <c r="M29" s="112" t="s">
        <v>430</v>
      </c>
      <c r="N29" s="118"/>
      <c r="O29" s="548">
        <v>8</v>
      </c>
      <c r="P29" s="515"/>
      <c r="Q29" s="97"/>
      <c r="R29" s="89"/>
      <c r="S29" s="89"/>
      <c r="T29" s="89"/>
      <c r="U29" s="89"/>
      <c r="V29" s="89"/>
      <c r="W29" s="89"/>
      <c r="X29" s="89"/>
      <c r="Y29" s="89"/>
      <c r="Z29" s="89"/>
    </row>
    <row r="30" spans="2:26" ht="13.5">
      <c r="B30" s="527"/>
      <c r="C30" s="96"/>
      <c r="D30" s="539"/>
      <c r="E30" s="541"/>
      <c r="F30" s="542"/>
      <c r="G30" s="113" t="s">
        <v>431</v>
      </c>
      <c r="H30" s="119"/>
      <c r="I30" s="114">
        <v>6</v>
      </c>
      <c r="J30" s="107"/>
      <c r="K30" s="108"/>
      <c r="L30" s="539"/>
      <c r="M30" s="112" t="s">
        <v>431</v>
      </c>
      <c r="N30" s="118"/>
      <c r="O30" s="548">
        <v>6</v>
      </c>
      <c r="P30" s="515"/>
      <c r="Q30" s="97"/>
      <c r="R30" s="89"/>
      <c r="S30" s="89"/>
      <c r="T30" s="89"/>
      <c r="U30" s="89"/>
      <c r="V30" s="89"/>
      <c r="W30" s="89"/>
      <c r="X30" s="89"/>
      <c r="Y30" s="89"/>
      <c r="Z30" s="89"/>
    </row>
    <row r="31" spans="2:26" ht="54">
      <c r="B31" s="527"/>
      <c r="C31" s="96"/>
      <c r="D31" s="539"/>
      <c r="E31" s="541"/>
      <c r="F31" s="112" t="s">
        <v>432</v>
      </c>
      <c r="G31" s="112" t="s">
        <v>433</v>
      </c>
      <c r="H31" s="118"/>
      <c r="I31" s="120">
        <v>10</v>
      </c>
      <c r="J31" s="107"/>
      <c r="K31" s="108"/>
      <c r="L31" s="539"/>
      <c r="M31" s="112" t="s">
        <v>434</v>
      </c>
      <c r="N31" s="118"/>
      <c r="O31" s="548">
        <v>8</v>
      </c>
      <c r="P31" s="515"/>
      <c r="Q31" s="97"/>
      <c r="R31" s="89"/>
      <c r="S31" s="89"/>
      <c r="T31" s="89"/>
      <c r="U31" s="89"/>
      <c r="V31" s="89"/>
      <c r="W31" s="89"/>
      <c r="X31" s="89"/>
      <c r="Y31" s="89"/>
      <c r="Z31" s="89"/>
    </row>
    <row r="32" spans="2:26" ht="18.75" customHeight="1">
      <c r="B32" s="527"/>
      <c r="C32" s="96"/>
      <c r="D32" s="539"/>
      <c r="E32" s="542"/>
      <c r="F32" s="549" t="s">
        <v>399</v>
      </c>
      <c r="G32" s="515"/>
      <c r="H32" s="516"/>
      <c r="I32" s="121">
        <v>66</v>
      </c>
      <c r="J32" s="107"/>
      <c r="K32" s="108"/>
      <c r="L32" s="532"/>
      <c r="M32" s="549" t="s">
        <v>399</v>
      </c>
      <c r="N32" s="516"/>
      <c r="O32" s="550">
        <v>64</v>
      </c>
      <c r="P32" s="515"/>
      <c r="Q32" s="97"/>
      <c r="R32" s="89"/>
      <c r="S32" s="89"/>
      <c r="T32" s="89"/>
      <c r="U32" s="89"/>
      <c r="V32" s="89"/>
      <c r="W32" s="89"/>
      <c r="X32" s="89"/>
      <c r="Y32" s="89"/>
      <c r="Z32" s="89"/>
    </row>
    <row r="33" spans="2:26" ht="35.25" customHeight="1">
      <c r="B33" s="527"/>
      <c r="C33" s="96"/>
      <c r="D33" s="532"/>
      <c r="E33" s="122" t="s">
        <v>435</v>
      </c>
      <c r="F33" s="549" t="s">
        <v>436</v>
      </c>
      <c r="G33" s="515"/>
      <c r="H33" s="516"/>
      <c r="I33" s="121">
        <v>86</v>
      </c>
      <c r="J33" s="107"/>
      <c r="K33" s="108"/>
      <c r="L33" s="123" t="s">
        <v>437</v>
      </c>
      <c r="M33" s="549" t="s">
        <v>438</v>
      </c>
      <c r="N33" s="516"/>
      <c r="O33" s="550">
        <v>80</v>
      </c>
      <c r="P33" s="515"/>
      <c r="Q33" s="97"/>
      <c r="R33" s="89"/>
      <c r="S33" s="89"/>
      <c r="T33" s="89"/>
      <c r="U33" s="89"/>
      <c r="V33" s="89"/>
      <c r="W33" s="89"/>
      <c r="X33" s="89"/>
      <c r="Y33" s="89"/>
      <c r="Z33" s="89"/>
    </row>
    <row r="34" spans="2:26" ht="21.75" customHeight="1">
      <c r="B34" s="527"/>
      <c r="C34" s="96"/>
      <c r="D34" s="546" t="s">
        <v>377</v>
      </c>
      <c r="E34" s="515"/>
      <c r="F34" s="515"/>
      <c r="G34" s="515"/>
      <c r="H34" s="516"/>
      <c r="I34" s="124">
        <v>22</v>
      </c>
      <c r="J34" s="107"/>
      <c r="K34" s="108"/>
      <c r="L34" s="546" t="s">
        <v>377</v>
      </c>
      <c r="M34" s="515"/>
      <c r="N34" s="516"/>
      <c r="O34" s="547">
        <v>30</v>
      </c>
      <c r="P34" s="515"/>
      <c r="Q34" s="97"/>
      <c r="R34" s="89"/>
      <c r="S34" s="89"/>
      <c r="T34" s="89"/>
      <c r="U34" s="89"/>
      <c r="V34" s="89"/>
      <c r="W34" s="89"/>
      <c r="X34" s="89"/>
      <c r="Y34" s="89"/>
      <c r="Z34" s="89"/>
    </row>
    <row r="35" spans="2:26" ht="24" customHeight="1">
      <c r="B35" s="527"/>
      <c r="C35" s="96"/>
      <c r="D35" s="546" t="s">
        <v>380</v>
      </c>
      <c r="E35" s="515"/>
      <c r="F35" s="515"/>
      <c r="G35" s="515"/>
      <c r="H35" s="516"/>
      <c r="I35" s="124">
        <v>18</v>
      </c>
      <c r="J35" s="107"/>
      <c r="K35" s="108"/>
      <c r="L35" s="546" t="s">
        <v>380</v>
      </c>
      <c r="M35" s="515"/>
      <c r="N35" s="516"/>
      <c r="O35" s="547">
        <v>18</v>
      </c>
      <c r="P35" s="515"/>
      <c r="Q35" s="97"/>
      <c r="R35" s="89"/>
      <c r="S35" s="89"/>
      <c r="T35" s="89"/>
      <c r="U35" s="89"/>
      <c r="V35" s="89"/>
      <c r="W35" s="89"/>
      <c r="X35" s="89"/>
      <c r="Y35" s="89"/>
      <c r="Z35" s="89"/>
    </row>
    <row r="36" spans="2:26" ht="13.5">
      <c r="B36" s="527"/>
      <c r="C36" s="96"/>
      <c r="D36" s="559" t="s">
        <v>439</v>
      </c>
      <c r="E36" s="515"/>
      <c r="F36" s="515"/>
      <c r="G36" s="515"/>
      <c r="H36" s="516"/>
      <c r="I36" s="121">
        <v>192</v>
      </c>
      <c r="J36" s="107"/>
      <c r="K36" s="108"/>
      <c r="L36" s="559" t="s">
        <v>439</v>
      </c>
      <c r="M36" s="515"/>
      <c r="N36" s="516"/>
      <c r="O36" s="550">
        <v>192</v>
      </c>
      <c r="P36" s="515"/>
      <c r="Q36" s="97"/>
      <c r="R36" s="89"/>
      <c r="S36" s="89"/>
      <c r="T36" s="89"/>
      <c r="U36" s="89"/>
      <c r="V36" s="89"/>
      <c r="W36" s="89"/>
      <c r="X36" s="89"/>
      <c r="Y36" s="89"/>
      <c r="Z36" s="89"/>
    </row>
    <row r="37" spans="2:26" ht="5.25" customHeight="1" thickBot="1">
      <c r="B37" s="528"/>
      <c r="C37" s="99"/>
      <c r="D37" s="100"/>
      <c r="E37" s="100"/>
      <c r="F37" s="100"/>
      <c r="G37" s="100"/>
      <c r="H37" s="100"/>
      <c r="I37" s="100"/>
      <c r="J37" s="101"/>
      <c r="K37" s="102"/>
      <c r="L37" s="100"/>
      <c r="M37" s="100"/>
      <c r="N37" s="100"/>
      <c r="O37" s="100"/>
      <c r="P37" s="100"/>
      <c r="Q37" s="101"/>
      <c r="R37" s="89"/>
      <c r="S37" s="89"/>
      <c r="T37" s="89"/>
      <c r="U37" s="89"/>
      <c r="V37" s="89"/>
      <c r="W37" s="89"/>
      <c r="X37" s="89"/>
      <c r="Y37" s="89"/>
      <c r="Z37" s="89"/>
    </row>
    <row r="38" spans="2:26" ht="5.25" customHeight="1">
      <c r="B38" s="526" t="s">
        <v>440</v>
      </c>
      <c r="C38" s="92"/>
      <c r="D38" s="93"/>
      <c r="E38" s="93"/>
      <c r="F38" s="93"/>
      <c r="G38" s="93"/>
      <c r="H38" s="93"/>
      <c r="I38" s="93"/>
      <c r="J38" s="94"/>
      <c r="K38" s="95"/>
      <c r="L38" s="93"/>
      <c r="M38" s="93"/>
      <c r="N38" s="93"/>
      <c r="O38" s="93"/>
      <c r="P38" s="93"/>
      <c r="Q38" s="94"/>
      <c r="R38" s="89"/>
      <c r="S38" s="89"/>
      <c r="T38" s="89"/>
      <c r="U38" s="89"/>
      <c r="V38" s="89"/>
      <c r="W38" s="89"/>
      <c r="X38" s="89"/>
      <c r="Y38" s="89"/>
      <c r="Z38" s="89"/>
    </row>
    <row r="39" spans="2:26" ht="13.5">
      <c r="B39" s="527"/>
      <c r="C39" s="96" t="s">
        <v>441</v>
      </c>
      <c r="D39" s="125"/>
      <c r="E39" s="125"/>
      <c r="F39" s="125"/>
      <c r="G39" s="125"/>
      <c r="H39" s="125"/>
      <c r="I39" s="125"/>
      <c r="J39" s="97"/>
      <c r="K39" s="98"/>
      <c r="L39" s="125" t="s">
        <v>442</v>
      </c>
      <c r="M39" s="125"/>
      <c r="N39" s="125"/>
      <c r="O39" s="125"/>
      <c r="P39" s="125"/>
      <c r="Q39" s="97"/>
      <c r="R39" s="89"/>
      <c r="S39" s="89"/>
      <c r="T39" s="89"/>
      <c r="U39" s="89"/>
      <c r="V39" s="89"/>
      <c r="W39" s="89"/>
      <c r="X39" s="89"/>
      <c r="Y39" s="89"/>
      <c r="Z39" s="89"/>
    </row>
    <row r="40" spans="2:26" ht="13.5">
      <c r="B40" s="527"/>
      <c r="C40" s="96" t="s">
        <v>443</v>
      </c>
      <c r="D40" s="125"/>
      <c r="E40" s="125"/>
      <c r="F40" s="125"/>
      <c r="G40" s="125"/>
      <c r="H40" s="125"/>
      <c r="I40" s="125"/>
      <c r="J40" s="97"/>
      <c r="K40" s="98"/>
      <c r="L40" s="125" t="s">
        <v>444</v>
      </c>
      <c r="M40" s="125"/>
      <c r="N40" s="125"/>
      <c r="O40" s="125"/>
      <c r="P40" s="125"/>
      <c r="Q40" s="97"/>
      <c r="R40" s="89"/>
      <c r="S40" s="89"/>
      <c r="T40" s="89"/>
      <c r="U40" s="89"/>
      <c r="V40" s="89"/>
      <c r="W40" s="89"/>
      <c r="X40" s="89"/>
      <c r="Y40" s="89"/>
      <c r="Z40" s="89"/>
    </row>
    <row r="41" spans="2:26" ht="5.25" customHeight="1" thickBot="1">
      <c r="B41" s="528"/>
      <c r="C41" s="99"/>
      <c r="D41" s="100"/>
      <c r="E41" s="100"/>
      <c r="F41" s="100"/>
      <c r="G41" s="100"/>
      <c r="H41" s="100"/>
      <c r="I41" s="100"/>
      <c r="J41" s="101"/>
      <c r="K41" s="102"/>
      <c r="L41" s="100"/>
      <c r="M41" s="100"/>
      <c r="N41" s="100"/>
      <c r="O41" s="100"/>
      <c r="P41" s="100"/>
      <c r="Q41" s="101"/>
      <c r="R41" s="89"/>
      <c r="S41" s="89"/>
      <c r="T41" s="89"/>
      <c r="U41" s="89"/>
      <c r="V41" s="89"/>
      <c r="W41" s="89"/>
      <c r="X41" s="89"/>
      <c r="Y41" s="89"/>
      <c r="Z41" s="89"/>
    </row>
    <row r="42" spans="2:26" ht="5.25" customHeight="1">
      <c r="B42" s="526" t="s">
        <v>445</v>
      </c>
      <c r="C42" s="92"/>
      <c r="D42" s="93"/>
      <c r="E42" s="93"/>
      <c r="F42" s="93"/>
      <c r="G42" s="93"/>
      <c r="H42" s="93"/>
      <c r="I42" s="93"/>
      <c r="J42" s="94"/>
      <c r="K42" s="95"/>
      <c r="L42" s="93"/>
      <c r="M42" s="93"/>
      <c r="N42" s="93"/>
      <c r="O42" s="93"/>
      <c r="P42" s="93"/>
      <c r="Q42" s="94"/>
      <c r="R42" s="89"/>
      <c r="S42" s="89"/>
      <c r="T42" s="89"/>
      <c r="U42" s="89"/>
      <c r="V42" s="89"/>
      <c r="W42" s="89"/>
      <c r="X42" s="89"/>
      <c r="Y42" s="89"/>
      <c r="Z42" s="89"/>
    </row>
    <row r="43" spans="2:26" ht="13.5">
      <c r="B43" s="527"/>
      <c r="C43" s="96"/>
      <c r="D43" s="125" t="s">
        <v>446</v>
      </c>
      <c r="E43" s="125"/>
      <c r="F43" s="125"/>
      <c r="G43" s="125"/>
      <c r="H43" s="125"/>
      <c r="I43" s="125"/>
      <c r="J43" s="97"/>
      <c r="K43" s="98"/>
      <c r="L43" s="125" t="s">
        <v>447</v>
      </c>
      <c r="M43" s="125"/>
      <c r="N43" s="125"/>
      <c r="O43" s="125"/>
      <c r="P43" s="125"/>
      <c r="Q43" s="97"/>
      <c r="R43" s="89"/>
      <c r="S43" s="89"/>
      <c r="T43" s="89"/>
      <c r="U43" s="89"/>
      <c r="V43" s="89"/>
      <c r="W43" s="89"/>
      <c r="X43" s="89"/>
      <c r="Y43" s="89"/>
      <c r="Z43" s="89"/>
    </row>
    <row r="44" spans="2:26" ht="13.5">
      <c r="B44" s="527"/>
      <c r="C44" s="96"/>
      <c r="D44" s="125" t="s">
        <v>448</v>
      </c>
      <c r="E44" s="126"/>
      <c r="F44" s="126"/>
      <c r="G44" s="126"/>
      <c r="H44" s="126"/>
      <c r="I44" s="126"/>
      <c r="J44" s="97"/>
      <c r="K44" s="98"/>
      <c r="L44" s="125"/>
      <c r="M44" s="125"/>
      <c r="N44" s="125"/>
      <c r="O44" s="125"/>
      <c r="P44" s="125"/>
      <c r="Q44" s="97"/>
      <c r="R44" s="89"/>
      <c r="S44" s="89"/>
      <c r="T44" s="89"/>
      <c r="U44" s="89"/>
      <c r="V44" s="89"/>
      <c r="W44" s="89"/>
      <c r="X44" s="89"/>
      <c r="Y44" s="89"/>
      <c r="Z44" s="89"/>
    </row>
    <row r="45" spans="2:26" ht="13.5">
      <c r="B45" s="527"/>
      <c r="C45" s="96"/>
      <c r="D45" s="560" t="s">
        <v>366</v>
      </c>
      <c r="E45" s="515"/>
      <c r="F45" s="516"/>
      <c r="G45" s="561" t="s">
        <v>449</v>
      </c>
      <c r="H45" s="516"/>
      <c r="I45" s="127" t="s">
        <v>450</v>
      </c>
      <c r="J45" s="97"/>
      <c r="K45" s="98"/>
      <c r="L45" s="560" t="s">
        <v>366</v>
      </c>
      <c r="M45" s="516"/>
      <c r="N45" s="561" t="s">
        <v>449</v>
      </c>
      <c r="O45" s="516"/>
      <c r="P45" s="127" t="s">
        <v>451</v>
      </c>
      <c r="Q45" s="97"/>
      <c r="R45" s="89"/>
      <c r="S45" s="89"/>
      <c r="T45" s="89"/>
      <c r="U45" s="89"/>
      <c r="V45" s="89"/>
      <c r="W45" s="89"/>
      <c r="X45" s="89"/>
      <c r="Y45" s="89"/>
      <c r="Z45" s="89"/>
    </row>
    <row r="46" spans="2:26" ht="38.25" customHeight="1">
      <c r="B46" s="527"/>
      <c r="C46" s="96"/>
      <c r="D46" s="514" t="s">
        <v>452</v>
      </c>
      <c r="E46" s="516"/>
      <c r="F46" s="128">
        <v>1</v>
      </c>
      <c r="G46" s="562" t="s">
        <v>453</v>
      </c>
      <c r="H46" s="516"/>
      <c r="I46" s="563">
        <v>86</v>
      </c>
      <c r="J46" s="97"/>
      <c r="K46" s="98"/>
      <c r="L46" s="129" t="s">
        <v>452</v>
      </c>
      <c r="M46" s="128">
        <v>3</v>
      </c>
      <c r="N46" s="562" t="s">
        <v>454</v>
      </c>
      <c r="O46" s="516"/>
      <c r="P46" s="563">
        <v>80</v>
      </c>
      <c r="Q46" s="97"/>
      <c r="R46" s="89"/>
      <c r="S46" s="89"/>
      <c r="T46" s="89"/>
      <c r="U46" s="89"/>
      <c r="V46" s="89"/>
      <c r="W46" s="89"/>
      <c r="X46" s="89"/>
      <c r="Y46" s="89"/>
      <c r="Z46" s="89"/>
    </row>
    <row r="47" spans="2:26" ht="16.5" customHeight="1">
      <c r="B47" s="527"/>
      <c r="C47" s="96"/>
      <c r="D47" s="514" t="s">
        <v>455</v>
      </c>
      <c r="E47" s="516"/>
      <c r="F47" s="128">
        <v>179</v>
      </c>
      <c r="G47" s="517" t="s">
        <v>438</v>
      </c>
      <c r="H47" s="516"/>
      <c r="I47" s="544"/>
      <c r="J47" s="97"/>
      <c r="K47" s="98"/>
      <c r="L47" s="129" t="s">
        <v>456</v>
      </c>
      <c r="M47" s="128">
        <v>216</v>
      </c>
      <c r="N47" s="517" t="s">
        <v>438</v>
      </c>
      <c r="O47" s="516"/>
      <c r="P47" s="544"/>
      <c r="Q47" s="97"/>
      <c r="R47" s="89"/>
      <c r="S47" s="89"/>
      <c r="T47" s="89"/>
      <c r="U47" s="89"/>
      <c r="V47" s="89"/>
      <c r="W47" s="89"/>
      <c r="X47" s="89"/>
      <c r="Y47" s="89"/>
      <c r="Z47" s="89"/>
    </row>
    <row r="48" spans="2:26" ht="16.5" customHeight="1">
      <c r="B48" s="527"/>
      <c r="C48" s="96"/>
      <c r="D48" s="514" t="s">
        <v>457</v>
      </c>
      <c r="E48" s="516"/>
      <c r="F48" s="128">
        <v>368</v>
      </c>
      <c r="G48" s="517" t="s">
        <v>438</v>
      </c>
      <c r="H48" s="516"/>
      <c r="I48" s="535"/>
      <c r="J48" s="97"/>
      <c r="K48" s="98"/>
      <c r="L48" s="129" t="s">
        <v>458</v>
      </c>
      <c r="M48" s="128">
        <v>309</v>
      </c>
      <c r="N48" s="517" t="s">
        <v>438</v>
      </c>
      <c r="O48" s="516"/>
      <c r="P48" s="535"/>
      <c r="Q48" s="97"/>
      <c r="R48" s="89"/>
      <c r="S48" s="89"/>
      <c r="T48" s="89"/>
      <c r="U48" s="89"/>
      <c r="V48" s="89"/>
      <c r="W48" s="89"/>
      <c r="X48" s="89"/>
      <c r="Y48" s="89"/>
      <c r="Z48" s="89"/>
    </row>
    <row r="49" spans="2:26" ht="5.25" customHeight="1" thickBot="1">
      <c r="B49" s="528"/>
      <c r="C49" s="99"/>
      <c r="D49" s="100"/>
      <c r="E49" s="100"/>
      <c r="F49" s="100"/>
      <c r="G49" s="100"/>
      <c r="H49" s="100"/>
      <c r="I49" s="100"/>
      <c r="J49" s="101"/>
      <c r="K49" s="102"/>
      <c r="L49" s="100"/>
      <c r="M49" s="100"/>
      <c r="N49" s="100"/>
      <c r="O49" s="100"/>
      <c r="P49" s="100"/>
      <c r="Q49" s="101"/>
      <c r="R49" s="89"/>
      <c r="S49" s="89"/>
      <c r="T49" s="89"/>
      <c r="U49" s="89"/>
      <c r="V49" s="89"/>
      <c r="W49" s="89"/>
      <c r="X49" s="89"/>
      <c r="Y49" s="89"/>
      <c r="Z49" s="89"/>
    </row>
    <row r="50" spans="2:26" ht="5.25" customHeight="1">
      <c r="B50" s="526" t="s">
        <v>459</v>
      </c>
      <c r="C50" s="92"/>
      <c r="D50" s="93"/>
      <c r="E50" s="93"/>
      <c r="F50" s="93"/>
      <c r="G50" s="93"/>
      <c r="H50" s="93"/>
      <c r="I50" s="93"/>
      <c r="J50" s="94"/>
      <c r="K50" s="95"/>
      <c r="L50" s="93"/>
      <c r="M50" s="93"/>
      <c r="N50" s="93"/>
      <c r="O50" s="93"/>
      <c r="P50" s="93"/>
      <c r="Q50" s="94"/>
      <c r="R50" s="89"/>
      <c r="S50" s="89"/>
      <c r="T50" s="89"/>
      <c r="U50" s="89"/>
      <c r="V50" s="89"/>
      <c r="W50" s="89"/>
      <c r="X50" s="89"/>
      <c r="Y50" s="89"/>
      <c r="Z50" s="89"/>
    </row>
    <row r="51" spans="2:26" ht="24">
      <c r="B51" s="527"/>
      <c r="C51" s="96"/>
      <c r="D51" s="565" t="s">
        <v>366</v>
      </c>
      <c r="E51" s="515"/>
      <c r="F51" s="516"/>
      <c r="G51" s="130" t="s">
        <v>460</v>
      </c>
      <c r="H51" s="130" t="s">
        <v>461</v>
      </c>
      <c r="I51" s="131" t="s">
        <v>462</v>
      </c>
      <c r="J51" s="107"/>
      <c r="K51" s="108"/>
      <c r="L51" s="565" t="s">
        <v>366</v>
      </c>
      <c r="M51" s="516"/>
      <c r="N51" s="130" t="s">
        <v>460</v>
      </c>
      <c r="O51" s="130" t="s">
        <v>461</v>
      </c>
      <c r="P51" s="131" t="s">
        <v>463</v>
      </c>
      <c r="Q51" s="97"/>
      <c r="R51" s="89"/>
      <c r="S51" s="89"/>
      <c r="T51" s="89"/>
      <c r="U51" s="89"/>
      <c r="V51" s="89"/>
      <c r="W51" s="89"/>
      <c r="X51" s="89"/>
      <c r="Y51" s="89"/>
      <c r="Z51" s="89"/>
    </row>
    <row r="52" spans="2:26" ht="13.5">
      <c r="B52" s="527"/>
      <c r="C52" s="96"/>
      <c r="D52" s="564" t="s">
        <v>464</v>
      </c>
      <c r="E52" s="515"/>
      <c r="F52" s="516"/>
      <c r="G52" s="132">
        <v>8</v>
      </c>
      <c r="H52" s="132">
        <v>-2</v>
      </c>
      <c r="I52" s="133" t="s">
        <v>465</v>
      </c>
      <c r="J52" s="107"/>
      <c r="K52" s="108"/>
      <c r="L52" s="564" t="s">
        <v>464</v>
      </c>
      <c r="M52" s="516"/>
      <c r="N52" s="132">
        <v>4</v>
      </c>
      <c r="O52" s="132">
        <v>-1</v>
      </c>
      <c r="P52" s="133" t="s">
        <v>360</v>
      </c>
      <c r="Q52" s="97"/>
      <c r="R52" s="89"/>
      <c r="S52" s="89"/>
      <c r="T52" s="89"/>
      <c r="U52" s="89"/>
      <c r="V52" s="89"/>
      <c r="W52" s="89"/>
      <c r="X52" s="89"/>
      <c r="Y52" s="89"/>
      <c r="Z52" s="89"/>
    </row>
    <row r="53" spans="2:26" ht="27.75" customHeight="1">
      <c r="B53" s="527"/>
      <c r="C53" s="96"/>
      <c r="D53" s="564" t="s">
        <v>466</v>
      </c>
      <c r="E53" s="515"/>
      <c r="F53" s="516"/>
      <c r="G53" s="132">
        <v>6</v>
      </c>
      <c r="H53" s="134"/>
      <c r="I53" s="133" t="s">
        <v>467</v>
      </c>
      <c r="J53" s="107"/>
      <c r="K53" s="108"/>
      <c r="L53" s="564" t="s">
        <v>468</v>
      </c>
      <c r="M53" s="516"/>
      <c r="N53" s="132">
        <v>3</v>
      </c>
      <c r="O53" s="134"/>
      <c r="P53" s="133">
        <v>3</v>
      </c>
      <c r="Q53" s="97"/>
      <c r="R53" s="89"/>
      <c r="S53" s="89"/>
      <c r="T53" s="89"/>
      <c r="U53" s="89"/>
      <c r="V53" s="89"/>
      <c r="W53" s="89"/>
      <c r="X53" s="89"/>
      <c r="Y53" s="89"/>
      <c r="Z53" s="89"/>
    </row>
    <row r="54" spans="2:26" ht="13.5">
      <c r="B54" s="527"/>
      <c r="C54" s="96"/>
      <c r="D54" s="564" t="s">
        <v>469</v>
      </c>
      <c r="E54" s="515"/>
      <c r="F54" s="516"/>
      <c r="G54" s="132">
        <v>5</v>
      </c>
      <c r="H54" s="132" t="s">
        <v>470</v>
      </c>
      <c r="I54" s="133" t="s">
        <v>471</v>
      </c>
      <c r="J54" s="107"/>
      <c r="K54" s="108"/>
      <c r="L54" s="564" t="s">
        <v>472</v>
      </c>
      <c r="M54" s="516"/>
      <c r="N54" s="132">
        <v>4</v>
      </c>
      <c r="O54" s="132" t="s">
        <v>473</v>
      </c>
      <c r="P54" s="133" t="s">
        <v>362</v>
      </c>
      <c r="Q54" s="97"/>
      <c r="R54" s="89"/>
      <c r="S54" s="89"/>
      <c r="T54" s="89"/>
      <c r="U54" s="89"/>
      <c r="V54" s="89"/>
      <c r="W54" s="89"/>
      <c r="X54" s="89"/>
      <c r="Y54" s="89"/>
      <c r="Z54" s="89"/>
    </row>
    <row r="55" spans="2:26" ht="13.5">
      <c r="B55" s="527"/>
      <c r="C55" s="96"/>
      <c r="D55" s="564" t="s">
        <v>474</v>
      </c>
      <c r="E55" s="515"/>
      <c r="F55" s="516"/>
      <c r="G55" s="132">
        <v>5</v>
      </c>
      <c r="H55" s="132" t="s">
        <v>475</v>
      </c>
      <c r="I55" s="133" t="s">
        <v>476</v>
      </c>
      <c r="J55" s="107"/>
      <c r="K55" s="108"/>
      <c r="L55" s="564" t="s">
        <v>477</v>
      </c>
      <c r="M55" s="516"/>
      <c r="N55" s="132">
        <v>3</v>
      </c>
      <c r="O55" s="132" t="s">
        <v>473</v>
      </c>
      <c r="P55" s="133" t="s">
        <v>363</v>
      </c>
      <c r="Q55" s="97"/>
      <c r="R55" s="89"/>
      <c r="S55" s="89"/>
      <c r="T55" s="89"/>
      <c r="U55" s="89"/>
      <c r="V55" s="89"/>
      <c r="W55" s="89"/>
      <c r="X55" s="89"/>
      <c r="Y55" s="89"/>
      <c r="Z55" s="89"/>
    </row>
    <row r="56" spans="2:26" ht="13.5">
      <c r="B56" s="527"/>
      <c r="C56" s="96"/>
      <c r="D56" s="564" t="s">
        <v>478</v>
      </c>
      <c r="E56" s="515"/>
      <c r="F56" s="516"/>
      <c r="G56" s="132">
        <v>5</v>
      </c>
      <c r="H56" s="132" t="s">
        <v>475</v>
      </c>
      <c r="I56" s="133" t="s">
        <v>476</v>
      </c>
      <c r="J56" s="107"/>
      <c r="K56" s="108"/>
      <c r="L56" s="564" t="s">
        <v>389</v>
      </c>
      <c r="M56" s="516"/>
      <c r="N56" s="562" t="s">
        <v>479</v>
      </c>
      <c r="O56" s="515"/>
      <c r="P56" s="515"/>
      <c r="Q56" s="97"/>
      <c r="R56" s="89"/>
      <c r="S56" s="89"/>
      <c r="T56" s="89"/>
      <c r="U56" s="89"/>
      <c r="V56" s="89"/>
      <c r="W56" s="89"/>
      <c r="X56" s="89"/>
      <c r="Y56" s="89"/>
      <c r="Z56" s="89"/>
    </row>
    <row r="57" spans="2:26" ht="13.5">
      <c r="B57" s="527"/>
      <c r="C57" s="96"/>
      <c r="D57" s="564" t="s">
        <v>387</v>
      </c>
      <c r="E57" s="515"/>
      <c r="F57" s="516"/>
      <c r="G57" s="562" t="s">
        <v>479</v>
      </c>
      <c r="H57" s="515"/>
      <c r="I57" s="515"/>
      <c r="J57" s="107"/>
      <c r="K57" s="108"/>
      <c r="L57" s="135"/>
      <c r="M57" s="125"/>
      <c r="N57" s="125"/>
      <c r="O57" s="125"/>
      <c r="P57" s="125"/>
      <c r="Q57" s="97"/>
      <c r="R57" s="89"/>
      <c r="S57" s="89"/>
      <c r="T57" s="89"/>
      <c r="U57" s="89"/>
      <c r="V57" s="89"/>
      <c r="W57" s="89"/>
      <c r="X57" s="89"/>
      <c r="Y57" s="89"/>
      <c r="Z57" s="89"/>
    </row>
    <row r="58" spans="2:26" ht="13.5">
      <c r="B58" s="527"/>
      <c r="C58" s="96"/>
      <c r="D58" s="125"/>
      <c r="E58" s="125"/>
      <c r="F58" s="125"/>
      <c r="G58" s="125"/>
      <c r="H58" s="125"/>
      <c r="I58" s="125"/>
      <c r="J58" s="97"/>
      <c r="K58" s="98"/>
      <c r="L58" s="125"/>
      <c r="M58" s="125"/>
      <c r="N58" s="125"/>
      <c r="O58" s="125"/>
      <c r="P58" s="125"/>
      <c r="Q58" s="97"/>
      <c r="R58" s="89"/>
      <c r="S58" s="89"/>
      <c r="T58" s="89"/>
      <c r="U58" s="89"/>
      <c r="V58" s="89"/>
      <c r="W58" s="89"/>
      <c r="X58" s="89"/>
      <c r="Y58" s="89"/>
      <c r="Z58" s="89"/>
    </row>
    <row r="59" spans="2:26" ht="33.75" customHeight="1">
      <c r="B59" s="527"/>
      <c r="C59" s="96"/>
      <c r="D59" s="567" t="s">
        <v>480</v>
      </c>
      <c r="E59" s="552"/>
      <c r="F59" s="552"/>
      <c r="G59" s="552"/>
      <c r="H59" s="552"/>
      <c r="I59" s="552"/>
      <c r="J59" s="97"/>
      <c r="K59" s="98"/>
      <c r="L59" s="567" t="s">
        <v>481</v>
      </c>
      <c r="M59" s="567"/>
      <c r="N59" s="567"/>
      <c r="O59" s="567"/>
      <c r="P59" s="567"/>
      <c r="Q59" s="97"/>
      <c r="R59" s="89"/>
      <c r="S59" s="89"/>
      <c r="T59" s="89"/>
      <c r="U59" s="89"/>
      <c r="V59" s="89"/>
      <c r="W59" s="89"/>
      <c r="X59" s="89"/>
      <c r="Y59" s="89"/>
      <c r="Z59" s="89"/>
    </row>
    <row r="60" spans="2:26" ht="5.25" customHeight="1" thickBot="1">
      <c r="B60" s="528"/>
      <c r="C60" s="99"/>
      <c r="D60" s="100"/>
      <c r="E60" s="100"/>
      <c r="F60" s="100"/>
      <c r="G60" s="100"/>
      <c r="H60" s="100"/>
      <c r="I60" s="100"/>
      <c r="J60" s="101"/>
      <c r="K60" s="102"/>
      <c r="L60" s="100"/>
      <c r="M60" s="100"/>
      <c r="N60" s="100"/>
      <c r="O60" s="100"/>
      <c r="P60" s="100"/>
      <c r="Q60" s="101"/>
      <c r="R60" s="89"/>
      <c r="S60" s="89"/>
      <c r="T60" s="89"/>
      <c r="U60" s="89"/>
      <c r="V60" s="89"/>
      <c r="W60" s="89"/>
      <c r="X60" s="89"/>
      <c r="Y60" s="89"/>
      <c r="Z60" s="89"/>
    </row>
    <row r="61" spans="2:26" ht="5.25" customHeight="1">
      <c r="B61" s="569" t="s">
        <v>482</v>
      </c>
      <c r="C61" s="96"/>
      <c r="D61" s="125"/>
      <c r="E61" s="125"/>
      <c r="F61" s="125"/>
      <c r="G61" s="125"/>
      <c r="H61" s="125"/>
      <c r="I61" s="125"/>
      <c r="J61" s="125"/>
      <c r="K61" s="95"/>
      <c r="L61" s="93"/>
      <c r="M61" s="93"/>
      <c r="N61" s="93"/>
      <c r="O61" s="93"/>
      <c r="P61" s="93"/>
      <c r="Q61" s="94"/>
      <c r="R61" s="89"/>
      <c r="S61" s="89"/>
      <c r="T61" s="89"/>
      <c r="U61" s="89"/>
      <c r="V61" s="89"/>
      <c r="W61" s="89"/>
      <c r="X61" s="89"/>
      <c r="Y61" s="89"/>
      <c r="Z61" s="89"/>
    </row>
    <row r="62" spans="2:26" ht="13.5">
      <c r="B62" s="570"/>
      <c r="C62" s="96"/>
      <c r="D62" s="125"/>
      <c r="E62" s="125"/>
      <c r="F62" s="125"/>
      <c r="G62" s="125"/>
      <c r="H62" s="125"/>
      <c r="I62" s="125"/>
      <c r="J62" s="125"/>
      <c r="K62" s="98"/>
      <c r="L62" s="125" t="s">
        <v>483</v>
      </c>
      <c r="M62" s="125"/>
      <c r="N62" s="125"/>
      <c r="O62" s="125"/>
      <c r="P62" s="125"/>
      <c r="Q62" s="97"/>
      <c r="R62" s="89"/>
      <c r="S62" s="89"/>
      <c r="T62" s="89"/>
      <c r="U62" s="89"/>
      <c r="V62" s="89"/>
      <c r="W62" s="89"/>
      <c r="X62" s="89"/>
      <c r="Y62" s="89"/>
      <c r="Z62" s="89"/>
    </row>
    <row r="63" spans="2:26" ht="13.5">
      <c r="B63" s="570"/>
      <c r="C63" s="96"/>
      <c r="D63" s="125"/>
      <c r="E63" s="125"/>
      <c r="F63" s="125"/>
      <c r="G63" s="125"/>
      <c r="H63" s="125"/>
      <c r="I63" s="125"/>
      <c r="J63" s="125"/>
      <c r="K63" s="98"/>
      <c r="L63" s="125" t="s">
        <v>484</v>
      </c>
      <c r="M63" s="125"/>
      <c r="N63" s="125"/>
      <c r="O63" s="125"/>
      <c r="P63" s="125"/>
      <c r="Q63" s="97"/>
      <c r="R63" s="89"/>
      <c r="S63" s="89"/>
      <c r="T63" s="89"/>
      <c r="U63" s="89"/>
      <c r="V63" s="89"/>
      <c r="W63" s="89"/>
      <c r="X63" s="89"/>
      <c r="Y63" s="89"/>
      <c r="Z63" s="89"/>
    </row>
    <row r="64" spans="2:26" ht="13.5">
      <c r="B64" s="570"/>
      <c r="C64" s="96"/>
      <c r="D64" s="125"/>
      <c r="E64" s="125"/>
      <c r="F64" s="125"/>
      <c r="G64" s="125"/>
      <c r="H64" s="125"/>
      <c r="I64" s="125"/>
      <c r="J64" s="125"/>
      <c r="K64" s="98"/>
      <c r="L64" s="571" t="s">
        <v>366</v>
      </c>
      <c r="M64" s="572" t="s">
        <v>485</v>
      </c>
      <c r="N64" s="516"/>
      <c r="O64" s="572" t="s">
        <v>486</v>
      </c>
      <c r="P64" s="515"/>
      <c r="Q64" s="97"/>
      <c r="R64" s="89"/>
      <c r="S64" s="89"/>
      <c r="T64" s="89"/>
      <c r="U64" s="89"/>
      <c r="V64" s="89"/>
      <c r="W64" s="89"/>
      <c r="X64" s="89"/>
      <c r="Y64" s="89"/>
      <c r="Z64" s="89"/>
    </row>
    <row r="65" spans="2:26" ht="13.5">
      <c r="B65" s="570"/>
      <c r="C65" s="96"/>
      <c r="D65" s="125"/>
      <c r="E65" s="125"/>
      <c r="F65" s="125"/>
      <c r="G65" s="125"/>
      <c r="H65" s="125"/>
      <c r="I65" s="125"/>
      <c r="J65" s="125"/>
      <c r="K65" s="98"/>
      <c r="L65" s="532"/>
      <c r="M65" s="128" t="s">
        <v>0</v>
      </c>
      <c r="N65" s="128" t="s">
        <v>487</v>
      </c>
      <c r="O65" s="128" t="s">
        <v>0</v>
      </c>
      <c r="P65" s="136" t="s">
        <v>487</v>
      </c>
      <c r="Q65" s="97"/>
      <c r="R65" s="89"/>
      <c r="S65" s="89"/>
      <c r="T65" s="89"/>
      <c r="U65" s="89"/>
      <c r="V65" s="89"/>
      <c r="W65" s="89"/>
      <c r="X65" s="89"/>
      <c r="Y65" s="89"/>
      <c r="Z65" s="89"/>
    </row>
    <row r="66" spans="2:26" ht="13.5">
      <c r="B66" s="570"/>
      <c r="C66" s="96"/>
      <c r="D66" s="125"/>
      <c r="E66" s="125"/>
      <c r="F66" s="125"/>
      <c r="G66" s="125"/>
      <c r="H66" s="125"/>
      <c r="I66" s="125"/>
      <c r="J66" s="125"/>
      <c r="K66" s="98"/>
      <c r="L66" s="137" t="s">
        <v>199</v>
      </c>
      <c r="M66" s="138">
        <v>2</v>
      </c>
      <c r="N66" s="138">
        <v>2</v>
      </c>
      <c r="O66" s="138">
        <v>4</v>
      </c>
      <c r="P66" s="127">
        <v>0</v>
      </c>
      <c r="Q66" s="97"/>
      <c r="R66" s="89"/>
      <c r="S66" s="89"/>
      <c r="T66" s="89"/>
      <c r="U66" s="89"/>
      <c r="V66" s="89"/>
      <c r="W66" s="89"/>
      <c r="X66" s="89"/>
      <c r="Y66" s="89"/>
      <c r="Z66" s="89"/>
    </row>
    <row r="67" spans="2:26" ht="13.5">
      <c r="B67" s="570"/>
      <c r="C67" s="96"/>
      <c r="D67" s="125"/>
      <c r="E67" s="125"/>
      <c r="F67" s="125"/>
      <c r="G67" s="125"/>
      <c r="H67" s="125"/>
      <c r="I67" s="125"/>
      <c r="J67" s="125"/>
      <c r="K67" s="98"/>
      <c r="L67" s="137" t="s">
        <v>213</v>
      </c>
      <c r="M67" s="138">
        <v>2</v>
      </c>
      <c r="N67" s="138">
        <v>2</v>
      </c>
      <c r="O67" s="138">
        <v>0</v>
      </c>
      <c r="P67" s="127">
        <v>4</v>
      </c>
      <c r="Q67" s="97"/>
      <c r="R67" s="89"/>
      <c r="S67" s="89"/>
      <c r="T67" s="89"/>
      <c r="U67" s="89"/>
      <c r="V67" s="89"/>
      <c r="W67" s="89"/>
      <c r="X67" s="89"/>
      <c r="Y67" s="89"/>
      <c r="Z67" s="89"/>
    </row>
    <row r="68" spans="2:26" ht="13.5">
      <c r="B68" s="570"/>
      <c r="C68" s="96"/>
      <c r="D68" s="125"/>
      <c r="E68" s="125"/>
      <c r="F68" s="125"/>
      <c r="G68" s="125"/>
      <c r="H68" s="125"/>
      <c r="I68" s="125"/>
      <c r="J68" s="125"/>
      <c r="K68" s="98"/>
      <c r="L68" s="137" t="s">
        <v>202</v>
      </c>
      <c r="M68" s="138">
        <v>2</v>
      </c>
      <c r="N68" s="138">
        <v>2</v>
      </c>
      <c r="O68" s="138">
        <v>4</v>
      </c>
      <c r="P68" s="127">
        <v>0</v>
      </c>
      <c r="Q68" s="97"/>
      <c r="R68" s="89"/>
      <c r="S68" s="89"/>
      <c r="T68" s="89"/>
      <c r="U68" s="89"/>
      <c r="V68" s="89"/>
      <c r="W68" s="89"/>
      <c r="X68" s="89"/>
      <c r="Y68" s="89"/>
      <c r="Z68" s="89"/>
    </row>
    <row r="69" spans="2:26" ht="13.5">
      <c r="B69" s="570"/>
      <c r="C69" s="96"/>
      <c r="D69" s="125"/>
      <c r="E69" s="125"/>
      <c r="F69" s="125"/>
      <c r="G69" s="125"/>
      <c r="H69" s="125"/>
      <c r="I69" s="125"/>
      <c r="J69" s="125"/>
      <c r="K69" s="98"/>
      <c r="L69" s="125" t="s">
        <v>488</v>
      </c>
      <c r="M69" s="125"/>
      <c r="N69" s="125"/>
      <c r="O69" s="125"/>
      <c r="P69" s="125"/>
      <c r="Q69" s="97"/>
      <c r="R69" s="89"/>
      <c r="S69" s="89"/>
      <c r="T69" s="89"/>
      <c r="U69" s="89"/>
      <c r="V69" s="89"/>
      <c r="W69" s="89"/>
      <c r="X69" s="89"/>
      <c r="Y69" s="89"/>
      <c r="Z69" s="89"/>
    </row>
    <row r="70" spans="2:26" ht="13.5">
      <c r="B70" s="570"/>
      <c r="C70" s="96"/>
      <c r="D70" s="125"/>
      <c r="E70" s="125"/>
      <c r="F70" s="125"/>
      <c r="G70" s="125"/>
      <c r="H70" s="125"/>
      <c r="I70" s="125"/>
      <c r="J70" s="125"/>
      <c r="K70" s="98"/>
      <c r="L70" s="571" t="s">
        <v>366</v>
      </c>
      <c r="M70" s="572" t="s">
        <v>485</v>
      </c>
      <c r="N70" s="516"/>
      <c r="O70" s="572" t="s">
        <v>486</v>
      </c>
      <c r="P70" s="515"/>
      <c r="Q70" s="97"/>
      <c r="R70" s="89"/>
      <c r="S70" s="89"/>
      <c r="T70" s="89"/>
      <c r="U70" s="89"/>
      <c r="V70" s="89"/>
      <c r="W70" s="89"/>
      <c r="X70" s="89"/>
      <c r="Y70" s="89"/>
      <c r="Z70" s="89"/>
    </row>
    <row r="71" spans="2:26" ht="13.5">
      <c r="B71" s="570"/>
      <c r="C71" s="96"/>
      <c r="D71" s="125"/>
      <c r="E71" s="125"/>
      <c r="F71" s="125"/>
      <c r="G71" s="125"/>
      <c r="H71" s="125"/>
      <c r="I71" s="125"/>
      <c r="J71" s="125"/>
      <c r="K71" s="98"/>
      <c r="L71" s="532"/>
      <c r="M71" s="128" t="s">
        <v>0</v>
      </c>
      <c r="N71" s="128" t="s">
        <v>487</v>
      </c>
      <c r="O71" s="128" t="s">
        <v>0</v>
      </c>
      <c r="P71" s="136" t="s">
        <v>487</v>
      </c>
      <c r="Q71" s="97"/>
      <c r="R71" s="89"/>
      <c r="S71" s="89"/>
      <c r="T71" s="89"/>
      <c r="U71" s="89"/>
      <c r="V71" s="89"/>
      <c r="W71" s="89"/>
      <c r="X71" s="89"/>
      <c r="Y71" s="89"/>
      <c r="Z71" s="89"/>
    </row>
    <row r="72" spans="2:26" ht="13.5">
      <c r="B72" s="570"/>
      <c r="C72" s="96"/>
      <c r="D72" s="125"/>
      <c r="E72" s="125"/>
      <c r="F72" s="125"/>
      <c r="G72" s="125"/>
      <c r="H72" s="125"/>
      <c r="I72" s="125"/>
      <c r="J72" s="125"/>
      <c r="K72" s="98"/>
      <c r="L72" s="137" t="s">
        <v>452</v>
      </c>
      <c r="M72" s="138">
        <v>1</v>
      </c>
      <c r="N72" s="138">
        <v>1</v>
      </c>
      <c r="O72" s="138">
        <v>2</v>
      </c>
      <c r="P72" s="127">
        <v>0</v>
      </c>
      <c r="Q72" s="97"/>
      <c r="R72" s="89"/>
      <c r="S72" s="89"/>
      <c r="T72" s="89"/>
      <c r="U72" s="89"/>
      <c r="V72" s="89"/>
      <c r="W72" s="89"/>
      <c r="X72" s="89"/>
      <c r="Y72" s="89"/>
      <c r="Z72" s="89"/>
    </row>
    <row r="73" spans="2:26" ht="13.5">
      <c r="B73" s="570"/>
      <c r="C73" s="96"/>
      <c r="D73" s="125"/>
      <c r="E73" s="125"/>
      <c r="F73" s="125"/>
      <c r="G73" s="125"/>
      <c r="H73" s="125"/>
      <c r="I73" s="125"/>
      <c r="J73" s="125"/>
      <c r="K73" s="98"/>
      <c r="L73" s="137" t="s">
        <v>456</v>
      </c>
      <c r="M73" s="138">
        <v>2</v>
      </c>
      <c r="N73" s="138">
        <v>2</v>
      </c>
      <c r="O73" s="138">
        <v>0</v>
      </c>
      <c r="P73" s="127">
        <v>4</v>
      </c>
      <c r="Q73" s="97"/>
      <c r="R73" s="89"/>
      <c r="S73" s="89"/>
      <c r="T73" s="89"/>
      <c r="U73" s="89"/>
      <c r="V73" s="89"/>
      <c r="W73" s="89"/>
      <c r="X73" s="89"/>
      <c r="Y73" s="89"/>
      <c r="Z73" s="89"/>
    </row>
    <row r="74" spans="2:26" ht="13.5">
      <c r="B74" s="570"/>
      <c r="C74" s="96"/>
      <c r="D74" s="125"/>
      <c r="E74" s="125"/>
      <c r="F74" s="125"/>
      <c r="G74" s="125"/>
      <c r="H74" s="125"/>
      <c r="I74" s="125"/>
      <c r="J74" s="125"/>
      <c r="K74" s="98"/>
      <c r="L74" s="573" t="s">
        <v>489</v>
      </c>
      <c r="M74" s="566" t="s">
        <v>490</v>
      </c>
      <c r="N74" s="566" t="s">
        <v>490</v>
      </c>
      <c r="O74" s="139">
        <v>8</v>
      </c>
      <c r="P74" s="140">
        <v>0</v>
      </c>
      <c r="Q74" s="97"/>
      <c r="R74" s="89"/>
      <c r="S74" s="89"/>
      <c r="T74" s="89"/>
      <c r="U74" s="89"/>
      <c r="V74" s="89"/>
      <c r="W74" s="89"/>
      <c r="X74" s="89"/>
      <c r="Y74" s="89"/>
      <c r="Z74" s="89"/>
    </row>
    <row r="75" spans="2:26" ht="13.5">
      <c r="B75" s="570"/>
      <c r="C75" s="96"/>
      <c r="D75" s="125"/>
      <c r="E75" s="125"/>
      <c r="F75" s="125"/>
      <c r="G75" s="125"/>
      <c r="H75" s="125"/>
      <c r="I75" s="125"/>
      <c r="J75" s="125"/>
      <c r="K75" s="98"/>
      <c r="L75" s="574"/>
      <c r="M75" s="542"/>
      <c r="N75" s="542"/>
      <c r="O75" s="139">
        <v>4</v>
      </c>
      <c r="P75" s="140">
        <v>4</v>
      </c>
      <c r="Q75" s="97"/>
      <c r="R75" s="89"/>
      <c r="S75" s="89"/>
      <c r="T75" s="89"/>
      <c r="U75" s="89"/>
      <c r="V75" s="89"/>
      <c r="W75" s="89"/>
      <c r="X75" s="89"/>
      <c r="Y75" s="89"/>
      <c r="Z75" s="89"/>
    </row>
    <row r="76" spans="2:26" ht="33.75" customHeight="1">
      <c r="B76" s="570"/>
      <c r="C76" s="96"/>
      <c r="D76" s="125"/>
      <c r="E76" s="125"/>
      <c r="F76" s="125"/>
      <c r="G76" s="125"/>
      <c r="H76" s="125"/>
      <c r="I76" s="125"/>
      <c r="J76" s="125"/>
      <c r="K76" s="98"/>
      <c r="L76" s="567" t="s">
        <v>491</v>
      </c>
      <c r="M76" s="552"/>
      <c r="N76" s="552"/>
      <c r="O76" s="552"/>
      <c r="P76" s="552"/>
      <c r="Q76" s="97"/>
      <c r="R76" s="89"/>
      <c r="S76" s="89"/>
      <c r="T76" s="89"/>
      <c r="U76" s="89"/>
      <c r="V76" s="89"/>
      <c r="W76" s="89"/>
      <c r="X76" s="89"/>
      <c r="Y76" s="89"/>
      <c r="Z76" s="89"/>
    </row>
    <row r="77" spans="2:26" ht="5.25" customHeight="1">
      <c r="B77" s="570"/>
      <c r="C77" s="141"/>
      <c r="D77" s="142"/>
      <c r="E77" s="142"/>
      <c r="F77" s="142"/>
      <c r="G77" s="142"/>
      <c r="H77" s="142"/>
      <c r="I77" s="142"/>
      <c r="J77" s="142"/>
      <c r="K77" s="143"/>
      <c r="L77" s="142"/>
      <c r="M77" s="142"/>
      <c r="N77" s="142"/>
      <c r="O77" s="142"/>
      <c r="P77" s="142"/>
      <c r="Q77" s="144"/>
      <c r="R77" s="89"/>
      <c r="S77" s="89"/>
      <c r="T77" s="89"/>
      <c r="U77" s="89"/>
      <c r="V77" s="89"/>
      <c r="W77" s="89"/>
      <c r="X77" s="89"/>
      <c r="Y77" s="89"/>
      <c r="Z77" s="89"/>
    </row>
    <row r="78" spans="2:26" ht="5.25" customHeight="1">
      <c r="B78" s="568" t="s">
        <v>492</v>
      </c>
      <c r="C78" s="145"/>
      <c r="D78" s="146"/>
      <c r="E78" s="146"/>
      <c r="F78" s="146"/>
      <c r="G78" s="146"/>
      <c r="H78" s="146"/>
      <c r="I78" s="146"/>
      <c r="J78" s="146"/>
      <c r="K78" s="147"/>
      <c r="L78" s="146"/>
      <c r="M78" s="146"/>
      <c r="N78" s="146"/>
      <c r="O78" s="146"/>
      <c r="P78" s="146"/>
      <c r="Q78" s="148"/>
      <c r="R78" s="89"/>
      <c r="S78" s="89"/>
      <c r="T78" s="89"/>
      <c r="U78" s="89"/>
      <c r="V78" s="89"/>
      <c r="W78" s="89"/>
      <c r="X78" s="89"/>
      <c r="Y78" s="89"/>
      <c r="Z78" s="89"/>
    </row>
    <row r="79" spans="2:26" ht="13.5">
      <c r="B79" s="527"/>
      <c r="C79" s="96"/>
      <c r="D79" s="125" t="s">
        <v>493</v>
      </c>
      <c r="E79" s="125"/>
      <c r="F79" s="125"/>
      <c r="G79" s="125"/>
      <c r="H79" s="125"/>
      <c r="I79" s="125"/>
      <c r="J79" s="125"/>
      <c r="K79" s="98"/>
      <c r="L79" s="125" t="s">
        <v>494</v>
      </c>
      <c r="M79" s="125"/>
      <c r="N79" s="125"/>
      <c r="O79" s="125"/>
      <c r="P79" s="125"/>
      <c r="Q79" s="97"/>
      <c r="R79" s="89"/>
      <c r="S79" s="89"/>
      <c r="T79" s="89"/>
      <c r="U79" s="89"/>
      <c r="V79" s="89"/>
      <c r="W79" s="89"/>
      <c r="X79" s="89"/>
      <c r="Y79" s="89"/>
      <c r="Z79" s="89"/>
    </row>
    <row r="80" spans="2:26" ht="13.5">
      <c r="B80" s="527"/>
      <c r="C80" s="96"/>
      <c r="D80" s="125"/>
      <c r="E80" s="125"/>
      <c r="F80" s="125"/>
      <c r="G80" s="125"/>
      <c r="H80" s="125"/>
      <c r="I80" s="125"/>
      <c r="J80" s="125"/>
      <c r="K80" s="98"/>
      <c r="L80" s="125" t="s">
        <v>495</v>
      </c>
      <c r="M80" s="125"/>
      <c r="N80" s="125"/>
      <c r="O80" s="125"/>
      <c r="P80" s="125"/>
      <c r="Q80" s="97"/>
      <c r="R80" s="89"/>
      <c r="S80" s="89"/>
      <c r="T80" s="89"/>
      <c r="U80" s="89"/>
      <c r="V80" s="89"/>
      <c r="W80" s="89"/>
      <c r="X80" s="89"/>
      <c r="Y80" s="89"/>
      <c r="Z80" s="89"/>
    </row>
    <row r="81" spans="2:26" ht="5.25" customHeight="1" thickBot="1">
      <c r="B81" s="528"/>
      <c r="C81" s="99"/>
      <c r="D81" s="100"/>
      <c r="E81" s="100"/>
      <c r="F81" s="100"/>
      <c r="G81" s="100"/>
      <c r="H81" s="100"/>
      <c r="I81" s="100"/>
      <c r="J81" s="100"/>
      <c r="K81" s="102"/>
      <c r="L81" s="100"/>
      <c r="M81" s="100"/>
      <c r="N81" s="100"/>
      <c r="O81" s="100"/>
      <c r="P81" s="100"/>
      <c r="Q81" s="101"/>
      <c r="R81" s="89"/>
      <c r="S81" s="89"/>
      <c r="T81" s="89"/>
      <c r="U81" s="89"/>
      <c r="V81" s="89"/>
      <c r="W81" s="89"/>
      <c r="X81" s="89"/>
      <c r="Y81" s="89"/>
      <c r="Z81" s="89"/>
    </row>
    <row r="82" spans="2:26" ht="4.5" customHeight="1"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2:26" ht="13.5" hidden="1"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2:26" ht="13.5" hidden="1"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2:26" ht="13.5" hidden="1"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2:26" ht="13.5" hidden="1"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2:26" ht="13.5" hidden="1"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2:26" ht="13.5" hidden="1"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2:26" ht="13.5" hidden="1"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2:26" ht="13.5" hidden="1"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2:26" ht="13.5" hidden="1"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2:26" ht="13.5" hidden="1"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2:26" ht="13.5" hidden="1"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2:26" ht="13.5" hidden="1"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2:26" ht="13.5" hidden="1"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2:26" ht="13.5" hidden="1"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2:26" ht="13.5" hidden="1"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2:26" ht="13.5" hidden="1"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2:26" ht="13.5" hidden="1"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2:26" ht="13.5" hidden="1"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2:26" ht="13.5" hidden="1"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2:26" ht="13.5" hidden="1"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2:26" ht="13.5" hidden="1"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2:26" ht="13.5" hidden="1"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2:26" ht="13.5" hidden="1"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2:26" ht="13.5" hidden="1"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2:26" ht="13.5" hidden="1"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2:26" ht="13.5" hidden="1"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2:26" ht="13.5" hidden="1"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2:26" ht="13.5" hidden="1"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2:26" ht="13.5" hidden="1"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2:26" ht="13.5" hidden="1"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2:26" ht="13.5" hidden="1"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2:26" ht="13.5" hidden="1"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2:26" ht="13.5" hidden="1"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2:26" ht="13.5" hidden="1"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2:26" ht="13.5" hidden="1"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2:26" ht="13.5" hidden="1"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2:26" ht="13.5" hidden="1"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2:26" ht="13.5" hidden="1"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2:26" ht="13.5" hidden="1"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2:26" ht="13.5" hidden="1"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2:26" ht="13.5" hidden="1"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2:26" ht="13.5" hidden="1"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2:26" ht="13.5" hidden="1"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2:26" ht="13.5" hidden="1"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2:26" ht="13.5" hidden="1"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2:26" ht="13.5" hidden="1"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2:26" ht="13.5" hidden="1"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2:26" ht="13.5" hidden="1"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2:26" ht="13.5" hidden="1"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2:26" ht="13.5" hidden="1"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2:26" ht="13.5" hidden="1"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2:26" ht="13.5" hidden="1"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2:26" ht="13.5" hidden="1"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2:26" ht="13.5" hidden="1"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2:26" ht="13.5" hidden="1"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2:26" ht="13.5" hidden="1"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2:26" ht="13.5" hidden="1"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2:26" ht="13.5" hidden="1"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2:26" ht="13.5" hidden="1"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2:26" ht="13.5" hidden="1"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2:26" ht="13.5" hidden="1"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2:26" ht="13.5" hidden="1"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2:26" ht="13.5" hidden="1"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2:26" ht="13.5" hidden="1"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2:26" ht="13.5" hidden="1"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2:26" ht="13.5" hidden="1"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2:26" ht="13.5" hidden="1"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2:26" ht="13.5" hidden="1"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2:26" ht="13.5" hidden="1"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2:26" ht="13.5" hidden="1"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2:26" ht="13.5" hidden="1"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2:26" ht="13.5" hidden="1"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2:26" ht="13.5" hidden="1"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2:26" ht="13.5" hidden="1"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2:26" ht="13.5" hidden="1"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2:26" ht="13.5" hidden="1"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2:26" ht="13.5" hidden="1"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2:26" ht="13.5" hidden="1"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2:26" ht="13.5" hidden="1"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2:26" ht="13.5" hidden="1"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2:26" ht="13.5" hidden="1"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2:26" ht="13.5" hidden="1"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2:26" ht="13.5" hidden="1"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2:26" ht="13.5" hidden="1"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2:26" ht="13.5" hidden="1"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2:26" ht="13.5" hidden="1"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2:26" ht="13.5" hidden="1"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2:26" ht="13.5" hidden="1"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2:26" ht="13.5" hidden="1"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2:26" ht="13.5" hidden="1"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2:26" ht="13.5" hidden="1"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2:26" ht="13.5" hidden="1"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2:26" ht="13.5" hidden="1"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2:26" ht="13.5" hidden="1"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2:26" ht="13.5" hidden="1"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2:26" ht="13.5" hidden="1"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2:26" ht="13.5" hidden="1"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2:26" ht="13.5" hidden="1"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2:26" ht="13.5" hidden="1"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2:26" ht="13.5" hidden="1"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2:26" ht="13.5" hidden="1"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2:26" ht="13.5" hidden="1"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2:26" ht="13.5" hidden="1"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2:26" ht="13.5" hidden="1"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2:26" ht="13.5" hidden="1"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2:26" ht="13.5" hidden="1"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2:26" ht="13.5" hidden="1"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2:26" ht="13.5" hidden="1"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2:26" ht="13.5" hidden="1"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2:26" ht="13.5" hidden="1"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2:26" ht="13.5" hidden="1"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2:26" ht="13.5" hidden="1"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2:26" ht="13.5" hidden="1"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2:26" ht="13.5" hidden="1"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2:26" ht="13.5" hidden="1"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2:26" ht="13.5" hidden="1"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2:26" ht="13.5" hidden="1"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2:26" ht="13.5" hidden="1"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2:26" ht="13.5" hidden="1"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2:26" ht="13.5" hidden="1"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2:26" ht="13.5" hidden="1"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2:26" ht="13.5" hidden="1"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2:26" ht="13.5" hidden="1"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2:26" ht="13.5" hidden="1"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2:26" ht="13.5" hidden="1"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2:26" ht="13.5" hidden="1"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2:26" ht="13.5" hidden="1"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2:26" ht="13.5" hidden="1"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2:26" ht="13.5" hidden="1"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2:26" ht="13.5" hidden="1"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2:26" ht="13.5" hidden="1"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2:26" ht="13.5" hidden="1"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2:26" ht="13.5" hidden="1"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2:26" ht="13.5" hidden="1"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2:26" ht="13.5" hidden="1"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2:26" ht="13.5" hidden="1"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2:26" ht="13.5" hidden="1"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2:26" ht="13.5" hidden="1"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2:26" ht="13.5" hidden="1"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2:26" ht="13.5" hidden="1"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2:26" ht="13.5" hidden="1"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2:26" ht="13.5" hidden="1"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2:26" ht="13.5" hidden="1"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2:26" ht="13.5" hidden="1"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2:26" ht="13.5" hidden="1"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2:26" ht="13.5" hidden="1"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2:26" ht="13.5" hidden="1"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2:26" ht="13.5" hidden="1"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2:26" ht="13.5" hidden="1"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2:26" ht="13.5" hidden="1"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2:26" ht="13.5" hidden="1"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2:26" ht="13.5" hidden="1"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2:26" ht="13.5" hidden="1"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2:26" ht="13.5" hidden="1"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2:26" ht="13.5" hidden="1"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2:26" ht="13.5" hidden="1"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2:26" ht="13.5" hidden="1"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2:26" ht="13.5" hidden="1"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2:26" ht="13.5" hidden="1"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2:26" ht="13.5" hidden="1"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2:26" ht="13.5" hidden="1"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2:26" ht="13.5" hidden="1"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2:26" ht="13.5" hidden="1"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2:26" ht="13.5" hidden="1"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2:26" ht="13.5" hidden="1"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2:26" ht="13.5" hidden="1"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2:26" ht="13.5" hidden="1"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2:26" ht="13.5" hidden="1"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2:26" ht="13.5" hidden="1"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2:26" ht="13.5" hidden="1"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2:26" ht="13.5" hidden="1"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2:26" ht="13.5" hidden="1"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2:26" ht="13.5" hidden="1"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2:26" ht="13.5" hidden="1"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2:26" ht="13.5" hidden="1"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2:26" ht="13.5" hidden="1"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2:26" ht="13.5" hidden="1"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2:26" ht="13.5" hidden="1"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2:26" ht="13.5" hidden="1"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2:26" ht="13.5" hidden="1"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2:26" ht="13.5" hidden="1"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2:26" ht="13.5" hidden="1"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2:26" ht="13.5" hidden="1"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2:26" ht="13.5" hidden="1"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2:26" ht="13.5" hidden="1"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2:26" ht="13.5" hidden="1"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2:26" ht="13.5" hidden="1"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2:26" ht="13.5" hidden="1"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2:26" ht="13.5" hidden="1"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2:26" ht="13.5" hidden="1"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2:26" ht="13.5" hidden="1"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2:26" ht="13.5" hidden="1"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2:26" ht="13.5" hidden="1"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2:26" ht="13.5" hidden="1"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2:26" ht="13.5" hidden="1"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2:26" ht="13.5" hidden="1"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2:26" ht="13.5" hidden="1"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2:26" ht="13.5" hidden="1"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2:26" ht="13.5" hidden="1"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2:26" ht="13.5" hidden="1"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2:26" ht="13.5" hidden="1"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2:26" ht="13.5" hidden="1"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2:26" ht="13.5" hidden="1"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2:26" ht="13.5" hidden="1"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2:26" ht="13.5" hidden="1"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2:26" ht="13.5" hidden="1"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2:26" ht="13.5" hidden="1"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2:26" ht="13.5" hidden="1"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2:26" ht="13.5" hidden="1"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2:26" ht="13.5" hidden="1"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2:26" ht="13.5" hidden="1"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2:26" ht="13.5" hidden="1"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2:26" ht="13.5" hidden="1"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2:26" ht="13.5" hidden="1"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2:26" ht="13.5" hidden="1"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2:26" ht="13.5" hidden="1"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2:26" ht="13.5" hidden="1"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2:26" ht="13.5" hidden="1"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2:26" ht="13.5" hidden="1"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2:26" ht="13.5" hidden="1"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2:26" ht="13.5" hidden="1"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2:26" ht="13.5" hidden="1"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2:26" ht="13.5" hidden="1"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2:26" ht="13.5" hidden="1"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2:26" ht="13.5" hidden="1"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2:26" ht="13.5" hidden="1"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2:26" ht="13.5" hidden="1"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2:26" ht="13.5" hidden="1"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2:26" ht="13.5" hidden="1"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2:26" ht="13.5" hidden="1"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2:26" ht="13.5" hidden="1"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2:26" ht="13.5" hidden="1"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2:26" ht="13.5" hidden="1"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2:26" ht="13.5" hidden="1"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2:26" ht="13.5" hidden="1"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2:26" ht="13.5" hidden="1"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2:26" ht="13.5" hidden="1"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2:26" ht="13.5" hidden="1"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2:26" ht="13.5" hidden="1"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2:26" ht="13.5" hidden="1"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2:26" ht="13.5" hidden="1"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2:26" ht="13.5" hidden="1"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2:26" ht="13.5" hidden="1"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2:26" ht="13.5" hidden="1"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2:26" ht="13.5" hidden="1"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2:26" ht="13.5" hidden="1"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2:26" ht="13.5" hidden="1"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2:26" ht="13.5" hidden="1"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2:26" ht="13.5" hidden="1"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2:26" ht="13.5" hidden="1"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2:26" ht="13.5" hidden="1"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2:26" ht="13.5" hidden="1"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2:26" ht="13.5" hidden="1"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2:26" ht="13.5" hidden="1"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2:26" ht="13.5" hidden="1"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2:26" ht="13.5" hidden="1"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2:26" ht="13.5" hidden="1"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2:26" ht="13.5" hidden="1"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2:26" ht="13.5" hidden="1"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2:26" ht="13.5" hidden="1"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2:26" ht="13.5" hidden="1"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2:26" ht="13.5" hidden="1"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2:26" ht="13.5" hidden="1"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2:26" ht="13.5" hidden="1"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2:26" ht="13.5" hidden="1"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2:26" ht="13.5" hidden="1"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2:26" ht="13.5" hidden="1"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2:26" ht="13.5" hidden="1"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2:26" ht="13.5" hidden="1"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2:26" ht="13.5" hidden="1"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2:26" ht="13.5" hidden="1"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2:26" ht="13.5" hidden="1"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2:26" ht="13.5" hidden="1"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2:26" ht="13.5" hidden="1"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2:26" ht="13.5" hidden="1"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2:26" ht="13.5" hidden="1"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2:26" ht="13.5" hidden="1"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2:26" ht="13.5" hidden="1"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2:26" ht="13.5" hidden="1"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2:26" ht="13.5" hidden="1"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2:26" ht="13.5" hidden="1"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2:26" ht="13.5" hidden="1"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2:26" ht="13.5" hidden="1"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2:26" ht="13.5" hidden="1"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2:26" ht="13.5" hidden="1"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2:26" ht="13.5" hidden="1"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2:26" ht="13.5" hidden="1"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2:26" ht="13.5" hidden="1"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2:26" ht="13.5" hidden="1"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2:26" ht="13.5" hidden="1"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2:26" ht="13.5" hidden="1"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2:26" ht="13.5" hidden="1"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2:26" ht="13.5" hidden="1"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2:26" ht="13.5" hidden="1"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2:26" ht="13.5" hidden="1"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2:26" ht="13.5" hidden="1"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2:26" ht="13.5" hidden="1"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2:26" ht="13.5" hidden="1"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2:26" ht="13.5" hidden="1"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2:26" ht="13.5" hidden="1"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2:26" ht="13.5" hidden="1"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2:26" ht="13.5" hidden="1"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2:26" ht="13.5" hidden="1"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2:26" ht="13.5" hidden="1"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2:26" ht="13.5" hidden="1"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2:26" ht="13.5" hidden="1"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2:26" ht="13.5" hidden="1"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2:26" ht="13.5" hidden="1"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2:26" ht="13.5" hidden="1"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2:26" ht="13.5" hidden="1"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2:26" ht="13.5" hidden="1"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2:26" ht="13.5" hidden="1"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2:26" ht="13.5" hidden="1"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2:26" ht="13.5" hidden="1"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2:26" ht="13.5" hidden="1"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2:26" ht="13.5" hidden="1"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2:26" ht="13.5" hidden="1"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2:26" ht="13.5" hidden="1"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2:26" ht="13.5" hidden="1"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2:26" ht="13.5" hidden="1"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2:26" ht="13.5" hidden="1"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2:26" ht="13.5" hidden="1"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2:26" ht="13.5" hidden="1"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2:26" ht="13.5" hidden="1"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2:26" ht="13.5" hidden="1"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2:26" ht="13.5" hidden="1"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2:26" ht="13.5" hidden="1"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2:26" ht="13.5" hidden="1"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2:26" ht="13.5" hidden="1"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2:26" ht="13.5" hidden="1"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2:26" ht="13.5" hidden="1"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2:26" ht="13.5" hidden="1"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2:26" ht="13.5" hidden="1"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2:26" ht="13.5" hidden="1"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2:26" ht="13.5" hidden="1"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2:26" ht="13.5" hidden="1"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2:26" ht="13.5" hidden="1"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2:26" ht="13.5" hidden="1"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2:26" ht="13.5" hidden="1"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2:26" ht="13.5" hidden="1"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2:26" ht="13.5" hidden="1"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2:26" ht="13.5" hidden="1"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2:26" ht="13.5" hidden="1"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2:26" ht="13.5" hidden="1"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2:26" ht="13.5" hidden="1"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2:26" ht="13.5" hidden="1"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2:26" ht="13.5" hidden="1"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2:26" ht="13.5" hidden="1"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2:26" ht="13.5" hidden="1"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2:26" ht="13.5" hidden="1"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2:26" ht="13.5" hidden="1"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2:26" ht="13.5" hidden="1"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2:26" ht="13.5" hidden="1"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2:26" ht="13.5" hidden="1"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2:26" ht="13.5" hidden="1"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2:26" ht="13.5" hidden="1"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2:26" ht="13.5" hidden="1"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2:26" ht="13.5" hidden="1"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2:26" ht="13.5" hidden="1"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2:26" ht="13.5" hidden="1"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2:26" ht="13.5" hidden="1"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2:26" ht="13.5" hidden="1"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2:26" ht="13.5" hidden="1"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2:26" ht="13.5" hidden="1"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2:26" ht="13.5" hidden="1"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2:26" ht="13.5" hidden="1"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2:26" ht="13.5" hidden="1"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2:26" ht="13.5" hidden="1"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2:26" ht="13.5" hidden="1"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2:26" ht="13.5" hidden="1"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2:26" ht="13.5" hidden="1"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2:26" ht="13.5" hidden="1"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2:26" ht="13.5" hidden="1"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2:26" ht="13.5" hidden="1"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2:26" ht="13.5" hidden="1"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2:26" ht="13.5" hidden="1"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2:26" ht="13.5" hidden="1"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2:26" ht="13.5" hidden="1"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2:26" ht="13.5" hidden="1"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2:26" ht="13.5" hidden="1"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2:26" ht="13.5" hidden="1"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2:26" ht="13.5" hidden="1"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2:26" ht="13.5" hidden="1"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2:26" ht="13.5" hidden="1"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2:26" ht="13.5" hidden="1"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2:26" ht="13.5" hidden="1"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2:26" ht="13.5" hidden="1"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2:26" ht="13.5" hidden="1"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2:26" ht="13.5" hidden="1"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2:26" ht="13.5" hidden="1"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2:26" ht="13.5" hidden="1"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2:26" ht="13.5" hidden="1"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2:26" ht="13.5" hidden="1"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2:26" ht="13.5" hidden="1"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2:26" ht="13.5" hidden="1"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2:26" ht="13.5" hidden="1"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2:26" ht="13.5" hidden="1"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2:26" ht="13.5" hidden="1"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2:26" ht="13.5" hidden="1"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2:26" ht="13.5" hidden="1"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2:26" ht="13.5" hidden="1"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2:26" ht="13.5" hidden="1"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2:26" ht="13.5" hidden="1"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2:26" ht="13.5" hidden="1"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2:26" ht="13.5" hidden="1"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2:26" ht="13.5" hidden="1"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2:26" ht="13.5" hidden="1"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2:26" ht="13.5" hidden="1"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2:26" ht="13.5" hidden="1"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2:26" ht="13.5" hidden="1"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2:26" ht="13.5" hidden="1"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2:26" ht="13.5" hidden="1"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2:26" ht="13.5" hidden="1"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2:26" ht="13.5" hidden="1"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2:26" ht="13.5" hidden="1"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2:26" ht="13.5" hidden="1"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2:26" ht="13.5" hidden="1"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2:26" ht="13.5" hidden="1"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2:26" ht="13.5" hidden="1"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2:26" ht="13.5" hidden="1"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2:26" ht="13.5" hidden="1"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2:26" ht="13.5" hidden="1"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2:26" ht="13.5" hidden="1"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2:26" ht="13.5" hidden="1"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2:26" ht="13.5" hidden="1"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2:26" ht="13.5" hidden="1"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2:26" ht="13.5" hidden="1"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2:26" ht="13.5" hidden="1"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2:26" ht="13.5" hidden="1"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2:26" ht="13.5" hidden="1"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2:26" ht="13.5" hidden="1"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2:26" ht="13.5" hidden="1"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2:26" ht="13.5" hidden="1"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2:26" ht="13.5" hidden="1"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2:26" ht="13.5" hidden="1"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2:26" ht="13.5" hidden="1"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2:26" ht="13.5" hidden="1"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2:26" ht="13.5" hidden="1"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2:26" ht="13.5" hidden="1"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2:26" ht="13.5" hidden="1"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2:26" ht="13.5" hidden="1"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2:26" ht="13.5" hidden="1"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2:26" ht="13.5" hidden="1"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2:26" ht="13.5" hidden="1"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2:26" ht="13.5" hidden="1"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2:26" ht="13.5" hidden="1"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2:26" ht="13.5" hidden="1"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2:26" ht="13.5" hidden="1"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2:26" ht="13.5" hidden="1"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2:26" ht="13.5" hidden="1"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2:26" ht="13.5" hidden="1"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2:26" ht="13.5" hidden="1"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2:26" ht="13.5" hidden="1"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2:26" ht="13.5" hidden="1"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2:26" ht="13.5" hidden="1"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2:26" ht="13.5" hidden="1"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2:26" ht="13.5" hidden="1"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2:26" ht="13.5" hidden="1"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2:26" ht="13.5" hidden="1"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2:26" ht="13.5" hidden="1"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2:26" ht="13.5" hidden="1"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2:26" ht="13.5" hidden="1"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2:26" ht="13.5" hidden="1"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2:26" ht="13.5" hidden="1"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2:26" ht="13.5" hidden="1"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2:26" ht="13.5" hidden="1"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2:26" ht="13.5" hidden="1"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2:26" ht="13.5" hidden="1"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2:26" ht="13.5" hidden="1"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2:26" ht="13.5" hidden="1"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2:26" ht="13.5" hidden="1"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2:26" ht="13.5" hidden="1"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2:26" ht="13.5" hidden="1"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2:26" ht="13.5" hidden="1"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2:26" ht="13.5" hidden="1"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2:26" ht="13.5" hidden="1"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2:26" ht="13.5" hidden="1"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2:26" ht="13.5" hidden="1"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2:26" ht="13.5" hidden="1"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2:26" ht="13.5" hidden="1"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2:26" ht="13.5" hidden="1"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2:26" ht="13.5" hidden="1"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2:26" ht="13.5" hidden="1"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2:26" ht="13.5" hidden="1"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2:26" ht="13.5" hidden="1"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2:26" ht="13.5" hidden="1"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2:26" ht="13.5" hidden="1"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2:26" ht="13.5" hidden="1"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2:26" ht="13.5" hidden="1"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2:26" ht="13.5" hidden="1"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2:26" ht="13.5" hidden="1"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2:26" ht="13.5" hidden="1"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2:26" ht="13.5" hidden="1"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2:26" ht="13.5" hidden="1"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2:26" ht="13.5" hidden="1"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2:26" ht="13.5" hidden="1"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2:26" ht="13.5" hidden="1"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2:26" ht="13.5" hidden="1"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2:26" ht="13.5" hidden="1"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2:26" ht="13.5" hidden="1"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2:26" ht="13.5" hidden="1"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2:26" ht="13.5" hidden="1"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2:26" ht="13.5" hidden="1"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2:26" ht="13.5" hidden="1"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2:26" ht="13.5" hidden="1"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2:26" ht="13.5" hidden="1"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2:26" ht="13.5" hidden="1"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2:26" ht="13.5" hidden="1"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2:26" ht="13.5" hidden="1"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2:26" ht="13.5" hidden="1"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2:26" ht="13.5" hidden="1"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2:26" ht="13.5" hidden="1"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2:26" ht="13.5" hidden="1"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2:26" ht="13.5" hidden="1"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2:26" ht="13.5" hidden="1"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2:26" ht="13.5" hidden="1"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2:26" ht="13.5" hidden="1"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2:26" ht="13.5" hidden="1"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2:26" ht="13.5" hidden="1"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2:26" ht="13.5" hidden="1"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2:26" ht="13.5" hidden="1"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2:26" ht="13.5" hidden="1"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2:26" ht="13.5" hidden="1"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2:26" ht="13.5" hidden="1"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2:26" ht="13.5" hidden="1"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2:26" ht="13.5" hidden="1"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2:26" ht="13.5" hidden="1"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2:26" ht="13.5" hidden="1"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2:26" ht="13.5" hidden="1"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2:26" ht="13.5" hidden="1"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2:26" ht="13.5" hidden="1"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2:26" ht="13.5" hidden="1"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2:26" ht="13.5" hidden="1"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2:26" ht="13.5" hidden="1"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2:26" ht="13.5" hidden="1"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2:26" ht="13.5" hidden="1"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2:26" ht="13.5" hidden="1"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2:26" ht="13.5" hidden="1"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2:26" ht="13.5" hidden="1"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2:26" ht="13.5" hidden="1"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2:26" ht="13.5" hidden="1"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2:26" ht="13.5" hidden="1"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2:26" ht="13.5" hidden="1"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2:26" ht="13.5" hidden="1"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2:26" ht="13.5" hidden="1"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2:26" ht="13.5" hidden="1"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2:26" ht="13.5" hidden="1"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2:26" ht="13.5" hidden="1"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2:26" ht="13.5" hidden="1"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2:26" ht="13.5" hidden="1"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2:26" ht="13.5" hidden="1"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2:26" ht="13.5" hidden="1"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2:26" ht="13.5" hidden="1"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2:26" ht="13.5" hidden="1"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2:26" ht="13.5" hidden="1"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2:26" ht="13.5" hidden="1"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2:26" ht="13.5" hidden="1"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2:26" ht="13.5" hidden="1"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2:26" ht="13.5" hidden="1"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2:26" ht="13.5" hidden="1"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2:26" ht="13.5" hidden="1"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2:26" ht="13.5" hidden="1"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2:26" ht="13.5" hidden="1"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2:26" ht="13.5" hidden="1"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2:26" ht="13.5" hidden="1"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2:26" ht="13.5" hidden="1"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2:26" ht="13.5" hidden="1"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2:26" ht="13.5" hidden="1"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2:26" ht="13.5" hidden="1"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2:26" ht="13.5" hidden="1"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2:26" ht="13.5" hidden="1"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2:26" ht="13.5" hidden="1"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2:26" ht="13.5" hidden="1"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2:26" ht="13.5" hidden="1"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2:26" ht="13.5" hidden="1"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2:26" ht="13.5" hidden="1"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2:26" ht="13.5" hidden="1"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2:26" ht="13.5" hidden="1"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2:26" ht="13.5" hidden="1"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2:26" ht="13.5" hidden="1"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2:26" ht="13.5" hidden="1"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2:26" ht="13.5" hidden="1"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2:26" ht="13.5" hidden="1"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2:26" ht="13.5" hidden="1"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2:26" ht="13.5" hidden="1"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2:26" ht="13.5" hidden="1"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2:26" ht="13.5" hidden="1"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2:26" ht="13.5" hidden="1"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2:26" ht="13.5" hidden="1"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2:26" ht="13.5" hidden="1"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2:26" ht="13.5" hidden="1"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2:26" ht="13.5" hidden="1"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2:26" ht="13.5" hidden="1"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2:26" ht="13.5" hidden="1"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2:26" ht="13.5" hidden="1"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2:26" ht="13.5" hidden="1"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2:26" ht="13.5" hidden="1"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2:26" ht="13.5" hidden="1"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2:26" ht="13.5" hidden="1"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2:26" ht="13.5" hidden="1"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2:26" ht="13.5" hidden="1"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2:26" ht="13.5" hidden="1"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2:26" ht="13.5" hidden="1"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2:26" ht="13.5" hidden="1"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2:26" ht="13.5" hidden="1"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2:26" ht="13.5" hidden="1"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2:26" ht="13.5" hidden="1"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2:26" ht="13.5" hidden="1"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2:26" ht="13.5" hidden="1"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2:26" ht="13.5" hidden="1"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2:26" ht="13.5" hidden="1"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2:26" ht="13.5" hidden="1"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2:26" ht="13.5" hidden="1"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2:26" ht="13.5" hidden="1"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2:26" ht="13.5" hidden="1"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2:26" ht="13.5" hidden="1"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2:26" ht="13.5" hidden="1"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2:26" ht="13.5" hidden="1"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2:26" ht="13.5" hidden="1"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2:26" ht="13.5" hidden="1"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2:26" ht="13.5" hidden="1"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2:26" ht="13.5" hidden="1"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2:26" ht="13.5" hidden="1"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2:26" ht="13.5" hidden="1"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2:26" ht="13.5" hidden="1"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2:26" ht="13.5" hidden="1"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2:26" ht="13.5" hidden="1"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2:26" ht="13.5" hidden="1"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2:26" ht="13.5" hidden="1"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2:26" ht="13.5" hidden="1"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2:26" ht="13.5" hidden="1"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2:26" ht="13.5" hidden="1"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2:26" ht="13.5" hidden="1"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2:26" ht="13.5" hidden="1"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2:26" ht="13.5" hidden="1"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2:26" ht="13.5" hidden="1"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2:26" ht="13.5" hidden="1"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2:26" ht="13.5" hidden="1"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2:26" ht="13.5" hidden="1"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2:26" ht="13.5" hidden="1"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2:26" ht="13.5" hidden="1"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2:26" ht="13.5" hidden="1"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2:26" ht="13.5" hidden="1"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2:26" ht="13.5" hidden="1"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2:26" ht="13.5" hidden="1"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2:26" ht="13.5" hidden="1"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2:26" ht="13.5" hidden="1"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2:26" ht="13.5" hidden="1"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2:26" ht="13.5" hidden="1"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2:26" ht="13.5" hidden="1"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2:26" ht="13.5" hidden="1"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2:26" ht="13.5" hidden="1"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2:26" ht="13.5" hidden="1"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2:26" ht="13.5" hidden="1"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2:26" ht="13.5" hidden="1"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2:26" ht="13.5" hidden="1"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2:26" ht="13.5" hidden="1"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2:26" ht="13.5" hidden="1"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2:26" ht="13.5" hidden="1"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2:26" ht="13.5" hidden="1"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2:26" ht="13.5" hidden="1"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2:26" ht="13.5" hidden="1"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2:26" ht="13.5" hidden="1"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2:26" ht="13.5" hidden="1"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2:26" ht="13.5" hidden="1"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2:26" ht="13.5" hidden="1"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2:26" ht="13.5" hidden="1"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2:26" ht="13.5" hidden="1"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2:26" ht="13.5" hidden="1"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2:26" ht="13.5" hidden="1"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2:26" ht="13.5" hidden="1"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2:26" ht="13.5" hidden="1"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2:26" ht="13.5" hidden="1"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2:26" ht="13.5" hidden="1"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2:26" ht="13.5" hidden="1"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2:26" ht="13.5" hidden="1"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2:26" ht="13.5" hidden="1"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2:26" ht="13.5" hidden="1"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2:26" ht="13.5" hidden="1"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2:26" ht="13.5" hidden="1"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2:26" ht="13.5" hidden="1"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2:26" ht="13.5" hidden="1"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2:26" ht="13.5" hidden="1"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2:26" ht="13.5" hidden="1"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2:26" ht="13.5" hidden="1"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2:26" ht="13.5" hidden="1"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2:26" ht="13.5" hidden="1"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2:26" ht="13.5" hidden="1"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2:26" ht="13.5" hidden="1"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2:26" ht="13.5" hidden="1"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2:26" ht="13.5" hidden="1"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2:26" ht="13.5" hidden="1"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2:26" ht="13.5" hidden="1"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2:26" ht="13.5" hidden="1"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2:26" ht="13.5" hidden="1"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2:26" ht="13.5" hidden="1"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2:26" ht="13.5" hidden="1"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2:26" ht="13.5" hidden="1"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2:26" ht="13.5" hidden="1"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2:26" ht="13.5" hidden="1"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2:26" ht="13.5" hidden="1"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2:26" ht="13.5" hidden="1"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2:26" ht="13.5" hidden="1"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2:26" ht="13.5" hidden="1"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2:26" ht="13.5" hidden="1"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2:26" ht="13.5" hidden="1"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2:26" ht="13.5" hidden="1"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2:26" ht="13.5" hidden="1"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2:26" ht="13.5" hidden="1"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2:26" ht="13.5" hidden="1"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2:26" ht="13.5" hidden="1"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2:26" ht="13.5" hidden="1"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2:26" ht="13.5" hidden="1"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2:26" ht="13.5" hidden="1"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2:26" ht="13.5" hidden="1"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2:26" ht="13.5" hidden="1"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2:26" ht="13.5" hidden="1"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2:26" ht="13.5" hidden="1"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2:26" ht="13.5" hidden="1"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2:26" ht="13.5" hidden="1"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2:26" ht="13.5" hidden="1"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2:26" ht="13.5" hidden="1"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2:26" ht="13.5" hidden="1"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2:26" ht="13.5" hidden="1"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2:26" ht="13.5" hidden="1"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2:26" ht="13.5" hidden="1"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2:26" ht="13.5" hidden="1"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2:26" ht="13.5" hidden="1"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2:26" ht="13.5" hidden="1"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2:26" ht="13.5" hidden="1"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2:26" ht="13.5" hidden="1"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2:26" ht="13.5" hidden="1"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2:26" ht="13.5" hidden="1"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2:26" ht="13.5" hidden="1"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2:26" ht="13.5" hidden="1"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2:26" ht="13.5" hidden="1"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2:26" ht="13.5" hidden="1"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2:26" ht="13.5" hidden="1"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2:26" ht="13.5" hidden="1"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2:26" ht="13.5" hidden="1"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2:26" ht="13.5" hidden="1"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2:26" ht="13.5" hidden="1"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2:26" ht="13.5" hidden="1"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2:26" ht="13.5" hidden="1"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2:26" ht="13.5" hidden="1"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2:26" ht="13.5" hidden="1"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2:26" ht="13.5" hidden="1"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2:26" ht="13.5" hidden="1"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2:26" ht="13.5" hidden="1"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2:26" ht="13.5" hidden="1"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2:26" ht="13.5" hidden="1"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2:26" ht="13.5" hidden="1"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2:26" ht="13.5" hidden="1"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2:26" ht="13.5" hidden="1"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2:26" ht="13.5" hidden="1"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2:26" ht="13.5" hidden="1"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2:26" ht="13.5" hidden="1"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2:26" ht="13.5" hidden="1"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2:26" ht="13.5" hidden="1"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2:26" ht="13.5" hidden="1"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2:26" ht="13.5" hidden="1"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2:26" ht="13.5" hidden="1"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2:26" ht="13.5" hidden="1"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2:26" ht="13.5" hidden="1"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2:26" ht="13.5" hidden="1"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2:26" ht="13.5" hidden="1"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2:26" ht="13.5" hidden="1"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2:26" ht="13.5" hidden="1"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2:26" ht="13.5" hidden="1"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2:26" ht="13.5" hidden="1"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2:26" ht="13.5" hidden="1"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2:26" ht="13.5" hidden="1"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2:26" ht="13.5" hidden="1"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2:26" ht="13.5" hidden="1"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2:26" ht="13.5" hidden="1"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2:26" ht="13.5" hidden="1"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2:26" ht="13.5" hidden="1"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2:26" ht="13.5" hidden="1"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2:26" ht="13.5" hidden="1"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2:26" ht="13.5" hidden="1"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2:26" ht="13.5" hidden="1"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2:26" ht="13.5" hidden="1"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2:26" ht="13.5" hidden="1"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2:26" ht="13.5" hidden="1"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2:26" ht="13.5" hidden="1"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2:26" ht="13.5" hidden="1"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2:26" ht="13.5" hidden="1"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2:26" ht="13.5" hidden="1"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2:26" ht="13.5" hidden="1"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2:26" ht="13.5" hidden="1"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2:26" ht="13.5" hidden="1"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2:26" ht="13.5" hidden="1"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2:26" ht="13.5" hidden="1"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2:26" ht="13.5" hidden="1"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2:26" ht="13.5" hidden="1"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2:26" ht="13.5" hidden="1"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2:26" ht="13.5" hidden="1"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2:26" ht="13.5" hidden="1"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2:26" ht="13.5" hidden="1"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2:26" ht="13.5" hidden="1"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2:26" ht="13.5" hidden="1"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2:26" ht="13.5" hidden="1"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2:26" ht="13.5" hidden="1"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2:26" ht="13.5" hidden="1"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2:26" ht="13.5" hidden="1"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2:26" ht="13.5" hidden="1"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2:26" ht="13.5" hidden="1"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2:26" ht="13.5" hidden="1"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2:26" ht="13.5" hidden="1"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2:26" ht="13.5" hidden="1"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2:26" ht="13.5" hidden="1"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2:26" ht="13.5" hidden="1"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2:26" ht="13.5" hidden="1"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2:26" ht="13.5" hidden="1"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2:26" ht="13.5" hidden="1"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2:26" ht="13.5" hidden="1"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2:26" ht="13.5" hidden="1"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2:26" ht="13.5" hidden="1"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2:26" ht="13.5" hidden="1"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2:26" ht="13.5" hidden="1"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2:26" ht="13.5" hidden="1"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2:26" ht="13.5" hidden="1"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2:26" ht="13.5" hidden="1"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2:26" ht="13.5" hidden="1"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2:26" ht="13.5" hidden="1"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2:26" ht="13.5" hidden="1"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2:26" ht="13.5" hidden="1"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2:26" ht="13.5" hidden="1"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2:26" ht="13.5" hidden="1"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2:26" ht="13.5" hidden="1"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2:26" ht="13.5" hidden="1"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2:26" ht="13.5" hidden="1"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2:26" ht="13.5" hidden="1"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2:26" ht="13.5" hidden="1"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2:26" ht="13.5" hidden="1"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2:26" ht="13.5" hidden="1"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2:26" ht="13.5" hidden="1"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2:26" ht="13.5" hidden="1"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2:26" ht="13.5" hidden="1"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2:26" ht="13.5" hidden="1"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2:26" ht="13.5" hidden="1"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2:26" ht="13.5" hidden="1"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2:26" ht="13.5" hidden="1"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2:26" ht="13.5" hidden="1"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2:26" ht="13.5" hidden="1"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2:26" ht="13.5" hidden="1"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2:26" ht="13.5" hidden="1"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2:26" ht="13.5" hidden="1"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2:26" ht="13.5" hidden="1"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2:26" ht="13.5" hidden="1"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2:26" ht="13.5" hidden="1"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2:26" ht="13.5" hidden="1"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2:26" ht="13.5" hidden="1"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2:26" ht="13.5" hidden="1"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2:26" ht="13.5" hidden="1"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2:26" ht="13.5" hidden="1"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2:26" ht="13.5" hidden="1"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2:26" ht="13.5" hidden="1"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2:26" ht="13.5" hidden="1"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2:26" ht="13.5" hidden="1"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2:26" ht="13.5" hidden="1"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2:26" ht="13.5" hidden="1"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2:26" ht="13.5" hidden="1"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2:26" ht="13.5" hidden="1"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2:26" ht="13.5" hidden="1"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2:26" ht="13.5" hidden="1"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2:26" ht="13.5" hidden="1"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2:26" ht="13.5" hidden="1"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2:26" ht="13.5" hidden="1"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2:26" ht="13.5" hidden="1"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2:26" ht="13.5" hidden="1"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2:26" ht="13.5" hidden="1"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2:26" ht="13.5" hidden="1"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2:26" ht="13.5" hidden="1"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2:26" ht="13.5" hidden="1"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2:26" ht="13.5" hidden="1"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2:26" ht="13.5" hidden="1"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2:26" ht="13.5" hidden="1"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2:26" ht="13.5" hidden="1"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2:26" ht="13.5" hidden="1"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2:26" ht="13.5" hidden="1"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2:26" ht="13.5" hidden="1"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2:26" ht="13.5" hidden="1"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2:26" ht="13.5" hidden="1"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2:26" ht="13.5" hidden="1"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2:26" ht="13.5" hidden="1"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2:26" ht="13.5" hidden="1"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2:26" ht="13.5" hidden="1"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2:26" ht="13.5" hidden="1"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2:26" ht="13.5" hidden="1"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2:26" ht="13.5" hidden="1"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2:26" ht="13.5" hidden="1"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2:26" ht="13.5" hidden="1"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2:26" ht="13.5" hidden="1"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2:26" ht="13.5" hidden="1"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2:26" ht="13.5" hidden="1"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2:26" ht="13.5" hidden="1"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2:26" ht="13.5" hidden="1"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2:26" ht="13.5" hidden="1"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2:26" ht="13.5" hidden="1"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2:26" ht="13.5" hidden="1"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2:26" ht="13.5" hidden="1"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2:26" ht="13.5" hidden="1"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2:26" ht="13.5" hidden="1"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2:26" ht="13.5" hidden="1"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2:26" ht="13.5" hidden="1"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2:26" ht="13.5" hidden="1"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2:26" ht="13.5" hidden="1"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2:26" ht="13.5" hidden="1"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2:26" ht="13.5" hidden="1"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2:26" ht="13.5" hidden="1"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2:26" ht="13.5" hidden="1"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2:26" ht="13.5" hidden="1"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2:26" ht="13.5" hidden="1"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2:26" ht="13.5" hidden="1"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2:26" ht="13.5" hidden="1"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2:26" ht="13.5" hidden="1"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교육과정편제표(국제통상외국어과)</vt:lpstr>
      <vt:lpstr>실무과목 능력단위(국제통상외국어과)</vt:lpstr>
      <vt:lpstr>삭제금지</vt:lpstr>
      <vt:lpstr>(참고1) 편성 기준🔐</vt:lpstr>
      <vt:lpstr>'교육과정편제표(국제통상외국어과)'!Print_Area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Taeyun Kim</cp:lastModifiedBy>
  <cp:lastPrinted>2021-10-27T23:58:37Z</cp:lastPrinted>
  <dcterms:created xsi:type="dcterms:W3CDTF">2020-03-04T02:26:59Z</dcterms:created>
  <dcterms:modified xsi:type="dcterms:W3CDTF">2026-10-08T02:04:58Z</dcterms:modified>
</cp:coreProperties>
</file>