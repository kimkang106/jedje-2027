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2026교육과정 편제\2027편제표\"/>
    </mc:Choice>
  </mc:AlternateContent>
  <xr:revisionPtr revIDLastSave="0" documentId="13_ncr:1_{F0470429-A5F2-4D14-A64A-32C748A49E0E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치유농업과)" sheetId="8" r:id="rId1"/>
    <sheet name="실무과목 능력단위(치유농업과)" sheetId="33" r:id="rId2"/>
    <sheet name="교육과정편제표(축산자원개발과)" sheetId="27" r:id="rId3"/>
    <sheet name="실무과목 능력단위(축산자원개발과)" sheetId="30" r:id="rId4"/>
    <sheet name="교육과정편제표(산업기계설비과)" sheetId="28" r:id="rId5"/>
    <sheet name="실무과목 능력단위(산업기계설비과)" sheetId="31" r:id="rId6"/>
    <sheet name="교육과정편제표(식품가공과)" sheetId="29" r:id="rId7"/>
    <sheet name="실무과목 능력단위(식품가공과)" sheetId="32" r:id="rId8"/>
    <sheet name="삭제금지" sheetId="4" r:id="rId9"/>
    <sheet name="(참고1) 편성 기준🔐" sheetId="16" r:id="rId10"/>
  </sheets>
  <definedNames>
    <definedName name="_xlnm._FilterDatabase" localSheetId="4" hidden="1">'교육과정편제표(산업기계설비과)'!$M$3:$P$4</definedName>
    <definedName name="_xlnm._FilterDatabase" localSheetId="6" hidden="1">'교육과정편제표(식품가공과)'!$M$3:$P$4</definedName>
    <definedName name="_xlnm._FilterDatabase" localSheetId="2" hidden="1">'교육과정편제표(축산자원개발과)'!$M$3:$P$4</definedName>
    <definedName name="_xlnm._FilterDatabase" localSheetId="0" hidden="1">'교육과정편제표(치유농업과)'!$M$3:$P$4</definedName>
    <definedName name="_xlnm._FilterDatabase" localSheetId="8" hidden="1">삭제금지!$A$1:$F$151</definedName>
    <definedName name="_xlnm._FilterDatabase" localSheetId="5" hidden="1">'실무과목 능력단위(산업기계설비과)'!#REF!</definedName>
    <definedName name="_xlnm._FilterDatabase" localSheetId="7" hidden="1">'실무과목 능력단위(식품가공과)'!#REF!</definedName>
    <definedName name="_xlnm._FilterDatabase" localSheetId="3" hidden="1">'실무과목 능력단위(축산자원개발과)'!#REF!</definedName>
    <definedName name="_xlnm.Print_Area" localSheetId="4">'교육과정편제표(산업기계설비과)'!$A$1:$AE$68</definedName>
    <definedName name="_xlnm.Print_Area" localSheetId="6">'교육과정편제표(식품가공과)'!$A$1:$AE$71</definedName>
    <definedName name="_xlnm.Print_Area" localSheetId="2">'교육과정편제표(축산자원개발과)'!$A$1:$AE$69</definedName>
    <definedName name="_xlnm.Print_Area" localSheetId="0">'교육과정편제표(치유농업과)'!$A$1:$AE$74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0" i="32" l="1"/>
  <c r="T50" i="32"/>
  <c r="F50" i="32"/>
  <c r="U47" i="32"/>
  <c r="T47" i="32"/>
  <c r="F47" i="32"/>
  <c r="U44" i="32"/>
  <c r="F44" i="32"/>
  <c r="U43" i="32"/>
  <c r="T43" i="32"/>
  <c r="U42" i="32"/>
  <c r="T42" i="32"/>
  <c r="U41" i="32"/>
  <c r="T41" i="32"/>
  <c r="U40" i="32"/>
  <c r="T40" i="32"/>
  <c r="U39" i="32"/>
  <c r="T39" i="32"/>
  <c r="U38" i="32"/>
  <c r="T38" i="32"/>
  <c r="T44" i="32" s="1"/>
  <c r="T37" i="32"/>
  <c r="F37" i="32"/>
  <c r="U36" i="32"/>
  <c r="T36" i="32"/>
  <c r="U35" i="32"/>
  <c r="T35" i="32"/>
  <c r="U34" i="32"/>
  <c r="T34" i="32"/>
  <c r="U33" i="32"/>
  <c r="U37" i="32" s="1"/>
  <c r="T33" i="32"/>
  <c r="U32" i="32"/>
  <c r="T32" i="32"/>
  <c r="F31" i="32"/>
  <c r="U30" i="32"/>
  <c r="T30" i="32"/>
  <c r="U29" i="32"/>
  <c r="T29" i="32"/>
  <c r="U28" i="32"/>
  <c r="T28" i="32"/>
  <c r="U27" i="32"/>
  <c r="T27" i="32"/>
  <c r="U26" i="32"/>
  <c r="T26" i="32"/>
  <c r="U25" i="32"/>
  <c r="U31" i="32" s="1"/>
  <c r="T25" i="32"/>
  <c r="T31" i="32" s="1"/>
  <c r="F24" i="32"/>
  <c r="U23" i="32"/>
  <c r="T23" i="32"/>
  <c r="U22" i="32"/>
  <c r="T22" i="32"/>
  <c r="U21" i="32"/>
  <c r="T21" i="32"/>
  <c r="U20" i="32"/>
  <c r="T20" i="32"/>
  <c r="U19" i="32"/>
  <c r="U24" i="32" s="1"/>
  <c r="T19" i="32"/>
  <c r="T24" i="32" s="1"/>
  <c r="U18" i="32"/>
  <c r="F18" i="32"/>
  <c r="U17" i="32"/>
  <c r="T17" i="32"/>
  <c r="U16" i="32"/>
  <c r="T16" i="32"/>
  <c r="U15" i="32"/>
  <c r="T15" i="32"/>
  <c r="U14" i="32"/>
  <c r="T14" i="32"/>
  <c r="T18" i="32" s="1"/>
  <c r="F13" i="32"/>
  <c r="U12" i="32"/>
  <c r="T12" i="32"/>
  <c r="U11" i="32"/>
  <c r="T11" i="32"/>
  <c r="U10" i="32"/>
  <c r="T10" i="32"/>
  <c r="U9" i="32"/>
  <c r="U13" i="32" s="1"/>
  <c r="T9" i="32"/>
  <c r="T13" i="32" s="1"/>
  <c r="U43" i="33"/>
  <c r="T43" i="33"/>
  <c r="U39" i="33"/>
  <c r="T39" i="33"/>
  <c r="U34" i="33"/>
  <c r="T34" i="33"/>
  <c r="U30" i="33"/>
  <c r="T30" i="33"/>
  <c r="U25" i="33"/>
  <c r="T25" i="33"/>
  <c r="F20" i="33"/>
  <c r="U19" i="33"/>
  <c r="T19" i="33"/>
  <c r="K19" i="33"/>
  <c r="J19" i="33"/>
  <c r="I19" i="33"/>
  <c r="H19" i="33"/>
  <c r="K16" i="33"/>
  <c r="I16" i="33"/>
  <c r="K15" i="33"/>
  <c r="I15" i="33"/>
  <c r="U14" i="33"/>
  <c r="T14" i="33"/>
  <c r="U11" i="33"/>
  <c r="T11" i="33"/>
  <c r="K11" i="33"/>
  <c r="J11" i="33"/>
  <c r="I11" i="33"/>
  <c r="H11" i="33"/>
  <c r="S51" i="31"/>
  <c r="S44" i="31"/>
  <c r="S37" i="31"/>
  <c r="S30" i="31"/>
  <c r="U50" i="31"/>
  <c r="T50" i="31"/>
  <c r="U49" i="31"/>
  <c r="T49" i="31"/>
  <c r="U48" i="31"/>
  <c r="T48" i="31"/>
  <c r="U47" i="31"/>
  <c r="T47" i="31"/>
  <c r="U46" i="31"/>
  <c r="T46" i="31"/>
  <c r="U45" i="31"/>
  <c r="T45" i="31"/>
  <c r="U43" i="31"/>
  <c r="T43" i="31"/>
  <c r="U42" i="31"/>
  <c r="T42" i="31"/>
  <c r="U41" i="31"/>
  <c r="T41" i="31"/>
  <c r="U40" i="31"/>
  <c r="T40" i="31"/>
  <c r="U39" i="31"/>
  <c r="T39" i="31"/>
  <c r="U38" i="31"/>
  <c r="T38" i="31"/>
  <c r="U36" i="31"/>
  <c r="T36" i="31"/>
  <c r="U35" i="31"/>
  <c r="T35" i="31"/>
  <c r="U34" i="31"/>
  <c r="T34" i="31"/>
  <c r="U33" i="31"/>
  <c r="T33" i="31"/>
  <c r="U32" i="31"/>
  <c r="T32" i="31"/>
  <c r="U31" i="31"/>
  <c r="T31" i="31"/>
  <c r="U29" i="31"/>
  <c r="T29" i="31"/>
  <c r="U28" i="31"/>
  <c r="T28" i="31"/>
  <c r="U27" i="31"/>
  <c r="T27" i="31"/>
  <c r="U26" i="31"/>
  <c r="T26" i="31"/>
  <c r="U25" i="31"/>
  <c r="T25" i="31"/>
  <c r="U24" i="31"/>
  <c r="T24" i="31"/>
  <c r="U23" i="31"/>
  <c r="T23" i="31"/>
  <c r="U22" i="31"/>
  <c r="T22" i="31"/>
  <c r="U17" i="31"/>
  <c r="T17" i="31"/>
  <c r="S50" i="31"/>
  <c r="S49" i="31"/>
  <c r="S48" i="31"/>
  <c r="Q47" i="31"/>
  <c r="Q46" i="31"/>
  <c r="Q45" i="31"/>
  <c r="S43" i="31"/>
  <c r="S42" i="31"/>
  <c r="S41" i="31"/>
  <c r="Q40" i="31"/>
  <c r="Q39" i="31"/>
  <c r="Q38" i="31"/>
  <c r="S36" i="31"/>
  <c r="S35" i="31"/>
  <c r="S34" i="31"/>
  <c r="S33" i="31"/>
  <c r="Q32" i="31"/>
  <c r="Q31" i="31"/>
  <c r="S29" i="31"/>
  <c r="S28" i="31"/>
  <c r="S27" i="31"/>
  <c r="S26" i="31"/>
  <c r="Q25" i="31"/>
  <c r="Q24" i="31"/>
  <c r="Q23" i="31"/>
  <c r="Q22" i="31"/>
  <c r="O20" i="31"/>
  <c r="O19" i="31"/>
  <c r="M18" i="31"/>
  <c r="M17" i="31"/>
  <c r="O15" i="31"/>
  <c r="O14" i="31"/>
  <c r="M13" i="31"/>
  <c r="M12" i="31"/>
  <c r="F44" i="31" l="1"/>
  <c r="U12" i="31"/>
  <c r="T12" i="31"/>
  <c r="K10" i="31" l="1"/>
  <c r="I10" i="31"/>
  <c r="T9" i="31"/>
  <c r="K9" i="31"/>
  <c r="I9" i="31"/>
  <c r="S69" i="29"/>
  <c r="O69" i="29"/>
  <c r="K69" i="29"/>
  <c r="W68" i="29"/>
  <c r="W67" i="29"/>
  <c r="AA68" i="29" s="1"/>
  <c r="Y64" i="29"/>
  <c r="W64" i="29"/>
  <c r="O63" i="29"/>
  <c r="Y61" i="29"/>
  <c r="Q63" i="29"/>
  <c r="M61" i="29"/>
  <c r="K61" i="29"/>
  <c r="J61" i="29"/>
  <c r="J63" i="29" s="1"/>
  <c r="I61" i="29"/>
  <c r="I63" i="29" s="1"/>
  <c r="H61" i="29"/>
  <c r="Y36" i="29"/>
  <c r="AA36" i="29" s="1"/>
  <c r="U36" i="29"/>
  <c r="S36" i="29"/>
  <c r="M36" i="29"/>
  <c r="K36" i="29"/>
  <c r="W34" i="29"/>
  <c r="W32" i="29"/>
  <c r="W31" i="29"/>
  <c r="W30" i="29"/>
  <c r="W29" i="29"/>
  <c r="W28" i="29"/>
  <c r="J28" i="29"/>
  <c r="W27" i="29"/>
  <c r="J27" i="29"/>
  <c r="W26" i="29"/>
  <c r="W25" i="29"/>
  <c r="W24" i="29"/>
  <c r="W23" i="29"/>
  <c r="W22" i="29"/>
  <c r="W21" i="29"/>
  <c r="W18" i="29"/>
  <c r="W17" i="29"/>
  <c r="W14" i="29"/>
  <c r="W13" i="29"/>
  <c r="W10" i="29"/>
  <c r="W9" i="29"/>
  <c r="S66" i="28"/>
  <c r="O66" i="28"/>
  <c r="K66" i="28"/>
  <c r="W65" i="28"/>
  <c r="W64" i="28"/>
  <c r="AA65" i="28" s="1"/>
  <c r="Y61" i="28"/>
  <c r="W61" i="28"/>
  <c r="O60" i="28"/>
  <c r="Y58" i="28"/>
  <c r="U58" i="28"/>
  <c r="S58" i="28"/>
  <c r="Q58" i="28"/>
  <c r="Q60" i="28" s="1"/>
  <c r="M58" i="28"/>
  <c r="K58" i="28"/>
  <c r="J58" i="28"/>
  <c r="J60" i="28" s="1"/>
  <c r="I58" i="28"/>
  <c r="I60" i="28" s="1"/>
  <c r="H58" i="28"/>
  <c r="W37" i="28"/>
  <c r="Y36" i="28"/>
  <c r="AA36" i="28" s="1"/>
  <c r="U36" i="28"/>
  <c r="S36" i="28"/>
  <c r="M36" i="28"/>
  <c r="K36" i="28"/>
  <c r="W34" i="28"/>
  <c r="W32" i="28"/>
  <c r="W31" i="28"/>
  <c r="W30" i="28"/>
  <c r="W29" i="28"/>
  <c r="W28" i="28"/>
  <c r="J28" i="28"/>
  <c r="W27" i="28"/>
  <c r="J27" i="28"/>
  <c r="W26" i="28"/>
  <c r="W25" i="28"/>
  <c r="W24" i="28"/>
  <c r="W23" i="28"/>
  <c r="W22" i="28"/>
  <c r="W21" i="28"/>
  <c r="W18" i="28"/>
  <c r="W17" i="28"/>
  <c r="W14" i="28"/>
  <c r="W13" i="28"/>
  <c r="W10" i="28"/>
  <c r="W9" i="28"/>
  <c r="S67" i="27"/>
  <c r="O67" i="27"/>
  <c r="K67" i="27"/>
  <c r="W66" i="27"/>
  <c r="W65" i="27"/>
  <c r="AA66" i="27" s="1"/>
  <c r="Y62" i="27"/>
  <c r="W62" i="27"/>
  <c r="O61" i="27"/>
  <c r="Y59" i="27"/>
  <c r="U59" i="27"/>
  <c r="S59" i="27"/>
  <c r="Q59" i="27"/>
  <c r="Q61" i="27" s="1"/>
  <c r="M59" i="27"/>
  <c r="K59" i="27"/>
  <c r="J59" i="27"/>
  <c r="J61" i="27" s="1"/>
  <c r="I59" i="27"/>
  <c r="I61" i="27" s="1"/>
  <c r="H59" i="27"/>
  <c r="W41" i="27"/>
  <c r="W40" i="27"/>
  <c r="W37" i="27"/>
  <c r="Y36" i="27"/>
  <c r="AA36" i="27" s="1"/>
  <c r="U36" i="27"/>
  <c r="S36" i="27"/>
  <c r="M36" i="27"/>
  <c r="K36" i="27"/>
  <c r="W34" i="27"/>
  <c r="W32" i="27"/>
  <c r="W31" i="27"/>
  <c r="W30" i="27"/>
  <c r="W29" i="27"/>
  <c r="W28" i="27"/>
  <c r="J28" i="27"/>
  <c r="W27" i="27"/>
  <c r="J27" i="27"/>
  <c r="W26" i="27"/>
  <c r="W25" i="27"/>
  <c r="W24" i="27"/>
  <c r="W23" i="27"/>
  <c r="W22" i="27"/>
  <c r="W21" i="27"/>
  <c r="W18" i="27"/>
  <c r="W17" i="27"/>
  <c r="W14" i="27"/>
  <c r="W13" i="27"/>
  <c r="W10" i="27"/>
  <c r="W9" i="27"/>
  <c r="M63" i="29" l="1"/>
  <c r="K63" i="29"/>
  <c r="W69" i="29"/>
  <c r="X25" i="29"/>
  <c r="X23" i="29"/>
  <c r="S63" i="29"/>
  <c r="Y63" i="29"/>
  <c r="X21" i="29"/>
  <c r="X27" i="29"/>
  <c r="H63" i="29"/>
  <c r="U63" i="29"/>
  <c r="U9" i="31"/>
  <c r="S60" i="28"/>
  <c r="X25" i="28"/>
  <c r="X23" i="28"/>
  <c r="M60" i="28"/>
  <c r="K60" i="28"/>
  <c r="W66" i="28"/>
  <c r="W58" i="28"/>
  <c r="U60" i="28"/>
  <c r="Y60" i="28"/>
  <c r="X21" i="28"/>
  <c r="X27" i="28"/>
  <c r="H60" i="28"/>
  <c r="X25" i="27"/>
  <c r="K61" i="27"/>
  <c r="W67" i="27"/>
  <c r="S61" i="27"/>
  <c r="X21" i="27"/>
  <c r="M61" i="27"/>
  <c r="X23" i="27"/>
  <c r="H61" i="27"/>
  <c r="W59" i="27"/>
  <c r="Y61" i="27"/>
  <c r="X27" i="27"/>
  <c r="U61" i="27"/>
  <c r="Y68" i="29"/>
  <c r="AA70" i="29" s="1"/>
  <c r="Y65" i="28"/>
  <c r="AA67" i="28" s="1"/>
  <c r="Y66" i="27"/>
  <c r="AA68" i="27" s="1"/>
  <c r="S72" i="8"/>
  <c r="O72" i="8"/>
  <c r="K72" i="8"/>
  <c r="W71" i="8"/>
  <c r="Y71" i="8" s="1"/>
  <c r="W70" i="8"/>
  <c r="AA71" i="8" s="1"/>
  <c r="Y67" i="8"/>
  <c r="W67" i="8"/>
  <c r="Y64" i="8"/>
  <c r="U64" i="8"/>
  <c r="S64" i="8"/>
  <c r="Q64" i="8"/>
  <c r="M64" i="8"/>
  <c r="K64" i="8"/>
  <c r="I64" i="8"/>
  <c r="I66" i="8" s="1"/>
  <c r="H64" i="8"/>
  <c r="J64" i="8"/>
  <c r="W55" i="8"/>
  <c r="W46" i="8"/>
  <c r="W45" i="8"/>
  <c r="W44" i="8"/>
  <c r="W43" i="8"/>
  <c r="W42" i="8"/>
  <c r="W41" i="8"/>
  <c r="W40" i="8"/>
  <c r="W37" i="8"/>
  <c r="Y36" i="8"/>
  <c r="U36" i="8"/>
  <c r="S36" i="8"/>
  <c r="M36" i="8"/>
  <c r="K36" i="8"/>
  <c r="W34" i="8"/>
  <c r="W32" i="8"/>
  <c r="W31" i="8"/>
  <c r="W30" i="8"/>
  <c r="W29" i="8"/>
  <c r="W28" i="8"/>
  <c r="J28" i="8"/>
  <c r="W27" i="8"/>
  <c r="J27" i="8"/>
  <c r="W26" i="8"/>
  <c r="W25" i="8"/>
  <c r="W24" i="8"/>
  <c r="W23" i="8"/>
  <c r="W22" i="8"/>
  <c r="W21" i="8"/>
  <c r="W18" i="8"/>
  <c r="W17" i="8"/>
  <c r="W14" i="8"/>
  <c r="W13" i="8"/>
  <c r="W10" i="8"/>
  <c r="W9" i="8"/>
  <c r="AA65" i="29" l="1"/>
  <c r="W60" i="28"/>
  <c r="AA62" i="28" s="1"/>
  <c r="W61" i="27"/>
  <c r="AA63" i="27" s="1"/>
  <c r="X23" i="8"/>
  <c r="O66" i="8"/>
  <c r="X27" i="8"/>
  <c r="M66" i="8"/>
  <c r="W72" i="8"/>
  <c r="Q66" i="8"/>
  <c r="U66" i="8"/>
  <c r="W64" i="8"/>
  <c r="X25" i="8"/>
  <c r="S66" i="8"/>
  <c r="J66" i="8"/>
  <c r="AA73" i="8"/>
  <c r="Y66" i="8"/>
  <c r="H66" i="8"/>
  <c r="AA36" i="8"/>
  <c r="X21" i="8"/>
  <c r="K66" i="8"/>
  <c r="W66" i="8" l="1"/>
  <c r="AA6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4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757C5D61-C6C1-432E-8A8D-119C835E7F04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E25C1BEA-98AA-4030-AB8C-F1E6311098C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9" authorId="0" shapeId="0" xr:uid="{B87FDCF9-C3FB-4E88-B51A-B965EF78263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7412D4E0-D876-4CFA-BB45-F639816B3250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D4F93638-BF10-4596-AB76-83BD754F215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8" authorId="0" shapeId="0" xr:uid="{E6663CB9-5E09-457E-B70B-343F00068BCE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22AE0448-8A6A-4DE6-92A9-6F0BA38F664C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CEEA4480-FE1A-4168-8A93-870D413BC6EB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1" authorId="0" shapeId="0" xr:uid="{D2174862-A380-4E4E-8AC9-8DFC95B315B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<sst xmlns="http://schemas.openxmlformats.org/spreadsheetml/2006/main" count="2562" uniqueCount="862">
  <si>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</si>
  <si>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</si>
  <si>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</si>
  <si>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</si>
  <si>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</si>
  <si>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</si>
  <si>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</si>
  <si>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</si>
  <si>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</si>
  <si>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</si>
  <si>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</si>
  <si>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</si>
  <si>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</si>
  <si>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</si>
  <si>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</si>
  <si>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</si>
  <si>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</si>
  <si>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</si>
  <si>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</si>
  <si>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</si>
  <si>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</si>
  <si>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</si>
  <si>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</si>
  <si>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</si>
  <si>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</si>
  <si>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</si>
  <si>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</si>
  <si>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</si>
  <si>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</si>
  <si>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</si>
  <si>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</si>
  <si>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</si>
  <si>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</si>
  <si>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</si>
  <si>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</si>
  <si>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</si>
  <si>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</si>
  <si>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</si>
  <si>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</si>
  <si>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</si>
  <si>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</si>
  <si>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</si>
  <si>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</si>
  <si>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</si>
  <si>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</si>
  <si>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</si>
  <si>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</si>
  <si>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</si>
  <si>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</si>
  <si>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</si>
  <si>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</si>
  <si>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</si>
  <si>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</si>
  <si>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</si>
  <si>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</si>
  <si>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</si>
  <si>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</si>
  <si>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</si>
  <si>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</si>
  <si>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</si>
  <si>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</si>
  <si>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</si>
  <si>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</si>
  <si>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</si>
  <si>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</si>
  <si>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</si>
  <si>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</si>
  <si>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</si>
  <si>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</si>
  <si>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</si>
  <si>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</si>
  <si>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</si>
  <si>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</si>
  <si>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</si>
  <si>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</si>
  <si>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</si>
  <si>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</si>
  <si>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</si>
  <si>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</si>
  <si>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</si>
  <si>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</si>
  <si>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</si>
  <si>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</si>
  <si>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</si>
  <si>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</si>
  <si>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</si>
  <si>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</si>
  <si>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</si>
  <si>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</si>
  <si>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</si>
  <si>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</si>
  <si>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</si>
  <si>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</si>
  <si>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</si>
  <si>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</si>
  <si>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</si>
  <si>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</si>
  <si>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</si>
  <si>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</si>
  <si>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</si>
  <si>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</si>
  <si>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</si>
  <si>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</si>
  <si>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</si>
  <si>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</si>
  <si>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</si>
  <si>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</si>
  <si>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</si>
  <si>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</si>
  <si>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</si>
  <si>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</si>
  <si>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</si>
  <si>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</si>
  <si>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</si>
  <si>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</si>
  <si>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</si>
  <si>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</si>
  <si>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</si>
  <si>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</si>
  <si>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</si>
  <si>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</si>
  <si>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</si>
  <si>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</si>
  <si>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</si>
  <si>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</si>
  <si>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</si>
  <si>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</si>
  <si>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</si>
  <si>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</si>
  <si>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</si>
  <si>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</si>
  <si>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</si>
  <si>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</si>
  <si>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</si>
  <si>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</si>
  <si>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</si>
  <si>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</si>
  <si>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</si>
  <si>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</si>
  <si>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</si>
  <si>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</si>
  <si>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</si>
  <si>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</si>
  <si>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</si>
  <si>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</si>
  <si>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</si>
  <si>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</si>
  <si>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</si>
  <si>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</si>
  <si>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</si>
  <si>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</si>
  <si>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</si>
  <si>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</si>
  <si>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학과
융합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</si>
  <si>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</si>
  <si>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</si>
  <si>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</si>
  <si>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</si>
  <si>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</si>
  <si>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</si>
  <si>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</si>
  <si>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</si>
  <si>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</si>
  <si>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</si>
  <si>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</si>
  <si>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</si>
  <si>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</si>
  <si>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</si>
  <si>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</si>
  <si>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</si>
  <si>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</si>
  <si>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</si>
  <si>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</si>
  <si>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</si>
  <si>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</si>
  <si>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</si>
  <si>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</si>
  <si>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</si>
  <si>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</si>
  <si>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</si>
  <si>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</si>
  <si>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</si>
  <si>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</si>
  <si>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</si>
  <si>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</si>
  <si>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</si>
  <si>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</si>
  <si>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</si>
  <si>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</si>
  <si>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</si>
  <si>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</si>
  <si>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</si>
  <si>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</si>
  <si>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</si>
  <si>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</si>
  <si>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</si>
  <si>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</si>
  <si>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</si>
  <si>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</si>
  <si>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</si>
  <si>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</si>
  <si>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</si>
  <si>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</si>
  <si>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</si>
  <si>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</si>
  <si>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</si>
  <si>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</si>
  <si>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</si>
  <si>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</si>
  <si>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</si>
  <si>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</si>
  <si>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</si>
  <si>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</si>
  <si>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</si>
  <si>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</si>
  <si>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</si>
  <si>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</si>
  <si>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</si>
  <si>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</si>
  <si>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</si>
  <si>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</si>
  <si>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</si>
  <si>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</si>
  <si>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</si>
  <si>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</si>
  <si>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</si>
  <si>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</si>
  <si>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</si>
  <si>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</si>
  <si>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</si>
  <si>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</si>
  <si>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</si>
  <si>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</si>
  <si>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</si>
  <si>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</si>
  <si>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</si>
  <si>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</si>
  <si>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</si>
  <si>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</si>
  <si>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</si>
  <si>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</si>
  <si>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</si>
  <si>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</si>
  <si>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</si>
  <si>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</si>
  <si>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</si>
  <si>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</si>
  <si>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</si>
  <si>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</si>
  <si>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</si>
  <si>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</si>
  <si>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</si>
  <si>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</si>
  <si>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</si>
  <si>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</si>
  <si>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</si>
  <si>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</si>
  <si>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</si>
  <si>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</si>
  <si>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</si>
  <si>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</si>
  <si>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</si>
  <si>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</si>
  <si>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</si>
  <si>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</si>
  <si>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</si>
  <si>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</si>
  <si>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</si>
  <si>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</si>
  <si>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</si>
  <si>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</si>
  <si>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</si>
  <si>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</si>
  <si>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</si>
  <si>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</si>
  <si>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</si>
  <si>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</si>
  <si>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</si>
  <si>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</si>
  <si>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</si>
  <si>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</si>
  <si>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</si>
  <si>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</si>
  <si>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</si>
  <si>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</si>
  <si>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</si>
  <si>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</si>
  <si>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</si>
  <si>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</si>
  <si>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</si>
  <si>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</si>
  <si>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</si>
  <si>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</si>
  <si>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</si>
  <si>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</si>
  <si>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</si>
  <si>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</si>
  <si>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</si>
  <si>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</si>
  <si>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</si>
  <si>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</si>
  <si>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</si>
  <si>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</si>
  <si>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</si>
  <si>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</si>
  <si>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</si>
  <si>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</si>
  <si>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</si>
  <si>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</si>
  <si>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</si>
  <si>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</si>
  <si>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</si>
  <si>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</si>
  <si>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</si>
  <si>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</si>
  <si>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</si>
  <si>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</si>
  <si>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</si>
  <si>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</si>
  <si>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</si>
  <si>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</si>
  <si>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</si>
  <si>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</si>
  <si>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</si>
  <si>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</si>
  <si>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</si>
  <si>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</si>
  <si>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</si>
  <si>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</si>
  <si>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</si>
  <si>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</si>
  <si>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</si>
  <si>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</si>
  <si>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</si>
  <si>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</si>
  <si>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</si>
  <si>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</si>
  <si>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</si>
  <si>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</si>
  <si>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</si>
  <si>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</si>
  <si>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</si>
  <si>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</si>
  <si>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</si>
  <si>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</si>
  <si>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</si>
  <si>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</si>
  <si>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</si>
  <si>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</si>
  <si>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</si>
  <si>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</si>
  <si>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</si>
  <si>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</si>
  <si>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</si>
  <si>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</si>
  <si>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</si>
  <si>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</si>
  <si>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</si>
  <si>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</si>
  <si>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</si>
  <si>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</si>
  <si>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</si>
  <si>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</si>
  <si>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t>식품·조리</t>
    <phoneticPr fontId="9" type="noConversion"/>
  </si>
  <si>
    <t>식품과 영양</t>
    <phoneticPr fontId="9" type="noConversion"/>
  </si>
  <si>
    <t>바리스타</t>
    <phoneticPr fontId="9" type="noConversion"/>
  </si>
  <si>
    <t>떡 제조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</si>
  <si>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</si>
  <si>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</si>
  <si>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</si>
  <si>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</si>
  <si>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</si>
  <si>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</si>
  <si>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</si>
  <si>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</si>
  <si>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</si>
  <si>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</si>
  <si>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</si>
  <si>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</si>
  <si>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</si>
  <si>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</si>
  <si>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</si>
  <si>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</si>
  <si>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</si>
  <si>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</si>
  <si>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</si>
  <si>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</si>
  <si>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</si>
  <si>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</si>
  <si>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</si>
  <si>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</si>
  <si>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</si>
  <si>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</si>
  <si>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</si>
  <si>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</si>
  <si>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</si>
  <si>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</si>
  <si>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</si>
  <si>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</si>
  <si>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</si>
  <si>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</si>
  <si>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</si>
  <si>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</si>
  <si>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</si>
  <si>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</si>
  <si>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</si>
  <si>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</si>
  <si>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</si>
  <si>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</si>
  <si>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</si>
  <si>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</si>
  <si>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</si>
  <si>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</si>
  <si>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</si>
  <si>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</si>
  <si>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</si>
  <si>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</si>
  <si>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</si>
  <si>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</si>
  <si>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</si>
  <si>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</si>
  <si>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</si>
  <si>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</si>
  <si>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</si>
  <si>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</si>
  <si>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</si>
  <si>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</si>
  <si>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</si>
  <si>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</si>
  <si>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</si>
  <si>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</si>
  <si>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</si>
  <si>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</si>
  <si>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</si>
  <si>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</si>
  <si>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</si>
  <si>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</si>
  <si>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</si>
  <si>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</si>
  <si>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</si>
  <si>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</si>
  <si>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</si>
  <si>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</si>
  <si>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</si>
  <si>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</si>
  <si>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</si>
  <si>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</si>
  <si>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</si>
  <si>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</si>
  <si>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</si>
  <si>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</si>
  <si>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</si>
  <si>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</si>
  <si>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</si>
  <si>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</si>
  <si>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</si>
  <si>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</si>
  <si>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</si>
  <si>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</si>
  <si>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</si>
  <si>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</si>
  <si>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</si>
  <si>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</si>
  <si>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</si>
  <si>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</si>
  <si>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</si>
  <si>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</si>
  <si>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</si>
  <si>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</si>
  <si>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</si>
  <si>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</si>
  <si>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</si>
  <si>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</si>
  <si>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</si>
  <si>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</si>
  <si>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</si>
  <si>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</si>
  <si>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</si>
  <si>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</si>
  <si>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</si>
  <si>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</si>
  <si>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</si>
  <si>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</si>
  <si>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</si>
  <si>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</si>
  <si>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</si>
  <si>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</si>
  <si>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</si>
  <si>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</si>
  <si>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</si>
  <si>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</si>
  <si>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</si>
  <si>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</si>
  <si>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</si>
  <si>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</si>
  <si>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</si>
  <si>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</si>
  <si>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</si>
  <si>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</si>
  <si>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</si>
  <si>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</si>
  <si>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</si>
  <si>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</si>
  <si>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</si>
  <si>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</si>
  <si>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</si>
  <si>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</si>
  <si>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</si>
  <si>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</si>
  <si>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</si>
  <si>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</si>
  <si>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</si>
  <si>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</si>
  <si>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</si>
  <si>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</si>
  <si>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</si>
  <si>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</si>
  <si>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</si>
  <si>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</si>
  <si>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</si>
  <si>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</si>
  <si>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</si>
  <si>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</si>
  <si>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</si>
  <si>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공주생명과학고등학교</t>
    <phoneticPr fontId="9" type="noConversion"/>
  </si>
  <si>
    <t>치유농업과</t>
    <phoneticPr fontId="9" type="noConversion"/>
  </si>
  <si>
    <t>농림수산</t>
  </si>
  <si>
    <t>농업과</t>
  </si>
  <si>
    <t>문학</t>
    <phoneticPr fontId="9" type="noConversion"/>
  </si>
  <si>
    <t>일반선택
(후학습지원선택1)</t>
    <phoneticPr fontId="9" type="noConversion"/>
  </si>
  <si>
    <t>진로선택
(후학습지원선택2)</t>
    <phoneticPr fontId="9" type="noConversion"/>
  </si>
  <si>
    <t>실생활 영어 회화</t>
    <phoneticPr fontId="9" type="noConversion"/>
  </si>
  <si>
    <t>실용 통계</t>
    <phoneticPr fontId="9" type="noConversion"/>
  </si>
  <si>
    <t>융합선택
(후학습지원선택1)</t>
    <phoneticPr fontId="9" type="noConversion"/>
  </si>
  <si>
    <t>운동과 건강</t>
    <phoneticPr fontId="9" type="noConversion"/>
  </si>
  <si>
    <t>농업 정보 관리</t>
    <phoneticPr fontId="9" type="noConversion"/>
  </si>
  <si>
    <t>축산</t>
    <phoneticPr fontId="9" type="noConversion"/>
  </si>
  <si>
    <t>3
(선택1)</t>
    <phoneticPr fontId="9" type="noConversion"/>
  </si>
  <si>
    <t>3
(선택2)</t>
    <phoneticPr fontId="9" type="noConversion"/>
  </si>
  <si>
    <t>전공일반
(정보대체)</t>
    <phoneticPr fontId="9" type="noConversion"/>
  </si>
  <si>
    <t>농업 기초 기술</t>
    <phoneticPr fontId="5" type="noConversion"/>
  </si>
  <si>
    <t>화훼 장식 기초</t>
    <phoneticPr fontId="9" type="noConversion"/>
  </si>
  <si>
    <t>재배</t>
    <phoneticPr fontId="9" type="noConversion"/>
  </si>
  <si>
    <t>관광 농업</t>
    <phoneticPr fontId="9" type="noConversion"/>
  </si>
  <si>
    <t>조경</t>
    <phoneticPr fontId="9" type="noConversion"/>
  </si>
  <si>
    <t>산림 휴양</t>
    <phoneticPr fontId="9" type="noConversion"/>
  </si>
  <si>
    <t>산림 자원</t>
    <phoneticPr fontId="9" type="noConversion"/>
  </si>
  <si>
    <t>농업 창업 일반</t>
    <phoneticPr fontId="9" type="noConversion"/>
  </si>
  <si>
    <t>축산</t>
    <phoneticPr fontId="9" type="noConversion"/>
  </si>
  <si>
    <t>기계1</t>
    <phoneticPr fontId="9" type="noConversion"/>
  </si>
  <si>
    <t>기계2</t>
    <phoneticPr fontId="9" type="noConversion"/>
  </si>
  <si>
    <t>식품</t>
    <phoneticPr fontId="9" type="noConversion"/>
  </si>
  <si>
    <t>전공실무</t>
    <phoneticPr fontId="9" type="noConversion"/>
  </si>
  <si>
    <t>채소 재배</t>
    <phoneticPr fontId="9" type="noConversion"/>
  </si>
  <si>
    <t>화훼 장식</t>
    <phoneticPr fontId="9" type="noConversion"/>
  </si>
  <si>
    <t>농촌 체험 상품 개발</t>
    <phoneticPr fontId="9" type="noConversion"/>
  </si>
  <si>
    <t>목공예</t>
    <phoneticPr fontId="9" type="noConversion"/>
  </si>
  <si>
    <t>화훼 재배</t>
    <phoneticPr fontId="9" type="noConversion"/>
  </si>
  <si>
    <t>조경 관리</t>
    <phoneticPr fontId="9" type="noConversion"/>
  </si>
  <si>
    <t>농촌 체험 시설 운영</t>
    <phoneticPr fontId="9" type="noConversion"/>
  </si>
  <si>
    <t>동물 자원</t>
    <phoneticPr fontId="9" type="noConversion"/>
  </si>
  <si>
    <t>반려동물 관리</t>
    <phoneticPr fontId="9" type="noConversion"/>
  </si>
  <si>
    <t>농업 기계</t>
    <phoneticPr fontId="9" type="noConversion"/>
  </si>
  <si>
    <t>식품 가공 기술</t>
    <phoneticPr fontId="9" type="noConversion"/>
  </si>
  <si>
    <t>농림·축산</t>
    <phoneticPr fontId="9" type="noConversion"/>
  </si>
  <si>
    <t>고시외</t>
    <phoneticPr fontId="9" type="noConversion"/>
  </si>
  <si>
    <t>고시외</t>
    <phoneticPr fontId="9" type="noConversion"/>
  </si>
  <si>
    <t>김요안</t>
    <phoneticPr fontId="9" type="noConversion"/>
  </si>
  <si>
    <t>이영란</t>
    <phoneticPr fontId="9" type="noConversion"/>
  </si>
  <si>
    <t>041-960-9016</t>
    <phoneticPr fontId="9" type="noConversion"/>
  </si>
  <si>
    <t>041-858-3504</t>
    <phoneticPr fontId="9" type="noConversion"/>
  </si>
  <si>
    <t>축산자원개발과</t>
    <phoneticPr fontId="9" type="noConversion"/>
  </si>
  <si>
    <t>동물자원과</t>
  </si>
  <si>
    <t>곤충 산업 일반</t>
    <phoneticPr fontId="9" type="noConversion"/>
  </si>
  <si>
    <t>축산 식품 저장</t>
    <phoneticPr fontId="9" type="noConversion"/>
  </si>
  <si>
    <t>가금 사육</t>
    <phoneticPr fontId="9" type="noConversion"/>
  </si>
  <si>
    <t>축산 식품 가공</t>
    <phoneticPr fontId="9" type="noConversion"/>
  </si>
  <si>
    <t>한우 사육</t>
    <phoneticPr fontId="9" type="noConversion"/>
  </si>
  <si>
    <t>돼지 사육</t>
    <phoneticPr fontId="9" type="noConversion"/>
  </si>
  <si>
    <t>유제품 가공</t>
    <phoneticPr fontId="9" type="noConversion"/>
  </si>
  <si>
    <t>애완동물 미용</t>
    <phoneticPr fontId="9" type="noConversion"/>
  </si>
  <si>
    <t>농업</t>
    <phoneticPr fontId="9" type="noConversion"/>
  </si>
  <si>
    <t>원예</t>
    <phoneticPr fontId="9" type="noConversion"/>
  </si>
  <si>
    <t>산업기계설비과</t>
    <phoneticPr fontId="9" type="noConversion"/>
  </si>
  <si>
    <t>농업기계과</t>
  </si>
  <si>
    <t>농업용 전기·전자</t>
    <phoneticPr fontId="9" type="noConversion"/>
  </si>
  <si>
    <t>농업 기계 공작</t>
    <phoneticPr fontId="9" type="noConversion"/>
  </si>
  <si>
    <t>농업용 기계 설치·정비</t>
    <phoneticPr fontId="9" type="noConversion"/>
  </si>
  <si>
    <t>내선 공사</t>
    <phoneticPr fontId="9" type="noConversion"/>
  </si>
  <si>
    <t>소형 무인기 운용·조종</t>
    <phoneticPr fontId="9" type="noConversion"/>
  </si>
  <si>
    <t>피복 아크 용접</t>
    <phoneticPr fontId="9" type="noConversion"/>
  </si>
  <si>
    <t>건축·토목</t>
    <phoneticPr fontId="9" type="noConversion"/>
  </si>
  <si>
    <t>일반</t>
  </si>
  <si>
    <t>소형 무인기 
운용·조종</t>
    <phoneticPr fontId="9" type="noConversion"/>
  </si>
  <si>
    <t>작업장치 및 주행장치조작</t>
    <phoneticPr fontId="9" type="noConversion"/>
  </si>
  <si>
    <t>1505010616_24v5</t>
    <phoneticPr fontId="9" type="noConversion"/>
  </si>
  <si>
    <t>1901070117_22v4</t>
    <phoneticPr fontId="9" type="noConversion"/>
  </si>
  <si>
    <t>1901070118_22v4</t>
    <phoneticPr fontId="9" type="noConversion"/>
  </si>
  <si>
    <t>1601050110_21v3</t>
    <phoneticPr fontId="9" type="noConversion"/>
  </si>
  <si>
    <t>식품가공과</t>
  </si>
  <si>
    <t>식품조리</t>
  </si>
  <si>
    <t>제과제빵과</t>
  </si>
  <si>
    <t>제과제빵사
식품가공원</t>
    <phoneticPr fontId="9" type="noConversion"/>
  </si>
  <si>
    <t>전공선택(택1)</t>
    <phoneticPr fontId="9" type="noConversion"/>
  </si>
  <si>
    <t>제빵코스</t>
    <phoneticPr fontId="9" type="noConversion"/>
  </si>
  <si>
    <t>가공코스</t>
    <phoneticPr fontId="9" type="noConversion"/>
  </si>
  <si>
    <t>식품 과학</t>
    <phoneticPr fontId="5" type="noConversion"/>
  </si>
  <si>
    <t>기초 조리</t>
    <phoneticPr fontId="9" type="noConversion"/>
  </si>
  <si>
    <t>식품 위생</t>
    <phoneticPr fontId="9" type="noConversion"/>
  </si>
  <si>
    <t>디저트 조리</t>
    <phoneticPr fontId="9" type="noConversion"/>
  </si>
  <si>
    <t>식음료 기초</t>
    <phoneticPr fontId="9" type="noConversion"/>
  </si>
  <si>
    <t>음료주류 가공</t>
    <phoneticPr fontId="9" type="noConversion"/>
  </si>
  <si>
    <t>제빵</t>
    <phoneticPr fontId="9" type="noConversion"/>
  </si>
  <si>
    <t>제과</t>
    <phoneticPr fontId="9" type="noConversion"/>
  </si>
  <si>
    <t>1407010606_16v2</t>
    <phoneticPr fontId="9" type="noConversion"/>
  </si>
  <si>
    <t>깎기</t>
    <phoneticPr fontId="9" type="noConversion"/>
  </si>
  <si>
    <t>피복아크용접 비드쌓기</t>
    <phoneticPr fontId="9" type="noConversion"/>
  </si>
  <si>
    <t>피복아크용접 맞대기용접</t>
    <phoneticPr fontId="9" type="noConversion"/>
  </si>
  <si>
    <t>피복아크용접 필릿용접</t>
    <phoneticPr fontId="9" type="noConversion"/>
  </si>
  <si>
    <t>2027학년도 교육과정 편제 및 학점배당표(특성화고)</t>
    <phoneticPr fontId="9" type="noConversion"/>
  </si>
  <si>
    <t>회전익 소형 무인기 비행</t>
    <phoneticPr fontId="9" type="noConversion"/>
  </si>
  <si>
    <t>0904010504_16v1</t>
    <phoneticPr fontId="9" type="noConversion"/>
  </si>
  <si>
    <t>소형무인기 살포 운용</t>
    <phoneticPr fontId="9" type="noConversion"/>
  </si>
  <si>
    <t>0904010511_16v1</t>
    <phoneticPr fontId="9" type="noConversion"/>
  </si>
  <si>
    <t>적재 기계 운전</t>
    <phoneticPr fontId="9" type="noConversion"/>
  </si>
  <si>
    <t>장비구조</t>
    <phoneticPr fontId="9" type="noConversion"/>
  </si>
  <si>
    <t>1407040101_16v2</t>
    <phoneticPr fontId="9" type="noConversion"/>
  </si>
  <si>
    <t>안전관리</t>
    <phoneticPr fontId="9" type="noConversion"/>
  </si>
  <si>
    <t>1407040104_16v2</t>
    <phoneticPr fontId="9" type="noConversion"/>
  </si>
  <si>
    <t>핸들 및 레버조작</t>
    <phoneticPr fontId="9" type="noConversion"/>
  </si>
  <si>
    <t>1407040111_16v2</t>
    <phoneticPr fontId="9" type="noConversion"/>
  </si>
  <si>
    <t>1407040112_16v2</t>
    <phoneticPr fontId="9" type="noConversion"/>
  </si>
  <si>
    <t>토공 기계 운전</t>
    <phoneticPr fontId="9" type="noConversion"/>
  </si>
  <si>
    <t>운전 전 점검</t>
    <phoneticPr fontId="9" type="noConversion"/>
  </si>
  <si>
    <t>1407010602_16v2</t>
    <phoneticPr fontId="9" type="noConversion"/>
  </si>
  <si>
    <t>주행</t>
    <phoneticPr fontId="9" type="noConversion"/>
  </si>
  <si>
    <t>1407010604_16v2</t>
    <phoneticPr fontId="9" type="noConversion"/>
  </si>
  <si>
    <t>쌓기</t>
    <phoneticPr fontId="9" type="noConversion"/>
  </si>
  <si>
    <t>1407010607_16v2</t>
    <phoneticPr fontId="9" type="noConversion"/>
  </si>
  <si>
    <t>건설 기계 정비</t>
    <phoneticPr fontId="9" type="noConversion"/>
  </si>
  <si>
    <t>조향장치 정비</t>
    <phoneticPr fontId="9" type="noConversion"/>
  </si>
  <si>
    <t>1407060104_16v2</t>
    <phoneticPr fontId="9" type="noConversion"/>
  </si>
  <si>
    <t>제동장치 정비</t>
    <phoneticPr fontId="9" type="noConversion"/>
  </si>
  <si>
    <t>1407060105_16v2</t>
    <phoneticPr fontId="9" type="noConversion"/>
  </si>
  <si>
    <t>전기장치 정비</t>
    <phoneticPr fontId="9" type="noConversion"/>
  </si>
  <si>
    <t>1407060107_16v2</t>
    <phoneticPr fontId="9" type="noConversion"/>
  </si>
  <si>
    <t>엔진본체 정비</t>
    <phoneticPr fontId="9" type="noConversion"/>
  </si>
  <si>
    <t>1407060111_16v2</t>
    <phoneticPr fontId="9" type="noConversion"/>
  </si>
  <si>
    <t>엔진주변장치 정비</t>
    <phoneticPr fontId="9" type="noConversion"/>
  </si>
  <si>
    <t>1407060112_16v2</t>
    <phoneticPr fontId="9" type="noConversion"/>
  </si>
  <si>
    <t>동력전달장치 정비</t>
    <phoneticPr fontId="9" type="noConversion"/>
  </si>
  <si>
    <t>1407060113_16v2</t>
    <phoneticPr fontId="9" type="noConversion"/>
  </si>
  <si>
    <t>주행장치 정비</t>
    <phoneticPr fontId="9" type="noConversion"/>
  </si>
  <si>
    <t>1407060114_16v2</t>
    <phoneticPr fontId="9" type="noConversion"/>
  </si>
  <si>
    <t>유압펌프 정비</t>
    <phoneticPr fontId="9" type="noConversion"/>
  </si>
  <si>
    <t>1407060115_16v2</t>
    <phoneticPr fontId="9" type="noConversion"/>
  </si>
  <si>
    <t>농업용기계 설치</t>
    <phoneticPr fontId="9" type="noConversion"/>
  </si>
  <si>
    <t>1505010603_24v3</t>
    <phoneticPr fontId="9" type="noConversion"/>
  </si>
  <si>
    <t>농업용기계 고장 진단</t>
    <phoneticPr fontId="9" type="noConversion"/>
  </si>
  <si>
    <t>1505010604_24v3</t>
    <phoneticPr fontId="9" type="noConversion"/>
  </si>
  <si>
    <t>농업용기계 안전관리</t>
    <phoneticPr fontId="9" type="noConversion"/>
  </si>
  <si>
    <t>1505010610_24v3</t>
    <phoneticPr fontId="9" type="noConversion"/>
  </si>
  <si>
    <t>농업용기계 운반</t>
    <phoneticPr fontId="9" type="noConversion"/>
  </si>
  <si>
    <t>1505010611_24v3</t>
    <phoneticPr fontId="9" type="noConversion"/>
  </si>
  <si>
    <t>농업용기계 동력장치정비</t>
    <phoneticPr fontId="9" type="noConversion"/>
  </si>
  <si>
    <t>1505010615_24v5</t>
    <phoneticPr fontId="9" type="noConversion"/>
  </si>
  <si>
    <t>농업용기계 작업기정비</t>
    <phoneticPr fontId="9" type="noConversion"/>
  </si>
  <si>
    <t>피복아크용접 도면해독</t>
    <phoneticPr fontId="9" type="noConversion"/>
  </si>
  <si>
    <t>1601050102_21v3</t>
    <phoneticPr fontId="9" type="noConversion"/>
  </si>
  <si>
    <t>피복아크용접 재료준비</t>
    <phoneticPr fontId="9" type="noConversion"/>
  </si>
  <si>
    <t>1601050103_21v3</t>
    <phoneticPr fontId="9" type="noConversion"/>
  </si>
  <si>
    <t>피복아크용접 가용접 작업</t>
    <phoneticPr fontId="9" type="noConversion"/>
  </si>
  <si>
    <t>1601050105_21v3</t>
    <phoneticPr fontId="9" type="noConversion"/>
  </si>
  <si>
    <t>1601050111_21v3</t>
    <phoneticPr fontId="9" type="noConversion"/>
  </si>
  <si>
    <t>1601050112_21v3</t>
    <phoneticPr fontId="9" type="noConversion"/>
  </si>
  <si>
    <t>배관공사</t>
    <phoneticPr fontId="9" type="noConversion"/>
  </si>
  <si>
    <t>1901070116_22v4</t>
    <phoneticPr fontId="9" type="noConversion"/>
  </si>
  <si>
    <t>배선공사</t>
    <phoneticPr fontId="9" type="noConversion"/>
  </si>
  <si>
    <t>배관배선검사</t>
    <phoneticPr fontId="9" type="noConversion"/>
  </si>
  <si>
    <t>동력제어반공사</t>
    <phoneticPr fontId="9" type="noConversion"/>
  </si>
  <si>
    <t>1901070121_22v4</t>
    <phoneticPr fontId="9" type="noConversion"/>
  </si>
  <si>
    <t>배전반설비공사</t>
    <phoneticPr fontId="9" type="noConversion"/>
  </si>
  <si>
    <t>1901070125_22v4</t>
    <phoneticPr fontId="9" type="noConversion"/>
  </si>
  <si>
    <t>접지설비공사</t>
    <phoneticPr fontId="9" type="noConversion"/>
  </si>
  <si>
    <t>1901070128_22v4</t>
    <phoneticPr fontId="9" type="noConversion"/>
  </si>
  <si>
    <t>치유농업사
치유정원사</t>
    <phoneticPr fontId="9" type="noConversion"/>
  </si>
  <si>
    <t>원예과</t>
  </si>
  <si>
    <t>전공일반
(기·가 대체)</t>
    <phoneticPr fontId="9" type="noConversion"/>
  </si>
  <si>
    <t>성공적인 직업 생활</t>
    <phoneticPr fontId="9" type="noConversion"/>
  </si>
  <si>
    <t>디지털과 직업 생활</t>
    <phoneticPr fontId="9" type="noConversion"/>
  </si>
  <si>
    <t>심리 상담</t>
    <phoneticPr fontId="9" type="noConversion"/>
  </si>
  <si>
    <t>가축 사육 종사원
정육원 및 도축원</t>
    <phoneticPr fontId="9" type="noConversion"/>
  </si>
  <si>
    <t>농업 기초 기술</t>
    <phoneticPr fontId="9" type="noConversion"/>
  </si>
  <si>
    <t>곤충 사육</t>
    <phoneticPr fontId="9" type="noConversion"/>
  </si>
  <si>
    <t>농업토목과</t>
  </si>
  <si>
    <t>산업기계정비원
건설기계 조작원</t>
    <phoneticPr fontId="9" type="noConversion"/>
  </si>
  <si>
    <t>노동 인권과 산업 안전 보건</t>
    <phoneticPr fontId="9" type="noConversion"/>
  </si>
  <si>
    <t>토목 일반</t>
    <phoneticPr fontId="5" type="noConversion"/>
  </si>
  <si>
    <t>기초 제도</t>
    <phoneticPr fontId="5" type="noConversion"/>
  </si>
  <si>
    <t>농업용 기계 설치정비</t>
    <phoneticPr fontId="9" type="noConversion"/>
  </si>
  <si>
    <t>화훼 번식</t>
    <phoneticPr fontId="9" type="noConversion"/>
  </si>
  <si>
    <t>2401010502_20v3</t>
    <phoneticPr fontId="9" type="noConversion"/>
  </si>
  <si>
    <t>화훼 재배관리</t>
    <phoneticPr fontId="9" type="noConversion"/>
  </si>
  <si>
    <t>2401010504_20v3</t>
  </si>
  <si>
    <t>목공예 공구준비</t>
    <phoneticPr fontId="9" type="noConversion"/>
  </si>
  <si>
    <t>2202010406_21v5</t>
  </si>
  <si>
    <t>목재 접합 작업</t>
    <phoneticPr fontId="9" type="noConversion"/>
  </si>
  <si>
    <t>2202010411_19v5</t>
  </si>
  <si>
    <t>화훼장식 식물 관리</t>
    <phoneticPr fontId="9" type="noConversion"/>
  </si>
  <si>
    <t>2401040118_19v3</t>
    <phoneticPr fontId="9" type="noConversion"/>
  </si>
  <si>
    <t>화훼장식 분화상품 제작</t>
    <phoneticPr fontId="9" type="noConversion"/>
  </si>
  <si>
    <t>2401040119_19v3</t>
  </si>
  <si>
    <t>화훼장식 상품기획</t>
    <phoneticPr fontId="9" type="noConversion"/>
  </si>
  <si>
    <t>2401040112_19v3</t>
  </si>
  <si>
    <t>화헤장식 절화 기본상품 제작</t>
    <phoneticPr fontId="9" type="noConversion"/>
  </si>
  <si>
    <t>2401040114_19v3</t>
  </si>
  <si>
    <t>채소육묘</t>
    <phoneticPr fontId="9" type="noConversion"/>
  </si>
  <si>
    <t>2401010312_16v3</t>
  </si>
  <si>
    <t>채소 정식 포장관리</t>
    <phoneticPr fontId="9" type="noConversion"/>
  </si>
  <si>
    <t>2401010313_22v4</t>
  </si>
  <si>
    <t>채소재배관리</t>
    <phoneticPr fontId="9" type="noConversion"/>
  </si>
  <si>
    <t>2401010314_22v4</t>
  </si>
  <si>
    <t>채소 재배시설 관리</t>
    <phoneticPr fontId="9" type="noConversion"/>
  </si>
  <si>
    <t>2401010317_22v4</t>
    <phoneticPr fontId="9" type="noConversion"/>
  </si>
  <si>
    <t>심리상담</t>
    <phoneticPr fontId="9" type="noConversion"/>
  </si>
  <si>
    <t>심리상담안내</t>
    <phoneticPr fontId="9" type="noConversion"/>
  </si>
  <si>
    <t>0702030101_21v2</t>
  </si>
  <si>
    <t>개인심리치료상담</t>
    <phoneticPr fontId="9" type="noConversion"/>
  </si>
  <si>
    <t>0702030104_21v2</t>
    <phoneticPr fontId="9" type="noConversion"/>
  </si>
  <si>
    <t>집단상담</t>
    <phoneticPr fontId="9" type="noConversion"/>
  </si>
  <si>
    <t>0702030105_21v2</t>
  </si>
  <si>
    <t>심리상담 교육</t>
    <phoneticPr fontId="9" type="noConversion"/>
  </si>
  <si>
    <t>0702030108_21v2</t>
  </si>
  <si>
    <t>농촌체험상품 시장분석</t>
    <phoneticPr fontId="9" type="noConversion"/>
  </si>
  <si>
    <t>2401030102_14v1</t>
    <phoneticPr fontId="9" type="noConversion"/>
  </si>
  <si>
    <t>농촌체험상품 기획</t>
    <phoneticPr fontId="9" type="noConversion"/>
  </si>
  <si>
    <t>2401030104_14v1</t>
  </si>
  <si>
    <t>농촘체험상품 개발전략 수립</t>
    <phoneticPr fontId="9" type="noConversion"/>
  </si>
  <si>
    <t>2401030105_14v1</t>
  </si>
  <si>
    <t>초화류관리</t>
    <phoneticPr fontId="9" type="noConversion"/>
  </si>
  <si>
    <t>1405010302_23v3</t>
    <phoneticPr fontId="9" type="noConversion"/>
  </si>
  <si>
    <t>수목보호관리</t>
    <phoneticPr fontId="9" type="noConversion"/>
  </si>
  <si>
    <t>1405010306_23v3</t>
  </si>
  <si>
    <t>충해관리</t>
    <phoneticPr fontId="9" type="noConversion"/>
  </si>
  <si>
    <t>1405010305_23v3</t>
  </si>
  <si>
    <t>조경시설물관리</t>
    <phoneticPr fontId="9" type="noConversion"/>
  </si>
  <si>
    <t>1405010308_23v3</t>
  </si>
  <si>
    <t>농촌체험프로그램운영관리</t>
  </si>
  <si>
    <t>2401030203_14v1</t>
  </si>
  <si>
    <t>농촌체험시설홍보고객관리</t>
  </si>
  <si>
    <t>2401030206_14v1</t>
  </si>
  <si>
    <t>농촌체험시설서비스품질관리</t>
  </si>
  <si>
    <t>2401030208_14v1</t>
  </si>
  <si>
    <t>적재 기계 운전(고시외)</t>
    <phoneticPr fontId="9" type="noConversion"/>
  </si>
  <si>
    <t>토공 기계 운전(고시외)</t>
    <phoneticPr fontId="9" type="noConversion"/>
  </si>
  <si>
    <t>곤충 성장단계별 사육관리</t>
    <phoneticPr fontId="9" type="noConversion"/>
  </si>
  <si>
    <t>2402020603_23v2</t>
    <phoneticPr fontId="9" type="noConversion"/>
  </si>
  <si>
    <t>곤충사육 환경관리</t>
    <phoneticPr fontId="9" type="noConversion"/>
  </si>
  <si>
    <t>2402020605_23v2</t>
    <phoneticPr fontId="9" type="noConversion"/>
  </si>
  <si>
    <t>도축</t>
    <phoneticPr fontId="9" type="noConversion"/>
  </si>
  <si>
    <t>2101020301_13v1</t>
    <phoneticPr fontId="9" type="noConversion"/>
  </si>
  <si>
    <t>돼지도체 품질평가</t>
    <phoneticPr fontId="9" type="noConversion"/>
  </si>
  <si>
    <t>2101020306_13v1</t>
  </si>
  <si>
    <t>소도체 품질평가</t>
    <phoneticPr fontId="9" type="noConversion"/>
  </si>
  <si>
    <t>2101020305_13v1</t>
  </si>
  <si>
    <t>가금류 품질평가</t>
    <phoneticPr fontId="9" type="noConversion"/>
  </si>
  <si>
    <t>2101020307_13v1</t>
  </si>
  <si>
    <t>가금 입추전관리</t>
    <phoneticPr fontId="9" type="noConversion"/>
  </si>
  <si>
    <t>2402020301_20v3</t>
    <phoneticPr fontId="9" type="noConversion"/>
  </si>
  <si>
    <t>가금사육 생산관리</t>
    <phoneticPr fontId="9" type="noConversion"/>
  </si>
  <si>
    <t>2402020317_20v3</t>
  </si>
  <si>
    <t>산란가금 사양관리</t>
    <phoneticPr fontId="9" type="noConversion"/>
  </si>
  <si>
    <t>2402020312_16v2</t>
    <phoneticPr fontId="9" type="noConversion"/>
  </si>
  <si>
    <t>가금 질병진단</t>
    <phoneticPr fontId="9" type="noConversion"/>
  </si>
  <si>
    <t>2402020313_16v2</t>
  </si>
  <si>
    <t>애완동물 기본미용</t>
    <phoneticPr fontId="9" type="noConversion"/>
  </si>
  <si>
    <t>2402010605_15v1</t>
    <phoneticPr fontId="9" type="noConversion"/>
  </si>
  <si>
    <t>애완동물 일반미용</t>
    <phoneticPr fontId="9" type="noConversion"/>
  </si>
  <si>
    <t>2402010606_15v1</t>
  </si>
  <si>
    <t>햄류 제조</t>
    <phoneticPr fontId="9" type="noConversion"/>
  </si>
  <si>
    <t>2101010301_17v2</t>
    <phoneticPr fontId="9" type="noConversion"/>
  </si>
  <si>
    <t>소시지류 제조</t>
    <phoneticPr fontId="9" type="noConversion"/>
  </si>
  <si>
    <t>2101010302_17v2</t>
  </si>
  <si>
    <t>분쇄 성형육 제조</t>
    <phoneticPr fontId="9" type="noConversion"/>
  </si>
  <si>
    <t>2101010308_17v2</t>
  </si>
  <si>
    <t>양념 육류 제조</t>
    <phoneticPr fontId="9" type="noConversion"/>
  </si>
  <si>
    <t>2101010307_17v2</t>
  </si>
  <si>
    <t>한우 사료관리</t>
    <phoneticPr fontId="9" type="noConversion"/>
  </si>
  <si>
    <t>2402020404_20v3</t>
    <phoneticPr fontId="9" type="noConversion"/>
  </si>
  <si>
    <t>한우 방역위생관리</t>
    <phoneticPr fontId="9" type="noConversion"/>
  </si>
  <si>
    <t>2402020406_20v2</t>
    <phoneticPr fontId="9" type="noConversion"/>
  </si>
  <si>
    <t>한우 분뇨처리</t>
    <phoneticPr fontId="9" type="noConversion"/>
  </si>
  <si>
    <t>2402020407_20v2</t>
  </si>
  <si>
    <t>한우사육 시설장비관리</t>
    <phoneticPr fontId="9" type="noConversion"/>
  </si>
  <si>
    <t>2402020408_13v1</t>
    <phoneticPr fontId="9" type="noConversion"/>
  </si>
  <si>
    <t>돼지 교배전 관리</t>
    <phoneticPr fontId="9" type="noConversion"/>
  </si>
  <si>
    <t>2402020211_16v2</t>
    <phoneticPr fontId="9" type="noConversion"/>
  </si>
  <si>
    <t>돼지 교배관리</t>
    <phoneticPr fontId="9" type="noConversion"/>
  </si>
  <si>
    <t>2402020212_16v2</t>
  </si>
  <si>
    <t>발효유류 제조·가공</t>
    <phoneticPr fontId="9" type="noConversion"/>
  </si>
  <si>
    <t>2101010407_19v2</t>
  </si>
  <si>
    <t>아이스크림류 제조</t>
  </si>
  <si>
    <t>2101010421_19v2</t>
    <phoneticPr fontId="9" type="noConversion"/>
  </si>
  <si>
    <t>커피 기계 운용</t>
    <phoneticPr fontId="9" type="noConversion"/>
  </si>
  <si>
    <t>1301020324_23v4</t>
    <phoneticPr fontId="9" type="noConversion"/>
  </si>
  <si>
    <t>에스프레소 추출</t>
    <phoneticPr fontId="9" type="noConversion"/>
  </si>
  <si>
    <t>1301020314_23v4</t>
    <phoneticPr fontId="9" type="noConversion"/>
  </si>
  <si>
    <t>에스프레소 응용메뉴제조</t>
    <phoneticPr fontId="9" type="noConversion"/>
  </si>
  <si>
    <t>1301020316_23v4</t>
    <phoneticPr fontId="9" type="noConversion"/>
  </si>
  <si>
    <t>라떼 아트</t>
    <phoneticPr fontId="9" type="noConversion"/>
  </si>
  <si>
    <t>1301020318_23v4</t>
    <phoneticPr fontId="9" type="noConversion"/>
  </si>
  <si>
    <t>음료·주류가공</t>
    <phoneticPr fontId="9" type="noConversion"/>
  </si>
  <si>
    <t>발효음료 제조</t>
    <phoneticPr fontId="9" type="noConversion"/>
  </si>
  <si>
    <t>2101010902_17v2</t>
    <phoneticPr fontId="9" type="noConversion"/>
  </si>
  <si>
    <t>혼합음료 제조</t>
    <phoneticPr fontId="9" type="noConversion"/>
  </si>
  <si>
    <t>2101010905_17v2</t>
    <phoneticPr fontId="9" type="noConversion"/>
  </si>
  <si>
    <t>과실주 제조</t>
    <phoneticPr fontId="9" type="noConversion"/>
  </si>
  <si>
    <t>2101010911_17v2</t>
    <phoneticPr fontId="9" type="noConversion"/>
  </si>
  <si>
    <t>liqueur(리큐르) 제조</t>
    <phoneticPr fontId="9" type="noConversion"/>
  </si>
  <si>
    <t>2101010912_17v2</t>
    <phoneticPr fontId="9" type="noConversion"/>
  </si>
  <si>
    <t>기본 설기떡류 만들기</t>
    <phoneticPr fontId="9" type="noConversion"/>
  </si>
  <si>
    <t>2102010330_24v3</t>
    <phoneticPr fontId="9" type="noConversion"/>
  </si>
  <si>
    <t>빚어 찌는 떡류 만들기</t>
    <phoneticPr fontId="9" type="noConversion"/>
  </si>
  <si>
    <t>2102010303_24v3</t>
    <phoneticPr fontId="9" type="noConversion"/>
  </si>
  <si>
    <t>약밥 만들기</t>
    <phoneticPr fontId="9" type="noConversion"/>
  </si>
  <si>
    <t>2102010305_24v4</t>
    <phoneticPr fontId="9" type="noConversion"/>
  </si>
  <si>
    <t>인절미류 만들기</t>
    <phoneticPr fontId="9" type="noConversion"/>
  </si>
  <si>
    <t>2102010309_24v4</t>
    <phoneticPr fontId="9" type="noConversion"/>
  </si>
  <si>
    <t>경단류 만들기</t>
    <phoneticPr fontId="9" type="noConversion"/>
  </si>
  <si>
    <t>2102010315_24v4</t>
    <phoneticPr fontId="9" type="noConversion"/>
  </si>
  <si>
    <t>빵류제품 위생안전관리</t>
    <phoneticPr fontId="9" type="noConversion"/>
  </si>
  <si>
    <t>2102010209_18v4</t>
    <phoneticPr fontId="9" type="noConversion"/>
  </si>
  <si>
    <t>빵류제품 스트레이트 반죽</t>
    <phoneticPr fontId="9" type="noConversion"/>
  </si>
  <si>
    <t>2102010214_23v5</t>
    <phoneticPr fontId="9" type="noConversion"/>
  </si>
  <si>
    <t>식빵류 만들기</t>
    <phoneticPr fontId="9" type="noConversion"/>
  </si>
  <si>
    <t>2102010221_23v1</t>
    <phoneticPr fontId="9" type="noConversion"/>
  </si>
  <si>
    <t>단과자빵류 만들기</t>
    <phoneticPr fontId="9" type="noConversion"/>
  </si>
  <si>
    <t>2102010222_23v1</t>
    <phoneticPr fontId="9" type="noConversion"/>
  </si>
  <si>
    <t>조리빵 만들기</t>
    <phoneticPr fontId="9" type="noConversion"/>
  </si>
  <si>
    <t>2102010218_23v2</t>
    <phoneticPr fontId="9" type="noConversion"/>
  </si>
  <si>
    <t>하드계열빵류 만들기</t>
    <phoneticPr fontId="9" type="noConversion"/>
  </si>
  <si>
    <t>2102010223_23v1</t>
  </si>
  <si>
    <t>과자류제품 위생안전관리</t>
    <phoneticPr fontId="9" type="noConversion"/>
  </si>
  <si>
    <t>2102010108_18v4</t>
    <phoneticPr fontId="9" type="noConversion"/>
  </si>
  <si>
    <t>기본 케이크류 만들기</t>
    <phoneticPr fontId="9" type="noConversion"/>
  </si>
  <si>
    <t>2102010117_23v1</t>
    <phoneticPr fontId="9" type="noConversion"/>
  </si>
  <si>
    <t>구움과자류 만들기</t>
    <phoneticPr fontId="9" type="noConversion"/>
  </si>
  <si>
    <t>2102010118_23v1</t>
    <phoneticPr fontId="9" type="noConversion"/>
  </si>
  <si>
    <r>
      <t>타르트</t>
    </r>
    <r>
      <rPr>
        <sz val="11"/>
        <color rgb="FF000000"/>
        <rFont val="Yu Gothic"/>
        <family val="3"/>
        <charset val="128"/>
      </rPr>
      <t>・</t>
    </r>
    <r>
      <rPr>
        <sz val="11"/>
        <color rgb="FF000000"/>
        <rFont val="맑은 고딕"/>
        <family val="3"/>
        <charset val="129"/>
      </rPr>
      <t>파이류 만들기</t>
    </r>
    <phoneticPr fontId="9" type="noConversion"/>
  </si>
  <si>
    <t>2102010119_23v1</t>
    <phoneticPr fontId="9" type="noConversion"/>
  </si>
  <si>
    <t>장식케이크 만들기</t>
    <phoneticPr fontId="9" type="noConversion"/>
  </si>
  <si>
    <t>2102010115_23v2</t>
    <phoneticPr fontId="9" type="noConversion"/>
  </si>
  <si>
    <t>축산식품가공</t>
    <phoneticPr fontId="9" type="noConversion"/>
  </si>
  <si>
    <t>축산식품가공 위생관리</t>
    <phoneticPr fontId="9" type="noConversion"/>
  </si>
  <si>
    <t>2101010319_17v2</t>
    <phoneticPr fontId="9" type="noConversion"/>
  </si>
  <si>
    <t>2101010302_17v2</t>
    <phoneticPr fontId="9" type="noConversion"/>
  </si>
  <si>
    <t>2101010307_17v2</t>
    <phoneticPr fontId="9" type="noConversion"/>
  </si>
  <si>
    <t>알 가공품 제조</t>
    <phoneticPr fontId="9" type="noConversion"/>
  </si>
  <si>
    <t>2101010323_17v2</t>
    <phoneticPr fontId="9" type="noConversion"/>
  </si>
  <si>
    <t>2101010308_17v2</t>
    <phoneticPr fontId="9" type="noConversion"/>
  </si>
  <si>
    <t>지게차 운전(고시외)</t>
    <phoneticPr fontId="9" type="noConversion"/>
  </si>
  <si>
    <t>굴착기 운전(고시외)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</si>
</sst>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&quot;0&quot;&quot;;&quot;&quot;;&quot;&quot;"/>
    <numFmt numFmtId="177" formatCode="mm&quot;월&quot;\ dd&quot;일&quot;"/>
  </numFmts>
  <fonts count="6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333333"/>
      <name val="굴림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rgb="FF000000"/>
      <name val="Yu Gothic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3DFEF"/>
        <bgColor rgb="FF000000"/>
      </patternFill>
    </fill>
  </fills>
  <borders count="2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0" fillId="0" borderId="0"/>
  </cellStyleXfs>
  <cellXfs count="8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vertical="center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1" fillId="12" borderId="97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36" fillId="9" borderId="15" xfId="7" applyNumberFormat="1" applyFont="1" applyFill="1" applyBorder="1" applyAlignment="1" applyProtection="1">
      <alignment horizontal="center" vertical="center" shrinkToFit="1"/>
    </xf>
    <xf numFmtId="176" fontId="36" fillId="9" borderId="15" xfId="7" applyNumberFormat="1" applyFont="1" applyFill="1" applyBorder="1" applyAlignment="1" applyProtection="1">
      <alignment horizontal="center" vertical="center" shrinkToFit="1"/>
    </xf>
    <xf numFmtId="0" fontId="36" fillId="9" borderId="96" xfId="7" applyNumberFormat="1" applyFont="1" applyFill="1" applyBorder="1" applyAlignment="1" applyProtection="1">
      <alignment horizontal="center" vertical="center" shrinkToFit="1"/>
    </xf>
    <xf numFmtId="176" fontId="36" fillId="9" borderId="96" xfId="7" applyNumberFormat="1" applyFont="1" applyFill="1" applyBorder="1" applyAlignment="1" applyProtection="1">
      <alignment horizontal="center" vertical="center" shrinkToFit="1"/>
    </xf>
    <xf numFmtId="176" fontId="35" fillId="16" borderId="97" xfId="7" applyNumberFormat="1" applyFont="1" applyFill="1" applyBorder="1" applyAlignment="1" applyProtection="1">
      <alignment horizontal="center" vertical="center" shrinkToFit="1"/>
    </xf>
    <xf numFmtId="176" fontId="12" fillId="16" borderId="32" xfId="0" applyNumberFormat="1" applyFont="1" applyFill="1" applyBorder="1" applyAlignment="1">
      <alignment horizontal="right" vertical="center"/>
    </xf>
    <xf numFmtId="176" fontId="12" fillId="16" borderId="107" xfId="0" applyNumberFormat="1" applyFont="1" applyFill="1" applyBorder="1" applyAlignment="1">
      <alignment horizontal="right" vertical="center"/>
    </xf>
    <xf numFmtId="176" fontId="12" fillId="16" borderId="97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176" fontId="36" fillId="9" borderId="12" xfId="7" applyNumberFormat="1" applyFont="1" applyFill="1" applyBorder="1" applyAlignment="1" applyProtection="1">
      <alignment horizontal="center" vertical="center" shrinkToFit="1"/>
    </xf>
    <xf numFmtId="176" fontId="7" fillId="0" borderId="96" xfId="0" applyNumberFormat="1" applyFont="1" applyBorder="1" applyAlignment="1">
      <alignment horizontal="right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36" fillId="0" borderId="96" xfId="7" applyNumberFormat="1" applyFont="1" applyFill="1" applyBorder="1" applyAlignment="1" applyProtection="1">
      <alignment horizontal="center" vertical="center" shrinkToFit="1"/>
    </xf>
    <xf numFmtId="0" fontId="12" fillId="12" borderId="115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9" xfId="0" applyFont="1" applyBorder="1" applyAlignment="1" applyProtection="1">
      <alignment horizontal="center" vertical="center"/>
      <protection locked="0"/>
    </xf>
    <xf numFmtId="0" fontId="12" fillId="0" borderId="109" xfId="0" applyFont="1" applyBorder="1" applyAlignment="1" applyProtection="1">
      <alignment horizontal="center" vertical="center" shrinkToFit="1"/>
      <protection locked="0"/>
    </xf>
    <xf numFmtId="0" fontId="13" fillId="15" borderId="41" xfId="5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21" fillId="15" borderId="38" xfId="4" applyFont="1" applyFill="1" applyBorder="1" applyAlignment="1" applyProtection="1">
      <alignment horizontal="center" vertical="center" wrapText="1"/>
    </xf>
    <xf numFmtId="0" fontId="21" fillId="15" borderId="39" xfId="4" applyFont="1" applyFill="1" applyBorder="1" applyAlignment="1" applyProtection="1">
      <alignment horizontal="center" vertical="center" shrinkToFit="1"/>
    </xf>
    <xf numFmtId="0" fontId="21" fillId="15" borderId="40" xfId="4" applyFont="1" applyFill="1" applyBorder="1" applyAlignment="1" applyProtection="1">
      <alignment horizontal="center" vertical="center" shrinkToFi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21" fillId="0" borderId="125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8" borderId="126" xfId="16" applyFont="1" applyFill="1" applyBorder="1" applyAlignment="1">
      <alignment horizontal="center" vertical="center"/>
    </xf>
    <xf numFmtId="0" fontId="34" fillId="0" borderId="127" xfId="16" applyFont="1" applyBorder="1" applyAlignment="1">
      <alignment vertical="center"/>
    </xf>
    <xf numFmtId="0" fontId="34" fillId="0" borderId="28" xfId="16" applyFont="1" applyBorder="1" applyAlignment="1">
      <alignment vertical="center"/>
    </xf>
    <xf numFmtId="0" fontId="34" fillId="0" borderId="25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29" xfId="16" applyFont="1" applyBorder="1" applyAlignment="1">
      <alignment vertical="center"/>
    </xf>
    <xf numFmtId="0" fontId="34" fillId="0" borderId="21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34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22" xfId="16" applyFont="1" applyBorder="1" applyAlignment="1">
      <alignment vertical="center"/>
    </xf>
    <xf numFmtId="0" fontId="34" fillId="0" borderId="19" xfId="16" applyFont="1" applyBorder="1" applyAlignment="1">
      <alignment vertical="center"/>
    </xf>
    <xf numFmtId="0" fontId="34" fillId="20" borderId="140" xfId="16" applyFont="1" applyFill="1" applyBorder="1" applyAlignment="1">
      <alignment horizontal="center" vertical="center" wrapText="1"/>
    </xf>
    <xf numFmtId="0" fontId="34" fillId="20" borderId="141" xfId="16" applyFont="1" applyFill="1" applyBorder="1" applyAlignment="1">
      <alignment horizontal="center" vertical="center" wrapText="1"/>
    </xf>
    <xf numFmtId="0" fontId="46" fillId="20" borderId="141" xfId="16" applyFont="1" applyFill="1" applyBorder="1" applyAlignment="1">
      <alignment horizontal="center" vertical="center" wrapText="1"/>
    </xf>
    <xf numFmtId="0" fontId="46" fillId="20" borderId="142" xfId="16" applyFont="1" applyFill="1" applyBorder="1" applyAlignment="1">
      <alignment horizontal="center" vertical="center" wrapText="1"/>
    </xf>
    <xf numFmtId="0" fontId="34" fillId="0" borderId="21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7" fillId="0" borderId="146" xfId="16" applyFont="1" applyBorder="1" applyAlignment="1">
      <alignment horizontal="center" vertical="center" wrapText="1"/>
    </xf>
    <xf numFmtId="0" fontId="47" fillId="0" borderId="148" xfId="16" applyFont="1" applyBorder="1" applyAlignment="1">
      <alignment horizontal="center" vertical="center" wrapText="1"/>
    </xf>
    <xf numFmtId="0" fontId="47" fillId="0" borderId="152" xfId="16" applyFont="1" applyBorder="1" applyAlignment="1">
      <alignment horizontal="center" vertical="center" wrapText="1"/>
    </xf>
    <xf numFmtId="0" fontId="47" fillId="0" borderId="153" xfId="16" applyFont="1" applyBorder="1" applyAlignment="1">
      <alignment horizontal="center" vertical="center" wrapText="1"/>
    </xf>
    <xf numFmtId="0" fontId="47" fillId="0" borderId="156" xfId="16" applyFont="1" applyBorder="1" applyAlignment="1">
      <alignment horizontal="center" vertical="center" wrapText="1"/>
    </xf>
    <xf numFmtId="0" fontId="47" fillId="0" borderId="157" xfId="16" applyFont="1" applyBorder="1" applyAlignment="1">
      <alignment horizontal="center" vertical="center" wrapText="1"/>
    </xf>
    <xf numFmtId="0" fontId="47" fillId="0" borderId="159" xfId="16" applyFont="1" applyBorder="1" applyAlignment="1">
      <alignment horizontal="center" vertical="center" wrapText="1"/>
    </xf>
    <xf numFmtId="0" fontId="34" fillId="0" borderId="159" xfId="16" applyFont="1" applyBorder="1" applyAlignment="1">
      <alignment horizontal="center" vertical="center" wrapText="1"/>
    </xf>
    <xf numFmtId="0" fontId="47" fillId="0" borderId="160" xfId="16" applyFont="1" applyBorder="1" applyAlignment="1">
      <alignment horizontal="center" vertical="center" wrapText="1"/>
    </xf>
    <xf numFmtId="0" fontId="34" fillId="0" borderId="153" xfId="16" applyFont="1" applyBorder="1" applyAlignment="1">
      <alignment horizontal="center" vertical="center" wrapText="1"/>
    </xf>
    <xf numFmtId="0" fontId="34" fillId="0" borderId="156" xfId="16" applyFont="1" applyBorder="1" applyAlignment="1">
      <alignment horizontal="center" vertical="center" wrapText="1"/>
    </xf>
    <xf numFmtId="0" fontId="47" fillId="0" borderId="132" xfId="16" applyFont="1" applyBorder="1" applyAlignment="1">
      <alignment horizontal="center" vertical="center" wrapText="1"/>
    </xf>
    <xf numFmtId="0" fontId="49" fillId="20" borderId="132" xfId="16" applyFont="1" applyFill="1" applyBorder="1" applyAlignment="1">
      <alignment horizontal="center" vertical="center" wrapText="1"/>
    </xf>
    <xf numFmtId="0" fontId="50" fillId="0" borderId="153" xfId="16" applyFont="1" applyBorder="1" applyAlignment="1">
      <alignment horizontal="center" vertical="center" wrapText="1"/>
    </xf>
    <xf numFmtId="0" fontId="50" fillId="0" borderId="131" xfId="16" applyFont="1" applyBorder="1" applyAlignment="1">
      <alignment horizontal="center" vertical="center" wrapText="1"/>
    </xf>
    <xf numFmtId="0" fontId="49" fillId="0" borderId="132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51" fillId="0" borderId="0" xfId="16" applyFont="1" applyBorder="1" applyAlignment="1">
      <alignment horizontal="center" vertical="center"/>
    </xf>
    <xf numFmtId="0" fontId="45" fillId="0" borderId="132" xfId="16" applyFont="1" applyBorder="1" applyAlignment="1">
      <alignment horizontal="center" vertical="center"/>
    </xf>
    <xf numFmtId="0" fontId="45" fillId="19" borderId="153" xfId="16" applyFont="1" applyFill="1" applyBorder="1" applyAlignment="1">
      <alignment horizontal="center" vertical="center"/>
    </xf>
    <xf numFmtId="0" fontId="45" fillId="19" borderId="131" xfId="16" applyFont="1" applyFill="1" applyBorder="1" applyAlignment="1">
      <alignment horizontal="center" vertical="center" wrapText="1"/>
    </xf>
    <xf numFmtId="0" fontId="51" fillId="0" borderId="153" xfId="16" applyFont="1" applyBorder="1" applyAlignment="1">
      <alignment horizontal="center" vertical="center" wrapText="1"/>
    </xf>
    <xf numFmtId="0" fontId="51" fillId="0" borderId="132" xfId="16" applyFont="1" applyBorder="1" applyAlignment="1">
      <alignment horizontal="center" vertical="center" wrapText="1"/>
    </xf>
    <xf numFmtId="0" fontId="45" fillId="0" borderId="153" xfId="16" applyFont="1" applyBorder="1" applyAlignment="1">
      <alignment horizontal="center" vertical="center" wrapText="1"/>
    </xf>
    <xf numFmtId="0" fontId="45" fillId="0" borderId="132" xfId="16" applyFont="1" applyBorder="1" applyAlignment="1">
      <alignment horizontal="center" vertical="center" wrapText="1"/>
    </xf>
    <xf numFmtId="0" fontId="34" fillId="0" borderId="153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5" fillId="19" borderId="132" xfId="16" applyFont="1" applyFill="1" applyBorder="1" applyAlignment="1">
      <alignment horizontal="center" vertical="center"/>
    </xf>
    <xf numFmtId="0" fontId="45" fillId="0" borderId="131" xfId="16" applyFont="1" applyBorder="1" applyAlignment="1">
      <alignment horizontal="center" vertical="center"/>
    </xf>
    <xf numFmtId="0" fontId="45" fillId="0" borderId="153" xfId="16" applyFont="1" applyBorder="1" applyAlignment="1">
      <alignment horizontal="center" vertical="center"/>
    </xf>
    <xf numFmtId="0" fontId="52" fillId="0" borderId="153" xfId="16" applyFont="1" applyBorder="1" applyAlignment="1">
      <alignment horizontal="center" vertical="center"/>
    </xf>
    <xf numFmtId="0" fontId="52" fillId="0" borderId="132" xfId="16" applyFont="1" applyBorder="1" applyAlignment="1">
      <alignment horizontal="center" vertical="center"/>
    </xf>
    <xf numFmtId="0" fontId="34" fillId="0" borderId="139" xfId="16" applyFont="1" applyBorder="1" applyAlignment="1">
      <alignment vertical="center"/>
    </xf>
    <xf numFmtId="0" fontId="34" fillId="0" borderId="137" xfId="16" applyFont="1" applyBorder="1" applyAlignment="1">
      <alignment vertical="center"/>
    </xf>
    <xf numFmtId="0" fontId="34" fillId="0" borderId="164" xfId="16" applyFont="1" applyBorder="1" applyAlignment="1">
      <alignment vertical="center"/>
    </xf>
    <xf numFmtId="0" fontId="34" fillId="0" borderId="165" xfId="16" applyFont="1" applyBorder="1" applyAlignment="1">
      <alignment vertical="center"/>
    </xf>
    <xf numFmtId="0" fontId="34" fillId="0" borderId="113" xfId="16" applyFont="1" applyBorder="1" applyAlignment="1">
      <alignment vertical="center"/>
    </xf>
    <xf numFmtId="0" fontId="34" fillId="0" borderId="135" xfId="16" applyFont="1" applyBorder="1" applyAlignment="1">
      <alignment vertical="center"/>
    </xf>
    <xf numFmtId="0" fontId="34" fillId="0" borderId="167" xfId="16" applyFont="1" applyBorder="1" applyAlignment="1">
      <alignment vertical="center"/>
    </xf>
    <xf numFmtId="0" fontId="34" fillId="0" borderId="168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06" xfId="0" applyBorder="1" applyAlignment="1" applyProtection="1">
      <alignment horizontal="center" vertical="center"/>
      <protection locked="0"/>
    </xf>
    <xf numFmtId="0" fontId="0" fillId="0" borderId="110" xfId="0" applyBorder="1" applyAlignment="1" applyProtection="1">
      <alignment horizontal="center" vertical="center"/>
      <protection locked="0"/>
    </xf>
    <xf numFmtId="0" fontId="0" fillId="0" borderId="174" xfId="0" applyBorder="1" applyAlignment="1" applyProtection="1">
      <alignment horizontal="center" vertical="center"/>
      <protection locked="0"/>
    </xf>
    <xf numFmtId="0" fontId="0" fillId="0" borderId="175" xfId="0" applyBorder="1" applyAlignment="1" applyProtection="1">
      <alignment horizontal="center" vertical="center"/>
      <protection locked="0"/>
    </xf>
    <xf numFmtId="176" fontId="21" fillId="15" borderId="38" xfId="0" applyNumberFormat="1" applyFont="1" applyFill="1" applyBorder="1" applyAlignment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66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176" fontId="21" fillId="15" borderId="39" xfId="0" applyNumberFormat="1" applyFont="1" applyFill="1" applyBorder="1" applyAlignment="1">
      <alignment horizontal="center" vertical="center" wrapText="1"/>
    </xf>
    <xf numFmtId="0" fontId="21" fillId="15" borderId="44" xfId="4" applyFont="1" applyFill="1" applyBorder="1" applyAlignment="1" applyProtection="1">
      <alignment horizontal="center" vertical="center" wrapText="1"/>
    </xf>
    <xf numFmtId="0" fontId="21" fillId="15" borderId="34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176" fontId="37" fillId="21" borderId="99" xfId="0" applyNumberFormat="1" applyFont="1" applyFill="1" applyBorder="1" applyAlignment="1">
      <alignment horizontal="center" vertical="center" wrapText="1"/>
    </xf>
    <xf numFmtId="176" fontId="37" fillId="8" borderId="99" xfId="0" applyNumberFormat="1" applyFont="1" applyFill="1" applyBorder="1" applyAlignment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1" fillId="15" borderId="47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21" fillId="15" borderId="42" xfId="4" applyFont="1" applyFill="1" applyBorder="1" applyAlignment="1" applyProtection="1">
      <alignment horizontal="center" vertical="center" wrapText="1"/>
    </xf>
    <xf numFmtId="176" fontId="21" fillId="15" borderId="79" xfId="0" applyNumberFormat="1" applyFont="1" applyFill="1" applyBorder="1" applyAlignment="1">
      <alignment horizontal="center" vertical="center" wrapText="1"/>
    </xf>
    <xf numFmtId="0" fontId="21" fillId="15" borderId="74" xfId="4" applyFont="1" applyFill="1" applyBorder="1" applyAlignment="1" applyProtection="1">
      <alignment horizontal="center" vertical="center" wrapText="1"/>
    </xf>
    <xf numFmtId="0" fontId="21" fillId="15" borderId="55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176" fontId="21" fillId="15" borderId="40" xfId="0" applyNumberFormat="1" applyFont="1" applyFill="1" applyBorder="1" applyAlignment="1">
      <alignment horizontal="center" vertical="center" wrapText="1"/>
    </xf>
    <xf numFmtId="0" fontId="21" fillId="15" borderId="94" xfId="4" applyFont="1" applyFill="1" applyBorder="1" applyAlignment="1" applyProtection="1">
      <alignment horizontal="center" vertical="center" wrapText="1"/>
    </xf>
    <xf numFmtId="176" fontId="21" fillId="15" borderId="99" xfId="0" applyNumberFormat="1" applyFont="1" applyFill="1" applyBorder="1" applyAlignment="1">
      <alignment horizontal="center" vertical="center" wrapText="1"/>
    </xf>
    <xf numFmtId="176" fontId="37" fillId="15" borderId="38" xfId="0" applyNumberFormat="1" applyFont="1" applyFill="1" applyBorder="1" applyAlignment="1">
      <alignment horizontal="center" vertical="center" wrapText="1"/>
    </xf>
    <xf numFmtId="0" fontId="21" fillId="10" borderId="65" xfId="6" applyFont="1" applyFill="1" applyBorder="1" applyAlignment="1" applyProtection="1">
      <alignment horizontal="center" vertical="center" wrapText="1"/>
    </xf>
    <xf numFmtId="0" fontId="21" fillId="10" borderId="95" xfId="6" applyFont="1" applyFill="1" applyBorder="1" applyAlignment="1" applyProtection="1">
      <alignment horizontal="center" vertical="center" wrapText="1"/>
    </xf>
    <xf numFmtId="0" fontId="21" fillId="10" borderId="59" xfId="6" applyFont="1" applyFill="1" applyBorder="1" applyAlignment="1" applyProtection="1">
      <alignment horizontal="center" vertical="center" wrapText="1"/>
    </xf>
    <xf numFmtId="0" fontId="21" fillId="15" borderId="99" xfId="4" applyFont="1" applyFill="1" applyBorder="1" applyAlignment="1" applyProtection="1">
      <alignment horizontal="center" vertical="center" wrapText="1"/>
    </xf>
    <xf numFmtId="0" fontId="21" fillId="15" borderId="39" xfId="4" applyFont="1" applyFill="1" applyBorder="1" applyAlignment="1" applyProtection="1">
      <alignment horizontal="center" vertical="center" wrapText="1"/>
    </xf>
    <xf numFmtId="0" fontId="21" fillId="15" borderId="38" xfId="4" applyFont="1" applyFill="1" applyBorder="1" applyAlignment="1" applyProtection="1">
      <alignment horizontal="center" vertical="center" shrinkToFit="1"/>
    </xf>
    <xf numFmtId="0" fontId="21" fillId="15" borderId="40" xfId="4" applyFont="1" applyFill="1" applyBorder="1" applyAlignment="1" applyProtection="1">
      <alignment horizontal="center" vertical="center" wrapText="1"/>
    </xf>
    <xf numFmtId="0" fontId="21" fillId="15" borderId="69" xfId="4" applyFont="1" applyFill="1" applyBorder="1" applyAlignment="1" applyProtection="1">
      <alignment horizontal="center" vertical="center" wrapText="1"/>
    </xf>
    <xf numFmtId="0" fontId="21" fillId="0" borderId="100" xfId="4" applyFont="1" applyFill="1" applyBorder="1" applyAlignment="1" applyProtection="1">
      <alignment horizontal="center" vertical="center" wrapText="1"/>
    </xf>
    <xf numFmtId="0" fontId="21" fillId="15" borderId="101" xfId="4" applyFont="1" applyFill="1" applyBorder="1" applyAlignment="1" applyProtection="1">
      <alignment horizontal="center" vertical="center" wrapText="1"/>
    </xf>
    <xf numFmtId="0" fontId="21" fillId="0" borderId="34" xfId="4" applyFont="1" applyFill="1" applyBorder="1" applyAlignment="1" applyProtection="1">
      <alignment horizontal="center" vertical="center" wrapText="1"/>
    </xf>
    <xf numFmtId="0" fontId="21" fillId="9" borderId="50" xfId="4" applyFont="1" applyFill="1" applyBorder="1" applyAlignment="1" applyProtection="1">
      <alignment horizontal="center" vertical="center" wrapText="1"/>
      <protection locked="0"/>
    </xf>
    <xf numFmtId="0" fontId="21" fillId="9" borderId="36" xfId="4" applyFont="1" applyFill="1" applyBorder="1" applyAlignment="1" applyProtection="1">
      <alignment horizontal="center" vertical="center" wrapText="1"/>
      <protection locked="0"/>
    </xf>
    <xf numFmtId="0" fontId="21" fillId="15" borderId="99" xfId="4" applyFont="1" applyFill="1" applyBorder="1" applyAlignment="1" applyProtection="1">
      <alignment horizontal="center" vertical="center" shrinkToFit="1"/>
    </xf>
    <xf numFmtId="0" fontId="21" fillId="0" borderId="47" xfId="4" applyFont="1" applyFill="1" applyBorder="1" applyAlignment="1" applyProtection="1">
      <alignment horizontal="center" vertical="center" wrapText="1"/>
    </xf>
    <xf numFmtId="0" fontId="21" fillId="0" borderId="42" xfId="4" applyFont="1" applyFill="1" applyBorder="1" applyAlignment="1" applyProtection="1">
      <alignment vertical="center" wrapText="1"/>
    </xf>
    <xf numFmtId="0" fontId="21" fillId="0" borderId="47" xfId="4" applyFont="1" applyFill="1" applyBorder="1" applyAlignment="1" applyProtection="1">
      <alignment vertical="center" wrapText="1"/>
    </xf>
    <xf numFmtId="0" fontId="21" fillId="0" borderId="100" xfId="4" applyFont="1" applyFill="1" applyBorder="1" applyAlignment="1" applyProtection="1">
      <alignment vertical="center" wrapText="1"/>
    </xf>
    <xf numFmtId="0" fontId="21" fillId="9" borderId="102" xfId="4" applyFont="1" applyFill="1" applyBorder="1" applyAlignment="1" applyProtection="1">
      <alignment horizontal="center" vertical="center" wrapText="1"/>
      <protection locked="0"/>
    </xf>
    <xf numFmtId="0" fontId="21" fillId="9" borderId="169" xfId="4" applyFont="1" applyFill="1" applyBorder="1" applyAlignment="1" applyProtection="1">
      <alignment horizontal="center" vertical="center" wrapText="1"/>
      <protection locked="0"/>
    </xf>
    <xf numFmtId="0" fontId="21" fillId="9" borderId="56" xfId="4" applyFont="1" applyFill="1" applyBorder="1" applyAlignment="1" applyProtection="1">
      <alignment horizontal="center" vertical="center" wrapText="1"/>
      <protection locked="0"/>
    </xf>
    <xf numFmtId="0" fontId="21" fillId="9" borderId="52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21" fillId="9" borderId="50" xfId="4" applyFont="1" applyFill="1" applyBorder="1" applyAlignment="1" applyProtection="1">
      <alignment horizontal="center" vertical="center" wrapText="1"/>
      <protection locked="0"/>
    </xf>
    <xf numFmtId="0" fontId="21" fillId="9" borderId="36" xfId="4" applyFont="1" applyFill="1" applyBorder="1" applyAlignment="1" applyProtection="1">
      <alignment horizontal="center" vertical="center" wrapText="1"/>
      <protection locked="0"/>
    </xf>
    <xf numFmtId="0" fontId="21" fillId="10" borderId="59" xfId="6" applyFont="1" applyFill="1" applyBorder="1" applyAlignment="1" applyProtection="1">
      <alignment horizontal="center" vertical="center" wrapText="1"/>
    </xf>
    <xf numFmtId="0" fontId="21" fillId="10" borderId="65" xfId="6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1" fillId="21" borderId="45" xfId="4" applyFont="1" applyFill="1" applyBorder="1" applyAlignment="1" applyProtection="1">
      <alignment horizontal="center" vertical="center" wrapText="1"/>
    </xf>
    <xf numFmtId="0" fontId="21" fillId="8" borderId="48" xfId="4" applyFont="1" applyFill="1" applyBorder="1" applyAlignment="1" applyProtection="1">
      <alignment horizontal="center" vertical="center" wrapText="1"/>
    </xf>
    <xf numFmtId="0" fontId="12" fillId="0" borderId="8" xfId="0" applyFont="1" applyBorder="1" applyAlignment="1" applyProtection="1">
      <alignment horizontal="center" vertical="center"/>
      <protection locked="0"/>
    </xf>
    <xf numFmtId="0" fontId="0" fillId="16" borderId="0" xfId="0" applyFill="1">
      <alignment vertical="center"/>
    </xf>
    <xf numFmtId="176" fontId="7" fillId="0" borderId="96" xfId="0" applyNumberFormat="1" applyFont="1" applyBorder="1">
      <alignment vertical="center"/>
    </xf>
    <xf numFmtId="176" fontId="7" fillId="0" borderId="15" xfId="0" applyNumberFormat="1" applyFont="1" applyBorder="1">
      <alignment vertical="center"/>
    </xf>
    <xf numFmtId="176" fontId="7" fillId="0" borderId="12" xfId="0" applyNumberFormat="1" applyFont="1" applyBorder="1">
      <alignment vertical="center"/>
    </xf>
    <xf numFmtId="0" fontId="0" fillId="9" borderId="0" xfId="0" applyFill="1">
      <alignment vertical="center"/>
    </xf>
    <xf numFmtId="0" fontId="21" fillId="15" borderId="6" xfId="4" applyFont="1" applyFill="1" applyBorder="1" applyAlignment="1" applyProtection="1">
      <alignment vertical="center" wrapText="1"/>
    </xf>
    <xf numFmtId="0" fontId="21" fillId="15" borderId="21" xfId="4" applyFont="1" applyFill="1" applyBorder="1" applyAlignment="1" applyProtection="1">
      <alignment vertical="center" wrapText="1"/>
    </xf>
    <xf numFmtId="0" fontId="21" fillId="15" borderId="19" xfId="4" applyFont="1" applyFill="1" applyBorder="1" applyAlignment="1" applyProtection="1">
      <alignment vertical="center" wrapText="1"/>
    </xf>
    <xf numFmtId="0" fontId="21" fillId="15" borderId="22" xfId="4" applyFont="1" applyFill="1" applyBorder="1" applyAlignment="1" applyProtection="1">
      <alignment vertical="center" wrapText="1"/>
    </xf>
    <xf numFmtId="0" fontId="21" fillId="15" borderId="176" xfId="4" applyFont="1" applyFill="1" applyBorder="1" applyAlignment="1" applyProtection="1">
      <alignment horizontal="center" vertical="center" wrapText="1"/>
    </xf>
    <xf numFmtId="0" fontId="21" fillId="0" borderId="94" xfId="4" applyFont="1" applyFill="1" applyBorder="1" applyAlignment="1" applyProtection="1">
      <alignment vertical="center" wrapText="1"/>
    </xf>
    <xf numFmtId="0" fontId="21" fillId="0" borderId="55" xfId="4" applyFont="1" applyFill="1" applyBorder="1" applyAlignment="1" applyProtection="1">
      <alignment vertical="center" wrapText="1"/>
    </xf>
    <xf numFmtId="0" fontId="21" fillId="9" borderId="49" xfId="4" applyFont="1" applyFill="1" applyBorder="1" applyAlignment="1" applyProtection="1">
      <alignment horizontal="center" vertical="center" wrapText="1"/>
      <protection locked="0"/>
    </xf>
    <xf numFmtId="0" fontId="21" fillId="9" borderId="51" xfId="4" applyFont="1" applyFill="1" applyBorder="1" applyAlignment="1" applyProtection="1">
      <alignment horizontal="center" vertical="center" wrapText="1"/>
      <protection locked="0"/>
    </xf>
    <xf numFmtId="0" fontId="36" fillId="16" borderId="97" xfId="7" applyNumberFormat="1" applyFont="1" applyFill="1" applyBorder="1" applyAlignment="1" applyProtection="1">
      <alignment horizontal="center" vertical="center" shrinkToFit="1"/>
    </xf>
    <xf numFmtId="176" fontId="36" fillId="16" borderId="97" xfId="7" applyNumberFormat="1" applyFont="1" applyFill="1" applyBorder="1" applyAlignment="1" applyProtection="1">
      <alignment horizontal="center" vertical="center" shrinkToFit="1"/>
    </xf>
    <xf numFmtId="0" fontId="57" fillId="0" borderId="96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0" fontId="35" fillId="16" borderId="97" xfId="7" applyNumberFormat="1" applyFont="1" applyFill="1" applyBorder="1" applyAlignment="1" applyProtection="1">
      <alignment horizontal="center" vertical="center" shrinkToFi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0" fontId="58" fillId="0" borderId="15" xfId="0" applyFont="1" applyBorder="1" applyAlignment="1">
      <alignment horizontal="center" vertical="center"/>
    </xf>
    <xf numFmtId="0" fontId="36" fillId="0" borderId="15" xfId="7" applyNumberFormat="1" applyFont="1" applyFill="1" applyBorder="1" applyAlignment="1" applyProtection="1">
      <alignment horizontal="center" vertical="center" shrinkToFit="1"/>
    </xf>
    <xf numFmtId="0" fontId="58" fillId="0" borderId="96" xfId="0" applyFont="1" applyBorder="1" applyAlignment="1">
      <alignment horizontal="center" vertical="center"/>
    </xf>
    <xf numFmtId="0" fontId="27" fillId="11" borderId="32" xfId="7" applyFont="1" applyFill="1" applyBorder="1" applyAlignment="1" applyProtection="1">
      <alignment horizontal="center" vertical="center" wrapText="1"/>
    </xf>
    <xf numFmtId="176" fontId="36" fillId="9" borderId="96" xfId="7" applyNumberFormat="1" applyFont="1" applyFill="1" applyBorder="1" applyAlignment="1" applyProtection="1">
      <alignment vertical="center" shrinkToFit="1"/>
    </xf>
    <xf numFmtId="176" fontId="7" fillId="0" borderId="96" xfId="0" applyNumberFormat="1" applyFont="1" applyBorder="1" applyAlignment="1">
      <alignment vertical="center"/>
    </xf>
    <xf numFmtId="176" fontId="7" fillId="0" borderId="30" xfId="0" applyNumberFormat="1" applyFont="1" applyBorder="1" applyAlignment="1">
      <alignment vertical="center"/>
    </xf>
    <xf numFmtId="176" fontId="36" fillId="9" borderId="15" xfId="7" applyNumberFormat="1" applyFont="1" applyFill="1" applyBorder="1" applyAlignment="1" applyProtection="1">
      <alignment vertical="center" shrinkToFit="1"/>
    </xf>
    <xf numFmtId="176" fontId="7" fillId="0" borderId="15" xfId="0" applyNumberFormat="1" applyFont="1" applyBorder="1" applyAlignment="1">
      <alignment vertical="center"/>
    </xf>
    <xf numFmtId="176" fontId="7" fillId="0" borderId="11" xfId="0" applyNumberFormat="1" applyFont="1" applyBorder="1" applyAlignment="1">
      <alignment vertical="center"/>
    </xf>
    <xf numFmtId="176" fontId="35" fillId="16" borderId="97" xfId="7" applyNumberFormat="1" applyFont="1" applyFill="1" applyBorder="1" applyAlignment="1" applyProtection="1">
      <alignment vertical="center" shrinkToFit="1"/>
    </xf>
    <xf numFmtId="176" fontId="35" fillId="16" borderId="31" xfId="7" applyNumberFormat="1" applyFont="1" applyFill="1" applyBorder="1" applyAlignment="1" applyProtection="1">
      <alignment vertical="center" shrinkToFit="1"/>
    </xf>
    <xf numFmtId="41" fontId="58" fillId="0" borderId="96" xfId="0" applyNumberFormat="1" applyFont="1" applyBorder="1" applyAlignment="1">
      <alignment vertical="center"/>
    </xf>
    <xf numFmtId="41" fontId="58" fillId="0" borderId="15" xfId="0" applyNumberFormat="1" applyFont="1" applyBorder="1" applyAlignment="1">
      <alignment vertical="center"/>
    </xf>
    <xf numFmtId="176" fontId="36" fillId="9" borderId="12" xfId="7" applyNumberFormat="1" applyFont="1" applyFill="1" applyBorder="1" applyAlignment="1" applyProtection="1">
      <alignment vertical="center" shrinkToFit="1"/>
    </xf>
    <xf numFmtId="176" fontId="7" fillId="0" borderId="12" xfId="0" applyNumberFormat="1" applyFont="1" applyBorder="1" applyAlignment="1">
      <alignment vertical="center"/>
    </xf>
    <xf numFmtId="176" fontId="7" fillId="0" borderId="105" xfId="0" applyNumberFormat="1" applyFont="1" applyBorder="1" applyAlignment="1">
      <alignment vertical="center"/>
    </xf>
    <xf numFmtId="41" fontId="59" fillId="22" borderId="96" xfId="0" applyNumberFormat="1" applyFont="1" applyFill="1" applyBorder="1" applyAlignment="1">
      <alignment vertical="center"/>
    </xf>
    <xf numFmtId="41" fontId="59" fillId="22" borderId="30" xfId="0" applyNumberFormat="1" applyFont="1" applyFill="1" applyBorder="1" applyAlignment="1">
      <alignment vertical="center"/>
    </xf>
    <xf numFmtId="41" fontId="59" fillId="22" borderId="15" xfId="0" applyNumberFormat="1" applyFont="1" applyFill="1" applyBorder="1" applyAlignment="1">
      <alignment vertical="center"/>
    </xf>
    <xf numFmtId="41" fontId="59" fillId="22" borderId="11" xfId="0" applyNumberFormat="1" applyFont="1" applyFill="1" applyBorder="1" applyAlignment="1">
      <alignment vertical="center"/>
    </xf>
    <xf numFmtId="176" fontId="12" fillId="16" borderId="97" xfId="0" applyNumberFormat="1" applyFont="1" applyFill="1" applyBorder="1" applyAlignment="1">
      <alignment vertical="center"/>
    </xf>
    <xf numFmtId="176" fontId="12" fillId="16" borderId="31" xfId="0" applyNumberFormat="1" applyFont="1" applyFill="1" applyBorder="1" applyAlignment="1">
      <alignment vertical="center"/>
    </xf>
    <xf numFmtId="176" fontId="36" fillId="16" borderId="97" xfId="7" applyNumberFormat="1" applyFont="1" applyFill="1" applyBorder="1" applyAlignment="1" applyProtection="1">
      <alignment vertical="center" shrinkToFit="1"/>
    </xf>
    <xf numFmtId="176" fontId="37" fillId="15" borderId="185" xfId="0" applyNumberFormat="1" applyFont="1" applyFill="1" applyBorder="1" applyAlignment="1">
      <alignment horizontal="center" vertical="center" wrapText="1"/>
    </xf>
    <xf numFmtId="176" fontId="37" fillId="15" borderId="186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1" fillId="15" borderId="192" xfId="4" applyFont="1" applyFill="1" applyBorder="1" applyAlignment="1" applyProtection="1">
      <alignment horizontal="center" vertical="center" shrinkToFit="1"/>
    </xf>
    <xf numFmtId="0" fontId="21" fillId="15" borderId="193" xfId="4" applyFont="1" applyFill="1" applyBorder="1" applyAlignment="1" applyProtection="1">
      <alignment horizontal="center" vertical="center" shrinkToFit="1"/>
    </xf>
    <xf numFmtId="0" fontId="21" fillId="0" borderId="55" xfId="4" applyFont="1" applyFill="1" applyBorder="1" applyAlignment="1" applyProtection="1">
      <alignment horizontal="center" vertical="center" wrapText="1"/>
    </xf>
    <xf numFmtId="0" fontId="21" fillId="0" borderId="42" xfId="4" applyFont="1" applyFill="1" applyBorder="1" applyAlignment="1" applyProtection="1">
      <alignment horizontal="center" vertical="center" wrapText="1"/>
    </xf>
    <xf numFmtId="0" fontId="21" fillId="15" borderId="54" xfId="4" applyFont="1" applyFill="1" applyBorder="1" applyAlignment="1" applyProtection="1">
      <alignment horizontal="center" vertical="center" wrapText="1"/>
    </xf>
    <xf numFmtId="0" fontId="21" fillId="15" borderId="196" xfId="4" applyFont="1" applyFill="1" applyBorder="1" applyAlignment="1" applyProtection="1">
      <alignment horizontal="center" vertical="center" shrinkToFit="1"/>
    </xf>
    <xf numFmtId="0" fontId="13" fillId="10" borderId="29" xfId="6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30" fillId="0" borderId="0" xfId="0" applyFont="1">
      <alignment vertical="center"/>
    </xf>
    <xf numFmtId="0" fontId="27" fillId="11" borderId="97" xfId="7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58" fillId="0" borderId="114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21" fillId="9" borderId="12" xfId="7" applyFont="1" applyFill="1" applyBorder="1" applyAlignment="1">
      <alignment horizontal="center" vertical="center" shrinkToFit="1"/>
    </xf>
    <xf numFmtId="176" fontId="21" fillId="9" borderId="12" xfId="7" applyNumberFormat="1" applyFont="1" applyFill="1" applyBorder="1" applyAlignment="1">
      <alignment horizontal="center" vertical="center" shrinkToFit="1"/>
    </xf>
    <xf numFmtId="176" fontId="21" fillId="0" borderId="12" xfId="0" applyNumberFormat="1" applyFont="1" applyBorder="1" applyAlignment="1">
      <alignment horizontal="center" vertical="center"/>
    </xf>
    <xf numFmtId="176" fontId="21" fillId="0" borderId="105" xfId="0" applyNumberFormat="1" applyFont="1" applyBorder="1" applyAlignment="1">
      <alignment horizontal="center" vertical="center"/>
    </xf>
    <xf numFmtId="0" fontId="30" fillId="0" borderId="6" xfId="0" applyFont="1" applyBorder="1">
      <alignment vertical="center"/>
    </xf>
    <xf numFmtId="0" fontId="30" fillId="0" borderId="21" xfId="0" applyFont="1" applyBorder="1">
      <alignment vertical="center"/>
    </xf>
    <xf numFmtId="0" fontId="58" fillId="0" borderId="188" xfId="0" applyFont="1" applyBorder="1" applyAlignment="1">
      <alignment horizontal="center" vertical="center"/>
    </xf>
    <xf numFmtId="0" fontId="21" fillId="9" borderId="15" xfId="7" applyFont="1" applyFill="1" applyBorder="1" applyAlignment="1">
      <alignment horizontal="center" vertical="center" shrinkToFit="1"/>
    </xf>
    <xf numFmtId="176" fontId="21" fillId="9" borderId="15" xfId="7" applyNumberFormat="1" applyFont="1" applyFill="1" applyBorder="1" applyAlignment="1">
      <alignment vertical="center" shrinkToFit="1"/>
    </xf>
    <xf numFmtId="176" fontId="21" fillId="9" borderId="15" xfId="7" applyNumberFormat="1" applyFont="1" applyFill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/>
    </xf>
    <xf numFmtId="176" fontId="21" fillId="0" borderId="11" xfId="0" applyNumberFormat="1" applyFont="1" applyBorder="1" applyAlignment="1">
      <alignment horizontal="center" vertical="center"/>
    </xf>
    <xf numFmtId="0" fontId="12" fillId="16" borderId="97" xfId="7" applyFont="1" applyFill="1" applyBorder="1" applyAlignment="1">
      <alignment horizontal="center" vertical="center" shrinkToFit="1"/>
    </xf>
    <xf numFmtId="176" fontId="12" fillId="16" borderId="97" xfId="7" applyNumberFormat="1" applyFont="1" applyFill="1" applyBorder="1" applyAlignment="1">
      <alignment horizontal="center" vertical="center" shrinkToFit="1"/>
    </xf>
    <xf numFmtId="176" fontId="12" fillId="16" borderId="31" xfId="7" applyNumberFormat="1" applyFont="1" applyFill="1" applyBorder="1" applyAlignment="1">
      <alignment horizontal="center" vertical="center" shrinkToFit="1"/>
    </xf>
    <xf numFmtId="0" fontId="21" fillId="0" borderId="199" xfId="0" applyFont="1" applyBorder="1" applyAlignment="1">
      <alignment horizontal="center" vertical="center"/>
    </xf>
    <xf numFmtId="0" fontId="21" fillId="9" borderId="96" xfId="7" applyFont="1" applyFill="1" applyBorder="1" applyAlignment="1">
      <alignment horizontal="center" vertical="center" shrinkToFit="1"/>
    </xf>
    <xf numFmtId="176" fontId="21" fillId="9" borderId="96" xfId="7" applyNumberFormat="1" applyFont="1" applyFill="1" applyBorder="1" applyAlignment="1">
      <alignment horizontal="center" vertical="center" shrinkToFit="1"/>
    </xf>
    <xf numFmtId="0" fontId="21" fillId="0" borderId="12" xfId="0" applyFont="1" applyBorder="1" applyAlignment="1">
      <alignment horizontal="center" vertical="center"/>
    </xf>
    <xf numFmtId="176" fontId="21" fillId="0" borderId="96" xfId="0" applyNumberFormat="1" applyFont="1" applyBorder="1" applyAlignment="1">
      <alignment horizontal="center" vertical="center"/>
    </xf>
    <xf numFmtId="176" fontId="21" fillId="0" borderId="30" xfId="0" applyNumberFormat="1" applyFont="1" applyBorder="1" applyAlignment="1">
      <alignment horizontal="center" vertical="center"/>
    </xf>
    <xf numFmtId="0" fontId="21" fillId="0" borderId="188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76" fontId="12" fillId="16" borderId="97" xfId="0" applyNumberFormat="1" applyFont="1" applyFill="1" applyBorder="1" applyAlignment="1">
      <alignment horizontal="center" vertical="center"/>
    </xf>
    <xf numFmtId="176" fontId="12" fillId="16" borderId="31" xfId="0" applyNumberFormat="1" applyFont="1" applyFill="1" applyBorder="1" applyAlignment="1">
      <alignment horizontal="center" vertical="center"/>
    </xf>
    <xf numFmtId="0" fontId="19" fillId="9" borderId="0" xfId="7" applyFont="1" applyFill="1" applyAlignment="1">
      <alignment horizontal="center" vertical="center" shrinkToFit="1"/>
    </xf>
    <xf numFmtId="0" fontId="58" fillId="0" borderId="0" xfId="0" applyFont="1" applyAlignment="1">
      <alignment horizontal="center" vertical="center"/>
    </xf>
    <xf numFmtId="0" fontId="58" fillId="0" borderId="200" xfId="0" applyFont="1" applyBorder="1" applyAlignment="1">
      <alignment horizontal="center" vertical="center"/>
    </xf>
    <xf numFmtId="0" fontId="35" fillId="9" borderId="26" xfId="7" applyFont="1" applyFill="1" applyBorder="1" applyAlignment="1">
      <alignment vertical="center" wrapText="1"/>
    </xf>
    <xf numFmtId="0" fontId="35" fillId="9" borderId="20" xfId="7" applyFont="1" applyFill="1" applyBorder="1" applyAlignment="1">
      <alignment vertical="center" wrapText="1"/>
    </xf>
    <xf numFmtId="0" fontId="12" fillId="16" borderId="12" xfId="7" applyFont="1" applyFill="1" applyBorder="1" applyAlignment="1">
      <alignment horizontal="center" vertical="center" shrinkToFit="1"/>
    </xf>
    <xf numFmtId="0" fontId="12" fillId="16" borderId="32" xfId="7" applyFont="1" applyFill="1" applyBorder="1" applyAlignment="1">
      <alignment horizontal="center" vertical="center" shrinkToFit="1"/>
    </xf>
    <xf numFmtId="176" fontId="12" fillId="16" borderId="32" xfId="7" applyNumberFormat="1" applyFont="1" applyFill="1" applyBorder="1" applyAlignment="1">
      <alignment horizontal="center" vertical="center" shrinkToFit="1"/>
    </xf>
    <xf numFmtId="176" fontId="12" fillId="16" borderId="32" xfId="0" applyNumberFormat="1" applyFont="1" applyFill="1" applyBorder="1" applyAlignment="1">
      <alignment horizontal="center" vertical="center"/>
    </xf>
    <xf numFmtId="176" fontId="12" fillId="16" borderId="107" xfId="0" applyNumberFormat="1" applyFont="1" applyFill="1" applyBorder="1" applyAlignment="1">
      <alignment horizontal="center" vertical="center"/>
    </xf>
    <xf numFmtId="0" fontId="21" fillId="0" borderId="96" xfId="7" applyFont="1" applyBorder="1" applyAlignment="1">
      <alignment horizontal="center" vertical="center" shrinkToFit="1"/>
    </xf>
    <xf numFmtId="0" fontId="58" fillId="0" borderId="199" xfId="0" applyFont="1" applyBorder="1" applyAlignment="1">
      <alignment horizontal="center" vertical="center"/>
    </xf>
    <xf numFmtId="0" fontId="21" fillId="0" borderId="12" xfId="7" applyFont="1" applyBorder="1" applyAlignment="1">
      <alignment horizontal="center" vertical="center" shrinkToFit="1"/>
    </xf>
    <xf numFmtId="0" fontId="0" fillId="16" borderId="97" xfId="7" applyFont="1" applyFill="1" applyBorder="1" applyAlignment="1">
      <alignment horizontal="center" vertical="center" shrinkToFit="1"/>
    </xf>
    <xf numFmtId="176" fontId="0" fillId="16" borderId="97" xfId="7" applyNumberFormat="1" applyFont="1" applyFill="1" applyBorder="1" applyAlignment="1">
      <alignment horizontal="center" vertical="center" shrinkToFit="1"/>
    </xf>
    <xf numFmtId="0" fontId="21" fillId="9" borderId="32" xfId="7" applyFont="1" applyFill="1" applyBorder="1" applyAlignment="1">
      <alignment horizontal="center" vertical="center" shrinkToFit="1"/>
    </xf>
    <xf numFmtId="176" fontId="21" fillId="9" borderId="32" xfId="7" applyNumberFormat="1" applyFont="1" applyFill="1" applyBorder="1" applyAlignment="1">
      <alignment horizontal="center" vertical="center" shrinkToFit="1"/>
    </xf>
    <xf numFmtId="176" fontId="21" fillId="0" borderId="32" xfId="0" applyNumberFormat="1" applyFont="1" applyBorder="1" applyAlignment="1">
      <alignment horizontal="center" vertical="center"/>
    </xf>
    <xf numFmtId="176" fontId="21" fillId="0" borderId="107" xfId="0" applyNumberFormat="1" applyFont="1" applyBorder="1" applyAlignment="1">
      <alignment horizontal="center" vertical="center"/>
    </xf>
    <xf numFmtId="0" fontId="58" fillId="0" borderId="20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15" borderId="197" xfId="4" applyFont="1" applyFill="1" applyBorder="1" applyAlignment="1" applyProtection="1">
      <alignment horizontal="center" vertical="center" shrinkToFit="1"/>
    </xf>
    <xf numFmtId="0" fontId="58" fillId="0" borderId="70" xfId="0" applyFont="1" applyBorder="1" applyAlignment="1">
      <alignment horizontal="center" vertical="center"/>
    </xf>
    <xf numFmtId="0" fontId="58" fillId="0" borderId="1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6" fillId="9" borderId="96" xfId="7" applyFont="1" applyFill="1" applyBorder="1" applyAlignment="1">
      <alignment horizontal="center" vertical="center" shrinkToFit="1"/>
    </xf>
    <xf numFmtId="176" fontId="36" fillId="9" borderId="96" xfId="7" applyNumberFormat="1" applyFont="1" applyFill="1" applyBorder="1" applyAlignment="1">
      <alignment horizontal="center" vertical="center" shrinkToFit="1"/>
    </xf>
    <xf numFmtId="176" fontId="36" fillId="9" borderId="96" xfId="7" applyNumberFormat="1" applyFont="1" applyFill="1" applyBorder="1" applyAlignment="1">
      <alignment horizontal="right" vertical="center" shrinkToFit="1"/>
    </xf>
    <xf numFmtId="0" fontId="60" fillId="0" borderId="0" xfId="0" applyFont="1" applyAlignment="1">
      <alignment horizontal="center" vertical="center"/>
    </xf>
    <xf numFmtId="0" fontId="36" fillId="9" borderId="15" xfId="7" applyFont="1" applyFill="1" applyBorder="1" applyAlignment="1">
      <alignment horizontal="center" vertical="center" shrinkToFit="1"/>
    </xf>
    <xf numFmtId="176" fontId="36" fillId="9" borderId="15" xfId="7" applyNumberFormat="1" applyFont="1" applyFill="1" applyBorder="1" applyAlignment="1">
      <alignment horizontal="center" vertical="center" shrinkToFit="1"/>
    </xf>
    <xf numFmtId="176" fontId="36" fillId="9" borderId="15" xfId="7" applyNumberFormat="1" applyFont="1" applyFill="1" applyBorder="1" applyAlignment="1">
      <alignment horizontal="right" vertical="center" shrinkToFit="1"/>
    </xf>
    <xf numFmtId="0" fontId="35" fillId="16" borderId="97" xfId="7" applyFont="1" applyFill="1" applyBorder="1" applyAlignment="1">
      <alignment horizontal="center" vertical="center" shrinkToFit="1"/>
    </xf>
    <xf numFmtId="176" fontId="35" fillId="16" borderId="97" xfId="7" applyNumberFormat="1" applyFont="1" applyFill="1" applyBorder="1" applyAlignment="1">
      <alignment horizontal="center" vertical="center" shrinkToFit="1"/>
    </xf>
    <xf numFmtId="176" fontId="35" fillId="16" borderId="97" xfId="7" applyNumberFormat="1" applyFont="1" applyFill="1" applyBorder="1" applyAlignment="1">
      <alignment horizontal="right" vertical="center" shrinkToFit="1"/>
    </xf>
    <xf numFmtId="0" fontId="36" fillId="9" borderId="12" xfId="7" applyFont="1" applyFill="1" applyBorder="1" applyAlignment="1">
      <alignment horizontal="center" vertical="center" shrinkToFit="1"/>
    </xf>
    <xf numFmtId="176" fontId="36" fillId="9" borderId="12" xfId="7" applyNumberFormat="1" applyFont="1" applyFill="1" applyBorder="1" applyAlignment="1">
      <alignment horizontal="center" vertical="center" shrinkToFit="1"/>
    </xf>
    <xf numFmtId="176" fontId="36" fillId="9" borderId="12" xfId="7" applyNumberFormat="1" applyFont="1" applyFill="1" applyBorder="1" applyAlignment="1">
      <alignment horizontal="right" vertical="center" shrinkToFit="1"/>
    </xf>
    <xf numFmtId="0" fontId="57" fillId="0" borderId="12" xfId="0" applyFont="1" applyBorder="1" applyAlignment="1">
      <alignment horizontal="center" vertical="center"/>
    </xf>
    <xf numFmtId="0" fontId="35" fillId="16" borderId="32" xfId="7" applyFont="1" applyFill="1" applyBorder="1" applyAlignment="1">
      <alignment horizontal="center" vertical="center" shrinkToFit="1"/>
    </xf>
    <xf numFmtId="176" fontId="35" fillId="16" borderId="32" xfId="7" applyNumberFormat="1" applyFont="1" applyFill="1" applyBorder="1" applyAlignment="1">
      <alignment horizontal="center" vertical="center" shrinkToFit="1"/>
    </xf>
    <xf numFmtId="0" fontId="36" fillId="0" borderId="96" xfId="7" applyFont="1" applyBorder="1" applyAlignment="1">
      <alignment horizontal="center" vertical="center" shrinkToFit="1"/>
    </xf>
    <xf numFmtId="0" fontId="36" fillId="0" borderId="12" xfId="7" applyFont="1" applyBorder="1" applyAlignment="1">
      <alignment horizontal="center" vertical="center" shrinkToFit="1"/>
    </xf>
    <xf numFmtId="0" fontId="36" fillId="16" borderId="97" xfId="7" applyFont="1" applyFill="1" applyBorder="1" applyAlignment="1">
      <alignment horizontal="center" vertical="center" shrinkToFit="1"/>
    </xf>
    <xf numFmtId="176" fontId="36" fillId="16" borderId="97" xfId="7" applyNumberFormat="1" applyFont="1" applyFill="1" applyBorder="1" applyAlignment="1">
      <alignment horizontal="center" vertical="center" shrinkToFit="1"/>
    </xf>
    <xf numFmtId="0" fontId="36" fillId="9" borderId="32" xfId="7" applyFont="1" applyFill="1" applyBorder="1" applyAlignment="1">
      <alignment horizontal="center" vertical="center" shrinkToFit="1"/>
    </xf>
    <xf numFmtId="176" fontId="36" fillId="9" borderId="32" xfId="7" applyNumberFormat="1" applyFont="1" applyFill="1" applyBorder="1" applyAlignment="1">
      <alignment horizontal="center" vertical="center" shrinkToFit="1"/>
    </xf>
    <xf numFmtId="176" fontId="36" fillId="9" borderId="32" xfId="7" applyNumberFormat="1" applyFont="1" applyFill="1" applyBorder="1" applyAlignment="1">
      <alignment horizontal="right" vertical="center" shrinkToFit="1"/>
    </xf>
    <xf numFmtId="0" fontId="36" fillId="9" borderId="10" xfId="7" applyFont="1" applyFill="1" applyBorder="1" applyAlignment="1">
      <alignment horizontal="center" vertical="center" shrinkToFit="1"/>
    </xf>
    <xf numFmtId="176" fontId="36" fillId="9" borderId="10" xfId="7" applyNumberFormat="1" applyFont="1" applyFill="1" applyBorder="1" applyAlignment="1">
      <alignment horizontal="center" vertical="center" shrinkToFit="1"/>
    </xf>
    <xf numFmtId="0" fontId="57" fillId="0" borderId="0" xfId="0" applyFont="1" applyAlignment="1">
      <alignment horizontal="center" vertical="center"/>
    </xf>
    <xf numFmtId="176" fontId="21" fillId="0" borderId="15" xfId="0" applyNumberFormat="1" applyFont="1" applyBorder="1" applyAlignment="1">
      <alignment horizontal="right" vertical="center"/>
    </xf>
    <xf numFmtId="176" fontId="21" fillId="0" borderId="11" xfId="0" applyNumberFormat="1" applyFont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20" fillId="0" borderId="96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1" fillId="9" borderId="12" xfId="7" applyFont="1" applyFill="1" applyBorder="1" applyAlignment="1">
      <alignment horizontal="center" vertical="center" shrinkToFit="1"/>
    </xf>
    <xf numFmtId="0" fontId="20" fillId="0" borderId="109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62" fillId="0" borderId="15" xfId="0" applyFont="1" applyBorder="1" applyAlignment="1">
      <alignment horizontal="center" vertical="center" wrapText="1"/>
    </xf>
    <xf numFmtId="0" fontId="61" fillId="9" borderId="199" xfId="7" applyFont="1" applyFill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36" fillId="16" borderId="15" xfId="7" applyFont="1" applyFill="1" applyBorder="1" applyAlignment="1">
      <alignment horizontal="center" vertical="center" shrinkToFit="1"/>
    </xf>
    <xf numFmtId="176" fontId="36" fillId="16" borderId="15" xfId="7" applyNumberFormat="1" applyFont="1" applyFill="1" applyBorder="1" applyAlignment="1">
      <alignment horizontal="center" vertical="center" shrinkToFit="1"/>
    </xf>
    <xf numFmtId="0" fontId="21" fillId="0" borderId="35" xfId="4" applyFont="1" applyFill="1" applyBorder="1" applyAlignment="1" applyProtection="1">
      <alignment horizontal="center" vertical="center" wrapText="1"/>
      <protection locked="0"/>
    </xf>
    <xf numFmtId="0" fontId="21" fillId="0" borderId="118" xfId="4" applyFont="1" applyFill="1" applyBorder="1" applyAlignment="1" applyProtection="1">
      <alignment horizontal="center" vertical="center" wrapText="1"/>
      <protection locked="0"/>
    </xf>
    <xf numFmtId="0" fontId="21" fillId="0" borderId="56" xfId="0" applyFont="1" applyBorder="1" applyAlignment="1" applyProtection="1">
      <alignment horizontal="center" vertical="center" shrinkToFit="1"/>
      <protection locked="0"/>
    </xf>
    <xf numFmtId="0" fontId="21" fillId="0" borderId="53" xfId="0" applyFont="1" applyBorder="1" applyAlignment="1" applyProtection="1">
      <alignment horizontal="center" vertical="center" shrinkToFit="1"/>
      <protection locked="0"/>
    </xf>
    <xf numFmtId="0" fontId="21" fillId="0" borderId="120" xfId="4" applyFont="1" applyFill="1" applyBorder="1" applyAlignment="1" applyProtection="1">
      <alignment horizontal="center" vertical="center" wrapText="1"/>
      <protection locked="0"/>
    </xf>
    <xf numFmtId="0" fontId="21" fillId="0" borderId="121" xfId="4" applyFont="1" applyFill="1" applyBorder="1" applyAlignment="1" applyProtection="1">
      <alignment horizontal="center" vertical="center" wrapText="1"/>
      <protection locked="0"/>
    </xf>
    <xf numFmtId="0" fontId="21" fillId="0" borderId="122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119" xfId="4" applyFont="1" applyFill="1" applyBorder="1" applyAlignment="1" applyProtection="1">
      <alignment horizontal="center" vertical="center" wrapText="1"/>
      <protection locked="0"/>
    </xf>
    <xf numFmtId="0" fontId="21" fillId="0" borderId="36" xfId="4" applyFont="1" applyFill="1" applyBorder="1" applyAlignment="1" applyProtection="1">
      <alignment horizontal="center" vertical="center" wrapText="1"/>
      <protection locked="0"/>
    </xf>
    <xf numFmtId="0" fontId="21" fillId="0" borderId="54" xfId="4" applyFont="1" applyFill="1" applyBorder="1" applyAlignment="1" applyProtection="1">
      <alignment horizontal="center" vertical="center" wrapText="1"/>
      <protection locked="0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56" xfId="0" applyFont="1" applyBorder="1" applyAlignment="1" applyProtection="1">
      <alignment horizontal="center" vertical="center" wrapText="1"/>
      <protection locked="0"/>
    </xf>
    <xf numFmtId="0" fontId="21" fillId="0" borderId="53" xfId="0" applyFont="1" applyBorder="1" applyAlignment="1" applyProtection="1">
      <alignment horizontal="center" vertical="center" wrapText="1"/>
      <protection locked="0"/>
    </xf>
    <xf numFmtId="0" fontId="21" fillId="0" borderId="53" xfId="4" applyFont="1" applyFill="1" applyBorder="1" applyAlignment="1" applyProtection="1">
      <alignment horizontal="center" vertical="center" wrapText="1"/>
      <protection locked="0"/>
    </xf>
    <xf numFmtId="0" fontId="21" fillId="0" borderId="56" xfId="4" applyFont="1" applyFill="1" applyBorder="1" applyAlignment="1" applyProtection="1">
      <alignment horizontal="center" vertical="center" wrapText="1"/>
      <protection locked="0"/>
    </xf>
    <xf numFmtId="0" fontId="13" fillId="15" borderId="56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21" fillId="15" borderId="14" xfId="4" applyFont="1" applyFill="1" applyBorder="1" applyAlignment="1" applyProtection="1">
      <alignment horizontal="center" vertical="center" wrapText="1"/>
    </xf>
    <xf numFmtId="0" fontId="21" fillId="15" borderId="79" xfId="4" applyFont="1" applyFill="1" applyBorder="1" applyAlignment="1" applyProtection="1">
      <alignment horizontal="center" vertical="center" wrapText="1"/>
    </xf>
    <xf numFmtId="0" fontId="21" fillId="15" borderId="17" xfId="4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21" fillId="0" borderId="102" xfId="0" applyFont="1" applyBorder="1" applyAlignment="1" applyProtection="1">
      <alignment horizontal="center" vertical="center" shrinkToFit="1"/>
      <protection locked="0"/>
    </xf>
    <xf numFmtId="0" fontId="21" fillId="0" borderId="103" xfId="0" applyFont="1" applyBorder="1" applyAlignment="1" applyProtection="1">
      <alignment horizontal="center" vertical="center" shrinkToFit="1"/>
      <protection locked="0"/>
    </xf>
    <xf numFmtId="0" fontId="21" fillId="0" borderId="50" xfId="0" applyFont="1" applyBorder="1" applyAlignment="1" applyProtection="1">
      <alignment horizontal="center" vertical="center" shrinkToFit="1"/>
      <protection locked="0"/>
    </xf>
    <xf numFmtId="0" fontId="21" fillId="0" borderId="54" xfId="0" applyFont="1" applyBorder="1" applyAlignment="1" applyProtection="1">
      <alignment horizontal="center" vertical="center" shrinkToFit="1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21" fillId="0" borderId="117" xfId="4" applyFont="1" applyFill="1" applyBorder="1" applyAlignment="1" applyProtection="1">
      <alignment horizontal="center" vertical="center" wrapTex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0" borderId="71" xfId="4" applyFont="1" applyFill="1" applyBorder="1" applyAlignment="1" applyProtection="1">
      <alignment horizontal="center" vertical="center" wrapText="1"/>
      <protection locked="0"/>
    </xf>
    <xf numFmtId="0" fontId="21" fillId="0" borderId="116" xfId="4" applyFont="1" applyFill="1" applyBorder="1" applyAlignment="1" applyProtection="1">
      <alignment horizontal="center" vertical="center" wrapText="1"/>
      <protection locked="0"/>
    </xf>
    <xf numFmtId="0" fontId="21" fillId="0" borderId="102" xfId="0" applyFont="1" applyFill="1" applyBorder="1" applyAlignment="1" applyProtection="1">
      <alignment horizontal="center" vertical="center" shrinkToFit="1"/>
      <protection locked="0"/>
    </xf>
    <xf numFmtId="0" fontId="21" fillId="0" borderId="103" xfId="0" applyFont="1" applyFill="1" applyBorder="1" applyAlignment="1" applyProtection="1">
      <alignment horizontal="center" vertical="center" shrinkToFit="1"/>
      <protection locked="0"/>
    </xf>
    <xf numFmtId="0" fontId="21" fillId="0" borderId="102" xfId="4" applyFont="1" applyFill="1" applyBorder="1" applyAlignment="1" applyProtection="1">
      <alignment horizontal="center" vertical="center" wrapText="1"/>
      <protection locked="0"/>
    </xf>
    <xf numFmtId="0" fontId="21" fillId="0" borderId="169" xfId="4" applyFont="1" applyFill="1" applyBorder="1" applyAlignment="1" applyProtection="1">
      <alignment horizontal="center" vertical="center" wrapText="1"/>
      <protection locked="0"/>
    </xf>
    <xf numFmtId="0" fontId="21" fillId="0" borderId="78" xfId="4" applyFont="1" applyFill="1" applyBorder="1" applyAlignment="1" applyProtection="1">
      <alignment horizontal="center" vertical="center" wrapText="1"/>
      <protection locked="0"/>
    </xf>
    <xf numFmtId="0" fontId="21" fillId="0" borderId="172" xfId="4" applyFont="1" applyFill="1" applyBorder="1" applyAlignment="1" applyProtection="1">
      <alignment horizontal="center" vertical="center" wrapText="1"/>
      <protection locked="0"/>
    </xf>
    <xf numFmtId="0" fontId="21" fillId="0" borderId="72" xfId="4" applyFont="1" applyFill="1" applyBorder="1" applyAlignment="1" applyProtection="1">
      <alignment horizontal="center" vertical="center" wrapText="1"/>
      <protection locked="0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13" fillId="21" borderId="50" xfId="5" applyFont="1" applyFill="1" applyBorder="1" applyAlignment="1" applyProtection="1">
      <alignment horizontal="center" vertical="center" wrapText="1"/>
    </xf>
    <xf numFmtId="0" fontId="13" fillId="21" borderId="54" xfId="5" applyFont="1" applyFill="1" applyBorder="1" applyAlignment="1" applyProtection="1">
      <alignment horizontal="center" vertical="center" wrapText="1"/>
    </xf>
    <xf numFmtId="0" fontId="13" fillId="8" borderId="56" xfId="5" applyFont="1" applyFill="1" applyBorder="1" applyAlignment="1" applyProtection="1">
      <alignment horizontal="center" vertical="center" wrapText="1"/>
    </xf>
    <xf numFmtId="0" fontId="13" fillId="8" borderId="53" xfId="5" applyFont="1" applyFill="1" applyBorder="1" applyAlignment="1" applyProtection="1">
      <alignment horizontal="center" vertical="center" wrapText="1"/>
    </xf>
    <xf numFmtId="0" fontId="21" fillId="21" borderId="119" xfId="4" applyFont="1" applyFill="1" applyBorder="1" applyAlignment="1" applyProtection="1">
      <alignment horizontal="center" vertical="center" wrapText="1"/>
      <protection locked="0"/>
    </xf>
    <xf numFmtId="0" fontId="21" fillId="21" borderId="36" xfId="4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1" xfId="0" applyBorder="1" applyAlignment="1" applyProtection="1">
      <alignment horizontal="center" vertical="center"/>
      <protection locked="0"/>
    </xf>
    <xf numFmtId="0" fontId="0" fillId="0" borderId="173" xfId="0" applyBorder="1" applyAlignment="1" applyProtection="1">
      <alignment horizontal="center" vertical="center"/>
      <protection locked="0"/>
    </xf>
    <xf numFmtId="0" fontId="21" fillId="0" borderId="49" xfId="0" applyFont="1" applyBorder="1" applyAlignment="1" applyProtection="1">
      <alignment horizontal="center" vertical="center"/>
      <protection locked="0"/>
    </xf>
    <xf numFmtId="0" fontId="21" fillId="0" borderId="60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108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99" xfId="4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0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94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21" fillId="0" borderId="170" xfId="4" applyFont="1" applyFill="1" applyBorder="1" applyAlignment="1" applyProtection="1">
      <alignment horizontal="center" vertical="center" wrapText="1"/>
      <protection locked="0"/>
    </xf>
    <xf numFmtId="0" fontId="21" fillId="0" borderId="103" xfId="4" applyFont="1" applyFill="1" applyBorder="1" applyAlignment="1" applyProtection="1">
      <alignment horizontal="center" vertical="center" wrapText="1"/>
      <protection locked="0"/>
    </xf>
    <xf numFmtId="0" fontId="21" fillId="0" borderId="60" xfId="4" applyFont="1" applyFill="1" applyBorder="1" applyAlignment="1" applyProtection="1">
      <alignment horizontal="center" vertical="center" wrapText="1"/>
      <protection locked="0"/>
    </xf>
    <xf numFmtId="0" fontId="21" fillId="0" borderId="56" xfId="0" applyFont="1" applyFill="1" applyBorder="1" applyAlignment="1" applyProtection="1">
      <alignment horizontal="center" vertical="center" shrinkToFit="1"/>
      <protection locked="0"/>
    </xf>
    <xf numFmtId="0" fontId="21" fillId="0" borderId="53" xfId="0" applyFont="1" applyFill="1" applyBorder="1" applyAlignment="1" applyProtection="1">
      <alignment horizontal="center" vertical="center" shrinkToFit="1"/>
      <protection locked="0"/>
    </xf>
    <xf numFmtId="0" fontId="21" fillId="0" borderId="49" xfId="0" applyFont="1" applyFill="1" applyBorder="1" applyAlignment="1" applyProtection="1">
      <alignment horizontal="center" vertical="center" shrinkToFit="1"/>
      <protection locked="0"/>
    </xf>
    <xf numFmtId="0" fontId="21" fillId="0" borderId="60" xfId="0" applyFont="1" applyFill="1" applyBorder="1" applyAlignment="1" applyProtection="1">
      <alignment horizontal="center" vertical="center" shrinkToFi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49" xfId="0" applyFont="1" applyBorder="1" applyAlignment="1" applyProtection="1">
      <alignment horizontal="center" vertical="center" shrinkToFit="1"/>
      <protection locked="0"/>
    </xf>
    <xf numFmtId="0" fontId="21" fillId="0" borderId="60" xfId="0" applyFont="1" applyBorder="1" applyAlignment="1" applyProtection="1">
      <alignment horizontal="center" vertical="center" shrinkToFit="1"/>
      <protection locked="0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8" xfId="4" applyFont="1" applyFill="1" applyBorder="1" applyAlignment="1" applyProtection="1">
      <alignment horizontal="center" vertical="center" wrapText="1"/>
    </xf>
    <xf numFmtId="0" fontId="21" fillId="10" borderId="24" xfId="6" applyFont="1" applyFill="1" applyBorder="1" applyAlignment="1" applyProtection="1">
      <alignment horizontal="center" vertical="center" wrapText="1"/>
    </xf>
    <xf numFmtId="0" fontId="21" fillId="10" borderId="23" xfId="6" applyFont="1" applyFill="1" applyBorder="1" applyAlignment="1" applyProtection="1">
      <alignment horizontal="center" vertical="center" wrapText="1"/>
    </xf>
    <xf numFmtId="0" fontId="21" fillId="10" borderId="29" xfId="6" applyFont="1" applyFill="1" applyBorder="1" applyAlignment="1" applyProtection="1">
      <alignment horizontal="center" vertical="center" wrapText="1"/>
    </xf>
    <xf numFmtId="0" fontId="21" fillId="10" borderId="57" xfId="6" applyFont="1" applyFill="1" applyBorder="1" applyAlignment="1" applyProtection="1">
      <alignment horizontal="center" vertical="center" wrapText="1"/>
    </xf>
    <xf numFmtId="0" fontId="21" fillId="10" borderId="58" xfId="6" applyFont="1" applyFill="1" applyBorder="1" applyAlignment="1" applyProtection="1">
      <alignment horizontal="center" vertical="center" wrapText="1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1" fillId="0" borderId="50" xfId="0" applyFont="1" applyBorder="1" applyAlignment="1" applyProtection="1">
      <alignment horizontal="center" vertical="center" wrapText="1"/>
      <protection locked="0"/>
    </xf>
    <xf numFmtId="0" fontId="21" fillId="0" borderId="54" xfId="0" applyFont="1" applyBorder="1" applyAlignment="1" applyProtection="1">
      <alignment horizontal="center" vertical="center" wrapText="1"/>
      <protection locked="0"/>
    </xf>
    <xf numFmtId="0" fontId="21" fillId="0" borderId="49" xfId="2" applyFont="1" applyBorder="1" applyAlignment="1" applyProtection="1">
      <alignment horizontal="center" vertical="center" wrapText="1"/>
      <protection locked="0"/>
    </xf>
    <xf numFmtId="0" fontId="21" fillId="0" borderId="60" xfId="2" applyFont="1" applyBorder="1" applyAlignment="1" applyProtection="1">
      <alignment horizontal="center" vertical="center" wrapText="1"/>
      <protection locked="0"/>
    </xf>
    <xf numFmtId="0" fontId="21" fillId="0" borderId="50" xfId="2" applyFont="1" applyBorder="1" applyAlignment="1" applyProtection="1">
      <alignment horizontal="center" vertical="center" wrapText="1"/>
      <protection locked="0"/>
    </xf>
    <xf numFmtId="0" fontId="21" fillId="0" borderId="54" xfId="2" applyFont="1" applyBorder="1" applyAlignment="1" applyProtection="1">
      <alignment horizontal="center" vertical="center" wrapText="1"/>
      <protection locked="0"/>
    </xf>
    <xf numFmtId="0" fontId="21" fillId="0" borderId="50" xfId="0" applyFont="1" applyFill="1" applyBorder="1" applyAlignment="1" applyProtection="1">
      <alignment horizontal="center" vertical="center" shrinkToFit="1"/>
      <protection locked="0"/>
    </xf>
    <xf numFmtId="0" fontId="21" fillId="0" borderId="54" xfId="0" applyFont="1" applyFill="1" applyBorder="1" applyAlignment="1" applyProtection="1">
      <alignment horizontal="center" vertical="center" shrinkToFit="1"/>
      <protection locked="0"/>
    </xf>
    <xf numFmtId="0" fontId="21" fillId="9" borderId="50" xfId="4" applyFont="1" applyFill="1" applyBorder="1" applyAlignment="1" applyProtection="1">
      <alignment horizontal="center" vertical="center" wrapText="1"/>
      <protection locked="0"/>
    </xf>
    <xf numFmtId="0" fontId="21" fillId="9" borderId="36" xfId="4" applyFont="1" applyFill="1" applyBorder="1" applyAlignment="1" applyProtection="1">
      <alignment horizontal="center" vertical="center" wrapText="1"/>
      <protection locked="0"/>
    </xf>
    <xf numFmtId="176" fontId="21" fillId="15" borderId="4" xfId="0" applyNumberFormat="1" applyFont="1" applyFill="1" applyBorder="1" applyAlignment="1">
      <alignment horizontal="center" vertical="center" wrapText="1"/>
    </xf>
    <xf numFmtId="176" fontId="21" fillId="15" borderId="25" xfId="0" applyNumberFormat="1" applyFont="1" applyFill="1" applyBorder="1" applyAlignment="1">
      <alignment horizontal="center" vertical="center" wrapText="1"/>
    </xf>
    <xf numFmtId="176" fontId="21" fillId="15" borderId="6" xfId="0" applyNumberFormat="1" applyFont="1" applyFill="1" applyBorder="1" applyAlignment="1">
      <alignment horizontal="center" vertical="center" wrapText="1"/>
    </xf>
    <xf numFmtId="176" fontId="21" fillId="15" borderId="21" xfId="0" applyNumberFormat="1" applyFont="1" applyFill="1" applyBorder="1" applyAlignment="1">
      <alignment horizontal="center" vertical="center" wrapText="1"/>
    </xf>
    <xf numFmtId="176" fontId="21" fillId="15" borderId="19" xfId="0" applyNumberFormat="1" applyFont="1" applyFill="1" applyBorder="1" applyAlignment="1">
      <alignment horizontal="center" vertical="center" wrapText="1"/>
    </xf>
    <xf numFmtId="176" fontId="21" fillId="15" borderId="22" xfId="0" applyNumberFormat="1" applyFont="1" applyFill="1" applyBorder="1" applyAlignment="1">
      <alignment horizontal="center" vertical="center" wrapText="1"/>
    </xf>
    <xf numFmtId="0" fontId="21" fillId="15" borderId="14" xfId="0" applyFont="1" applyFill="1" applyBorder="1" applyAlignment="1">
      <alignment horizontal="center" vertical="center" wrapText="1"/>
    </xf>
    <xf numFmtId="0" fontId="21" fillId="15" borderId="17" xfId="0" applyFont="1" applyFill="1" applyBorder="1" applyAlignment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56" fillId="15" borderId="14" xfId="0" applyFont="1" applyFill="1" applyBorder="1" applyAlignment="1">
      <alignment horizontal="center" vertical="center" wrapText="1"/>
    </xf>
    <xf numFmtId="0" fontId="56" fillId="15" borderId="17" xfId="0" applyFont="1" applyFill="1" applyBorder="1" applyAlignment="1">
      <alignment horizontal="center" vertical="center" wrapText="1"/>
    </xf>
    <xf numFmtId="0" fontId="21" fillId="15" borderId="79" xfId="0" applyFont="1" applyFill="1" applyBorder="1" applyAlignment="1">
      <alignment horizontal="center" vertical="center" wrapText="1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21" fillId="0" borderId="4" xfId="4" applyFont="1" applyFill="1" applyBorder="1" applyAlignment="1" applyProtection="1">
      <alignment horizontal="center" vertical="center" wrapText="1"/>
      <protection locked="0"/>
    </xf>
    <xf numFmtId="0" fontId="21" fillId="0" borderId="68" xfId="4" applyFont="1" applyFill="1" applyBorder="1" applyAlignment="1" applyProtection="1">
      <alignment horizontal="center" vertical="center" wrapText="1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22" xfId="4" applyFont="1" applyFill="1" applyBorder="1" applyAlignment="1" applyProtection="1">
      <alignment horizontal="center" vertical="center" wrapText="1"/>
      <protection locked="0"/>
    </xf>
    <xf numFmtId="0" fontId="21" fillId="8" borderId="120" xfId="4" applyFont="1" applyFill="1" applyBorder="1" applyAlignment="1" applyProtection="1">
      <alignment horizontal="center" vertical="center" wrapText="1"/>
      <protection locked="0"/>
    </xf>
    <xf numFmtId="0" fontId="21" fillId="8" borderId="121" xfId="4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08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21" fillId="0" borderId="177" xfId="4" applyFont="1" applyFill="1" applyBorder="1" applyAlignment="1" applyProtection="1">
      <alignment horizontal="center" vertical="center" wrapText="1"/>
      <protection locked="0"/>
    </xf>
    <xf numFmtId="0" fontId="21" fillId="0" borderId="171" xfId="4" applyFont="1" applyFill="1" applyBorder="1" applyAlignment="1" applyProtection="1">
      <alignment horizontal="center" vertical="center" wrapText="1"/>
      <protection locked="0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21" fillId="0" borderId="67" xfId="4" applyFont="1" applyFill="1" applyBorder="1" applyAlignment="1" applyProtection="1">
      <alignment horizontal="center" vertical="center" wrapText="1"/>
      <protection locked="0"/>
    </xf>
    <xf numFmtId="0" fontId="21" fillId="0" borderId="123" xfId="4" applyFont="1" applyFill="1" applyBorder="1" applyAlignment="1" applyProtection="1">
      <alignment horizontal="center" vertical="center" wrapText="1"/>
      <protection locked="0"/>
    </xf>
    <xf numFmtId="0" fontId="21" fillId="0" borderId="124" xfId="4" applyFont="1" applyFill="1" applyBorder="1" applyAlignment="1" applyProtection="1">
      <alignment horizontal="center" vertical="center" wrapText="1"/>
      <protection locked="0"/>
    </xf>
    <xf numFmtId="0" fontId="21" fillId="0" borderId="25" xfId="4" applyFont="1" applyFill="1" applyBorder="1" applyAlignment="1" applyProtection="1">
      <alignment horizontal="center" vertical="center" wrapText="1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2" fillId="8" borderId="98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21" fillId="10" borderId="64" xfId="6" applyFont="1" applyFill="1" applyBorder="1" applyAlignment="1" applyProtection="1">
      <alignment horizontal="center" vertical="center" wrapText="1"/>
    </xf>
    <xf numFmtId="0" fontId="21" fillId="10" borderId="82" xfId="6" applyFont="1" applyFill="1" applyBorder="1" applyAlignment="1" applyProtection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21" fillId="10" borderId="59" xfId="6" applyFont="1" applyFill="1" applyBorder="1" applyAlignment="1" applyProtection="1">
      <alignment horizontal="center" vertical="center" wrapText="1"/>
    </xf>
    <xf numFmtId="0" fontId="13" fillId="15" borderId="102" xfId="5" applyFont="1" applyFill="1" applyBorder="1" applyAlignment="1" applyProtection="1">
      <alignment horizontal="center" vertical="center" wrapText="1"/>
    </xf>
    <xf numFmtId="0" fontId="13" fillId="15" borderId="103" xfId="5" applyFont="1" applyFill="1" applyBorder="1" applyAlignment="1" applyProtection="1">
      <alignment horizontal="center" vertical="center" wrapText="1"/>
    </xf>
    <xf numFmtId="0" fontId="21" fillId="10" borderId="86" xfId="6" applyFont="1" applyFill="1" applyBorder="1" applyAlignment="1" applyProtection="1">
      <alignment horizontal="center" vertical="center" wrapText="1"/>
    </xf>
    <xf numFmtId="0" fontId="21" fillId="10" borderId="65" xfId="6" applyFont="1" applyFill="1" applyBorder="1" applyAlignment="1" applyProtection="1">
      <alignment horizontal="center" vertical="center" wrapText="1"/>
    </xf>
    <xf numFmtId="0" fontId="12" fillId="16" borderId="89" xfId="7" applyFont="1" applyFill="1" applyBorder="1" applyAlignment="1">
      <alignment horizontal="center" vertical="center" shrinkToFit="1"/>
    </xf>
    <xf numFmtId="0" fontId="12" fillId="16" borderId="97" xfId="7" applyFont="1" applyFill="1" applyBorder="1" applyAlignment="1">
      <alignment horizontal="center" vertical="center" shrinkToFit="1"/>
    </xf>
    <xf numFmtId="0" fontId="12" fillId="0" borderId="3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 shrinkToFit="1"/>
    </xf>
    <xf numFmtId="0" fontId="17" fillId="11" borderId="15" xfId="7" applyFont="1" applyFill="1" applyBorder="1" applyAlignment="1">
      <alignment horizontal="center" vertical="center" shrinkToFit="1"/>
    </xf>
    <xf numFmtId="0" fontId="17" fillId="11" borderId="97" xfId="7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3" xfId="7" applyFont="1" applyFill="1" applyBorder="1" applyAlignment="1">
      <alignment horizontal="center" vertical="center" wrapText="1"/>
    </xf>
    <xf numFmtId="0" fontId="17" fillId="11" borderId="106" xfId="7" applyFont="1" applyFill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 wrapText="1"/>
    </xf>
    <xf numFmtId="0" fontId="17" fillId="11" borderId="15" xfId="7" applyFont="1" applyFill="1" applyBorder="1" applyAlignment="1">
      <alignment horizontal="center" vertical="center" wrapText="1"/>
    </xf>
    <xf numFmtId="0" fontId="17" fillId="11" borderId="97" xfId="7" applyFont="1" applyFill="1" applyBorder="1" applyAlignment="1">
      <alignment horizontal="center" vertical="center" wrapText="1"/>
    </xf>
    <xf numFmtId="0" fontId="17" fillId="11" borderId="96" xfId="7" applyFont="1" applyFill="1" applyBorder="1" applyAlignment="1">
      <alignment horizontal="center" vertical="center"/>
    </xf>
    <xf numFmtId="0" fontId="26" fillId="11" borderId="96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35" fillId="9" borderId="197" xfId="7" applyFont="1" applyFill="1" applyBorder="1" applyAlignment="1">
      <alignment horizontal="center" vertical="center" wrapText="1"/>
    </xf>
    <xf numFmtId="0" fontId="35" fillId="9" borderId="196" xfId="7" applyFont="1" applyFill="1" applyBorder="1" applyAlignment="1">
      <alignment horizontal="center" vertical="center" wrapText="1"/>
    </xf>
    <xf numFmtId="0" fontId="35" fillId="9" borderId="198" xfId="7" applyFont="1" applyFill="1" applyBorder="1" applyAlignment="1">
      <alignment horizontal="center" vertical="center" wrapText="1"/>
    </xf>
    <xf numFmtId="0" fontId="35" fillId="9" borderId="14" xfId="7" applyFont="1" applyFill="1" applyBorder="1" applyAlignment="1">
      <alignment horizontal="center" vertical="center" wrapText="1"/>
    </xf>
    <xf numFmtId="0" fontId="35" fillId="9" borderId="17" xfId="7" applyFont="1" applyFill="1" applyBorder="1" applyAlignment="1">
      <alignment horizontal="center" vertical="center" wrapText="1"/>
    </xf>
    <xf numFmtId="0" fontId="35" fillId="9" borderId="79" xfId="7" applyFont="1" applyFill="1" applyBorder="1" applyAlignment="1">
      <alignment horizontal="center" vertical="center" wrapText="1"/>
    </xf>
    <xf numFmtId="0" fontId="12" fillId="16" borderId="9" xfId="7" applyFont="1" applyFill="1" applyBorder="1" applyAlignment="1">
      <alignment horizontal="center" vertical="center" shrinkToFit="1"/>
    </xf>
    <xf numFmtId="176" fontId="35" fillId="9" borderId="14" xfId="7" applyNumberFormat="1" applyFont="1" applyFill="1" applyBorder="1" applyAlignment="1">
      <alignment horizontal="center" vertical="center" wrapText="1"/>
    </xf>
    <xf numFmtId="176" fontId="35" fillId="9" borderId="17" xfId="7" applyNumberFormat="1" applyFont="1" applyFill="1" applyBorder="1" applyAlignment="1">
      <alignment horizontal="center" vertical="center" wrapText="1"/>
    </xf>
    <xf numFmtId="176" fontId="35" fillId="9" borderId="79" xfId="7" applyNumberFormat="1" applyFont="1" applyFill="1" applyBorder="1" applyAlignment="1">
      <alignment horizontal="center" vertical="center" wrapText="1"/>
    </xf>
    <xf numFmtId="0" fontId="35" fillId="9" borderId="19" xfId="7" applyFont="1" applyFill="1" applyBorder="1" applyAlignment="1">
      <alignment horizontal="center" vertical="center" wrapText="1"/>
    </xf>
    <xf numFmtId="0" fontId="12" fillId="16" borderId="12" xfId="7" applyFont="1" applyFill="1" applyBorder="1" applyAlignment="1">
      <alignment horizontal="center" vertical="center" shrinkToFit="1"/>
    </xf>
    <xf numFmtId="0" fontId="35" fillId="9" borderId="6" xfId="7" applyFont="1" applyFill="1" applyBorder="1" applyAlignment="1">
      <alignment horizontal="center" vertical="center" wrapText="1"/>
    </xf>
    <xf numFmtId="176" fontId="35" fillId="9" borderId="4" xfId="7" applyNumberFormat="1" applyFont="1" applyFill="1" applyBorder="1" applyAlignment="1">
      <alignment horizontal="center" vertical="center" wrapText="1"/>
    </xf>
    <xf numFmtId="176" fontId="35" fillId="9" borderId="6" xfId="7" applyNumberFormat="1" applyFont="1" applyFill="1" applyBorder="1" applyAlignment="1">
      <alignment horizontal="center" vertical="center" wrapText="1"/>
    </xf>
    <xf numFmtId="0" fontId="12" fillId="16" borderId="18" xfId="7" applyFont="1" applyFill="1" applyBorder="1" applyAlignment="1">
      <alignment horizontal="center" vertical="center" shrinkToFit="1"/>
    </xf>
    <xf numFmtId="0" fontId="12" fillId="16" borderId="32" xfId="7" applyFont="1" applyFill="1" applyBorder="1" applyAlignment="1">
      <alignment horizontal="center" vertical="center" shrinkToFit="1"/>
    </xf>
    <xf numFmtId="0" fontId="12" fillId="16" borderId="93" xfId="7" applyFont="1" applyFill="1" applyBorder="1" applyAlignment="1">
      <alignment horizontal="center" vertical="center" shrinkToFit="1"/>
    </xf>
    <xf numFmtId="176" fontId="35" fillId="9" borderId="25" xfId="7" applyNumberFormat="1" applyFont="1" applyFill="1" applyBorder="1" applyAlignment="1">
      <alignment horizontal="center" vertical="center" wrapText="1"/>
    </xf>
    <xf numFmtId="176" fontId="35" fillId="9" borderId="21" xfId="7" applyNumberFormat="1" applyFont="1" applyFill="1" applyBorder="1" applyAlignment="1">
      <alignment horizontal="center" vertical="center" wrapText="1"/>
    </xf>
    <xf numFmtId="176" fontId="35" fillId="9" borderId="22" xfId="7" applyNumberFormat="1" applyFont="1" applyFill="1" applyBorder="1" applyAlignment="1">
      <alignment horizontal="center" vertical="center" wrapText="1"/>
    </xf>
    <xf numFmtId="0" fontId="21" fillId="0" borderId="178" xfId="4" applyFont="1" applyFill="1" applyBorder="1" applyAlignment="1" applyProtection="1">
      <alignment horizontal="center" vertical="center" wrapText="1"/>
      <protection locked="0"/>
    </xf>
    <xf numFmtId="0" fontId="21" fillId="0" borderId="180" xfId="4" applyFont="1" applyFill="1" applyBorder="1" applyAlignment="1" applyProtection="1">
      <alignment horizontal="center" vertical="center" wrapText="1"/>
      <protection locked="0"/>
    </xf>
    <xf numFmtId="0" fontId="21" fillId="0" borderId="181" xfId="4" applyFont="1" applyFill="1" applyBorder="1" applyAlignment="1" applyProtection="1">
      <alignment horizontal="center" vertical="center" wrapText="1"/>
      <protection locked="0"/>
    </xf>
    <xf numFmtId="0" fontId="21" fillId="0" borderId="114" xfId="4" applyFont="1" applyFill="1" applyBorder="1" applyAlignment="1" applyProtection="1">
      <alignment horizontal="center" vertical="center" wrapText="1"/>
      <protection locked="0"/>
    </xf>
    <xf numFmtId="0" fontId="21" fillId="0" borderId="115" xfId="4" applyFont="1" applyFill="1" applyBorder="1" applyAlignment="1" applyProtection="1">
      <alignment horizontal="center" vertical="center" wrapText="1"/>
      <protection locked="0"/>
    </xf>
    <xf numFmtId="0" fontId="21" fillId="0" borderId="179" xfId="4" applyFont="1" applyFill="1" applyBorder="1" applyAlignment="1" applyProtection="1">
      <alignment horizontal="center" vertical="center" wrapText="1"/>
      <protection locked="0"/>
    </xf>
    <xf numFmtId="0" fontId="21" fillId="0" borderId="189" xfId="4" applyFont="1" applyFill="1" applyBorder="1" applyAlignment="1" applyProtection="1">
      <alignment horizontal="center" vertical="center" wrapText="1"/>
      <protection locked="0"/>
    </xf>
    <xf numFmtId="0" fontId="21" fillId="0" borderId="190" xfId="4" applyFont="1" applyFill="1" applyBorder="1" applyAlignment="1" applyProtection="1">
      <alignment horizontal="center" vertical="center" wrapText="1"/>
      <protection locked="0"/>
    </xf>
    <xf numFmtId="0" fontId="21" fillId="0" borderId="187" xfId="4" applyFont="1" applyFill="1" applyBorder="1" applyAlignment="1" applyProtection="1">
      <alignment horizontal="center" vertical="center" wrapText="1"/>
      <protection locked="0"/>
    </xf>
    <xf numFmtId="0" fontId="21" fillId="0" borderId="188" xfId="4" applyFont="1" applyFill="1" applyBorder="1" applyAlignment="1" applyProtection="1">
      <alignment horizontal="center" vertical="center" wrapText="1"/>
      <protection locked="0"/>
    </xf>
    <xf numFmtId="0" fontId="21" fillId="0" borderId="93" xfId="4" applyFont="1" applyFill="1" applyBorder="1" applyAlignment="1" applyProtection="1">
      <alignment horizontal="center" vertical="center" wrapText="1"/>
      <protection locked="0"/>
    </xf>
    <xf numFmtId="0" fontId="21" fillId="0" borderId="182" xfId="4" applyFont="1" applyFill="1" applyBorder="1" applyAlignment="1" applyProtection="1">
      <alignment horizontal="center" vertical="center" wrapText="1"/>
      <protection locked="0"/>
    </xf>
    <xf numFmtId="0" fontId="21" fillId="0" borderId="183" xfId="4" applyFont="1" applyFill="1" applyBorder="1" applyAlignment="1" applyProtection="1">
      <alignment horizontal="center" vertical="center" wrapText="1"/>
      <protection locked="0"/>
    </xf>
    <xf numFmtId="0" fontId="21" fillId="0" borderId="18" xfId="4" applyFont="1" applyFill="1" applyBorder="1" applyAlignment="1" applyProtection="1">
      <alignment horizontal="center" vertical="center" wrapText="1"/>
      <protection locked="0"/>
    </xf>
    <xf numFmtId="0" fontId="21" fillId="0" borderId="8" xfId="4" applyFont="1" applyFill="1" applyBorder="1" applyAlignment="1" applyProtection="1">
      <alignment horizontal="center" vertical="center" wrapText="1"/>
      <protection locked="0"/>
    </xf>
    <xf numFmtId="0" fontId="21" fillId="0" borderId="173" xfId="4" applyFont="1" applyFill="1" applyBorder="1" applyAlignment="1" applyProtection="1">
      <alignment horizontal="center" vertical="center" wrapText="1"/>
      <protection locked="0"/>
    </xf>
    <xf numFmtId="0" fontId="21" fillId="0" borderId="102" xfId="2" applyFont="1" applyBorder="1" applyAlignment="1" applyProtection="1">
      <alignment horizontal="center" vertical="center" wrapText="1"/>
      <protection locked="0"/>
    </xf>
    <xf numFmtId="0" fontId="21" fillId="0" borderId="103" xfId="2" applyFont="1" applyBorder="1" applyAlignment="1" applyProtection="1">
      <alignment horizontal="center" vertical="center" wrapText="1"/>
      <protection locked="0"/>
    </xf>
    <xf numFmtId="0" fontId="21" fillId="0" borderId="109" xfId="4" applyFont="1" applyFill="1" applyBorder="1" applyAlignment="1" applyProtection="1">
      <alignment horizontal="center" vertical="center" wrapText="1"/>
      <protection locked="0"/>
    </xf>
    <xf numFmtId="0" fontId="21" fillId="0" borderId="191" xfId="4" applyFont="1" applyFill="1" applyBorder="1" applyAlignment="1" applyProtection="1">
      <alignment horizontal="center" vertical="center" wrapText="1"/>
      <protection locked="0"/>
    </xf>
    <xf numFmtId="0" fontId="21" fillId="15" borderId="19" xfId="4" applyFont="1" applyFill="1" applyBorder="1" applyAlignment="1" applyProtection="1">
      <alignment horizontal="center" vertical="center" wrapText="1"/>
    </xf>
    <xf numFmtId="0" fontId="21" fillId="15" borderId="22" xfId="4" applyFont="1" applyFill="1" applyBorder="1" applyAlignment="1" applyProtection="1">
      <alignment horizontal="center" vertical="center" wrapText="1"/>
    </xf>
    <xf numFmtId="0" fontId="56" fillId="0" borderId="16" xfId="0" applyFont="1" applyBorder="1" applyAlignment="1" applyProtection="1">
      <alignment horizontal="center" vertical="center" wrapText="1"/>
      <protection locked="0"/>
    </xf>
    <xf numFmtId="0" fontId="56" fillId="0" borderId="23" xfId="0" applyFont="1" applyBorder="1" applyAlignment="1" applyProtection="1">
      <alignment horizontal="center" vertical="center" wrapText="1"/>
      <protection locked="0"/>
    </xf>
    <xf numFmtId="0" fontId="56" fillId="0" borderId="29" xfId="0" applyFont="1" applyBorder="1" applyAlignment="1" applyProtection="1">
      <alignment horizontal="center" vertical="center" wrapText="1"/>
      <protection locked="0"/>
    </xf>
    <xf numFmtId="0" fontId="35" fillId="9" borderId="111" xfId="7" applyFont="1" applyFill="1" applyBorder="1" applyAlignment="1">
      <alignment horizontal="center" vertical="center" wrapText="1"/>
    </xf>
    <xf numFmtId="0" fontId="35" fillId="9" borderId="10" xfId="7" applyFont="1" applyFill="1" applyBorder="1" applyAlignment="1">
      <alignment horizontal="center" vertical="center" wrapText="1"/>
    </xf>
    <xf numFmtId="0" fontId="35" fillId="9" borderId="112" xfId="7" applyFont="1" applyFill="1" applyBorder="1" applyAlignment="1">
      <alignment horizontal="center" vertical="center" wrapText="1"/>
    </xf>
    <xf numFmtId="0" fontId="35" fillId="9" borderId="98" xfId="7" applyFont="1" applyFill="1" applyBorder="1" applyAlignment="1">
      <alignment horizontal="center" vertical="center" wrapText="1"/>
    </xf>
    <xf numFmtId="0" fontId="35" fillId="9" borderId="26" xfId="7" applyFont="1" applyFill="1" applyBorder="1" applyAlignment="1">
      <alignment horizontal="center" vertical="center" wrapText="1"/>
    </xf>
    <xf numFmtId="0" fontId="35" fillId="9" borderId="27" xfId="7" applyFont="1" applyFill="1" applyBorder="1" applyAlignment="1">
      <alignment horizontal="center" vertical="center" wrapText="1"/>
    </xf>
    <xf numFmtId="0" fontId="35" fillId="16" borderId="97" xfId="7" applyFont="1" applyFill="1" applyBorder="1" applyAlignment="1">
      <alignment horizontal="center" vertical="center" shrinkToFit="1"/>
    </xf>
    <xf numFmtId="176" fontId="35" fillId="9" borderId="111" xfId="7" applyNumberFormat="1" applyFont="1" applyFill="1" applyBorder="1" applyAlignment="1">
      <alignment horizontal="center" vertical="center" wrapText="1"/>
    </xf>
    <xf numFmtId="176" fontId="35" fillId="9" borderId="10" xfId="7" applyNumberFormat="1" applyFont="1" applyFill="1" applyBorder="1" applyAlignment="1">
      <alignment horizontal="center" vertical="center" wrapText="1"/>
    </xf>
    <xf numFmtId="176" fontId="35" fillId="9" borderId="112" xfId="7" applyNumberFormat="1" applyFont="1" applyFill="1" applyBorder="1" applyAlignment="1">
      <alignment horizontal="center" vertical="center" wrapText="1"/>
    </xf>
    <xf numFmtId="0" fontId="35" fillId="9" borderId="5" xfId="7" applyFont="1" applyFill="1" applyBorder="1" applyAlignment="1">
      <alignment horizontal="center" vertical="center" wrapText="1"/>
    </xf>
    <xf numFmtId="0" fontId="35" fillId="9" borderId="13" xfId="7" applyFont="1" applyFill="1" applyBorder="1" applyAlignment="1">
      <alignment horizontal="center" vertical="center" wrapText="1"/>
    </xf>
    <xf numFmtId="0" fontId="35" fillId="9" borderId="9" xfId="7" applyFont="1" applyFill="1" applyBorder="1" applyAlignment="1">
      <alignment horizontal="center" vertical="center" wrapText="1"/>
    </xf>
    <xf numFmtId="176" fontId="35" fillId="9" borderId="96" xfId="7" applyNumberFormat="1" applyFont="1" applyFill="1" applyBorder="1" applyAlignment="1">
      <alignment horizontal="center" vertical="center" wrapText="1"/>
    </xf>
    <xf numFmtId="0" fontId="35" fillId="9" borderId="15" xfId="7" applyFont="1" applyFill="1" applyBorder="1" applyAlignment="1">
      <alignment horizontal="center" vertical="center" wrapText="1"/>
    </xf>
    <xf numFmtId="0" fontId="35" fillId="9" borderId="97" xfId="7" applyFont="1" applyFill="1" applyBorder="1" applyAlignment="1">
      <alignment horizontal="center" vertical="center" wrapText="1"/>
    </xf>
    <xf numFmtId="0" fontId="35" fillId="9" borderId="104" xfId="7" applyFont="1" applyFill="1" applyBorder="1" applyAlignment="1">
      <alignment horizontal="center" vertical="center" wrapText="1"/>
    </xf>
    <xf numFmtId="176" fontId="35" fillId="9" borderId="12" xfId="7" applyNumberFormat="1" applyFont="1" applyFill="1" applyBorder="1" applyAlignment="1">
      <alignment horizontal="center" vertical="center" wrapText="1"/>
    </xf>
    <xf numFmtId="0" fontId="17" fillId="11" borderId="9" xfId="7" applyFont="1" applyFill="1" applyBorder="1" applyAlignment="1">
      <alignment horizontal="center" vertical="center" wrapText="1"/>
    </xf>
    <xf numFmtId="0" fontId="21" fillId="15" borderId="0" xfId="4" applyFont="1" applyFill="1" applyBorder="1" applyAlignment="1" applyProtection="1">
      <alignment horizontal="center" vertical="center" wrapText="1"/>
    </xf>
    <xf numFmtId="0" fontId="21" fillId="0" borderId="50" xfId="0" applyFont="1" applyBorder="1" applyAlignment="1" applyProtection="1">
      <alignment horizontal="center" vertical="center"/>
      <protection locked="0"/>
    </xf>
    <xf numFmtId="0" fontId="21" fillId="0" borderId="54" xfId="0" applyFont="1" applyBorder="1" applyAlignment="1" applyProtection="1">
      <alignment horizontal="center" vertical="center"/>
      <protection locked="0"/>
    </xf>
    <xf numFmtId="0" fontId="21" fillId="0" borderId="194" xfId="4" applyFont="1" applyFill="1" applyBorder="1" applyAlignment="1" applyProtection="1">
      <alignment horizontal="center" vertical="center" wrapText="1"/>
      <protection locked="0"/>
    </xf>
    <xf numFmtId="0" fontId="21" fillId="0" borderId="195" xfId="4" applyFont="1" applyFill="1" applyBorder="1" applyAlignment="1" applyProtection="1">
      <alignment horizontal="center" vertical="center" wrapText="1"/>
      <protection locked="0"/>
    </xf>
    <xf numFmtId="0" fontId="35" fillId="9" borderId="98" xfId="7" applyFont="1" applyFill="1" applyBorder="1" applyAlignment="1" applyProtection="1">
      <alignment horizontal="center" vertical="center" wrapText="1"/>
    </xf>
    <xf numFmtId="0" fontId="35" fillId="9" borderId="26" xfId="7" applyFont="1" applyFill="1" applyBorder="1" applyAlignment="1" applyProtection="1">
      <alignment horizontal="center" vertical="center" wrapText="1"/>
    </xf>
    <xf numFmtId="0" fontId="35" fillId="9" borderId="27" xfId="7" applyFont="1" applyFill="1" applyBorder="1" applyAlignment="1" applyProtection="1">
      <alignment horizontal="center" vertical="center" wrapText="1"/>
    </xf>
    <xf numFmtId="176" fontId="35" fillId="9" borderId="111" xfId="7" applyNumberFormat="1" applyFont="1" applyFill="1" applyBorder="1" applyAlignment="1" applyProtection="1">
      <alignment horizontal="center" vertical="center" wrapText="1"/>
    </xf>
    <xf numFmtId="176" fontId="35" fillId="9" borderId="10" xfId="7" applyNumberFormat="1" applyFont="1" applyFill="1" applyBorder="1" applyAlignment="1" applyProtection="1">
      <alignment horizontal="center" vertical="center" wrapText="1"/>
    </xf>
    <xf numFmtId="176" fontId="35" fillId="9" borderId="112" xfId="7" applyNumberFormat="1" applyFont="1" applyFill="1" applyBorder="1" applyAlignment="1" applyProtection="1">
      <alignment horizontal="center" vertical="center" wrapText="1"/>
    </xf>
    <xf numFmtId="0" fontId="35" fillId="16" borderId="97" xfId="7" applyNumberFormat="1" applyFont="1" applyFill="1" applyBorder="1" applyAlignment="1" applyProtection="1">
      <alignment horizontal="center" vertical="center" shrinkToFit="1"/>
    </xf>
    <xf numFmtId="0" fontId="35" fillId="9" borderId="111" xfId="7" applyFont="1" applyFill="1" applyBorder="1" applyAlignment="1" applyProtection="1">
      <alignment horizontal="center" vertical="center" wrapText="1"/>
    </xf>
    <xf numFmtId="0" fontId="35" fillId="9" borderId="10" xfId="7" applyFont="1" applyFill="1" applyBorder="1" applyAlignment="1" applyProtection="1">
      <alignment horizontal="center" vertical="center" wrapText="1"/>
    </xf>
    <xf numFmtId="0" fontId="35" fillId="9" borderId="112" xfId="7" applyFont="1" applyFill="1" applyBorder="1" applyAlignment="1" applyProtection="1">
      <alignment horizontal="center" vertical="center" wrapText="1"/>
    </xf>
    <xf numFmtId="0" fontId="35" fillId="9" borderId="5" xfId="7" applyFont="1" applyFill="1" applyBorder="1" applyAlignment="1" applyProtection="1">
      <alignment horizontal="center" vertical="center" wrapText="1"/>
    </xf>
    <xf numFmtId="0" fontId="35" fillId="9" borderId="104" xfId="7" applyFont="1" applyFill="1" applyBorder="1" applyAlignment="1" applyProtection="1">
      <alignment horizontal="center" vertical="center" wrapText="1"/>
    </xf>
    <xf numFmtId="0" fontId="35" fillId="9" borderId="13" xfId="7" applyFont="1" applyFill="1" applyBorder="1" applyAlignment="1" applyProtection="1">
      <alignment horizontal="center" vertical="center" wrapText="1"/>
    </xf>
    <xf numFmtId="0" fontId="35" fillId="9" borderId="9" xfId="7" applyFont="1" applyFill="1" applyBorder="1" applyAlignment="1" applyProtection="1">
      <alignment horizontal="center" vertical="center" wrapText="1"/>
    </xf>
    <xf numFmtId="176" fontId="35" fillId="9" borderId="96" xfId="7" applyNumberFormat="1" applyFont="1" applyFill="1" applyBorder="1" applyAlignment="1" applyProtection="1">
      <alignment horizontal="center" vertical="center" wrapText="1"/>
    </xf>
    <xf numFmtId="176" fontId="35" fillId="9" borderId="12" xfId="7" applyNumberFormat="1" applyFont="1" applyFill="1" applyBorder="1" applyAlignment="1" applyProtection="1">
      <alignment horizontal="center" vertical="center" wrapText="1"/>
    </xf>
    <xf numFmtId="0" fontId="35" fillId="9" borderId="15" xfId="7" applyFont="1" applyFill="1" applyBorder="1" applyAlignment="1" applyProtection="1">
      <alignment horizontal="center" vertical="center" wrapText="1"/>
    </xf>
    <xf numFmtId="0" fontId="35" fillId="9" borderId="97" xfId="7" applyFont="1" applyFill="1" applyBorder="1" applyAlignment="1" applyProtection="1">
      <alignment horizontal="center" vertical="center" wrapText="1"/>
    </xf>
    <xf numFmtId="0" fontId="26" fillId="11" borderId="32" xfId="7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6" fillId="11" borderId="107" xfId="7" applyFont="1" applyFill="1" applyBorder="1" applyAlignment="1">
      <alignment horizontal="center" vertical="center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32" xfId="7" applyNumberFormat="1" applyFont="1" applyFill="1" applyBorder="1" applyAlignment="1" applyProtection="1">
      <alignment horizontal="center" vertical="center" shrinkToFit="1"/>
    </xf>
    <xf numFmtId="0" fontId="0" fillId="0" borderId="93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106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32" xfId="7" applyFont="1" applyFill="1" applyBorder="1" applyAlignment="1" applyProtection="1">
      <alignment horizontal="center" vertical="center" wrapText="1"/>
    </xf>
    <xf numFmtId="0" fontId="56" fillId="15" borderId="33" xfId="4" applyFont="1" applyFill="1" applyBorder="1" applyAlignment="1" applyProtection="1">
      <alignment horizontal="center" vertical="center" wrapText="1"/>
    </xf>
    <xf numFmtId="0" fontId="21" fillId="15" borderId="33" xfId="4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21" fillId="15" borderId="75" xfId="4" applyFont="1" applyFill="1" applyBorder="1" applyAlignment="1" applyProtection="1">
      <alignment horizontal="center" vertical="center" wrapText="1"/>
    </xf>
    <xf numFmtId="0" fontId="21" fillId="15" borderId="77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0" fontId="0" fillId="0" borderId="56" xfId="0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alignment horizontal="center" vertical="center"/>
      <protection locked="0"/>
    </xf>
    <xf numFmtId="0" fontId="13" fillId="15" borderId="184" xfId="5" applyFont="1" applyFill="1" applyBorder="1" applyAlignment="1" applyProtection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53" fillId="0" borderId="158" xfId="16" applyFont="1" applyBorder="1" applyAlignment="1">
      <alignment horizontal="center" vertical="center"/>
    </xf>
    <xf numFmtId="0" fontId="38" fillId="0" borderId="155" xfId="16" applyFont="1" applyBorder="1"/>
    <xf numFmtId="0" fontId="34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4" fillId="18" borderId="166" xfId="16" applyFont="1" applyFill="1" applyBorder="1" applyAlignment="1">
      <alignment horizontal="center" vertical="center" wrapText="1"/>
    </xf>
    <xf numFmtId="0" fontId="38" fillId="0" borderId="128" xfId="16" applyFont="1" applyBorder="1"/>
    <xf numFmtId="0" fontId="38" fillId="0" borderId="133" xfId="16" applyFont="1" applyBorder="1"/>
    <xf numFmtId="0" fontId="34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1" fillId="19" borderId="136" xfId="16" applyFont="1" applyFill="1" applyBorder="1" applyAlignment="1">
      <alignment horizontal="center" vertical="center"/>
    </xf>
    <xf numFmtId="0" fontId="38" fillId="0" borderId="138" xfId="16" applyFont="1" applyBorder="1"/>
    <xf numFmtId="0" fontId="51" fillId="19" borderId="132" xfId="16" applyFont="1" applyFill="1" applyBorder="1" applyAlignment="1">
      <alignment horizontal="center" vertical="center"/>
    </xf>
    <xf numFmtId="0" fontId="38" fillId="0" borderId="131" xfId="16" applyFont="1" applyBorder="1"/>
    <xf numFmtId="0" fontId="38" fillId="0" borderId="130" xfId="16" applyFont="1" applyBorder="1"/>
    <xf numFmtId="0" fontId="52" fillId="0" borderId="136" xfId="16" applyFont="1" applyBorder="1" applyAlignment="1">
      <alignment horizontal="center" vertical="center"/>
    </xf>
    <xf numFmtId="0" fontId="54" fillId="0" borderId="138" xfId="16" applyFont="1" applyBorder="1"/>
    <xf numFmtId="0" fontId="45" fillId="19" borderId="130" xfId="16" applyFont="1" applyFill="1" applyBorder="1" applyAlignment="1">
      <alignment horizontal="center" vertical="center" wrapText="1"/>
    </xf>
    <xf numFmtId="0" fontId="45" fillId="0" borderId="132" xfId="16" applyFont="1" applyBorder="1" applyAlignment="1">
      <alignment horizontal="center" vertical="center" wrapText="1"/>
    </xf>
    <xf numFmtId="0" fontId="34" fillId="18" borderId="126" xfId="16" applyFont="1" applyFill="1" applyBorder="1" applyAlignment="1">
      <alignment horizontal="center" vertical="center" wrapText="1"/>
    </xf>
    <xf numFmtId="0" fontId="51" fillId="19" borderId="130" xfId="16" applyFont="1" applyFill="1" applyBorder="1" applyAlignment="1">
      <alignment horizontal="center" vertical="center" wrapText="1"/>
    </xf>
    <xf numFmtId="0" fontId="47" fillId="20" borderId="130" xfId="16" applyFont="1" applyFill="1" applyBorder="1" applyAlignment="1">
      <alignment horizontal="center" vertical="center" wrapText="1"/>
    </xf>
    <xf numFmtId="0" fontId="49" fillId="20" borderId="132" xfId="16" applyFont="1" applyFill="1" applyBorder="1" applyAlignment="1">
      <alignment horizontal="center" vertical="center" wrapText="1"/>
    </xf>
    <xf numFmtId="0" fontId="51" fillId="19" borderId="130" xfId="16" applyFont="1" applyFill="1" applyBorder="1" applyAlignment="1">
      <alignment horizontal="center" vertical="center"/>
    </xf>
    <xf numFmtId="0" fontId="51" fillId="0" borderId="132" xfId="16" applyFont="1" applyBorder="1" applyAlignment="1">
      <alignment horizontal="center" vertical="center"/>
    </xf>
    <xf numFmtId="0" fontId="45" fillId="19" borderId="130" xfId="16" applyFont="1" applyFill="1" applyBorder="1" applyAlignment="1">
      <alignment horizontal="center" vertical="center"/>
    </xf>
    <xf numFmtId="0" fontId="45" fillId="0" borderId="113" xfId="16" applyFont="1" applyBorder="1" applyAlignment="1">
      <alignment horizontal="center" vertical="center"/>
    </xf>
    <xf numFmtId="0" fontId="38" fillId="0" borderId="129" xfId="16" applyFont="1" applyBorder="1"/>
    <xf numFmtId="0" fontId="38" fillId="0" borderId="139" xfId="16" applyFont="1" applyBorder="1"/>
    <xf numFmtId="0" fontId="45" fillId="0" borderId="132" xfId="16" applyFont="1" applyBorder="1" applyAlignment="1">
      <alignment horizontal="center" vertical="center"/>
    </xf>
    <xf numFmtId="0" fontId="47" fillId="0" borderId="144" xfId="16" applyFont="1" applyBorder="1" applyAlignment="1">
      <alignment horizontal="center" vertical="center" wrapText="1"/>
    </xf>
    <xf numFmtId="0" fontId="38" fillId="0" borderId="150" xfId="16" applyFont="1" applyBorder="1"/>
    <xf numFmtId="0" fontId="47" fillId="0" borderId="147" xfId="16" applyFont="1" applyBorder="1" applyAlignment="1">
      <alignment horizontal="center" vertical="center" wrapText="1"/>
    </xf>
    <xf numFmtId="0" fontId="38" fillId="0" borderId="149" xfId="16" applyFont="1" applyBorder="1"/>
    <xf numFmtId="0" fontId="38" fillId="0" borderId="137" xfId="16" applyFont="1" applyBorder="1"/>
    <xf numFmtId="0" fontId="47" fillId="0" borderId="158" xfId="16" applyFont="1" applyBorder="1" applyAlignment="1">
      <alignment horizontal="center" vertical="center" wrapText="1"/>
    </xf>
    <xf numFmtId="0" fontId="47" fillId="0" borderId="160" xfId="16" applyFont="1" applyBorder="1" applyAlignment="1">
      <alignment horizontal="center" vertical="center" wrapText="1"/>
    </xf>
    <xf numFmtId="0" fontId="38" fillId="0" borderId="161" xfId="16" applyFont="1" applyBorder="1"/>
    <xf numFmtId="0" fontId="47" fillId="0" borderId="113" xfId="16" applyFont="1" applyBorder="1" applyAlignment="1">
      <alignment horizontal="center" vertical="center" wrapText="1"/>
    </xf>
    <xf numFmtId="0" fontId="47" fillId="0" borderId="162" xfId="16" applyFont="1" applyBorder="1" applyAlignment="1">
      <alignment horizontal="center" vertical="center" wrapText="1"/>
    </xf>
    <xf numFmtId="0" fontId="38" fillId="0" borderId="163" xfId="16" applyFont="1" applyBorder="1"/>
    <xf numFmtId="0" fontId="47" fillId="0" borderId="132" xfId="16" applyFont="1" applyBorder="1" applyAlignment="1">
      <alignment horizontal="center" vertical="center" wrapText="1"/>
    </xf>
    <xf numFmtId="0" fontId="46" fillId="20" borderId="142" xfId="16" applyFont="1" applyFill="1" applyBorder="1" applyAlignment="1">
      <alignment horizontal="center" vertical="center" wrapText="1"/>
    </xf>
    <xf numFmtId="0" fontId="38" fillId="0" borderId="143" xfId="16" applyFont="1" applyBorder="1"/>
    <xf numFmtId="0" fontId="47" fillId="0" borderId="145" xfId="16" applyFont="1" applyBorder="1" applyAlignment="1">
      <alignment horizontal="center" vertical="center" wrapText="1"/>
    </xf>
    <xf numFmtId="0" fontId="38" fillId="0" borderId="151" xfId="16" applyFont="1" applyBorder="1"/>
    <xf numFmtId="0" fontId="38" fillId="0" borderId="154" xfId="16" applyFont="1" applyBorder="1"/>
    <xf numFmtId="0" fontId="47" fillId="0" borderId="130" xfId="16" applyFont="1" applyBorder="1" applyAlignment="1">
      <alignment horizontal="center" vertical="center" wrapText="1"/>
    </xf>
    <xf numFmtId="0" fontId="49" fillId="0" borderId="132" xfId="16" applyFont="1" applyBorder="1" applyAlignment="1">
      <alignment horizontal="center" vertical="center" wrapText="1"/>
    </xf>
    <xf numFmtId="0" fontId="47" fillId="20" borderId="132" xfId="16" applyFont="1" applyFill="1" applyBorder="1" applyAlignment="1">
      <alignment horizontal="center" vertical="center" wrapText="1"/>
    </xf>
    <xf numFmtId="0" fontId="45" fillId="19" borderId="135" xfId="16" applyFont="1" applyFill="1" applyBorder="1" applyAlignment="1">
      <alignment horizontal="center" vertical="center"/>
    </xf>
    <xf numFmtId="0" fontId="38" fillId="0" borderId="136" xfId="16" applyFont="1" applyBorder="1"/>
    <xf numFmtId="0" fontId="45" fillId="0" borderId="113" xfId="16" applyFont="1" applyBorder="1" applyAlignment="1">
      <alignment horizontal="center" vertical="center" wrapText="1"/>
    </xf>
    <xf numFmtId="0" fontId="38" fillId="0" borderId="135" xfId="16" applyFont="1" applyBorder="1"/>
    <xf numFmtId="0" fontId="41" fillId="0" borderId="0" xfId="16" applyFont="1" applyAlignment="1">
      <alignment horizontal="center" vertical="center"/>
    </xf>
    <xf numFmtId="0" fontId="43" fillId="0" borderId="0" xfId="16" applyFont="1" applyAlignment="1"/>
    <xf numFmtId="0" fontId="44" fillId="0" borderId="127" xfId="16" applyFont="1" applyBorder="1" applyAlignment="1">
      <alignment horizontal="center" vertical="center"/>
    </xf>
    <xf numFmtId="0" fontId="38" fillId="0" borderId="28" xfId="16" applyFont="1" applyBorder="1"/>
    <xf numFmtId="0" fontId="38" fillId="0" borderId="25" xfId="16" applyFont="1" applyBorder="1"/>
    <xf numFmtId="0" fontId="44" fillId="8" borderId="4" xfId="16" applyFont="1" applyFill="1" applyBorder="1" applyAlignment="1">
      <alignment horizontal="center" vertical="center"/>
    </xf>
    <xf numFmtId="0" fontId="38" fillId="8" borderId="28" xfId="16" applyFont="1" applyFill="1" applyBorder="1"/>
    <xf numFmtId="0" fontId="38" fillId="8" borderId="25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EAEB413A-0262-4787-A89A-418554DEC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7625" y="2257425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5D166E56-AB4A-4AA6-8C50-221348FF6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965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BC1BDC0B-0628-4CDA-B1D0-C79AEE7B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5225" y="2257425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C5599A0B-6864-40CF-92F8-D36189E25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965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ADF54E1-EDB8-4058-BD4C-5E7912E5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9650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EB3D7561-7CB2-41E6-820E-626AC433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7625" y="2257425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5"/>
  <sheetViews>
    <sheetView tabSelected="1" view="pageBreakPreview" zoomScaleNormal="100" zoomScaleSheetLayoutView="100" workbookViewId="0">
      <pane ySplit="8" topLeftCell="A49" activePane="bottomLeft" state="frozen"/>
      <selection pane="bottomLeft" activeCell="M56" sqref="M56:N56"/>
    </sheetView>
  </sheetViews>
  <sheetFormatPr defaultColWidth="8.75" defaultRowHeight="17"/>
  <cols>
    <col min="1" max="1" width="2" style="4" customWidth="1"/>
    <col min="2" max="2" width="6.58203125" style="4" customWidth="1"/>
    <col min="3" max="3" width="9.3320312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58203125" style="4" customWidth="1"/>
    <col min="9" max="9" width="7.83203125" style="4" bestFit="1" customWidth="1"/>
    <col min="10" max="10" width="5.58203125" style="4" customWidth="1"/>
    <col min="11" max="22" width="3.83203125" style="4" customWidth="1"/>
    <col min="23" max="24" width="3.33203125" style="4" customWidth="1"/>
    <col min="25" max="25" width="6.33203125" style="4" customWidth="1"/>
    <col min="26" max="26" width="8.75" style="4"/>
    <col min="27" max="27" width="16.33203125" style="4" customWidth="1"/>
    <col min="28" max="29" width="12.83203125" style="4" customWidth="1"/>
    <col min="30" max="30" width="13.83203125" style="4" customWidth="1"/>
    <col min="31" max="16384" width="8.75" style="4"/>
  </cols>
  <sheetData>
    <row r="1" spans="2:30" ht="17.5" thickBot="1"/>
    <row r="2" spans="2:30" ht="30.75" customHeight="1" thickBot="1">
      <c r="B2" s="593" t="s">
        <v>619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4"/>
      <c r="V2" s="595" t="s">
        <v>130</v>
      </c>
      <c r="W2" s="596"/>
      <c r="X2" s="591">
        <v>2027</v>
      </c>
      <c r="Y2" s="592"/>
      <c r="AA2" s="597" t="s">
        <v>143</v>
      </c>
      <c r="AB2" s="18" t="s">
        <v>144</v>
      </c>
      <c r="AC2" s="40" t="s">
        <v>151</v>
      </c>
      <c r="AD2" s="19" t="s">
        <v>145</v>
      </c>
    </row>
    <row r="3" spans="2:30" ht="17.5" thickBot="1">
      <c r="B3" s="557" t="s">
        <v>368</v>
      </c>
      <c r="C3" s="559" t="s">
        <v>53</v>
      </c>
      <c r="D3" s="560"/>
      <c r="E3" s="560"/>
      <c r="F3" s="559" t="s">
        <v>64</v>
      </c>
      <c r="G3" s="563"/>
      <c r="H3" s="559" t="s">
        <v>54</v>
      </c>
      <c r="I3" s="560"/>
      <c r="J3" s="560"/>
      <c r="K3" s="559" t="s">
        <v>55</v>
      </c>
      <c r="L3" s="560"/>
      <c r="M3" s="560"/>
      <c r="N3" s="560"/>
      <c r="O3" s="563"/>
      <c r="P3" s="565" t="s">
        <v>56</v>
      </c>
      <c r="Q3" s="566"/>
      <c r="R3" s="566"/>
      <c r="S3" s="566"/>
      <c r="T3" s="566"/>
      <c r="U3" s="566"/>
      <c r="V3" s="566"/>
      <c r="W3" s="566"/>
      <c r="X3" s="566"/>
      <c r="Y3" s="567"/>
      <c r="AA3" s="598"/>
      <c r="AB3" s="20" t="s">
        <v>146</v>
      </c>
      <c r="AC3" s="46" t="s">
        <v>567</v>
      </c>
      <c r="AD3" s="21" t="s">
        <v>570</v>
      </c>
    </row>
    <row r="4" spans="2:30" ht="17.5" thickBot="1">
      <c r="B4" s="558"/>
      <c r="C4" s="561"/>
      <c r="D4" s="562"/>
      <c r="E4" s="562"/>
      <c r="F4" s="561"/>
      <c r="G4" s="564"/>
      <c r="H4" s="561"/>
      <c r="I4" s="562"/>
      <c r="J4" s="562"/>
      <c r="K4" s="561"/>
      <c r="L4" s="562"/>
      <c r="M4" s="562"/>
      <c r="N4" s="562"/>
      <c r="O4" s="564"/>
      <c r="P4" s="565" t="s">
        <v>127</v>
      </c>
      <c r="Q4" s="566"/>
      <c r="R4" s="566"/>
      <c r="S4" s="566"/>
      <c r="T4" s="565" t="s">
        <v>61</v>
      </c>
      <c r="U4" s="566"/>
      <c r="V4" s="567"/>
      <c r="W4" s="566" t="s">
        <v>128</v>
      </c>
      <c r="X4" s="566"/>
      <c r="Y4" s="567"/>
      <c r="AA4" s="598"/>
      <c r="AB4" s="22" t="s">
        <v>147</v>
      </c>
      <c r="AC4" s="47" t="s">
        <v>568</v>
      </c>
      <c r="AD4" s="123" t="s">
        <v>569</v>
      </c>
    </row>
    <row r="5" spans="2:30" ht="26.25" customHeight="1" thickBot="1">
      <c r="B5" s="56" t="s">
        <v>522</v>
      </c>
      <c r="C5" s="568" t="s">
        <v>524</v>
      </c>
      <c r="D5" s="569"/>
      <c r="E5" s="570"/>
      <c r="F5" s="568" t="s">
        <v>526</v>
      </c>
      <c r="G5" s="571"/>
      <c r="H5" s="572" t="s">
        <v>527</v>
      </c>
      <c r="I5" s="569"/>
      <c r="J5" s="570"/>
      <c r="K5" s="568" t="s">
        <v>686</v>
      </c>
      <c r="L5" s="569"/>
      <c r="M5" s="569"/>
      <c r="N5" s="569"/>
      <c r="O5" s="571"/>
      <c r="P5" s="572" t="s">
        <v>525</v>
      </c>
      <c r="Q5" s="569"/>
      <c r="R5" s="569"/>
      <c r="S5" s="570"/>
      <c r="T5" s="568" t="s">
        <v>34</v>
      </c>
      <c r="U5" s="569"/>
      <c r="V5" s="570"/>
      <c r="W5" s="573" t="s">
        <v>685</v>
      </c>
      <c r="X5" s="574"/>
      <c r="Y5" s="575"/>
      <c r="AA5" s="599"/>
      <c r="AB5" s="23" t="s">
        <v>148</v>
      </c>
      <c r="AC5" s="186" t="s">
        <v>568</v>
      </c>
      <c r="AD5" s="24" t="s">
        <v>569</v>
      </c>
    </row>
    <row r="6" spans="2:30" ht="15.75" customHeight="1" thickBot="1">
      <c r="U6" s="576"/>
      <c r="V6" s="576"/>
      <c r="W6" s="576"/>
      <c r="X6" s="576"/>
      <c r="Y6" s="576"/>
    </row>
    <row r="7" spans="2:30" s="10" customFormat="1" ht="22.5" customHeight="1">
      <c r="B7" s="577" t="s">
        <v>2</v>
      </c>
      <c r="C7" s="578"/>
      <c r="D7" s="581" t="s">
        <v>120</v>
      </c>
      <c r="E7" s="538" t="s">
        <v>57</v>
      </c>
      <c r="F7" s="539"/>
      <c r="G7" s="540"/>
      <c r="H7" s="541" t="s">
        <v>133</v>
      </c>
      <c r="I7" s="544" t="s">
        <v>134</v>
      </c>
      <c r="J7" s="548" t="s">
        <v>135</v>
      </c>
      <c r="K7" s="543" t="s">
        <v>58</v>
      </c>
      <c r="L7" s="544"/>
      <c r="M7" s="544"/>
      <c r="N7" s="545"/>
      <c r="O7" s="546" t="s">
        <v>59</v>
      </c>
      <c r="P7" s="544"/>
      <c r="Q7" s="544"/>
      <c r="R7" s="545"/>
      <c r="S7" s="543" t="s">
        <v>60</v>
      </c>
      <c r="T7" s="544"/>
      <c r="U7" s="544"/>
      <c r="V7" s="547"/>
      <c r="W7" s="541" t="s">
        <v>136</v>
      </c>
      <c r="X7" s="548"/>
      <c r="Y7" s="540" t="s">
        <v>137</v>
      </c>
      <c r="Z7" s="9"/>
    </row>
    <row r="8" spans="2:30" s="10" customFormat="1" ht="22.5" customHeight="1" thickBot="1">
      <c r="B8" s="579"/>
      <c r="C8" s="580"/>
      <c r="D8" s="582"/>
      <c r="E8" s="25" t="s">
        <v>18</v>
      </c>
      <c r="F8" s="551" t="s">
        <v>19</v>
      </c>
      <c r="G8" s="552"/>
      <c r="H8" s="542"/>
      <c r="I8" s="554"/>
      <c r="J8" s="549"/>
      <c r="K8" s="553" t="s">
        <v>0</v>
      </c>
      <c r="L8" s="554"/>
      <c r="M8" s="554" t="s">
        <v>62</v>
      </c>
      <c r="N8" s="555"/>
      <c r="O8" s="556" t="s">
        <v>0</v>
      </c>
      <c r="P8" s="554"/>
      <c r="Q8" s="554" t="s">
        <v>62</v>
      </c>
      <c r="R8" s="555"/>
      <c r="S8" s="553" t="s">
        <v>0</v>
      </c>
      <c r="T8" s="554"/>
      <c r="U8" s="554" t="s">
        <v>62</v>
      </c>
      <c r="V8" s="600"/>
      <c r="W8" s="542"/>
      <c r="X8" s="549"/>
      <c r="Y8" s="550"/>
      <c r="AA8" s="408" t="s">
        <v>508</v>
      </c>
      <c r="AB8" s="408"/>
      <c r="AC8" s="408"/>
      <c r="AD8" s="408"/>
    </row>
    <row r="9" spans="2:30" ht="16.5" customHeight="1" thickBot="1">
      <c r="B9" s="502" t="s">
        <v>337</v>
      </c>
      <c r="C9" s="503"/>
      <c r="D9" s="522" t="s">
        <v>21</v>
      </c>
      <c r="E9" s="128" t="s">
        <v>12</v>
      </c>
      <c r="F9" s="491" t="s">
        <v>201</v>
      </c>
      <c r="G9" s="486"/>
      <c r="H9" s="129">
        <v>4</v>
      </c>
      <c r="I9" s="130" t="s">
        <v>338</v>
      </c>
      <c r="J9" s="131">
        <v>3</v>
      </c>
      <c r="K9" s="491">
        <v>3</v>
      </c>
      <c r="L9" s="385"/>
      <c r="M9" s="386"/>
      <c r="N9" s="387"/>
      <c r="O9" s="384"/>
      <c r="P9" s="385"/>
      <c r="Q9" s="386"/>
      <c r="R9" s="387"/>
      <c r="S9" s="384"/>
      <c r="T9" s="385"/>
      <c r="U9" s="386"/>
      <c r="V9" s="486"/>
      <c r="W9" s="48">
        <f>SUM(K9:V9)</f>
        <v>3</v>
      </c>
      <c r="X9" s="395">
        <v>6</v>
      </c>
      <c r="Y9" s="524">
        <v>24</v>
      </c>
      <c r="AA9" s="117" t="s">
        <v>509</v>
      </c>
      <c r="AB9" s="118" t="s">
        <v>515</v>
      </c>
      <c r="AC9" s="118" t="s">
        <v>516</v>
      </c>
      <c r="AD9" s="119" t="s">
        <v>517</v>
      </c>
    </row>
    <row r="10" spans="2:30" ht="17.5" thickBot="1">
      <c r="B10" s="504"/>
      <c r="C10" s="505"/>
      <c r="D10" s="523"/>
      <c r="E10" s="132" t="s">
        <v>12</v>
      </c>
      <c r="F10" s="361" t="s">
        <v>202</v>
      </c>
      <c r="G10" s="358"/>
      <c r="H10" s="133">
        <v>4</v>
      </c>
      <c r="I10" s="134" t="s">
        <v>338</v>
      </c>
      <c r="J10" s="135">
        <v>3</v>
      </c>
      <c r="K10" s="361"/>
      <c r="L10" s="357"/>
      <c r="M10" s="348">
        <v>3</v>
      </c>
      <c r="N10" s="349"/>
      <c r="O10" s="356"/>
      <c r="P10" s="357"/>
      <c r="Q10" s="348"/>
      <c r="R10" s="349"/>
      <c r="S10" s="356"/>
      <c r="T10" s="357"/>
      <c r="U10" s="348"/>
      <c r="V10" s="358"/>
      <c r="W10" s="49">
        <f t="shared" ref="W10:W26" si="0">SUM(K10:V10)</f>
        <v>3</v>
      </c>
      <c r="X10" s="396"/>
      <c r="Y10" s="524"/>
      <c r="AA10" s="120" t="s">
        <v>510</v>
      </c>
      <c r="AB10" s="121">
        <v>4</v>
      </c>
      <c r="AC10" s="121">
        <v>-1</v>
      </c>
      <c r="AD10" s="21" t="s">
        <v>518</v>
      </c>
    </row>
    <row r="11" spans="2:30" ht="35" thickBot="1">
      <c r="B11" s="504"/>
      <c r="C11" s="505"/>
      <c r="D11" s="523"/>
      <c r="E11" s="136" t="s">
        <v>529</v>
      </c>
      <c r="F11" s="361" t="s">
        <v>528</v>
      </c>
      <c r="G11" s="358"/>
      <c r="H11" s="133">
        <v>4</v>
      </c>
      <c r="I11" s="134" t="s">
        <v>341</v>
      </c>
      <c r="J11" s="184">
        <v>3</v>
      </c>
      <c r="K11" s="361"/>
      <c r="L11" s="357"/>
      <c r="M11" s="348"/>
      <c r="N11" s="349"/>
      <c r="O11" s="401">
        <v>3</v>
      </c>
      <c r="P11" s="402"/>
      <c r="Q11" s="348"/>
      <c r="R11" s="349"/>
      <c r="S11" s="356"/>
      <c r="T11" s="357"/>
      <c r="U11" s="348"/>
      <c r="V11" s="358"/>
      <c r="W11" s="397" t="s">
        <v>537</v>
      </c>
      <c r="X11" s="398"/>
      <c r="Y11" s="524"/>
      <c r="AA11" s="120"/>
      <c r="AB11" s="121"/>
      <c r="AC11" s="121"/>
      <c r="AD11" s="21"/>
    </row>
    <row r="12" spans="2:30" ht="35" thickBot="1">
      <c r="B12" s="504"/>
      <c r="C12" s="505"/>
      <c r="D12" s="527"/>
      <c r="E12" s="137" t="s">
        <v>530</v>
      </c>
      <c r="F12" s="365" t="s">
        <v>340</v>
      </c>
      <c r="G12" s="364"/>
      <c r="H12" s="138">
        <v>4</v>
      </c>
      <c r="I12" s="139" t="s">
        <v>341</v>
      </c>
      <c r="J12" s="185">
        <v>3</v>
      </c>
      <c r="K12" s="365"/>
      <c r="L12" s="355"/>
      <c r="M12" s="352"/>
      <c r="N12" s="353"/>
      <c r="O12" s="354"/>
      <c r="P12" s="355"/>
      <c r="Q12" s="536">
        <v>3</v>
      </c>
      <c r="R12" s="537"/>
      <c r="S12" s="354"/>
      <c r="T12" s="355"/>
      <c r="U12" s="352"/>
      <c r="V12" s="364"/>
      <c r="W12" s="399" t="s">
        <v>538</v>
      </c>
      <c r="X12" s="400"/>
      <c r="Y12" s="524"/>
      <c r="AA12" s="120" t="s">
        <v>511</v>
      </c>
      <c r="AB12" s="121">
        <v>3</v>
      </c>
      <c r="AC12" s="121"/>
      <c r="AD12" s="21">
        <v>3</v>
      </c>
    </row>
    <row r="13" spans="2:30" ht="17.5" thickBot="1">
      <c r="B13" s="504"/>
      <c r="C13" s="505"/>
      <c r="D13" s="522" t="s">
        <v>5</v>
      </c>
      <c r="E13" s="128" t="s">
        <v>12</v>
      </c>
      <c r="F13" s="491" t="s">
        <v>213</v>
      </c>
      <c r="G13" s="486"/>
      <c r="H13" s="129">
        <v>4</v>
      </c>
      <c r="I13" s="130" t="s">
        <v>338</v>
      </c>
      <c r="J13" s="131">
        <v>3</v>
      </c>
      <c r="K13" s="491">
        <v>3</v>
      </c>
      <c r="L13" s="385"/>
      <c r="M13" s="386"/>
      <c r="N13" s="387"/>
      <c r="O13" s="384"/>
      <c r="P13" s="385"/>
      <c r="Q13" s="386"/>
      <c r="R13" s="387"/>
      <c r="S13" s="384"/>
      <c r="T13" s="385"/>
      <c r="U13" s="386"/>
      <c r="V13" s="486"/>
      <c r="W13" s="48">
        <f t="shared" si="0"/>
        <v>3</v>
      </c>
      <c r="X13" s="395">
        <v>6</v>
      </c>
      <c r="Y13" s="524"/>
      <c r="AA13" s="120" t="s">
        <v>512</v>
      </c>
      <c r="AB13" s="121">
        <v>4</v>
      </c>
      <c r="AC13" s="121" t="s">
        <v>521</v>
      </c>
      <c r="AD13" s="21" t="s">
        <v>519</v>
      </c>
    </row>
    <row r="14" spans="2:30" ht="17.5" thickBot="1">
      <c r="B14" s="504"/>
      <c r="C14" s="505"/>
      <c r="D14" s="523"/>
      <c r="E14" s="132" t="s">
        <v>12</v>
      </c>
      <c r="F14" s="361" t="s">
        <v>215</v>
      </c>
      <c r="G14" s="358"/>
      <c r="H14" s="133">
        <v>4</v>
      </c>
      <c r="I14" s="134" t="s">
        <v>338</v>
      </c>
      <c r="J14" s="135">
        <v>3</v>
      </c>
      <c r="K14" s="361"/>
      <c r="L14" s="357"/>
      <c r="M14" s="348">
        <v>3</v>
      </c>
      <c r="N14" s="349"/>
      <c r="O14" s="356"/>
      <c r="P14" s="357"/>
      <c r="Q14" s="348"/>
      <c r="R14" s="349"/>
      <c r="S14" s="356"/>
      <c r="T14" s="357"/>
      <c r="U14" s="348"/>
      <c r="V14" s="358"/>
      <c r="W14" s="49">
        <f t="shared" si="0"/>
        <v>3</v>
      </c>
      <c r="X14" s="396"/>
      <c r="Y14" s="524"/>
      <c r="AA14" s="120" t="s">
        <v>513</v>
      </c>
      <c r="AB14" s="121">
        <v>3</v>
      </c>
      <c r="AC14" s="121" t="s">
        <v>521</v>
      </c>
      <c r="AD14" s="21" t="s">
        <v>520</v>
      </c>
    </row>
    <row r="15" spans="2:30" ht="35" thickBot="1">
      <c r="B15" s="504"/>
      <c r="C15" s="505"/>
      <c r="D15" s="523"/>
      <c r="E15" s="136" t="s">
        <v>533</v>
      </c>
      <c r="F15" s="361" t="s">
        <v>532</v>
      </c>
      <c r="G15" s="358"/>
      <c r="H15" s="133">
        <v>4</v>
      </c>
      <c r="I15" s="134" t="s">
        <v>341</v>
      </c>
      <c r="J15" s="184">
        <v>3</v>
      </c>
      <c r="K15" s="361"/>
      <c r="L15" s="357"/>
      <c r="M15" s="348"/>
      <c r="N15" s="349"/>
      <c r="O15" s="401">
        <v>3</v>
      </c>
      <c r="P15" s="402"/>
      <c r="Q15" s="348"/>
      <c r="R15" s="349"/>
      <c r="S15" s="356"/>
      <c r="T15" s="357"/>
      <c r="U15" s="348"/>
      <c r="V15" s="358"/>
      <c r="W15" s="397" t="s">
        <v>537</v>
      </c>
      <c r="X15" s="398"/>
      <c r="Y15" s="524"/>
      <c r="AA15" s="124"/>
      <c r="AB15" s="125"/>
      <c r="AC15" s="126"/>
      <c r="AD15" s="127"/>
    </row>
    <row r="16" spans="2:30" ht="35" thickBot="1">
      <c r="B16" s="504"/>
      <c r="C16" s="505"/>
      <c r="D16" s="527"/>
      <c r="E16" s="137" t="s">
        <v>530</v>
      </c>
      <c r="F16" s="365" t="s">
        <v>342</v>
      </c>
      <c r="G16" s="364"/>
      <c r="H16" s="138">
        <v>4</v>
      </c>
      <c r="I16" s="139" t="s">
        <v>341</v>
      </c>
      <c r="J16" s="185">
        <v>3</v>
      </c>
      <c r="K16" s="365"/>
      <c r="L16" s="355"/>
      <c r="M16" s="352"/>
      <c r="N16" s="353"/>
      <c r="O16" s="354"/>
      <c r="P16" s="355"/>
      <c r="Q16" s="536">
        <v>3</v>
      </c>
      <c r="R16" s="537"/>
      <c r="S16" s="354"/>
      <c r="T16" s="355"/>
      <c r="U16" s="352"/>
      <c r="V16" s="364"/>
      <c r="W16" s="399" t="s">
        <v>538</v>
      </c>
      <c r="X16" s="400"/>
      <c r="Y16" s="524"/>
      <c r="AA16" s="122" t="s">
        <v>514</v>
      </c>
      <c r="AB16" s="403" t="s">
        <v>523</v>
      </c>
      <c r="AC16" s="404"/>
      <c r="AD16" s="405"/>
    </row>
    <row r="17" spans="2:29" ht="17.5" thickBot="1">
      <c r="B17" s="504"/>
      <c r="C17" s="505"/>
      <c r="D17" s="522" t="s">
        <v>6</v>
      </c>
      <c r="E17" s="128" t="s">
        <v>12</v>
      </c>
      <c r="F17" s="491" t="s">
        <v>343</v>
      </c>
      <c r="G17" s="486"/>
      <c r="H17" s="129">
        <v>4</v>
      </c>
      <c r="I17" s="130" t="s">
        <v>338</v>
      </c>
      <c r="J17" s="131">
        <v>3</v>
      </c>
      <c r="K17" s="491">
        <v>3</v>
      </c>
      <c r="L17" s="385"/>
      <c r="M17" s="386"/>
      <c r="N17" s="387"/>
      <c r="O17" s="384"/>
      <c r="P17" s="385"/>
      <c r="Q17" s="386"/>
      <c r="R17" s="387"/>
      <c r="S17" s="384"/>
      <c r="T17" s="385"/>
      <c r="U17" s="386"/>
      <c r="V17" s="486"/>
      <c r="W17" s="48">
        <f t="shared" si="0"/>
        <v>3</v>
      </c>
      <c r="X17" s="395">
        <v>6</v>
      </c>
      <c r="Y17" s="524"/>
    </row>
    <row r="18" spans="2:29" ht="17.5" thickBot="1">
      <c r="B18" s="504"/>
      <c r="C18" s="505"/>
      <c r="D18" s="523"/>
      <c r="E18" s="132" t="s">
        <v>12</v>
      </c>
      <c r="F18" s="361" t="s">
        <v>226</v>
      </c>
      <c r="G18" s="358"/>
      <c r="H18" s="133">
        <v>4</v>
      </c>
      <c r="I18" s="134" t="s">
        <v>338</v>
      </c>
      <c r="J18" s="135">
        <v>3</v>
      </c>
      <c r="K18" s="361"/>
      <c r="L18" s="357"/>
      <c r="M18" s="348">
        <v>3</v>
      </c>
      <c r="N18" s="349"/>
      <c r="O18" s="356"/>
      <c r="P18" s="357"/>
      <c r="Q18" s="348"/>
      <c r="R18" s="349"/>
      <c r="S18" s="356"/>
      <c r="T18" s="357"/>
      <c r="U18" s="348"/>
      <c r="V18" s="358"/>
      <c r="W18" s="49">
        <f t="shared" si="0"/>
        <v>3</v>
      </c>
      <c r="X18" s="396"/>
      <c r="Y18" s="524"/>
    </row>
    <row r="19" spans="2:29" ht="35" thickBot="1">
      <c r="B19" s="504"/>
      <c r="C19" s="505"/>
      <c r="D19" s="523"/>
      <c r="E19" s="136" t="s">
        <v>533</v>
      </c>
      <c r="F19" s="361" t="s">
        <v>531</v>
      </c>
      <c r="G19" s="358"/>
      <c r="H19" s="133">
        <v>4</v>
      </c>
      <c r="I19" s="134" t="s">
        <v>341</v>
      </c>
      <c r="J19" s="184">
        <v>3</v>
      </c>
      <c r="K19" s="361"/>
      <c r="L19" s="357"/>
      <c r="M19" s="348"/>
      <c r="N19" s="349"/>
      <c r="O19" s="401">
        <v>3</v>
      </c>
      <c r="P19" s="402"/>
      <c r="Q19" s="348"/>
      <c r="R19" s="349"/>
      <c r="S19" s="356"/>
      <c r="T19" s="357"/>
      <c r="U19" s="348"/>
      <c r="V19" s="358"/>
      <c r="W19" s="397" t="s">
        <v>537</v>
      </c>
      <c r="X19" s="398"/>
      <c r="Y19" s="524"/>
    </row>
    <row r="20" spans="2:29" ht="35" thickBot="1">
      <c r="B20" s="504"/>
      <c r="C20" s="505"/>
      <c r="D20" s="527"/>
      <c r="E20" s="137" t="s">
        <v>530</v>
      </c>
      <c r="F20" s="365" t="s">
        <v>344</v>
      </c>
      <c r="G20" s="364"/>
      <c r="H20" s="138">
        <v>4</v>
      </c>
      <c r="I20" s="139" t="s">
        <v>341</v>
      </c>
      <c r="J20" s="185">
        <v>3</v>
      </c>
      <c r="K20" s="365"/>
      <c r="L20" s="355"/>
      <c r="M20" s="352"/>
      <c r="N20" s="353"/>
      <c r="O20" s="354"/>
      <c r="P20" s="355"/>
      <c r="Q20" s="536">
        <v>3</v>
      </c>
      <c r="R20" s="537"/>
      <c r="S20" s="354"/>
      <c r="T20" s="355"/>
      <c r="U20" s="352"/>
      <c r="V20" s="364"/>
      <c r="W20" s="399" t="s">
        <v>538</v>
      </c>
      <c r="X20" s="400"/>
      <c r="Y20" s="524"/>
    </row>
    <row r="21" spans="2:29" ht="17.5" thickBot="1">
      <c r="B21" s="504"/>
      <c r="C21" s="505"/>
      <c r="D21" s="522" t="s">
        <v>345</v>
      </c>
      <c r="E21" s="128" t="s">
        <v>12</v>
      </c>
      <c r="F21" s="491" t="s">
        <v>234</v>
      </c>
      <c r="G21" s="486"/>
      <c r="H21" s="129">
        <v>3</v>
      </c>
      <c r="I21" s="141" t="s">
        <v>346</v>
      </c>
      <c r="J21" s="131">
        <v>3</v>
      </c>
      <c r="K21" s="531"/>
      <c r="L21" s="532"/>
      <c r="M21" s="587"/>
      <c r="N21" s="588"/>
      <c r="O21" s="589">
        <v>3</v>
      </c>
      <c r="P21" s="532"/>
      <c r="Q21" s="587"/>
      <c r="R21" s="588"/>
      <c r="S21" s="589"/>
      <c r="T21" s="532"/>
      <c r="U21" s="587"/>
      <c r="V21" s="590"/>
      <c r="W21" s="48">
        <f t="shared" si="0"/>
        <v>3</v>
      </c>
      <c r="X21" s="395">
        <f>SUM(W21:W22)</f>
        <v>6</v>
      </c>
      <c r="Y21" s="524">
        <v>6</v>
      </c>
    </row>
    <row r="22" spans="2:29" ht="17.5" thickBot="1">
      <c r="B22" s="504"/>
      <c r="C22" s="505"/>
      <c r="D22" s="523"/>
      <c r="E22" s="142" t="s">
        <v>12</v>
      </c>
      <c r="F22" s="534" t="s">
        <v>347</v>
      </c>
      <c r="G22" s="535"/>
      <c r="H22" s="143">
        <v>3</v>
      </c>
      <c r="I22" s="144" t="s">
        <v>346</v>
      </c>
      <c r="J22" s="145">
        <v>3</v>
      </c>
      <c r="K22" s="365"/>
      <c r="L22" s="355"/>
      <c r="M22" s="352"/>
      <c r="N22" s="353"/>
      <c r="O22" s="354"/>
      <c r="P22" s="355"/>
      <c r="Q22" s="352">
        <v>3</v>
      </c>
      <c r="R22" s="353"/>
      <c r="S22" s="354"/>
      <c r="T22" s="355"/>
      <c r="U22" s="352"/>
      <c r="V22" s="364"/>
      <c r="W22" s="50">
        <f t="shared" si="0"/>
        <v>3</v>
      </c>
      <c r="X22" s="533"/>
      <c r="Y22" s="524"/>
      <c r="AA22" s="414"/>
      <c r="AB22" s="414"/>
      <c r="AC22" s="41"/>
    </row>
    <row r="23" spans="2:29" ht="17.5" thickBot="1">
      <c r="B23" s="504"/>
      <c r="C23" s="505"/>
      <c r="D23" s="523"/>
      <c r="E23" s="128" t="s">
        <v>12</v>
      </c>
      <c r="F23" s="491" t="s">
        <v>237</v>
      </c>
      <c r="G23" s="486"/>
      <c r="H23" s="129">
        <v>4</v>
      </c>
      <c r="I23" s="141" t="s">
        <v>338</v>
      </c>
      <c r="J23" s="131">
        <v>3</v>
      </c>
      <c r="K23" s="491"/>
      <c r="L23" s="385"/>
      <c r="M23" s="386"/>
      <c r="N23" s="387"/>
      <c r="O23" s="384">
        <v>3</v>
      </c>
      <c r="P23" s="385"/>
      <c r="Q23" s="386"/>
      <c r="R23" s="387"/>
      <c r="S23" s="384"/>
      <c r="T23" s="385"/>
      <c r="U23" s="386"/>
      <c r="V23" s="486"/>
      <c r="W23" s="48">
        <f t="shared" si="0"/>
        <v>3</v>
      </c>
      <c r="X23" s="395">
        <f>SUM(W23:W24)</f>
        <v>6</v>
      </c>
      <c r="Y23" s="524">
        <v>12</v>
      </c>
    </row>
    <row r="24" spans="2:29" ht="17.5" thickBot="1">
      <c r="B24" s="504"/>
      <c r="C24" s="505"/>
      <c r="D24" s="527"/>
      <c r="E24" s="146" t="s">
        <v>12</v>
      </c>
      <c r="F24" s="365" t="s">
        <v>348</v>
      </c>
      <c r="G24" s="364"/>
      <c r="H24" s="138">
        <v>4</v>
      </c>
      <c r="I24" s="139" t="s">
        <v>338</v>
      </c>
      <c r="J24" s="140">
        <v>3</v>
      </c>
      <c r="K24" s="365"/>
      <c r="L24" s="355"/>
      <c r="M24" s="352"/>
      <c r="N24" s="353"/>
      <c r="O24" s="354"/>
      <c r="P24" s="355"/>
      <c r="Q24" s="352">
        <v>3</v>
      </c>
      <c r="R24" s="353"/>
      <c r="S24" s="354"/>
      <c r="T24" s="355"/>
      <c r="U24" s="352"/>
      <c r="V24" s="364"/>
      <c r="W24" s="50">
        <f t="shared" si="0"/>
        <v>3</v>
      </c>
      <c r="X24" s="533"/>
      <c r="Y24" s="524"/>
    </row>
    <row r="25" spans="2:29" ht="17.5" thickBot="1">
      <c r="B25" s="504"/>
      <c r="C25" s="505"/>
      <c r="D25" s="522" t="s">
        <v>26</v>
      </c>
      <c r="E25" s="128" t="s">
        <v>12</v>
      </c>
      <c r="F25" s="491" t="s">
        <v>255</v>
      </c>
      <c r="G25" s="486"/>
      <c r="H25" s="129">
        <v>4</v>
      </c>
      <c r="I25" s="141" t="s">
        <v>338</v>
      </c>
      <c r="J25" s="131">
        <v>3</v>
      </c>
      <c r="K25" s="491">
        <v>3</v>
      </c>
      <c r="L25" s="385"/>
      <c r="M25" s="386"/>
      <c r="N25" s="387"/>
      <c r="O25" s="384"/>
      <c r="P25" s="385"/>
      <c r="Q25" s="386"/>
      <c r="R25" s="387"/>
      <c r="S25" s="384"/>
      <c r="T25" s="385"/>
      <c r="U25" s="386"/>
      <c r="V25" s="486"/>
      <c r="W25" s="48">
        <f t="shared" si="0"/>
        <v>3</v>
      </c>
      <c r="X25" s="585">
        <f>SUM(W25:W26)</f>
        <v>6</v>
      </c>
      <c r="Y25" s="524"/>
    </row>
    <row r="26" spans="2:29" ht="17.5" thickBot="1">
      <c r="B26" s="504"/>
      <c r="C26" s="505"/>
      <c r="D26" s="523"/>
      <c r="E26" s="132" t="s">
        <v>12</v>
      </c>
      <c r="F26" s="361" t="s">
        <v>349</v>
      </c>
      <c r="G26" s="358"/>
      <c r="H26" s="133">
        <v>4</v>
      </c>
      <c r="I26" s="134" t="s">
        <v>338</v>
      </c>
      <c r="J26" s="135">
        <v>3</v>
      </c>
      <c r="K26" s="361"/>
      <c r="L26" s="357"/>
      <c r="M26" s="348">
        <v>3</v>
      </c>
      <c r="N26" s="349"/>
      <c r="O26" s="356"/>
      <c r="P26" s="357"/>
      <c r="Q26" s="348"/>
      <c r="R26" s="349"/>
      <c r="S26" s="356"/>
      <c r="T26" s="357"/>
      <c r="U26" s="348"/>
      <c r="V26" s="358"/>
      <c r="W26" s="49">
        <f t="shared" si="0"/>
        <v>3</v>
      </c>
      <c r="X26" s="586"/>
      <c r="Y26" s="524"/>
    </row>
    <row r="27" spans="2:29" ht="16.5" customHeight="1" thickBot="1">
      <c r="B27" s="504"/>
      <c r="C27" s="505"/>
      <c r="D27" s="522" t="s">
        <v>8</v>
      </c>
      <c r="E27" s="128" t="s">
        <v>351</v>
      </c>
      <c r="F27" s="491" t="s">
        <v>352</v>
      </c>
      <c r="G27" s="486"/>
      <c r="H27" s="129">
        <v>3</v>
      </c>
      <c r="I27" s="141" t="s">
        <v>353</v>
      </c>
      <c r="J27" s="131">
        <f t="shared" ref="J27:J28" si="1">SUM(K27:V27)</f>
        <v>2</v>
      </c>
      <c r="K27" s="491">
        <v>2</v>
      </c>
      <c r="L27" s="385"/>
      <c r="M27" s="386"/>
      <c r="N27" s="387"/>
      <c r="O27" s="384"/>
      <c r="P27" s="385"/>
      <c r="Q27" s="386"/>
      <c r="R27" s="387"/>
      <c r="S27" s="384"/>
      <c r="T27" s="385"/>
      <c r="U27" s="386"/>
      <c r="V27" s="486"/>
      <c r="W27" s="48">
        <f>SUM(K27:V27)</f>
        <v>2</v>
      </c>
      <c r="X27" s="528">
        <f>SUM(W27:W31)</f>
        <v>13</v>
      </c>
      <c r="Y27" s="524">
        <v>8</v>
      </c>
    </row>
    <row r="28" spans="2:29" ht="17.5" thickBot="1">
      <c r="B28" s="504"/>
      <c r="C28" s="505"/>
      <c r="D28" s="523"/>
      <c r="E28" s="132" t="s">
        <v>351</v>
      </c>
      <c r="F28" s="361" t="s">
        <v>354</v>
      </c>
      <c r="G28" s="358"/>
      <c r="H28" s="133">
        <v>3</v>
      </c>
      <c r="I28" s="134" t="s">
        <v>353</v>
      </c>
      <c r="J28" s="135">
        <f t="shared" si="1"/>
        <v>3</v>
      </c>
      <c r="K28" s="361"/>
      <c r="L28" s="357"/>
      <c r="M28" s="348">
        <v>3</v>
      </c>
      <c r="N28" s="349"/>
      <c r="O28" s="356"/>
      <c r="P28" s="357"/>
      <c r="Q28" s="348"/>
      <c r="R28" s="349"/>
      <c r="S28" s="356"/>
      <c r="T28" s="357"/>
      <c r="U28" s="348"/>
      <c r="V28" s="358"/>
      <c r="W28" s="49">
        <f t="shared" ref="W28:W31" si="2">SUM(K28:V28)</f>
        <v>3</v>
      </c>
      <c r="X28" s="529"/>
      <c r="Y28" s="524"/>
    </row>
    <row r="29" spans="2:29" ht="17.5" thickBot="1">
      <c r="B29" s="504"/>
      <c r="C29" s="505"/>
      <c r="D29" s="523"/>
      <c r="E29" s="132" t="s">
        <v>339</v>
      </c>
      <c r="F29" s="361" t="s">
        <v>534</v>
      </c>
      <c r="G29" s="358"/>
      <c r="H29" s="133">
        <v>3</v>
      </c>
      <c r="I29" s="134" t="s">
        <v>353</v>
      </c>
      <c r="J29" s="135">
        <v>3</v>
      </c>
      <c r="K29" s="361"/>
      <c r="L29" s="357"/>
      <c r="M29" s="348"/>
      <c r="N29" s="349"/>
      <c r="O29" s="356">
        <v>3</v>
      </c>
      <c r="P29" s="357"/>
      <c r="Q29" s="348"/>
      <c r="R29" s="349"/>
      <c r="S29" s="356"/>
      <c r="T29" s="357"/>
      <c r="U29" s="348"/>
      <c r="V29" s="358"/>
      <c r="W29" s="49">
        <f t="shared" si="2"/>
        <v>3</v>
      </c>
      <c r="X29" s="529"/>
      <c r="Y29" s="524"/>
    </row>
    <row r="30" spans="2:29" ht="17.5" thickBot="1">
      <c r="B30" s="504"/>
      <c r="C30" s="505"/>
      <c r="D30" s="523"/>
      <c r="E30" s="132" t="s">
        <v>350</v>
      </c>
      <c r="F30" s="361" t="s">
        <v>355</v>
      </c>
      <c r="G30" s="358"/>
      <c r="H30" s="133">
        <v>3</v>
      </c>
      <c r="I30" s="134" t="s">
        <v>353</v>
      </c>
      <c r="J30" s="135">
        <v>3</v>
      </c>
      <c r="K30" s="361"/>
      <c r="L30" s="357"/>
      <c r="M30" s="348"/>
      <c r="N30" s="349"/>
      <c r="O30" s="356"/>
      <c r="P30" s="357"/>
      <c r="Q30" s="348">
        <v>3</v>
      </c>
      <c r="R30" s="349"/>
      <c r="S30" s="356"/>
      <c r="T30" s="357"/>
      <c r="U30" s="348"/>
      <c r="V30" s="358"/>
      <c r="W30" s="49">
        <f t="shared" si="2"/>
        <v>3</v>
      </c>
      <c r="X30" s="529"/>
      <c r="Y30" s="524"/>
    </row>
    <row r="31" spans="2:29" ht="17.5" thickBot="1">
      <c r="B31" s="504"/>
      <c r="C31" s="505"/>
      <c r="D31" s="527"/>
      <c r="E31" s="146" t="s">
        <v>339</v>
      </c>
      <c r="F31" s="365" t="s">
        <v>376</v>
      </c>
      <c r="G31" s="364"/>
      <c r="H31" s="138">
        <v>2</v>
      </c>
      <c r="I31" s="139" t="s">
        <v>356</v>
      </c>
      <c r="J31" s="140">
        <v>2</v>
      </c>
      <c r="K31" s="365"/>
      <c r="L31" s="355"/>
      <c r="M31" s="352"/>
      <c r="N31" s="353"/>
      <c r="O31" s="354"/>
      <c r="P31" s="355"/>
      <c r="Q31" s="352"/>
      <c r="R31" s="353"/>
      <c r="S31" s="354">
        <v>2</v>
      </c>
      <c r="T31" s="355"/>
      <c r="U31" s="352"/>
      <c r="V31" s="364"/>
      <c r="W31" s="50">
        <f t="shared" si="2"/>
        <v>2</v>
      </c>
      <c r="X31" s="530"/>
      <c r="Y31" s="524"/>
    </row>
    <row r="32" spans="2:29" ht="17.5" thickBot="1">
      <c r="B32" s="504"/>
      <c r="C32" s="505"/>
      <c r="D32" s="522" t="s">
        <v>28</v>
      </c>
      <c r="E32" s="128" t="s">
        <v>351</v>
      </c>
      <c r="F32" s="491" t="s">
        <v>47</v>
      </c>
      <c r="G32" s="486"/>
      <c r="H32" s="129">
        <v>3</v>
      </c>
      <c r="I32" s="147" t="s">
        <v>353</v>
      </c>
      <c r="J32" s="131">
        <v>3</v>
      </c>
      <c r="K32" s="491">
        <v>3</v>
      </c>
      <c r="L32" s="385"/>
      <c r="M32" s="386"/>
      <c r="N32" s="387"/>
      <c r="O32" s="384"/>
      <c r="P32" s="385"/>
      <c r="Q32" s="386"/>
      <c r="R32" s="387"/>
      <c r="S32" s="384"/>
      <c r="T32" s="385"/>
      <c r="U32" s="386"/>
      <c r="V32" s="486"/>
      <c r="W32" s="372">
        <f>SUM(K32:V33)</f>
        <v>6</v>
      </c>
      <c r="X32" s="373"/>
      <c r="Y32" s="524">
        <v>6</v>
      </c>
    </row>
    <row r="33" spans="2:28" ht="17.5" thickBot="1">
      <c r="B33" s="504"/>
      <c r="C33" s="505"/>
      <c r="D33" s="523"/>
      <c r="E33" s="148" t="s">
        <v>339</v>
      </c>
      <c r="F33" s="361" t="s">
        <v>283</v>
      </c>
      <c r="G33" s="358"/>
      <c r="H33" s="133">
        <v>3</v>
      </c>
      <c r="I33" s="134" t="s">
        <v>353</v>
      </c>
      <c r="J33" s="135">
        <v>3</v>
      </c>
      <c r="K33" s="361"/>
      <c r="L33" s="357"/>
      <c r="M33" s="348">
        <v>3</v>
      </c>
      <c r="N33" s="349"/>
      <c r="O33" s="356"/>
      <c r="P33" s="357"/>
      <c r="Q33" s="348"/>
      <c r="R33" s="349"/>
      <c r="S33" s="356"/>
      <c r="T33" s="357"/>
      <c r="U33" s="348"/>
      <c r="V33" s="358"/>
      <c r="W33" s="374"/>
      <c r="X33" s="375"/>
      <c r="Y33" s="524"/>
    </row>
    <row r="34" spans="2:28" ht="23" customHeight="1" thickBot="1">
      <c r="B34" s="504"/>
      <c r="C34" s="505"/>
      <c r="D34" s="525" t="s">
        <v>357</v>
      </c>
      <c r="E34" s="234" t="s">
        <v>539</v>
      </c>
      <c r="F34" s="491" t="s">
        <v>535</v>
      </c>
      <c r="G34" s="486"/>
      <c r="H34" s="129">
        <v>4</v>
      </c>
      <c r="I34" s="141" t="s">
        <v>341</v>
      </c>
      <c r="J34" s="131">
        <v>4</v>
      </c>
      <c r="K34" s="491"/>
      <c r="L34" s="385"/>
      <c r="M34" s="386"/>
      <c r="N34" s="387"/>
      <c r="O34" s="384"/>
      <c r="P34" s="385"/>
      <c r="Q34" s="386">
        <v>4</v>
      </c>
      <c r="R34" s="387"/>
      <c r="S34" s="384"/>
      <c r="T34" s="385"/>
      <c r="U34" s="386"/>
      <c r="V34" s="486"/>
      <c r="W34" s="372">
        <f>SUM(K34:V35)</f>
        <v>8</v>
      </c>
      <c r="X34" s="373"/>
      <c r="Y34" s="524">
        <v>8</v>
      </c>
    </row>
    <row r="35" spans="2:28" ht="23.5" customHeight="1" thickBot="1">
      <c r="B35" s="504"/>
      <c r="C35" s="505"/>
      <c r="D35" s="526"/>
      <c r="E35" s="235" t="s">
        <v>687</v>
      </c>
      <c r="F35" s="361" t="s">
        <v>540</v>
      </c>
      <c r="G35" s="358"/>
      <c r="H35" s="133">
        <v>4</v>
      </c>
      <c r="I35" s="139" t="s">
        <v>341</v>
      </c>
      <c r="J35" s="135">
        <v>4</v>
      </c>
      <c r="K35" s="361"/>
      <c r="L35" s="357"/>
      <c r="M35" s="348"/>
      <c r="N35" s="349"/>
      <c r="O35" s="356">
        <v>4</v>
      </c>
      <c r="P35" s="357"/>
      <c r="Q35" s="348"/>
      <c r="R35" s="349"/>
      <c r="S35" s="356"/>
      <c r="T35" s="357"/>
      <c r="U35" s="348"/>
      <c r="V35" s="358"/>
      <c r="W35" s="374"/>
      <c r="X35" s="375"/>
      <c r="Y35" s="524"/>
    </row>
    <row r="36" spans="2:28" ht="24.75" customHeight="1" thickBot="1">
      <c r="B36" s="497" t="s">
        <v>369</v>
      </c>
      <c r="C36" s="498"/>
      <c r="D36" s="498"/>
      <c r="E36" s="498"/>
      <c r="F36" s="498"/>
      <c r="G36" s="499"/>
      <c r="H36" s="150"/>
      <c r="I36" s="151"/>
      <c r="J36" s="152">
        <v>69</v>
      </c>
      <c r="K36" s="500">
        <f>SUM(K9:L35)</f>
        <v>17</v>
      </c>
      <c r="L36" s="501"/>
      <c r="M36" s="501">
        <f>SUM(M9:N35)</f>
        <v>18</v>
      </c>
      <c r="N36" s="601"/>
      <c r="O36" s="602">
        <v>16</v>
      </c>
      <c r="P36" s="501"/>
      <c r="Q36" s="501">
        <v>16</v>
      </c>
      <c r="R36" s="608"/>
      <c r="S36" s="609">
        <f>SUM(S9:T35)</f>
        <v>2</v>
      </c>
      <c r="T36" s="501"/>
      <c r="U36" s="501">
        <f>SUM(U9:V35)</f>
        <v>0</v>
      </c>
      <c r="V36" s="605"/>
      <c r="W36" s="409">
        <v>69</v>
      </c>
      <c r="X36" s="411"/>
      <c r="Y36" s="243">
        <f>SUM(Y9:Y35)</f>
        <v>64</v>
      </c>
      <c r="AA36" s="428" t="b">
        <f>W36&gt;=Y36</f>
        <v>1</v>
      </c>
      <c r="AB36" s="429"/>
    </row>
    <row r="37" spans="2:28" ht="17.25" customHeight="1">
      <c r="B37" s="502" t="s">
        <v>358</v>
      </c>
      <c r="C37" s="503"/>
      <c r="D37" s="516" t="s">
        <v>359</v>
      </c>
      <c r="E37" s="517"/>
      <c r="F37" s="406" t="s">
        <v>689</v>
      </c>
      <c r="G37" s="407"/>
      <c r="H37" s="129"/>
      <c r="I37" s="240"/>
      <c r="J37" s="244">
        <v>2</v>
      </c>
      <c r="K37" s="491"/>
      <c r="L37" s="385"/>
      <c r="M37" s="386"/>
      <c r="N37" s="387"/>
      <c r="O37" s="384">
        <v>2</v>
      </c>
      <c r="P37" s="385"/>
      <c r="Q37" s="386"/>
      <c r="R37" s="387"/>
      <c r="S37" s="384"/>
      <c r="T37" s="385"/>
      <c r="U37" s="386"/>
      <c r="V37" s="486"/>
      <c r="W37" s="603">
        <f>SUM(K37:V37)</f>
        <v>2</v>
      </c>
      <c r="X37" s="604"/>
      <c r="Y37" s="441">
        <v>80</v>
      </c>
    </row>
    <row r="38" spans="2:28" ht="17.25" customHeight="1">
      <c r="B38" s="504"/>
      <c r="C38" s="505"/>
      <c r="D38" s="518"/>
      <c r="E38" s="519"/>
      <c r="F38" s="506" t="s">
        <v>688</v>
      </c>
      <c r="G38" s="507"/>
      <c r="H38" s="133"/>
      <c r="I38" s="160"/>
      <c r="J38" s="245">
        <v>2</v>
      </c>
      <c r="K38" s="361"/>
      <c r="L38" s="357"/>
      <c r="M38" s="348"/>
      <c r="N38" s="349"/>
      <c r="O38" s="356"/>
      <c r="P38" s="357"/>
      <c r="Q38" s="348">
        <v>2</v>
      </c>
      <c r="R38" s="349"/>
      <c r="S38" s="356"/>
      <c r="T38" s="357"/>
      <c r="U38" s="348"/>
      <c r="V38" s="358"/>
      <c r="W38" s="359">
        <v>2</v>
      </c>
      <c r="X38" s="360"/>
      <c r="Y38" s="464"/>
    </row>
    <row r="39" spans="2:28" ht="17.25" customHeight="1" thickBot="1">
      <c r="B39" s="504"/>
      <c r="C39" s="505"/>
      <c r="D39" s="520"/>
      <c r="E39" s="521"/>
      <c r="F39" s="362" t="s">
        <v>696</v>
      </c>
      <c r="G39" s="363"/>
      <c r="H39" s="138"/>
      <c r="I39" s="164"/>
      <c r="J39" s="246">
        <v>2</v>
      </c>
      <c r="K39" s="365"/>
      <c r="L39" s="355"/>
      <c r="M39" s="352"/>
      <c r="N39" s="353"/>
      <c r="O39" s="354"/>
      <c r="P39" s="355"/>
      <c r="Q39" s="352"/>
      <c r="R39" s="353"/>
      <c r="S39" s="354">
        <v>2</v>
      </c>
      <c r="T39" s="355"/>
      <c r="U39" s="352"/>
      <c r="V39" s="364"/>
      <c r="W39" s="366">
        <v>2</v>
      </c>
      <c r="X39" s="367"/>
      <c r="Y39" s="464"/>
    </row>
    <row r="40" spans="2:28" ht="17.25" customHeight="1">
      <c r="B40" s="504"/>
      <c r="C40" s="505"/>
      <c r="D40" s="155" t="s">
        <v>564</v>
      </c>
      <c r="E40" s="51" t="s">
        <v>360</v>
      </c>
      <c r="F40" s="508" t="s">
        <v>582</v>
      </c>
      <c r="G40" s="509"/>
      <c r="H40" s="129"/>
      <c r="I40" s="240"/>
      <c r="J40" s="244">
        <v>8</v>
      </c>
      <c r="K40" s="491">
        <v>8</v>
      </c>
      <c r="L40" s="385"/>
      <c r="M40" s="386"/>
      <c r="N40" s="392"/>
      <c r="O40" s="384"/>
      <c r="P40" s="385"/>
      <c r="Q40" s="484"/>
      <c r="R40" s="584"/>
      <c r="S40" s="583"/>
      <c r="T40" s="391"/>
      <c r="U40" s="484"/>
      <c r="V40" s="485"/>
      <c r="W40" s="606">
        <f t="shared" ref="W40:W55" si="3">SUM(K40:V40)</f>
        <v>8</v>
      </c>
      <c r="X40" s="607"/>
      <c r="Y40" s="464"/>
    </row>
    <row r="41" spans="2:28" ht="17.25" customHeight="1">
      <c r="B41" s="504"/>
      <c r="C41" s="505"/>
      <c r="D41" s="52" t="s">
        <v>564</v>
      </c>
      <c r="E41" s="154" t="s">
        <v>360</v>
      </c>
      <c r="F41" s="510" t="s">
        <v>543</v>
      </c>
      <c r="G41" s="511"/>
      <c r="H41" s="157"/>
      <c r="I41" s="158"/>
      <c r="J41" s="159">
        <v>4</v>
      </c>
      <c r="K41" s="361">
        <v>4</v>
      </c>
      <c r="L41" s="357"/>
      <c r="M41" s="348"/>
      <c r="N41" s="349"/>
      <c r="O41" s="356"/>
      <c r="P41" s="357"/>
      <c r="Q41" s="348"/>
      <c r="R41" s="349"/>
      <c r="S41" s="356"/>
      <c r="T41" s="357"/>
      <c r="U41" s="348"/>
      <c r="V41" s="358"/>
      <c r="W41" s="359">
        <f t="shared" si="3"/>
        <v>4</v>
      </c>
      <c r="X41" s="360"/>
      <c r="Y41" s="464"/>
    </row>
    <row r="42" spans="2:28" ht="17.25" customHeight="1">
      <c r="B42" s="504"/>
      <c r="C42" s="505"/>
      <c r="D42" s="52" t="s">
        <v>564</v>
      </c>
      <c r="E42" s="154" t="s">
        <v>360</v>
      </c>
      <c r="F42" s="510" t="s">
        <v>541</v>
      </c>
      <c r="G42" s="511"/>
      <c r="H42" s="157"/>
      <c r="I42" s="158"/>
      <c r="J42" s="159">
        <v>5</v>
      </c>
      <c r="K42" s="361"/>
      <c r="L42" s="357"/>
      <c r="M42" s="348">
        <v>5</v>
      </c>
      <c r="N42" s="349"/>
      <c r="O42" s="356"/>
      <c r="P42" s="357"/>
      <c r="Q42" s="348"/>
      <c r="R42" s="349"/>
      <c r="S42" s="356"/>
      <c r="T42" s="357"/>
      <c r="U42" s="348"/>
      <c r="V42" s="358"/>
      <c r="W42" s="359">
        <f t="shared" si="3"/>
        <v>5</v>
      </c>
      <c r="X42" s="360"/>
      <c r="Y42" s="464"/>
    </row>
    <row r="43" spans="2:28" ht="17.25" customHeight="1">
      <c r="B43" s="504"/>
      <c r="C43" s="505"/>
      <c r="D43" s="52" t="s">
        <v>564</v>
      </c>
      <c r="E43" s="154" t="s">
        <v>360</v>
      </c>
      <c r="F43" s="512" t="s">
        <v>542</v>
      </c>
      <c r="G43" s="513"/>
      <c r="H43" s="157"/>
      <c r="I43" s="158"/>
      <c r="J43" s="159">
        <v>3</v>
      </c>
      <c r="K43" s="361"/>
      <c r="L43" s="357"/>
      <c r="M43" s="348">
        <v>3</v>
      </c>
      <c r="N43" s="349"/>
      <c r="O43" s="356"/>
      <c r="P43" s="357"/>
      <c r="Q43" s="348"/>
      <c r="R43" s="349"/>
      <c r="S43" s="356"/>
      <c r="T43" s="357"/>
      <c r="U43" s="348"/>
      <c r="V43" s="358"/>
      <c r="W43" s="359">
        <f t="shared" si="3"/>
        <v>3</v>
      </c>
      <c r="X43" s="360"/>
      <c r="Y43" s="464"/>
    </row>
    <row r="44" spans="2:28" ht="17.25" customHeight="1">
      <c r="B44" s="504"/>
      <c r="C44" s="505"/>
      <c r="D44" s="52" t="s">
        <v>564</v>
      </c>
      <c r="E44" s="154" t="s">
        <v>360</v>
      </c>
      <c r="F44" s="512" t="s">
        <v>546</v>
      </c>
      <c r="G44" s="513"/>
      <c r="H44" s="157"/>
      <c r="I44" s="158"/>
      <c r="J44" s="159">
        <v>3</v>
      </c>
      <c r="K44" s="361"/>
      <c r="L44" s="357"/>
      <c r="M44" s="348">
        <v>3</v>
      </c>
      <c r="N44" s="368"/>
      <c r="O44" s="356"/>
      <c r="P44" s="357"/>
      <c r="Q44" s="348"/>
      <c r="R44" s="349"/>
      <c r="S44" s="368"/>
      <c r="T44" s="357"/>
      <c r="U44" s="348"/>
      <c r="V44" s="358"/>
      <c r="W44" s="359">
        <f t="shared" si="3"/>
        <v>3</v>
      </c>
      <c r="X44" s="360"/>
      <c r="Y44" s="464"/>
    </row>
    <row r="45" spans="2:28" ht="17.25" customHeight="1">
      <c r="B45" s="504"/>
      <c r="C45" s="505"/>
      <c r="D45" s="52" t="s">
        <v>564</v>
      </c>
      <c r="E45" s="154" t="s">
        <v>360</v>
      </c>
      <c r="F45" s="512" t="s">
        <v>544</v>
      </c>
      <c r="G45" s="513"/>
      <c r="H45" s="157"/>
      <c r="I45" s="160"/>
      <c r="J45" s="245">
        <v>4</v>
      </c>
      <c r="K45" s="361"/>
      <c r="L45" s="357"/>
      <c r="M45" s="348"/>
      <c r="N45" s="368"/>
      <c r="O45" s="356">
        <v>4</v>
      </c>
      <c r="P45" s="357"/>
      <c r="Q45" s="348"/>
      <c r="R45" s="349"/>
      <c r="S45" s="368"/>
      <c r="T45" s="357"/>
      <c r="U45" s="348"/>
      <c r="V45" s="358"/>
      <c r="W45" s="359">
        <f t="shared" si="3"/>
        <v>4</v>
      </c>
      <c r="X45" s="360"/>
      <c r="Y45" s="464"/>
    </row>
    <row r="46" spans="2:28" ht="16.5" customHeight="1">
      <c r="B46" s="504"/>
      <c r="C46" s="505"/>
      <c r="D46" s="52" t="s">
        <v>564</v>
      </c>
      <c r="E46" s="154" t="s">
        <v>360</v>
      </c>
      <c r="F46" s="380" t="s">
        <v>545</v>
      </c>
      <c r="G46" s="381"/>
      <c r="H46" s="133"/>
      <c r="I46" s="160"/>
      <c r="J46" s="245">
        <v>3</v>
      </c>
      <c r="K46" s="514"/>
      <c r="L46" s="515"/>
      <c r="M46" s="348"/>
      <c r="N46" s="368"/>
      <c r="O46" s="356"/>
      <c r="P46" s="357"/>
      <c r="Q46" s="348"/>
      <c r="R46" s="349"/>
      <c r="S46" s="368">
        <v>3</v>
      </c>
      <c r="T46" s="357"/>
      <c r="U46" s="348"/>
      <c r="V46" s="358"/>
      <c r="W46" s="359">
        <f t="shared" si="3"/>
        <v>3</v>
      </c>
      <c r="X46" s="360"/>
      <c r="Y46" s="464"/>
    </row>
    <row r="47" spans="2:28" ht="16.5" customHeight="1" thickBot="1">
      <c r="B47" s="504"/>
      <c r="C47" s="505"/>
      <c r="D47" s="53" t="s">
        <v>564</v>
      </c>
      <c r="E47" s="156" t="s">
        <v>360</v>
      </c>
      <c r="F47" s="350" t="s">
        <v>547</v>
      </c>
      <c r="G47" s="351"/>
      <c r="H47" s="138"/>
      <c r="I47" s="164"/>
      <c r="J47" s="246">
        <v>2</v>
      </c>
      <c r="K47" s="170"/>
      <c r="L47" s="171"/>
      <c r="M47" s="352"/>
      <c r="N47" s="353"/>
      <c r="O47" s="354"/>
      <c r="P47" s="355"/>
      <c r="Q47" s="348"/>
      <c r="R47" s="349"/>
      <c r="S47" s="356">
        <v>2</v>
      </c>
      <c r="T47" s="357"/>
      <c r="U47" s="348"/>
      <c r="V47" s="358"/>
      <c r="W47" s="359">
        <v>3</v>
      </c>
      <c r="X47" s="360"/>
      <c r="Y47" s="464"/>
    </row>
    <row r="48" spans="2:28" ht="16.5" customHeight="1">
      <c r="B48" s="504"/>
      <c r="C48" s="505"/>
      <c r="D48" s="163" t="s">
        <v>564</v>
      </c>
      <c r="E48" s="153" t="s">
        <v>552</v>
      </c>
      <c r="F48" s="378" t="s">
        <v>557</v>
      </c>
      <c r="G48" s="379"/>
      <c r="H48" s="157"/>
      <c r="I48" s="158"/>
      <c r="J48" s="159">
        <v>4</v>
      </c>
      <c r="K48" s="168"/>
      <c r="L48" s="169"/>
      <c r="M48" s="484"/>
      <c r="N48" s="584"/>
      <c r="O48" s="393">
        <v>4</v>
      </c>
      <c r="P48" s="391"/>
      <c r="Q48" s="386"/>
      <c r="R48" s="387"/>
      <c r="S48" s="384"/>
      <c r="T48" s="385"/>
      <c r="U48" s="386"/>
      <c r="V48" s="486"/>
      <c r="W48" s="359">
        <v>4</v>
      </c>
      <c r="X48" s="360"/>
      <c r="Y48" s="464"/>
    </row>
    <row r="49" spans="2:29" ht="16.5" customHeight="1">
      <c r="B49" s="504"/>
      <c r="C49" s="505"/>
      <c r="D49" s="52" t="s">
        <v>362</v>
      </c>
      <c r="E49" s="154" t="s">
        <v>552</v>
      </c>
      <c r="F49" s="380" t="s">
        <v>556</v>
      </c>
      <c r="G49" s="381"/>
      <c r="H49" s="133"/>
      <c r="I49" s="160"/>
      <c r="J49" s="135">
        <v>3</v>
      </c>
      <c r="K49" s="161"/>
      <c r="L49" s="162"/>
      <c r="M49" s="348"/>
      <c r="N49" s="349"/>
      <c r="O49" s="356"/>
      <c r="P49" s="357"/>
      <c r="Q49" s="348">
        <v>3</v>
      </c>
      <c r="R49" s="349"/>
      <c r="S49" s="356"/>
      <c r="T49" s="357"/>
      <c r="U49" s="348"/>
      <c r="V49" s="358"/>
      <c r="W49" s="359">
        <v>3</v>
      </c>
      <c r="X49" s="360"/>
      <c r="Y49" s="464"/>
    </row>
    <row r="50" spans="2:29" ht="16.5" customHeight="1">
      <c r="B50" s="504"/>
      <c r="C50" s="505"/>
      <c r="D50" s="52" t="s">
        <v>564</v>
      </c>
      <c r="E50" s="154" t="s">
        <v>552</v>
      </c>
      <c r="F50" s="382" t="s">
        <v>554</v>
      </c>
      <c r="G50" s="383"/>
      <c r="H50" s="133"/>
      <c r="I50" s="160"/>
      <c r="J50" s="135">
        <v>11</v>
      </c>
      <c r="K50" s="161"/>
      <c r="L50" s="162"/>
      <c r="M50" s="348"/>
      <c r="N50" s="349"/>
      <c r="O50" s="356"/>
      <c r="P50" s="357"/>
      <c r="Q50" s="348">
        <v>5</v>
      </c>
      <c r="R50" s="349"/>
      <c r="S50" s="356">
        <v>6</v>
      </c>
      <c r="T50" s="357"/>
      <c r="U50" s="348"/>
      <c r="V50" s="358"/>
      <c r="W50" s="359">
        <v>11</v>
      </c>
      <c r="X50" s="360"/>
      <c r="Y50" s="464"/>
    </row>
    <row r="51" spans="2:29" ht="16.5" customHeight="1">
      <c r="B51" s="504"/>
      <c r="C51" s="505"/>
      <c r="D51" s="52" t="s">
        <v>564</v>
      </c>
      <c r="E51" s="154" t="s">
        <v>552</v>
      </c>
      <c r="F51" s="382" t="s">
        <v>553</v>
      </c>
      <c r="G51" s="383"/>
      <c r="H51" s="133"/>
      <c r="I51" s="160"/>
      <c r="J51" s="135">
        <v>10</v>
      </c>
      <c r="K51" s="161"/>
      <c r="L51" s="162"/>
      <c r="M51" s="348"/>
      <c r="N51" s="349"/>
      <c r="O51" s="356"/>
      <c r="P51" s="357"/>
      <c r="Q51" s="348"/>
      <c r="R51" s="349"/>
      <c r="S51" s="356">
        <v>5</v>
      </c>
      <c r="T51" s="357"/>
      <c r="U51" s="348">
        <v>5</v>
      </c>
      <c r="V51" s="358"/>
      <c r="W51" s="359">
        <v>10</v>
      </c>
      <c r="X51" s="360"/>
      <c r="Y51" s="464"/>
    </row>
    <row r="52" spans="2:29" ht="16.5" customHeight="1">
      <c r="B52" s="504"/>
      <c r="C52" s="505"/>
      <c r="D52" s="52" t="s">
        <v>565</v>
      </c>
      <c r="E52" s="154" t="s">
        <v>361</v>
      </c>
      <c r="F52" s="380" t="s">
        <v>690</v>
      </c>
      <c r="G52" s="381"/>
      <c r="H52" s="133"/>
      <c r="I52" s="160"/>
      <c r="J52" s="135">
        <v>10</v>
      </c>
      <c r="K52" s="161"/>
      <c r="L52" s="162"/>
      <c r="M52" s="348"/>
      <c r="N52" s="349"/>
      <c r="O52" s="356"/>
      <c r="P52" s="357"/>
      <c r="Q52" s="348"/>
      <c r="R52" s="349"/>
      <c r="S52" s="356">
        <v>5</v>
      </c>
      <c r="T52" s="357"/>
      <c r="U52" s="348">
        <v>5</v>
      </c>
      <c r="V52" s="358"/>
      <c r="W52" s="359">
        <v>10</v>
      </c>
      <c r="X52" s="360"/>
      <c r="Y52" s="464"/>
    </row>
    <row r="53" spans="2:29" ht="16.5" customHeight="1">
      <c r="B53" s="504"/>
      <c r="C53" s="505"/>
      <c r="D53" s="52" t="s">
        <v>564</v>
      </c>
      <c r="E53" s="154" t="s">
        <v>552</v>
      </c>
      <c r="F53" s="380" t="s">
        <v>555</v>
      </c>
      <c r="G53" s="381"/>
      <c r="H53" s="133"/>
      <c r="I53" s="160"/>
      <c r="J53" s="135">
        <v>8</v>
      </c>
      <c r="K53" s="161"/>
      <c r="L53" s="162"/>
      <c r="M53" s="348"/>
      <c r="N53" s="349"/>
      <c r="O53" s="356"/>
      <c r="P53" s="357"/>
      <c r="Q53" s="348"/>
      <c r="R53" s="349"/>
      <c r="S53" s="356"/>
      <c r="T53" s="357"/>
      <c r="U53" s="348">
        <v>8</v>
      </c>
      <c r="V53" s="358"/>
      <c r="W53" s="359">
        <v>8</v>
      </c>
      <c r="X53" s="360"/>
      <c r="Y53" s="464"/>
    </row>
    <row r="54" spans="2:29" ht="16.5" customHeight="1">
      <c r="B54" s="504"/>
      <c r="C54" s="505"/>
      <c r="D54" s="52" t="s">
        <v>564</v>
      </c>
      <c r="E54" s="154" t="s">
        <v>552</v>
      </c>
      <c r="F54" s="380" t="s">
        <v>558</v>
      </c>
      <c r="G54" s="381"/>
      <c r="H54" s="133"/>
      <c r="I54" s="160"/>
      <c r="J54" s="135">
        <v>8</v>
      </c>
      <c r="K54" s="161"/>
      <c r="L54" s="162"/>
      <c r="M54" s="348"/>
      <c r="N54" s="349"/>
      <c r="O54" s="356"/>
      <c r="P54" s="357"/>
      <c r="Q54" s="348"/>
      <c r="R54" s="349"/>
      <c r="S54" s="356">
        <v>4</v>
      </c>
      <c r="T54" s="357"/>
      <c r="U54" s="348">
        <v>4</v>
      </c>
      <c r="V54" s="358"/>
      <c r="W54" s="359">
        <v>8</v>
      </c>
      <c r="X54" s="360"/>
      <c r="Y54" s="464"/>
    </row>
    <row r="55" spans="2:29" ht="16.5" customHeight="1" thickBot="1">
      <c r="B55" s="504"/>
      <c r="C55" s="505"/>
      <c r="D55" s="53" t="s">
        <v>564</v>
      </c>
      <c r="E55" s="154" t="s">
        <v>552</v>
      </c>
      <c r="F55" s="380" t="s">
        <v>559</v>
      </c>
      <c r="G55" s="381"/>
      <c r="H55" s="133"/>
      <c r="I55" s="160"/>
      <c r="J55" s="135">
        <v>7</v>
      </c>
      <c r="K55" s="514"/>
      <c r="L55" s="515"/>
      <c r="M55" s="348"/>
      <c r="N55" s="368"/>
      <c r="O55" s="356"/>
      <c r="P55" s="357"/>
      <c r="Q55" s="348"/>
      <c r="R55" s="349"/>
      <c r="S55" s="368"/>
      <c r="T55" s="357"/>
      <c r="U55" s="348">
        <v>7</v>
      </c>
      <c r="V55" s="358"/>
      <c r="W55" s="359">
        <f t="shared" si="3"/>
        <v>7</v>
      </c>
      <c r="X55" s="360"/>
      <c r="Y55" s="464"/>
    </row>
    <row r="56" spans="2:29" ht="16.5" customHeight="1">
      <c r="B56" s="369" t="s">
        <v>153</v>
      </c>
      <c r="C56" s="369" t="s">
        <v>548</v>
      </c>
      <c r="D56" s="155" t="s">
        <v>564</v>
      </c>
      <c r="E56" s="51" t="s">
        <v>360</v>
      </c>
      <c r="F56" s="492" t="s">
        <v>560</v>
      </c>
      <c r="G56" s="493"/>
      <c r="H56" s="129"/>
      <c r="I56" s="165"/>
      <c r="J56" s="494">
        <v>6</v>
      </c>
      <c r="K56" s="491"/>
      <c r="L56" s="385"/>
      <c r="M56" s="386"/>
      <c r="N56" s="392"/>
      <c r="O56" s="384">
        <v>3</v>
      </c>
      <c r="P56" s="385"/>
      <c r="Q56" s="386"/>
      <c r="R56" s="387"/>
      <c r="S56" s="392"/>
      <c r="T56" s="385"/>
      <c r="U56" s="386"/>
      <c r="V56" s="486"/>
      <c r="W56" s="372">
        <v>6</v>
      </c>
      <c r="X56" s="373"/>
      <c r="Y56" s="464"/>
    </row>
    <row r="57" spans="2:29" ht="16.5" customHeight="1" thickBot="1">
      <c r="B57" s="371"/>
      <c r="C57" s="370"/>
      <c r="D57" s="53" t="s">
        <v>564</v>
      </c>
      <c r="E57" s="156" t="s">
        <v>360</v>
      </c>
      <c r="F57" s="487" t="s">
        <v>561</v>
      </c>
      <c r="G57" s="488"/>
      <c r="H57" s="138"/>
      <c r="I57" s="166"/>
      <c r="J57" s="495"/>
      <c r="K57" s="365"/>
      <c r="L57" s="355"/>
      <c r="M57" s="352"/>
      <c r="N57" s="353"/>
      <c r="O57" s="354"/>
      <c r="P57" s="355"/>
      <c r="Q57" s="352">
        <v>3</v>
      </c>
      <c r="R57" s="353"/>
      <c r="S57" s="354"/>
      <c r="T57" s="355"/>
      <c r="U57" s="352"/>
      <c r="V57" s="364"/>
      <c r="W57" s="374"/>
      <c r="X57" s="375"/>
      <c r="Y57" s="464"/>
    </row>
    <row r="58" spans="2:29">
      <c r="B58" s="371"/>
      <c r="C58" s="369" t="s">
        <v>549</v>
      </c>
      <c r="D58" s="163" t="s">
        <v>564</v>
      </c>
      <c r="E58" s="51" t="s">
        <v>360</v>
      </c>
      <c r="F58" s="489" t="s">
        <v>562</v>
      </c>
      <c r="G58" s="490"/>
      <c r="H58" s="129"/>
      <c r="I58" s="165"/>
      <c r="J58" s="495"/>
      <c r="K58" s="491"/>
      <c r="L58" s="385"/>
      <c r="M58" s="386"/>
      <c r="N58" s="392"/>
      <c r="O58" s="384">
        <v>3</v>
      </c>
      <c r="P58" s="385"/>
      <c r="Q58" s="386"/>
      <c r="R58" s="387"/>
      <c r="S58" s="392"/>
      <c r="T58" s="385"/>
      <c r="U58" s="386"/>
      <c r="V58" s="486"/>
      <c r="W58" s="374"/>
      <c r="X58" s="375"/>
      <c r="Y58" s="464"/>
    </row>
    <row r="59" spans="2:29" ht="17.5" thickBot="1">
      <c r="B59" s="371"/>
      <c r="C59" s="370"/>
      <c r="D59" s="53" t="s">
        <v>566</v>
      </c>
      <c r="E59" s="156" t="s">
        <v>361</v>
      </c>
      <c r="F59" s="487" t="s">
        <v>624</v>
      </c>
      <c r="G59" s="488"/>
      <c r="H59" s="138"/>
      <c r="I59" s="166"/>
      <c r="J59" s="495"/>
      <c r="K59" s="365"/>
      <c r="L59" s="355"/>
      <c r="M59" s="352"/>
      <c r="N59" s="394"/>
      <c r="O59" s="354"/>
      <c r="P59" s="355"/>
      <c r="Q59" s="352">
        <v>3</v>
      </c>
      <c r="R59" s="353"/>
      <c r="S59" s="394"/>
      <c r="T59" s="355"/>
      <c r="U59" s="352"/>
      <c r="V59" s="364"/>
      <c r="W59" s="374"/>
      <c r="X59" s="375"/>
      <c r="Y59" s="464"/>
    </row>
    <row r="60" spans="2:29">
      <c r="B60" s="371"/>
      <c r="C60" s="369" t="s">
        <v>550</v>
      </c>
      <c r="D60" s="52" t="s">
        <v>564</v>
      </c>
      <c r="E60" s="51" t="s">
        <v>360</v>
      </c>
      <c r="F60" s="489" t="s">
        <v>562</v>
      </c>
      <c r="G60" s="490"/>
      <c r="H60" s="129"/>
      <c r="I60" s="165"/>
      <c r="J60" s="495"/>
      <c r="K60" s="491"/>
      <c r="L60" s="385"/>
      <c r="M60" s="386"/>
      <c r="N60" s="392"/>
      <c r="O60" s="384">
        <v>3</v>
      </c>
      <c r="P60" s="385"/>
      <c r="Q60" s="386"/>
      <c r="R60" s="387"/>
      <c r="S60" s="392"/>
      <c r="T60" s="385"/>
      <c r="U60" s="386"/>
      <c r="V60" s="486"/>
      <c r="W60" s="374"/>
      <c r="X60" s="375"/>
      <c r="Y60" s="464"/>
    </row>
    <row r="61" spans="2:29" ht="17.5" thickBot="1">
      <c r="B61" s="371"/>
      <c r="C61" s="370"/>
      <c r="D61" s="53" t="s">
        <v>565</v>
      </c>
      <c r="E61" s="156" t="s">
        <v>361</v>
      </c>
      <c r="F61" s="487" t="s">
        <v>632</v>
      </c>
      <c r="G61" s="488"/>
      <c r="H61" s="138"/>
      <c r="I61" s="166"/>
      <c r="J61" s="495"/>
      <c r="K61" s="365"/>
      <c r="L61" s="355"/>
      <c r="M61" s="352"/>
      <c r="N61" s="394"/>
      <c r="O61" s="354"/>
      <c r="P61" s="355"/>
      <c r="Q61" s="352">
        <v>3</v>
      </c>
      <c r="R61" s="353"/>
      <c r="S61" s="394"/>
      <c r="T61" s="355"/>
      <c r="U61" s="352"/>
      <c r="V61" s="364"/>
      <c r="W61" s="374"/>
      <c r="X61" s="375"/>
      <c r="Y61" s="464"/>
    </row>
    <row r="62" spans="2:29">
      <c r="B62" s="371"/>
      <c r="C62" s="371" t="s">
        <v>551</v>
      </c>
      <c r="D62" s="163" t="s">
        <v>363</v>
      </c>
      <c r="E62" s="153" t="s">
        <v>360</v>
      </c>
      <c r="F62" s="388" t="s">
        <v>364</v>
      </c>
      <c r="G62" s="389"/>
      <c r="H62" s="157"/>
      <c r="I62" s="167"/>
      <c r="J62" s="495"/>
      <c r="K62" s="390"/>
      <c r="L62" s="391"/>
      <c r="M62" s="484"/>
      <c r="N62" s="583"/>
      <c r="O62" s="393">
        <v>3</v>
      </c>
      <c r="P62" s="391"/>
      <c r="Q62" s="484"/>
      <c r="R62" s="584"/>
      <c r="S62" s="583"/>
      <c r="T62" s="391"/>
      <c r="U62" s="484"/>
      <c r="V62" s="485"/>
      <c r="W62" s="374"/>
      <c r="X62" s="375"/>
      <c r="Y62" s="464"/>
      <c r="AC62" s="41"/>
    </row>
    <row r="63" spans="2:29" ht="17.5" thickBot="1">
      <c r="B63" s="371"/>
      <c r="C63" s="371"/>
      <c r="D63" s="53" t="s">
        <v>363</v>
      </c>
      <c r="E63" s="156" t="s">
        <v>360</v>
      </c>
      <c r="F63" s="350" t="s">
        <v>563</v>
      </c>
      <c r="G63" s="351"/>
      <c r="H63" s="138"/>
      <c r="I63" s="166"/>
      <c r="J63" s="496"/>
      <c r="K63" s="365"/>
      <c r="L63" s="355"/>
      <c r="M63" s="352"/>
      <c r="N63" s="394"/>
      <c r="O63" s="354"/>
      <c r="P63" s="355"/>
      <c r="Q63" s="352">
        <v>3</v>
      </c>
      <c r="R63" s="353"/>
      <c r="S63" s="394"/>
      <c r="T63" s="355"/>
      <c r="U63" s="352"/>
      <c r="V63" s="364"/>
      <c r="W63" s="376"/>
      <c r="X63" s="377"/>
      <c r="Y63" s="464"/>
      <c r="AC63" s="41"/>
    </row>
    <row r="64" spans="2:29" ht="24.75" customHeight="1">
      <c r="B64" s="466" t="s">
        <v>370</v>
      </c>
      <c r="C64" s="467"/>
      <c r="D64" s="468"/>
      <c r="E64" s="468"/>
      <c r="F64" s="468"/>
      <c r="G64" s="438"/>
      <c r="H64" s="470">
        <f>SUM(H37:H55)</f>
        <v>0</v>
      </c>
      <c r="I64" s="472">
        <f>SUM(I37:I55)</f>
        <v>0</v>
      </c>
      <c r="J64" s="474">
        <f>SUM(J37:J63)</f>
        <v>105</v>
      </c>
      <c r="K64" s="437">
        <f>SUM(K37:L63)</f>
        <v>12</v>
      </c>
      <c r="L64" s="476"/>
      <c r="M64" s="478">
        <f>SUM(M37:N58)</f>
        <v>11</v>
      </c>
      <c r="N64" s="468"/>
      <c r="O64" s="480">
        <v>13</v>
      </c>
      <c r="P64" s="476"/>
      <c r="Q64" s="478">
        <f>SUM(Q37:R58)</f>
        <v>13</v>
      </c>
      <c r="R64" s="482"/>
      <c r="S64" s="468">
        <f>SUM(S37:T58)</f>
        <v>27</v>
      </c>
      <c r="T64" s="476"/>
      <c r="U64" s="478">
        <f>SUM(U37:V58)</f>
        <v>29</v>
      </c>
      <c r="V64" s="438"/>
      <c r="W64" s="437">
        <f>SUM(K64:V65)</f>
        <v>105</v>
      </c>
      <c r="X64" s="438"/>
      <c r="Y64" s="441">
        <f>SUM(Y37:Y59)</f>
        <v>80</v>
      </c>
      <c r="AC64" s="41"/>
    </row>
    <row r="65" spans="2:29" ht="17.5" thickBot="1">
      <c r="B65" s="439"/>
      <c r="C65" s="469"/>
      <c r="D65" s="469"/>
      <c r="E65" s="469"/>
      <c r="F65" s="469"/>
      <c r="G65" s="440"/>
      <c r="H65" s="471"/>
      <c r="I65" s="473"/>
      <c r="J65" s="475"/>
      <c r="K65" s="439"/>
      <c r="L65" s="477"/>
      <c r="M65" s="479"/>
      <c r="N65" s="469"/>
      <c r="O65" s="481"/>
      <c r="P65" s="477"/>
      <c r="Q65" s="479"/>
      <c r="R65" s="483"/>
      <c r="S65" s="469"/>
      <c r="T65" s="477"/>
      <c r="U65" s="479"/>
      <c r="V65" s="440"/>
      <c r="W65" s="439"/>
      <c r="X65" s="440"/>
      <c r="Y65" s="442"/>
      <c r="AC65" s="54"/>
    </row>
    <row r="66" spans="2:29" ht="17.25" customHeight="1" thickBot="1">
      <c r="B66" s="409"/>
      <c r="C66" s="410"/>
      <c r="D66" s="410"/>
      <c r="E66" s="410"/>
      <c r="F66" s="410"/>
      <c r="G66" s="411"/>
      <c r="H66" s="42">
        <f>SUM(H36,H64)</f>
        <v>0</v>
      </c>
      <c r="I66" s="43">
        <f>SUM(I36,I64)</f>
        <v>0</v>
      </c>
      <c r="J66" s="44">
        <f>SUM(J36,J64)</f>
        <v>174</v>
      </c>
      <c r="K66" s="409">
        <f>SUM(K36,K64)</f>
        <v>29</v>
      </c>
      <c r="L66" s="435"/>
      <c r="M66" s="436">
        <f>SUM(M36,M64)</f>
        <v>29</v>
      </c>
      <c r="N66" s="412"/>
      <c r="O66" s="413">
        <f>SUM(O36,O64)</f>
        <v>29</v>
      </c>
      <c r="P66" s="435"/>
      <c r="Q66" s="436">
        <f>SUM(Q36,Q64)</f>
        <v>29</v>
      </c>
      <c r="R66" s="412"/>
      <c r="S66" s="413">
        <f>SUM(S36,S64)</f>
        <v>29</v>
      </c>
      <c r="T66" s="435"/>
      <c r="U66" s="436">
        <f>SUM(U36,U64)</f>
        <v>29</v>
      </c>
      <c r="V66" s="411"/>
      <c r="W66" s="409">
        <f>SUM(K66:V66)</f>
        <v>174</v>
      </c>
      <c r="X66" s="411"/>
      <c r="Y66" s="11">
        <f>Y64+Y36</f>
        <v>144</v>
      </c>
      <c r="AA66" s="414" t="s">
        <v>154</v>
      </c>
      <c r="AB66" s="414"/>
    </row>
    <row r="67" spans="2:29" ht="18.75" customHeight="1" thickBot="1">
      <c r="B67" s="444" t="s">
        <v>371</v>
      </c>
      <c r="C67" s="445"/>
      <c r="D67" s="445"/>
      <c r="E67" s="446"/>
      <c r="F67" s="453" t="s">
        <v>367</v>
      </c>
      <c r="G67" s="454"/>
      <c r="H67" s="454"/>
      <c r="I67" s="454"/>
      <c r="J67" s="455"/>
      <c r="K67" s="456">
        <v>16</v>
      </c>
      <c r="L67" s="457"/>
      <c r="M67" s="458">
        <v>16</v>
      </c>
      <c r="N67" s="459"/>
      <c r="O67" s="460">
        <v>16</v>
      </c>
      <c r="P67" s="457"/>
      <c r="Q67" s="458">
        <v>16</v>
      </c>
      <c r="R67" s="459"/>
      <c r="S67" s="460">
        <v>16</v>
      </c>
      <c r="T67" s="457"/>
      <c r="U67" s="458">
        <v>16</v>
      </c>
      <c r="V67" s="461"/>
      <c r="W67" s="444">
        <f>SUM(K67:V69)</f>
        <v>288</v>
      </c>
      <c r="X67" s="446"/>
      <c r="Y67" s="441">
        <f>Y70*16</f>
        <v>288</v>
      </c>
      <c r="AA67" s="443"/>
      <c r="AB67" s="443"/>
    </row>
    <row r="68" spans="2:29" ht="17.25" customHeight="1" thickBot="1">
      <c r="B68" s="447"/>
      <c r="C68" s="448"/>
      <c r="D68" s="448"/>
      <c r="E68" s="449"/>
      <c r="F68" s="430" t="s">
        <v>63</v>
      </c>
      <c r="G68" s="431"/>
      <c r="H68" s="431"/>
      <c r="I68" s="431"/>
      <c r="J68" s="432"/>
      <c r="K68" s="433">
        <v>16</v>
      </c>
      <c r="L68" s="425"/>
      <c r="M68" s="426">
        <v>16</v>
      </c>
      <c r="N68" s="434"/>
      <c r="O68" s="424">
        <v>16</v>
      </c>
      <c r="P68" s="425"/>
      <c r="Q68" s="426">
        <v>16</v>
      </c>
      <c r="R68" s="434"/>
      <c r="S68" s="424">
        <v>16</v>
      </c>
      <c r="T68" s="425"/>
      <c r="U68" s="426">
        <v>16</v>
      </c>
      <c r="V68" s="427"/>
      <c r="W68" s="447"/>
      <c r="X68" s="449"/>
      <c r="Y68" s="464"/>
      <c r="AA68" s="428" t="b">
        <f>W66&gt;=Y66</f>
        <v>1</v>
      </c>
      <c r="AB68" s="429"/>
    </row>
    <row r="69" spans="2:29" ht="17.25" customHeight="1">
      <c r="B69" s="447"/>
      <c r="C69" s="448"/>
      <c r="D69" s="448"/>
      <c r="E69" s="449"/>
      <c r="F69" s="430" t="s">
        <v>11</v>
      </c>
      <c r="G69" s="431"/>
      <c r="H69" s="431"/>
      <c r="I69" s="431"/>
      <c r="J69" s="432"/>
      <c r="K69" s="433">
        <v>16</v>
      </c>
      <c r="L69" s="425"/>
      <c r="M69" s="426">
        <v>16</v>
      </c>
      <c r="N69" s="434"/>
      <c r="O69" s="424">
        <v>16</v>
      </c>
      <c r="P69" s="425"/>
      <c r="Q69" s="426">
        <v>16</v>
      </c>
      <c r="R69" s="434"/>
      <c r="S69" s="424">
        <v>16</v>
      </c>
      <c r="T69" s="425"/>
      <c r="U69" s="426">
        <v>16</v>
      </c>
      <c r="V69" s="427"/>
      <c r="W69" s="462"/>
      <c r="X69" s="463"/>
      <c r="Y69" s="465"/>
    </row>
    <row r="70" spans="2:29" ht="17.25" customHeight="1" thickBot="1">
      <c r="B70" s="450"/>
      <c r="C70" s="451"/>
      <c r="D70" s="451"/>
      <c r="E70" s="452"/>
      <c r="F70" s="415" t="s">
        <v>149</v>
      </c>
      <c r="G70" s="416"/>
      <c r="H70" s="416"/>
      <c r="I70" s="416"/>
      <c r="J70" s="417"/>
      <c r="K70" s="418">
        <v>3</v>
      </c>
      <c r="L70" s="419"/>
      <c r="M70" s="420">
        <v>3</v>
      </c>
      <c r="N70" s="421"/>
      <c r="O70" s="422">
        <v>3</v>
      </c>
      <c r="P70" s="419"/>
      <c r="Q70" s="420">
        <v>3</v>
      </c>
      <c r="R70" s="421"/>
      <c r="S70" s="422">
        <v>3</v>
      </c>
      <c r="T70" s="419"/>
      <c r="U70" s="420">
        <v>3</v>
      </c>
      <c r="V70" s="423"/>
      <c r="W70" s="415">
        <f>SUM(K70:V70)</f>
        <v>18</v>
      </c>
      <c r="X70" s="417"/>
      <c r="Y70" s="55">
        <v>18</v>
      </c>
      <c r="AA70" s="414" t="s">
        <v>155</v>
      </c>
      <c r="AB70" s="414"/>
    </row>
    <row r="71" spans="2:29" ht="17.25" customHeight="1" thickBot="1">
      <c r="B71" s="409"/>
      <c r="C71" s="410"/>
      <c r="D71" s="410"/>
      <c r="E71" s="410"/>
      <c r="F71" s="410"/>
      <c r="G71" s="410"/>
      <c r="H71" s="410"/>
      <c r="I71" s="410"/>
      <c r="J71" s="411"/>
      <c r="K71" s="409">
        <v>32</v>
      </c>
      <c r="L71" s="435"/>
      <c r="M71" s="436">
        <v>32</v>
      </c>
      <c r="N71" s="412"/>
      <c r="O71" s="413">
        <v>32</v>
      </c>
      <c r="P71" s="435"/>
      <c r="Q71" s="436">
        <v>32</v>
      </c>
      <c r="R71" s="412"/>
      <c r="S71" s="413">
        <v>32</v>
      </c>
      <c r="T71" s="435"/>
      <c r="U71" s="436">
        <v>32</v>
      </c>
      <c r="V71" s="411"/>
      <c r="W71" s="409">
        <f>SUM(K71:V71)</f>
        <v>192</v>
      </c>
      <c r="X71" s="411"/>
      <c r="Y71" s="45">
        <f>W71</f>
        <v>192</v>
      </c>
      <c r="AA71" s="428" t="b">
        <f>W70&gt;=Y70</f>
        <v>1</v>
      </c>
      <c r="AB71" s="429"/>
    </row>
    <row r="72" spans="2:29" ht="17.25" customHeight="1" thickBot="1">
      <c r="B72" s="409"/>
      <c r="C72" s="410"/>
      <c r="D72" s="410"/>
      <c r="E72" s="410"/>
      <c r="F72" s="410"/>
      <c r="G72" s="410"/>
      <c r="H72" s="410"/>
      <c r="I72" s="410"/>
      <c r="J72" s="411"/>
      <c r="K72" s="409">
        <f>SUM(K71:N71)</f>
        <v>64</v>
      </c>
      <c r="L72" s="410"/>
      <c r="M72" s="410"/>
      <c r="N72" s="412"/>
      <c r="O72" s="413">
        <f>SUM(O71:R71)</f>
        <v>64</v>
      </c>
      <c r="P72" s="410"/>
      <c r="Q72" s="410"/>
      <c r="R72" s="412"/>
      <c r="S72" s="413">
        <f>SUM(S71:V71)</f>
        <v>64</v>
      </c>
      <c r="T72" s="410"/>
      <c r="U72" s="410"/>
      <c r="V72" s="411"/>
      <c r="W72" s="409">
        <f>SUM(K72:V72)</f>
        <v>192</v>
      </c>
      <c r="X72" s="411"/>
      <c r="Y72" s="11"/>
      <c r="AA72" s="414" t="s">
        <v>152</v>
      </c>
      <c r="AB72" s="414"/>
    </row>
    <row r="73" spans="2:29" ht="17.25" customHeight="1" thickBot="1">
      <c r="AA73" s="428" t="b">
        <f>W71&gt;=Y71</f>
        <v>1</v>
      </c>
      <c r="AB73" s="429"/>
    </row>
    <row r="74" spans="2:29" ht="17.25" customHeight="1"/>
    <row r="75" spans="2:29" ht="17.25" customHeight="1"/>
    <row r="76" spans="2:29" ht="17.25" customHeight="1"/>
    <row r="78" spans="2:29" ht="25" customHeight="1"/>
    <row r="79" spans="2:29" ht="25" customHeight="1"/>
    <row r="80" spans="2:29" ht="32.25" customHeight="1"/>
    <row r="81" ht="25" customHeight="1"/>
    <row r="83" ht="16.5" customHeight="1"/>
    <row r="84" ht="17.2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244.5" customHeight="1"/>
  </sheetData>
  <mergeCells count="551">
    <mergeCell ref="S52:T52"/>
    <mergeCell ref="S53:T53"/>
    <mergeCell ref="S54:T54"/>
    <mergeCell ref="U52:V52"/>
    <mergeCell ref="U53:V53"/>
    <mergeCell ref="U54:V54"/>
    <mergeCell ref="W48:X48"/>
    <mergeCell ref="W49:X49"/>
    <mergeCell ref="W50:X50"/>
    <mergeCell ref="W51:X51"/>
    <mergeCell ref="W52:X52"/>
    <mergeCell ref="W53:X53"/>
    <mergeCell ref="W54:X54"/>
    <mergeCell ref="M52:N52"/>
    <mergeCell ref="M53:N53"/>
    <mergeCell ref="M54:N54"/>
    <mergeCell ref="O52:P52"/>
    <mergeCell ref="O53:P53"/>
    <mergeCell ref="O54:P54"/>
    <mergeCell ref="Q52:R52"/>
    <mergeCell ref="Q53:R53"/>
    <mergeCell ref="Q54:R54"/>
    <mergeCell ref="O50:P50"/>
    <mergeCell ref="M50:N50"/>
    <mergeCell ref="Q50:R50"/>
    <mergeCell ref="S50:T50"/>
    <mergeCell ref="U50:V50"/>
    <mergeCell ref="M51:N51"/>
    <mergeCell ref="O51:P51"/>
    <mergeCell ref="Q51:R51"/>
    <mergeCell ref="S51:T51"/>
    <mergeCell ref="U51:V51"/>
    <mergeCell ref="M48:N48"/>
    <mergeCell ref="O48:P48"/>
    <mergeCell ref="Q48:R48"/>
    <mergeCell ref="S48:T48"/>
    <mergeCell ref="U48:V48"/>
    <mergeCell ref="M49:N49"/>
    <mergeCell ref="O49:P49"/>
    <mergeCell ref="Q49:R49"/>
    <mergeCell ref="S49:T49"/>
    <mergeCell ref="U49:V49"/>
    <mergeCell ref="Q44:R44"/>
    <mergeCell ref="S44:T44"/>
    <mergeCell ref="S40:T40"/>
    <mergeCell ref="U36:V36"/>
    <mergeCell ref="W36:X36"/>
    <mergeCell ref="W42:X42"/>
    <mergeCell ref="W40:X40"/>
    <mergeCell ref="Q40:R40"/>
    <mergeCell ref="Q36:R36"/>
    <mergeCell ref="S36:T36"/>
    <mergeCell ref="Q38:R38"/>
    <mergeCell ref="Q46:R46"/>
    <mergeCell ref="Y27:Y31"/>
    <mergeCell ref="M34:N34"/>
    <mergeCell ref="M35:N35"/>
    <mergeCell ref="M36:N36"/>
    <mergeCell ref="O36:P36"/>
    <mergeCell ref="O35:P35"/>
    <mergeCell ref="M37:N37"/>
    <mergeCell ref="O37:P37"/>
    <mergeCell ref="M40:N40"/>
    <mergeCell ref="Q37:R37"/>
    <mergeCell ref="S37:T37"/>
    <mergeCell ref="U37:V37"/>
    <mergeCell ref="W37:X37"/>
    <mergeCell ref="U40:V40"/>
    <mergeCell ref="O34:P34"/>
    <mergeCell ref="U43:V43"/>
    <mergeCell ref="W43:X43"/>
    <mergeCell ref="O27:P27"/>
    <mergeCell ref="Q27:R27"/>
    <mergeCell ref="W41:X41"/>
    <mergeCell ref="Q41:R41"/>
    <mergeCell ref="Q42:R42"/>
    <mergeCell ref="S42:T42"/>
    <mergeCell ref="Q10:R10"/>
    <mergeCell ref="S10:T10"/>
    <mergeCell ref="U10:V10"/>
    <mergeCell ref="U32:V32"/>
    <mergeCell ref="S45:T45"/>
    <mergeCell ref="M45:N45"/>
    <mergeCell ref="O45:P45"/>
    <mergeCell ref="U44:V44"/>
    <mergeCell ref="M41:N41"/>
    <mergeCell ref="M42:N42"/>
    <mergeCell ref="O41:P41"/>
    <mergeCell ref="O42:P42"/>
    <mergeCell ref="S41:T41"/>
    <mergeCell ref="U41:V41"/>
    <mergeCell ref="M12:N12"/>
    <mergeCell ref="O12:P12"/>
    <mergeCell ref="Q12:R12"/>
    <mergeCell ref="S12:T12"/>
    <mergeCell ref="U12:V12"/>
    <mergeCell ref="O40:P40"/>
    <mergeCell ref="M33:N33"/>
    <mergeCell ref="M27:N27"/>
    <mergeCell ref="Q45:R45"/>
    <mergeCell ref="U42:V42"/>
    <mergeCell ref="X2:Y2"/>
    <mergeCell ref="B2:U2"/>
    <mergeCell ref="V2:W2"/>
    <mergeCell ref="AA2:AA5"/>
    <mergeCell ref="S46:T46"/>
    <mergeCell ref="U45:V45"/>
    <mergeCell ref="W45:X45"/>
    <mergeCell ref="U46:V46"/>
    <mergeCell ref="W44:X44"/>
    <mergeCell ref="M43:N43"/>
    <mergeCell ref="O43:P43"/>
    <mergeCell ref="M44:N44"/>
    <mergeCell ref="O44:P44"/>
    <mergeCell ref="Q43:R43"/>
    <mergeCell ref="S43:T43"/>
    <mergeCell ref="Q34:R34"/>
    <mergeCell ref="Q35:R35"/>
    <mergeCell ref="S34:T34"/>
    <mergeCell ref="S35:T35"/>
    <mergeCell ref="U34:V34"/>
    <mergeCell ref="U35:V35"/>
    <mergeCell ref="U14:V14"/>
    <mergeCell ref="M10:N10"/>
    <mergeCell ref="O10:P10"/>
    <mergeCell ref="Y21:Y22"/>
    <mergeCell ref="AA22:AB22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Y9:Y20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M9:N9"/>
    <mergeCell ref="Y23:Y26"/>
    <mergeCell ref="M24:N24"/>
    <mergeCell ref="O24:P24"/>
    <mergeCell ref="Q24:R24"/>
    <mergeCell ref="S24:T24"/>
    <mergeCell ref="U24:V24"/>
    <mergeCell ref="M23:N23"/>
    <mergeCell ref="O23:P23"/>
    <mergeCell ref="Q23:R23"/>
    <mergeCell ref="S23:T23"/>
    <mergeCell ref="U23:V23"/>
    <mergeCell ref="S25:T25"/>
    <mergeCell ref="U25:V25"/>
    <mergeCell ref="S26:T26"/>
    <mergeCell ref="U26:V26"/>
    <mergeCell ref="X25:X26"/>
    <mergeCell ref="B9:C35"/>
    <mergeCell ref="D9:D12"/>
    <mergeCell ref="F9:G9"/>
    <mergeCell ref="K9:L9"/>
    <mergeCell ref="F10:G10"/>
    <mergeCell ref="K10:L10"/>
    <mergeCell ref="M26:N26"/>
    <mergeCell ref="O26:P26"/>
    <mergeCell ref="Q26:R26"/>
    <mergeCell ref="M25:N25"/>
    <mergeCell ref="O25:P25"/>
    <mergeCell ref="Q25:R25"/>
    <mergeCell ref="Q22:R22"/>
    <mergeCell ref="F12:G12"/>
    <mergeCell ref="K12:L12"/>
    <mergeCell ref="D13:D16"/>
    <mergeCell ref="F13:G13"/>
    <mergeCell ref="K13:L13"/>
    <mergeCell ref="D17:D20"/>
    <mergeCell ref="F17:G17"/>
    <mergeCell ref="K17:L17"/>
    <mergeCell ref="D25:D26"/>
    <mergeCell ref="F25:G25"/>
    <mergeCell ref="K25:L25"/>
    <mergeCell ref="U28:V28"/>
    <mergeCell ref="M31:N31"/>
    <mergeCell ref="O31:P31"/>
    <mergeCell ref="Q31:R31"/>
    <mergeCell ref="S31:T31"/>
    <mergeCell ref="U31:V31"/>
    <mergeCell ref="M30:N30"/>
    <mergeCell ref="O30:P30"/>
    <mergeCell ref="Q30:R30"/>
    <mergeCell ref="S30:T30"/>
    <mergeCell ref="U30:V30"/>
    <mergeCell ref="M29:N29"/>
    <mergeCell ref="O55:P55"/>
    <mergeCell ref="Q55:R55"/>
    <mergeCell ref="S55:T55"/>
    <mergeCell ref="U55:V55"/>
    <mergeCell ref="S61:T61"/>
    <mergeCell ref="U61:V61"/>
    <mergeCell ref="M62:N62"/>
    <mergeCell ref="M63:N63"/>
    <mergeCell ref="O63:P63"/>
    <mergeCell ref="Q63:R63"/>
    <mergeCell ref="S63:T63"/>
    <mergeCell ref="U63:V63"/>
    <mergeCell ref="Q62:R62"/>
    <mergeCell ref="S62:T62"/>
    <mergeCell ref="M55:N55"/>
    <mergeCell ref="M59:N59"/>
    <mergeCell ref="U56:V56"/>
    <mergeCell ref="S57:T57"/>
    <mergeCell ref="U57:V57"/>
    <mergeCell ref="O60:P60"/>
    <mergeCell ref="O59:P59"/>
    <mergeCell ref="Q59:R59"/>
    <mergeCell ref="S59:T59"/>
    <mergeCell ref="U59:V59"/>
    <mergeCell ref="O57:P57"/>
    <mergeCell ref="Q57:R57"/>
    <mergeCell ref="S58:T58"/>
    <mergeCell ref="S60:T60"/>
    <mergeCell ref="U60:V60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S8:T8"/>
    <mergeCell ref="U8:V8"/>
    <mergeCell ref="O9:P9"/>
    <mergeCell ref="Q9:R9"/>
    <mergeCell ref="S9:T9"/>
    <mergeCell ref="U9:V9"/>
    <mergeCell ref="M16:N16"/>
    <mergeCell ref="O16:P16"/>
    <mergeCell ref="Q16:R16"/>
    <mergeCell ref="S16:T16"/>
    <mergeCell ref="U16:V16"/>
    <mergeCell ref="M14:N14"/>
    <mergeCell ref="O14:P14"/>
    <mergeCell ref="Q14:R14"/>
    <mergeCell ref="S14:T14"/>
    <mergeCell ref="M13:N13"/>
    <mergeCell ref="O13:P13"/>
    <mergeCell ref="Q13:R13"/>
    <mergeCell ref="S13:T13"/>
    <mergeCell ref="U13:V13"/>
    <mergeCell ref="S11:T11"/>
    <mergeCell ref="U11:V11"/>
    <mergeCell ref="S15:T15"/>
    <mergeCell ref="U15:V15"/>
    <mergeCell ref="O15:P15"/>
    <mergeCell ref="Q15:R15"/>
    <mergeCell ref="F20:G20"/>
    <mergeCell ref="K20:L20"/>
    <mergeCell ref="D21:D24"/>
    <mergeCell ref="F21:G21"/>
    <mergeCell ref="K21:L21"/>
    <mergeCell ref="X21:X22"/>
    <mergeCell ref="F22:G22"/>
    <mergeCell ref="K22:L22"/>
    <mergeCell ref="F23:G23"/>
    <mergeCell ref="K23:L23"/>
    <mergeCell ref="X23:X24"/>
    <mergeCell ref="F24:G24"/>
    <mergeCell ref="K24:L24"/>
    <mergeCell ref="U22:V22"/>
    <mergeCell ref="M22:N22"/>
    <mergeCell ref="O22:P22"/>
    <mergeCell ref="S22:T22"/>
    <mergeCell ref="W20:X20"/>
    <mergeCell ref="F26:G26"/>
    <mergeCell ref="K26:L26"/>
    <mergeCell ref="D27:D31"/>
    <mergeCell ref="F27:G27"/>
    <mergeCell ref="K27:L27"/>
    <mergeCell ref="X27:X31"/>
    <mergeCell ref="F28:G28"/>
    <mergeCell ref="K28:L28"/>
    <mergeCell ref="F29:G29"/>
    <mergeCell ref="K29:L29"/>
    <mergeCell ref="F30:G30"/>
    <mergeCell ref="K30:L30"/>
    <mergeCell ref="F31:G31"/>
    <mergeCell ref="K31:L31"/>
    <mergeCell ref="O29:P29"/>
    <mergeCell ref="Q29:R29"/>
    <mergeCell ref="S29:T29"/>
    <mergeCell ref="U29:V29"/>
    <mergeCell ref="S27:T27"/>
    <mergeCell ref="U27:V27"/>
    <mergeCell ref="M28:N28"/>
    <mergeCell ref="O28:P28"/>
    <mergeCell ref="Q28:R28"/>
    <mergeCell ref="S28:T28"/>
    <mergeCell ref="D32:D33"/>
    <mergeCell ref="F32:G32"/>
    <mergeCell ref="K32:L32"/>
    <mergeCell ref="W32:X33"/>
    <mergeCell ref="Y32:Y33"/>
    <mergeCell ref="F33:G33"/>
    <mergeCell ref="K33:L33"/>
    <mergeCell ref="D34:D35"/>
    <mergeCell ref="F34:G34"/>
    <mergeCell ref="K34:L34"/>
    <mergeCell ref="W34:X35"/>
    <mergeCell ref="Y34:Y35"/>
    <mergeCell ref="F35:G35"/>
    <mergeCell ref="K35:L35"/>
    <mergeCell ref="O33:P33"/>
    <mergeCell ref="Q33:R33"/>
    <mergeCell ref="S33:T33"/>
    <mergeCell ref="U33:V33"/>
    <mergeCell ref="M32:N32"/>
    <mergeCell ref="O32:P32"/>
    <mergeCell ref="Q32:R32"/>
    <mergeCell ref="S32:T32"/>
    <mergeCell ref="B36:G36"/>
    <mergeCell ref="K36:L36"/>
    <mergeCell ref="AA36:AB36"/>
    <mergeCell ref="B37:C55"/>
    <mergeCell ref="F38:G38"/>
    <mergeCell ref="K37:L37"/>
    <mergeCell ref="Y37:Y63"/>
    <mergeCell ref="F40:G40"/>
    <mergeCell ref="K40:L40"/>
    <mergeCell ref="F41:G41"/>
    <mergeCell ref="K41:L41"/>
    <mergeCell ref="F42:G42"/>
    <mergeCell ref="K42:L42"/>
    <mergeCell ref="F43:G43"/>
    <mergeCell ref="K43:L43"/>
    <mergeCell ref="F44:G44"/>
    <mergeCell ref="K44:L44"/>
    <mergeCell ref="F45:G45"/>
    <mergeCell ref="K45:L45"/>
    <mergeCell ref="F46:G46"/>
    <mergeCell ref="K46:L46"/>
    <mergeCell ref="F55:G55"/>
    <mergeCell ref="K55:L55"/>
    <mergeCell ref="D37:E39"/>
    <mergeCell ref="U64:V65"/>
    <mergeCell ref="U62:V62"/>
    <mergeCell ref="B56:B63"/>
    <mergeCell ref="U58:V58"/>
    <mergeCell ref="F59:G59"/>
    <mergeCell ref="K59:L59"/>
    <mergeCell ref="F60:G60"/>
    <mergeCell ref="K60:L60"/>
    <mergeCell ref="F61:G61"/>
    <mergeCell ref="K61:L61"/>
    <mergeCell ref="F56:G56"/>
    <mergeCell ref="J56:J63"/>
    <mergeCell ref="K56:L56"/>
    <mergeCell ref="M56:N56"/>
    <mergeCell ref="F63:G63"/>
    <mergeCell ref="K63:L63"/>
    <mergeCell ref="O56:P56"/>
    <mergeCell ref="Q56:R56"/>
    <mergeCell ref="F57:G57"/>
    <mergeCell ref="K57:L57"/>
    <mergeCell ref="M57:N57"/>
    <mergeCell ref="F58:G58"/>
    <mergeCell ref="K58:L58"/>
    <mergeCell ref="M58:N58"/>
    <mergeCell ref="B64:G65"/>
    <mergeCell ref="H64:H65"/>
    <mergeCell ref="I64:I65"/>
    <mergeCell ref="J64:J65"/>
    <mergeCell ref="K64:L65"/>
    <mergeCell ref="M64:N65"/>
    <mergeCell ref="O64:P65"/>
    <mergeCell ref="Q64:R65"/>
    <mergeCell ref="S64:T65"/>
    <mergeCell ref="W64:X65"/>
    <mergeCell ref="Y64:Y65"/>
    <mergeCell ref="W66:X66"/>
    <mergeCell ref="AA66:AB67"/>
    <mergeCell ref="B67:E70"/>
    <mergeCell ref="F67:J67"/>
    <mergeCell ref="K67:L67"/>
    <mergeCell ref="M67:N67"/>
    <mergeCell ref="O67:P67"/>
    <mergeCell ref="Q67:R67"/>
    <mergeCell ref="S67:T67"/>
    <mergeCell ref="U67:V67"/>
    <mergeCell ref="W67:X69"/>
    <mergeCell ref="Y67:Y69"/>
    <mergeCell ref="F68:J68"/>
    <mergeCell ref="K68:L68"/>
    <mergeCell ref="M68:N68"/>
    <mergeCell ref="O68:P68"/>
    <mergeCell ref="Q68:R68"/>
    <mergeCell ref="O69:P69"/>
    <mergeCell ref="Q69:R69"/>
    <mergeCell ref="S69:T69"/>
    <mergeCell ref="U69:V69"/>
    <mergeCell ref="B66:G66"/>
    <mergeCell ref="AA73:AB73"/>
    <mergeCell ref="B71:J71"/>
    <mergeCell ref="K71:L71"/>
    <mergeCell ref="M71:N71"/>
    <mergeCell ref="O71:P71"/>
    <mergeCell ref="Q71:R71"/>
    <mergeCell ref="S71:T71"/>
    <mergeCell ref="U71:V71"/>
    <mergeCell ref="W71:X71"/>
    <mergeCell ref="AA71:AB71"/>
    <mergeCell ref="U68:V68"/>
    <mergeCell ref="AA68:AB68"/>
    <mergeCell ref="F69:J69"/>
    <mergeCell ref="K69:L69"/>
    <mergeCell ref="M69:N69"/>
    <mergeCell ref="K66:L66"/>
    <mergeCell ref="M66:N66"/>
    <mergeCell ref="O66:P66"/>
    <mergeCell ref="Q66:R66"/>
    <mergeCell ref="S66:T66"/>
    <mergeCell ref="U66:V66"/>
    <mergeCell ref="K14:L14"/>
    <mergeCell ref="F16:G16"/>
    <mergeCell ref="K16:L16"/>
    <mergeCell ref="AB16:AD16"/>
    <mergeCell ref="F37:G37"/>
    <mergeCell ref="S19:T19"/>
    <mergeCell ref="U19:V19"/>
    <mergeCell ref="AA8:AD8"/>
    <mergeCell ref="B72:J72"/>
    <mergeCell ref="K72:N72"/>
    <mergeCell ref="O72:R72"/>
    <mergeCell ref="S72:V72"/>
    <mergeCell ref="W72:X72"/>
    <mergeCell ref="AA72:AB72"/>
    <mergeCell ref="F70:J70"/>
    <mergeCell ref="K70:L70"/>
    <mergeCell ref="M70:N70"/>
    <mergeCell ref="O70:P70"/>
    <mergeCell ref="Q70:R70"/>
    <mergeCell ref="S70:T70"/>
    <mergeCell ref="U70:V70"/>
    <mergeCell ref="W70:X70"/>
    <mergeCell ref="AA70:AB70"/>
    <mergeCell ref="S68:T68"/>
    <mergeCell ref="X9:X10"/>
    <mergeCell ref="X13:X14"/>
    <mergeCell ref="X17:X18"/>
    <mergeCell ref="W11:X11"/>
    <mergeCell ref="W12:X12"/>
    <mergeCell ref="W15:X15"/>
    <mergeCell ref="W16:X16"/>
    <mergeCell ref="W19:X19"/>
    <mergeCell ref="F11:G11"/>
    <mergeCell ref="K11:L11"/>
    <mergeCell ref="M11:N11"/>
    <mergeCell ref="O11:P11"/>
    <mergeCell ref="Q11:R11"/>
    <mergeCell ref="K19:L19"/>
    <mergeCell ref="M19:N19"/>
    <mergeCell ref="O19:P19"/>
    <mergeCell ref="Q19:R19"/>
    <mergeCell ref="F19:G19"/>
    <mergeCell ref="F15:G15"/>
    <mergeCell ref="K15:L15"/>
    <mergeCell ref="M15:N15"/>
    <mergeCell ref="F18:G18"/>
    <mergeCell ref="K18:L18"/>
    <mergeCell ref="F14:G14"/>
    <mergeCell ref="C56:C57"/>
    <mergeCell ref="C58:C59"/>
    <mergeCell ref="C60:C61"/>
    <mergeCell ref="C62:C63"/>
    <mergeCell ref="W56:X63"/>
    <mergeCell ref="F48:G48"/>
    <mergeCell ref="F49:G49"/>
    <mergeCell ref="F52:G52"/>
    <mergeCell ref="F53:G53"/>
    <mergeCell ref="F54:G54"/>
    <mergeCell ref="F50:G50"/>
    <mergeCell ref="F51:G51"/>
    <mergeCell ref="O58:P58"/>
    <mergeCell ref="Q58:R58"/>
    <mergeCell ref="F62:G62"/>
    <mergeCell ref="K62:L62"/>
    <mergeCell ref="M60:N60"/>
    <mergeCell ref="Q60:R60"/>
    <mergeCell ref="O62:P62"/>
    <mergeCell ref="M61:N61"/>
    <mergeCell ref="O61:P61"/>
    <mergeCell ref="Q61:R61"/>
    <mergeCell ref="W55:X55"/>
    <mergeCell ref="S56:T56"/>
    <mergeCell ref="Q47:R47"/>
    <mergeCell ref="F47:G47"/>
    <mergeCell ref="M47:N47"/>
    <mergeCell ref="O47:P47"/>
    <mergeCell ref="S47:T47"/>
    <mergeCell ref="U47:V47"/>
    <mergeCell ref="W47:X47"/>
    <mergeCell ref="W38:X38"/>
    <mergeCell ref="K38:L38"/>
    <mergeCell ref="M38:N38"/>
    <mergeCell ref="O38:P38"/>
    <mergeCell ref="S38:T38"/>
    <mergeCell ref="U38:V38"/>
    <mergeCell ref="F39:G39"/>
    <mergeCell ref="S39:T39"/>
    <mergeCell ref="U39:V39"/>
    <mergeCell ref="Q39:R39"/>
    <mergeCell ref="O39:P39"/>
    <mergeCell ref="M39:N39"/>
    <mergeCell ref="K39:L39"/>
    <mergeCell ref="W39:X39"/>
    <mergeCell ref="M46:N46"/>
    <mergeCell ref="O46:P46"/>
    <mergeCell ref="W46:X46"/>
  </mergeCells>
  <phoneticPr fontId="9" type="noConversion"/>
  <conditionalFormatting sqref="AA36:AB36 AC65 AA68:AB68 AA71:AB71 AA73:AB73">
    <cfRule type="containsText" dxfId="3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61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4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49D0-5C48-4972-981E-DE525EC7A08E}">
  <dimension ref="A2:AG49"/>
  <sheetViews>
    <sheetView topLeftCell="A23" workbookViewId="0">
      <selection activeCell="D53" sqref="D53"/>
    </sheetView>
  </sheetViews>
  <sheetFormatPr defaultRowHeight="17"/>
  <cols>
    <col min="1" max="1" width="3" customWidth="1"/>
    <col min="2" max="2" width="11.6640625" customWidth="1"/>
    <col min="3" max="3" width="5.58203125" customWidth="1"/>
    <col min="4" max="4" width="24.83203125" bestFit="1" customWidth="1"/>
    <col min="5" max="5" width="19" style="1" bestFit="1" customWidth="1"/>
    <col min="6" max="6" width="9.08203125" style="1" customWidth="1"/>
    <col min="7" max="7" width="10.6640625" customWidth="1"/>
    <col min="8" max="19" width="7.6640625" bestFit="1" customWidth="1"/>
    <col min="20" max="20" width="7.5" customWidth="1"/>
    <col min="21" max="21" width="8.08203125" customWidth="1"/>
  </cols>
  <sheetData>
    <row r="2" spans="2:33" ht="39.75" customHeight="1" thickBot="1">
      <c r="B2" s="617" t="s">
        <v>150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</row>
    <row r="3" spans="2:33" ht="27" customHeight="1" thickBot="1"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618" t="s">
        <v>129</v>
      </c>
      <c r="O3" s="619"/>
      <c r="P3" s="620"/>
      <c r="Q3" s="618" t="s">
        <v>127</v>
      </c>
      <c r="R3" s="619"/>
      <c r="S3" s="620"/>
      <c r="T3" s="621" t="s">
        <v>130</v>
      </c>
      <c r="U3" s="622"/>
    </row>
    <row r="4" spans="2:33" ht="27" customHeight="1" thickBot="1"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623" t="s">
        <v>524</v>
      </c>
      <c r="O4" s="624"/>
      <c r="P4" s="625"/>
      <c r="Q4" s="626" t="s">
        <v>525</v>
      </c>
      <c r="R4" s="627"/>
      <c r="S4" s="628"/>
      <c r="T4" s="629">
        <v>2027</v>
      </c>
      <c r="U4" s="630"/>
    </row>
    <row r="5" spans="2:33" ht="24" customHeight="1" thickBot="1">
      <c r="B5" s="631"/>
      <c r="C5" s="631"/>
    </row>
    <row r="6" spans="2:33" ht="20.25" customHeight="1">
      <c r="B6" s="632" t="s">
        <v>13</v>
      </c>
      <c r="C6" s="635" t="s">
        <v>140</v>
      </c>
      <c r="D6" s="614" t="s">
        <v>14</v>
      </c>
      <c r="E6" s="614" t="s">
        <v>15</v>
      </c>
      <c r="F6" s="614" t="s">
        <v>141</v>
      </c>
      <c r="G6" s="614" t="s">
        <v>142</v>
      </c>
      <c r="H6" s="638" t="s">
        <v>58</v>
      </c>
      <c r="I6" s="638"/>
      <c r="J6" s="638"/>
      <c r="K6" s="638"/>
      <c r="L6" s="638" t="s">
        <v>59</v>
      </c>
      <c r="M6" s="638"/>
      <c r="N6" s="638"/>
      <c r="O6" s="638"/>
      <c r="P6" s="638" t="s">
        <v>60</v>
      </c>
      <c r="Q6" s="638"/>
      <c r="R6" s="638"/>
      <c r="S6" s="638"/>
      <c r="T6" s="639" t="s">
        <v>139</v>
      </c>
      <c r="U6" s="649" t="s">
        <v>126</v>
      </c>
      <c r="W6" s="642" t="s">
        <v>131</v>
      </c>
      <c r="X6" s="643"/>
      <c r="Y6" s="643"/>
      <c r="Z6" s="643"/>
      <c r="AA6" s="643"/>
      <c r="AB6" s="643"/>
      <c r="AC6" s="643"/>
      <c r="AD6" s="643"/>
      <c r="AE6" s="643"/>
      <c r="AF6" s="644"/>
      <c r="AG6" s="247"/>
    </row>
    <row r="7" spans="2:33" ht="16.5" customHeight="1">
      <c r="B7" s="633"/>
      <c r="C7" s="636"/>
      <c r="D7" s="615"/>
      <c r="E7" s="615"/>
      <c r="F7" s="615"/>
      <c r="G7" s="615"/>
      <c r="H7" s="645" t="s">
        <v>124</v>
      </c>
      <c r="I7" s="645"/>
      <c r="J7" s="645" t="s">
        <v>62</v>
      </c>
      <c r="K7" s="645"/>
      <c r="L7" s="645" t="s">
        <v>124</v>
      </c>
      <c r="M7" s="645"/>
      <c r="N7" s="645" t="s">
        <v>62</v>
      </c>
      <c r="O7" s="645"/>
      <c r="P7" s="645" t="s">
        <v>124</v>
      </c>
      <c r="Q7" s="645"/>
      <c r="R7" s="645" t="s">
        <v>62</v>
      </c>
      <c r="S7" s="645"/>
      <c r="T7" s="640"/>
      <c r="U7" s="650"/>
      <c r="W7" s="646" t="s">
        <v>132</v>
      </c>
      <c r="X7" s="647"/>
      <c r="Y7" s="647"/>
      <c r="Z7" s="647"/>
      <c r="AA7" s="647"/>
      <c r="AB7" s="647"/>
      <c r="AC7" s="647"/>
      <c r="AD7" s="647"/>
      <c r="AE7" s="647"/>
      <c r="AF7" s="648"/>
      <c r="AG7" s="247"/>
    </row>
    <row r="8" spans="2:33" ht="17.25" customHeight="1" thickBot="1">
      <c r="B8" s="634"/>
      <c r="C8" s="637"/>
      <c r="D8" s="616"/>
      <c r="E8" s="616"/>
      <c r="F8" s="616"/>
      <c r="G8" s="616"/>
      <c r="H8" s="248" t="s">
        <v>138</v>
      </c>
      <c r="I8" s="248" t="s">
        <v>125</v>
      </c>
      <c r="J8" s="248" t="s">
        <v>138</v>
      </c>
      <c r="K8" s="248" t="s">
        <v>125</v>
      </c>
      <c r="L8" s="248" t="s">
        <v>138</v>
      </c>
      <c r="M8" s="248" t="s">
        <v>125</v>
      </c>
      <c r="N8" s="248" t="s">
        <v>138</v>
      </c>
      <c r="O8" s="248" t="s">
        <v>125</v>
      </c>
      <c r="P8" s="248" t="s">
        <v>138</v>
      </c>
      <c r="Q8" s="248" t="s">
        <v>125</v>
      </c>
      <c r="R8" s="248" t="s">
        <v>138</v>
      </c>
      <c r="S8" s="248" t="s">
        <v>125</v>
      </c>
      <c r="T8" s="641"/>
      <c r="U8" s="651"/>
      <c r="W8" s="14"/>
      <c r="X8" s="249"/>
      <c r="Y8" s="249"/>
      <c r="Z8" s="249"/>
      <c r="AA8" s="249"/>
      <c r="AB8" s="249"/>
      <c r="AC8" s="249"/>
      <c r="AD8" s="249"/>
      <c r="AE8" s="249"/>
      <c r="AF8" s="16"/>
      <c r="AG8" s="247"/>
    </row>
    <row r="9" spans="2:33" ht="16.5" customHeight="1">
      <c r="B9" s="652" t="s">
        <v>557</v>
      </c>
      <c r="C9" s="655">
        <v>4</v>
      </c>
      <c r="D9" s="250" t="s">
        <v>700</v>
      </c>
      <c r="E9" s="251" t="s">
        <v>701</v>
      </c>
      <c r="F9" s="252">
        <v>56</v>
      </c>
      <c r="G9" s="252">
        <v>2</v>
      </c>
      <c r="H9" s="253"/>
      <c r="I9" s="253"/>
      <c r="J9" s="253"/>
      <c r="K9" s="253"/>
      <c r="L9" s="253">
        <v>2</v>
      </c>
      <c r="M9" s="253">
        <v>32</v>
      </c>
      <c r="N9" s="253"/>
      <c r="O9" s="253"/>
      <c r="P9" s="253"/>
      <c r="Q9" s="253"/>
      <c r="R9" s="253"/>
      <c r="S9" s="253"/>
      <c r="T9" s="254">
        <v>2</v>
      </c>
      <c r="U9" s="255">
        <v>32</v>
      </c>
      <c r="W9" s="256"/>
      <c r="X9" s="247"/>
      <c r="Y9" s="247"/>
      <c r="Z9" s="247"/>
      <c r="AA9" s="247"/>
      <c r="AB9" s="247"/>
      <c r="AC9" s="247"/>
      <c r="AD9" s="247"/>
      <c r="AE9" s="247"/>
      <c r="AF9" s="257"/>
      <c r="AG9" s="247"/>
    </row>
    <row r="10" spans="2:33" ht="16.5" customHeight="1">
      <c r="B10" s="653"/>
      <c r="C10" s="656"/>
      <c r="D10" s="258" t="s">
        <v>702</v>
      </c>
      <c r="E10" s="210" t="s">
        <v>703</v>
      </c>
      <c r="F10" s="259">
        <v>64</v>
      </c>
      <c r="G10" s="259">
        <v>2</v>
      </c>
      <c r="H10" s="260"/>
      <c r="I10" s="260"/>
      <c r="J10" s="260"/>
      <c r="K10" s="260"/>
      <c r="L10" s="261">
        <v>2</v>
      </c>
      <c r="M10" s="261">
        <v>32</v>
      </c>
      <c r="N10" s="260"/>
      <c r="O10" s="260"/>
      <c r="P10" s="260"/>
      <c r="Q10" s="260"/>
      <c r="R10" s="260"/>
      <c r="S10" s="260"/>
      <c r="T10" s="262">
        <v>2</v>
      </c>
      <c r="U10" s="263">
        <v>32</v>
      </c>
      <c r="W10" s="256"/>
      <c r="X10" s="247"/>
      <c r="Y10" s="247"/>
      <c r="Z10" s="247"/>
      <c r="AA10" s="247"/>
      <c r="AB10" s="247"/>
      <c r="AC10" s="247"/>
      <c r="AD10" s="247"/>
      <c r="AE10" s="247"/>
      <c r="AF10" s="257"/>
      <c r="AG10" s="247"/>
    </row>
    <row r="11" spans="2:33" ht="17.5" thickBot="1">
      <c r="B11" s="654"/>
      <c r="C11" s="657"/>
      <c r="D11" s="658" t="s">
        <v>16</v>
      </c>
      <c r="E11" s="611"/>
      <c r="F11" s="264"/>
      <c r="G11" s="264"/>
      <c r="H11" s="265">
        <f>SUM(H9:H10)</f>
        <v>0</v>
      </c>
      <c r="I11" s="265">
        <f>SUM(I9:I10)</f>
        <v>0</v>
      </c>
      <c r="J11" s="265">
        <f>SUM(J9:J10)</f>
        <v>0</v>
      </c>
      <c r="K11" s="265">
        <f>SUM(K9:K10)</f>
        <v>0</v>
      </c>
      <c r="L11" s="265"/>
      <c r="M11" s="265"/>
      <c r="N11" s="265"/>
      <c r="O11" s="265"/>
      <c r="P11" s="265"/>
      <c r="Q11" s="265"/>
      <c r="R11" s="265"/>
      <c r="S11" s="265"/>
      <c r="T11" s="265">
        <f>SUM(T9:T10)</f>
        <v>4</v>
      </c>
      <c r="U11" s="266">
        <f>SUM(U9:U10)</f>
        <v>64</v>
      </c>
    </row>
    <row r="12" spans="2:33">
      <c r="B12" s="655" t="s">
        <v>556</v>
      </c>
      <c r="C12" s="659">
        <v>3</v>
      </c>
      <c r="D12" s="267" t="s">
        <v>704</v>
      </c>
      <c r="E12" s="251" t="s">
        <v>705</v>
      </c>
      <c r="F12" s="268">
        <v>60</v>
      </c>
      <c r="G12" s="268">
        <v>2</v>
      </c>
      <c r="H12" s="269"/>
      <c r="I12" s="269"/>
      <c r="J12" s="269"/>
      <c r="K12" s="269"/>
      <c r="L12" s="269"/>
      <c r="M12" s="269"/>
      <c r="N12" s="269">
        <v>1</v>
      </c>
      <c r="O12" s="270">
        <v>16</v>
      </c>
      <c r="P12" s="269"/>
      <c r="Q12" s="269"/>
      <c r="R12" s="269"/>
      <c r="S12" s="269"/>
      <c r="T12" s="271">
        <v>1</v>
      </c>
      <c r="U12" s="272">
        <v>16</v>
      </c>
    </row>
    <row r="13" spans="2:33">
      <c r="B13" s="656"/>
      <c r="C13" s="660"/>
      <c r="D13" s="273" t="s">
        <v>706</v>
      </c>
      <c r="E13" s="210" t="s">
        <v>707</v>
      </c>
      <c r="F13" s="252">
        <v>40</v>
      </c>
      <c r="G13" s="252">
        <v>3</v>
      </c>
      <c r="H13" s="253"/>
      <c r="I13" s="253"/>
      <c r="J13" s="253"/>
      <c r="K13" s="253"/>
      <c r="L13" s="253"/>
      <c r="M13" s="253"/>
      <c r="N13" s="253">
        <v>2</v>
      </c>
      <c r="O13" s="274">
        <v>32</v>
      </c>
      <c r="P13" s="253"/>
      <c r="Q13" s="253"/>
      <c r="R13" s="253"/>
      <c r="S13" s="261"/>
      <c r="T13" s="262">
        <v>2</v>
      </c>
      <c r="U13" s="263">
        <v>32</v>
      </c>
    </row>
    <row r="14" spans="2:33" ht="17.5" thickBot="1">
      <c r="B14" s="657"/>
      <c r="C14" s="661"/>
      <c r="D14" s="658" t="s">
        <v>16</v>
      </c>
      <c r="E14" s="611"/>
      <c r="F14" s="264"/>
      <c r="G14" s="264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75">
        <f>SUM(T12:T13)</f>
        <v>3</v>
      </c>
      <c r="U14" s="276">
        <f>SUM(U12:U13)</f>
        <v>48</v>
      </c>
      <c r="W14" s="277"/>
    </row>
    <row r="15" spans="2:33">
      <c r="B15" s="655" t="s">
        <v>554</v>
      </c>
      <c r="C15" s="655">
        <v>11</v>
      </c>
      <c r="D15" s="278" t="s">
        <v>708</v>
      </c>
      <c r="E15" s="251" t="s">
        <v>709</v>
      </c>
      <c r="F15" s="252">
        <v>30</v>
      </c>
      <c r="G15" s="252">
        <v>3</v>
      </c>
      <c r="H15" s="253"/>
      <c r="I15" s="253">
        <f>H15*16</f>
        <v>0</v>
      </c>
      <c r="J15" s="253"/>
      <c r="K15" s="253">
        <f>J15*16</f>
        <v>0</v>
      </c>
      <c r="L15" s="253"/>
      <c r="M15" s="253"/>
      <c r="N15" s="270">
        <v>2</v>
      </c>
      <c r="O15" s="253">
        <v>32</v>
      </c>
      <c r="P15" s="253"/>
      <c r="Q15" s="253"/>
      <c r="R15" s="253"/>
      <c r="S15" s="253"/>
      <c r="T15" s="254">
        <v>2</v>
      </c>
      <c r="U15" s="255">
        <v>32</v>
      </c>
    </row>
    <row r="16" spans="2:33">
      <c r="B16" s="656"/>
      <c r="C16" s="656"/>
      <c r="D16" s="279" t="s">
        <v>710</v>
      </c>
      <c r="E16" s="210" t="s">
        <v>711</v>
      </c>
      <c r="F16" s="259">
        <v>40</v>
      </c>
      <c r="G16" s="259">
        <v>2</v>
      </c>
      <c r="H16" s="261"/>
      <c r="I16" s="261">
        <f t="shared" ref="I16" si="0">H16*16</f>
        <v>0</v>
      </c>
      <c r="J16" s="261"/>
      <c r="K16" s="261">
        <f t="shared" ref="K16" si="1">J16*16</f>
        <v>0</v>
      </c>
      <c r="L16" s="261"/>
      <c r="M16" s="261"/>
      <c r="N16" s="261">
        <v>3</v>
      </c>
      <c r="O16" s="261">
        <v>48</v>
      </c>
      <c r="P16" s="261"/>
      <c r="Q16" s="261"/>
      <c r="R16" s="261"/>
      <c r="S16" s="261"/>
      <c r="T16" s="262">
        <v>3</v>
      </c>
      <c r="U16" s="263">
        <v>48</v>
      </c>
    </row>
    <row r="17" spans="2:21">
      <c r="B17" s="656"/>
      <c r="C17" s="656"/>
      <c r="D17" s="279" t="s">
        <v>712</v>
      </c>
      <c r="E17" s="210" t="s">
        <v>713</v>
      </c>
      <c r="F17" s="252">
        <v>40</v>
      </c>
      <c r="G17" s="252">
        <v>4</v>
      </c>
      <c r="H17" s="253"/>
      <c r="I17" s="253"/>
      <c r="J17" s="253"/>
      <c r="K17" s="253"/>
      <c r="L17" s="253"/>
      <c r="M17" s="253"/>
      <c r="N17" s="253"/>
      <c r="O17" s="253"/>
      <c r="P17" s="253">
        <v>3</v>
      </c>
      <c r="Q17" s="253">
        <v>48</v>
      </c>
      <c r="R17" s="253"/>
      <c r="S17" s="253"/>
      <c r="T17" s="254">
        <v>3</v>
      </c>
      <c r="U17" s="255">
        <v>48</v>
      </c>
    </row>
    <row r="18" spans="2:21" ht="17.399999999999999" customHeight="1">
      <c r="B18" s="656"/>
      <c r="C18" s="656"/>
      <c r="D18" s="279" t="s">
        <v>714</v>
      </c>
      <c r="E18" s="210" t="s">
        <v>715</v>
      </c>
      <c r="F18" s="252">
        <v>60</v>
      </c>
      <c r="G18" s="252">
        <v>2</v>
      </c>
      <c r="H18" s="253"/>
      <c r="I18" s="253"/>
      <c r="J18" s="253"/>
      <c r="K18" s="253"/>
      <c r="L18" s="253"/>
      <c r="M18" s="253"/>
      <c r="N18" s="253"/>
      <c r="O18" s="253"/>
      <c r="P18" s="253">
        <v>3</v>
      </c>
      <c r="Q18" s="253">
        <v>48</v>
      </c>
      <c r="R18" s="253"/>
      <c r="S18" s="253"/>
      <c r="T18" s="262">
        <v>3</v>
      </c>
      <c r="U18" s="263">
        <v>48</v>
      </c>
    </row>
    <row r="19" spans="2:21" ht="16.75" customHeight="1" thickBot="1">
      <c r="B19" s="657"/>
      <c r="C19" s="662"/>
      <c r="D19" s="611" t="s">
        <v>16</v>
      </c>
      <c r="E19" s="611"/>
      <c r="F19" s="264"/>
      <c r="G19" s="264"/>
      <c r="H19" s="265">
        <f>SUM(H17:H18)</f>
        <v>0</v>
      </c>
      <c r="I19" s="265">
        <f>SUM(I17:I18)</f>
        <v>0</v>
      </c>
      <c r="J19" s="265">
        <f>SUM(J17:J18)</f>
        <v>0</v>
      </c>
      <c r="K19" s="265">
        <f>SUM(K17:K18)</f>
        <v>0</v>
      </c>
      <c r="L19" s="265"/>
      <c r="M19" s="265"/>
      <c r="N19" s="265"/>
      <c r="O19" s="265"/>
      <c r="P19" s="265"/>
      <c r="Q19" s="265"/>
      <c r="R19" s="265"/>
      <c r="S19" s="265"/>
      <c r="T19" s="265">
        <f>SUM(T15:T18)</f>
        <v>11</v>
      </c>
      <c r="U19" s="266">
        <f>SUM(U15:U18)</f>
        <v>176</v>
      </c>
    </row>
    <row r="20" spans="2:21" ht="17.399999999999999" hidden="1" customHeight="1">
      <c r="B20" s="280"/>
      <c r="C20" s="281"/>
      <c r="D20" s="663" t="s">
        <v>16</v>
      </c>
      <c r="E20" s="663"/>
      <c r="F20" s="282">
        <f>SUM(F9:F11)</f>
        <v>120</v>
      </c>
      <c r="G20" s="283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5"/>
      <c r="U20" s="286"/>
    </row>
    <row r="21" spans="2:21">
      <c r="B21" s="664" t="s">
        <v>553</v>
      </c>
      <c r="C21" s="665">
        <v>10</v>
      </c>
      <c r="D21" s="210" t="s">
        <v>716</v>
      </c>
      <c r="E21" s="210" t="s">
        <v>717</v>
      </c>
      <c r="F21" s="259">
        <v>40</v>
      </c>
      <c r="G21" s="287">
        <v>3</v>
      </c>
      <c r="H21" s="269"/>
      <c r="I21" s="269"/>
      <c r="J21" s="269"/>
      <c r="K21" s="269"/>
      <c r="L21" s="269"/>
      <c r="M21" s="269"/>
      <c r="N21" s="269"/>
      <c r="O21" s="269"/>
      <c r="P21" s="269">
        <v>2</v>
      </c>
      <c r="Q21" s="269">
        <v>32</v>
      </c>
      <c r="R21" s="269"/>
      <c r="S21" s="269"/>
      <c r="T21" s="271">
        <v>2</v>
      </c>
      <c r="U21" s="272">
        <v>32</v>
      </c>
    </row>
    <row r="22" spans="2:21">
      <c r="B22" s="664"/>
      <c r="C22" s="666"/>
      <c r="D22" s="210" t="s">
        <v>718</v>
      </c>
      <c r="E22" s="210" t="s">
        <v>719</v>
      </c>
      <c r="F22" s="259">
        <v>50</v>
      </c>
      <c r="G22" s="252">
        <v>3</v>
      </c>
      <c r="H22" s="253"/>
      <c r="I22" s="253"/>
      <c r="J22" s="253"/>
      <c r="K22" s="253"/>
      <c r="L22" s="253"/>
      <c r="M22" s="253"/>
      <c r="N22" s="253"/>
      <c r="O22" s="253"/>
      <c r="P22" s="253">
        <v>3</v>
      </c>
      <c r="Q22" s="253">
        <v>48</v>
      </c>
      <c r="R22" s="253"/>
      <c r="S22" s="253"/>
      <c r="T22" s="254">
        <v>3</v>
      </c>
      <c r="U22" s="255">
        <v>48</v>
      </c>
    </row>
    <row r="23" spans="2:21">
      <c r="B23" s="664"/>
      <c r="C23" s="666"/>
      <c r="D23" s="210" t="s">
        <v>720</v>
      </c>
      <c r="E23" s="210" t="s">
        <v>721</v>
      </c>
      <c r="F23" s="259">
        <v>50</v>
      </c>
      <c r="G23" s="259">
        <v>3</v>
      </c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>
        <v>2</v>
      </c>
      <c r="S23" s="261">
        <v>32</v>
      </c>
      <c r="T23" s="262">
        <v>2</v>
      </c>
      <c r="U23" s="263">
        <v>32</v>
      </c>
    </row>
    <row r="24" spans="2:21">
      <c r="B24" s="664"/>
      <c r="C24" s="666"/>
      <c r="D24" s="210" t="s">
        <v>722</v>
      </c>
      <c r="E24" s="210" t="s">
        <v>723</v>
      </c>
      <c r="F24" s="259">
        <v>40</v>
      </c>
      <c r="G24" s="259">
        <v>3</v>
      </c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>
        <v>3</v>
      </c>
      <c r="S24" s="261">
        <v>48</v>
      </c>
      <c r="T24" s="262">
        <v>3</v>
      </c>
      <c r="U24" s="263">
        <v>48</v>
      </c>
    </row>
    <row r="25" spans="2:21" ht="17.5" thickBot="1">
      <c r="B25" s="664"/>
      <c r="C25" s="661"/>
      <c r="D25" s="667" t="s">
        <v>16</v>
      </c>
      <c r="E25" s="668"/>
      <c r="F25" s="264"/>
      <c r="G25" s="264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75">
        <f>SUM(T21:T24)</f>
        <v>10</v>
      </c>
      <c r="U25" s="276">
        <f>SUM(U21:U24)</f>
        <v>160</v>
      </c>
    </row>
    <row r="26" spans="2:21">
      <c r="B26" s="655" t="s">
        <v>724</v>
      </c>
      <c r="C26" s="659">
        <v>10</v>
      </c>
      <c r="D26" s="250" t="s">
        <v>725</v>
      </c>
      <c r="E26" s="210" t="s">
        <v>726</v>
      </c>
      <c r="F26" s="268">
        <v>20</v>
      </c>
      <c r="G26" s="287">
        <v>3</v>
      </c>
      <c r="H26" s="269"/>
      <c r="I26" s="269"/>
      <c r="J26" s="269"/>
      <c r="K26" s="269"/>
      <c r="L26" s="269"/>
      <c r="M26" s="269"/>
      <c r="N26" s="269"/>
      <c r="O26" s="269"/>
      <c r="P26" s="269">
        <v>2</v>
      </c>
      <c r="Q26" s="269">
        <v>32</v>
      </c>
      <c r="R26" s="269"/>
      <c r="S26" s="269"/>
      <c r="T26" s="271">
        <v>2</v>
      </c>
      <c r="U26" s="272">
        <v>32</v>
      </c>
    </row>
    <row r="27" spans="2:21">
      <c r="B27" s="656"/>
      <c r="C27" s="660"/>
      <c r="D27" s="288" t="s">
        <v>727</v>
      </c>
      <c r="E27" s="210" t="s">
        <v>728</v>
      </c>
      <c r="F27" s="252">
        <v>60</v>
      </c>
      <c r="G27" s="289">
        <v>5</v>
      </c>
      <c r="H27" s="253"/>
      <c r="I27" s="253"/>
      <c r="J27" s="253"/>
      <c r="K27" s="253"/>
      <c r="L27" s="253"/>
      <c r="M27" s="253"/>
      <c r="N27" s="253"/>
      <c r="O27" s="253"/>
      <c r="P27" s="253">
        <v>3</v>
      </c>
      <c r="Q27" s="253">
        <v>48</v>
      </c>
      <c r="R27" s="253"/>
      <c r="S27" s="253"/>
      <c r="T27" s="254">
        <v>3</v>
      </c>
      <c r="U27" s="255">
        <v>48</v>
      </c>
    </row>
    <row r="28" spans="2:21">
      <c r="B28" s="656"/>
      <c r="C28" s="660"/>
      <c r="D28" s="288" t="s">
        <v>729</v>
      </c>
      <c r="E28" s="210" t="s">
        <v>730</v>
      </c>
      <c r="F28" s="252">
        <v>60</v>
      </c>
      <c r="G28" s="289">
        <v>5</v>
      </c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>
        <v>3</v>
      </c>
      <c r="S28" s="253">
        <v>48</v>
      </c>
      <c r="T28" s="254">
        <v>3</v>
      </c>
      <c r="U28" s="255">
        <v>48</v>
      </c>
    </row>
    <row r="29" spans="2:21">
      <c r="B29" s="656"/>
      <c r="C29" s="660"/>
      <c r="D29" s="258" t="s">
        <v>731</v>
      </c>
      <c r="E29" s="210" t="s">
        <v>732</v>
      </c>
      <c r="F29" s="252">
        <v>40</v>
      </c>
      <c r="G29" s="289">
        <v>5</v>
      </c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>
        <v>2</v>
      </c>
      <c r="S29" s="253">
        <v>32</v>
      </c>
      <c r="T29" s="254">
        <v>2</v>
      </c>
      <c r="U29" s="255">
        <v>32</v>
      </c>
    </row>
    <row r="30" spans="2:21" ht="17.5" thickBot="1">
      <c r="B30" s="656"/>
      <c r="C30" s="661"/>
      <c r="D30" s="667" t="s">
        <v>16</v>
      </c>
      <c r="E30" s="668"/>
      <c r="F30" s="264"/>
      <c r="G30" s="264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75">
        <f>SUM(T26:T29)</f>
        <v>10</v>
      </c>
      <c r="U30" s="276">
        <f>SUM(U26:U29)</f>
        <v>160</v>
      </c>
    </row>
    <row r="31" spans="2:21" ht="18" customHeight="1">
      <c r="B31" s="655" t="s">
        <v>555</v>
      </c>
      <c r="C31" s="655">
        <v>8</v>
      </c>
      <c r="D31" s="250" t="s">
        <v>733</v>
      </c>
      <c r="E31" s="210" t="s">
        <v>734</v>
      </c>
      <c r="F31" s="268">
        <v>30</v>
      </c>
      <c r="G31" s="287">
        <v>3</v>
      </c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>
        <v>2</v>
      </c>
      <c r="S31" s="269">
        <v>32</v>
      </c>
      <c r="T31" s="271">
        <v>2</v>
      </c>
      <c r="U31" s="272">
        <v>32</v>
      </c>
    </row>
    <row r="32" spans="2:21" ht="17.399999999999999" customHeight="1">
      <c r="B32" s="656"/>
      <c r="C32" s="656"/>
      <c r="D32" s="258" t="s">
        <v>735</v>
      </c>
      <c r="E32" s="210" t="s">
        <v>736</v>
      </c>
      <c r="F32" s="252">
        <v>10</v>
      </c>
      <c r="G32" s="289">
        <v>5</v>
      </c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>
        <v>3</v>
      </c>
      <c r="S32" s="253">
        <v>48</v>
      </c>
      <c r="T32" s="254">
        <v>3</v>
      </c>
      <c r="U32" s="255">
        <v>48</v>
      </c>
    </row>
    <row r="33" spans="1:21">
      <c r="B33" s="656"/>
      <c r="C33" s="656"/>
      <c r="D33" s="258" t="s">
        <v>737</v>
      </c>
      <c r="E33" s="210" t="s">
        <v>738</v>
      </c>
      <c r="F33" s="252">
        <v>10</v>
      </c>
      <c r="G33" s="252">
        <v>4</v>
      </c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>
        <v>3</v>
      </c>
      <c r="S33" s="253">
        <v>48</v>
      </c>
      <c r="T33" s="254">
        <v>3</v>
      </c>
      <c r="U33" s="255">
        <v>48</v>
      </c>
    </row>
    <row r="34" spans="1:21" ht="17.5" thickBot="1">
      <c r="B34" s="657"/>
      <c r="C34" s="657"/>
      <c r="D34" s="669" t="s">
        <v>16</v>
      </c>
      <c r="E34" s="667"/>
      <c r="F34" s="264"/>
      <c r="G34" s="290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91"/>
      <c r="S34" s="291"/>
      <c r="T34" s="275">
        <f>SUM(T31:T33)</f>
        <v>8</v>
      </c>
      <c r="U34" s="276">
        <f>SUM(U31:U33)</f>
        <v>128</v>
      </c>
    </row>
    <row r="35" spans="1:21">
      <c r="B35" s="655" t="s">
        <v>558</v>
      </c>
      <c r="C35" s="670">
        <v>8</v>
      </c>
      <c r="D35" s="288" t="s">
        <v>739</v>
      </c>
      <c r="E35" s="251" t="s">
        <v>740</v>
      </c>
      <c r="F35" s="252">
        <v>20</v>
      </c>
      <c r="G35" s="252">
        <v>2</v>
      </c>
      <c r="H35" s="253"/>
      <c r="I35" s="253"/>
      <c r="J35" s="253"/>
      <c r="K35" s="253"/>
      <c r="L35" s="253"/>
      <c r="M35" s="253"/>
      <c r="N35" s="253"/>
      <c r="O35" s="253"/>
      <c r="P35" s="253">
        <v>2</v>
      </c>
      <c r="Q35" s="253">
        <v>32</v>
      </c>
      <c r="R35" s="253"/>
      <c r="S35" s="253"/>
      <c r="T35" s="254">
        <v>2</v>
      </c>
      <c r="U35" s="255">
        <v>32</v>
      </c>
    </row>
    <row r="36" spans="1:21" s="187" customFormat="1">
      <c r="A36" s="191"/>
      <c r="B36" s="656"/>
      <c r="C36" s="671"/>
      <c r="D36" s="258" t="s">
        <v>741</v>
      </c>
      <c r="E36" s="210" t="s">
        <v>742</v>
      </c>
      <c r="F36" s="292">
        <v>20</v>
      </c>
      <c r="G36" s="292">
        <v>4</v>
      </c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>
        <v>2</v>
      </c>
      <c r="S36" s="293">
        <v>32</v>
      </c>
      <c r="T36" s="294">
        <v>2</v>
      </c>
      <c r="U36" s="295">
        <v>32</v>
      </c>
    </row>
    <row r="37" spans="1:21">
      <c r="B37" s="656"/>
      <c r="C37" s="671"/>
      <c r="D37" s="296" t="s">
        <v>743</v>
      </c>
      <c r="E37" s="210" t="s">
        <v>744</v>
      </c>
      <c r="F37" s="292">
        <v>20</v>
      </c>
      <c r="G37" s="292">
        <v>3</v>
      </c>
      <c r="H37" s="293"/>
      <c r="I37" s="293"/>
      <c r="J37" s="293"/>
      <c r="K37" s="293"/>
      <c r="L37" s="293"/>
      <c r="M37" s="293"/>
      <c r="N37" s="293"/>
      <c r="O37" s="293"/>
      <c r="P37" s="293">
        <v>2</v>
      </c>
      <c r="Q37" s="293">
        <v>32</v>
      </c>
      <c r="R37" s="293"/>
      <c r="S37" s="293"/>
      <c r="T37" s="294">
        <v>2</v>
      </c>
      <c r="U37" s="295">
        <v>32</v>
      </c>
    </row>
    <row r="38" spans="1:21">
      <c r="B38" s="656"/>
      <c r="C38" s="671"/>
      <c r="D38" s="273" t="s">
        <v>745</v>
      </c>
      <c r="E38" s="210" t="s">
        <v>746</v>
      </c>
      <c r="F38" s="274">
        <v>20</v>
      </c>
      <c r="G38" s="274">
        <v>3</v>
      </c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>
        <v>2</v>
      </c>
      <c r="S38" s="274">
        <v>32</v>
      </c>
      <c r="T38" s="274">
        <v>2</v>
      </c>
      <c r="U38" s="297">
        <v>32</v>
      </c>
    </row>
    <row r="39" spans="1:21" ht="17.5" thickBot="1">
      <c r="B39" s="657"/>
      <c r="C39" s="672"/>
      <c r="D39" s="658" t="s">
        <v>16</v>
      </c>
      <c r="E39" s="611"/>
      <c r="F39" s="264"/>
      <c r="G39" s="264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75">
        <f>SUM(T35:T38)</f>
        <v>8</v>
      </c>
      <c r="U39" s="276">
        <f>SUM(U35:U38)</f>
        <v>128</v>
      </c>
    </row>
    <row r="40" spans="1:21" ht="20.399999999999999" customHeight="1">
      <c r="B40" s="655" t="s">
        <v>559</v>
      </c>
      <c r="C40" s="655">
        <v>7</v>
      </c>
      <c r="D40" s="288" t="s">
        <v>747</v>
      </c>
      <c r="E40" s="251" t="s">
        <v>748</v>
      </c>
      <c r="F40" s="259">
        <v>25</v>
      </c>
      <c r="G40" s="259">
        <v>2</v>
      </c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>
        <v>3</v>
      </c>
      <c r="S40" s="261">
        <v>48</v>
      </c>
      <c r="T40" s="262">
        <v>3</v>
      </c>
      <c r="U40" s="263">
        <v>48</v>
      </c>
    </row>
    <row r="41" spans="1:21" ht="17.399999999999999" customHeight="1">
      <c r="B41" s="656"/>
      <c r="C41" s="656"/>
      <c r="D41" s="258" t="s">
        <v>749</v>
      </c>
      <c r="E41" s="210" t="s">
        <v>750</v>
      </c>
      <c r="F41" s="259">
        <v>20</v>
      </c>
      <c r="G41" s="259">
        <v>4</v>
      </c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>
        <v>2</v>
      </c>
      <c r="S41" s="261">
        <v>32</v>
      </c>
      <c r="T41" s="262">
        <v>2</v>
      </c>
      <c r="U41" s="263">
        <v>32</v>
      </c>
    </row>
    <row r="42" spans="1:21">
      <c r="B42" s="656"/>
      <c r="C42" s="656"/>
      <c r="D42" s="258" t="s">
        <v>751</v>
      </c>
      <c r="E42" s="210" t="s">
        <v>752</v>
      </c>
      <c r="F42" s="259">
        <v>20</v>
      </c>
      <c r="G42" s="259">
        <v>3</v>
      </c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>
        <v>2</v>
      </c>
      <c r="S42" s="261">
        <v>32</v>
      </c>
      <c r="T42" s="262">
        <v>2</v>
      </c>
      <c r="U42" s="263">
        <v>32</v>
      </c>
    </row>
    <row r="43" spans="1:21" ht="17.5" thickBot="1">
      <c r="B43" s="657"/>
      <c r="C43" s="657"/>
      <c r="D43" s="610" t="s">
        <v>16</v>
      </c>
      <c r="E43" s="611"/>
      <c r="F43" s="290"/>
      <c r="G43" s="290"/>
      <c r="H43" s="291"/>
      <c r="I43" s="291"/>
      <c r="J43" s="291"/>
      <c r="K43" s="291"/>
      <c r="L43" s="291"/>
      <c r="M43" s="291"/>
      <c r="N43" s="291"/>
      <c r="O43" s="291"/>
      <c r="P43" s="291"/>
      <c r="Q43" s="291"/>
      <c r="R43" s="291"/>
      <c r="S43" s="291"/>
      <c r="T43" s="275">
        <f>SUM(T40:T42)</f>
        <v>7</v>
      </c>
      <c r="U43" s="276">
        <f>SUM(U40:U42)</f>
        <v>112</v>
      </c>
    </row>
    <row r="44" spans="1:21" ht="17.399999999999999" customHeight="1" thickBot="1">
      <c r="B44" s="613" t="s">
        <v>753</v>
      </c>
      <c r="C44" s="612">
        <v>3</v>
      </c>
      <c r="D44" s="301" t="s">
        <v>629</v>
      </c>
      <c r="E44" s="300" t="s">
        <v>630</v>
      </c>
      <c r="F44" s="259">
        <v>40</v>
      </c>
      <c r="G44" s="259">
        <v>2</v>
      </c>
      <c r="H44" s="261"/>
      <c r="I44" s="261"/>
      <c r="J44" s="261"/>
      <c r="K44" s="261"/>
      <c r="L44" s="261"/>
      <c r="M44" s="261"/>
      <c r="N44" s="261">
        <v>1</v>
      </c>
      <c r="O44" s="261">
        <v>16</v>
      </c>
      <c r="P44" s="261"/>
      <c r="Q44" s="261"/>
      <c r="R44" s="261"/>
      <c r="S44" s="261"/>
      <c r="T44" s="262">
        <v>1</v>
      </c>
      <c r="U44" s="263">
        <v>32</v>
      </c>
    </row>
    <row r="45" spans="1:21" ht="17.5" thickBot="1">
      <c r="B45" s="613"/>
      <c r="C45" s="612"/>
      <c r="D45" s="301" t="s">
        <v>594</v>
      </c>
      <c r="E45" s="300" t="s">
        <v>631</v>
      </c>
      <c r="F45" s="259">
        <v>40</v>
      </c>
      <c r="G45" s="259">
        <v>2</v>
      </c>
      <c r="H45" s="261"/>
      <c r="I45" s="261"/>
      <c r="J45" s="261"/>
      <c r="K45" s="261"/>
      <c r="L45" s="261"/>
      <c r="M45" s="261"/>
      <c r="N45" s="261">
        <v>2</v>
      </c>
      <c r="O45" s="261">
        <v>32</v>
      </c>
      <c r="P45" s="261"/>
      <c r="Q45" s="261"/>
      <c r="R45" s="261"/>
      <c r="S45" s="261"/>
      <c r="T45" s="262">
        <v>2</v>
      </c>
      <c r="U45" s="263">
        <v>32</v>
      </c>
    </row>
    <row r="46" spans="1:21" ht="17.5" thickBot="1">
      <c r="B46" s="613"/>
      <c r="C46" s="612"/>
      <c r="D46" s="610" t="s">
        <v>16</v>
      </c>
      <c r="E46" s="611"/>
      <c r="F46" s="290"/>
      <c r="G46" s="290"/>
      <c r="H46" s="291"/>
      <c r="I46" s="291"/>
      <c r="J46" s="291"/>
      <c r="K46" s="291"/>
      <c r="L46" s="291"/>
      <c r="M46" s="291"/>
      <c r="N46" s="291">
        <v>3</v>
      </c>
      <c r="O46" s="291">
        <v>48</v>
      </c>
      <c r="P46" s="291"/>
      <c r="Q46" s="291"/>
      <c r="R46" s="291"/>
      <c r="S46" s="291"/>
      <c r="T46" s="275">
        <v>3</v>
      </c>
      <c r="U46" s="276">
        <v>48</v>
      </c>
    </row>
    <row r="47" spans="1:21" ht="17.399999999999999" customHeight="1" thickBot="1">
      <c r="B47" s="613" t="s">
        <v>754</v>
      </c>
      <c r="C47" s="612">
        <v>3</v>
      </c>
      <c r="D47" s="301" t="s">
        <v>635</v>
      </c>
      <c r="E47" s="300" t="s">
        <v>636</v>
      </c>
      <c r="F47" s="259">
        <v>50</v>
      </c>
      <c r="G47" s="259">
        <v>2</v>
      </c>
      <c r="H47" s="261"/>
      <c r="I47" s="261"/>
      <c r="J47" s="261"/>
      <c r="K47" s="261"/>
      <c r="L47" s="261"/>
      <c r="M47" s="261"/>
      <c r="N47" s="261">
        <v>1</v>
      </c>
      <c r="O47" s="261">
        <v>16</v>
      </c>
      <c r="P47" s="261"/>
      <c r="Q47" s="261"/>
      <c r="R47" s="261"/>
      <c r="S47" s="261"/>
      <c r="T47" s="262">
        <v>1</v>
      </c>
      <c r="U47" s="263">
        <v>32</v>
      </c>
    </row>
    <row r="48" spans="1:21" ht="17.5" thickBot="1">
      <c r="B48" s="613"/>
      <c r="C48" s="612"/>
      <c r="D48" s="301" t="s">
        <v>637</v>
      </c>
      <c r="E48" s="300" t="s">
        <v>638</v>
      </c>
      <c r="F48" s="259">
        <v>30</v>
      </c>
      <c r="G48" s="259">
        <v>2</v>
      </c>
      <c r="H48" s="261"/>
      <c r="I48" s="261"/>
      <c r="J48" s="261"/>
      <c r="K48" s="261"/>
      <c r="L48" s="261"/>
      <c r="M48" s="261"/>
      <c r="N48" s="261">
        <v>2</v>
      </c>
      <c r="O48" s="261">
        <v>32</v>
      </c>
      <c r="P48" s="261"/>
      <c r="Q48" s="261"/>
      <c r="R48" s="261"/>
      <c r="S48" s="261"/>
      <c r="T48" s="262">
        <v>2</v>
      </c>
      <c r="U48" s="263">
        <v>32</v>
      </c>
    </row>
    <row r="49" spans="2:21" ht="17.5" thickBot="1">
      <c r="B49" s="613"/>
      <c r="C49" s="612"/>
      <c r="D49" s="610" t="s">
        <v>16</v>
      </c>
      <c r="E49" s="611"/>
      <c r="F49" s="290"/>
      <c r="G49" s="290"/>
      <c r="H49" s="291"/>
      <c r="I49" s="291"/>
      <c r="J49" s="291"/>
      <c r="K49" s="291"/>
      <c r="L49" s="291"/>
      <c r="M49" s="291"/>
      <c r="N49" s="291">
        <v>4</v>
      </c>
      <c r="O49" s="291">
        <v>48</v>
      </c>
      <c r="P49" s="291"/>
      <c r="Q49" s="291"/>
      <c r="R49" s="291"/>
      <c r="S49" s="291"/>
      <c r="T49" s="275">
        <v>3</v>
      </c>
      <c r="U49" s="276">
        <v>48</v>
      </c>
    </row>
  </sheetData>
  <mergeCells count="58">
    <mergeCell ref="B35:B39"/>
    <mergeCell ref="C35:C39"/>
    <mergeCell ref="D39:E39"/>
    <mergeCell ref="B40:B43"/>
    <mergeCell ref="C40:C43"/>
    <mergeCell ref="D43:E43"/>
    <mergeCell ref="B26:B30"/>
    <mergeCell ref="C26:C30"/>
    <mergeCell ref="D30:E30"/>
    <mergeCell ref="B31:B34"/>
    <mergeCell ref="C31:C34"/>
    <mergeCell ref="D34:E34"/>
    <mergeCell ref="B15:B19"/>
    <mergeCell ref="C15:C19"/>
    <mergeCell ref="D19:E19"/>
    <mergeCell ref="D20:E20"/>
    <mergeCell ref="B21:B25"/>
    <mergeCell ref="C21:C25"/>
    <mergeCell ref="D25:E25"/>
    <mergeCell ref="B9:B11"/>
    <mergeCell ref="C9:C11"/>
    <mergeCell ref="D11:E11"/>
    <mergeCell ref="B12:B14"/>
    <mergeCell ref="C12:C14"/>
    <mergeCell ref="D14:E14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D46:E46"/>
    <mergeCell ref="D49:E49"/>
    <mergeCell ref="C44:C46"/>
    <mergeCell ref="B44:B46"/>
    <mergeCell ref="B47:B49"/>
    <mergeCell ref="C47:C49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C406-F4DF-4C7A-A79C-3573F0EB16F2}">
  <sheetPr>
    <pageSetUpPr fitToPage="1"/>
  </sheetPr>
  <dimension ref="B1:AD100"/>
  <sheetViews>
    <sheetView view="pageBreakPreview" zoomScaleNormal="100" zoomScaleSheetLayoutView="100" workbookViewId="0">
      <pane ySplit="8" topLeftCell="A40" activePane="bottomLeft" state="frozen"/>
      <selection pane="bottomLeft" activeCell="AA40" sqref="AA40"/>
    </sheetView>
  </sheetViews>
  <sheetFormatPr defaultColWidth="8.75" defaultRowHeight="17"/>
  <cols>
    <col min="1" max="1" width="2" style="4" customWidth="1"/>
    <col min="2" max="2" width="6.58203125" style="4" customWidth="1"/>
    <col min="3" max="3" width="9.3320312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58203125" style="4" customWidth="1"/>
    <col min="9" max="9" width="7.83203125" style="4" bestFit="1" customWidth="1"/>
    <col min="10" max="10" width="5.58203125" style="4" customWidth="1"/>
    <col min="11" max="22" width="3.83203125" style="4" customWidth="1"/>
    <col min="23" max="24" width="3.33203125" style="4" customWidth="1"/>
    <col min="25" max="25" width="6.33203125" style="4" customWidth="1"/>
    <col min="26" max="26" width="8.75" style="4"/>
    <col min="27" max="27" width="16.33203125" style="4" customWidth="1"/>
    <col min="28" max="29" width="12.83203125" style="4" customWidth="1"/>
    <col min="30" max="30" width="13.83203125" style="4" customWidth="1"/>
    <col min="31" max="16384" width="8.75" style="4"/>
  </cols>
  <sheetData>
    <row r="1" spans="2:30" ht="17.5" thickBot="1"/>
    <row r="2" spans="2:30" ht="30.75" customHeight="1" thickBot="1">
      <c r="B2" s="593" t="s">
        <v>619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4"/>
      <c r="V2" s="595" t="s">
        <v>130</v>
      </c>
      <c r="W2" s="596"/>
      <c r="X2" s="591">
        <v>2027</v>
      </c>
      <c r="Y2" s="592"/>
      <c r="AA2" s="597" t="s">
        <v>143</v>
      </c>
      <c r="AB2" s="18" t="s">
        <v>144</v>
      </c>
      <c r="AC2" s="40" t="s">
        <v>151</v>
      </c>
      <c r="AD2" s="19" t="s">
        <v>145</v>
      </c>
    </row>
    <row r="3" spans="2:30" ht="17.5" thickBot="1">
      <c r="B3" s="557" t="s">
        <v>368</v>
      </c>
      <c r="C3" s="559" t="s">
        <v>53</v>
      </c>
      <c r="D3" s="560"/>
      <c r="E3" s="560"/>
      <c r="F3" s="559" t="s">
        <v>64</v>
      </c>
      <c r="G3" s="563"/>
      <c r="H3" s="559" t="s">
        <v>54</v>
      </c>
      <c r="I3" s="560"/>
      <c r="J3" s="560"/>
      <c r="K3" s="559" t="s">
        <v>55</v>
      </c>
      <c r="L3" s="560"/>
      <c r="M3" s="560"/>
      <c r="N3" s="560"/>
      <c r="O3" s="563"/>
      <c r="P3" s="565" t="s">
        <v>56</v>
      </c>
      <c r="Q3" s="566"/>
      <c r="R3" s="566"/>
      <c r="S3" s="566"/>
      <c r="T3" s="566"/>
      <c r="U3" s="566"/>
      <c r="V3" s="566"/>
      <c r="W3" s="566"/>
      <c r="X3" s="566"/>
      <c r="Y3" s="567"/>
      <c r="AA3" s="598"/>
      <c r="AB3" s="20" t="s">
        <v>146</v>
      </c>
      <c r="AC3" s="46" t="s">
        <v>567</v>
      </c>
      <c r="AD3" s="21" t="s">
        <v>570</v>
      </c>
    </row>
    <row r="4" spans="2:30" ht="17.5" thickBot="1">
      <c r="B4" s="558"/>
      <c r="C4" s="561"/>
      <c r="D4" s="562"/>
      <c r="E4" s="562"/>
      <c r="F4" s="561"/>
      <c r="G4" s="564"/>
      <c r="H4" s="561"/>
      <c r="I4" s="562"/>
      <c r="J4" s="562"/>
      <c r="K4" s="561"/>
      <c r="L4" s="562"/>
      <c r="M4" s="562"/>
      <c r="N4" s="562"/>
      <c r="O4" s="564"/>
      <c r="P4" s="565" t="s">
        <v>127</v>
      </c>
      <c r="Q4" s="566"/>
      <c r="R4" s="566"/>
      <c r="S4" s="566"/>
      <c r="T4" s="565" t="s">
        <v>61</v>
      </c>
      <c r="U4" s="566"/>
      <c r="V4" s="567"/>
      <c r="W4" s="566" t="s">
        <v>128</v>
      </c>
      <c r="X4" s="566"/>
      <c r="Y4" s="567"/>
      <c r="AA4" s="598"/>
      <c r="AB4" s="22" t="s">
        <v>147</v>
      </c>
      <c r="AC4" s="47" t="s">
        <v>568</v>
      </c>
      <c r="AD4" s="123" t="s">
        <v>569</v>
      </c>
    </row>
    <row r="5" spans="2:30" ht="42" customHeight="1" thickBot="1">
      <c r="B5" s="56" t="s">
        <v>522</v>
      </c>
      <c r="C5" s="568" t="s">
        <v>524</v>
      </c>
      <c r="D5" s="569"/>
      <c r="E5" s="570"/>
      <c r="F5" s="568" t="s">
        <v>526</v>
      </c>
      <c r="G5" s="571"/>
      <c r="H5" s="572" t="s">
        <v>572</v>
      </c>
      <c r="I5" s="569"/>
      <c r="J5" s="570"/>
      <c r="K5" s="568" t="s">
        <v>599</v>
      </c>
      <c r="L5" s="569"/>
      <c r="M5" s="569"/>
      <c r="N5" s="569"/>
      <c r="O5" s="571"/>
      <c r="P5" s="572" t="s">
        <v>571</v>
      </c>
      <c r="Q5" s="569"/>
      <c r="R5" s="569"/>
      <c r="S5" s="570"/>
      <c r="T5" s="568" t="s">
        <v>34</v>
      </c>
      <c r="U5" s="569"/>
      <c r="V5" s="570"/>
      <c r="W5" s="695" t="s">
        <v>691</v>
      </c>
      <c r="X5" s="696"/>
      <c r="Y5" s="697"/>
      <c r="AA5" s="599"/>
      <c r="AB5" s="23" t="s">
        <v>148</v>
      </c>
      <c r="AC5" s="186" t="s">
        <v>568</v>
      </c>
      <c r="AD5" s="123" t="s">
        <v>569</v>
      </c>
    </row>
    <row r="6" spans="2:30" ht="15.75" customHeight="1" thickBot="1">
      <c r="U6" s="576"/>
      <c r="V6" s="576"/>
      <c r="W6" s="576"/>
      <c r="X6" s="576"/>
      <c r="Y6" s="576"/>
    </row>
    <row r="7" spans="2:30" s="10" customFormat="1" ht="22.5" customHeight="1">
      <c r="B7" s="577" t="s">
        <v>2</v>
      </c>
      <c r="C7" s="578"/>
      <c r="D7" s="581" t="s">
        <v>120</v>
      </c>
      <c r="E7" s="538" t="s">
        <v>57</v>
      </c>
      <c r="F7" s="539"/>
      <c r="G7" s="540"/>
      <c r="H7" s="541" t="s">
        <v>133</v>
      </c>
      <c r="I7" s="544" t="s">
        <v>134</v>
      </c>
      <c r="J7" s="548" t="s">
        <v>135</v>
      </c>
      <c r="K7" s="543" t="s">
        <v>58</v>
      </c>
      <c r="L7" s="544"/>
      <c r="M7" s="544"/>
      <c r="N7" s="545"/>
      <c r="O7" s="546" t="s">
        <v>59</v>
      </c>
      <c r="P7" s="544"/>
      <c r="Q7" s="544"/>
      <c r="R7" s="545"/>
      <c r="S7" s="543" t="s">
        <v>60</v>
      </c>
      <c r="T7" s="544"/>
      <c r="U7" s="544"/>
      <c r="V7" s="547"/>
      <c r="W7" s="541" t="s">
        <v>136</v>
      </c>
      <c r="X7" s="548"/>
      <c r="Y7" s="540" t="s">
        <v>137</v>
      </c>
      <c r="Z7" s="9"/>
    </row>
    <row r="8" spans="2:30" s="10" customFormat="1" ht="22.5" customHeight="1" thickBot="1">
      <c r="B8" s="579"/>
      <c r="C8" s="580"/>
      <c r="D8" s="582"/>
      <c r="E8" s="25" t="s">
        <v>18</v>
      </c>
      <c r="F8" s="551" t="s">
        <v>19</v>
      </c>
      <c r="G8" s="552"/>
      <c r="H8" s="542"/>
      <c r="I8" s="554"/>
      <c r="J8" s="549"/>
      <c r="K8" s="553" t="s">
        <v>0</v>
      </c>
      <c r="L8" s="554"/>
      <c r="M8" s="554" t="s">
        <v>62</v>
      </c>
      <c r="N8" s="555"/>
      <c r="O8" s="556" t="s">
        <v>0</v>
      </c>
      <c r="P8" s="554"/>
      <c r="Q8" s="554" t="s">
        <v>62</v>
      </c>
      <c r="R8" s="555"/>
      <c r="S8" s="553" t="s">
        <v>0</v>
      </c>
      <c r="T8" s="554"/>
      <c r="U8" s="554" t="s">
        <v>62</v>
      </c>
      <c r="V8" s="600"/>
      <c r="W8" s="542"/>
      <c r="X8" s="549"/>
      <c r="Y8" s="550"/>
      <c r="AA8" s="408" t="s">
        <v>508</v>
      </c>
      <c r="AB8" s="408"/>
      <c r="AC8" s="408"/>
      <c r="AD8" s="408"/>
    </row>
    <row r="9" spans="2:30" ht="16.5" customHeight="1" thickBot="1">
      <c r="B9" s="502" t="s">
        <v>337</v>
      </c>
      <c r="C9" s="503"/>
      <c r="D9" s="522" t="s">
        <v>21</v>
      </c>
      <c r="E9" s="128" t="s">
        <v>12</v>
      </c>
      <c r="F9" s="491" t="s">
        <v>201</v>
      </c>
      <c r="G9" s="486"/>
      <c r="H9" s="129">
        <v>4</v>
      </c>
      <c r="I9" s="130" t="s">
        <v>338</v>
      </c>
      <c r="J9" s="173">
        <v>3</v>
      </c>
      <c r="K9" s="491">
        <v>3</v>
      </c>
      <c r="L9" s="385"/>
      <c r="M9" s="386"/>
      <c r="N9" s="387"/>
      <c r="O9" s="384"/>
      <c r="P9" s="385"/>
      <c r="Q9" s="386"/>
      <c r="R9" s="387"/>
      <c r="S9" s="384"/>
      <c r="T9" s="385"/>
      <c r="U9" s="386"/>
      <c r="V9" s="486"/>
      <c r="W9" s="48">
        <f>SUM(K9:V9)</f>
        <v>3</v>
      </c>
      <c r="X9" s="395">
        <v>6</v>
      </c>
      <c r="Y9" s="524">
        <v>24</v>
      </c>
      <c r="AA9" s="117" t="s">
        <v>18</v>
      </c>
      <c r="AB9" s="118" t="s">
        <v>515</v>
      </c>
      <c r="AC9" s="118" t="s">
        <v>516</v>
      </c>
      <c r="AD9" s="119" t="s">
        <v>517</v>
      </c>
    </row>
    <row r="10" spans="2:30" ht="17.5" thickBot="1">
      <c r="B10" s="504"/>
      <c r="C10" s="505"/>
      <c r="D10" s="523"/>
      <c r="E10" s="132" t="s">
        <v>12</v>
      </c>
      <c r="F10" s="361" t="s">
        <v>202</v>
      </c>
      <c r="G10" s="358"/>
      <c r="H10" s="133">
        <v>4</v>
      </c>
      <c r="I10" s="134" t="s">
        <v>338</v>
      </c>
      <c r="J10" s="174">
        <v>3</v>
      </c>
      <c r="K10" s="361"/>
      <c r="L10" s="357"/>
      <c r="M10" s="348">
        <v>3</v>
      </c>
      <c r="N10" s="349"/>
      <c r="O10" s="356"/>
      <c r="P10" s="357"/>
      <c r="Q10" s="348"/>
      <c r="R10" s="349"/>
      <c r="S10" s="356"/>
      <c r="T10" s="357"/>
      <c r="U10" s="348"/>
      <c r="V10" s="358"/>
      <c r="W10" s="49">
        <f t="shared" ref="W10:W26" si="0">SUM(K10:V10)</f>
        <v>3</v>
      </c>
      <c r="X10" s="396"/>
      <c r="Y10" s="524"/>
      <c r="AA10" s="120" t="s">
        <v>510</v>
      </c>
      <c r="AB10" s="121">
        <v>4</v>
      </c>
      <c r="AC10" s="121">
        <v>-1</v>
      </c>
      <c r="AD10" s="21" t="s">
        <v>338</v>
      </c>
    </row>
    <row r="11" spans="2:30" ht="35" thickBot="1">
      <c r="B11" s="504"/>
      <c r="C11" s="505"/>
      <c r="D11" s="523"/>
      <c r="E11" s="136" t="s">
        <v>529</v>
      </c>
      <c r="F11" s="361" t="s">
        <v>4</v>
      </c>
      <c r="G11" s="358"/>
      <c r="H11" s="133">
        <v>4</v>
      </c>
      <c r="I11" s="134" t="s">
        <v>341</v>
      </c>
      <c r="J11" s="184">
        <v>3</v>
      </c>
      <c r="K11" s="361"/>
      <c r="L11" s="357"/>
      <c r="M11" s="348"/>
      <c r="N11" s="349"/>
      <c r="O11" s="401">
        <v>3</v>
      </c>
      <c r="P11" s="402"/>
      <c r="Q11" s="348"/>
      <c r="R11" s="349"/>
      <c r="S11" s="356"/>
      <c r="T11" s="357"/>
      <c r="U11" s="348"/>
      <c r="V11" s="358"/>
      <c r="W11" s="397" t="s">
        <v>537</v>
      </c>
      <c r="X11" s="398"/>
      <c r="Y11" s="524"/>
      <c r="AA11" s="120"/>
      <c r="AB11" s="121"/>
      <c r="AC11" s="121"/>
      <c r="AD11" s="21"/>
    </row>
    <row r="12" spans="2:30" ht="35" thickBot="1">
      <c r="B12" s="504"/>
      <c r="C12" s="505"/>
      <c r="D12" s="527"/>
      <c r="E12" s="137" t="s">
        <v>530</v>
      </c>
      <c r="F12" s="365" t="s">
        <v>340</v>
      </c>
      <c r="G12" s="364"/>
      <c r="H12" s="138">
        <v>4</v>
      </c>
      <c r="I12" s="139" t="s">
        <v>341</v>
      </c>
      <c r="J12" s="185">
        <v>3</v>
      </c>
      <c r="K12" s="365"/>
      <c r="L12" s="355"/>
      <c r="M12" s="352"/>
      <c r="N12" s="353"/>
      <c r="O12" s="354"/>
      <c r="P12" s="355"/>
      <c r="Q12" s="536">
        <v>3</v>
      </c>
      <c r="R12" s="537"/>
      <c r="S12" s="354"/>
      <c r="T12" s="355"/>
      <c r="U12" s="352"/>
      <c r="V12" s="364"/>
      <c r="W12" s="399" t="s">
        <v>538</v>
      </c>
      <c r="X12" s="400"/>
      <c r="Y12" s="524"/>
      <c r="AA12" s="120" t="s">
        <v>511</v>
      </c>
      <c r="AB12" s="121">
        <v>3</v>
      </c>
      <c r="AC12" s="121"/>
      <c r="AD12" s="21">
        <v>3</v>
      </c>
    </row>
    <row r="13" spans="2:30" ht="17.5" thickBot="1">
      <c r="B13" s="504"/>
      <c r="C13" s="505"/>
      <c r="D13" s="522" t="s">
        <v>5</v>
      </c>
      <c r="E13" s="128" t="s">
        <v>12</v>
      </c>
      <c r="F13" s="491" t="s">
        <v>213</v>
      </c>
      <c r="G13" s="486"/>
      <c r="H13" s="129">
        <v>4</v>
      </c>
      <c r="I13" s="130" t="s">
        <v>338</v>
      </c>
      <c r="J13" s="173">
        <v>3</v>
      </c>
      <c r="K13" s="491">
        <v>3</v>
      </c>
      <c r="L13" s="385"/>
      <c r="M13" s="386"/>
      <c r="N13" s="387"/>
      <c r="O13" s="384"/>
      <c r="P13" s="385"/>
      <c r="Q13" s="386"/>
      <c r="R13" s="387"/>
      <c r="S13" s="384"/>
      <c r="T13" s="385"/>
      <c r="U13" s="386"/>
      <c r="V13" s="486"/>
      <c r="W13" s="48">
        <f t="shared" si="0"/>
        <v>3</v>
      </c>
      <c r="X13" s="395">
        <v>6</v>
      </c>
      <c r="Y13" s="524"/>
      <c r="AA13" s="120" t="s">
        <v>512</v>
      </c>
      <c r="AB13" s="121">
        <v>4</v>
      </c>
      <c r="AC13" s="121" t="s">
        <v>521</v>
      </c>
      <c r="AD13" s="21" t="s">
        <v>341</v>
      </c>
    </row>
    <row r="14" spans="2:30" ht="17.5" thickBot="1">
      <c r="B14" s="504"/>
      <c r="C14" s="505"/>
      <c r="D14" s="523"/>
      <c r="E14" s="132" t="s">
        <v>12</v>
      </c>
      <c r="F14" s="361" t="s">
        <v>215</v>
      </c>
      <c r="G14" s="358"/>
      <c r="H14" s="133">
        <v>4</v>
      </c>
      <c r="I14" s="134" t="s">
        <v>338</v>
      </c>
      <c r="J14" s="174">
        <v>3</v>
      </c>
      <c r="K14" s="361"/>
      <c r="L14" s="357"/>
      <c r="M14" s="348">
        <v>3</v>
      </c>
      <c r="N14" s="349"/>
      <c r="O14" s="356"/>
      <c r="P14" s="357"/>
      <c r="Q14" s="348"/>
      <c r="R14" s="349"/>
      <c r="S14" s="356"/>
      <c r="T14" s="357"/>
      <c r="U14" s="348"/>
      <c r="V14" s="358"/>
      <c r="W14" s="49">
        <f t="shared" si="0"/>
        <v>3</v>
      </c>
      <c r="X14" s="396"/>
      <c r="Y14" s="524"/>
      <c r="AA14" s="120" t="s">
        <v>513</v>
      </c>
      <c r="AB14" s="121">
        <v>3</v>
      </c>
      <c r="AC14" s="121" t="s">
        <v>521</v>
      </c>
      <c r="AD14" s="21" t="s">
        <v>353</v>
      </c>
    </row>
    <row r="15" spans="2:30" ht="35" thickBot="1">
      <c r="B15" s="504"/>
      <c r="C15" s="505"/>
      <c r="D15" s="523"/>
      <c r="E15" s="136" t="s">
        <v>533</v>
      </c>
      <c r="F15" s="361" t="s">
        <v>224</v>
      </c>
      <c r="G15" s="358"/>
      <c r="H15" s="133">
        <v>4</v>
      </c>
      <c r="I15" s="134" t="s">
        <v>341</v>
      </c>
      <c r="J15" s="184">
        <v>3</v>
      </c>
      <c r="K15" s="361"/>
      <c r="L15" s="357"/>
      <c r="M15" s="348"/>
      <c r="N15" s="349"/>
      <c r="O15" s="401">
        <v>3</v>
      </c>
      <c r="P15" s="402"/>
      <c r="Q15" s="348"/>
      <c r="R15" s="349"/>
      <c r="S15" s="356"/>
      <c r="T15" s="357"/>
      <c r="U15" s="348"/>
      <c r="V15" s="358"/>
      <c r="W15" s="397" t="s">
        <v>537</v>
      </c>
      <c r="X15" s="398"/>
      <c r="Y15" s="524"/>
      <c r="AA15" s="124"/>
      <c r="AB15" s="125"/>
      <c r="AC15" s="126"/>
      <c r="AD15" s="127"/>
    </row>
    <row r="16" spans="2:30" ht="35" thickBot="1">
      <c r="B16" s="504"/>
      <c r="C16" s="505"/>
      <c r="D16" s="527"/>
      <c r="E16" s="137" t="s">
        <v>530</v>
      </c>
      <c r="F16" s="365" t="s">
        <v>342</v>
      </c>
      <c r="G16" s="364"/>
      <c r="H16" s="138">
        <v>4</v>
      </c>
      <c r="I16" s="139" t="s">
        <v>341</v>
      </c>
      <c r="J16" s="185">
        <v>3</v>
      </c>
      <c r="K16" s="365"/>
      <c r="L16" s="355"/>
      <c r="M16" s="352"/>
      <c r="N16" s="353"/>
      <c r="O16" s="354"/>
      <c r="P16" s="355"/>
      <c r="Q16" s="536">
        <v>3</v>
      </c>
      <c r="R16" s="537"/>
      <c r="S16" s="354"/>
      <c r="T16" s="355"/>
      <c r="U16" s="352"/>
      <c r="V16" s="364"/>
      <c r="W16" s="399" t="s">
        <v>538</v>
      </c>
      <c r="X16" s="400"/>
      <c r="Y16" s="524"/>
      <c r="AA16" s="122" t="s">
        <v>514</v>
      </c>
      <c r="AB16" s="403" t="s">
        <v>523</v>
      </c>
      <c r="AC16" s="404"/>
      <c r="AD16" s="405"/>
    </row>
    <row r="17" spans="2:29" ht="17.5" thickBot="1">
      <c r="B17" s="504"/>
      <c r="C17" s="505"/>
      <c r="D17" s="522" t="s">
        <v>6</v>
      </c>
      <c r="E17" s="128" t="s">
        <v>12</v>
      </c>
      <c r="F17" s="491" t="s">
        <v>220</v>
      </c>
      <c r="G17" s="486"/>
      <c r="H17" s="129">
        <v>4</v>
      </c>
      <c r="I17" s="130" t="s">
        <v>338</v>
      </c>
      <c r="J17" s="173">
        <v>3</v>
      </c>
      <c r="K17" s="491">
        <v>3</v>
      </c>
      <c r="L17" s="385"/>
      <c r="M17" s="386"/>
      <c r="N17" s="387"/>
      <c r="O17" s="384"/>
      <c r="P17" s="385"/>
      <c r="Q17" s="386"/>
      <c r="R17" s="387"/>
      <c r="S17" s="384"/>
      <c r="T17" s="385"/>
      <c r="U17" s="386"/>
      <c r="V17" s="486"/>
      <c r="W17" s="48">
        <f t="shared" si="0"/>
        <v>3</v>
      </c>
      <c r="X17" s="395">
        <v>6</v>
      </c>
      <c r="Y17" s="524"/>
    </row>
    <row r="18" spans="2:29" ht="17.5" thickBot="1">
      <c r="B18" s="504"/>
      <c r="C18" s="505"/>
      <c r="D18" s="523"/>
      <c r="E18" s="132" t="s">
        <v>12</v>
      </c>
      <c r="F18" s="361" t="s">
        <v>226</v>
      </c>
      <c r="G18" s="358"/>
      <c r="H18" s="133">
        <v>4</v>
      </c>
      <c r="I18" s="134" t="s">
        <v>338</v>
      </c>
      <c r="J18" s="174">
        <v>3</v>
      </c>
      <c r="K18" s="361"/>
      <c r="L18" s="357"/>
      <c r="M18" s="348">
        <v>3</v>
      </c>
      <c r="N18" s="349"/>
      <c r="O18" s="356"/>
      <c r="P18" s="357"/>
      <c r="Q18" s="348"/>
      <c r="R18" s="349"/>
      <c r="S18" s="356"/>
      <c r="T18" s="357"/>
      <c r="U18" s="348"/>
      <c r="V18" s="358"/>
      <c r="W18" s="49">
        <f t="shared" si="0"/>
        <v>3</v>
      </c>
      <c r="X18" s="396"/>
      <c r="Y18" s="524"/>
    </row>
    <row r="19" spans="2:29" ht="35" thickBot="1">
      <c r="B19" s="504"/>
      <c r="C19" s="505"/>
      <c r="D19" s="523"/>
      <c r="E19" s="136" t="s">
        <v>533</v>
      </c>
      <c r="F19" s="361" t="s">
        <v>231</v>
      </c>
      <c r="G19" s="358"/>
      <c r="H19" s="133">
        <v>4</v>
      </c>
      <c r="I19" s="134" t="s">
        <v>341</v>
      </c>
      <c r="J19" s="184">
        <v>3</v>
      </c>
      <c r="K19" s="361"/>
      <c r="L19" s="357"/>
      <c r="M19" s="348"/>
      <c r="N19" s="349"/>
      <c r="O19" s="401">
        <v>3</v>
      </c>
      <c r="P19" s="402"/>
      <c r="Q19" s="348"/>
      <c r="R19" s="349"/>
      <c r="S19" s="356"/>
      <c r="T19" s="357"/>
      <c r="U19" s="348"/>
      <c r="V19" s="358"/>
      <c r="W19" s="397" t="s">
        <v>537</v>
      </c>
      <c r="X19" s="398"/>
      <c r="Y19" s="524"/>
    </row>
    <row r="20" spans="2:29" ht="35" thickBot="1">
      <c r="B20" s="504"/>
      <c r="C20" s="505"/>
      <c r="D20" s="527"/>
      <c r="E20" s="137" t="s">
        <v>530</v>
      </c>
      <c r="F20" s="365" t="s">
        <v>344</v>
      </c>
      <c r="G20" s="364"/>
      <c r="H20" s="138">
        <v>4</v>
      </c>
      <c r="I20" s="139" t="s">
        <v>341</v>
      </c>
      <c r="J20" s="185">
        <v>3</v>
      </c>
      <c r="K20" s="365"/>
      <c r="L20" s="355"/>
      <c r="M20" s="352"/>
      <c r="N20" s="353"/>
      <c r="O20" s="354"/>
      <c r="P20" s="355"/>
      <c r="Q20" s="536">
        <v>3</v>
      </c>
      <c r="R20" s="537"/>
      <c r="S20" s="354"/>
      <c r="T20" s="355"/>
      <c r="U20" s="352"/>
      <c r="V20" s="364"/>
      <c r="W20" s="399" t="s">
        <v>538</v>
      </c>
      <c r="X20" s="400"/>
      <c r="Y20" s="524"/>
    </row>
    <row r="21" spans="2:29" ht="17.5" thickBot="1">
      <c r="B21" s="504"/>
      <c r="C21" s="505"/>
      <c r="D21" s="522" t="s">
        <v>345</v>
      </c>
      <c r="E21" s="128" t="s">
        <v>12</v>
      </c>
      <c r="F21" s="491" t="s">
        <v>234</v>
      </c>
      <c r="G21" s="486"/>
      <c r="H21" s="129">
        <v>3</v>
      </c>
      <c r="I21" s="141" t="s">
        <v>346</v>
      </c>
      <c r="J21" s="173">
        <v>3</v>
      </c>
      <c r="K21" s="531"/>
      <c r="L21" s="532"/>
      <c r="M21" s="587"/>
      <c r="N21" s="588"/>
      <c r="O21" s="589">
        <v>3</v>
      </c>
      <c r="P21" s="532"/>
      <c r="Q21" s="587"/>
      <c r="R21" s="588"/>
      <c r="S21" s="589"/>
      <c r="T21" s="532"/>
      <c r="U21" s="587"/>
      <c r="V21" s="590"/>
      <c r="W21" s="48">
        <f t="shared" si="0"/>
        <v>3</v>
      </c>
      <c r="X21" s="395">
        <f>SUM(W21:W22)</f>
        <v>6</v>
      </c>
      <c r="Y21" s="524">
        <v>6</v>
      </c>
    </row>
    <row r="22" spans="2:29" ht="17.5" thickBot="1">
      <c r="B22" s="504"/>
      <c r="C22" s="505"/>
      <c r="D22" s="523"/>
      <c r="E22" s="142" t="s">
        <v>12</v>
      </c>
      <c r="F22" s="534" t="s">
        <v>235</v>
      </c>
      <c r="G22" s="535"/>
      <c r="H22" s="143">
        <v>3</v>
      </c>
      <c r="I22" s="144" t="s">
        <v>346</v>
      </c>
      <c r="J22" s="145">
        <v>3</v>
      </c>
      <c r="K22" s="365"/>
      <c r="L22" s="355"/>
      <c r="M22" s="352"/>
      <c r="N22" s="353"/>
      <c r="O22" s="354"/>
      <c r="P22" s="355"/>
      <c r="Q22" s="352">
        <v>3</v>
      </c>
      <c r="R22" s="353"/>
      <c r="S22" s="354"/>
      <c r="T22" s="355"/>
      <c r="U22" s="352"/>
      <c r="V22" s="364"/>
      <c r="W22" s="50">
        <f t="shared" si="0"/>
        <v>3</v>
      </c>
      <c r="X22" s="533"/>
      <c r="Y22" s="524"/>
      <c r="AA22" s="414"/>
      <c r="AB22" s="414"/>
      <c r="AC22" s="172"/>
    </row>
    <row r="23" spans="2:29" ht="17.5" thickBot="1">
      <c r="B23" s="504"/>
      <c r="C23" s="505"/>
      <c r="D23" s="523"/>
      <c r="E23" s="128" t="s">
        <v>12</v>
      </c>
      <c r="F23" s="491" t="s">
        <v>237</v>
      </c>
      <c r="G23" s="486"/>
      <c r="H23" s="129">
        <v>4</v>
      </c>
      <c r="I23" s="141" t="s">
        <v>338</v>
      </c>
      <c r="J23" s="173">
        <v>3</v>
      </c>
      <c r="K23" s="491"/>
      <c r="L23" s="385"/>
      <c r="M23" s="386"/>
      <c r="N23" s="387"/>
      <c r="O23" s="384">
        <v>3</v>
      </c>
      <c r="P23" s="385"/>
      <c r="Q23" s="386"/>
      <c r="R23" s="387"/>
      <c r="S23" s="384"/>
      <c r="T23" s="385"/>
      <c r="U23" s="386"/>
      <c r="V23" s="486"/>
      <c r="W23" s="48">
        <f t="shared" si="0"/>
        <v>3</v>
      </c>
      <c r="X23" s="395">
        <f>SUM(W23:W24)</f>
        <v>6</v>
      </c>
      <c r="Y23" s="524">
        <v>12</v>
      </c>
    </row>
    <row r="24" spans="2:29" ht="17.5" thickBot="1">
      <c r="B24" s="504"/>
      <c r="C24" s="505"/>
      <c r="D24" s="527"/>
      <c r="E24" s="146" t="s">
        <v>12</v>
      </c>
      <c r="F24" s="365" t="s">
        <v>238</v>
      </c>
      <c r="G24" s="364"/>
      <c r="H24" s="138">
        <v>4</v>
      </c>
      <c r="I24" s="139" t="s">
        <v>338</v>
      </c>
      <c r="J24" s="175">
        <v>3</v>
      </c>
      <c r="K24" s="365"/>
      <c r="L24" s="355"/>
      <c r="M24" s="352"/>
      <c r="N24" s="353"/>
      <c r="O24" s="354"/>
      <c r="P24" s="355"/>
      <c r="Q24" s="352">
        <v>3</v>
      </c>
      <c r="R24" s="353"/>
      <c r="S24" s="354"/>
      <c r="T24" s="355"/>
      <c r="U24" s="352"/>
      <c r="V24" s="364"/>
      <c r="W24" s="50">
        <f t="shared" si="0"/>
        <v>3</v>
      </c>
      <c r="X24" s="533"/>
      <c r="Y24" s="524"/>
    </row>
    <row r="25" spans="2:29" ht="17.5" thickBot="1">
      <c r="B25" s="504"/>
      <c r="C25" s="505"/>
      <c r="D25" s="522" t="s">
        <v>26</v>
      </c>
      <c r="E25" s="128" t="s">
        <v>12</v>
      </c>
      <c r="F25" s="491" t="s">
        <v>255</v>
      </c>
      <c r="G25" s="486"/>
      <c r="H25" s="129">
        <v>4</v>
      </c>
      <c r="I25" s="141" t="s">
        <v>338</v>
      </c>
      <c r="J25" s="173">
        <v>3</v>
      </c>
      <c r="K25" s="491">
        <v>3</v>
      </c>
      <c r="L25" s="385"/>
      <c r="M25" s="386"/>
      <c r="N25" s="387"/>
      <c r="O25" s="384"/>
      <c r="P25" s="385"/>
      <c r="Q25" s="386"/>
      <c r="R25" s="387"/>
      <c r="S25" s="384"/>
      <c r="T25" s="385"/>
      <c r="U25" s="386"/>
      <c r="V25" s="486"/>
      <c r="W25" s="48">
        <f t="shared" si="0"/>
        <v>3</v>
      </c>
      <c r="X25" s="585">
        <f>SUM(W25:W26)</f>
        <v>6</v>
      </c>
      <c r="Y25" s="524"/>
    </row>
    <row r="26" spans="2:29" ht="17.5" thickBot="1">
      <c r="B26" s="504"/>
      <c r="C26" s="505"/>
      <c r="D26" s="523"/>
      <c r="E26" s="132" t="s">
        <v>12</v>
      </c>
      <c r="F26" s="361" t="s">
        <v>256</v>
      </c>
      <c r="G26" s="358"/>
      <c r="H26" s="133">
        <v>4</v>
      </c>
      <c r="I26" s="134" t="s">
        <v>338</v>
      </c>
      <c r="J26" s="174">
        <v>3</v>
      </c>
      <c r="K26" s="361"/>
      <c r="L26" s="357"/>
      <c r="M26" s="348">
        <v>3</v>
      </c>
      <c r="N26" s="349"/>
      <c r="O26" s="356"/>
      <c r="P26" s="357"/>
      <c r="Q26" s="348"/>
      <c r="R26" s="349"/>
      <c r="S26" s="356"/>
      <c r="T26" s="357"/>
      <c r="U26" s="348"/>
      <c r="V26" s="358"/>
      <c r="W26" s="49">
        <f t="shared" si="0"/>
        <v>3</v>
      </c>
      <c r="X26" s="586"/>
      <c r="Y26" s="524"/>
    </row>
    <row r="27" spans="2:29" ht="16.5" customHeight="1" thickBot="1">
      <c r="B27" s="504"/>
      <c r="C27" s="505"/>
      <c r="D27" s="522" t="s">
        <v>8</v>
      </c>
      <c r="E27" s="128" t="s">
        <v>351</v>
      </c>
      <c r="F27" s="491" t="s">
        <v>352</v>
      </c>
      <c r="G27" s="486"/>
      <c r="H27" s="129">
        <v>3</v>
      </c>
      <c r="I27" s="141" t="s">
        <v>353</v>
      </c>
      <c r="J27" s="173">
        <f t="shared" ref="J27:J28" si="1">SUM(K27:V27)</f>
        <v>2</v>
      </c>
      <c r="K27" s="491">
        <v>2</v>
      </c>
      <c r="L27" s="385"/>
      <c r="M27" s="386"/>
      <c r="N27" s="387"/>
      <c r="O27" s="384"/>
      <c r="P27" s="385"/>
      <c r="Q27" s="386"/>
      <c r="R27" s="387"/>
      <c r="S27" s="384"/>
      <c r="T27" s="385"/>
      <c r="U27" s="386"/>
      <c r="V27" s="486"/>
      <c r="W27" s="48">
        <f>SUM(K27:V27)</f>
        <v>2</v>
      </c>
      <c r="X27" s="528">
        <f>SUM(W27:W31)</f>
        <v>13</v>
      </c>
      <c r="Y27" s="524">
        <v>8</v>
      </c>
    </row>
    <row r="28" spans="2:29" ht="17.5" thickBot="1">
      <c r="B28" s="504"/>
      <c r="C28" s="505"/>
      <c r="D28" s="523"/>
      <c r="E28" s="132" t="s">
        <v>351</v>
      </c>
      <c r="F28" s="361" t="s">
        <v>354</v>
      </c>
      <c r="G28" s="358"/>
      <c r="H28" s="133">
        <v>3</v>
      </c>
      <c r="I28" s="134" t="s">
        <v>353</v>
      </c>
      <c r="J28" s="174">
        <f t="shared" si="1"/>
        <v>3</v>
      </c>
      <c r="K28" s="361"/>
      <c r="L28" s="357"/>
      <c r="M28" s="348">
        <v>3</v>
      </c>
      <c r="N28" s="349"/>
      <c r="O28" s="356"/>
      <c r="P28" s="357"/>
      <c r="Q28" s="348"/>
      <c r="R28" s="349"/>
      <c r="S28" s="356"/>
      <c r="T28" s="357"/>
      <c r="U28" s="348"/>
      <c r="V28" s="358"/>
      <c r="W28" s="49">
        <f t="shared" ref="W28:W31" si="2">SUM(K28:V28)</f>
        <v>3</v>
      </c>
      <c r="X28" s="529"/>
      <c r="Y28" s="524"/>
    </row>
    <row r="29" spans="2:29" ht="17.5" thickBot="1">
      <c r="B29" s="504"/>
      <c r="C29" s="505"/>
      <c r="D29" s="523"/>
      <c r="E29" s="132" t="s">
        <v>339</v>
      </c>
      <c r="F29" s="361" t="s">
        <v>534</v>
      </c>
      <c r="G29" s="358"/>
      <c r="H29" s="133">
        <v>3</v>
      </c>
      <c r="I29" s="134" t="s">
        <v>353</v>
      </c>
      <c r="J29" s="174">
        <v>3</v>
      </c>
      <c r="K29" s="361"/>
      <c r="L29" s="357"/>
      <c r="M29" s="348"/>
      <c r="N29" s="349"/>
      <c r="O29" s="356">
        <v>3</v>
      </c>
      <c r="P29" s="357"/>
      <c r="Q29" s="348"/>
      <c r="R29" s="349"/>
      <c r="S29" s="356"/>
      <c r="T29" s="357"/>
      <c r="U29" s="348"/>
      <c r="V29" s="358"/>
      <c r="W29" s="49">
        <f t="shared" si="2"/>
        <v>3</v>
      </c>
      <c r="X29" s="529"/>
      <c r="Y29" s="524"/>
    </row>
    <row r="30" spans="2:29" ht="17.5" thickBot="1">
      <c r="B30" s="504"/>
      <c r="C30" s="505"/>
      <c r="D30" s="523"/>
      <c r="E30" s="132" t="s">
        <v>350</v>
      </c>
      <c r="F30" s="361" t="s">
        <v>355</v>
      </c>
      <c r="G30" s="358"/>
      <c r="H30" s="133">
        <v>3</v>
      </c>
      <c r="I30" s="134" t="s">
        <v>353</v>
      </c>
      <c r="J30" s="174">
        <v>3</v>
      </c>
      <c r="K30" s="361"/>
      <c r="L30" s="357"/>
      <c r="M30" s="348"/>
      <c r="N30" s="349"/>
      <c r="O30" s="356"/>
      <c r="P30" s="357"/>
      <c r="Q30" s="348">
        <v>3</v>
      </c>
      <c r="R30" s="349"/>
      <c r="S30" s="356"/>
      <c r="T30" s="357"/>
      <c r="U30" s="348"/>
      <c r="V30" s="358"/>
      <c r="W30" s="49">
        <f t="shared" si="2"/>
        <v>3</v>
      </c>
      <c r="X30" s="529"/>
      <c r="Y30" s="524"/>
    </row>
    <row r="31" spans="2:29" ht="17.5" thickBot="1">
      <c r="B31" s="504"/>
      <c r="C31" s="505"/>
      <c r="D31" s="527"/>
      <c r="E31" s="146" t="s">
        <v>339</v>
      </c>
      <c r="F31" s="365" t="s">
        <v>376</v>
      </c>
      <c r="G31" s="364"/>
      <c r="H31" s="138">
        <v>2</v>
      </c>
      <c r="I31" s="139" t="s">
        <v>356</v>
      </c>
      <c r="J31" s="175">
        <v>2</v>
      </c>
      <c r="K31" s="365"/>
      <c r="L31" s="355"/>
      <c r="M31" s="352"/>
      <c r="N31" s="353"/>
      <c r="O31" s="354"/>
      <c r="P31" s="355"/>
      <c r="Q31" s="352"/>
      <c r="R31" s="353"/>
      <c r="S31" s="354">
        <v>2</v>
      </c>
      <c r="T31" s="355"/>
      <c r="U31" s="352"/>
      <c r="V31" s="364"/>
      <c r="W31" s="50">
        <f t="shared" si="2"/>
        <v>2</v>
      </c>
      <c r="X31" s="530"/>
      <c r="Y31" s="524"/>
    </row>
    <row r="32" spans="2:29" ht="17.5" thickBot="1">
      <c r="B32" s="504"/>
      <c r="C32" s="505"/>
      <c r="D32" s="522" t="s">
        <v>28</v>
      </c>
      <c r="E32" s="128" t="s">
        <v>351</v>
      </c>
      <c r="F32" s="491" t="s">
        <v>47</v>
      </c>
      <c r="G32" s="486"/>
      <c r="H32" s="129">
        <v>3</v>
      </c>
      <c r="I32" s="147" t="s">
        <v>353</v>
      </c>
      <c r="J32" s="173">
        <v>3</v>
      </c>
      <c r="K32" s="491">
        <v>3</v>
      </c>
      <c r="L32" s="385"/>
      <c r="M32" s="386"/>
      <c r="N32" s="387"/>
      <c r="O32" s="384"/>
      <c r="P32" s="385"/>
      <c r="Q32" s="386"/>
      <c r="R32" s="387"/>
      <c r="S32" s="384"/>
      <c r="T32" s="385"/>
      <c r="U32" s="386"/>
      <c r="V32" s="486"/>
      <c r="W32" s="372">
        <f>SUM(K32:V33)</f>
        <v>6</v>
      </c>
      <c r="X32" s="373"/>
      <c r="Y32" s="524">
        <v>6</v>
      </c>
    </row>
    <row r="33" spans="2:28" ht="17.5" thickBot="1">
      <c r="B33" s="504"/>
      <c r="C33" s="505"/>
      <c r="D33" s="523"/>
      <c r="E33" s="148" t="s">
        <v>339</v>
      </c>
      <c r="F33" s="361" t="s">
        <v>283</v>
      </c>
      <c r="G33" s="358"/>
      <c r="H33" s="133">
        <v>3</v>
      </c>
      <c r="I33" s="134" t="s">
        <v>353</v>
      </c>
      <c r="J33" s="174">
        <v>3</v>
      </c>
      <c r="K33" s="361"/>
      <c r="L33" s="357"/>
      <c r="M33" s="348">
        <v>3</v>
      </c>
      <c r="N33" s="349"/>
      <c r="O33" s="356"/>
      <c r="P33" s="357"/>
      <c r="Q33" s="348"/>
      <c r="R33" s="349"/>
      <c r="S33" s="356"/>
      <c r="T33" s="357"/>
      <c r="U33" s="348"/>
      <c r="V33" s="358"/>
      <c r="W33" s="374"/>
      <c r="X33" s="375"/>
      <c r="Y33" s="524"/>
    </row>
    <row r="34" spans="2:28" ht="23" customHeight="1" thickBot="1">
      <c r="B34" s="504"/>
      <c r="C34" s="505"/>
      <c r="D34" s="525" t="s">
        <v>357</v>
      </c>
      <c r="E34" s="149" t="s">
        <v>539</v>
      </c>
      <c r="F34" s="491" t="s">
        <v>535</v>
      </c>
      <c r="G34" s="486"/>
      <c r="H34" s="129">
        <v>4</v>
      </c>
      <c r="I34" s="141" t="s">
        <v>341</v>
      </c>
      <c r="J34" s="173">
        <v>4</v>
      </c>
      <c r="K34" s="491"/>
      <c r="L34" s="385"/>
      <c r="M34" s="386"/>
      <c r="N34" s="387"/>
      <c r="O34" s="384"/>
      <c r="P34" s="385"/>
      <c r="Q34" s="386">
        <v>4</v>
      </c>
      <c r="R34" s="387"/>
      <c r="S34" s="384"/>
      <c r="T34" s="385"/>
      <c r="U34" s="386"/>
      <c r="V34" s="486"/>
      <c r="W34" s="372">
        <f>SUM(K34:V35)</f>
        <v>8</v>
      </c>
      <c r="X34" s="373"/>
      <c r="Y34" s="524">
        <v>8</v>
      </c>
    </row>
    <row r="35" spans="2:28" ht="23.5" thickBot="1">
      <c r="B35" s="693"/>
      <c r="C35" s="694"/>
      <c r="D35" s="526"/>
      <c r="E35" s="235" t="s">
        <v>687</v>
      </c>
      <c r="F35" s="365" t="s">
        <v>692</v>
      </c>
      <c r="G35" s="364"/>
      <c r="H35" s="138">
        <v>4</v>
      </c>
      <c r="I35" s="139" t="s">
        <v>341</v>
      </c>
      <c r="J35" s="175">
        <v>4</v>
      </c>
      <c r="K35" s="365"/>
      <c r="L35" s="355"/>
      <c r="M35" s="352"/>
      <c r="N35" s="353"/>
      <c r="O35" s="356">
        <v>4</v>
      </c>
      <c r="P35" s="357"/>
      <c r="Q35" s="348"/>
      <c r="R35" s="349"/>
      <c r="S35" s="356"/>
      <c r="T35" s="357"/>
      <c r="U35" s="348"/>
      <c r="V35" s="358"/>
      <c r="W35" s="374"/>
      <c r="X35" s="375"/>
      <c r="Y35" s="524"/>
    </row>
    <row r="36" spans="2:28" ht="24.75" customHeight="1" thickBot="1">
      <c r="B36" s="497" t="s">
        <v>369</v>
      </c>
      <c r="C36" s="498"/>
      <c r="D36" s="498"/>
      <c r="E36" s="498"/>
      <c r="F36" s="498"/>
      <c r="G36" s="499"/>
      <c r="H36" s="179"/>
      <c r="I36" s="151"/>
      <c r="J36" s="178">
        <v>69</v>
      </c>
      <c r="K36" s="500">
        <f>SUM(K9:L35)</f>
        <v>17</v>
      </c>
      <c r="L36" s="501"/>
      <c r="M36" s="501">
        <f>SUM(M9:N35)</f>
        <v>18</v>
      </c>
      <c r="N36" s="601"/>
      <c r="O36" s="602">
        <v>16</v>
      </c>
      <c r="P36" s="501"/>
      <c r="Q36" s="501">
        <v>16</v>
      </c>
      <c r="R36" s="608"/>
      <c r="S36" s="609">
        <f>SUM(S9:T35)</f>
        <v>2</v>
      </c>
      <c r="T36" s="501"/>
      <c r="U36" s="501">
        <f>SUM(U9:V35)</f>
        <v>0</v>
      </c>
      <c r="V36" s="605"/>
      <c r="W36" s="409">
        <v>69</v>
      </c>
      <c r="X36" s="435"/>
      <c r="Y36" s="182">
        <f>SUM(Y9:Y35)</f>
        <v>64</v>
      </c>
      <c r="AA36" s="428" t="b">
        <f>W36&gt;=Y36</f>
        <v>1</v>
      </c>
      <c r="AB36" s="429"/>
    </row>
    <row r="37" spans="2:28" ht="17.25" customHeight="1">
      <c r="B37" s="502" t="s">
        <v>358</v>
      </c>
      <c r="C37" s="503"/>
      <c r="D37" s="516" t="s">
        <v>359</v>
      </c>
      <c r="E37" s="517"/>
      <c r="F37" s="406" t="s">
        <v>689</v>
      </c>
      <c r="G37" s="407"/>
      <c r="H37" s="129"/>
      <c r="I37" s="240"/>
      <c r="J37" s="244">
        <v>2</v>
      </c>
      <c r="K37" s="673"/>
      <c r="L37" s="674"/>
      <c r="M37" s="675"/>
      <c r="N37" s="676"/>
      <c r="O37" s="677">
        <v>2</v>
      </c>
      <c r="P37" s="674"/>
      <c r="Q37" s="675"/>
      <c r="R37" s="676"/>
      <c r="S37" s="677"/>
      <c r="T37" s="674"/>
      <c r="U37" s="675"/>
      <c r="V37" s="678"/>
      <c r="W37" s="603">
        <f>SUM(K37:V37)</f>
        <v>2</v>
      </c>
      <c r="X37" s="604"/>
      <c r="Y37" s="441">
        <v>80</v>
      </c>
    </row>
    <row r="38" spans="2:28" ht="17.25" customHeight="1">
      <c r="B38" s="504"/>
      <c r="C38" s="505"/>
      <c r="D38" s="518"/>
      <c r="E38" s="519"/>
      <c r="F38" s="506" t="s">
        <v>688</v>
      </c>
      <c r="G38" s="507"/>
      <c r="H38" s="133"/>
      <c r="I38" s="160"/>
      <c r="J38" s="245">
        <v>2</v>
      </c>
      <c r="K38" s="679"/>
      <c r="L38" s="680"/>
      <c r="M38" s="681"/>
      <c r="N38" s="682"/>
      <c r="O38" s="691"/>
      <c r="P38" s="680"/>
      <c r="Q38" s="681">
        <v>2</v>
      </c>
      <c r="R38" s="682"/>
      <c r="S38" s="691"/>
      <c r="T38" s="680"/>
      <c r="U38" s="681"/>
      <c r="V38" s="692"/>
      <c r="W38" s="359">
        <v>2</v>
      </c>
      <c r="X38" s="360"/>
      <c r="Y38" s="464"/>
    </row>
    <row r="39" spans="2:28" ht="17.25" customHeight="1" thickBot="1">
      <c r="B39" s="504"/>
      <c r="C39" s="505"/>
      <c r="D39" s="520"/>
      <c r="E39" s="521"/>
      <c r="F39" s="362" t="s">
        <v>696</v>
      </c>
      <c r="G39" s="363"/>
      <c r="H39" s="138"/>
      <c r="I39" s="164"/>
      <c r="J39" s="246">
        <v>2</v>
      </c>
      <c r="K39" s="683"/>
      <c r="L39" s="684"/>
      <c r="M39" s="685"/>
      <c r="N39" s="686"/>
      <c r="O39" s="687"/>
      <c r="P39" s="684"/>
      <c r="Q39" s="685"/>
      <c r="R39" s="686"/>
      <c r="S39" s="687">
        <v>2</v>
      </c>
      <c r="T39" s="684"/>
      <c r="U39" s="685"/>
      <c r="V39" s="688"/>
      <c r="W39" s="366">
        <v>2</v>
      </c>
      <c r="X39" s="367"/>
      <c r="Y39" s="464"/>
    </row>
    <row r="40" spans="2:28" ht="17.25" customHeight="1">
      <c r="B40" s="504"/>
      <c r="C40" s="505"/>
      <c r="D40" s="155" t="s">
        <v>564</v>
      </c>
      <c r="E40" s="153" t="s">
        <v>360</v>
      </c>
      <c r="F40" s="689" t="s">
        <v>560</v>
      </c>
      <c r="G40" s="690"/>
      <c r="H40" s="157"/>
      <c r="I40" s="158"/>
      <c r="J40" s="159">
        <v>8</v>
      </c>
      <c r="K40" s="390">
        <v>8</v>
      </c>
      <c r="L40" s="391"/>
      <c r="M40" s="484"/>
      <c r="N40" s="583"/>
      <c r="O40" s="393"/>
      <c r="P40" s="391"/>
      <c r="Q40" s="484"/>
      <c r="R40" s="584"/>
      <c r="S40" s="583"/>
      <c r="T40" s="391"/>
      <c r="U40" s="484"/>
      <c r="V40" s="485"/>
      <c r="W40" s="603">
        <f t="shared" ref="W40:W41" si="3">SUM(K40:V40)</f>
        <v>8</v>
      </c>
      <c r="X40" s="604"/>
      <c r="Y40" s="464"/>
    </row>
    <row r="41" spans="2:28" ht="17.25" customHeight="1">
      <c r="B41" s="504"/>
      <c r="C41" s="505"/>
      <c r="D41" s="52" t="s">
        <v>564</v>
      </c>
      <c r="E41" s="154" t="s">
        <v>360</v>
      </c>
      <c r="F41" s="510" t="s">
        <v>573</v>
      </c>
      <c r="G41" s="511"/>
      <c r="H41" s="157"/>
      <c r="I41" s="158"/>
      <c r="J41" s="159">
        <v>4</v>
      </c>
      <c r="K41" s="361">
        <v>4</v>
      </c>
      <c r="L41" s="357"/>
      <c r="M41" s="348"/>
      <c r="N41" s="349"/>
      <c r="O41" s="356"/>
      <c r="P41" s="357"/>
      <c r="Q41" s="348"/>
      <c r="R41" s="349"/>
      <c r="S41" s="356"/>
      <c r="T41" s="357"/>
      <c r="U41" s="348"/>
      <c r="V41" s="358"/>
      <c r="W41" s="359">
        <f t="shared" si="3"/>
        <v>4</v>
      </c>
      <c r="X41" s="360"/>
      <c r="Y41" s="464"/>
    </row>
    <row r="42" spans="2:28" ht="16.5" customHeight="1" thickBot="1">
      <c r="B42" s="504"/>
      <c r="C42" s="505"/>
      <c r="D42" s="237" t="s">
        <v>564</v>
      </c>
      <c r="E42" s="156" t="s">
        <v>360</v>
      </c>
      <c r="F42" s="350" t="s">
        <v>561</v>
      </c>
      <c r="G42" s="351"/>
      <c r="H42" s="138"/>
      <c r="I42" s="164"/>
      <c r="J42" s="175">
        <v>6</v>
      </c>
      <c r="K42" s="170"/>
      <c r="L42" s="171"/>
      <c r="M42" s="352">
        <v>6</v>
      </c>
      <c r="N42" s="353"/>
      <c r="O42" s="354"/>
      <c r="P42" s="355"/>
      <c r="Q42" s="352"/>
      <c r="R42" s="353"/>
      <c r="S42" s="354"/>
      <c r="T42" s="355"/>
      <c r="U42" s="352"/>
      <c r="V42" s="364"/>
      <c r="W42" s="366">
        <v>6</v>
      </c>
      <c r="X42" s="367"/>
      <c r="Y42" s="464"/>
    </row>
    <row r="43" spans="2:28" ht="16.5" customHeight="1">
      <c r="B43" s="504"/>
      <c r="C43" s="505"/>
      <c r="D43" s="238" t="s">
        <v>564</v>
      </c>
      <c r="E43" s="153" t="s">
        <v>361</v>
      </c>
      <c r="F43" s="378" t="s">
        <v>693</v>
      </c>
      <c r="G43" s="379"/>
      <c r="H43" s="157"/>
      <c r="I43" s="158"/>
      <c r="J43" s="159">
        <v>5</v>
      </c>
      <c r="K43" s="168"/>
      <c r="L43" s="169"/>
      <c r="M43" s="386">
        <v>5</v>
      </c>
      <c r="N43" s="387"/>
      <c r="O43" s="384"/>
      <c r="P43" s="385"/>
      <c r="Q43" s="386"/>
      <c r="R43" s="387"/>
      <c r="S43" s="384"/>
      <c r="T43" s="385"/>
      <c r="U43" s="386"/>
      <c r="V43" s="486"/>
      <c r="W43" s="606">
        <v>5</v>
      </c>
      <c r="X43" s="607"/>
      <c r="Y43" s="464"/>
    </row>
    <row r="44" spans="2:28" ht="16.5" customHeight="1">
      <c r="B44" s="504"/>
      <c r="C44" s="505"/>
      <c r="D44" s="238" t="s">
        <v>564</v>
      </c>
      <c r="E44" s="154" t="s">
        <v>361</v>
      </c>
      <c r="F44" s="380" t="s">
        <v>574</v>
      </c>
      <c r="G44" s="381"/>
      <c r="H44" s="133"/>
      <c r="I44" s="160"/>
      <c r="J44" s="174">
        <v>8</v>
      </c>
      <c r="K44" s="176"/>
      <c r="L44" s="177"/>
      <c r="M44" s="348"/>
      <c r="N44" s="349"/>
      <c r="O44" s="356">
        <v>4</v>
      </c>
      <c r="P44" s="357"/>
      <c r="Q44" s="348">
        <v>4</v>
      </c>
      <c r="R44" s="349"/>
      <c r="S44" s="356"/>
      <c r="T44" s="357"/>
      <c r="U44" s="348"/>
      <c r="V44" s="358"/>
      <c r="W44" s="359">
        <v>8</v>
      </c>
      <c r="X44" s="360"/>
      <c r="Y44" s="464"/>
    </row>
    <row r="45" spans="2:28" ht="16.5" customHeight="1">
      <c r="B45" s="504"/>
      <c r="C45" s="505"/>
      <c r="D45" s="52" t="s">
        <v>564</v>
      </c>
      <c r="E45" s="154" t="s">
        <v>361</v>
      </c>
      <c r="F45" s="382" t="s">
        <v>575</v>
      </c>
      <c r="G45" s="383"/>
      <c r="H45" s="133"/>
      <c r="I45" s="160"/>
      <c r="J45" s="174">
        <v>8</v>
      </c>
      <c r="K45" s="176"/>
      <c r="L45" s="177"/>
      <c r="M45" s="348"/>
      <c r="N45" s="349"/>
      <c r="O45" s="356">
        <v>4</v>
      </c>
      <c r="P45" s="357"/>
      <c r="Q45" s="348">
        <v>4</v>
      </c>
      <c r="R45" s="349"/>
      <c r="S45" s="356"/>
      <c r="T45" s="357"/>
      <c r="U45" s="348"/>
      <c r="V45" s="358"/>
      <c r="W45" s="359">
        <v>8</v>
      </c>
      <c r="X45" s="360"/>
      <c r="Y45" s="464"/>
    </row>
    <row r="46" spans="2:28" ht="16.5" customHeight="1">
      <c r="B46" s="504"/>
      <c r="C46" s="505"/>
      <c r="D46" s="52" t="s">
        <v>363</v>
      </c>
      <c r="E46" s="154" t="s">
        <v>361</v>
      </c>
      <c r="F46" s="382" t="s">
        <v>580</v>
      </c>
      <c r="G46" s="383"/>
      <c r="H46" s="133"/>
      <c r="I46" s="160"/>
      <c r="J46" s="174">
        <v>8</v>
      </c>
      <c r="K46" s="176"/>
      <c r="L46" s="177"/>
      <c r="M46" s="348"/>
      <c r="N46" s="349"/>
      <c r="O46" s="356"/>
      <c r="P46" s="357"/>
      <c r="Q46" s="348"/>
      <c r="R46" s="349"/>
      <c r="S46" s="356">
        <v>8</v>
      </c>
      <c r="T46" s="357"/>
      <c r="U46" s="348"/>
      <c r="V46" s="358"/>
      <c r="W46" s="359">
        <v>8</v>
      </c>
      <c r="X46" s="360"/>
      <c r="Y46" s="464"/>
    </row>
    <row r="47" spans="2:28" ht="16.5" customHeight="1">
      <c r="B47" s="504"/>
      <c r="C47" s="505"/>
      <c r="D47" s="52" t="s">
        <v>564</v>
      </c>
      <c r="E47" s="154" t="s">
        <v>361</v>
      </c>
      <c r="F47" s="382" t="s">
        <v>576</v>
      </c>
      <c r="G47" s="383"/>
      <c r="H47" s="133"/>
      <c r="I47" s="160"/>
      <c r="J47" s="207">
        <v>18</v>
      </c>
      <c r="K47" s="514"/>
      <c r="L47" s="515"/>
      <c r="M47" s="348"/>
      <c r="N47" s="349"/>
      <c r="O47" s="356"/>
      <c r="P47" s="357"/>
      <c r="Q47" s="348"/>
      <c r="R47" s="349"/>
      <c r="S47" s="356">
        <v>9</v>
      </c>
      <c r="T47" s="357"/>
      <c r="U47" s="348">
        <v>9</v>
      </c>
      <c r="V47" s="358"/>
      <c r="W47" s="359">
        <v>18</v>
      </c>
      <c r="X47" s="360"/>
      <c r="Y47" s="464"/>
    </row>
    <row r="48" spans="2:28" ht="16.5" customHeight="1">
      <c r="B48" s="504"/>
      <c r="C48" s="505"/>
      <c r="D48" s="52" t="s">
        <v>564</v>
      </c>
      <c r="E48" s="154" t="s">
        <v>361</v>
      </c>
      <c r="F48" s="380" t="s">
        <v>577</v>
      </c>
      <c r="G48" s="381"/>
      <c r="H48" s="133"/>
      <c r="I48" s="160"/>
      <c r="J48" s="174">
        <v>16</v>
      </c>
      <c r="K48" s="176"/>
      <c r="L48" s="177"/>
      <c r="M48" s="348"/>
      <c r="N48" s="349"/>
      <c r="O48" s="356"/>
      <c r="P48" s="357"/>
      <c r="Q48" s="348"/>
      <c r="R48" s="349"/>
      <c r="S48" s="356">
        <v>8</v>
      </c>
      <c r="T48" s="357"/>
      <c r="U48" s="348">
        <v>8</v>
      </c>
      <c r="V48" s="358"/>
      <c r="W48" s="359">
        <v>16</v>
      </c>
      <c r="X48" s="360"/>
      <c r="Y48" s="464"/>
    </row>
    <row r="49" spans="2:29" ht="16.5" customHeight="1">
      <c r="B49" s="504"/>
      <c r="C49" s="505"/>
      <c r="D49" s="52" t="s">
        <v>564</v>
      </c>
      <c r="E49" s="154" t="s">
        <v>361</v>
      </c>
      <c r="F49" s="380" t="s">
        <v>578</v>
      </c>
      <c r="G49" s="381"/>
      <c r="H49" s="133"/>
      <c r="I49" s="160"/>
      <c r="J49" s="174">
        <v>4</v>
      </c>
      <c r="K49" s="176"/>
      <c r="L49" s="177"/>
      <c r="M49" s="348"/>
      <c r="N49" s="349"/>
      <c r="O49" s="356"/>
      <c r="P49" s="357"/>
      <c r="Q49" s="348"/>
      <c r="R49" s="349"/>
      <c r="S49" s="356"/>
      <c r="T49" s="357"/>
      <c r="U49" s="348">
        <v>4</v>
      </c>
      <c r="V49" s="358"/>
      <c r="W49" s="359">
        <v>4</v>
      </c>
      <c r="X49" s="360"/>
      <c r="Y49" s="464"/>
    </row>
    <row r="50" spans="2:29" ht="16.5" customHeight="1" thickBot="1">
      <c r="B50" s="504"/>
      <c r="C50" s="505"/>
      <c r="D50" s="52" t="s">
        <v>363</v>
      </c>
      <c r="E50" s="154" t="s">
        <v>361</v>
      </c>
      <c r="F50" s="380" t="s">
        <v>579</v>
      </c>
      <c r="G50" s="381"/>
      <c r="H50" s="133"/>
      <c r="I50" s="160"/>
      <c r="J50" s="174">
        <v>8</v>
      </c>
      <c r="K50" s="176"/>
      <c r="L50" s="177"/>
      <c r="M50" s="352"/>
      <c r="N50" s="353"/>
      <c r="O50" s="356"/>
      <c r="P50" s="357"/>
      <c r="Q50" s="348"/>
      <c r="R50" s="349"/>
      <c r="S50" s="356"/>
      <c r="T50" s="357"/>
      <c r="U50" s="348">
        <v>8</v>
      </c>
      <c r="V50" s="358"/>
      <c r="W50" s="359">
        <v>8</v>
      </c>
      <c r="X50" s="360"/>
      <c r="Y50" s="464"/>
    </row>
    <row r="51" spans="2:29" ht="16.5" customHeight="1">
      <c r="B51" s="369" t="s">
        <v>153</v>
      </c>
      <c r="C51" s="369" t="s">
        <v>581</v>
      </c>
      <c r="D51" s="155" t="s">
        <v>564</v>
      </c>
      <c r="E51" s="51" t="s">
        <v>360</v>
      </c>
      <c r="F51" s="492" t="s">
        <v>582</v>
      </c>
      <c r="G51" s="493"/>
      <c r="H51" s="129"/>
      <c r="I51" s="165"/>
      <c r="J51" s="494">
        <v>6</v>
      </c>
      <c r="K51" s="491"/>
      <c r="L51" s="385"/>
      <c r="M51" s="386"/>
      <c r="N51" s="392"/>
      <c r="O51" s="384">
        <v>3</v>
      </c>
      <c r="P51" s="385"/>
      <c r="Q51" s="386"/>
      <c r="R51" s="387"/>
      <c r="S51" s="392"/>
      <c r="T51" s="385"/>
      <c r="U51" s="386"/>
      <c r="V51" s="486"/>
      <c r="W51" s="372">
        <v>6</v>
      </c>
      <c r="X51" s="373"/>
      <c r="Y51" s="464"/>
    </row>
    <row r="52" spans="2:29" ht="16.5" customHeight="1" thickBot="1">
      <c r="B52" s="371"/>
      <c r="C52" s="370"/>
      <c r="D52" s="53" t="s">
        <v>564</v>
      </c>
      <c r="E52" s="156" t="s">
        <v>360</v>
      </c>
      <c r="F52" s="487" t="s">
        <v>541</v>
      </c>
      <c r="G52" s="488"/>
      <c r="H52" s="138"/>
      <c r="I52" s="166"/>
      <c r="J52" s="495"/>
      <c r="K52" s="365"/>
      <c r="L52" s="355"/>
      <c r="M52" s="352"/>
      <c r="N52" s="353"/>
      <c r="O52" s="354"/>
      <c r="P52" s="355"/>
      <c r="Q52" s="352">
        <v>3</v>
      </c>
      <c r="R52" s="353"/>
      <c r="S52" s="354"/>
      <c r="T52" s="355"/>
      <c r="U52" s="352"/>
      <c r="V52" s="364"/>
      <c r="W52" s="374"/>
      <c r="X52" s="375"/>
      <c r="Y52" s="464"/>
    </row>
    <row r="53" spans="2:29">
      <c r="B53" s="371"/>
      <c r="C53" s="369" t="s">
        <v>549</v>
      </c>
      <c r="D53" s="163" t="s">
        <v>564</v>
      </c>
      <c r="E53" s="51" t="s">
        <v>360</v>
      </c>
      <c r="F53" s="489" t="s">
        <v>562</v>
      </c>
      <c r="G53" s="490"/>
      <c r="H53" s="129"/>
      <c r="I53" s="165"/>
      <c r="J53" s="495"/>
      <c r="K53" s="491"/>
      <c r="L53" s="385"/>
      <c r="M53" s="386"/>
      <c r="N53" s="392"/>
      <c r="O53" s="384">
        <v>3</v>
      </c>
      <c r="P53" s="385"/>
      <c r="Q53" s="386"/>
      <c r="R53" s="387"/>
      <c r="S53" s="392"/>
      <c r="T53" s="385"/>
      <c r="U53" s="386"/>
      <c r="V53" s="486"/>
      <c r="W53" s="374"/>
      <c r="X53" s="375"/>
      <c r="Y53" s="464"/>
    </row>
    <row r="54" spans="2:29" ht="17.5" thickBot="1">
      <c r="B54" s="371"/>
      <c r="C54" s="370"/>
      <c r="D54" s="53" t="s">
        <v>565</v>
      </c>
      <c r="E54" s="156" t="s">
        <v>361</v>
      </c>
      <c r="F54" s="487" t="s">
        <v>624</v>
      </c>
      <c r="G54" s="488"/>
      <c r="H54" s="138"/>
      <c r="I54" s="166"/>
      <c r="J54" s="495"/>
      <c r="K54" s="365"/>
      <c r="L54" s="355"/>
      <c r="M54" s="352"/>
      <c r="N54" s="394"/>
      <c r="O54" s="354"/>
      <c r="P54" s="355"/>
      <c r="Q54" s="352">
        <v>3</v>
      </c>
      <c r="R54" s="353"/>
      <c r="S54" s="394"/>
      <c r="T54" s="355"/>
      <c r="U54" s="352"/>
      <c r="V54" s="364"/>
      <c r="W54" s="374"/>
      <c r="X54" s="375"/>
      <c r="Y54" s="464"/>
    </row>
    <row r="55" spans="2:29">
      <c r="B55" s="371"/>
      <c r="C55" s="369" t="s">
        <v>550</v>
      </c>
      <c r="D55" s="52" t="s">
        <v>564</v>
      </c>
      <c r="E55" s="51" t="s">
        <v>360</v>
      </c>
      <c r="F55" s="489" t="s">
        <v>562</v>
      </c>
      <c r="G55" s="490"/>
      <c r="H55" s="129"/>
      <c r="I55" s="165"/>
      <c r="J55" s="495"/>
      <c r="K55" s="491"/>
      <c r="L55" s="385"/>
      <c r="M55" s="386"/>
      <c r="N55" s="392"/>
      <c r="O55" s="384">
        <v>3</v>
      </c>
      <c r="P55" s="385"/>
      <c r="Q55" s="386"/>
      <c r="R55" s="387"/>
      <c r="S55" s="392"/>
      <c r="T55" s="385"/>
      <c r="U55" s="386"/>
      <c r="V55" s="486"/>
      <c r="W55" s="374"/>
      <c r="X55" s="375"/>
      <c r="Y55" s="464"/>
    </row>
    <row r="56" spans="2:29" ht="17.5" thickBot="1">
      <c r="B56" s="371"/>
      <c r="C56" s="370"/>
      <c r="D56" s="53" t="s">
        <v>565</v>
      </c>
      <c r="E56" s="156" t="s">
        <v>361</v>
      </c>
      <c r="F56" s="487" t="s">
        <v>632</v>
      </c>
      <c r="G56" s="488"/>
      <c r="H56" s="138"/>
      <c r="I56" s="166"/>
      <c r="J56" s="495"/>
      <c r="K56" s="365"/>
      <c r="L56" s="355"/>
      <c r="M56" s="352"/>
      <c r="N56" s="394"/>
      <c r="O56" s="354"/>
      <c r="P56" s="355"/>
      <c r="Q56" s="352">
        <v>3</v>
      </c>
      <c r="R56" s="353"/>
      <c r="S56" s="394"/>
      <c r="T56" s="355"/>
      <c r="U56" s="352"/>
      <c r="V56" s="364"/>
      <c r="W56" s="374"/>
      <c r="X56" s="375"/>
      <c r="Y56" s="464"/>
    </row>
    <row r="57" spans="2:29">
      <c r="B57" s="371"/>
      <c r="C57" s="371" t="s">
        <v>551</v>
      </c>
      <c r="D57" s="163" t="s">
        <v>363</v>
      </c>
      <c r="E57" s="153" t="s">
        <v>360</v>
      </c>
      <c r="F57" s="388" t="s">
        <v>364</v>
      </c>
      <c r="G57" s="389"/>
      <c r="H57" s="157"/>
      <c r="I57" s="167"/>
      <c r="J57" s="495"/>
      <c r="K57" s="390"/>
      <c r="L57" s="391"/>
      <c r="M57" s="484"/>
      <c r="N57" s="583"/>
      <c r="O57" s="393">
        <v>3</v>
      </c>
      <c r="P57" s="391"/>
      <c r="Q57" s="484"/>
      <c r="R57" s="584"/>
      <c r="S57" s="583"/>
      <c r="T57" s="391"/>
      <c r="U57" s="484"/>
      <c r="V57" s="485"/>
      <c r="W57" s="374"/>
      <c r="X57" s="375"/>
      <c r="Y57" s="464"/>
      <c r="AC57" s="172"/>
    </row>
    <row r="58" spans="2:29" ht="17.5" thickBot="1">
      <c r="B58" s="371"/>
      <c r="C58" s="371"/>
      <c r="D58" s="53" t="s">
        <v>363</v>
      </c>
      <c r="E58" s="156" t="s">
        <v>360</v>
      </c>
      <c r="F58" s="350" t="s">
        <v>563</v>
      </c>
      <c r="G58" s="351"/>
      <c r="H58" s="138"/>
      <c r="I58" s="166"/>
      <c r="J58" s="496"/>
      <c r="K58" s="365"/>
      <c r="L58" s="355"/>
      <c r="M58" s="352"/>
      <c r="N58" s="394"/>
      <c r="O58" s="354"/>
      <c r="P58" s="355"/>
      <c r="Q58" s="352">
        <v>3</v>
      </c>
      <c r="R58" s="353"/>
      <c r="S58" s="394"/>
      <c r="T58" s="355"/>
      <c r="U58" s="352"/>
      <c r="V58" s="364"/>
      <c r="W58" s="376"/>
      <c r="X58" s="377"/>
      <c r="Y58" s="464"/>
      <c r="AC58" s="172"/>
    </row>
    <row r="59" spans="2:29" ht="24.75" customHeight="1">
      <c r="B59" s="466" t="s">
        <v>370</v>
      </c>
      <c r="C59" s="467"/>
      <c r="D59" s="468"/>
      <c r="E59" s="468"/>
      <c r="F59" s="468"/>
      <c r="G59" s="438"/>
      <c r="H59" s="470">
        <f>SUM(H37:H50)</f>
        <v>0</v>
      </c>
      <c r="I59" s="472">
        <f>SUM(I37:I50)</f>
        <v>0</v>
      </c>
      <c r="J59" s="474">
        <f>SUM(J37:J58)</f>
        <v>105</v>
      </c>
      <c r="K59" s="437">
        <f>SUM(K37:L58)</f>
        <v>12</v>
      </c>
      <c r="L59" s="476"/>
      <c r="M59" s="478">
        <f>SUM(M37:N53)</f>
        <v>11</v>
      </c>
      <c r="N59" s="468"/>
      <c r="O59" s="480">
        <v>13</v>
      </c>
      <c r="P59" s="476"/>
      <c r="Q59" s="478">
        <f>SUM(Q37:R53)</f>
        <v>13</v>
      </c>
      <c r="R59" s="482"/>
      <c r="S59" s="468">
        <f>SUM(S37:T53)</f>
        <v>27</v>
      </c>
      <c r="T59" s="476"/>
      <c r="U59" s="478">
        <f>SUM(U37:V53)</f>
        <v>29</v>
      </c>
      <c r="V59" s="438"/>
      <c r="W59" s="437">
        <f>SUM(K59:V60)</f>
        <v>105</v>
      </c>
      <c r="X59" s="438"/>
      <c r="Y59" s="441">
        <f>SUM(Y37:Y54)</f>
        <v>80</v>
      </c>
      <c r="AC59" s="172"/>
    </row>
    <row r="60" spans="2:29" ht="17.5" thickBot="1">
      <c r="B60" s="439"/>
      <c r="C60" s="469"/>
      <c r="D60" s="469"/>
      <c r="E60" s="469"/>
      <c r="F60" s="469"/>
      <c r="G60" s="440"/>
      <c r="H60" s="471"/>
      <c r="I60" s="473"/>
      <c r="J60" s="475"/>
      <c r="K60" s="439"/>
      <c r="L60" s="477"/>
      <c r="M60" s="479"/>
      <c r="N60" s="469"/>
      <c r="O60" s="481"/>
      <c r="P60" s="477"/>
      <c r="Q60" s="479"/>
      <c r="R60" s="483"/>
      <c r="S60" s="469"/>
      <c r="T60" s="477"/>
      <c r="U60" s="479"/>
      <c r="V60" s="440"/>
      <c r="W60" s="439"/>
      <c r="X60" s="440"/>
      <c r="Y60" s="442"/>
      <c r="AC60" s="54"/>
    </row>
    <row r="61" spans="2:29" ht="17.25" customHeight="1" thickBot="1">
      <c r="B61" s="409"/>
      <c r="C61" s="410"/>
      <c r="D61" s="410"/>
      <c r="E61" s="410"/>
      <c r="F61" s="410"/>
      <c r="G61" s="411"/>
      <c r="H61" s="183">
        <f>SUM(H36,H59)</f>
        <v>0</v>
      </c>
      <c r="I61" s="181">
        <f>SUM(I36,I59)</f>
        <v>0</v>
      </c>
      <c r="J61" s="182">
        <f>SUM(J36,J59)</f>
        <v>174</v>
      </c>
      <c r="K61" s="409">
        <f>SUM(K36,K59)</f>
        <v>29</v>
      </c>
      <c r="L61" s="435"/>
      <c r="M61" s="436">
        <f>SUM(M36,M59)</f>
        <v>29</v>
      </c>
      <c r="N61" s="412"/>
      <c r="O61" s="413">
        <f>SUM(O36,O59)</f>
        <v>29</v>
      </c>
      <c r="P61" s="435"/>
      <c r="Q61" s="436">
        <f>SUM(Q36,Q59)</f>
        <v>29</v>
      </c>
      <c r="R61" s="412"/>
      <c r="S61" s="413">
        <f>SUM(S36,S59)</f>
        <v>29</v>
      </c>
      <c r="T61" s="435"/>
      <c r="U61" s="436">
        <f>SUM(U36,U59)</f>
        <v>29</v>
      </c>
      <c r="V61" s="411"/>
      <c r="W61" s="409">
        <f>SUM(K61:V61)</f>
        <v>174</v>
      </c>
      <c r="X61" s="411"/>
      <c r="Y61" s="11">
        <f>Y59+Y36</f>
        <v>144</v>
      </c>
      <c r="AA61" s="414" t="s">
        <v>154</v>
      </c>
      <c r="AB61" s="414"/>
    </row>
    <row r="62" spans="2:29" ht="18.75" customHeight="1" thickBot="1">
      <c r="B62" s="444" t="s">
        <v>371</v>
      </c>
      <c r="C62" s="445"/>
      <c r="D62" s="445"/>
      <c r="E62" s="446"/>
      <c r="F62" s="453" t="s">
        <v>367</v>
      </c>
      <c r="G62" s="454"/>
      <c r="H62" s="454"/>
      <c r="I62" s="454"/>
      <c r="J62" s="455"/>
      <c r="K62" s="456">
        <v>16</v>
      </c>
      <c r="L62" s="457"/>
      <c r="M62" s="458">
        <v>16</v>
      </c>
      <c r="N62" s="459"/>
      <c r="O62" s="460">
        <v>16</v>
      </c>
      <c r="P62" s="457"/>
      <c r="Q62" s="458">
        <v>16</v>
      </c>
      <c r="R62" s="459"/>
      <c r="S62" s="460">
        <v>16</v>
      </c>
      <c r="T62" s="457"/>
      <c r="U62" s="458">
        <v>16</v>
      </c>
      <c r="V62" s="461"/>
      <c r="W62" s="444">
        <f>SUM(K62:V64)</f>
        <v>288</v>
      </c>
      <c r="X62" s="446"/>
      <c r="Y62" s="441">
        <f>Y65*16</f>
        <v>288</v>
      </c>
      <c r="AA62" s="443"/>
      <c r="AB62" s="443"/>
    </row>
    <row r="63" spans="2:29" ht="17.25" customHeight="1" thickBot="1">
      <c r="B63" s="447"/>
      <c r="C63" s="448"/>
      <c r="D63" s="448"/>
      <c r="E63" s="449"/>
      <c r="F63" s="430" t="s">
        <v>63</v>
      </c>
      <c r="G63" s="431"/>
      <c r="H63" s="431"/>
      <c r="I63" s="431"/>
      <c r="J63" s="432"/>
      <c r="K63" s="433">
        <v>16</v>
      </c>
      <c r="L63" s="425"/>
      <c r="M63" s="426">
        <v>16</v>
      </c>
      <c r="N63" s="434"/>
      <c r="O63" s="424">
        <v>16</v>
      </c>
      <c r="P63" s="425"/>
      <c r="Q63" s="426">
        <v>16</v>
      </c>
      <c r="R63" s="434"/>
      <c r="S63" s="424">
        <v>16</v>
      </c>
      <c r="T63" s="425"/>
      <c r="U63" s="426">
        <v>16</v>
      </c>
      <c r="V63" s="427"/>
      <c r="W63" s="447"/>
      <c r="X63" s="449"/>
      <c r="Y63" s="464"/>
      <c r="AA63" s="428" t="b">
        <f>W61&gt;=Y61</f>
        <v>1</v>
      </c>
      <c r="AB63" s="429"/>
    </row>
    <row r="64" spans="2:29" ht="17.25" customHeight="1">
      <c r="B64" s="447"/>
      <c r="C64" s="448"/>
      <c r="D64" s="448"/>
      <c r="E64" s="449"/>
      <c r="F64" s="430" t="s">
        <v>11</v>
      </c>
      <c r="G64" s="431"/>
      <c r="H64" s="431"/>
      <c r="I64" s="431"/>
      <c r="J64" s="432"/>
      <c r="K64" s="433">
        <v>16</v>
      </c>
      <c r="L64" s="425"/>
      <c r="M64" s="426">
        <v>16</v>
      </c>
      <c r="N64" s="434"/>
      <c r="O64" s="424">
        <v>16</v>
      </c>
      <c r="P64" s="425"/>
      <c r="Q64" s="426">
        <v>16</v>
      </c>
      <c r="R64" s="434"/>
      <c r="S64" s="424">
        <v>16</v>
      </c>
      <c r="T64" s="425"/>
      <c r="U64" s="426">
        <v>16</v>
      </c>
      <c r="V64" s="427"/>
      <c r="W64" s="462"/>
      <c r="X64" s="463"/>
      <c r="Y64" s="465"/>
    </row>
    <row r="65" spans="2:28" ht="17.25" customHeight="1" thickBot="1">
      <c r="B65" s="450"/>
      <c r="C65" s="451"/>
      <c r="D65" s="451"/>
      <c r="E65" s="452"/>
      <c r="F65" s="415" t="s">
        <v>149</v>
      </c>
      <c r="G65" s="416"/>
      <c r="H65" s="416"/>
      <c r="I65" s="416"/>
      <c r="J65" s="417"/>
      <c r="K65" s="418">
        <v>3</v>
      </c>
      <c r="L65" s="419"/>
      <c r="M65" s="420">
        <v>3</v>
      </c>
      <c r="N65" s="421"/>
      <c r="O65" s="422">
        <v>3</v>
      </c>
      <c r="P65" s="419"/>
      <c r="Q65" s="420">
        <v>3</v>
      </c>
      <c r="R65" s="421"/>
      <c r="S65" s="422">
        <v>3</v>
      </c>
      <c r="T65" s="419"/>
      <c r="U65" s="420">
        <v>3</v>
      </c>
      <c r="V65" s="423"/>
      <c r="W65" s="415">
        <f>SUM(K65:V65)</f>
        <v>18</v>
      </c>
      <c r="X65" s="417"/>
      <c r="Y65" s="55">
        <v>18</v>
      </c>
      <c r="AA65" s="414" t="s">
        <v>155</v>
      </c>
      <c r="AB65" s="414"/>
    </row>
    <row r="66" spans="2:28" ht="17.25" customHeight="1" thickBot="1">
      <c r="B66" s="409"/>
      <c r="C66" s="410"/>
      <c r="D66" s="410"/>
      <c r="E66" s="410"/>
      <c r="F66" s="410"/>
      <c r="G66" s="410"/>
      <c r="H66" s="410"/>
      <c r="I66" s="410"/>
      <c r="J66" s="411"/>
      <c r="K66" s="409">
        <v>32</v>
      </c>
      <c r="L66" s="435"/>
      <c r="M66" s="436">
        <v>32</v>
      </c>
      <c r="N66" s="412"/>
      <c r="O66" s="413">
        <v>32</v>
      </c>
      <c r="P66" s="435"/>
      <c r="Q66" s="436">
        <v>32</v>
      </c>
      <c r="R66" s="412"/>
      <c r="S66" s="413">
        <v>32</v>
      </c>
      <c r="T66" s="435"/>
      <c r="U66" s="436">
        <v>32</v>
      </c>
      <c r="V66" s="411"/>
      <c r="W66" s="409">
        <f>SUM(K66:V66)</f>
        <v>192</v>
      </c>
      <c r="X66" s="411"/>
      <c r="Y66" s="45">
        <f>W66</f>
        <v>192</v>
      </c>
      <c r="AA66" s="428" t="b">
        <f>W65&gt;=Y65</f>
        <v>1</v>
      </c>
      <c r="AB66" s="429"/>
    </row>
    <row r="67" spans="2:28" ht="17.25" customHeight="1" thickBot="1">
      <c r="B67" s="409"/>
      <c r="C67" s="410"/>
      <c r="D67" s="410"/>
      <c r="E67" s="410"/>
      <c r="F67" s="410"/>
      <c r="G67" s="410"/>
      <c r="H67" s="410"/>
      <c r="I67" s="410"/>
      <c r="J67" s="411"/>
      <c r="K67" s="409">
        <f>SUM(K66:N66)</f>
        <v>64</v>
      </c>
      <c r="L67" s="410"/>
      <c r="M67" s="410"/>
      <c r="N67" s="412"/>
      <c r="O67" s="413">
        <f>SUM(O66:R66)</f>
        <v>64</v>
      </c>
      <c r="P67" s="410"/>
      <c r="Q67" s="410"/>
      <c r="R67" s="412"/>
      <c r="S67" s="413">
        <f>SUM(S66:V66)</f>
        <v>64</v>
      </c>
      <c r="T67" s="410"/>
      <c r="U67" s="410"/>
      <c r="V67" s="411"/>
      <c r="W67" s="409">
        <f>SUM(K67:V67)</f>
        <v>192</v>
      </c>
      <c r="X67" s="411"/>
      <c r="Y67" s="11"/>
      <c r="AA67" s="414" t="s">
        <v>152</v>
      </c>
      <c r="AB67" s="414"/>
    </row>
    <row r="68" spans="2:28" ht="17.25" customHeight="1" thickBot="1">
      <c r="AA68" s="428" t="b">
        <f>W66&gt;=Y66</f>
        <v>1</v>
      </c>
      <c r="AB68" s="429"/>
    </row>
    <row r="69" spans="2:28" ht="17.25" customHeight="1"/>
    <row r="70" spans="2:28" ht="17.25" customHeight="1"/>
    <row r="71" spans="2:28" ht="17.25" customHeight="1"/>
    <row r="73" spans="2:28" ht="25" customHeight="1"/>
    <row r="74" spans="2:28" ht="25" customHeight="1"/>
    <row r="75" spans="2:28" ht="32.25" customHeight="1"/>
    <row r="76" spans="2:28" ht="25" customHeight="1"/>
    <row r="78" spans="2:28" ht="16.5" customHeight="1"/>
    <row r="79" spans="2:28" ht="17.2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244.5" customHeight="1"/>
  </sheetData>
  <mergeCells count="511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5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X9:X10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W11:X11"/>
    <mergeCell ref="F12:G12"/>
    <mergeCell ref="K12:L12"/>
    <mergeCell ref="M12:N12"/>
    <mergeCell ref="O12:P12"/>
    <mergeCell ref="Q12:R12"/>
    <mergeCell ref="S12:T12"/>
    <mergeCell ref="U12:V12"/>
    <mergeCell ref="W12:X12"/>
    <mergeCell ref="K11:L11"/>
    <mergeCell ref="M11:N11"/>
    <mergeCell ref="O11:P11"/>
    <mergeCell ref="Q11:R11"/>
    <mergeCell ref="S11:T11"/>
    <mergeCell ref="U11:V11"/>
    <mergeCell ref="W16:X16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F13:G13"/>
    <mergeCell ref="K13:L13"/>
    <mergeCell ref="M13:N13"/>
    <mergeCell ref="O13:P13"/>
    <mergeCell ref="Q13:R13"/>
    <mergeCell ref="M16:N16"/>
    <mergeCell ref="O16:P16"/>
    <mergeCell ref="Q16:R16"/>
    <mergeCell ref="S16:T16"/>
    <mergeCell ref="F15:G15"/>
    <mergeCell ref="K15:L15"/>
    <mergeCell ref="M15:N15"/>
    <mergeCell ref="O15:P15"/>
    <mergeCell ref="U16:V16"/>
    <mergeCell ref="AB16:AD16"/>
    <mergeCell ref="D17:D20"/>
    <mergeCell ref="F17:G17"/>
    <mergeCell ref="K17:L17"/>
    <mergeCell ref="M17:N17"/>
    <mergeCell ref="O17:P17"/>
    <mergeCell ref="Q17:R17"/>
    <mergeCell ref="S17:T17"/>
    <mergeCell ref="D13:D16"/>
    <mergeCell ref="U17:V17"/>
    <mergeCell ref="X17:X18"/>
    <mergeCell ref="F18:G18"/>
    <mergeCell ref="K18:L18"/>
    <mergeCell ref="M18:N18"/>
    <mergeCell ref="O18:P18"/>
    <mergeCell ref="Q18:R18"/>
    <mergeCell ref="S18:T18"/>
    <mergeCell ref="U18:V18"/>
    <mergeCell ref="Q15:R15"/>
    <mergeCell ref="S15:T15"/>
    <mergeCell ref="U15:V15"/>
    <mergeCell ref="W15:X15"/>
    <mergeCell ref="F16:G16"/>
    <mergeCell ref="K16:L16"/>
    <mergeCell ref="D21:D24"/>
    <mergeCell ref="F21:G21"/>
    <mergeCell ref="K21:L21"/>
    <mergeCell ref="M21:N21"/>
    <mergeCell ref="O21:P21"/>
    <mergeCell ref="Q21:R21"/>
    <mergeCell ref="U19:V19"/>
    <mergeCell ref="W19:X19"/>
    <mergeCell ref="F20:G20"/>
    <mergeCell ref="K20:L20"/>
    <mergeCell ref="M20:N20"/>
    <mergeCell ref="O20:P20"/>
    <mergeCell ref="Q20:R20"/>
    <mergeCell ref="S20:T20"/>
    <mergeCell ref="U20:V20"/>
    <mergeCell ref="W20:X20"/>
    <mergeCell ref="F19:G19"/>
    <mergeCell ref="K19:L19"/>
    <mergeCell ref="M19:N19"/>
    <mergeCell ref="O19:P19"/>
    <mergeCell ref="Q19:R19"/>
    <mergeCell ref="S19:T19"/>
    <mergeCell ref="S21:T21"/>
    <mergeCell ref="U21:V21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D25:D26"/>
    <mergeCell ref="F25:G25"/>
    <mergeCell ref="K25:L25"/>
    <mergeCell ref="M25:N25"/>
    <mergeCell ref="O25:P25"/>
    <mergeCell ref="Q25:R25"/>
    <mergeCell ref="X27:X31"/>
    <mergeCell ref="Y27:Y31"/>
    <mergeCell ref="F28:G28"/>
    <mergeCell ref="K28:L28"/>
    <mergeCell ref="M28:N28"/>
    <mergeCell ref="O28:P28"/>
    <mergeCell ref="Q28:R28"/>
    <mergeCell ref="S28:T28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U28:V28"/>
    <mergeCell ref="F29:G29"/>
    <mergeCell ref="K29:L29"/>
    <mergeCell ref="M29:N29"/>
    <mergeCell ref="O29:P29"/>
    <mergeCell ref="Q29:R29"/>
    <mergeCell ref="F31:G31"/>
    <mergeCell ref="K31:L31"/>
    <mergeCell ref="M31:N31"/>
    <mergeCell ref="O31:P31"/>
    <mergeCell ref="Q31:R31"/>
    <mergeCell ref="S31:T31"/>
    <mergeCell ref="U31:V31"/>
    <mergeCell ref="M33:N33"/>
    <mergeCell ref="O33:P33"/>
    <mergeCell ref="Q33:R33"/>
    <mergeCell ref="S33:T33"/>
    <mergeCell ref="F32:G32"/>
    <mergeCell ref="K32:L32"/>
    <mergeCell ref="M32:N32"/>
    <mergeCell ref="O32:P32"/>
    <mergeCell ref="Q32:R32"/>
    <mergeCell ref="K33:L33"/>
    <mergeCell ref="U33:V33"/>
    <mergeCell ref="S29:T29"/>
    <mergeCell ref="U29:V29"/>
    <mergeCell ref="S27:T27"/>
    <mergeCell ref="U27:V27"/>
    <mergeCell ref="Q30:R30"/>
    <mergeCell ref="S30:T30"/>
    <mergeCell ref="U30:V30"/>
    <mergeCell ref="AA36:AB36"/>
    <mergeCell ref="D32:D33"/>
    <mergeCell ref="W34:X35"/>
    <mergeCell ref="Y34:Y35"/>
    <mergeCell ref="F35:G35"/>
    <mergeCell ref="M35:N35"/>
    <mergeCell ref="O35:P35"/>
    <mergeCell ref="Q35:R35"/>
    <mergeCell ref="S35:T35"/>
    <mergeCell ref="U35:V35"/>
    <mergeCell ref="D34:D35"/>
    <mergeCell ref="F34:G34"/>
    <mergeCell ref="K34:L34"/>
    <mergeCell ref="M34:N34"/>
    <mergeCell ref="O34:P34"/>
    <mergeCell ref="Q34:R34"/>
    <mergeCell ref="S34:T34"/>
    <mergeCell ref="U34:V34"/>
    <mergeCell ref="K35:L35"/>
    <mergeCell ref="S32:T32"/>
    <mergeCell ref="U32:V32"/>
    <mergeCell ref="W32:X33"/>
    <mergeCell ref="Y32:Y33"/>
    <mergeCell ref="F33:G33"/>
    <mergeCell ref="M49:N49"/>
    <mergeCell ref="B36:G36"/>
    <mergeCell ref="K36:L36"/>
    <mergeCell ref="M36:N36"/>
    <mergeCell ref="O36:P36"/>
    <mergeCell ref="Q36:R36"/>
    <mergeCell ref="S36:T36"/>
    <mergeCell ref="U36:V36"/>
    <mergeCell ref="W36:X36"/>
    <mergeCell ref="O38:P38"/>
    <mergeCell ref="Q38:R38"/>
    <mergeCell ref="S38:T38"/>
    <mergeCell ref="U38:V38"/>
    <mergeCell ref="U41:V41"/>
    <mergeCell ref="F48:G48"/>
    <mergeCell ref="M48:N48"/>
    <mergeCell ref="O48:P48"/>
    <mergeCell ref="Q48:R48"/>
    <mergeCell ref="S48:T48"/>
    <mergeCell ref="U48:V48"/>
    <mergeCell ref="W37:X37"/>
    <mergeCell ref="Y37:Y58"/>
    <mergeCell ref="F39:G39"/>
    <mergeCell ref="K39:L39"/>
    <mergeCell ref="M39:N39"/>
    <mergeCell ref="O39:P39"/>
    <mergeCell ref="Q39:R39"/>
    <mergeCell ref="S39:T39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Q41:R41"/>
    <mergeCell ref="S41:T41"/>
    <mergeCell ref="W41:X41"/>
    <mergeCell ref="W42:X42"/>
    <mergeCell ref="F43:G43"/>
    <mergeCell ref="M43:N43"/>
    <mergeCell ref="O43:P43"/>
    <mergeCell ref="Q43:R43"/>
    <mergeCell ref="S43:T43"/>
    <mergeCell ref="U43:V43"/>
    <mergeCell ref="W43:X43"/>
    <mergeCell ref="F42:G42"/>
    <mergeCell ref="M42:N42"/>
    <mergeCell ref="O42:P42"/>
    <mergeCell ref="Q42:R42"/>
    <mergeCell ref="S42:T42"/>
    <mergeCell ref="U42:V42"/>
    <mergeCell ref="W48:X48"/>
    <mergeCell ref="F46:G46"/>
    <mergeCell ref="M46:N46"/>
    <mergeCell ref="O46:P46"/>
    <mergeCell ref="Q46:R46"/>
    <mergeCell ref="S46:T46"/>
    <mergeCell ref="U46:V46"/>
    <mergeCell ref="B51:B58"/>
    <mergeCell ref="C51:C52"/>
    <mergeCell ref="F51:G51"/>
    <mergeCell ref="J51:J58"/>
    <mergeCell ref="K51:L51"/>
    <mergeCell ref="M51:N51"/>
    <mergeCell ref="O51:P51"/>
    <mergeCell ref="Q51:R51"/>
    <mergeCell ref="W49:X49"/>
    <mergeCell ref="F50:G50"/>
    <mergeCell ref="M50:N50"/>
    <mergeCell ref="O50:P50"/>
    <mergeCell ref="Q50:R50"/>
    <mergeCell ref="S50:T50"/>
    <mergeCell ref="U50:V50"/>
    <mergeCell ref="W50:X50"/>
    <mergeCell ref="F49:G49"/>
    <mergeCell ref="O49:P49"/>
    <mergeCell ref="Q49:R49"/>
    <mergeCell ref="S49:T49"/>
    <mergeCell ref="U49:V49"/>
    <mergeCell ref="C53:C54"/>
    <mergeCell ref="F53:G53"/>
    <mergeCell ref="K53:L53"/>
    <mergeCell ref="M53:N53"/>
    <mergeCell ref="O53:P53"/>
    <mergeCell ref="Q53:R53"/>
    <mergeCell ref="S51:T51"/>
    <mergeCell ref="U51:V51"/>
    <mergeCell ref="B37:C50"/>
    <mergeCell ref="D37:E39"/>
    <mergeCell ref="F37:G37"/>
    <mergeCell ref="K37:L37"/>
    <mergeCell ref="M37:N37"/>
    <mergeCell ref="O37:P37"/>
    <mergeCell ref="Q37:R37"/>
    <mergeCell ref="S37:T37"/>
    <mergeCell ref="U37:V37"/>
    <mergeCell ref="F38:G38"/>
    <mergeCell ref="K38:L38"/>
    <mergeCell ref="M38:N38"/>
    <mergeCell ref="W51:X58"/>
    <mergeCell ref="F52:G52"/>
    <mergeCell ref="K52:L52"/>
    <mergeCell ref="M52:N52"/>
    <mergeCell ref="O52:P52"/>
    <mergeCell ref="Q52:R52"/>
    <mergeCell ref="S52:T52"/>
    <mergeCell ref="U52:V52"/>
    <mergeCell ref="S53:T53"/>
    <mergeCell ref="U53:V53"/>
    <mergeCell ref="F54:G54"/>
    <mergeCell ref="K54:L54"/>
    <mergeCell ref="M54:N54"/>
    <mergeCell ref="O54:P54"/>
    <mergeCell ref="Q54:R54"/>
    <mergeCell ref="S54:T54"/>
    <mergeCell ref="U54:V54"/>
    <mergeCell ref="K58:L58"/>
    <mergeCell ref="M58:N58"/>
    <mergeCell ref="O58:P58"/>
    <mergeCell ref="Q58:R58"/>
    <mergeCell ref="S58:T58"/>
    <mergeCell ref="U58:V58"/>
    <mergeCell ref="C57:C58"/>
    <mergeCell ref="F57:G57"/>
    <mergeCell ref="K57:L57"/>
    <mergeCell ref="M57:N57"/>
    <mergeCell ref="O57:P57"/>
    <mergeCell ref="Q57:R57"/>
    <mergeCell ref="S55:T55"/>
    <mergeCell ref="U55:V55"/>
    <mergeCell ref="F56:G56"/>
    <mergeCell ref="K56:L56"/>
    <mergeCell ref="M56:N56"/>
    <mergeCell ref="O56:P56"/>
    <mergeCell ref="Q56:R56"/>
    <mergeCell ref="S56:T56"/>
    <mergeCell ref="U56:V56"/>
    <mergeCell ref="C55:C56"/>
    <mergeCell ref="F55:G55"/>
    <mergeCell ref="K55:L55"/>
    <mergeCell ref="M55:N55"/>
    <mergeCell ref="O55:P55"/>
    <mergeCell ref="Q55:R55"/>
    <mergeCell ref="S57:T57"/>
    <mergeCell ref="U57:V57"/>
    <mergeCell ref="F58:G58"/>
    <mergeCell ref="O59:P60"/>
    <mergeCell ref="Q59:R60"/>
    <mergeCell ref="S59:T60"/>
    <mergeCell ref="U59:V60"/>
    <mergeCell ref="W59:X60"/>
    <mergeCell ref="Y59:Y60"/>
    <mergeCell ref="B59:G60"/>
    <mergeCell ref="H59:H60"/>
    <mergeCell ref="I59:I60"/>
    <mergeCell ref="J59:J60"/>
    <mergeCell ref="K59:L60"/>
    <mergeCell ref="M59:N60"/>
    <mergeCell ref="U61:V61"/>
    <mergeCell ref="W61:X61"/>
    <mergeCell ref="AA61:AB62"/>
    <mergeCell ref="B62:E65"/>
    <mergeCell ref="F62:J62"/>
    <mergeCell ref="K62:L62"/>
    <mergeCell ref="M62:N62"/>
    <mergeCell ref="O62:P62"/>
    <mergeCell ref="Q62:R62"/>
    <mergeCell ref="S62:T62"/>
    <mergeCell ref="B61:G61"/>
    <mergeCell ref="K61:L61"/>
    <mergeCell ref="M61:N61"/>
    <mergeCell ref="O61:P61"/>
    <mergeCell ref="Q61:R61"/>
    <mergeCell ref="S61:T61"/>
    <mergeCell ref="AA63:AB63"/>
    <mergeCell ref="F64:J64"/>
    <mergeCell ref="K64:L64"/>
    <mergeCell ref="M64:N64"/>
    <mergeCell ref="O64:P64"/>
    <mergeCell ref="Q64:R64"/>
    <mergeCell ref="S64:T64"/>
    <mergeCell ref="U64:V64"/>
    <mergeCell ref="U62:V62"/>
    <mergeCell ref="W62:X64"/>
    <mergeCell ref="Y62:Y64"/>
    <mergeCell ref="F63:J63"/>
    <mergeCell ref="K63:L63"/>
    <mergeCell ref="M63:N63"/>
    <mergeCell ref="O63:P63"/>
    <mergeCell ref="Q63:R63"/>
    <mergeCell ref="S63:T63"/>
    <mergeCell ref="U63:V63"/>
    <mergeCell ref="U65:V65"/>
    <mergeCell ref="W65:X65"/>
    <mergeCell ref="AA65:AB65"/>
    <mergeCell ref="B66:J66"/>
    <mergeCell ref="K66:L66"/>
    <mergeCell ref="M66:N66"/>
    <mergeCell ref="O66:P66"/>
    <mergeCell ref="Q66:R66"/>
    <mergeCell ref="S66:T66"/>
    <mergeCell ref="U66:V66"/>
    <mergeCell ref="F65:J65"/>
    <mergeCell ref="K65:L65"/>
    <mergeCell ref="M65:N65"/>
    <mergeCell ref="O65:P65"/>
    <mergeCell ref="Q65:R65"/>
    <mergeCell ref="S65:T65"/>
    <mergeCell ref="AA68:AB68"/>
    <mergeCell ref="W66:X66"/>
    <mergeCell ref="AA66:AB66"/>
    <mergeCell ref="B67:J67"/>
    <mergeCell ref="K67:N67"/>
    <mergeCell ref="O67:R67"/>
    <mergeCell ref="S67:V67"/>
    <mergeCell ref="W67:X67"/>
    <mergeCell ref="AA67:AB67"/>
    <mergeCell ref="W38:X38"/>
    <mergeCell ref="F47:G47"/>
    <mergeCell ref="K47:L47"/>
    <mergeCell ref="M47:N47"/>
    <mergeCell ref="O47:P47"/>
    <mergeCell ref="Q47:R47"/>
    <mergeCell ref="S47:T47"/>
    <mergeCell ref="U47:V47"/>
    <mergeCell ref="W47:X47"/>
    <mergeCell ref="W46:X46"/>
    <mergeCell ref="W44:X44"/>
    <mergeCell ref="F45:G45"/>
    <mergeCell ref="M45:N45"/>
    <mergeCell ref="O45:P45"/>
    <mergeCell ref="Q45:R45"/>
    <mergeCell ref="S45:T45"/>
    <mergeCell ref="U45:V45"/>
    <mergeCell ref="W45:X45"/>
    <mergeCell ref="F44:G44"/>
    <mergeCell ref="M44:N44"/>
    <mergeCell ref="O44:P44"/>
    <mergeCell ref="Q44:R44"/>
    <mergeCell ref="S44:T44"/>
    <mergeCell ref="U44:V44"/>
  </mergeCells>
  <phoneticPr fontId="9" type="noConversion"/>
  <conditionalFormatting sqref="AA36:AB36 AC60 AA63:AB63 AA66:AB66 AA68:AB68">
    <cfRule type="containsText" dxfId="2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56" xr:uid="{EA3DA2EE-E9EC-4E9F-B305-7A4973CEB928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940C6F-BAED-4DD3-83DD-BC039CFA1CD0}">
          <x14:formula1>
            <xm:f>삭제금지!$J$2:$J$59</xm:f>
          </x14:formula1>
          <xm:sqref>H5:J5</xm:sqref>
        </x14:dataValidation>
        <x14:dataValidation type="list" allowBlank="1" showInputMessage="1" showErrorMessage="1" xr:uid="{707CE11E-63F8-458F-8CC3-D5376D595987}">
          <x14:formula1>
            <xm:f>삭제금지!$I$2:$I$18</xm:f>
          </x14:formula1>
          <xm:sqref>F5:G5</xm:sqref>
        </x14:dataValidation>
        <x14:dataValidation type="list" allowBlank="1" showInputMessage="1" showErrorMessage="1" xr:uid="{5B0B7B31-E634-4EC8-A52B-F87E524828C7}">
          <x14:formula1>
            <xm:f>삭제금지!$K$2:$K$59</xm:f>
          </x14:formula1>
          <xm:sqref>K5:O5</xm:sqref>
        </x14:dataValidation>
        <x14:dataValidation type="list" allowBlank="1" showInputMessage="1" showErrorMessage="1" xr:uid="{C707B2FD-1B62-409E-A89C-98955143E3C2}">
          <x14:formula1>
            <xm:f>삭제금지!$L$2:$L$4</xm:f>
          </x14:formula1>
          <xm:sqref>T5:V5</xm:sqref>
        </x14:dataValidation>
        <x14:dataValidation type="list" allowBlank="1" showInputMessage="1" showErrorMessage="1" xr:uid="{13108A2C-9977-411D-AD59-EDC589F1110F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E65A-7E04-41EE-956D-0E108F5EE433}">
  <sheetPr>
    <pageSetUpPr fitToPage="1"/>
  </sheetPr>
  <dimension ref="A2:AG47"/>
  <sheetViews>
    <sheetView showGridLines="0" view="pageBreakPreview" topLeftCell="A33" zoomScaleNormal="85" zoomScaleSheetLayoutView="100" workbookViewId="0">
      <selection activeCell="F3" sqref="F3"/>
    </sheetView>
  </sheetViews>
  <sheetFormatPr defaultRowHeight="17"/>
  <cols>
    <col min="1" max="1" width="3" customWidth="1"/>
    <col min="2" max="2" width="13.9140625" customWidth="1"/>
    <col min="3" max="3" width="5.58203125" customWidth="1"/>
    <col min="4" max="4" width="21.08203125" customWidth="1"/>
    <col min="5" max="5" width="19" style="1" bestFit="1" customWidth="1"/>
    <col min="6" max="6" width="9.08203125" style="1" customWidth="1"/>
    <col min="7" max="7" width="10.6640625" customWidth="1"/>
    <col min="8" max="19" width="7.6640625" bestFit="1" customWidth="1"/>
    <col min="20" max="20" width="8" customWidth="1"/>
    <col min="21" max="21" width="7.08203125" customWidth="1"/>
  </cols>
  <sheetData>
    <row r="2" spans="2:33" ht="39.75" customHeight="1" thickBot="1">
      <c r="B2" s="617" t="s">
        <v>150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</row>
    <row r="3" spans="2:33" ht="27" customHeight="1" thickBot="1"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618" t="s">
        <v>129</v>
      </c>
      <c r="O3" s="619"/>
      <c r="P3" s="620"/>
      <c r="Q3" s="618" t="s">
        <v>127</v>
      </c>
      <c r="R3" s="619"/>
      <c r="S3" s="620"/>
      <c r="T3" s="621" t="s">
        <v>130</v>
      </c>
      <c r="U3" s="622"/>
    </row>
    <row r="4" spans="2:33" ht="27" customHeight="1" thickBot="1"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623" t="s">
        <v>524</v>
      </c>
      <c r="O4" s="624"/>
      <c r="P4" s="625"/>
      <c r="Q4" s="626" t="s">
        <v>571</v>
      </c>
      <c r="R4" s="627"/>
      <c r="S4" s="628"/>
      <c r="T4" s="629">
        <v>2027</v>
      </c>
      <c r="U4" s="630"/>
    </row>
    <row r="5" spans="2:33" ht="24" customHeight="1" thickBot="1">
      <c r="B5" s="631"/>
      <c r="C5" s="631"/>
    </row>
    <row r="6" spans="2:33" ht="20.25" customHeight="1">
      <c r="B6" s="632" t="s">
        <v>13</v>
      </c>
      <c r="C6" s="635" t="s">
        <v>140</v>
      </c>
      <c r="D6" s="614" t="s">
        <v>14</v>
      </c>
      <c r="E6" s="614" t="s">
        <v>15</v>
      </c>
      <c r="F6" s="614" t="s">
        <v>141</v>
      </c>
      <c r="G6" s="614" t="s">
        <v>142</v>
      </c>
      <c r="H6" s="638" t="s">
        <v>58</v>
      </c>
      <c r="I6" s="638"/>
      <c r="J6" s="638"/>
      <c r="K6" s="638"/>
      <c r="L6" s="638" t="s">
        <v>59</v>
      </c>
      <c r="M6" s="638"/>
      <c r="N6" s="638"/>
      <c r="O6" s="638"/>
      <c r="P6" s="638" t="s">
        <v>60</v>
      </c>
      <c r="Q6" s="638"/>
      <c r="R6" s="638"/>
      <c r="S6" s="638"/>
      <c r="T6" s="639" t="s">
        <v>139</v>
      </c>
      <c r="U6" s="649" t="s">
        <v>126</v>
      </c>
      <c r="W6" s="642" t="s">
        <v>131</v>
      </c>
      <c r="X6" s="643"/>
      <c r="Y6" s="643"/>
      <c r="Z6" s="643"/>
      <c r="AA6" s="643"/>
      <c r="AB6" s="643"/>
      <c r="AC6" s="643"/>
      <c r="AD6" s="643"/>
      <c r="AE6" s="643"/>
      <c r="AF6" s="644"/>
      <c r="AG6" s="247"/>
    </row>
    <row r="7" spans="2:33" ht="16.5" customHeight="1">
      <c r="B7" s="633"/>
      <c r="C7" s="636"/>
      <c r="D7" s="615"/>
      <c r="E7" s="615"/>
      <c r="F7" s="615"/>
      <c r="G7" s="615"/>
      <c r="H7" s="645" t="s">
        <v>124</v>
      </c>
      <c r="I7" s="645"/>
      <c r="J7" s="645" t="s">
        <v>62</v>
      </c>
      <c r="K7" s="645"/>
      <c r="L7" s="645" t="s">
        <v>124</v>
      </c>
      <c r="M7" s="645"/>
      <c r="N7" s="645" t="s">
        <v>62</v>
      </c>
      <c r="O7" s="645"/>
      <c r="P7" s="645" t="s">
        <v>124</v>
      </c>
      <c r="Q7" s="645"/>
      <c r="R7" s="645" t="s">
        <v>62</v>
      </c>
      <c r="S7" s="645"/>
      <c r="T7" s="640"/>
      <c r="U7" s="650"/>
      <c r="W7" s="646" t="s">
        <v>132</v>
      </c>
      <c r="X7" s="647"/>
      <c r="Y7" s="647"/>
      <c r="Z7" s="647"/>
      <c r="AA7" s="647"/>
      <c r="AB7" s="647"/>
      <c r="AC7" s="647"/>
      <c r="AD7" s="647"/>
      <c r="AE7" s="647"/>
      <c r="AF7" s="648"/>
      <c r="AG7" s="247"/>
    </row>
    <row r="8" spans="2:33" ht="17.25" customHeight="1" thickBot="1">
      <c r="B8" s="716"/>
      <c r="C8" s="637"/>
      <c r="D8" s="616"/>
      <c r="E8" s="616"/>
      <c r="F8" s="616"/>
      <c r="G8" s="616"/>
      <c r="H8" s="248" t="s">
        <v>138</v>
      </c>
      <c r="I8" s="248" t="s">
        <v>125</v>
      </c>
      <c r="J8" s="248" t="s">
        <v>138</v>
      </c>
      <c r="K8" s="248" t="s">
        <v>125</v>
      </c>
      <c r="L8" s="248" t="s">
        <v>138</v>
      </c>
      <c r="M8" s="248" t="s">
        <v>125</v>
      </c>
      <c r="N8" s="248" t="s">
        <v>138</v>
      </c>
      <c r="O8" s="248" t="s">
        <v>125</v>
      </c>
      <c r="P8" s="248" t="s">
        <v>138</v>
      </c>
      <c r="Q8" s="248" t="s">
        <v>125</v>
      </c>
      <c r="R8" s="248" t="s">
        <v>138</v>
      </c>
      <c r="S8" s="248" t="s">
        <v>125</v>
      </c>
      <c r="T8" s="641"/>
      <c r="U8" s="651"/>
      <c r="W8" s="14"/>
      <c r="X8" s="249"/>
      <c r="Y8" s="249"/>
      <c r="Z8" s="249"/>
      <c r="AA8" s="249"/>
      <c r="AB8" s="249"/>
      <c r="AC8" s="249"/>
      <c r="AD8" s="249"/>
      <c r="AE8" s="249"/>
      <c r="AF8" s="16"/>
      <c r="AG8" s="247"/>
    </row>
    <row r="9" spans="2:33" ht="16.5" customHeight="1">
      <c r="B9" s="701" t="s">
        <v>693</v>
      </c>
      <c r="C9" s="705">
        <v>5</v>
      </c>
      <c r="D9" s="203" t="s">
        <v>755</v>
      </c>
      <c r="E9" s="203" t="s">
        <v>756</v>
      </c>
      <c r="F9" s="303">
        <v>50</v>
      </c>
      <c r="G9" s="303">
        <v>3</v>
      </c>
      <c r="H9" s="304"/>
      <c r="I9" s="304"/>
      <c r="J9" s="304">
        <v>3</v>
      </c>
      <c r="K9" s="304">
        <v>48</v>
      </c>
      <c r="L9" s="304"/>
      <c r="M9" s="304"/>
      <c r="N9" s="304"/>
      <c r="O9" s="304"/>
      <c r="P9" s="304"/>
      <c r="Q9" s="304"/>
      <c r="R9" s="304"/>
      <c r="S9" s="304"/>
      <c r="T9" s="37">
        <v>3</v>
      </c>
      <c r="U9" s="305">
        <v>48</v>
      </c>
      <c r="W9" s="256"/>
      <c r="X9" s="247"/>
      <c r="Y9" s="247"/>
      <c r="Z9" s="247"/>
      <c r="AA9" s="247"/>
      <c r="AB9" s="247"/>
      <c r="AC9" s="247"/>
      <c r="AD9" s="247"/>
      <c r="AE9" s="247"/>
      <c r="AF9" s="257"/>
      <c r="AG9" s="247"/>
    </row>
    <row r="10" spans="2:33" ht="16.5" customHeight="1">
      <c r="B10" s="702"/>
      <c r="C10" s="706"/>
      <c r="D10" s="204" t="s">
        <v>757</v>
      </c>
      <c r="E10" s="306" t="s">
        <v>758</v>
      </c>
      <c r="F10" s="307">
        <v>50</v>
      </c>
      <c r="G10" s="307">
        <v>2</v>
      </c>
      <c r="H10" s="308"/>
      <c r="I10" s="308"/>
      <c r="J10" s="308">
        <v>2</v>
      </c>
      <c r="K10" s="308">
        <v>32</v>
      </c>
      <c r="L10" s="308"/>
      <c r="M10" s="308"/>
      <c r="N10" s="308"/>
      <c r="O10" s="308"/>
      <c r="P10" s="308"/>
      <c r="Q10" s="308"/>
      <c r="R10" s="308"/>
      <c r="S10" s="308"/>
      <c r="T10" s="35">
        <v>2</v>
      </c>
      <c r="U10" s="309">
        <v>32</v>
      </c>
      <c r="W10" s="256"/>
      <c r="X10" s="247"/>
      <c r="Y10" s="247"/>
      <c r="Z10" s="247"/>
      <c r="AA10" s="247"/>
      <c r="AB10" s="247"/>
      <c r="AC10" s="247"/>
      <c r="AD10" s="247"/>
      <c r="AE10" s="247"/>
      <c r="AF10" s="257"/>
      <c r="AG10" s="247"/>
    </row>
    <row r="11" spans="2:33" ht="17.5" thickBot="1">
      <c r="B11" s="703"/>
      <c r="C11" s="707"/>
      <c r="D11" s="704" t="s">
        <v>16</v>
      </c>
      <c r="E11" s="704"/>
      <c r="F11" s="310"/>
      <c r="G11" s="310"/>
      <c r="H11" s="311"/>
      <c r="I11" s="311"/>
      <c r="J11" s="311">
        <v>5</v>
      </c>
      <c r="K11" s="311">
        <v>80</v>
      </c>
      <c r="L11" s="311"/>
      <c r="M11" s="311"/>
      <c r="N11" s="311"/>
      <c r="O11" s="311"/>
      <c r="P11" s="311"/>
      <c r="Q11" s="311"/>
      <c r="R11" s="311"/>
      <c r="S11" s="311"/>
      <c r="T11" s="312">
        <v>5</v>
      </c>
      <c r="U11" s="312">
        <v>80</v>
      </c>
    </row>
    <row r="12" spans="2:33">
      <c r="B12" s="708" t="s">
        <v>574</v>
      </c>
      <c r="C12" s="711">
        <v>8</v>
      </c>
      <c r="D12" s="203" t="s">
        <v>759</v>
      </c>
      <c r="E12" s="203" t="s">
        <v>760</v>
      </c>
      <c r="F12" s="303">
        <v>40</v>
      </c>
      <c r="G12" s="303">
        <v>4</v>
      </c>
      <c r="H12" s="304"/>
      <c r="I12" s="304"/>
      <c r="J12" s="304"/>
      <c r="K12" s="304"/>
      <c r="L12" s="304">
        <v>2</v>
      </c>
      <c r="M12" s="304">
        <v>32</v>
      </c>
      <c r="N12" s="304"/>
      <c r="O12" s="304"/>
      <c r="P12" s="304"/>
      <c r="Q12" s="304"/>
      <c r="R12" s="304"/>
      <c r="S12" s="304"/>
      <c r="T12" s="305">
        <v>2</v>
      </c>
      <c r="U12" s="305">
        <v>32</v>
      </c>
      <c r="W12" s="277"/>
    </row>
    <row r="13" spans="2:33" ht="17.5" thickBot="1">
      <c r="B13" s="714"/>
      <c r="C13" s="715"/>
      <c r="D13" s="204" t="s">
        <v>761</v>
      </c>
      <c r="E13" s="204" t="s">
        <v>762</v>
      </c>
      <c r="F13" s="307">
        <v>20</v>
      </c>
      <c r="G13" s="313">
        <v>3</v>
      </c>
      <c r="H13" s="314"/>
      <c r="I13" s="314"/>
      <c r="J13" s="314"/>
      <c r="K13" s="314"/>
      <c r="L13" s="314">
        <v>2</v>
      </c>
      <c r="M13" s="314">
        <v>32</v>
      </c>
      <c r="N13" s="314"/>
      <c r="O13" s="314"/>
      <c r="P13" s="314"/>
      <c r="Q13" s="314"/>
      <c r="R13" s="314"/>
      <c r="S13" s="314"/>
      <c r="T13" s="315">
        <v>2</v>
      </c>
      <c r="U13" s="315">
        <v>32</v>
      </c>
      <c r="W13" s="277"/>
    </row>
    <row r="14" spans="2:33">
      <c r="B14" s="714"/>
      <c r="C14" s="715"/>
      <c r="D14" s="204" t="s">
        <v>763</v>
      </c>
      <c r="E14" s="204" t="s">
        <v>764</v>
      </c>
      <c r="F14" s="313">
        <v>30</v>
      </c>
      <c r="G14" s="313">
        <v>3</v>
      </c>
      <c r="H14" s="314"/>
      <c r="I14" s="314"/>
      <c r="J14" s="314"/>
      <c r="K14" s="314"/>
      <c r="L14" s="314"/>
      <c r="M14" s="314"/>
      <c r="N14" s="314">
        <v>2</v>
      </c>
      <c r="O14" s="314">
        <v>32</v>
      </c>
      <c r="P14" s="314"/>
      <c r="Q14" s="314"/>
      <c r="R14" s="314"/>
      <c r="S14" s="308"/>
      <c r="T14" s="305">
        <v>2</v>
      </c>
      <c r="U14" s="305">
        <v>32</v>
      </c>
    </row>
    <row r="15" spans="2:33">
      <c r="B15" s="709"/>
      <c r="C15" s="712"/>
      <c r="D15" s="204" t="s">
        <v>765</v>
      </c>
      <c r="E15" s="204" t="s">
        <v>766</v>
      </c>
      <c r="F15" s="313">
        <v>10</v>
      </c>
      <c r="G15" s="307">
        <v>3</v>
      </c>
      <c r="H15" s="308"/>
      <c r="I15" s="308"/>
      <c r="J15" s="308"/>
      <c r="K15" s="308"/>
      <c r="L15" s="308"/>
      <c r="M15" s="308"/>
      <c r="N15" s="308">
        <v>2</v>
      </c>
      <c r="O15" s="308">
        <v>32</v>
      </c>
      <c r="P15" s="308"/>
      <c r="Q15" s="308"/>
      <c r="R15" s="308"/>
      <c r="S15" s="308"/>
      <c r="T15" s="315">
        <v>2</v>
      </c>
      <c r="U15" s="315">
        <v>32</v>
      </c>
    </row>
    <row r="16" spans="2:33" ht="17.5" thickBot="1">
      <c r="B16" s="710"/>
      <c r="C16" s="713"/>
      <c r="D16" s="704" t="s">
        <v>16</v>
      </c>
      <c r="E16" s="704"/>
      <c r="F16" s="310"/>
      <c r="G16" s="310"/>
      <c r="H16" s="311"/>
      <c r="I16" s="311"/>
      <c r="J16" s="311"/>
      <c r="K16" s="311"/>
      <c r="L16" s="311">
        <v>4</v>
      </c>
      <c r="M16" s="311">
        <v>64</v>
      </c>
      <c r="N16" s="311">
        <v>4</v>
      </c>
      <c r="O16" s="311">
        <v>64</v>
      </c>
      <c r="P16" s="311"/>
      <c r="Q16" s="311"/>
      <c r="R16" s="311"/>
      <c r="S16" s="311"/>
      <c r="T16" s="33">
        <v>8</v>
      </c>
      <c r="U16" s="34">
        <v>128</v>
      </c>
    </row>
    <row r="17" spans="2:21">
      <c r="B17" s="702" t="s">
        <v>575</v>
      </c>
      <c r="C17" s="698">
        <v>8</v>
      </c>
      <c r="D17" s="203" t="s">
        <v>767</v>
      </c>
      <c r="E17" s="203" t="s">
        <v>768</v>
      </c>
      <c r="F17" s="303">
        <v>50</v>
      </c>
      <c r="G17" s="313">
        <v>2</v>
      </c>
      <c r="H17" s="314"/>
      <c r="I17" s="314"/>
      <c r="J17" s="314"/>
      <c r="K17" s="314"/>
      <c r="L17" s="314">
        <v>2</v>
      </c>
      <c r="M17" s="314">
        <v>32</v>
      </c>
      <c r="N17" s="314"/>
      <c r="O17" s="314"/>
      <c r="P17" s="314"/>
      <c r="Q17" s="314"/>
      <c r="R17" s="314"/>
      <c r="S17" s="314"/>
      <c r="T17" s="315">
        <v>2</v>
      </c>
      <c r="U17" s="315">
        <v>32</v>
      </c>
    </row>
    <row r="18" spans="2:21">
      <c r="B18" s="702"/>
      <c r="C18" s="699"/>
      <c r="D18" s="316" t="s">
        <v>769</v>
      </c>
      <c r="E18" s="204" t="s">
        <v>770</v>
      </c>
      <c r="F18" s="313">
        <v>45</v>
      </c>
      <c r="G18" s="313">
        <v>3</v>
      </c>
      <c r="H18" s="314"/>
      <c r="I18" s="314"/>
      <c r="J18" s="314"/>
      <c r="K18" s="314"/>
      <c r="L18" s="314">
        <v>2</v>
      </c>
      <c r="M18" s="314">
        <v>32</v>
      </c>
      <c r="N18" s="314"/>
      <c r="O18" s="314"/>
      <c r="P18" s="314"/>
      <c r="Q18" s="314"/>
      <c r="R18" s="314"/>
      <c r="S18" s="314"/>
      <c r="T18" s="315">
        <v>2</v>
      </c>
      <c r="U18" s="315">
        <v>32</v>
      </c>
    </row>
    <row r="19" spans="2:21">
      <c r="B19" s="702"/>
      <c r="C19" s="699"/>
      <c r="D19" s="316" t="s">
        <v>771</v>
      </c>
      <c r="E19" s="204" t="s">
        <v>772</v>
      </c>
      <c r="F19" s="313">
        <v>50</v>
      </c>
      <c r="G19" s="313">
        <v>3</v>
      </c>
      <c r="H19" s="314"/>
      <c r="I19" s="314"/>
      <c r="J19" s="314"/>
      <c r="K19" s="314"/>
      <c r="L19" s="314"/>
      <c r="M19" s="314"/>
      <c r="N19" s="314">
        <v>2</v>
      </c>
      <c r="O19" s="314">
        <v>32</v>
      </c>
      <c r="P19" s="314"/>
      <c r="Q19" s="314"/>
      <c r="R19" s="314"/>
      <c r="S19" s="314"/>
      <c r="T19" s="315">
        <v>2</v>
      </c>
      <c r="U19" s="315">
        <v>32</v>
      </c>
    </row>
    <row r="20" spans="2:21">
      <c r="B20" s="702"/>
      <c r="C20" s="699"/>
      <c r="D20" s="204" t="s">
        <v>773</v>
      </c>
      <c r="E20" s="204" t="s">
        <v>774</v>
      </c>
      <c r="F20" s="307">
        <v>45</v>
      </c>
      <c r="G20" s="313">
        <v>3</v>
      </c>
      <c r="H20" s="314"/>
      <c r="I20" s="314"/>
      <c r="J20" s="314"/>
      <c r="K20" s="314"/>
      <c r="L20" s="314"/>
      <c r="M20" s="314"/>
      <c r="N20" s="314">
        <v>2</v>
      </c>
      <c r="O20" s="314">
        <v>32</v>
      </c>
      <c r="P20" s="314"/>
      <c r="Q20" s="314"/>
      <c r="R20" s="314"/>
      <c r="S20" s="308"/>
      <c r="T20" s="315">
        <v>2</v>
      </c>
      <c r="U20" s="315">
        <v>32</v>
      </c>
    </row>
    <row r="21" spans="2:21" ht="17.5" thickBot="1">
      <c r="B21" s="703"/>
      <c r="C21" s="700"/>
      <c r="D21" s="704" t="s">
        <v>16</v>
      </c>
      <c r="E21" s="704"/>
      <c r="F21" s="317"/>
      <c r="G21" s="317"/>
      <c r="H21" s="318"/>
      <c r="I21" s="318"/>
      <c r="J21" s="318"/>
      <c r="K21" s="318"/>
      <c r="L21" s="318">
        <v>4</v>
      </c>
      <c r="M21" s="318">
        <v>64</v>
      </c>
      <c r="N21" s="318">
        <v>4</v>
      </c>
      <c r="O21" s="318">
        <v>64</v>
      </c>
      <c r="P21" s="318"/>
      <c r="Q21" s="318"/>
      <c r="R21" s="318"/>
      <c r="S21" s="318"/>
      <c r="T21" s="31">
        <v>8</v>
      </c>
      <c r="U21" s="32">
        <v>128</v>
      </c>
    </row>
    <row r="22" spans="2:21">
      <c r="B22" s="708" t="s">
        <v>580</v>
      </c>
      <c r="C22" s="711">
        <v>8</v>
      </c>
      <c r="D22" s="203" t="s">
        <v>775</v>
      </c>
      <c r="E22" s="203" t="s">
        <v>776</v>
      </c>
      <c r="F22" s="313">
        <v>100</v>
      </c>
      <c r="G22" s="319">
        <v>2</v>
      </c>
      <c r="H22" s="304"/>
      <c r="I22" s="304"/>
      <c r="J22" s="304"/>
      <c r="K22" s="304"/>
      <c r="L22" s="304"/>
      <c r="M22" s="304"/>
      <c r="N22" s="304"/>
      <c r="O22" s="304"/>
      <c r="P22" s="304">
        <v>4</v>
      </c>
      <c r="Q22" s="304">
        <v>64</v>
      </c>
      <c r="R22" s="304"/>
      <c r="S22" s="304"/>
      <c r="T22" s="305">
        <v>4</v>
      </c>
      <c r="U22" s="305">
        <v>64</v>
      </c>
    </row>
    <row r="23" spans="2:21">
      <c r="B23" s="709"/>
      <c r="C23" s="712"/>
      <c r="D23" s="204" t="s">
        <v>777</v>
      </c>
      <c r="E23" s="204" t="s">
        <v>778</v>
      </c>
      <c r="F23" s="313">
        <v>240</v>
      </c>
      <c r="G23" s="313">
        <v>3</v>
      </c>
      <c r="H23" s="314"/>
      <c r="I23" s="314"/>
      <c r="J23" s="314"/>
      <c r="K23" s="314"/>
      <c r="L23" s="314"/>
      <c r="M23" s="314"/>
      <c r="N23" s="314"/>
      <c r="O23" s="314"/>
      <c r="P23" s="314">
        <v>4</v>
      </c>
      <c r="Q23" s="314">
        <v>64</v>
      </c>
      <c r="R23" s="314"/>
      <c r="S23" s="314"/>
      <c r="T23" s="315">
        <v>4</v>
      </c>
      <c r="U23" s="315">
        <v>64</v>
      </c>
    </row>
    <row r="24" spans="2:21" ht="17.5" thickBot="1">
      <c r="B24" s="710"/>
      <c r="C24" s="713"/>
      <c r="D24" s="704" t="s">
        <v>16</v>
      </c>
      <c r="E24" s="704"/>
      <c r="F24" s="310"/>
      <c r="G24" s="310"/>
      <c r="H24" s="311"/>
      <c r="I24" s="311"/>
      <c r="J24" s="311"/>
      <c r="K24" s="311"/>
      <c r="L24" s="311"/>
      <c r="M24" s="311"/>
      <c r="N24" s="311"/>
      <c r="O24" s="311"/>
      <c r="P24" s="311">
        <v>8</v>
      </c>
      <c r="Q24" s="311">
        <v>128</v>
      </c>
      <c r="R24" s="311"/>
      <c r="S24" s="311"/>
      <c r="T24" s="312">
        <v>8</v>
      </c>
      <c r="U24" s="312">
        <v>128</v>
      </c>
    </row>
    <row r="25" spans="2:21">
      <c r="B25" s="701" t="s">
        <v>576</v>
      </c>
      <c r="C25" s="705">
        <v>18</v>
      </c>
      <c r="D25" s="203" t="s">
        <v>779</v>
      </c>
      <c r="E25" s="203" t="s">
        <v>780</v>
      </c>
      <c r="F25" s="303">
        <v>150</v>
      </c>
      <c r="G25" s="319">
        <v>3</v>
      </c>
      <c r="H25" s="304"/>
      <c r="I25" s="304"/>
      <c r="J25" s="304"/>
      <c r="K25" s="304"/>
      <c r="L25" s="304"/>
      <c r="M25" s="304"/>
      <c r="N25" s="304"/>
      <c r="O25" s="304"/>
      <c r="P25" s="304">
        <v>4</v>
      </c>
      <c r="Q25" s="304">
        <v>64</v>
      </c>
      <c r="R25" s="304"/>
      <c r="S25" s="304"/>
      <c r="T25" s="305">
        <v>4</v>
      </c>
      <c r="U25" s="305">
        <v>64</v>
      </c>
    </row>
    <row r="26" spans="2:21" ht="17.5" thickBot="1">
      <c r="B26" s="702"/>
      <c r="C26" s="706"/>
      <c r="D26" s="204" t="s">
        <v>781</v>
      </c>
      <c r="E26" s="204" t="s">
        <v>782</v>
      </c>
      <c r="F26" s="313">
        <v>150</v>
      </c>
      <c r="G26" s="320">
        <v>3</v>
      </c>
      <c r="H26" s="314"/>
      <c r="I26" s="314"/>
      <c r="J26" s="314"/>
      <c r="K26" s="314"/>
      <c r="L26" s="314"/>
      <c r="M26" s="314"/>
      <c r="N26" s="314"/>
      <c r="O26" s="314"/>
      <c r="P26" s="314">
        <v>5</v>
      </c>
      <c r="Q26" s="314">
        <v>80</v>
      </c>
      <c r="R26" s="314"/>
      <c r="S26" s="314"/>
      <c r="T26" s="315">
        <v>5</v>
      </c>
      <c r="U26" s="315">
        <v>80</v>
      </c>
    </row>
    <row r="27" spans="2:21">
      <c r="B27" s="702"/>
      <c r="C27" s="706"/>
      <c r="D27" s="204" t="s">
        <v>783</v>
      </c>
      <c r="E27" s="204" t="s">
        <v>784</v>
      </c>
      <c r="F27" s="307">
        <v>70</v>
      </c>
      <c r="G27" s="320">
        <v>3</v>
      </c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>
        <v>4</v>
      </c>
      <c r="S27" s="314">
        <v>64</v>
      </c>
      <c r="T27" s="305">
        <v>4</v>
      </c>
      <c r="U27" s="305">
        <v>64</v>
      </c>
    </row>
    <row r="28" spans="2:21">
      <c r="B28" s="702"/>
      <c r="C28" s="706"/>
      <c r="D28" s="204" t="s">
        <v>785</v>
      </c>
      <c r="E28" s="204" t="s">
        <v>786</v>
      </c>
      <c r="F28" s="307">
        <v>70</v>
      </c>
      <c r="G28" s="320">
        <v>2</v>
      </c>
      <c r="H28" s="314"/>
      <c r="I28" s="314"/>
      <c r="J28" s="314"/>
      <c r="K28" s="314"/>
      <c r="L28" s="314"/>
      <c r="M28" s="314"/>
      <c r="N28" s="314"/>
      <c r="O28" s="314"/>
      <c r="P28" s="314"/>
      <c r="Q28" s="314"/>
      <c r="R28" s="314">
        <v>5</v>
      </c>
      <c r="S28" s="314">
        <v>80</v>
      </c>
      <c r="T28" s="315">
        <v>5</v>
      </c>
      <c r="U28" s="315">
        <v>80</v>
      </c>
    </row>
    <row r="29" spans="2:21" ht="17.5" thickBot="1">
      <c r="B29" s="703"/>
      <c r="C29" s="707"/>
      <c r="D29" s="704" t="s">
        <v>16</v>
      </c>
      <c r="E29" s="704"/>
      <c r="F29" s="310"/>
      <c r="G29" s="310"/>
      <c r="H29" s="311"/>
      <c r="I29" s="311"/>
      <c r="J29" s="311"/>
      <c r="K29" s="311"/>
      <c r="L29" s="311"/>
      <c r="M29" s="311"/>
      <c r="N29" s="311"/>
      <c r="O29" s="311"/>
      <c r="P29" s="311">
        <v>9</v>
      </c>
      <c r="Q29" s="311">
        <v>144</v>
      </c>
      <c r="R29" s="311">
        <v>9</v>
      </c>
      <c r="S29" s="311">
        <v>144</v>
      </c>
      <c r="T29" s="33">
        <v>18</v>
      </c>
      <c r="U29" s="34">
        <v>288</v>
      </c>
    </row>
    <row r="30" spans="2:21" ht="16.5" customHeight="1">
      <c r="B30" s="701" t="s">
        <v>577</v>
      </c>
      <c r="C30" s="698">
        <v>16</v>
      </c>
      <c r="D30" s="203" t="s">
        <v>787</v>
      </c>
      <c r="E30" s="203" t="s">
        <v>788</v>
      </c>
      <c r="F30" s="303">
        <v>40</v>
      </c>
      <c r="G30" s="319">
        <v>3</v>
      </c>
      <c r="H30" s="304"/>
      <c r="I30" s="304"/>
      <c r="J30" s="304"/>
      <c r="K30" s="304"/>
      <c r="L30" s="304"/>
      <c r="M30" s="304"/>
      <c r="N30" s="304"/>
      <c r="O30" s="304"/>
      <c r="P30" s="304">
        <v>4</v>
      </c>
      <c r="Q30" s="304">
        <v>64</v>
      </c>
      <c r="R30" s="304"/>
      <c r="S30" s="304"/>
      <c r="T30" s="305">
        <v>4</v>
      </c>
      <c r="U30" s="305">
        <v>64</v>
      </c>
    </row>
    <row r="31" spans="2:21" ht="16.5" customHeight="1" thickBot="1">
      <c r="B31" s="702"/>
      <c r="C31" s="699"/>
      <c r="D31" s="316" t="s">
        <v>789</v>
      </c>
      <c r="E31" s="204" t="s">
        <v>790</v>
      </c>
      <c r="F31" s="313">
        <v>32</v>
      </c>
      <c r="G31" s="320">
        <v>2</v>
      </c>
      <c r="H31" s="314"/>
      <c r="I31" s="314"/>
      <c r="J31" s="314"/>
      <c r="K31" s="314"/>
      <c r="L31" s="314"/>
      <c r="M31" s="314"/>
      <c r="N31" s="314"/>
      <c r="O31" s="314"/>
      <c r="P31" s="314">
        <v>4</v>
      </c>
      <c r="Q31" s="314">
        <v>64</v>
      </c>
      <c r="R31" s="314"/>
      <c r="S31" s="314"/>
      <c r="T31" s="315">
        <v>4</v>
      </c>
      <c r="U31" s="315">
        <v>64</v>
      </c>
    </row>
    <row r="32" spans="2:21" ht="16.5" customHeight="1">
      <c r="B32" s="702"/>
      <c r="C32" s="699"/>
      <c r="D32" s="316" t="s">
        <v>791</v>
      </c>
      <c r="E32" s="204" t="s">
        <v>792</v>
      </c>
      <c r="F32" s="313">
        <v>32</v>
      </c>
      <c r="G32" s="320">
        <v>2</v>
      </c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>
        <v>4</v>
      </c>
      <c r="S32" s="314">
        <v>64</v>
      </c>
      <c r="T32" s="305">
        <v>4</v>
      </c>
      <c r="U32" s="305">
        <v>64</v>
      </c>
    </row>
    <row r="33" spans="1:21">
      <c r="B33" s="702"/>
      <c r="C33" s="699"/>
      <c r="D33" s="204" t="s">
        <v>793</v>
      </c>
      <c r="E33" s="204" t="s">
        <v>794</v>
      </c>
      <c r="F33" s="313">
        <v>32</v>
      </c>
      <c r="G33" s="307">
        <v>2</v>
      </c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>
        <v>4</v>
      </c>
      <c r="S33" s="308">
        <v>64</v>
      </c>
      <c r="T33" s="315">
        <v>4</v>
      </c>
      <c r="U33" s="315">
        <v>64</v>
      </c>
    </row>
    <row r="34" spans="1:21" s="187" customFormat="1" ht="17.5" thickBot="1">
      <c r="A34" s="191"/>
      <c r="B34" s="703"/>
      <c r="C34" s="700"/>
      <c r="D34" s="704" t="s">
        <v>16</v>
      </c>
      <c r="E34" s="704"/>
      <c r="F34" s="310"/>
      <c r="G34" s="321"/>
      <c r="H34" s="322"/>
      <c r="I34" s="322"/>
      <c r="J34" s="322"/>
      <c r="K34" s="322"/>
      <c r="L34" s="322"/>
      <c r="M34" s="322"/>
      <c r="N34" s="322"/>
      <c r="O34" s="322"/>
      <c r="P34" s="322">
        <v>8</v>
      </c>
      <c r="Q34" s="322">
        <v>128</v>
      </c>
      <c r="R34" s="322">
        <v>8</v>
      </c>
      <c r="S34" s="322">
        <v>128</v>
      </c>
      <c r="T34" s="33">
        <v>16</v>
      </c>
      <c r="U34" s="34">
        <v>256</v>
      </c>
    </row>
    <row r="35" spans="1:21">
      <c r="B35" s="702" t="s">
        <v>578</v>
      </c>
      <c r="C35" s="706">
        <v>4</v>
      </c>
      <c r="D35" s="203" t="s">
        <v>795</v>
      </c>
      <c r="E35" s="203" t="s">
        <v>796</v>
      </c>
      <c r="F35" s="303">
        <v>50</v>
      </c>
      <c r="G35" s="313">
        <v>3</v>
      </c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>
        <v>2</v>
      </c>
      <c r="S35" s="314">
        <v>32</v>
      </c>
      <c r="T35" s="315">
        <v>2</v>
      </c>
      <c r="U35" s="315">
        <v>32</v>
      </c>
    </row>
    <row r="36" spans="1:21">
      <c r="B36" s="702"/>
      <c r="C36" s="706"/>
      <c r="D36" s="204" t="s">
        <v>797</v>
      </c>
      <c r="E36" s="204" t="s">
        <v>798</v>
      </c>
      <c r="F36" s="307">
        <v>50</v>
      </c>
      <c r="G36" s="323">
        <v>3</v>
      </c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>
        <v>2</v>
      </c>
      <c r="S36" s="324">
        <v>32</v>
      </c>
      <c r="T36" s="325">
        <v>2</v>
      </c>
      <c r="U36" s="325">
        <v>32</v>
      </c>
    </row>
    <row r="37" spans="1:21" s="187" customFormat="1" ht="16.5" customHeight="1" thickBot="1">
      <c r="A37" s="191"/>
      <c r="B37" s="703"/>
      <c r="C37" s="707"/>
      <c r="D37" s="704" t="s">
        <v>16</v>
      </c>
      <c r="E37" s="704"/>
      <c r="F37" s="310"/>
      <c r="G37" s="321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>
        <v>4</v>
      </c>
      <c r="S37" s="322">
        <v>64</v>
      </c>
      <c r="T37" s="312">
        <v>4</v>
      </c>
      <c r="U37" s="312">
        <v>64</v>
      </c>
    </row>
    <row r="38" spans="1:21">
      <c r="B38" s="701" t="s">
        <v>579</v>
      </c>
      <c r="C38" s="698">
        <v>8</v>
      </c>
      <c r="D38" s="203" t="s">
        <v>799</v>
      </c>
      <c r="E38" s="203" t="s">
        <v>800</v>
      </c>
      <c r="F38" s="313">
        <v>30</v>
      </c>
      <c r="G38" s="326">
        <v>4</v>
      </c>
      <c r="H38" s="327"/>
      <c r="I38" s="327"/>
      <c r="J38" s="327"/>
      <c r="K38" s="327"/>
      <c r="L38" s="308"/>
      <c r="M38" s="308"/>
      <c r="N38" s="308"/>
      <c r="O38" s="308"/>
      <c r="P38" s="308"/>
      <c r="Q38" s="308"/>
      <c r="R38" s="308">
        <v>4</v>
      </c>
      <c r="S38" s="308">
        <v>64</v>
      </c>
      <c r="T38" s="309">
        <v>4</v>
      </c>
      <c r="U38" s="309">
        <v>64</v>
      </c>
    </row>
    <row r="39" spans="1:21">
      <c r="B39" s="702"/>
      <c r="C39" s="699"/>
      <c r="D39" s="328" t="s">
        <v>801</v>
      </c>
      <c r="E39" s="204" t="s">
        <v>802</v>
      </c>
      <c r="F39" s="323">
        <v>30</v>
      </c>
      <c r="G39" s="323">
        <v>3</v>
      </c>
      <c r="H39" s="324"/>
      <c r="I39" s="324"/>
      <c r="J39" s="324"/>
      <c r="K39" s="324"/>
      <c r="L39" s="308"/>
      <c r="M39" s="308"/>
      <c r="N39" s="308"/>
      <c r="O39" s="308"/>
      <c r="P39" s="308"/>
      <c r="Q39" s="308"/>
      <c r="R39" s="308">
        <v>4</v>
      </c>
      <c r="S39" s="308">
        <v>64</v>
      </c>
      <c r="T39" s="309">
        <v>4</v>
      </c>
      <c r="U39" s="309">
        <v>64</v>
      </c>
    </row>
    <row r="40" spans="1:21" ht="17.5" thickBot="1">
      <c r="B40" s="703"/>
      <c r="C40" s="700"/>
      <c r="D40" s="704" t="s">
        <v>16</v>
      </c>
      <c r="E40" s="704"/>
      <c r="F40" s="310"/>
      <c r="G40" s="321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>
        <v>8</v>
      </c>
      <c r="S40" s="322">
        <v>128</v>
      </c>
      <c r="T40" s="312">
        <v>8</v>
      </c>
      <c r="U40" s="312">
        <v>128</v>
      </c>
    </row>
    <row r="41" spans="1:21" ht="17.399999999999999" customHeight="1" thickBot="1">
      <c r="B41" s="613" t="s">
        <v>753</v>
      </c>
      <c r="C41" s="612">
        <v>3</v>
      </c>
      <c r="D41" s="301" t="s">
        <v>629</v>
      </c>
      <c r="E41" s="300" t="s">
        <v>630</v>
      </c>
      <c r="F41" s="259">
        <v>40</v>
      </c>
      <c r="G41" s="259">
        <v>2</v>
      </c>
      <c r="H41" s="261"/>
      <c r="I41" s="261"/>
      <c r="J41" s="261"/>
      <c r="K41" s="261"/>
      <c r="L41" s="261"/>
      <c r="M41" s="261"/>
      <c r="N41" s="261">
        <v>1</v>
      </c>
      <c r="O41" s="261">
        <v>16</v>
      </c>
      <c r="P41" s="261"/>
      <c r="Q41" s="261"/>
      <c r="R41" s="261"/>
      <c r="S41" s="261"/>
      <c r="T41" s="329">
        <v>1</v>
      </c>
      <c r="U41" s="330">
        <v>32</v>
      </c>
    </row>
    <row r="42" spans="1:21" ht="17.5" thickBot="1">
      <c r="B42" s="613"/>
      <c r="C42" s="612"/>
      <c r="D42" s="301" t="s">
        <v>594</v>
      </c>
      <c r="E42" s="300" t="s">
        <v>631</v>
      </c>
      <c r="F42" s="259">
        <v>40</v>
      </c>
      <c r="G42" s="259">
        <v>2</v>
      </c>
      <c r="H42" s="261"/>
      <c r="I42" s="261"/>
      <c r="J42" s="261"/>
      <c r="K42" s="261"/>
      <c r="L42" s="261"/>
      <c r="M42" s="261"/>
      <c r="N42" s="261">
        <v>2</v>
      </c>
      <c r="O42" s="261">
        <v>32</v>
      </c>
      <c r="P42" s="261"/>
      <c r="Q42" s="261"/>
      <c r="R42" s="261"/>
      <c r="S42" s="261"/>
      <c r="T42" s="329">
        <v>2</v>
      </c>
      <c r="U42" s="330">
        <v>32</v>
      </c>
    </row>
    <row r="43" spans="1:21" ht="17.5" thickBot="1">
      <c r="B43" s="613"/>
      <c r="C43" s="612"/>
      <c r="D43" s="610" t="s">
        <v>16</v>
      </c>
      <c r="E43" s="611"/>
      <c r="F43" s="290"/>
      <c r="G43" s="290"/>
      <c r="H43" s="291"/>
      <c r="I43" s="291"/>
      <c r="J43" s="291"/>
      <c r="K43" s="291"/>
      <c r="L43" s="291"/>
      <c r="M43" s="291"/>
      <c r="N43" s="291">
        <v>3</v>
      </c>
      <c r="O43" s="291">
        <v>48</v>
      </c>
      <c r="P43" s="291"/>
      <c r="Q43" s="291"/>
      <c r="R43" s="291"/>
      <c r="S43" s="291"/>
      <c r="T43" s="33">
        <v>3</v>
      </c>
      <c r="U43" s="34">
        <v>48</v>
      </c>
    </row>
    <row r="44" spans="1:21" ht="17.399999999999999" customHeight="1" thickBot="1">
      <c r="B44" s="613" t="s">
        <v>754</v>
      </c>
      <c r="C44" s="612">
        <v>3</v>
      </c>
      <c r="D44" s="301" t="s">
        <v>635</v>
      </c>
      <c r="E44" s="300" t="s">
        <v>636</v>
      </c>
      <c r="F44" s="259">
        <v>50</v>
      </c>
      <c r="G44" s="259">
        <v>2</v>
      </c>
      <c r="H44" s="261"/>
      <c r="I44" s="261"/>
      <c r="J44" s="261"/>
      <c r="K44" s="261"/>
      <c r="L44" s="261"/>
      <c r="M44" s="261"/>
      <c r="N44" s="261">
        <v>1</v>
      </c>
      <c r="O44" s="261">
        <v>16</v>
      </c>
      <c r="P44" s="261"/>
      <c r="Q44" s="261"/>
      <c r="R44" s="261"/>
      <c r="S44" s="261"/>
      <c r="T44" s="329">
        <v>1</v>
      </c>
      <c r="U44" s="330">
        <v>32</v>
      </c>
    </row>
    <row r="45" spans="1:21" ht="17.5" thickBot="1">
      <c r="B45" s="613"/>
      <c r="C45" s="612"/>
      <c r="D45" s="301" t="s">
        <v>637</v>
      </c>
      <c r="E45" s="300" t="s">
        <v>638</v>
      </c>
      <c r="F45" s="259">
        <v>30</v>
      </c>
      <c r="G45" s="259">
        <v>2</v>
      </c>
      <c r="H45" s="261"/>
      <c r="I45" s="261"/>
      <c r="J45" s="261"/>
      <c r="K45" s="261"/>
      <c r="L45" s="261"/>
      <c r="M45" s="261"/>
      <c r="N45" s="261">
        <v>2</v>
      </c>
      <c r="O45" s="261">
        <v>32</v>
      </c>
      <c r="P45" s="261"/>
      <c r="Q45" s="261"/>
      <c r="R45" s="261"/>
      <c r="S45" s="261"/>
      <c r="T45" s="329">
        <v>2</v>
      </c>
      <c r="U45" s="330">
        <v>32</v>
      </c>
    </row>
    <row r="46" spans="1:21" ht="17.5" thickBot="1">
      <c r="B46" s="613"/>
      <c r="C46" s="612"/>
      <c r="D46" s="610" t="s">
        <v>16</v>
      </c>
      <c r="E46" s="611"/>
      <c r="F46" s="290"/>
      <c r="G46" s="290"/>
      <c r="H46" s="291"/>
      <c r="I46" s="291"/>
      <c r="J46" s="291"/>
      <c r="K46" s="291"/>
      <c r="L46" s="291"/>
      <c r="M46" s="291"/>
      <c r="N46" s="291">
        <v>3</v>
      </c>
      <c r="O46" s="291">
        <v>48</v>
      </c>
      <c r="P46" s="291"/>
      <c r="Q46" s="291"/>
      <c r="R46" s="291"/>
      <c r="S46" s="291"/>
      <c r="T46" s="33">
        <v>3</v>
      </c>
      <c r="U46" s="34">
        <v>48</v>
      </c>
    </row>
    <row r="47" spans="1:21" ht="13.75" customHeight="1"/>
  </sheetData>
  <mergeCells count="57">
    <mergeCell ref="B44:B46"/>
    <mergeCell ref="C44:C46"/>
    <mergeCell ref="D46:E46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1"/>
    <mergeCell ref="C9:C11"/>
    <mergeCell ref="D11:E11"/>
    <mergeCell ref="B12:B16"/>
    <mergeCell ref="C12:C16"/>
    <mergeCell ref="D16:E16"/>
    <mergeCell ref="B17:B21"/>
    <mergeCell ref="C17:C21"/>
    <mergeCell ref="D21:E21"/>
    <mergeCell ref="B22:B24"/>
    <mergeCell ref="C22:C24"/>
    <mergeCell ref="D24:E24"/>
    <mergeCell ref="B25:B29"/>
    <mergeCell ref="C25:C29"/>
    <mergeCell ref="D29:E29"/>
    <mergeCell ref="D37:E37"/>
    <mergeCell ref="B35:B37"/>
    <mergeCell ref="C35:C37"/>
    <mergeCell ref="D34:E34"/>
    <mergeCell ref="B30:B34"/>
    <mergeCell ref="C30:C34"/>
    <mergeCell ref="C38:C40"/>
    <mergeCell ref="B41:B43"/>
    <mergeCell ref="C41:C43"/>
    <mergeCell ref="B38:B40"/>
    <mergeCell ref="D40:E40"/>
    <mergeCell ref="D43:E43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39D3-916E-422E-AE74-BCC22CE432C0}">
  <sheetPr>
    <pageSetUpPr fitToPage="1"/>
  </sheetPr>
  <dimension ref="B1:AD99"/>
  <sheetViews>
    <sheetView view="pageBreakPreview" zoomScaleNormal="100" zoomScaleSheetLayoutView="100" workbookViewId="0">
      <pane ySplit="8" topLeftCell="A43" activePane="bottomLeft" state="frozen"/>
      <selection pane="bottomLeft" activeCell="AA52" sqref="AA52"/>
    </sheetView>
  </sheetViews>
  <sheetFormatPr defaultColWidth="8.75" defaultRowHeight="17"/>
  <cols>
    <col min="1" max="1" width="2" style="4" customWidth="1"/>
    <col min="2" max="2" width="6.58203125" style="4" customWidth="1"/>
    <col min="3" max="3" width="9.3320312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58203125" style="4" customWidth="1"/>
    <col min="9" max="9" width="7.83203125" style="4" bestFit="1" customWidth="1"/>
    <col min="10" max="10" width="5.58203125" style="4" customWidth="1"/>
    <col min="11" max="22" width="3.83203125" style="4" customWidth="1"/>
    <col min="23" max="24" width="3.33203125" style="4" customWidth="1"/>
    <col min="25" max="25" width="6.33203125" style="4" customWidth="1"/>
    <col min="26" max="26" width="8.75" style="4"/>
    <col min="27" max="27" width="16.33203125" style="4" customWidth="1"/>
    <col min="28" max="29" width="12.83203125" style="4" customWidth="1"/>
    <col min="30" max="30" width="13.83203125" style="4" customWidth="1"/>
    <col min="31" max="16384" width="8.75" style="4"/>
  </cols>
  <sheetData>
    <row r="1" spans="2:30" ht="17.5" thickBot="1"/>
    <row r="2" spans="2:30" ht="30.75" customHeight="1" thickBot="1">
      <c r="B2" s="593" t="s">
        <v>619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4"/>
      <c r="V2" s="595" t="s">
        <v>130</v>
      </c>
      <c r="W2" s="596"/>
      <c r="X2" s="591">
        <v>2027</v>
      </c>
      <c r="Y2" s="592"/>
      <c r="AA2" s="597" t="s">
        <v>143</v>
      </c>
      <c r="AB2" s="18" t="s">
        <v>144</v>
      </c>
      <c r="AC2" s="40" t="s">
        <v>151</v>
      </c>
      <c r="AD2" s="19" t="s">
        <v>145</v>
      </c>
    </row>
    <row r="3" spans="2:30" ht="17.5" thickBot="1">
      <c r="B3" s="557" t="s">
        <v>368</v>
      </c>
      <c r="C3" s="559" t="s">
        <v>53</v>
      </c>
      <c r="D3" s="560"/>
      <c r="E3" s="560"/>
      <c r="F3" s="559" t="s">
        <v>64</v>
      </c>
      <c r="G3" s="563"/>
      <c r="H3" s="559" t="s">
        <v>54</v>
      </c>
      <c r="I3" s="560"/>
      <c r="J3" s="560"/>
      <c r="K3" s="559" t="s">
        <v>55</v>
      </c>
      <c r="L3" s="560"/>
      <c r="M3" s="560"/>
      <c r="N3" s="560"/>
      <c r="O3" s="563"/>
      <c r="P3" s="565" t="s">
        <v>56</v>
      </c>
      <c r="Q3" s="566"/>
      <c r="R3" s="566"/>
      <c r="S3" s="566"/>
      <c r="T3" s="566"/>
      <c r="U3" s="566"/>
      <c r="V3" s="566"/>
      <c r="W3" s="566"/>
      <c r="X3" s="566"/>
      <c r="Y3" s="567"/>
      <c r="AA3" s="598"/>
      <c r="AB3" s="20" t="s">
        <v>146</v>
      </c>
      <c r="AC3" s="46" t="s">
        <v>567</v>
      </c>
      <c r="AD3" s="21" t="s">
        <v>570</v>
      </c>
    </row>
    <row r="4" spans="2:30" ht="17.5" thickBot="1">
      <c r="B4" s="558"/>
      <c r="C4" s="561"/>
      <c r="D4" s="562"/>
      <c r="E4" s="562"/>
      <c r="F4" s="561"/>
      <c r="G4" s="564"/>
      <c r="H4" s="561"/>
      <c r="I4" s="562"/>
      <c r="J4" s="562"/>
      <c r="K4" s="561"/>
      <c r="L4" s="562"/>
      <c r="M4" s="562"/>
      <c r="N4" s="562"/>
      <c r="O4" s="564"/>
      <c r="P4" s="565" t="s">
        <v>127</v>
      </c>
      <c r="Q4" s="566"/>
      <c r="R4" s="566"/>
      <c r="S4" s="566"/>
      <c r="T4" s="565" t="s">
        <v>61</v>
      </c>
      <c r="U4" s="566"/>
      <c r="V4" s="567"/>
      <c r="W4" s="566" t="s">
        <v>128</v>
      </c>
      <c r="X4" s="566"/>
      <c r="Y4" s="567"/>
      <c r="AA4" s="598"/>
      <c r="AB4" s="22" t="s">
        <v>147</v>
      </c>
      <c r="AC4" s="47" t="s">
        <v>568</v>
      </c>
      <c r="AD4" s="123" t="s">
        <v>569</v>
      </c>
    </row>
    <row r="5" spans="2:30" ht="29.5" customHeight="1" thickBot="1">
      <c r="B5" s="56" t="s">
        <v>522</v>
      </c>
      <c r="C5" s="568" t="s">
        <v>524</v>
      </c>
      <c r="D5" s="569"/>
      <c r="E5" s="570"/>
      <c r="F5" s="568" t="s">
        <v>526</v>
      </c>
      <c r="G5" s="571"/>
      <c r="H5" s="572" t="s">
        <v>584</v>
      </c>
      <c r="I5" s="569"/>
      <c r="J5" s="570"/>
      <c r="K5" s="568" t="s">
        <v>694</v>
      </c>
      <c r="L5" s="569"/>
      <c r="M5" s="569"/>
      <c r="N5" s="569"/>
      <c r="O5" s="571"/>
      <c r="P5" s="572" t="s">
        <v>583</v>
      </c>
      <c r="Q5" s="569"/>
      <c r="R5" s="569"/>
      <c r="S5" s="570"/>
      <c r="T5" s="568" t="s">
        <v>592</v>
      </c>
      <c r="U5" s="569"/>
      <c r="V5" s="570"/>
      <c r="W5" s="573" t="s">
        <v>695</v>
      </c>
      <c r="X5" s="574"/>
      <c r="Y5" s="575"/>
      <c r="AA5" s="599"/>
      <c r="AB5" s="23" t="s">
        <v>148</v>
      </c>
      <c r="AC5" s="186" t="s">
        <v>568</v>
      </c>
      <c r="AD5" s="123" t="s">
        <v>569</v>
      </c>
    </row>
    <row r="6" spans="2:30" ht="15.75" customHeight="1" thickBot="1">
      <c r="U6" s="576"/>
      <c r="V6" s="576"/>
      <c r="W6" s="576"/>
      <c r="X6" s="576"/>
      <c r="Y6" s="576"/>
    </row>
    <row r="7" spans="2:30" s="10" customFormat="1" ht="22.5" customHeight="1">
      <c r="B7" s="577" t="s">
        <v>2</v>
      </c>
      <c r="C7" s="578"/>
      <c r="D7" s="581" t="s">
        <v>120</v>
      </c>
      <c r="E7" s="538" t="s">
        <v>57</v>
      </c>
      <c r="F7" s="539"/>
      <c r="G7" s="540"/>
      <c r="H7" s="541" t="s">
        <v>133</v>
      </c>
      <c r="I7" s="544" t="s">
        <v>134</v>
      </c>
      <c r="J7" s="548" t="s">
        <v>135</v>
      </c>
      <c r="K7" s="543" t="s">
        <v>58</v>
      </c>
      <c r="L7" s="544"/>
      <c r="M7" s="544"/>
      <c r="N7" s="545"/>
      <c r="O7" s="546" t="s">
        <v>59</v>
      </c>
      <c r="P7" s="544"/>
      <c r="Q7" s="544"/>
      <c r="R7" s="545"/>
      <c r="S7" s="543" t="s">
        <v>60</v>
      </c>
      <c r="T7" s="544"/>
      <c r="U7" s="544"/>
      <c r="V7" s="547"/>
      <c r="W7" s="541" t="s">
        <v>136</v>
      </c>
      <c r="X7" s="548"/>
      <c r="Y7" s="540" t="s">
        <v>137</v>
      </c>
      <c r="Z7" s="9"/>
    </row>
    <row r="8" spans="2:30" s="10" customFormat="1" ht="22.5" customHeight="1" thickBot="1">
      <c r="B8" s="579"/>
      <c r="C8" s="580"/>
      <c r="D8" s="582"/>
      <c r="E8" s="25" t="s">
        <v>18</v>
      </c>
      <c r="F8" s="551" t="s">
        <v>19</v>
      </c>
      <c r="G8" s="552"/>
      <c r="H8" s="542"/>
      <c r="I8" s="554"/>
      <c r="J8" s="549"/>
      <c r="K8" s="553" t="s">
        <v>0</v>
      </c>
      <c r="L8" s="554"/>
      <c r="M8" s="554" t="s">
        <v>62</v>
      </c>
      <c r="N8" s="555"/>
      <c r="O8" s="556" t="s">
        <v>0</v>
      </c>
      <c r="P8" s="554"/>
      <c r="Q8" s="554" t="s">
        <v>62</v>
      </c>
      <c r="R8" s="555"/>
      <c r="S8" s="553" t="s">
        <v>0</v>
      </c>
      <c r="T8" s="554"/>
      <c r="U8" s="554" t="s">
        <v>62</v>
      </c>
      <c r="V8" s="600"/>
      <c r="W8" s="542"/>
      <c r="X8" s="549"/>
      <c r="Y8" s="550"/>
      <c r="AA8" s="408" t="s">
        <v>508</v>
      </c>
      <c r="AB8" s="408"/>
      <c r="AC8" s="408"/>
      <c r="AD8" s="408"/>
    </row>
    <row r="9" spans="2:30" ht="16.5" customHeight="1" thickBot="1">
      <c r="B9" s="502" t="s">
        <v>337</v>
      </c>
      <c r="C9" s="503"/>
      <c r="D9" s="522" t="s">
        <v>21</v>
      </c>
      <c r="E9" s="128" t="s">
        <v>12</v>
      </c>
      <c r="F9" s="491" t="s">
        <v>201</v>
      </c>
      <c r="G9" s="486"/>
      <c r="H9" s="129">
        <v>4</v>
      </c>
      <c r="I9" s="130" t="s">
        <v>338</v>
      </c>
      <c r="J9" s="173">
        <v>3</v>
      </c>
      <c r="K9" s="491">
        <v>3</v>
      </c>
      <c r="L9" s="385"/>
      <c r="M9" s="386"/>
      <c r="N9" s="387"/>
      <c r="O9" s="384"/>
      <c r="P9" s="385"/>
      <c r="Q9" s="386"/>
      <c r="R9" s="387"/>
      <c r="S9" s="384"/>
      <c r="T9" s="385"/>
      <c r="U9" s="386"/>
      <c r="V9" s="486"/>
      <c r="W9" s="48">
        <f>SUM(K9:V9)</f>
        <v>3</v>
      </c>
      <c r="X9" s="395">
        <v>6</v>
      </c>
      <c r="Y9" s="524">
        <v>24</v>
      </c>
      <c r="AA9" s="117" t="s">
        <v>18</v>
      </c>
      <c r="AB9" s="118" t="s">
        <v>515</v>
      </c>
      <c r="AC9" s="118" t="s">
        <v>516</v>
      </c>
      <c r="AD9" s="119" t="s">
        <v>517</v>
      </c>
    </row>
    <row r="10" spans="2:30" ht="17.5" thickBot="1">
      <c r="B10" s="504"/>
      <c r="C10" s="505"/>
      <c r="D10" s="523"/>
      <c r="E10" s="132" t="s">
        <v>12</v>
      </c>
      <c r="F10" s="361" t="s">
        <v>202</v>
      </c>
      <c r="G10" s="358"/>
      <c r="H10" s="133">
        <v>4</v>
      </c>
      <c r="I10" s="134" t="s">
        <v>338</v>
      </c>
      <c r="J10" s="174">
        <v>3</v>
      </c>
      <c r="K10" s="361"/>
      <c r="L10" s="357"/>
      <c r="M10" s="348">
        <v>3</v>
      </c>
      <c r="N10" s="349"/>
      <c r="O10" s="356"/>
      <c r="P10" s="357"/>
      <c r="Q10" s="348"/>
      <c r="R10" s="349"/>
      <c r="S10" s="356"/>
      <c r="T10" s="357"/>
      <c r="U10" s="348"/>
      <c r="V10" s="358"/>
      <c r="W10" s="49">
        <f t="shared" ref="W10:W26" si="0">SUM(K10:V10)</f>
        <v>3</v>
      </c>
      <c r="X10" s="396"/>
      <c r="Y10" s="524"/>
      <c r="AA10" s="120" t="s">
        <v>510</v>
      </c>
      <c r="AB10" s="121">
        <v>4</v>
      </c>
      <c r="AC10" s="121">
        <v>-1</v>
      </c>
      <c r="AD10" s="21" t="s">
        <v>338</v>
      </c>
    </row>
    <row r="11" spans="2:30" ht="35" thickBot="1">
      <c r="B11" s="504"/>
      <c r="C11" s="505"/>
      <c r="D11" s="523"/>
      <c r="E11" s="136" t="s">
        <v>529</v>
      </c>
      <c r="F11" s="361" t="s">
        <v>4</v>
      </c>
      <c r="G11" s="358"/>
      <c r="H11" s="133">
        <v>4</v>
      </c>
      <c r="I11" s="134" t="s">
        <v>341</v>
      </c>
      <c r="J11" s="184">
        <v>3</v>
      </c>
      <c r="K11" s="361"/>
      <c r="L11" s="357"/>
      <c r="M11" s="348"/>
      <c r="N11" s="349"/>
      <c r="O11" s="401">
        <v>3</v>
      </c>
      <c r="P11" s="402"/>
      <c r="Q11" s="348"/>
      <c r="R11" s="349"/>
      <c r="S11" s="356"/>
      <c r="T11" s="357"/>
      <c r="U11" s="348"/>
      <c r="V11" s="358"/>
      <c r="W11" s="397" t="s">
        <v>537</v>
      </c>
      <c r="X11" s="398"/>
      <c r="Y11" s="524"/>
      <c r="AA11" s="120"/>
      <c r="AB11" s="121"/>
      <c r="AC11" s="121"/>
      <c r="AD11" s="21"/>
    </row>
    <row r="12" spans="2:30" ht="35" thickBot="1">
      <c r="B12" s="504"/>
      <c r="C12" s="505"/>
      <c r="D12" s="527"/>
      <c r="E12" s="137" t="s">
        <v>530</v>
      </c>
      <c r="F12" s="365" t="s">
        <v>340</v>
      </c>
      <c r="G12" s="364"/>
      <c r="H12" s="138">
        <v>4</v>
      </c>
      <c r="I12" s="139" t="s">
        <v>341</v>
      </c>
      <c r="J12" s="185">
        <v>3</v>
      </c>
      <c r="K12" s="365"/>
      <c r="L12" s="355"/>
      <c r="M12" s="352"/>
      <c r="N12" s="353"/>
      <c r="O12" s="354"/>
      <c r="P12" s="355"/>
      <c r="Q12" s="536">
        <v>3</v>
      </c>
      <c r="R12" s="537"/>
      <c r="S12" s="354"/>
      <c r="T12" s="355"/>
      <c r="U12" s="352"/>
      <c r="V12" s="364"/>
      <c r="W12" s="399" t="s">
        <v>538</v>
      </c>
      <c r="X12" s="400"/>
      <c r="Y12" s="524"/>
      <c r="AA12" s="120" t="s">
        <v>511</v>
      </c>
      <c r="AB12" s="121">
        <v>3</v>
      </c>
      <c r="AC12" s="121"/>
      <c r="AD12" s="21">
        <v>3</v>
      </c>
    </row>
    <row r="13" spans="2:30" ht="17.5" thickBot="1">
      <c r="B13" s="504"/>
      <c r="C13" s="505"/>
      <c r="D13" s="522" t="s">
        <v>5</v>
      </c>
      <c r="E13" s="128" t="s">
        <v>12</v>
      </c>
      <c r="F13" s="491" t="s">
        <v>213</v>
      </c>
      <c r="G13" s="486"/>
      <c r="H13" s="129">
        <v>4</v>
      </c>
      <c r="I13" s="130" t="s">
        <v>338</v>
      </c>
      <c r="J13" s="173">
        <v>3</v>
      </c>
      <c r="K13" s="491">
        <v>3</v>
      </c>
      <c r="L13" s="385"/>
      <c r="M13" s="386"/>
      <c r="N13" s="387"/>
      <c r="O13" s="384"/>
      <c r="P13" s="385"/>
      <c r="Q13" s="386"/>
      <c r="R13" s="387"/>
      <c r="S13" s="384"/>
      <c r="T13" s="385"/>
      <c r="U13" s="386"/>
      <c r="V13" s="486"/>
      <c r="W13" s="48">
        <f t="shared" si="0"/>
        <v>3</v>
      </c>
      <c r="X13" s="395">
        <v>6</v>
      </c>
      <c r="Y13" s="524"/>
      <c r="AA13" s="120" t="s">
        <v>512</v>
      </c>
      <c r="AB13" s="121">
        <v>4</v>
      </c>
      <c r="AC13" s="121" t="s">
        <v>521</v>
      </c>
      <c r="AD13" s="21" t="s">
        <v>341</v>
      </c>
    </row>
    <row r="14" spans="2:30" ht="17.5" thickBot="1">
      <c r="B14" s="504"/>
      <c r="C14" s="505"/>
      <c r="D14" s="523"/>
      <c r="E14" s="132" t="s">
        <v>12</v>
      </c>
      <c r="F14" s="361" t="s">
        <v>215</v>
      </c>
      <c r="G14" s="358"/>
      <c r="H14" s="133">
        <v>4</v>
      </c>
      <c r="I14" s="134" t="s">
        <v>338</v>
      </c>
      <c r="J14" s="174">
        <v>3</v>
      </c>
      <c r="K14" s="361"/>
      <c r="L14" s="357"/>
      <c r="M14" s="348">
        <v>3</v>
      </c>
      <c r="N14" s="349"/>
      <c r="O14" s="356"/>
      <c r="P14" s="357"/>
      <c r="Q14" s="348"/>
      <c r="R14" s="349"/>
      <c r="S14" s="356"/>
      <c r="T14" s="357"/>
      <c r="U14" s="348"/>
      <c r="V14" s="358"/>
      <c r="W14" s="49">
        <f t="shared" si="0"/>
        <v>3</v>
      </c>
      <c r="X14" s="396"/>
      <c r="Y14" s="524"/>
      <c r="AA14" s="120" t="s">
        <v>513</v>
      </c>
      <c r="AB14" s="121">
        <v>3</v>
      </c>
      <c r="AC14" s="121" t="s">
        <v>521</v>
      </c>
      <c r="AD14" s="21" t="s">
        <v>353</v>
      </c>
    </row>
    <row r="15" spans="2:30" ht="35" thickBot="1">
      <c r="B15" s="504"/>
      <c r="C15" s="505"/>
      <c r="D15" s="523"/>
      <c r="E15" s="136" t="s">
        <v>533</v>
      </c>
      <c r="F15" s="361" t="s">
        <v>224</v>
      </c>
      <c r="G15" s="358"/>
      <c r="H15" s="133">
        <v>4</v>
      </c>
      <c r="I15" s="134" t="s">
        <v>341</v>
      </c>
      <c r="J15" s="184">
        <v>3</v>
      </c>
      <c r="K15" s="361"/>
      <c r="L15" s="357"/>
      <c r="M15" s="348"/>
      <c r="N15" s="349"/>
      <c r="O15" s="401">
        <v>3</v>
      </c>
      <c r="P15" s="402"/>
      <c r="Q15" s="348"/>
      <c r="R15" s="349"/>
      <c r="S15" s="356"/>
      <c r="T15" s="357"/>
      <c r="U15" s="348"/>
      <c r="V15" s="358"/>
      <c r="W15" s="397" t="s">
        <v>537</v>
      </c>
      <c r="X15" s="398"/>
      <c r="Y15" s="524"/>
      <c r="AA15" s="124"/>
      <c r="AB15" s="125"/>
      <c r="AC15" s="126"/>
      <c r="AD15" s="127"/>
    </row>
    <row r="16" spans="2:30" ht="35" thickBot="1">
      <c r="B16" s="504"/>
      <c r="C16" s="505"/>
      <c r="D16" s="527"/>
      <c r="E16" s="137" t="s">
        <v>530</v>
      </c>
      <c r="F16" s="365" t="s">
        <v>342</v>
      </c>
      <c r="G16" s="364"/>
      <c r="H16" s="138">
        <v>4</v>
      </c>
      <c r="I16" s="139" t="s">
        <v>341</v>
      </c>
      <c r="J16" s="185">
        <v>3</v>
      </c>
      <c r="K16" s="365"/>
      <c r="L16" s="355"/>
      <c r="M16" s="352"/>
      <c r="N16" s="353"/>
      <c r="O16" s="354"/>
      <c r="P16" s="355"/>
      <c r="Q16" s="536">
        <v>3</v>
      </c>
      <c r="R16" s="537"/>
      <c r="S16" s="354"/>
      <c r="T16" s="355"/>
      <c r="U16" s="352"/>
      <c r="V16" s="364"/>
      <c r="W16" s="399" t="s">
        <v>538</v>
      </c>
      <c r="X16" s="400"/>
      <c r="Y16" s="524"/>
      <c r="AA16" s="122" t="s">
        <v>514</v>
      </c>
      <c r="AB16" s="403" t="s">
        <v>523</v>
      </c>
      <c r="AC16" s="404"/>
      <c r="AD16" s="405"/>
    </row>
    <row r="17" spans="2:29" ht="17.5" thickBot="1">
      <c r="B17" s="504"/>
      <c r="C17" s="505"/>
      <c r="D17" s="522" t="s">
        <v>6</v>
      </c>
      <c r="E17" s="128" t="s">
        <v>12</v>
      </c>
      <c r="F17" s="491" t="s">
        <v>220</v>
      </c>
      <c r="G17" s="486"/>
      <c r="H17" s="129">
        <v>4</v>
      </c>
      <c r="I17" s="130" t="s">
        <v>338</v>
      </c>
      <c r="J17" s="173">
        <v>3</v>
      </c>
      <c r="K17" s="491">
        <v>3</v>
      </c>
      <c r="L17" s="385"/>
      <c r="M17" s="386"/>
      <c r="N17" s="387"/>
      <c r="O17" s="384"/>
      <c r="P17" s="385"/>
      <c r="Q17" s="386"/>
      <c r="R17" s="387"/>
      <c r="S17" s="384"/>
      <c r="T17" s="385"/>
      <c r="U17" s="386"/>
      <c r="V17" s="486"/>
      <c r="W17" s="48">
        <f t="shared" si="0"/>
        <v>3</v>
      </c>
      <c r="X17" s="395">
        <v>6</v>
      </c>
      <c r="Y17" s="524"/>
    </row>
    <row r="18" spans="2:29" ht="17.5" thickBot="1">
      <c r="B18" s="504"/>
      <c r="C18" s="505"/>
      <c r="D18" s="523"/>
      <c r="E18" s="132" t="s">
        <v>12</v>
      </c>
      <c r="F18" s="361" t="s">
        <v>226</v>
      </c>
      <c r="G18" s="358"/>
      <c r="H18" s="133">
        <v>4</v>
      </c>
      <c r="I18" s="134" t="s">
        <v>338</v>
      </c>
      <c r="J18" s="174">
        <v>3</v>
      </c>
      <c r="K18" s="361"/>
      <c r="L18" s="357"/>
      <c r="M18" s="348">
        <v>3</v>
      </c>
      <c r="N18" s="349"/>
      <c r="O18" s="356"/>
      <c r="P18" s="357"/>
      <c r="Q18" s="348"/>
      <c r="R18" s="349"/>
      <c r="S18" s="356"/>
      <c r="T18" s="357"/>
      <c r="U18" s="348"/>
      <c r="V18" s="358"/>
      <c r="W18" s="49">
        <f t="shared" si="0"/>
        <v>3</v>
      </c>
      <c r="X18" s="396"/>
      <c r="Y18" s="524"/>
    </row>
    <row r="19" spans="2:29" ht="35" thickBot="1">
      <c r="B19" s="504"/>
      <c r="C19" s="505"/>
      <c r="D19" s="523"/>
      <c r="E19" s="136" t="s">
        <v>533</v>
      </c>
      <c r="F19" s="361" t="s">
        <v>231</v>
      </c>
      <c r="G19" s="358"/>
      <c r="H19" s="133">
        <v>4</v>
      </c>
      <c r="I19" s="134" t="s">
        <v>341</v>
      </c>
      <c r="J19" s="184">
        <v>3</v>
      </c>
      <c r="K19" s="361"/>
      <c r="L19" s="357"/>
      <c r="M19" s="348"/>
      <c r="N19" s="349"/>
      <c r="O19" s="401">
        <v>3</v>
      </c>
      <c r="P19" s="402"/>
      <c r="Q19" s="348"/>
      <c r="R19" s="349"/>
      <c r="S19" s="356"/>
      <c r="T19" s="357"/>
      <c r="U19" s="348"/>
      <c r="V19" s="358"/>
      <c r="W19" s="397" t="s">
        <v>537</v>
      </c>
      <c r="X19" s="398"/>
      <c r="Y19" s="524"/>
    </row>
    <row r="20" spans="2:29" ht="35" thickBot="1">
      <c r="B20" s="504"/>
      <c r="C20" s="505"/>
      <c r="D20" s="527"/>
      <c r="E20" s="137" t="s">
        <v>530</v>
      </c>
      <c r="F20" s="365" t="s">
        <v>344</v>
      </c>
      <c r="G20" s="364"/>
      <c r="H20" s="138">
        <v>4</v>
      </c>
      <c r="I20" s="139" t="s">
        <v>341</v>
      </c>
      <c r="J20" s="185">
        <v>3</v>
      </c>
      <c r="K20" s="365"/>
      <c r="L20" s="355"/>
      <c r="M20" s="352"/>
      <c r="N20" s="353"/>
      <c r="O20" s="354"/>
      <c r="P20" s="355"/>
      <c r="Q20" s="536">
        <v>3</v>
      </c>
      <c r="R20" s="537"/>
      <c r="S20" s="354"/>
      <c r="T20" s="355"/>
      <c r="U20" s="352"/>
      <c r="V20" s="364"/>
      <c r="W20" s="399" t="s">
        <v>538</v>
      </c>
      <c r="X20" s="400"/>
      <c r="Y20" s="524"/>
    </row>
    <row r="21" spans="2:29" ht="17.5" thickBot="1">
      <c r="B21" s="504"/>
      <c r="C21" s="505"/>
      <c r="D21" s="522" t="s">
        <v>345</v>
      </c>
      <c r="E21" s="128" t="s">
        <v>12</v>
      </c>
      <c r="F21" s="491" t="s">
        <v>234</v>
      </c>
      <c r="G21" s="486"/>
      <c r="H21" s="129">
        <v>3</v>
      </c>
      <c r="I21" s="141" t="s">
        <v>346</v>
      </c>
      <c r="J21" s="173">
        <v>3</v>
      </c>
      <c r="K21" s="531"/>
      <c r="L21" s="532"/>
      <c r="M21" s="587"/>
      <c r="N21" s="588"/>
      <c r="O21" s="589">
        <v>3</v>
      </c>
      <c r="P21" s="532"/>
      <c r="Q21" s="587"/>
      <c r="R21" s="588"/>
      <c r="S21" s="589"/>
      <c r="T21" s="532"/>
      <c r="U21" s="587"/>
      <c r="V21" s="590"/>
      <c r="W21" s="48">
        <f t="shared" si="0"/>
        <v>3</v>
      </c>
      <c r="X21" s="395">
        <f>SUM(W21:W22)</f>
        <v>6</v>
      </c>
      <c r="Y21" s="524">
        <v>6</v>
      </c>
    </row>
    <row r="22" spans="2:29" ht="17.5" thickBot="1">
      <c r="B22" s="504"/>
      <c r="C22" s="505"/>
      <c r="D22" s="523"/>
      <c r="E22" s="142" t="s">
        <v>12</v>
      </c>
      <c r="F22" s="534" t="s">
        <v>235</v>
      </c>
      <c r="G22" s="535"/>
      <c r="H22" s="143">
        <v>3</v>
      </c>
      <c r="I22" s="144" t="s">
        <v>346</v>
      </c>
      <c r="J22" s="145">
        <v>3</v>
      </c>
      <c r="K22" s="365"/>
      <c r="L22" s="355"/>
      <c r="M22" s="352"/>
      <c r="N22" s="353"/>
      <c r="O22" s="354"/>
      <c r="P22" s="355"/>
      <c r="Q22" s="352">
        <v>3</v>
      </c>
      <c r="R22" s="353"/>
      <c r="S22" s="354"/>
      <c r="T22" s="355"/>
      <c r="U22" s="352"/>
      <c r="V22" s="364"/>
      <c r="W22" s="50">
        <f t="shared" si="0"/>
        <v>3</v>
      </c>
      <c r="X22" s="533"/>
      <c r="Y22" s="524"/>
      <c r="AA22" s="414"/>
      <c r="AB22" s="414"/>
      <c r="AC22" s="172"/>
    </row>
    <row r="23" spans="2:29" ht="17.5" thickBot="1">
      <c r="B23" s="504"/>
      <c r="C23" s="505"/>
      <c r="D23" s="523"/>
      <c r="E23" s="128" t="s">
        <v>12</v>
      </c>
      <c r="F23" s="491" t="s">
        <v>237</v>
      </c>
      <c r="G23" s="486"/>
      <c r="H23" s="129">
        <v>4</v>
      </c>
      <c r="I23" s="141" t="s">
        <v>338</v>
      </c>
      <c r="J23" s="173">
        <v>3</v>
      </c>
      <c r="K23" s="491"/>
      <c r="L23" s="385"/>
      <c r="M23" s="386"/>
      <c r="N23" s="387"/>
      <c r="O23" s="384">
        <v>3</v>
      </c>
      <c r="P23" s="385"/>
      <c r="Q23" s="386"/>
      <c r="R23" s="387"/>
      <c r="S23" s="384"/>
      <c r="T23" s="385"/>
      <c r="U23" s="386"/>
      <c r="V23" s="486"/>
      <c r="W23" s="48">
        <f t="shared" si="0"/>
        <v>3</v>
      </c>
      <c r="X23" s="395">
        <f>SUM(W23:W24)</f>
        <v>6</v>
      </c>
      <c r="Y23" s="524">
        <v>12</v>
      </c>
    </row>
    <row r="24" spans="2:29" ht="17.5" thickBot="1">
      <c r="B24" s="504"/>
      <c r="C24" s="505"/>
      <c r="D24" s="527"/>
      <c r="E24" s="146" t="s">
        <v>12</v>
      </c>
      <c r="F24" s="365" t="s">
        <v>238</v>
      </c>
      <c r="G24" s="364"/>
      <c r="H24" s="138">
        <v>4</v>
      </c>
      <c r="I24" s="139" t="s">
        <v>338</v>
      </c>
      <c r="J24" s="175">
        <v>3</v>
      </c>
      <c r="K24" s="365"/>
      <c r="L24" s="355"/>
      <c r="M24" s="352"/>
      <c r="N24" s="353"/>
      <c r="O24" s="354"/>
      <c r="P24" s="355"/>
      <c r="Q24" s="352">
        <v>3</v>
      </c>
      <c r="R24" s="353"/>
      <c r="S24" s="354"/>
      <c r="T24" s="355"/>
      <c r="U24" s="352"/>
      <c r="V24" s="364"/>
      <c r="W24" s="50">
        <f t="shared" si="0"/>
        <v>3</v>
      </c>
      <c r="X24" s="533"/>
      <c r="Y24" s="524"/>
    </row>
    <row r="25" spans="2:29" ht="17.5" thickBot="1">
      <c r="B25" s="504"/>
      <c r="C25" s="505"/>
      <c r="D25" s="522" t="s">
        <v>26</v>
      </c>
      <c r="E25" s="128" t="s">
        <v>12</v>
      </c>
      <c r="F25" s="491" t="s">
        <v>255</v>
      </c>
      <c r="G25" s="486"/>
      <c r="H25" s="129">
        <v>4</v>
      </c>
      <c r="I25" s="141" t="s">
        <v>338</v>
      </c>
      <c r="J25" s="173">
        <v>3</v>
      </c>
      <c r="K25" s="491">
        <v>3</v>
      </c>
      <c r="L25" s="385"/>
      <c r="M25" s="386"/>
      <c r="N25" s="387"/>
      <c r="O25" s="384"/>
      <c r="P25" s="385"/>
      <c r="Q25" s="386"/>
      <c r="R25" s="387"/>
      <c r="S25" s="384"/>
      <c r="T25" s="385"/>
      <c r="U25" s="386"/>
      <c r="V25" s="486"/>
      <c r="W25" s="48">
        <f t="shared" si="0"/>
        <v>3</v>
      </c>
      <c r="X25" s="585">
        <f>SUM(W25:W26)</f>
        <v>6</v>
      </c>
      <c r="Y25" s="524"/>
    </row>
    <row r="26" spans="2:29" ht="17.5" thickBot="1">
      <c r="B26" s="504"/>
      <c r="C26" s="505"/>
      <c r="D26" s="523"/>
      <c r="E26" s="132" t="s">
        <v>12</v>
      </c>
      <c r="F26" s="361" t="s">
        <v>256</v>
      </c>
      <c r="G26" s="358"/>
      <c r="H26" s="133">
        <v>4</v>
      </c>
      <c r="I26" s="134" t="s">
        <v>338</v>
      </c>
      <c r="J26" s="174">
        <v>3</v>
      </c>
      <c r="K26" s="361"/>
      <c r="L26" s="357"/>
      <c r="M26" s="348">
        <v>3</v>
      </c>
      <c r="N26" s="349"/>
      <c r="O26" s="356"/>
      <c r="P26" s="357"/>
      <c r="Q26" s="348"/>
      <c r="R26" s="349"/>
      <c r="S26" s="356"/>
      <c r="T26" s="357"/>
      <c r="U26" s="348"/>
      <c r="V26" s="358"/>
      <c r="W26" s="49">
        <f t="shared" si="0"/>
        <v>3</v>
      </c>
      <c r="X26" s="586"/>
      <c r="Y26" s="524"/>
    </row>
    <row r="27" spans="2:29" ht="16.5" customHeight="1" thickBot="1">
      <c r="B27" s="504"/>
      <c r="C27" s="505"/>
      <c r="D27" s="522" t="s">
        <v>8</v>
      </c>
      <c r="E27" s="128" t="s">
        <v>351</v>
      </c>
      <c r="F27" s="491" t="s">
        <v>352</v>
      </c>
      <c r="G27" s="486"/>
      <c r="H27" s="129">
        <v>3</v>
      </c>
      <c r="I27" s="141" t="s">
        <v>353</v>
      </c>
      <c r="J27" s="173">
        <f t="shared" ref="J27:J28" si="1">SUM(K27:V27)</f>
        <v>2</v>
      </c>
      <c r="K27" s="491">
        <v>2</v>
      </c>
      <c r="L27" s="385"/>
      <c r="M27" s="386"/>
      <c r="N27" s="387"/>
      <c r="O27" s="384"/>
      <c r="P27" s="385"/>
      <c r="Q27" s="386"/>
      <c r="R27" s="387"/>
      <c r="S27" s="384"/>
      <c r="T27" s="385"/>
      <c r="U27" s="386"/>
      <c r="V27" s="486"/>
      <c r="W27" s="48">
        <f>SUM(K27:V27)</f>
        <v>2</v>
      </c>
      <c r="X27" s="528">
        <f>SUM(W27:W31)</f>
        <v>13</v>
      </c>
      <c r="Y27" s="524">
        <v>8</v>
      </c>
    </row>
    <row r="28" spans="2:29" ht="17.5" thickBot="1">
      <c r="B28" s="504"/>
      <c r="C28" s="505"/>
      <c r="D28" s="523"/>
      <c r="E28" s="132" t="s">
        <v>351</v>
      </c>
      <c r="F28" s="361" t="s">
        <v>354</v>
      </c>
      <c r="G28" s="358"/>
      <c r="H28" s="133">
        <v>3</v>
      </c>
      <c r="I28" s="134" t="s">
        <v>353</v>
      </c>
      <c r="J28" s="174">
        <f t="shared" si="1"/>
        <v>3</v>
      </c>
      <c r="K28" s="361"/>
      <c r="L28" s="357"/>
      <c r="M28" s="348">
        <v>3</v>
      </c>
      <c r="N28" s="349"/>
      <c r="O28" s="356"/>
      <c r="P28" s="357"/>
      <c r="Q28" s="348"/>
      <c r="R28" s="349"/>
      <c r="S28" s="356"/>
      <c r="T28" s="357"/>
      <c r="U28" s="348"/>
      <c r="V28" s="358"/>
      <c r="W28" s="49">
        <f t="shared" ref="W28:W31" si="2">SUM(K28:V28)</f>
        <v>3</v>
      </c>
      <c r="X28" s="529"/>
      <c r="Y28" s="524"/>
    </row>
    <row r="29" spans="2:29" ht="17.5" thickBot="1">
      <c r="B29" s="504"/>
      <c r="C29" s="505"/>
      <c r="D29" s="523"/>
      <c r="E29" s="132" t="s">
        <v>339</v>
      </c>
      <c r="F29" s="361" t="s">
        <v>534</v>
      </c>
      <c r="G29" s="358"/>
      <c r="H29" s="133">
        <v>3</v>
      </c>
      <c r="I29" s="134" t="s">
        <v>353</v>
      </c>
      <c r="J29" s="174">
        <v>3</v>
      </c>
      <c r="K29" s="361"/>
      <c r="L29" s="357"/>
      <c r="M29" s="348"/>
      <c r="N29" s="349"/>
      <c r="O29" s="356">
        <v>3</v>
      </c>
      <c r="P29" s="357"/>
      <c r="Q29" s="348"/>
      <c r="R29" s="349"/>
      <c r="S29" s="356"/>
      <c r="T29" s="357"/>
      <c r="U29" s="348"/>
      <c r="V29" s="358"/>
      <c r="W29" s="49">
        <f t="shared" si="2"/>
        <v>3</v>
      </c>
      <c r="X29" s="529"/>
      <c r="Y29" s="524"/>
    </row>
    <row r="30" spans="2:29" ht="17.5" thickBot="1">
      <c r="B30" s="504"/>
      <c r="C30" s="505"/>
      <c r="D30" s="523"/>
      <c r="E30" s="132" t="s">
        <v>350</v>
      </c>
      <c r="F30" s="361" t="s">
        <v>355</v>
      </c>
      <c r="G30" s="358"/>
      <c r="H30" s="133">
        <v>3</v>
      </c>
      <c r="I30" s="134" t="s">
        <v>353</v>
      </c>
      <c r="J30" s="174">
        <v>3</v>
      </c>
      <c r="K30" s="361"/>
      <c r="L30" s="357"/>
      <c r="M30" s="348"/>
      <c r="N30" s="349"/>
      <c r="O30" s="356"/>
      <c r="P30" s="357"/>
      <c r="Q30" s="348">
        <v>3</v>
      </c>
      <c r="R30" s="349"/>
      <c r="S30" s="356"/>
      <c r="T30" s="357"/>
      <c r="U30" s="348"/>
      <c r="V30" s="358"/>
      <c r="W30" s="49">
        <f t="shared" si="2"/>
        <v>3</v>
      </c>
      <c r="X30" s="529"/>
      <c r="Y30" s="524"/>
    </row>
    <row r="31" spans="2:29" ht="17.5" thickBot="1">
      <c r="B31" s="504"/>
      <c r="C31" s="505"/>
      <c r="D31" s="527"/>
      <c r="E31" s="146" t="s">
        <v>339</v>
      </c>
      <c r="F31" s="365" t="s">
        <v>376</v>
      </c>
      <c r="G31" s="364"/>
      <c r="H31" s="138">
        <v>2</v>
      </c>
      <c r="I31" s="139" t="s">
        <v>356</v>
      </c>
      <c r="J31" s="175">
        <v>2</v>
      </c>
      <c r="K31" s="365"/>
      <c r="L31" s="355"/>
      <c r="M31" s="352"/>
      <c r="N31" s="353"/>
      <c r="O31" s="354"/>
      <c r="P31" s="355"/>
      <c r="Q31" s="352"/>
      <c r="R31" s="353"/>
      <c r="S31" s="354">
        <v>2</v>
      </c>
      <c r="T31" s="355"/>
      <c r="U31" s="352"/>
      <c r="V31" s="364"/>
      <c r="W31" s="50">
        <f t="shared" si="2"/>
        <v>2</v>
      </c>
      <c r="X31" s="530"/>
      <c r="Y31" s="524"/>
    </row>
    <row r="32" spans="2:29" ht="17.5" thickBot="1">
      <c r="B32" s="504"/>
      <c r="C32" s="505"/>
      <c r="D32" s="522" t="s">
        <v>28</v>
      </c>
      <c r="E32" s="128" t="s">
        <v>351</v>
      </c>
      <c r="F32" s="491" t="s">
        <v>47</v>
      </c>
      <c r="G32" s="486"/>
      <c r="H32" s="129">
        <v>3</v>
      </c>
      <c r="I32" s="147" t="s">
        <v>353</v>
      </c>
      <c r="J32" s="173">
        <v>3</v>
      </c>
      <c r="K32" s="491">
        <v>3</v>
      </c>
      <c r="L32" s="385"/>
      <c r="M32" s="386"/>
      <c r="N32" s="387"/>
      <c r="O32" s="384"/>
      <c r="P32" s="385"/>
      <c r="Q32" s="386"/>
      <c r="R32" s="387"/>
      <c r="S32" s="384"/>
      <c r="T32" s="385"/>
      <c r="U32" s="386"/>
      <c r="V32" s="486"/>
      <c r="W32" s="372">
        <f>SUM(K32:V33)</f>
        <v>6</v>
      </c>
      <c r="X32" s="373"/>
      <c r="Y32" s="524">
        <v>6</v>
      </c>
    </row>
    <row r="33" spans="2:28" ht="17.5" thickBot="1">
      <c r="B33" s="504"/>
      <c r="C33" s="505"/>
      <c r="D33" s="523"/>
      <c r="E33" s="148" t="s">
        <v>339</v>
      </c>
      <c r="F33" s="361" t="s">
        <v>283</v>
      </c>
      <c r="G33" s="358"/>
      <c r="H33" s="133">
        <v>3</v>
      </c>
      <c r="I33" s="134" t="s">
        <v>353</v>
      </c>
      <c r="J33" s="174">
        <v>3</v>
      </c>
      <c r="K33" s="361"/>
      <c r="L33" s="357"/>
      <c r="M33" s="348">
        <v>3</v>
      </c>
      <c r="N33" s="349"/>
      <c r="O33" s="356"/>
      <c r="P33" s="357"/>
      <c r="Q33" s="348"/>
      <c r="R33" s="349"/>
      <c r="S33" s="356"/>
      <c r="T33" s="357"/>
      <c r="U33" s="348"/>
      <c r="V33" s="358"/>
      <c r="W33" s="374"/>
      <c r="X33" s="375"/>
      <c r="Y33" s="524"/>
    </row>
    <row r="34" spans="2:28" ht="23" customHeight="1" thickBot="1">
      <c r="B34" s="504"/>
      <c r="C34" s="505"/>
      <c r="D34" s="525" t="s">
        <v>357</v>
      </c>
      <c r="E34" s="149" t="s">
        <v>539</v>
      </c>
      <c r="F34" s="491" t="s">
        <v>535</v>
      </c>
      <c r="G34" s="486"/>
      <c r="H34" s="129">
        <v>4</v>
      </c>
      <c r="I34" s="141" t="s">
        <v>341</v>
      </c>
      <c r="J34" s="173">
        <v>4</v>
      </c>
      <c r="K34" s="491"/>
      <c r="L34" s="385"/>
      <c r="M34" s="386"/>
      <c r="N34" s="387"/>
      <c r="O34" s="384">
        <v>4</v>
      </c>
      <c r="P34" s="385"/>
      <c r="Q34" s="386"/>
      <c r="R34" s="387"/>
      <c r="S34" s="384"/>
      <c r="T34" s="385"/>
      <c r="U34" s="386"/>
      <c r="V34" s="486"/>
      <c r="W34" s="372">
        <f>SUM(K34:V35)</f>
        <v>8</v>
      </c>
      <c r="X34" s="373"/>
      <c r="Y34" s="524">
        <v>8</v>
      </c>
    </row>
    <row r="35" spans="2:28" ht="23.5" thickBot="1">
      <c r="B35" s="693"/>
      <c r="C35" s="694"/>
      <c r="D35" s="526"/>
      <c r="E35" s="235" t="s">
        <v>687</v>
      </c>
      <c r="F35" s="365" t="s">
        <v>692</v>
      </c>
      <c r="G35" s="364"/>
      <c r="H35" s="138">
        <v>4</v>
      </c>
      <c r="I35" s="139" t="s">
        <v>341</v>
      </c>
      <c r="J35" s="175">
        <v>4</v>
      </c>
      <c r="K35" s="365"/>
      <c r="L35" s="355"/>
      <c r="M35" s="352"/>
      <c r="N35" s="353"/>
      <c r="O35" s="356"/>
      <c r="P35" s="357"/>
      <c r="Q35" s="348">
        <v>4</v>
      </c>
      <c r="R35" s="349"/>
      <c r="S35" s="356"/>
      <c r="T35" s="357"/>
      <c r="U35" s="348"/>
      <c r="V35" s="358"/>
      <c r="W35" s="374"/>
      <c r="X35" s="375"/>
      <c r="Y35" s="524"/>
    </row>
    <row r="36" spans="2:28" ht="24.75" customHeight="1" thickBot="1">
      <c r="B36" s="497" t="s">
        <v>369</v>
      </c>
      <c r="C36" s="498"/>
      <c r="D36" s="498"/>
      <c r="E36" s="498"/>
      <c r="F36" s="498"/>
      <c r="G36" s="499"/>
      <c r="H36" s="179"/>
      <c r="I36" s="151"/>
      <c r="J36" s="178">
        <v>69</v>
      </c>
      <c r="K36" s="500">
        <f>SUM(K9:L35)</f>
        <v>17</v>
      </c>
      <c r="L36" s="501"/>
      <c r="M36" s="501">
        <f>SUM(M9:N35)</f>
        <v>18</v>
      </c>
      <c r="N36" s="601"/>
      <c r="O36" s="602">
        <v>16</v>
      </c>
      <c r="P36" s="501"/>
      <c r="Q36" s="501">
        <v>16</v>
      </c>
      <c r="R36" s="608"/>
      <c r="S36" s="609">
        <f>SUM(S9:T35)</f>
        <v>2</v>
      </c>
      <c r="T36" s="501"/>
      <c r="U36" s="501">
        <f>SUM(U9:V35)</f>
        <v>0</v>
      </c>
      <c r="V36" s="605"/>
      <c r="W36" s="409">
        <v>69</v>
      </c>
      <c r="X36" s="435"/>
      <c r="Y36" s="182">
        <f>SUM(Y9:Y35)</f>
        <v>64</v>
      </c>
      <c r="AA36" s="428" t="b">
        <f>W36&gt;=Y36</f>
        <v>1</v>
      </c>
      <c r="AB36" s="429"/>
    </row>
    <row r="37" spans="2:28" ht="17.25" customHeight="1">
      <c r="B37" s="502" t="s">
        <v>358</v>
      </c>
      <c r="C37" s="503"/>
      <c r="D37" s="516" t="s">
        <v>359</v>
      </c>
      <c r="E37" s="517"/>
      <c r="F37" s="406" t="s">
        <v>689</v>
      </c>
      <c r="G37" s="407"/>
      <c r="H37" s="129"/>
      <c r="I37" s="240"/>
      <c r="J37" s="244">
        <v>2</v>
      </c>
      <c r="K37" s="673"/>
      <c r="L37" s="674"/>
      <c r="M37" s="675"/>
      <c r="N37" s="676"/>
      <c r="O37" s="677">
        <v>2</v>
      </c>
      <c r="P37" s="674"/>
      <c r="Q37" s="675"/>
      <c r="R37" s="676"/>
      <c r="S37" s="677"/>
      <c r="T37" s="674"/>
      <c r="U37" s="675"/>
      <c r="V37" s="678"/>
      <c r="W37" s="603">
        <f>SUM(K37:V37)</f>
        <v>2</v>
      </c>
      <c r="X37" s="604"/>
      <c r="Y37" s="441">
        <v>80</v>
      </c>
    </row>
    <row r="38" spans="2:28" ht="17.25" customHeight="1">
      <c r="B38" s="504"/>
      <c r="C38" s="505"/>
      <c r="D38" s="518"/>
      <c r="E38" s="519"/>
      <c r="F38" s="506" t="s">
        <v>688</v>
      </c>
      <c r="G38" s="507"/>
      <c r="H38" s="133"/>
      <c r="I38" s="160"/>
      <c r="J38" s="245">
        <v>2</v>
      </c>
      <c r="K38" s="679"/>
      <c r="L38" s="680"/>
      <c r="M38" s="681"/>
      <c r="N38" s="682"/>
      <c r="O38" s="691"/>
      <c r="P38" s="680"/>
      <c r="Q38" s="681">
        <v>2</v>
      </c>
      <c r="R38" s="682"/>
      <c r="S38" s="691"/>
      <c r="T38" s="680"/>
      <c r="U38" s="681"/>
      <c r="V38" s="692"/>
      <c r="W38" s="359">
        <v>2</v>
      </c>
      <c r="X38" s="360"/>
      <c r="Y38" s="464"/>
    </row>
    <row r="39" spans="2:28" ht="17.25" customHeight="1" thickBot="1">
      <c r="B39" s="504"/>
      <c r="C39" s="505"/>
      <c r="D39" s="518"/>
      <c r="E39" s="519"/>
      <c r="F39" s="362" t="s">
        <v>696</v>
      </c>
      <c r="G39" s="363"/>
      <c r="H39" s="138"/>
      <c r="I39" s="164"/>
      <c r="J39" s="246">
        <v>2</v>
      </c>
      <c r="K39" s="720"/>
      <c r="L39" s="721"/>
      <c r="M39" s="685"/>
      <c r="N39" s="686"/>
      <c r="O39" s="687"/>
      <c r="P39" s="684"/>
      <c r="Q39" s="685"/>
      <c r="R39" s="686"/>
      <c r="S39" s="687">
        <v>2</v>
      </c>
      <c r="T39" s="684"/>
      <c r="U39" s="685"/>
      <c r="V39" s="688"/>
      <c r="W39" s="366">
        <v>2</v>
      </c>
      <c r="X39" s="367"/>
      <c r="Y39" s="464"/>
    </row>
    <row r="40" spans="2:28" ht="17.25" customHeight="1">
      <c r="B40" s="504"/>
      <c r="C40" s="505"/>
      <c r="D40" s="299" t="s">
        <v>591</v>
      </c>
      <c r="E40" s="51" t="s">
        <v>360</v>
      </c>
      <c r="F40" s="508" t="s">
        <v>697</v>
      </c>
      <c r="G40" s="509"/>
      <c r="H40" s="129"/>
      <c r="I40" s="240"/>
      <c r="J40" s="206">
        <v>5</v>
      </c>
      <c r="K40" s="491">
        <v>5</v>
      </c>
      <c r="L40" s="385"/>
      <c r="M40" s="484"/>
      <c r="N40" s="583"/>
      <c r="O40" s="393"/>
      <c r="P40" s="391"/>
      <c r="Q40" s="484"/>
      <c r="R40" s="584"/>
      <c r="S40" s="583"/>
      <c r="T40" s="391"/>
      <c r="U40" s="484"/>
      <c r="V40" s="485"/>
      <c r="W40" s="606">
        <v>5</v>
      </c>
      <c r="X40" s="607"/>
      <c r="Y40" s="464"/>
    </row>
    <row r="41" spans="2:28" ht="17.25" customHeight="1">
      <c r="B41" s="504"/>
      <c r="C41" s="505"/>
      <c r="D41" s="242" t="s">
        <v>591</v>
      </c>
      <c r="E41" s="154" t="s">
        <v>360</v>
      </c>
      <c r="F41" s="510" t="s">
        <v>698</v>
      </c>
      <c r="G41" s="511"/>
      <c r="H41" s="157"/>
      <c r="I41" s="158"/>
      <c r="J41" s="159">
        <v>4</v>
      </c>
      <c r="K41" s="361"/>
      <c r="L41" s="357"/>
      <c r="M41" s="348">
        <v>4</v>
      </c>
      <c r="N41" s="349"/>
      <c r="O41" s="356"/>
      <c r="P41" s="357"/>
      <c r="Q41" s="348"/>
      <c r="R41" s="349"/>
      <c r="S41" s="356"/>
      <c r="T41" s="357"/>
      <c r="U41" s="348"/>
      <c r="V41" s="358"/>
      <c r="W41" s="359">
        <v>4</v>
      </c>
      <c r="X41" s="360"/>
      <c r="Y41" s="464"/>
    </row>
    <row r="42" spans="2:28" ht="17.25" customHeight="1">
      <c r="B42" s="504"/>
      <c r="C42" s="505"/>
      <c r="D42" s="52" t="s">
        <v>564</v>
      </c>
      <c r="E42" s="154" t="s">
        <v>360</v>
      </c>
      <c r="F42" s="510" t="s">
        <v>562</v>
      </c>
      <c r="G42" s="511"/>
      <c r="H42" s="157"/>
      <c r="I42" s="158"/>
      <c r="J42" s="159">
        <v>4</v>
      </c>
      <c r="K42" s="361">
        <v>4</v>
      </c>
      <c r="L42" s="357"/>
      <c r="M42" s="348"/>
      <c r="N42" s="349"/>
      <c r="O42" s="356"/>
      <c r="P42" s="357"/>
      <c r="Q42" s="348"/>
      <c r="R42" s="349"/>
      <c r="S42" s="356"/>
      <c r="T42" s="357"/>
      <c r="U42" s="348"/>
      <c r="V42" s="358"/>
      <c r="W42" s="359">
        <v>4</v>
      </c>
      <c r="X42" s="360"/>
      <c r="Y42" s="464"/>
    </row>
    <row r="43" spans="2:28" ht="17.25" customHeight="1">
      <c r="B43" s="504"/>
      <c r="C43" s="505"/>
      <c r="D43" s="52" t="s">
        <v>564</v>
      </c>
      <c r="E43" s="154" t="s">
        <v>360</v>
      </c>
      <c r="F43" s="512" t="s">
        <v>586</v>
      </c>
      <c r="G43" s="513"/>
      <c r="H43" s="157"/>
      <c r="I43" s="158"/>
      <c r="J43" s="159">
        <v>3</v>
      </c>
      <c r="K43" s="361">
        <v>3</v>
      </c>
      <c r="L43" s="357"/>
      <c r="M43" s="348"/>
      <c r="N43" s="349"/>
      <c r="O43" s="356"/>
      <c r="P43" s="357"/>
      <c r="Q43" s="348"/>
      <c r="R43" s="349"/>
      <c r="S43" s="356"/>
      <c r="T43" s="357"/>
      <c r="U43" s="348"/>
      <c r="V43" s="358"/>
      <c r="W43" s="359">
        <v>3</v>
      </c>
      <c r="X43" s="360"/>
      <c r="Y43" s="464"/>
    </row>
    <row r="44" spans="2:28" ht="17.25" customHeight="1" thickBot="1">
      <c r="B44" s="504"/>
      <c r="C44" s="505"/>
      <c r="D44" s="53" t="s">
        <v>564</v>
      </c>
      <c r="E44" s="156" t="s">
        <v>360</v>
      </c>
      <c r="F44" s="487" t="s">
        <v>585</v>
      </c>
      <c r="G44" s="488"/>
      <c r="H44" s="143"/>
      <c r="I44" s="239"/>
      <c r="J44" s="209">
        <v>3</v>
      </c>
      <c r="K44" s="365"/>
      <c r="L44" s="355"/>
      <c r="M44" s="348">
        <v>3</v>
      </c>
      <c r="N44" s="368"/>
      <c r="O44" s="356"/>
      <c r="P44" s="357"/>
      <c r="Q44" s="348"/>
      <c r="R44" s="349"/>
      <c r="S44" s="368"/>
      <c r="T44" s="357"/>
      <c r="U44" s="348"/>
      <c r="V44" s="358"/>
      <c r="W44" s="366">
        <v>3</v>
      </c>
      <c r="X44" s="367"/>
      <c r="Y44" s="464"/>
    </row>
    <row r="45" spans="2:28" ht="16.5" customHeight="1">
      <c r="B45" s="504"/>
      <c r="C45" s="505"/>
      <c r="D45" s="163" t="s">
        <v>591</v>
      </c>
      <c r="E45" s="153" t="s">
        <v>361</v>
      </c>
      <c r="F45" s="378" t="s">
        <v>589</v>
      </c>
      <c r="G45" s="379"/>
      <c r="H45" s="157"/>
      <c r="I45" s="158"/>
      <c r="J45" s="159">
        <v>4</v>
      </c>
      <c r="K45" s="168"/>
      <c r="L45" s="169"/>
      <c r="M45" s="386">
        <v>4</v>
      </c>
      <c r="N45" s="387"/>
      <c r="O45" s="384"/>
      <c r="P45" s="385"/>
      <c r="Q45" s="386"/>
      <c r="R45" s="387"/>
      <c r="S45" s="384"/>
      <c r="T45" s="385"/>
      <c r="U45" s="386"/>
      <c r="V45" s="486"/>
      <c r="W45" s="606">
        <v>4</v>
      </c>
      <c r="X45" s="607"/>
      <c r="Y45" s="464"/>
    </row>
    <row r="46" spans="2:28" ht="16.5" customHeight="1">
      <c r="B46" s="504"/>
      <c r="C46" s="505"/>
      <c r="D46" s="52" t="s">
        <v>565</v>
      </c>
      <c r="E46" s="154" t="s">
        <v>361</v>
      </c>
      <c r="F46" s="380" t="s">
        <v>624</v>
      </c>
      <c r="G46" s="381"/>
      <c r="H46" s="133"/>
      <c r="I46" s="160"/>
      <c r="J46" s="174">
        <v>8</v>
      </c>
      <c r="K46" s="176"/>
      <c r="L46" s="177"/>
      <c r="M46" s="348"/>
      <c r="N46" s="349"/>
      <c r="O46" s="356">
        <v>4</v>
      </c>
      <c r="P46" s="357"/>
      <c r="Q46" s="348">
        <v>4</v>
      </c>
      <c r="R46" s="349"/>
      <c r="S46" s="356"/>
      <c r="T46" s="357"/>
      <c r="U46" s="348"/>
      <c r="V46" s="358"/>
      <c r="W46" s="359">
        <v>8</v>
      </c>
      <c r="X46" s="360"/>
      <c r="Y46" s="464"/>
    </row>
    <row r="47" spans="2:28" ht="16.5" customHeight="1">
      <c r="B47" s="504"/>
      <c r="C47" s="505"/>
      <c r="D47" s="237" t="s">
        <v>565</v>
      </c>
      <c r="E47" s="154" t="s">
        <v>361</v>
      </c>
      <c r="F47" s="718" t="s">
        <v>632</v>
      </c>
      <c r="G47" s="719"/>
      <c r="H47" s="133"/>
      <c r="I47" s="160"/>
      <c r="J47" s="174">
        <v>8</v>
      </c>
      <c r="K47" s="176"/>
      <c r="L47" s="177"/>
      <c r="M47" s="348"/>
      <c r="N47" s="349"/>
      <c r="O47" s="356">
        <v>4</v>
      </c>
      <c r="P47" s="357"/>
      <c r="Q47" s="348">
        <v>4</v>
      </c>
      <c r="R47" s="349"/>
      <c r="S47" s="356"/>
      <c r="T47" s="357"/>
      <c r="U47" s="348"/>
      <c r="V47" s="358"/>
      <c r="W47" s="359">
        <v>8</v>
      </c>
      <c r="X47" s="360"/>
      <c r="Y47" s="464"/>
    </row>
    <row r="48" spans="2:28" ht="16.5" customHeight="1">
      <c r="B48" s="504"/>
      <c r="C48" s="717"/>
      <c r="D48" s="237" t="s">
        <v>565</v>
      </c>
      <c r="E48" s="241" t="s">
        <v>361</v>
      </c>
      <c r="F48" s="380" t="s">
        <v>639</v>
      </c>
      <c r="G48" s="381"/>
      <c r="H48" s="133"/>
      <c r="I48" s="160"/>
      <c r="J48" s="174">
        <v>18</v>
      </c>
      <c r="K48" s="176"/>
      <c r="L48" s="177"/>
      <c r="M48" s="348"/>
      <c r="N48" s="349"/>
      <c r="O48" s="356"/>
      <c r="P48" s="357"/>
      <c r="Q48" s="348"/>
      <c r="R48" s="349"/>
      <c r="S48" s="356">
        <v>9</v>
      </c>
      <c r="T48" s="357"/>
      <c r="U48" s="348">
        <v>9</v>
      </c>
      <c r="V48" s="358"/>
      <c r="W48" s="359">
        <v>18</v>
      </c>
      <c r="X48" s="360"/>
      <c r="Y48" s="464"/>
    </row>
    <row r="49" spans="2:29" ht="16.5" customHeight="1">
      <c r="B49" s="504"/>
      <c r="C49" s="717"/>
      <c r="D49" s="52" t="s">
        <v>564</v>
      </c>
      <c r="E49" s="241" t="s">
        <v>361</v>
      </c>
      <c r="F49" s="380" t="s">
        <v>699</v>
      </c>
      <c r="G49" s="381"/>
      <c r="H49" s="133"/>
      <c r="I49" s="160"/>
      <c r="J49" s="174">
        <v>12</v>
      </c>
      <c r="K49" s="176"/>
      <c r="L49" s="177"/>
      <c r="M49" s="348"/>
      <c r="N49" s="349"/>
      <c r="O49" s="356"/>
      <c r="P49" s="357"/>
      <c r="Q49" s="348"/>
      <c r="R49" s="349"/>
      <c r="S49" s="356">
        <v>4</v>
      </c>
      <c r="T49" s="357"/>
      <c r="U49" s="348">
        <v>8</v>
      </c>
      <c r="V49" s="358"/>
      <c r="W49" s="359">
        <v>12</v>
      </c>
      <c r="X49" s="360"/>
      <c r="Y49" s="464"/>
    </row>
    <row r="50" spans="2:29" ht="16.5" customHeight="1">
      <c r="B50" s="504"/>
      <c r="C50" s="505"/>
      <c r="D50" s="52" t="s">
        <v>68</v>
      </c>
      <c r="E50" s="154" t="s">
        <v>361</v>
      </c>
      <c r="F50" s="380" t="s">
        <v>590</v>
      </c>
      <c r="G50" s="381"/>
      <c r="H50" s="133"/>
      <c r="I50" s="160"/>
      <c r="J50" s="174">
        <v>12</v>
      </c>
      <c r="K50" s="176"/>
      <c r="L50" s="177"/>
      <c r="M50" s="348"/>
      <c r="N50" s="349"/>
      <c r="O50" s="356"/>
      <c r="P50" s="357"/>
      <c r="Q50" s="348"/>
      <c r="R50" s="349"/>
      <c r="S50" s="356">
        <v>6</v>
      </c>
      <c r="T50" s="357"/>
      <c r="U50" s="348">
        <v>6</v>
      </c>
      <c r="V50" s="358"/>
      <c r="W50" s="359">
        <v>12</v>
      </c>
      <c r="X50" s="360"/>
      <c r="Y50" s="464"/>
    </row>
    <row r="51" spans="2:29" ht="16.5" customHeight="1" thickBot="1">
      <c r="B51" s="504"/>
      <c r="C51" s="505"/>
      <c r="D51" s="53" t="s">
        <v>71</v>
      </c>
      <c r="E51" s="154" t="s">
        <v>361</v>
      </c>
      <c r="F51" s="380" t="s">
        <v>588</v>
      </c>
      <c r="G51" s="381"/>
      <c r="H51" s="133"/>
      <c r="I51" s="160"/>
      <c r="J51" s="174">
        <v>12</v>
      </c>
      <c r="K51" s="514"/>
      <c r="L51" s="515"/>
      <c r="M51" s="348"/>
      <c r="N51" s="368"/>
      <c r="O51" s="356"/>
      <c r="P51" s="357"/>
      <c r="Q51" s="348"/>
      <c r="R51" s="349"/>
      <c r="S51" s="368">
        <v>6</v>
      </c>
      <c r="T51" s="357"/>
      <c r="U51" s="348">
        <v>6</v>
      </c>
      <c r="V51" s="358"/>
      <c r="W51" s="359">
        <v>12</v>
      </c>
      <c r="X51" s="360"/>
      <c r="Y51" s="464"/>
    </row>
    <row r="52" spans="2:29" ht="16.5" customHeight="1">
      <c r="B52" s="369" t="s">
        <v>153</v>
      </c>
      <c r="C52" s="369" t="s">
        <v>581</v>
      </c>
      <c r="D52" s="155" t="s">
        <v>564</v>
      </c>
      <c r="E52" s="51" t="s">
        <v>360</v>
      </c>
      <c r="F52" s="492" t="s">
        <v>582</v>
      </c>
      <c r="G52" s="493"/>
      <c r="H52" s="129"/>
      <c r="I52" s="165"/>
      <c r="J52" s="494">
        <v>6</v>
      </c>
      <c r="K52" s="491"/>
      <c r="L52" s="385"/>
      <c r="M52" s="386"/>
      <c r="N52" s="387"/>
      <c r="O52" s="384">
        <v>3</v>
      </c>
      <c r="P52" s="385"/>
      <c r="Q52" s="386"/>
      <c r="R52" s="387"/>
      <c r="S52" s="384"/>
      <c r="T52" s="385"/>
      <c r="U52" s="386"/>
      <c r="V52" s="486"/>
      <c r="W52" s="372">
        <v>6</v>
      </c>
      <c r="X52" s="373"/>
      <c r="Y52" s="464"/>
    </row>
    <row r="53" spans="2:29" ht="16.5" customHeight="1" thickBot="1">
      <c r="B53" s="371"/>
      <c r="C53" s="370"/>
      <c r="D53" s="53" t="s">
        <v>564</v>
      </c>
      <c r="E53" s="156" t="s">
        <v>360</v>
      </c>
      <c r="F53" s="487" t="s">
        <v>541</v>
      </c>
      <c r="G53" s="488"/>
      <c r="H53" s="138"/>
      <c r="I53" s="166"/>
      <c r="J53" s="495"/>
      <c r="K53" s="365"/>
      <c r="L53" s="355"/>
      <c r="M53" s="352"/>
      <c r="N53" s="353"/>
      <c r="O53" s="354"/>
      <c r="P53" s="355"/>
      <c r="Q53" s="352">
        <v>3</v>
      </c>
      <c r="R53" s="353"/>
      <c r="S53" s="354"/>
      <c r="T53" s="355"/>
      <c r="U53" s="352"/>
      <c r="V53" s="364"/>
      <c r="W53" s="374"/>
      <c r="X53" s="375"/>
      <c r="Y53" s="464"/>
    </row>
    <row r="54" spans="2:29">
      <c r="B54" s="371"/>
      <c r="C54" s="369" t="s">
        <v>536</v>
      </c>
      <c r="D54" s="155" t="s">
        <v>564</v>
      </c>
      <c r="E54" s="51" t="s">
        <v>360</v>
      </c>
      <c r="F54" s="492" t="s">
        <v>560</v>
      </c>
      <c r="G54" s="493"/>
      <c r="H54" s="129"/>
      <c r="I54" s="165"/>
      <c r="J54" s="495"/>
      <c r="K54" s="491"/>
      <c r="L54" s="385"/>
      <c r="M54" s="386"/>
      <c r="N54" s="392"/>
      <c r="O54" s="384">
        <v>3</v>
      </c>
      <c r="P54" s="385"/>
      <c r="Q54" s="386"/>
      <c r="R54" s="387"/>
      <c r="S54" s="392"/>
      <c r="T54" s="385"/>
      <c r="U54" s="386"/>
      <c r="V54" s="486"/>
      <c r="W54" s="374"/>
      <c r="X54" s="375"/>
      <c r="Y54" s="464"/>
    </row>
    <row r="55" spans="2:29" ht="17.5" thickBot="1">
      <c r="B55" s="371"/>
      <c r="C55" s="370"/>
      <c r="D55" s="53" t="s">
        <v>564</v>
      </c>
      <c r="E55" s="156" t="s">
        <v>360</v>
      </c>
      <c r="F55" s="487" t="s">
        <v>561</v>
      </c>
      <c r="G55" s="488"/>
      <c r="H55" s="138"/>
      <c r="I55" s="166"/>
      <c r="J55" s="495"/>
      <c r="K55" s="365"/>
      <c r="L55" s="355"/>
      <c r="M55" s="352"/>
      <c r="N55" s="394"/>
      <c r="O55" s="354"/>
      <c r="P55" s="355"/>
      <c r="Q55" s="352">
        <v>3</v>
      </c>
      <c r="R55" s="353"/>
      <c r="S55" s="394"/>
      <c r="T55" s="355"/>
      <c r="U55" s="352"/>
      <c r="V55" s="364"/>
      <c r="W55" s="374"/>
      <c r="X55" s="375"/>
      <c r="Y55" s="464"/>
    </row>
    <row r="56" spans="2:29">
      <c r="B56" s="371"/>
      <c r="C56" s="371" t="s">
        <v>551</v>
      </c>
      <c r="D56" s="163" t="s">
        <v>363</v>
      </c>
      <c r="E56" s="153" t="s">
        <v>360</v>
      </c>
      <c r="F56" s="388" t="s">
        <v>364</v>
      </c>
      <c r="G56" s="389"/>
      <c r="H56" s="157"/>
      <c r="I56" s="167"/>
      <c r="J56" s="495"/>
      <c r="K56" s="390"/>
      <c r="L56" s="391"/>
      <c r="M56" s="484"/>
      <c r="N56" s="583"/>
      <c r="O56" s="393">
        <v>3</v>
      </c>
      <c r="P56" s="391"/>
      <c r="Q56" s="484"/>
      <c r="R56" s="584"/>
      <c r="S56" s="583"/>
      <c r="T56" s="391"/>
      <c r="U56" s="484"/>
      <c r="V56" s="485"/>
      <c r="W56" s="374"/>
      <c r="X56" s="375"/>
      <c r="Y56" s="464"/>
      <c r="AC56" s="172"/>
    </row>
    <row r="57" spans="2:29" ht="17.5" thickBot="1">
      <c r="B57" s="371"/>
      <c r="C57" s="371"/>
      <c r="D57" s="53" t="s">
        <v>363</v>
      </c>
      <c r="E57" s="156" t="s">
        <v>360</v>
      </c>
      <c r="F57" s="350" t="s">
        <v>563</v>
      </c>
      <c r="G57" s="351"/>
      <c r="H57" s="138"/>
      <c r="I57" s="166"/>
      <c r="J57" s="496"/>
      <c r="K57" s="365"/>
      <c r="L57" s="355"/>
      <c r="M57" s="352"/>
      <c r="N57" s="394"/>
      <c r="O57" s="354"/>
      <c r="P57" s="355"/>
      <c r="Q57" s="352">
        <v>3</v>
      </c>
      <c r="R57" s="353"/>
      <c r="S57" s="394"/>
      <c r="T57" s="355"/>
      <c r="U57" s="352"/>
      <c r="V57" s="364"/>
      <c r="W57" s="376"/>
      <c r="X57" s="377"/>
      <c r="Y57" s="464"/>
      <c r="AC57" s="172"/>
    </row>
    <row r="58" spans="2:29" ht="24.75" customHeight="1">
      <c r="B58" s="466" t="s">
        <v>370</v>
      </c>
      <c r="C58" s="467"/>
      <c r="D58" s="468"/>
      <c r="E58" s="468"/>
      <c r="F58" s="468"/>
      <c r="G58" s="438"/>
      <c r="H58" s="470">
        <f>SUM(H37:H51)</f>
        <v>0</v>
      </c>
      <c r="I58" s="472">
        <f>SUM(I37:I51)</f>
        <v>0</v>
      </c>
      <c r="J58" s="474">
        <f>SUM(J37:J57)</f>
        <v>105</v>
      </c>
      <c r="K58" s="437">
        <f>SUM(K37:L57)</f>
        <v>12</v>
      </c>
      <c r="L58" s="476"/>
      <c r="M58" s="478">
        <f>SUM(M37:N53)</f>
        <v>11</v>
      </c>
      <c r="N58" s="468"/>
      <c r="O58" s="480">
        <v>13</v>
      </c>
      <c r="P58" s="476"/>
      <c r="Q58" s="478">
        <f>SUM(Q37:R53)</f>
        <v>13</v>
      </c>
      <c r="R58" s="482"/>
      <c r="S58" s="468">
        <f>SUM(S37:T53)</f>
        <v>27</v>
      </c>
      <c r="T58" s="476"/>
      <c r="U58" s="478">
        <f>SUM(U37:V53)</f>
        <v>29</v>
      </c>
      <c r="V58" s="438"/>
      <c r="W58" s="437">
        <f>SUM(K58:V59)</f>
        <v>105</v>
      </c>
      <c r="X58" s="438"/>
      <c r="Y58" s="441">
        <f>SUM(Y37:Y53)</f>
        <v>80</v>
      </c>
      <c r="AC58" s="172"/>
    </row>
    <row r="59" spans="2:29" ht="17.5" thickBot="1">
      <c r="B59" s="439"/>
      <c r="C59" s="469"/>
      <c r="D59" s="469"/>
      <c r="E59" s="469"/>
      <c r="F59" s="469"/>
      <c r="G59" s="440"/>
      <c r="H59" s="471"/>
      <c r="I59" s="473"/>
      <c r="J59" s="475"/>
      <c r="K59" s="439"/>
      <c r="L59" s="477"/>
      <c r="M59" s="479"/>
      <c r="N59" s="469"/>
      <c r="O59" s="481"/>
      <c r="P59" s="477"/>
      <c r="Q59" s="479"/>
      <c r="R59" s="483"/>
      <c r="S59" s="469"/>
      <c r="T59" s="477"/>
      <c r="U59" s="479"/>
      <c r="V59" s="440"/>
      <c r="W59" s="439"/>
      <c r="X59" s="440"/>
      <c r="Y59" s="442"/>
      <c r="AC59" s="54"/>
    </row>
    <row r="60" spans="2:29" ht="17.25" customHeight="1" thickBot="1">
      <c r="B60" s="409"/>
      <c r="C60" s="410"/>
      <c r="D60" s="410"/>
      <c r="E60" s="410"/>
      <c r="F60" s="410"/>
      <c r="G60" s="411"/>
      <c r="H60" s="183">
        <f>SUM(H36,H58)</f>
        <v>0</v>
      </c>
      <c r="I60" s="181">
        <f>SUM(I36,I58)</f>
        <v>0</v>
      </c>
      <c r="J60" s="182">
        <f>SUM(J36,J58)</f>
        <v>174</v>
      </c>
      <c r="K60" s="409">
        <f>SUM(K36,K58)</f>
        <v>29</v>
      </c>
      <c r="L60" s="435"/>
      <c r="M60" s="436">
        <f>SUM(M36,M58)</f>
        <v>29</v>
      </c>
      <c r="N60" s="412"/>
      <c r="O60" s="413">
        <f>SUM(O36,O58)</f>
        <v>29</v>
      </c>
      <c r="P60" s="435"/>
      <c r="Q60" s="436">
        <f>SUM(Q36,Q58)</f>
        <v>29</v>
      </c>
      <c r="R60" s="412"/>
      <c r="S60" s="413">
        <f>SUM(S36,S58)</f>
        <v>29</v>
      </c>
      <c r="T60" s="435"/>
      <c r="U60" s="436">
        <f>SUM(U36,U58)</f>
        <v>29</v>
      </c>
      <c r="V60" s="411"/>
      <c r="W60" s="409">
        <f>SUM(K60:V60)</f>
        <v>174</v>
      </c>
      <c r="X60" s="411"/>
      <c r="Y60" s="11">
        <f>Y58+Y36</f>
        <v>144</v>
      </c>
      <c r="AA60" s="414" t="s">
        <v>154</v>
      </c>
      <c r="AB60" s="414"/>
    </row>
    <row r="61" spans="2:29" ht="18.75" customHeight="1" thickBot="1">
      <c r="B61" s="444" t="s">
        <v>371</v>
      </c>
      <c r="C61" s="445"/>
      <c r="D61" s="445"/>
      <c r="E61" s="446"/>
      <c r="F61" s="453" t="s">
        <v>367</v>
      </c>
      <c r="G61" s="454"/>
      <c r="H61" s="454"/>
      <c r="I61" s="454"/>
      <c r="J61" s="455"/>
      <c r="K61" s="456">
        <v>16</v>
      </c>
      <c r="L61" s="457"/>
      <c r="M61" s="458">
        <v>16</v>
      </c>
      <c r="N61" s="459"/>
      <c r="O61" s="460">
        <v>16</v>
      </c>
      <c r="P61" s="457"/>
      <c r="Q61" s="458">
        <v>16</v>
      </c>
      <c r="R61" s="459"/>
      <c r="S61" s="460">
        <v>16</v>
      </c>
      <c r="T61" s="457"/>
      <c r="U61" s="458">
        <v>16</v>
      </c>
      <c r="V61" s="461"/>
      <c r="W61" s="444">
        <f>SUM(K61:V63)</f>
        <v>288</v>
      </c>
      <c r="X61" s="446"/>
      <c r="Y61" s="441">
        <f>Y64*16</f>
        <v>288</v>
      </c>
      <c r="AA61" s="443"/>
      <c r="AB61" s="443"/>
    </row>
    <row r="62" spans="2:29" ht="17.25" customHeight="1" thickBot="1">
      <c r="B62" s="447"/>
      <c r="C62" s="448"/>
      <c r="D62" s="448"/>
      <c r="E62" s="449"/>
      <c r="F62" s="430" t="s">
        <v>63</v>
      </c>
      <c r="G62" s="431"/>
      <c r="H62" s="431"/>
      <c r="I62" s="431"/>
      <c r="J62" s="432"/>
      <c r="K62" s="433">
        <v>16</v>
      </c>
      <c r="L62" s="425"/>
      <c r="M62" s="426">
        <v>16</v>
      </c>
      <c r="N62" s="434"/>
      <c r="O62" s="424">
        <v>16</v>
      </c>
      <c r="P62" s="425"/>
      <c r="Q62" s="426">
        <v>16</v>
      </c>
      <c r="R62" s="434"/>
      <c r="S62" s="424">
        <v>16</v>
      </c>
      <c r="T62" s="425"/>
      <c r="U62" s="426">
        <v>16</v>
      </c>
      <c r="V62" s="427"/>
      <c r="W62" s="447"/>
      <c r="X62" s="449"/>
      <c r="Y62" s="464"/>
      <c r="AA62" s="428" t="b">
        <f>W60&gt;=Y60</f>
        <v>1</v>
      </c>
      <c r="AB62" s="429"/>
    </row>
    <row r="63" spans="2:29" ht="17.25" customHeight="1">
      <c r="B63" s="447"/>
      <c r="C63" s="448"/>
      <c r="D63" s="448"/>
      <c r="E63" s="449"/>
      <c r="F63" s="430" t="s">
        <v>11</v>
      </c>
      <c r="G63" s="431"/>
      <c r="H63" s="431"/>
      <c r="I63" s="431"/>
      <c r="J63" s="432"/>
      <c r="K63" s="433">
        <v>16</v>
      </c>
      <c r="L63" s="425"/>
      <c r="M63" s="426">
        <v>16</v>
      </c>
      <c r="N63" s="434"/>
      <c r="O63" s="424">
        <v>16</v>
      </c>
      <c r="P63" s="425"/>
      <c r="Q63" s="426">
        <v>16</v>
      </c>
      <c r="R63" s="434"/>
      <c r="S63" s="424">
        <v>16</v>
      </c>
      <c r="T63" s="425"/>
      <c r="U63" s="426">
        <v>16</v>
      </c>
      <c r="V63" s="427"/>
      <c r="W63" s="462"/>
      <c r="X63" s="463"/>
      <c r="Y63" s="465"/>
    </row>
    <row r="64" spans="2:29" ht="17.25" customHeight="1" thickBot="1">
      <c r="B64" s="450"/>
      <c r="C64" s="451"/>
      <c r="D64" s="451"/>
      <c r="E64" s="452"/>
      <c r="F64" s="415" t="s">
        <v>149</v>
      </c>
      <c r="G64" s="416"/>
      <c r="H64" s="416"/>
      <c r="I64" s="416"/>
      <c r="J64" s="417"/>
      <c r="K64" s="418">
        <v>3</v>
      </c>
      <c r="L64" s="419"/>
      <c r="M64" s="420">
        <v>3</v>
      </c>
      <c r="N64" s="421"/>
      <c r="O64" s="422">
        <v>3</v>
      </c>
      <c r="P64" s="419"/>
      <c r="Q64" s="420">
        <v>3</v>
      </c>
      <c r="R64" s="421"/>
      <c r="S64" s="422">
        <v>3</v>
      </c>
      <c r="T64" s="419"/>
      <c r="U64" s="420">
        <v>3</v>
      </c>
      <c r="V64" s="423"/>
      <c r="W64" s="415">
        <f>SUM(K64:V64)</f>
        <v>18</v>
      </c>
      <c r="X64" s="417"/>
      <c r="Y64" s="55">
        <v>18</v>
      </c>
      <c r="AA64" s="414" t="s">
        <v>155</v>
      </c>
      <c r="AB64" s="414"/>
    </row>
    <row r="65" spans="2:28" ht="17.25" customHeight="1" thickBot="1">
      <c r="B65" s="409"/>
      <c r="C65" s="410"/>
      <c r="D65" s="410"/>
      <c r="E65" s="410"/>
      <c r="F65" s="410"/>
      <c r="G65" s="410"/>
      <c r="H65" s="410"/>
      <c r="I65" s="410"/>
      <c r="J65" s="411"/>
      <c r="K65" s="409">
        <v>32</v>
      </c>
      <c r="L65" s="435"/>
      <c r="M65" s="436">
        <v>32</v>
      </c>
      <c r="N65" s="412"/>
      <c r="O65" s="413">
        <v>32</v>
      </c>
      <c r="P65" s="435"/>
      <c r="Q65" s="436">
        <v>32</v>
      </c>
      <c r="R65" s="412"/>
      <c r="S65" s="413">
        <v>32</v>
      </c>
      <c r="T65" s="435"/>
      <c r="U65" s="436">
        <v>32</v>
      </c>
      <c r="V65" s="411"/>
      <c r="W65" s="409">
        <f>SUM(K65:V65)</f>
        <v>192</v>
      </c>
      <c r="X65" s="411"/>
      <c r="Y65" s="45">
        <f>W65</f>
        <v>192</v>
      </c>
      <c r="AA65" s="428" t="b">
        <f>W64&gt;=Y64</f>
        <v>1</v>
      </c>
      <c r="AB65" s="429"/>
    </row>
    <row r="66" spans="2:28" ht="17.25" customHeight="1" thickBot="1">
      <c r="B66" s="409"/>
      <c r="C66" s="410"/>
      <c r="D66" s="410"/>
      <c r="E66" s="410"/>
      <c r="F66" s="410"/>
      <c r="G66" s="410"/>
      <c r="H66" s="410"/>
      <c r="I66" s="410"/>
      <c r="J66" s="411"/>
      <c r="K66" s="409">
        <f>SUM(K65:N65)</f>
        <v>64</v>
      </c>
      <c r="L66" s="410"/>
      <c r="M66" s="410"/>
      <c r="N66" s="412"/>
      <c r="O66" s="413">
        <f>SUM(O65:R65)</f>
        <v>64</v>
      </c>
      <c r="P66" s="410"/>
      <c r="Q66" s="410"/>
      <c r="R66" s="412"/>
      <c r="S66" s="413">
        <f>SUM(S65:V65)</f>
        <v>64</v>
      </c>
      <c r="T66" s="410"/>
      <c r="U66" s="410"/>
      <c r="V66" s="411"/>
      <c r="W66" s="409">
        <f>SUM(K66:V66)</f>
        <v>192</v>
      </c>
      <c r="X66" s="411"/>
      <c r="Y66" s="11"/>
      <c r="AA66" s="414" t="s">
        <v>152</v>
      </c>
      <c r="AB66" s="414"/>
    </row>
    <row r="67" spans="2:28" ht="17.25" customHeight="1" thickBot="1">
      <c r="AA67" s="428" t="b">
        <f>W65&gt;=Y65</f>
        <v>1</v>
      </c>
      <c r="AB67" s="429"/>
    </row>
    <row r="68" spans="2:28" ht="17.25" customHeight="1"/>
    <row r="69" spans="2:28" ht="17.25" customHeight="1"/>
    <row r="70" spans="2:28" ht="17.25" customHeight="1"/>
    <row r="72" spans="2:28" ht="25" customHeight="1"/>
    <row r="73" spans="2:28" ht="25" customHeight="1"/>
    <row r="74" spans="2:28" ht="32.25" customHeight="1"/>
    <row r="75" spans="2:28" ht="25" customHeight="1"/>
    <row r="77" spans="2:28" ht="16.5" customHeight="1"/>
    <row r="78" spans="2:28" ht="17.25" customHeight="1"/>
    <row r="79" spans="2:28" ht="16.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244.5" customHeight="1"/>
  </sheetData>
  <mergeCells count="506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5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X9:X10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W11:X11"/>
    <mergeCell ref="F12:G12"/>
    <mergeCell ref="K12:L12"/>
    <mergeCell ref="M12:N12"/>
    <mergeCell ref="O12:P12"/>
    <mergeCell ref="Q12:R12"/>
    <mergeCell ref="S12:T12"/>
    <mergeCell ref="U12:V12"/>
    <mergeCell ref="W12:X12"/>
    <mergeCell ref="K11:L11"/>
    <mergeCell ref="M11:N11"/>
    <mergeCell ref="O11:P11"/>
    <mergeCell ref="Q11:R11"/>
    <mergeCell ref="S11:T11"/>
    <mergeCell ref="U11:V11"/>
    <mergeCell ref="W16:X16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F13:G13"/>
    <mergeCell ref="K13:L13"/>
    <mergeCell ref="M13:N13"/>
    <mergeCell ref="O13:P13"/>
    <mergeCell ref="Q13:R13"/>
    <mergeCell ref="M16:N16"/>
    <mergeCell ref="O16:P16"/>
    <mergeCell ref="Q16:R16"/>
    <mergeCell ref="S16:T16"/>
    <mergeCell ref="F15:G15"/>
    <mergeCell ref="K15:L15"/>
    <mergeCell ref="M15:N15"/>
    <mergeCell ref="O15:P15"/>
    <mergeCell ref="U16:V16"/>
    <mergeCell ref="AB16:AD16"/>
    <mergeCell ref="D17:D20"/>
    <mergeCell ref="F17:G17"/>
    <mergeCell ref="K17:L17"/>
    <mergeCell ref="M17:N17"/>
    <mergeCell ref="O17:P17"/>
    <mergeCell ref="Q17:R17"/>
    <mergeCell ref="S17:T17"/>
    <mergeCell ref="D13:D16"/>
    <mergeCell ref="U17:V17"/>
    <mergeCell ref="X17:X18"/>
    <mergeCell ref="F18:G18"/>
    <mergeCell ref="K18:L18"/>
    <mergeCell ref="M18:N18"/>
    <mergeCell ref="O18:P18"/>
    <mergeCell ref="Q18:R18"/>
    <mergeCell ref="S18:T18"/>
    <mergeCell ref="U18:V18"/>
    <mergeCell ref="Q15:R15"/>
    <mergeCell ref="S15:T15"/>
    <mergeCell ref="U15:V15"/>
    <mergeCell ref="W15:X15"/>
    <mergeCell ref="F16:G16"/>
    <mergeCell ref="K16:L16"/>
    <mergeCell ref="D21:D24"/>
    <mergeCell ref="F21:G21"/>
    <mergeCell ref="K21:L21"/>
    <mergeCell ref="M21:N21"/>
    <mergeCell ref="O21:P21"/>
    <mergeCell ref="Q21:R21"/>
    <mergeCell ref="U19:V19"/>
    <mergeCell ref="W19:X19"/>
    <mergeCell ref="F20:G20"/>
    <mergeCell ref="K20:L20"/>
    <mergeCell ref="M20:N20"/>
    <mergeCell ref="O20:P20"/>
    <mergeCell ref="Q20:R20"/>
    <mergeCell ref="S20:T20"/>
    <mergeCell ref="U20:V20"/>
    <mergeCell ref="W20:X20"/>
    <mergeCell ref="F19:G19"/>
    <mergeCell ref="K19:L19"/>
    <mergeCell ref="M19:N19"/>
    <mergeCell ref="O19:P19"/>
    <mergeCell ref="Q19:R19"/>
    <mergeCell ref="S19:T19"/>
    <mergeCell ref="S21:T21"/>
    <mergeCell ref="U21:V21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D25:D26"/>
    <mergeCell ref="F25:G25"/>
    <mergeCell ref="K25:L25"/>
    <mergeCell ref="M25:N25"/>
    <mergeCell ref="O25:P25"/>
    <mergeCell ref="Q25:R25"/>
    <mergeCell ref="X27:X31"/>
    <mergeCell ref="Y27:Y31"/>
    <mergeCell ref="F28:G28"/>
    <mergeCell ref="K28:L28"/>
    <mergeCell ref="M28:N28"/>
    <mergeCell ref="O28:P28"/>
    <mergeCell ref="Q28:R28"/>
    <mergeCell ref="S28:T28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U28:V28"/>
    <mergeCell ref="F29:G29"/>
    <mergeCell ref="K29:L29"/>
    <mergeCell ref="M29:N29"/>
    <mergeCell ref="O29:P29"/>
    <mergeCell ref="Q29:R29"/>
    <mergeCell ref="U33:V33"/>
    <mergeCell ref="S29:T29"/>
    <mergeCell ref="U29:V29"/>
    <mergeCell ref="S27:T27"/>
    <mergeCell ref="U27:V27"/>
    <mergeCell ref="Q30:R30"/>
    <mergeCell ref="S30:T30"/>
    <mergeCell ref="U30:V30"/>
    <mergeCell ref="F31:G31"/>
    <mergeCell ref="K31:L31"/>
    <mergeCell ref="M31:N31"/>
    <mergeCell ref="O31:P31"/>
    <mergeCell ref="Q31:R31"/>
    <mergeCell ref="S31:T31"/>
    <mergeCell ref="U31:V31"/>
    <mergeCell ref="M33:N33"/>
    <mergeCell ref="O33:P33"/>
    <mergeCell ref="Q33:R33"/>
    <mergeCell ref="S33:T33"/>
    <mergeCell ref="F32:G32"/>
    <mergeCell ref="K32:L32"/>
    <mergeCell ref="M32:N32"/>
    <mergeCell ref="O32:P32"/>
    <mergeCell ref="Q32:R32"/>
    <mergeCell ref="D32:D33"/>
    <mergeCell ref="W34:X35"/>
    <mergeCell ref="Y34:Y35"/>
    <mergeCell ref="F35:G35"/>
    <mergeCell ref="M35:N35"/>
    <mergeCell ref="O35:P35"/>
    <mergeCell ref="Q35:R35"/>
    <mergeCell ref="S35:T35"/>
    <mergeCell ref="U35:V35"/>
    <mergeCell ref="D34:D35"/>
    <mergeCell ref="F34:G34"/>
    <mergeCell ref="K34:L34"/>
    <mergeCell ref="M34:N34"/>
    <mergeCell ref="O34:P34"/>
    <mergeCell ref="Q34:R34"/>
    <mergeCell ref="S34:T34"/>
    <mergeCell ref="U34:V34"/>
    <mergeCell ref="K35:L35"/>
    <mergeCell ref="S32:T32"/>
    <mergeCell ref="U32:V32"/>
    <mergeCell ref="W32:X33"/>
    <mergeCell ref="Y32:Y33"/>
    <mergeCell ref="F33:G33"/>
    <mergeCell ref="K33:L33"/>
    <mergeCell ref="B36:G36"/>
    <mergeCell ref="K36:L36"/>
    <mergeCell ref="M36:N36"/>
    <mergeCell ref="O36:P36"/>
    <mergeCell ref="Q36:R36"/>
    <mergeCell ref="S36:T36"/>
    <mergeCell ref="U36:V36"/>
    <mergeCell ref="W36:X36"/>
    <mergeCell ref="AA36:AB36"/>
    <mergeCell ref="M37:N37"/>
    <mergeCell ref="O37:P37"/>
    <mergeCell ref="Q37:R37"/>
    <mergeCell ref="S37:T37"/>
    <mergeCell ref="U37:V37"/>
    <mergeCell ref="U41:V41"/>
    <mergeCell ref="U44:V44"/>
    <mergeCell ref="F48:G48"/>
    <mergeCell ref="M48:N48"/>
    <mergeCell ref="O48:P48"/>
    <mergeCell ref="Q48:R48"/>
    <mergeCell ref="S48:T48"/>
    <mergeCell ref="U48:V48"/>
    <mergeCell ref="F38:G38"/>
    <mergeCell ref="K38:L38"/>
    <mergeCell ref="M38:N38"/>
    <mergeCell ref="O38:P38"/>
    <mergeCell ref="Q38:R38"/>
    <mergeCell ref="S38:T38"/>
    <mergeCell ref="U38:V38"/>
    <mergeCell ref="F45:G45"/>
    <mergeCell ref="M45:N45"/>
    <mergeCell ref="O45:P45"/>
    <mergeCell ref="Q45:R45"/>
    <mergeCell ref="W37:X37"/>
    <mergeCell ref="Y37:Y57"/>
    <mergeCell ref="F39:G39"/>
    <mergeCell ref="K39:L39"/>
    <mergeCell ref="M39:N39"/>
    <mergeCell ref="O39:P39"/>
    <mergeCell ref="Q39:R39"/>
    <mergeCell ref="S39:T39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Q41:R41"/>
    <mergeCell ref="S41:T41"/>
    <mergeCell ref="W41:X41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S45:T45"/>
    <mergeCell ref="U45:V45"/>
    <mergeCell ref="W45:X45"/>
    <mergeCell ref="W44:X44"/>
    <mergeCell ref="F44:G44"/>
    <mergeCell ref="K44:L44"/>
    <mergeCell ref="M44:N44"/>
    <mergeCell ref="O44:P44"/>
    <mergeCell ref="Q44:R44"/>
    <mergeCell ref="S44:T44"/>
    <mergeCell ref="W48:X48"/>
    <mergeCell ref="W46:X46"/>
    <mergeCell ref="F47:G47"/>
    <mergeCell ref="M47:N47"/>
    <mergeCell ref="O47:P47"/>
    <mergeCell ref="Q47:R47"/>
    <mergeCell ref="S47:T47"/>
    <mergeCell ref="U47:V47"/>
    <mergeCell ref="W47:X47"/>
    <mergeCell ref="F46:G46"/>
    <mergeCell ref="M46:N46"/>
    <mergeCell ref="O46:P46"/>
    <mergeCell ref="Q46:R46"/>
    <mergeCell ref="S46:T46"/>
    <mergeCell ref="U46:V46"/>
    <mergeCell ref="W49:X49"/>
    <mergeCell ref="F50:G50"/>
    <mergeCell ref="M50:N50"/>
    <mergeCell ref="O50:P50"/>
    <mergeCell ref="Q50:R50"/>
    <mergeCell ref="S50:T50"/>
    <mergeCell ref="U50:V50"/>
    <mergeCell ref="W50:X50"/>
    <mergeCell ref="F49:G49"/>
    <mergeCell ref="M49:N49"/>
    <mergeCell ref="O49:P49"/>
    <mergeCell ref="Q49:R49"/>
    <mergeCell ref="S49:T49"/>
    <mergeCell ref="U49:V49"/>
    <mergeCell ref="B52:B57"/>
    <mergeCell ref="C52:C53"/>
    <mergeCell ref="F52:G52"/>
    <mergeCell ref="J52:J57"/>
    <mergeCell ref="K52:L52"/>
    <mergeCell ref="M52:N52"/>
    <mergeCell ref="O52:P52"/>
    <mergeCell ref="Q52:R52"/>
    <mergeCell ref="F51:G51"/>
    <mergeCell ref="K51:L51"/>
    <mergeCell ref="M51:N51"/>
    <mergeCell ref="O51:P51"/>
    <mergeCell ref="Q51:R51"/>
    <mergeCell ref="C56:C57"/>
    <mergeCell ref="C54:C55"/>
    <mergeCell ref="F54:G54"/>
    <mergeCell ref="K54:L54"/>
    <mergeCell ref="M54:N54"/>
    <mergeCell ref="O54:P54"/>
    <mergeCell ref="Q54:R54"/>
    <mergeCell ref="B37:C51"/>
    <mergeCell ref="D37:E39"/>
    <mergeCell ref="F37:G37"/>
    <mergeCell ref="K37:L37"/>
    <mergeCell ref="S53:T53"/>
    <mergeCell ref="U53:V53"/>
    <mergeCell ref="W52:X57"/>
    <mergeCell ref="F53:G53"/>
    <mergeCell ref="K53:L53"/>
    <mergeCell ref="M53:N53"/>
    <mergeCell ref="O53:P53"/>
    <mergeCell ref="Q53:R53"/>
    <mergeCell ref="U51:V51"/>
    <mergeCell ref="W51:X51"/>
    <mergeCell ref="S51:T51"/>
    <mergeCell ref="F56:G56"/>
    <mergeCell ref="K56:L56"/>
    <mergeCell ref="M56:N56"/>
    <mergeCell ref="O56:P56"/>
    <mergeCell ref="Q56:R56"/>
    <mergeCell ref="S54:T54"/>
    <mergeCell ref="U54:V54"/>
    <mergeCell ref="K55:L55"/>
    <mergeCell ref="M55:N55"/>
    <mergeCell ref="O55:P55"/>
    <mergeCell ref="Q55:R55"/>
    <mergeCell ref="S55:T55"/>
    <mergeCell ref="U55:V55"/>
    <mergeCell ref="S56:T56"/>
    <mergeCell ref="U56:V56"/>
    <mergeCell ref="F57:G57"/>
    <mergeCell ref="K57:L57"/>
    <mergeCell ref="M57:N57"/>
    <mergeCell ref="O57:P57"/>
    <mergeCell ref="Q57:R57"/>
    <mergeCell ref="S57:T57"/>
    <mergeCell ref="U57:V57"/>
    <mergeCell ref="O58:P59"/>
    <mergeCell ref="Q58:R59"/>
    <mergeCell ref="S58:T59"/>
    <mergeCell ref="U58:V59"/>
    <mergeCell ref="W58:X59"/>
    <mergeCell ref="Y58:Y59"/>
    <mergeCell ref="B58:G59"/>
    <mergeCell ref="H58:H59"/>
    <mergeCell ref="I58:I59"/>
    <mergeCell ref="J58:J59"/>
    <mergeCell ref="K58:L59"/>
    <mergeCell ref="M58:N59"/>
    <mergeCell ref="U60:V60"/>
    <mergeCell ref="W60:X60"/>
    <mergeCell ref="AA60:AB61"/>
    <mergeCell ref="B61:E64"/>
    <mergeCell ref="F61:J61"/>
    <mergeCell ref="K61:L61"/>
    <mergeCell ref="M61:N61"/>
    <mergeCell ref="O61:P61"/>
    <mergeCell ref="Q61:R61"/>
    <mergeCell ref="S61:T61"/>
    <mergeCell ref="B60:G60"/>
    <mergeCell ref="K60:L60"/>
    <mergeCell ref="M60:N60"/>
    <mergeCell ref="O60:P60"/>
    <mergeCell ref="Q60:R60"/>
    <mergeCell ref="S60:T60"/>
    <mergeCell ref="U61:V61"/>
    <mergeCell ref="W61:X63"/>
    <mergeCell ref="Y61:Y63"/>
    <mergeCell ref="F62:J62"/>
    <mergeCell ref="K62:L62"/>
    <mergeCell ref="M62:N62"/>
    <mergeCell ref="O62:P62"/>
    <mergeCell ref="Q62:R62"/>
    <mergeCell ref="K64:L64"/>
    <mergeCell ref="S62:T62"/>
    <mergeCell ref="U62:V62"/>
    <mergeCell ref="M64:N64"/>
    <mergeCell ref="O64:P64"/>
    <mergeCell ref="Q64:R64"/>
    <mergeCell ref="S64:T64"/>
    <mergeCell ref="AA62:AB62"/>
    <mergeCell ref="F63:J63"/>
    <mergeCell ref="K63:L63"/>
    <mergeCell ref="M63:N63"/>
    <mergeCell ref="O63:P63"/>
    <mergeCell ref="Q63:R63"/>
    <mergeCell ref="S63:T63"/>
    <mergeCell ref="U63:V63"/>
    <mergeCell ref="W38:X38"/>
    <mergeCell ref="AA67:AB67"/>
    <mergeCell ref="F55:G55"/>
    <mergeCell ref="U52:V52"/>
    <mergeCell ref="S52:T52"/>
    <mergeCell ref="W65:X65"/>
    <mergeCell ref="AA65:AB65"/>
    <mergeCell ref="B66:J66"/>
    <mergeCell ref="K66:N66"/>
    <mergeCell ref="O66:R66"/>
    <mergeCell ref="S66:V66"/>
    <mergeCell ref="W66:X66"/>
    <mergeCell ref="AA66:AB66"/>
    <mergeCell ref="U64:V64"/>
    <mergeCell ref="W64:X64"/>
    <mergeCell ref="AA64:AB64"/>
    <mergeCell ref="B65:J65"/>
    <mergeCell ref="K65:L65"/>
    <mergeCell ref="M65:N65"/>
    <mergeCell ref="O65:P65"/>
    <mergeCell ref="Q65:R65"/>
    <mergeCell ref="S65:T65"/>
    <mergeCell ref="U65:V65"/>
    <mergeCell ref="F64:J64"/>
  </mergeCells>
  <phoneticPr fontId="9" type="noConversion"/>
  <conditionalFormatting sqref="AA36:AB36 AC59 AA62:AB62 AA65:AB65 AA67:AB67">
    <cfRule type="containsText" dxfId="1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8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B5DD510-2959-4407-B418-F13D8B8802D1}">
          <x14:formula1>
            <xm:f>삭제금지!$J$2:$J$59</xm:f>
          </x14:formula1>
          <xm:sqref>H5:J5</xm:sqref>
        </x14:dataValidation>
        <x14:dataValidation type="list" allowBlank="1" showInputMessage="1" showErrorMessage="1" xr:uid="{18F5A659-9C8B-4D7A-9F3D-39E92489861D}">
          <x14:formula1>
            <xm:f>삭제금지!$I$2:$I$18</xm:f>
          </x14:formula1>
          <xm:sqref>F5:G5</xm:sqref>
        </x14:dataValidation>
        <x14:dataValidation type="list" allowBlank="1" showInputMessage="1" showErrorMessage="1" xr:uid="{8099AA21-5AE3-4CBC-AFF4-A6239C4F6909}">
          <x14:formula1>
            <xm:f>삭제금지!$K$2:$K$59</xm:f>
          </x14:formula1>
          <xm:sqref>K5:O5</xm:sqref>
        </x14:dataValidation>
        <x14:dataValidation type="list" allowBlank="1" showInputMessage="1" showErrorMessage="1" xr:uid="{78D12C90-C0CB-4208-9171-8B274A069D4A}">
          <x14:formula1>
            <xm:f>삭제금지!$L$2:$L$4</xm:f>
          </x14:formula1>
          <xm:sqref>T5:V5</xm:sqref>
        </x14:dataValidation>
        <x14:dataValidation type="list" allowBlank="1" showInputMessage="1" showErrorMessage="1" xr:uid="{764ECF0F-46E4-4D91-9602-5BFC73CDA458}">
          <x14:formula1>
            <xm:f>삭제금지!$H$2:$H$18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8737-A9EF-4BB6-9BDC-CD36CDFED5EB}">
  <sheetPr>
    <pageSetUpPr fitToPage="1"/>
  </sheetPr>
  <dimension ref="A2:AG51"/>
  <sheetViews>
    <sheetView showGridLines="0" view="pageBreakPreview" topLeftCell="A25" zoomScale="95" zoomScaleNormal="85" zoomScaleSheetLayoutView="95" workbookViewId="0">
      <selection activeCell="G12" sqref="G12"/>
    </sheetView>
  </sheetViews>
  <sheetFormatPr defaultRowHeight="17"/>
  <cols>
    <col min="1" max="1" width="3" customWidth="1"/>
    <col min="2" max="2" width="14" customWidth="1"/>
    <col min="3" max="3" width="5.58203125" customWidth="1"/>
    <col min="4" max="4" width="21.08203125" customWidth="1"/>
    <col min="5" max="5" width="19" style="1" bestFit="1" customWidth="1"/>
    <col min="6" max="6" width="9.08203125" style="1" customWidth="1"/>
    <col min="7" max="7" width="10.75" customWidth="1"/>
    <col min="8" max="19" width="7.75" bestFit="1" customWidth="1"/>
    <col min="20" max="20" width="8" customWidth="1"/>
    <col min="21" max="21" width="8.75" customWidth="1"/>
  </cols>
  <sheetData>
    <row r="2" spans="2:33" ht="39.75" customHeight="1" thickBot="1">
      <c r="B2" s="617" t="s">
        <v>150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</row>
    <row r="3" spans="2:33" ht="27" customHeight="1" thickBot="1"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618" t="s">
        <v>129</v>
      </c>
      <c r="O3" s="619"/>
      <c r="P3" s="620"/>
      <c r="Q3" s="618" t="s">
        <v>127</v>
      </c>
      <c r="R3" s="619"/>
      <c r="S3" s="620"/>
      <c r="T3" s="621" t="s">
        <v>130</v>
      </c>
      <c r="U3" s="622"/>
    </row>
    <row r="4" spans="2:33" ht="27" customHeight="1" thickBot="1"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746" t="s">
        <v>524</v>
      </c>
      <c r="O4" s="747"/>
      <c r="P4" s="748"/>
      <c r="Q4" s="626" t="s">
        <v>583</v>
      </c>
      <c r="R4" s="627"/>
      <c r="S4" s="628"/>
      <c r="T4" s="629">
        <v>2027</v>
      </c>
      <c r="U4" s="630"/>
    </row>
    <row r="5" spans="2:33" ht="24" customHeight="1" thickBot="1">
      <c r="B5" s="749"/>
      <c r="C5" s="749"/>
    </row>
    <row r="6" spans="2:33" ht="20.25" customHeight="1">
      <c r="B6" s="750" t="s">
        <v>13</v>
      </c>
      <c r="C6" s="753" t="s">
        <v>140</v>
      </c>
      <c r="D6" s="743" t="s">
        <v>14</v>
      </c>
      <c r="E6" s="743" t="s">
        <v>15</v>
      </c>
      <c r="F6" s="743" t="s">
        <v>141</v>
      </c>
      <c r="G6" s="743" t="s">
        <v>142</v>
      </c>
      <c r="H6" s="638" t="s">
        <v>58</v>
      </c>
      <c r="I6" s="638"/>
      <c r="J6" s="638"/>
      <c r="K6" s="638"/>
      <c r="L6" s="638" t="s">
        <v>59</v>
      </c>
      <c r="M6" s="638"/>
      <c r="N6" s="638"/>
      <c r="O6" s="638"/>
      <c r="P6" s="638" t="s">
        <v>60</v>
      </c>
      <c r="Q6" s="638"/>
      <c r="R6" s="638"/>
      <c r="S6" s="638"/>
      <c r="T6" s="639" t="s">
        <v>139</v>
      </c>
      <c r="U6" s="649" t="s">
        <v>126</v>
      </c>
      <c r="W6" s="642" t="s">
        <v>131</v>
      </c>
      <c r="X6" s="643"/>
      <c r="Y6" s="643"/>
      <c r="Z6" s="643"/>
      <c r="AA6" s="643"/>
      <c r="AB6" s="643"/>
      <c r="AC6" s="643"/>
      <c r="AD6" s="643"/>
      <c r="AE6" s="643"/>
      <c r="AF6" s="644"/>
      <c r="AG6" s="13"/>
    </row>
    <row r="7" spans="2:33" ht="16.5" customHeight="1">
      <c r="B7" s="751"/>
      <c r="C7" s="754"/>
      <c r="D7" s="744"/>
      <c r="E7" s="744"/>
      <c r="F7" s="744"/>
      <c r="G7" s="744"/>
      <c r="H7" s="645" t="s">
        <v>124</v>
      </c>
      <c r="I7" s="645"/>
      <c r="J7" s="645" t="s">
        <v>62</v>
      </c>
      <c r="K7" s="645"/>
      <c r="L7" s="645" t="s">
        <v>124</v>
      </c>
      <c r="M7" s="645"/>
      <c r="N7" s="645" t="s">
        <v>62</v>
      </c>
      <c r="O7" s="645"/>
      <c r="P7" s="645" t="s">
        <v>124</v>
      </c>
      <c r="Q7" s="645"/>
      <c r="R7" s="645" t="s">
        <v>62</v>
      </c>
      <c r="S7" s="645"/>
      <c r="T7" s="640"/>
      <c r="U7" s="650"/>
      <c r="W7" s="646" t="s">
        <v>132</v>
      </c>
      <c r="X7" s="741"/>
      <c r="Y7" s="741"/>
      <c r="Z7" s="741"/>
      <c r="AA7" s="741"/>
      <c r="AB7" s="741"/>
      <c r="AC7" s="741"/>
      <c r="AD7" s="741"/>
      <c r="AE7" s="741"/>
      <c r="AF7" s="648"/>
      <c r="AG7" s="13"/>
    </row>
    <row r="8" spans="2:33" ht="17.25" customHeight="1" thickBot="1">
      <c r="B8" s="752"/>
      <c r="C8" s="755"/>
      <c r="D8" s="745"/>
      <c r="E8" s="745"/>
      <c r="F8" s="745"/>
      <c r="G8" s="745"/>
      <c r="H8" s="213" t="s">
        <v>138</v>
      </c>
      <c r="I8" s="213" t="s">
        <v>125</v>
      </c>
      <c r="J8" s="213" t="s">
        <v>138</v>
      </c>
      <c r="K8" s="213" t="s">
        <v>125</v>
      </c>
      <c r="L8" s="213" t="s">
        <v>138</v>
      </c>
      <c r="M8" s="213" t="s">
        <v>125</v>
      </c>
      <c r="N8" s="213" t="s">
        <v>138</v>
      </c>
      <c r="O8" s="213" t="s">
        <v>125</v>
      </c>
      <c r="P8" s="213" t="s">
        <v>138</v>
      </c>
      <c r="Q8" s="213" t="s">
        <v>125</v>
      </c>
      <c r="R8" s="213" t="s">
        <v>138</v>
      </c>
      <c r="S8" s="213" t="s">
        <v>125</v>
      </c>
      <c r="T8" s="740"/>
      <c r="U8" s="742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722" t="s">
        <v>593</v>
      </c>
      <c r="C9" s="725">
        <v>3</v>
      </c>
      <c r="D9" s="212" t="s">
        <v>620</v>
      </c>
      <c r="E9" s="212" t="s">
        <v>621</v>
      </c>
      <c r="F9" s="28">
        <v>100</v>
      </c>
      <c r="G9" s="28">
        <v>3</v>
      </c>
      <c r="H9" s="29"/>
      <c r="I9" s="29">
        <f>H9*16</f>
        <v>0</v>
      </c>
      <c r="J9" s="29"/>
      <c r="K9" s="29">
        <f>J9*16</f>
        <v>0</v>
      </c>
      <c r="L9" s="214">
        <v>2</v>
      </c>
      <c r="M9" s="214">
        <v>32</v>
      </c>
      <c r="N9" s="214"/>
      <c r="O9" s="214"/>
      <c r="P9" s="214"/>
      <c r="Q9" s="214"/>
      <c r="R9" s="214"/>
      <c r="S9" s="214"/>
      <c r="T9" s="215">
        <f>SUM(H9,J9,L9,N9,P9,R9)</f>
        <v>2</v>
      </c>
      <c r="U9" s="216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723"/>
      <c r="C10" s="726"/>
      <c r="D10" s="210" t="s">
        <v>622</v>
      </c>
      <c r="E10" s="210" t="s">
        <v>623</v>
      </c>
      <c r="F10" s="26">
        <v>50</v>
      </c>
      <c r="G10" s="26">
        <v>4</v>
      </c>
      <c r="H10" s="27"/>
      <c r="I10" s="27">
        <f t="shared" ref="I10" si="0">H10*16</f>
        <v>0</v>
      </c>
      <c r="J10" s="27"/>
      <c r="K10" s="27">
        <f t="shared" ref="K10" si="1">J10*16</f>
        <v>0</v>
      </c>
      <c r="L10" s="217">
        <v>2</v>
      </c>
      <c r="M10" s="217">
        <v>32</v>
      </c>
      <c r="N10" s="217"/>
      <c r="O10" s="217"/>
      <c r="P10" s="217"/>
      <c r="Q10" s="217"/>
      <c r="R10" s="217"/>
      <c r="S10" s="217"/>
      <c r="T10" s="218">
        <v>2</v>
      </c>
      <c r="U10" s="219"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7.5" thickBot="1">
      <c r="B11" s="724"/>
      <c r="C11" s="727"/>
      <c r="D11" s="728" t="s">
        <v>16</v>
      </c>
      <c r="E11" s="728"/>
      <c r="F11" s="205">
        <v>80</v>
      </c>
      <c r="G11" s="205"/>
      <c r="H11" s="30"/>
      <c r="I11" s="30"/>
      <c r="J11" s="30"/>
      <c r="K11" s="30"/>
      <c r="L11" s="220">
        <v>4</v>
      </c>
      <c r="M11" s="220">
        <v>64</v>
      </c>
      <c r="N11" s="220"/>
      <c r="O11" s="220"/>
      <c r="P11" s="220"/>
      <c r="Q11" s="220"/>
      <c r="R11" s="220"/>
      <c r="S11" s="220"/>
      <c r="T11" s="220">
        <v>4</v>
      </c>
      <c r="U11" s="221">
        <v>64</v>
      </c>
    </row>
    <row r="12" spans="2:33">
      <c r="B12" s="732" t="s">
        <v>624</v>
      </c>
      <c r="C12" s="736">
        <v>8</v>
      </c>
      <c r="D12" s="212" t="s">
        <v>625</v>
      </c>
      <c r="E12" s="212" t="s">
        <v>626</v>
      </c>
      <c r="F12" s="212">
        <v>24</v>
      </c>
      <c r="G12" s="28">
        <v>2</v>
      </c>
      <c r="H12" s="29"/>
      <c r="I12" s="29"/>
      <c r="J12" s="29"/>
      <c r="K12" s="29"/>
      <c r="L12" s="222">
        <v>2</v>
      </c>
      <c r="M12" s="222">
        <f>L12*16</f>
        <v>32</v>
      </c>
      <c r="N12" s="222"/>
      <c r="O12" s="222"/>
      <c r="P12" s="214"/>
      <c r="Q12" s="214"/>
      <c r="R12" s="214"/>
      <c r="S12" s="214"/>
      <c r="T12" s="215">
        <f>SUM(H12,J12,L12,N12,P12,R12)</f>
        <v>2</v>
      </c>
      <c r="U12" s="216">
        <f>SUM(I12,K12,M12,O12,Q12,S12)</f>
        <v>32</v>
      </c>
      <c r="W12" s="38"/>
    </row>
    <row r="13" spans="2:33">
      <c r="B13" s="733"/>
      <c r="C13" s="737"/>
      <c r="D13" s="210" t="s">
        <v>627</v>
      </c>
      <c r="E13" s="210" t="s">
        <v>628</v>
      </c>
      <c r="F13" s="210">
        <v>20</v>
      </c>
      <c r="G13" s="26">
        <v>2</v>
      </c>
      <c r="H13" s="27"/>
      <c r="I13" s="36"/>
      <c r="J13" s="36"/>
      <c r="K13" s="27"/>
      <c r="L13" s="223">
        <v>2</v>
      </c>
      <c r="M13" s="223">
        <f t="shared" ref="M13" si="2">L13*16</f>
        <v>32</v>
      </c>
      <c r="N13" s="223"/>
      <c r="O13" s="223"/>
      <c r="P13" s="224"/>
      <c r="Q13" s="224"/>
      <c r="R13" s="224"/>
      <c r="S13" s="224"/>
      <c r="T13" s="225">
        <v>2</v>
      </c>
      <c r="U13" s="226">
        <v>32</v>
      </c>
      <c r="W13" s="38"/>
    </row>
    <row r="14" spans="2:33">
      <c r="B14" s="733"/>
      <c r="C14" s="737"/>
      <c r="D14" s="210" t="s">
        <v>629</v>
      </c>
      <c r="E14" s="210" t="s">
        <v>630</v>
      </c>
      <c r="F14" s="210">
        <v>40</v>
      </c>
      <c r="G14" s="26">
        <v>2</v>
      </c>
      <c r="H14" s="27"/>
      <c r="I14" s="36"/>
      <c r="J14" s="36"/>
      <c r="K14" s="27"/>
      <c r="L14" s="223"/>
      <c r="M14" s="223"/>
      <c r="N14" s="223">
        <v>2</v>
      </c>
      <c r="O14" s="223">
        <f t="shared" ref="O14:O15" si="3">N14*16</f>
        <v>32</v>
      </c>
      <c r="P14" s="224"/>
      <c r="Q14" s="224"/>
      <c r="R14" s="224"/>
      <c r="S14" s="224"/>
      <c r="T14" s="225">
        <v>2</v>
      </c>
      <c r="U14" s="226">
        <v>32</v>
      </c>
      <c r="W14" s="38"/>
    </row>
    <row r="15" spans="2:33">
      <c r="B15" s="733"/>
      <c r="C15" s="737"/>
      <c r="D15" s="210" t="s">
        <v>594</v>
      </c>
      <c r="E15" s="210" t="s">
        <v>631</v>
      </c>
      <c r="F15" s="210">
        <v>40</v>
      </c>
      <c r="G15" s="26">
        <v>2</v>
      </c>
      <c r="H15" s="27"/>
      <c r="I15" s="36"/>
      <c r="J15" s="36"/>
      <c r="K15" s="27"/>
      <c r="L15" s="223"/>
      <c r="M15" s="223"/>
      <c r="N15" s="223">
        <v>2</v>
      </c>
      <c r="O15" s="223">
        <f t="shared" si="3"/>
        <v>32</v>
      </c>
      <c r="P15" s="224"/>
      <c r="Q15" s="224"/>
      <c r="R15" s="224"/>
      <c r="S15" s="217"/>
      <c r="T15" s="218">
        <v>2</v>
      </c>
      <c r="U15" s="219">
        <v>32</v>
      </c>
    </row>
    <row r="16" spans="2:33" ht="17.5" thickBot="1">
      <c r="B16" s="735"/>
      <c r="C16" s="739"/>
      <c r="D16" s="728" t="s">
        <v>16</v>
      </c>
      <c r="E16" s="728"/>
      <c r="F16" s="205">
        <v>100</v>
      </c>
      <c r="G16" s="205"/>
      <c r="H16" s="30"/>
      <c r="I16" s="30"/>
      <c r="J16" s="30"/>
      <c r="K16" s="30"/>
      <c r="L16" s="220">
        <v>4</v>
      </c>
      <c r="M16" s="220">
        <v>64</v>
      </c>
      <c r="N16" s="220">
        <v>4</v>
      </c>
      <c r="O16" s="220">
        <v>64</v>
      </c>
      <c r="P16" s="220"/>
      <c r="Q16" s="220"/>
      <c r="R16" s="220"/>
      <c r="S16" s="220"/>
      <c r="T16" s="220">
        <v>8</v>
      </c>
      <c r="U16" s="221">
        <v>128</v>
      </c>
    </row>
    <row r="17" spans="2:21">
      <c r="B17" s="722" t="s">
        <v>632</v>
      </c>
      <c r="C17" s="729">
        <v>10</v>
      </c>
      <c r="D17" s="212" t="s">
        <v>633</v>
      </c>
      <c r="E17" s="212" t="s">
        <v>634</v>
      </c>
      <c r="F17" s="212">
        <v>20</v>
      </c>
      <c r="G17" s="28">
        <v>2</v>
      </c>
      <c r="H17" s="29"/>
      <c r="I17" s="29"/>
      <c r="J17" s="29"/>
      <c r="K17" s="29"/>
      <c r="L17" s="222">
        <v>2</v>
      </c>
      <c r="M17" s="222">
        <f>L17*16</f>
        <v>32</v>
      </c>
      <c r="N17" s="222"/>
      <c r="O17" s="222"/>
      <c r="P17" s="214"/>
      <c r="Q17" s="214"/>
      <c r="R17" s="214"/>
      <c r="S17" s="214"/>
      <c r="T17" s="215">
        <f>SUM(H17,J17,L17,N17,P17,R17)</f>
        <v>2</v>
      </c>
      <c r="U17" s="216">
        <f>SUM(I17,K17,M17,O17,Q17,S17)</f>
        <v>32</v>
      </c>
    </row>
    <row r="18" spans="2:21">
      <c r="B18" s="723"/>
      <c r="C18" s="730"/>
      <c r="D18" s="210" t="s">
        <v>635</v>
      </c>
      <c r="E18" s="210" t="s">
        <v>636</v>
      </c>
      <c r="F18" s="210">
        <v>50</v>
      </c>
      <c r="G18" s="26">
        <v>2</v>
      </c>
      <c r="H18" s="36"/>
      <c r="I18" s="36"/>
      <c r="J18" s="36"/>
      <c r="K18" s="36"/>
      <c r="L18" s="223">
        <v>2</v>
      </c>
      <c r="M18" s="223">
        <f t="shared" ref="M18" si="4">L18*16</f>
        <v>32</v>
      </c>
      <c r="N18" s="223"/>
      <c r="O18" s="223"/>
      <c r="P18" s="224"/>
      <c r="Q18" s="224"/>
      <c r="R18" s="224"/>
      <c r="S18" s="224"/>
      <c r="T18" s="225">
        <v>2</v>
      </c>
      <c r="U18" s="226">
        <v>32</v>
      </c>
    </row>
    <row r="19" spans="2:21">
      <c r="B19" s="723"/>
      <c r="C19" s="730"/>
      <c r="D19" s="210" t="s">
        <v>615</v>
      </c>
      <c r="E19" s="210" t="s">
        <v>614</v>
      </c>
      <c r="F19" s="210">
        <v>50</v>
      </c>
      <c r="G19" s="26">
        <v>3</v>
      </c>
      <c r="H19" s="36"/>
      <c r="I19" s="36"/>
      <c r="J19" s="36"/>
      <c r="K19" s="36"/>
      <c r="L19" s="223"/>
      <c r="M19" s="223"/>
      <c r="N19" s="223">
        <v>2</v>
      </c>
      <c r="O19" s="223">
        <f t="shared" ref="O19:O20" si="5">N19*16</f>
        <v>32</v>
      </c>
      <c r="P19" s="224"/>
      <c r="Q19" s="224"/>
      <c r="R19" s="224"/>
      <c r="S19" s="224"/>
      <c r="T19" s="225">
        <v>2</v>
      </c>
      <c r="U19" s="226">
        <v>32</v>
      </c>
    </row>
    <row r="20" spans="2:21">
      <c r="B20" s="723"/>
      <c r="C20" s="730"/>
      <c r="D20" s="210" t="s">
        <v>637</v>
      </c>
      <c r="E20" s="210" t="s">
        <v>638</v>
      </c>
      <c r="F20" s="210">
        <v>30</v>
      </c>
      <c r="G20" s="26">
        <v>2</v>
      </c>
      <c r="H20" s="36"/>
      <c r="I20" s="36"/>
      <c r="J20" s="36"/>
      <c r="K20" s="36"/>
      <c r="L20" s="223"/>
      <c r="M20" s="223"/>
      <c r="N20" s="223">
        <v>2</v>
      </c>
      <c r="O20" s="223">
        <f t="shared" si="5"/>
        <v>32</v>
      </c>
      <c r="P20" s="224"/>
      <c r="Q20" s="224"/>
      <c r="R20" s="224"/>
      <c r="S20" s="217"/>
      <c r="T20" s="218">
        <v>2</v>
      </c>
      <c r="U20" s="219">
        <v>32</v>
      </c>
    </row>
    <row r="21" spans="2:21" ht="17.5" thickBot="1">
      <c r="B21" s="724"/>
      <c r="C21" s="731"/>
      <c r="D21" s="728" t="s">
        <v>16</v>
      </c>
      <c r="E21" s="728"/>
      <c r="F21" s="205">
        <v>140</v>
      </c>
      <c r="G21" s="205"/>
      <c r="H21" s="30"/>
      <c r="I21" s="30"/>
      <c r="J21" s="30"/>
      <c r="K21" s="30"/>
      <c r="L21" s="220">
        <v>4</v>
      </c>
      <c r="M21" s="220">
        <v>64</v>
      </c>
      <c r="N21" s="220">
        <v>4</v>
      </c>
      <c r="O21" s="220">
        <v>64</v>
      </c>
      <c r="P21" s="220"/>
      <c r="Q21" s="220"/>
      <c r="R21" s="220"/>
      <c r="S21" s="220"/>
      <c r="T21" s="220">
        <v>8</v>
      </c>
      <c r="U21" s="221">
        <v>128</v>
      </c>
    </row>
    <row r="22" spans="2:21">
      <c r="B22" s="732" t="s">
        <v>639</v>
      </c>
      <c r="C22" s="736">
        <v>18</v>
      </c>
      <c r="D22" s="212" t="s">
        <v>640</v>
      </c>
      <c r="E22" s="212" t="s">
        <v>641</v>
      </c>
      <c r="F22" s="212">
        <v>30</v>
      </c>
      <c r="G22" s="39">
        <v>2</v>
      </c>
      <c r="H22" s="29"/>
      <c r="I22" s="29"/>
      <c r="J22" s="29"/>
      <c r="K22" s="29"/>
      <c r="L22" s="214"/>
      <c r="M22" s="214"/>
      <c r="N22" s="214"/>
      <c r="O22" s="214"/>
      <c r="P22" s="222">
        <v>2</v>
      </c>
      <c r="Q22" s="222">
        <f>P22*16</f>
        <v>32</v>
      </c>
      <c r="R22" s="222"/>
      <c r="S22" s="222"/>
      <c r="T22" s="227">
        <f>H22+J22+L22+N22+P22+R22</f>
        <v>2</v>
      </c>
      <c r="U22" s="228">
        <f>I22+K22+M22+O22+Q22+S22</f>
        <v>32</v>
      </c>
    </row>
    <row r="23" spans="2:21">
      <c r="B23" s="733"/>
      <c r="C23" s="737"/>
      <c r="D23" s="210" t="s">
        <v>642</v>
      </c>
      <c r="E23" s="210" t="s">
        <v>643</v>
      </c>
      <c r="F23" s="210">
        <v>40</v>
      </c>
      <c r="G23" s="211">
        <v>2</v>
      </c>
      <c r="H23" s="27"/>
      <c r="I23" s="27"/>
      <c r="J23" s="27"/>
      <c r="K23" s="27"/>
      <c r="L23" s="217"/>
      <c r="M23" s="217"/>
      <c r="N23" s="217"/>
      <c r="O23" s="217"/>
      <c r="P23" s="223">
        <v>2</v>
      </c>
      <c r="Q23" s="223">
        <f t="shared" ref="Q23:Q25" si="6">P23*16</f>
        <v>32</v>
      </c>
      <c r="R23" s="223"/>
      <c r="S23" s="223"/>
      <c r="T23" s="229">
        <f t="shared" ref="T23:U29" si="7">H23+J23+L23+N23+P23+R23</f>
        <v>2</v>
      </c>
      <c r="U23" s="230">
        <f t="shared" si="7"/>
        <v>32</v>
      </c>
    </row>
    <row r="24" spans="2:21">
      <c r="B24" s="733"/>
      <c r="C24" s="737"/>
      <c r="D24" s="210" t="s">
        <v>644</v>
      </c>
      <c r="E24" s="210" t="s">
        <v>645</v>
      </c>
      <c r="F24" s="210">
        <v>40</v>
      </c>
      <c r="G24" s="211">
        <v>2</v>
      </c>
      <c r="H24" s="27"/>
      <c r="I24" s="27"/>
      <c r="J24" s="27"/>
      <c r="K24" s="27"/>
      <c r="L24" s="217"/>
      <c r="M24" s="217"/>
      <c r="N24" s="217"/>
      <c r="O24" s="217"/>
      <c r="P24" s="223">
        <v>2</v>
      </c>
      <c r="Q24" s="223">
        <f t="shared" si="6"/>
        <v>32</v>
      </c>
      <c r="R24" s="223"/>
      <c r="S24" s="223"/>
      <c r="T24" s="229">
        <f t="shared" si="7"/>
        <v>2</v>
      </c>
      <c r="U24" s="230">
        <f t="shared" si="7"/>
        <v>32</v>
      </c>
    </row>
    <row r="25" spans="2:21">
      <c r="B25" s="733"/>
      <c r="C25" s="737"/>
      <c r="D25" s="210" t="s">
        <v>646</v>
      </c>
      <c r="E25" s="210" t="s">
        <v>647</v>
      </c>
      <c r="F25" s="210">
        <v>40</v>
      </c>
      <c r="G25" s="211">
        <v>2</v>
      </c>
      <c r="H25" s="27"/>
      <c r="I25" s="27"/>
      <c r="J25" s="27"/>
      <c r="K25" s="27"/>
      <c r="L25" s="217"/>
      <c r="M25" s="217"/>
      <c r="N25" s="217"/>
      <c r="O25" s="217"/>
      <c r="P25" s="223">
        <v>3</v>
      </c>
      <c r="Q25" s="223">
        <f t="shared" si="6"/>
        <v>48</v>
      </c>
      <c r="R25" s="223"/>
      <c r="S25" s="223"/>
      <c r="T25" s="229">
        <f t="shared" si="7"/>
        <v>3</v>
      </c>
      <c r="U25" s="230">
        <f t="shared" si="7"/>
        <v>48</v>
      </c>
    </row>
    <row r="26" spans="2:21">
      <c r="B26" s="733"/>
      <c r="C26" s="737"/>
      <c r="D26" s="210" t="s">
        <v>648</v>
      </c>
      <c r="E26" s="210" t="s">
        <v>649</v>
      </c>
      <c r="F26" s="210">
        <v>40</v>
      </c>
      <c r="G26" s="211">
        <v>2</v>
      </c>
      <c r="H26" s="27"/>
      <c r="I26" s="27"/>
      <c r="J26" s="27"/>
      <c r="K26" s="27"/>
      <c r="L26" s="217"/>
      <c r="M26" s="217"/>
      <c r="N26" s="217"/>
      <c r="O26" s="217"/>
      <c r="P26" s="223"/>
      <c r="Q26" s="223"/>
      <c r="R26" s="223">
        <v>2</v>
      </c>
      <c r="S26" s="223">
        <f t="shared" ref="S26:S30" si="8">R26*16</f>
        <v>32</v>
      </c>
      <c r="T26" s="229">
        <f t="shared" si="7"/>
        <v>2</v>
      </c>
      <c r="U26" s="230">
        <f t="shared" si="7"/>
        <v>32</v>
      </c>
    </row>
    <row r="27" spans="2:21">
      <c r="B27" s="733"/>
      <c r="C27" s="737"/>
      <c r="D27" s="210" t="s">
        <v>650</v>
      </c>
      <c r="E27" s="210" t="s">
        <v>651</v>
      </c>
      <c r="F27" s="210">
        <v>30</v>
      </c>
      <c r="G27" s="211">
        <v>2</v>
      </c>
      <c r="H27" s="27"/>
      <c r="I27" s="27"/>
      <c r="J27" s="27"/>
      <c r="K27" s="27"/>
      <c r="L27" s="217"/>
      <c r="M27" s="217"/>
      <c r="N27" s="217"/>
      <c r="O27" s="217"/>
      <c r="P27" s="223"/>
      <c r="Q27" s="223"/>
      <c r="R27" s="223">
        <v>2</v>
      </c>
      <c r="S27" s="223">
        <f t="shared" si="8"/>
        <v>32</v>
      </c>
      <c r="T27" s="229">
        <f t="shared" si="7"/>
        <v>2</v>
      </c>
      <c r="U27" s="230">
        <f t="shared" si="7"/>
        <v>32</v>
      </c>
    </row>
    <row r="28" spans="2:21">
      <c r="B28" s="734"/>
      <c r="C28" s="738"/>
      <c r="D28" s="210" t="s">
        <v>652</v>
      </c>
      <c r="E28" s="210" t="s">
        <v>653</v>
      </c>
      <c r="F28" s="210">
        <v>30</v>
      </c>
      <c r="G28" s="211">
        <v>2</v>
      </c>
      <c r="H28" s="27"/>
      <c r="I28" s="27"/>
      <c r="J28" s="27"/>
      <c r="K28" s="27"/>
      <c r="L28" s="217"/>
      <c r="M28" s="217"/>
      <c r="N28" s="217"/>
      <c r="O28" s="217"/>
      <c r="P28" s="223"/>
      <c r="Q28" s="223"/>
      <c r="R28" s="223">
        <v>2</v>
      </c>
      <c r="S28" s="223">
        <f t="shared" si="8"/>
        <v>32</v>
      </c>
      <c r="T28" s="229">
        <f t="shared" si="7"/>
        <v>2</v>
      </c>
      <c r="U28" s="230">
        <f t="shared" si="7"/>
        <v>32</v>
      </c>
    </row>
    <row r="29" spans="2:21">
      <c r="B29" s="734"/>
      <c r="C29" s="738"/>
      <c r="D29" s="210" t="s">
        <v>654</v>
      </c>
      <c r="E29" s="210" t="s">
        <v>655</v>
      </c>
      <c r="F29" s="210">
        <v>40</v>
      </c>
      <c r="G29" s="211">
        <v>2</v>
      </c>
      <c r="H29" s="27"/>
      <c r="I29" s="27"/>
      <c r="J29" s="27"/>
      <c r="K29" s="27"/>
      <c r="L29" s="217"/>
      <c r="M29" s="217"/>
      <c r="N29" s="217"/>
      <c r="O29" s="217"/>
      <c r="P29" s="223"/>
      <c r="Q29" s="223"/>
      <c r="R29" s="223">
        <v>3</v>
      </c>
      <c r="S29" s="223">
        <f t="shared" si="8"/>
        <v>48</v>
      </c>
      <c r="T29" s="229">
        <f t="shared" si="7"/>
        <v>3</v>
      </c>
      <c r="U29" s="230">
        <f t="shared" si="7"/>
        <v>48</v>
      </c>
    </row>
    <row r="30" spans="2:21" ht="17.5" thickBot="1">
      <c r="B30" s="735"/>
      <c r="C30" s="739"/>
      <c r="D30" s="728" t="s">
        <v>16</v>
      </c>
      <c r="E30" s="728"/>
      <c r="F30" s="205">
        <v>130</v>
      </c>
      <c r="G30" s="205"/>
      <c r="H30" s="30"/>
      <c r="I30" s="30"/>
      <c r="J30" s="30"/>
      <c r="K30" s="30"/>
      <c r="L30" s="220"/>
      <c r="M30" s="220"/>
      <c r="N30" s="220"/>
      <c r="O30" s="220"/>
      <c r="P30" s="220">
        <v>9</v>
      </c>
      <c r="Q30" s="220">
        <v>144</v>
      </c>
      <c r="R30" s="220">
        <v>9</v>
      </c>
      <c r="S30" s="220">
        <f t="shared" si="8"/>
        <v>144</v>
      </c>
      <c r="T30" s="231">
        <v>18</v>
      </c>
      <c r="U30" s="232">
        <v>288</v>
      </c>
    </row>
    <row r="31" spans="2:21">
      <c r="B31" s="722" t="s">
        <v>587</v>
      </c>
      <c r="C31" s="725">
        <v>12</v>
      </c>
      <c r="D31" s="212" t="s">
        <v>656</v>
      </c>
      <c r="E31" s="212" t="s">
        <v>657</v>
      </c>
      <c r="F31" s="212">
        <v>60</v>
      </c>
      <c r="G31" s="212">
        <v>4</v>
      </c>
      <c r="H31" s="29"/>
      <c r="I31" s="29"/>
      <c r="J31" s="29"/>
      <c r="K31" s="29"/>
      <c r="L31" s="214"/>
      <c r="M31" s="214"/>
      <c r="N31" s="214"/>
      <c r="O31" s="214"/>
      <c r="P31" s="222">
        <v>2</v>
      </c>
      <c r="Q31" s="222">
        <f t="shared" ref="Q31:Q32" si="9">P31*16</f>
        <v>32</v>
      </c>
      <c r="R31" s="222"/>
      <c r="S31" s="222"/>
      <c r="T31" s="227">
        <f>H31+J31+L31+N31+P31+R31</f>
        <v>2</v>
      </c>
      <c r="U31" s="228">
        <f>I31+K31+M31+O31+Q31+S31</f>
        <v>32</v>
      </c>
    </row>
    <row r="32" spans="2:21">
      <c r="B32" s="723"/>
      <c r="C32" s="726"/>
      <c r="D32" s="210" t="s">
        <v>658</v>
      </c>
      <c r="E32" s="210" t="s">
        <v>659</v>
      </c>
      <c r="F32" s="210">
        <v>45</v>
      </c>
      <c r="G32" s="210">
        <v>4</v>
      </c>
      <c r="H32" s="27"/>
      <c r="I32" s="27"/>
      <c r="J32" s="27"/>
      <c r="K32" s="27"/>
      <c r="L32" s="217"/>
      <c r="M32" s="217"/>
      <c r="N32" s="217"/>
      <c r="O32" s="217"/>
      <c r="P32" s="223">
        <v>2</v>
      </c>
      <c r="Q32" s="223">
        <f t="shared" si="9"/>
        <v>32</v>
      </c>
      <c r="R32" s="223"/>
      <c r="S32" s="223"/>
      <c r="T32" s="229">
        <f t="shared" ref="T32:U36" si="10">H32+J32+L32+N32+P32+R32</f>
        <v>2</v>
      </c>
      <c r="U32" s="230">
        <f t="shared" si="10"/>
        <v>32</v>
      </c>
    </row>
    <row r="33" spans="1:21">
      <c r="B33" s="723"/>
      <c r="C33" s="726"/>
      <c r="D33" s="210" t="s">
        <v>660</v>
      </c>
      <c r="E33" s="210" t="s">
        <v>661</v>
      </c>
      <c r="F33" s="210">
        <v>40</v>
      </c>
      <c r="G33" s="210">
        <v>3</v>
      </c>
      <c r="H33" s="27"/>
      <c r="I33" s="27"/>
      <c r="J33" s="27"/>
      <c r="K33" s="27"/>
      <c r="L33" s="217"/>
      <c r="M33" s="217"/>
      <c r="N33" s="217"/>
      <c r="O33" s="217"/>
      <c r="P33" s="223"/>
      <c r="Q33" s="223"/>
      <c r="R33" s="223">
        <v>2</v>
      </c>
      <c r="S33" s="223">
        <f t="shared" ref="S33:S37" si="11">R33*16</f>
        <v>32</v>
      </c>
      <c r="T33" s="229">
        <f t="shared" si="10"/>
        <v>2</v>
      </c>
      <c r="U33" s="230">
        <f t="shared" si="10"/>
        <v>32</v>
      </c>
    </row>
    <row r="34" spans="1:21">
      <c r="B34" s="723"/>
      <c r="C34" s="726"/>
      <c r="D34" s="210" t="s">
        <v>662</v>
      </c>
      <c r="E34" s="210" t="s">
        <v>663</v>
      </c>
      <c r="F34" s="210">
        <v>60</v>
      </c>
      <c r="G34" s="210">
        <v>3</v>
      </c>
      <c r="H34" s="27"/>
      <c r="I34" s="27"/>
      <c r="J34" s="27"/>
      <c r="K34" s="27"/>
      <c r="L34" s="217"/>
      <c r="M34" s="217"/>
      <c r="N34" s="217"/>
      <c r="O34" s="217"/>
      <c r="P34" s="223"/>
      <c r="Q34" s="223"/>
      <c r="R34" s="223">
        <v>2</v>
      </c>
      <c r="S34" s="223">
        <f t="shared" si="11"/>
        <v>32</v>
      </c>
      <c r="T34" s="229">
        <f t="shared" si="10"/>
        <v>2</v>
      </c>
      <c r="U34" s="230">
        <f t="shared" si="10"/>
        <v>32</v>
      </c>
    </row>
    <row r="35" spans="1:21">
      <c r="B35" s="723"/>
      <c r="C35" s="726"/>
      <c r="D35" s="210" t="s">
        <v>664</v>
      </c>
      <c r="E35" s="210" t="s">
        <v>665</v>
      </c>
      <c r="F35" s="210">
        <v>50</v>
      </c>
      <c r="G35" s="210">
        <v>3</v>
      </c>
      <c r="H35" s="27"/>
      <c r="I35" s="27"/>
      <c r="J35" s="27"/>
      <c r="K35" s="27"/>
      <c r="L35" s="217"/>
      <c r="M35" s="217"/>
      <c r="N35" s="217"/>
      <c r="O35" s="217"/>
      <c r="P35" s="223"/>
      <c r="Q35" s="223"/>
      <c r="R35" s="223">
        <v>2</v>
      </c>
      <c r="S35" s="223">
        <f t="shared" si="11"/>
        <v>32</v>
      </c>
      <c r="T35" s="229">
        <f t="shared" si="10"/>
        <v>2</v>
      </c>
      <c r="U35" s="230">
        <f t="shared" si="10"/>
        <v>32</v>
      </c>
    </row>
    <row r="36" spans="1:21">
      <c r="B36" s="723"/>
      <c r="C36" s="726"/>
      <c r="D36" s="210" t="s">
        <v>666</v>
      </c>
      <c r="E36" s="210" t="s">
        <v>595</v>
      </c>
      <c r="F36" s="210">
        <v>50</v>
      </c>
      <c r="G36" s="210">
        <v>3</v>
      </c>
      <c r="H36" s="27"/>
      <c r="I36" s="27"/>
      <c r="J36" s="27"/>
      <c r="K36" s="27"/>
      <c r="L36" s="217"/>
      <c r="M36" s="217"/>
      <c r="N36" s="217"/>
      <c r="O36" s="217"/>
      <c r="P36" s="223"/>
      <c r="Q36" s="223"/>
      <c r="R36" s="223">
        <v>2</v>
      </c>
      <c r="S36" s="223">
        <f t="shared" si="11"/>
        <v>32</v>
      </c>
      <c r="T36" s="229">
        <f t="shared" si="10"/>
        <v>2</v>
      </c>
      <c r="U36" s="230">
        <f t="shared" si="10"/>
        <v>32</v>
      </c>
    </row>
    <row r="37" spans="1:21" ht="17.5" thickBot="1">
      <c r="B37" s="724"/>
      <c r="C37" s="727"/>
      <c r="D37" s="728" t="s">
        <v>16</v>
      </c>
      <c r="E37" s="728"/>
      <c r="F37" s="205">
        <v>140</v>
      </c>
      <c r="G37" s="205"/>
      <c r="H37" s="30"/>
      <c r="I37" s="30"/>
      <c r="J37" s="30"/>
      <c r="K37" s="30"/>
      <c r="L37" s="220"/>
      <c r="M37" s="220"/>
      <c r="N37" s="220"/>
      <c r="O37" s="220"/>
      <c r="P37" s="220">
        <v>4</v>
      </c>
      <c r="Q37" s="220">
        <v>64</v>
      </c>
      <c r="R37" s="220">
        <v>8</v>
      </c>
      <c r="S37" s="220">
        <f t="shared" si="11"/>
        <v>128</v>
      </c>
      <c r="T37" s="231">
        <v>12</v>
      </c>
      <c r="U37" s="232">
        <v>192</v>
      </c>
    </row>
    <row r="38" spans="1:21">
      <c r="B38" s="722" t="s">
        <v>590</v>
      </c>
      <c r="C38" s="729">
        <v>12</v>
      </c>
      <c r="D38" s="212" t="s">
        <v>667</v>
      </c>
      <c r="E38" s="212" t="s">
        <v>668</v>
      </c>
      <c r="F38" s="212">
        <v>30</v>
      </c>
      <c r="G38" s="212">
        <v>4</v>
      </c>
      <c r="H38" s="29"/>
      <c r="I38" s="29"/>
      <c r="J38" s="29"/>
      <c r="K38" s="29"/>
      <c r="L38" s="214"/>
      <c r="M38" s="214"/>
      <c r="N38" s="214"/>
      <c r="O38" s="214"/>
      <c r="P38" s="222">
        <v>2</v>
      </c>
      <c r="Q38" s="222">
        <f t="shared" ref="Q38:Q40" si="12">P38*16</f>
        <v>32</v>
      </c>
      <c r="R38" s="222"/>
      <c r="S38" s="222"/>
      <c r="T38" s="227">
        <f t="shared" ref="T38:U43" si="13">H38+J38+L38+N38+P38+R38</f>
        <v>2</v>
      </c>
      <c r="U38" s="228">
        <f t="shared" si="13"/>
        <v>32</v>
      </c>
    </row>
    <row r="39" spans="1:21">
      <c r="B39" s="723"/>
      <c r="C39" s="730"/>
      <c r="D39" s="210" t="s">
        <v>669</v>
      </c>
      <c r="E39" s="210" t="s">
        <v>670</v>
      </c>
      <c r="F39" s="210">
        <v>30</v>
      </c>
      <c r="G39" s="210">
        <v>3</v>
      </c>
      <c r="H39" s="27"/>
      <c r="I39" s="27"/>
      <c r="J39" s="27"/>
      <c r="K39" s="27"/>
      <c r="L39" s="217"/>
      <c r="M39" s="217"/>
      <c r="N39" s="217"/>
      <c r="O39" s="217"/>
      <c r="P39" s="223">
        <v>2</v>
      </c>
      <c r="Q39" s="223">
        <f t="shared" si="12"/>
        <v>32</v>
      </c>
      <c r="R39" s="223"/>
      <c r="S39" s="223"/>
      <c r="T39" s="229">
        <f t="shared" si="13"/>
        <v>2</v>
      </c>
      <c r="U39" s="230">
        <f t="shared" si="13"/>
        <v>32</v>
      </c>
    </row>
    <row r="40" spans="1:21">
      <c r="B40" s="723"/>
      <c r="C40" s="730"/>
      <c r="D40" s="210" t="s">
        <v>671</v>
      </c>
      <c r="E40" s="210" t="s">
        <v>672</v>
      </c>
      <c r="F40" s="210">
        <v>20</v>
      </c>
      <c r="G40" s="210">
        <v>4</v>
      </c>
      <c r="H40" s="27"/>
      <c r="I40" s="27"/>
      <c r="J40" s="27"/>
      <c r="K40" s="27"/>
      <c r="L40" s="217"/>
      <c r="M40" s="217"/>
      <c r="N40" s="217"/>
      <c r="O40" s="217"/>
      <c r="P40" s="223">
        <v>2</v>
      </c>
      <c r="Q40" s="223">
        <f t="shared" si="12"/>
        <v>32</v>
      </c>
      <c r="R40" s="223"/>
      <c r="S40" s="223"/>
      <c r="T40" s="229">
        <f t="shared" si="13"/>
        <v>2</v>
      </c>
      <c r="U40" s="230">
        <f t="shared" si="13"/>
        <v>32</v>
      </c>
    </row>
    <row r="41" spans="1:21">
      <c r="B41" s="723"/>
      <c r="C41" s="730"/>
      <c r="D41" s="210" t="s">
        <v>616</v>
      </c>
      <c r="E41" s="210" t="s">
        <v>598</v>
      </c>
      <c r="F41" s="210">
        <v>50</v>
      </c>
      <c r="G41" s="210">
        <v>3</v>
      </c>
      <c r="H41" s="27"/>
      <c r="I41" s="27"/>
      <c r="J41" s="27"/>
      <c r="K41" s="27"/>
      <c r="L41" s="217"/>
      <c r="M41" s="217"/>
      <c r="N41" s="217"/>
      <c r="O41" s="217"/>
      <c r="P41" s="223"/>
      <c r="Q41" s="223"/>
      <c r="R41" s="223">
        <v>2</v>
      </c>
      <c r="S41" s="223">
        <f t="shared" ref="S41:S44" si="14">R41*16</f>
        <v>32</v>
      </c>
      <c r="T41" s="229">
        <f t="shared" si="13"/>
        <v>2</v>
      </c>
      <c r="U41" s="230">
        <f t="shared" si="13"/>
        <v>32</v>
      </c>
    </row>
    <row r="42" spans="1:21">
      <c r="B42" s="723"/>
      <c r="C42" s="730"/>
      <c r="D42" s="210" t="s">
        <v>617</v>
      </c>
      <c r="E42" s="210" t="s">
        <v>673</v>
      </c>
      <c r="F42" s="210">
        <v>70</v>
      </c>
      <c r="G42" s="210">
        <v>4</v>
      </c>
      <c r="H42" s="27"/>
      <c r="I42" s="27"/>
      <c r="J42" s="27"/>
      <c r="K42" s="27"/>
      <c r="L42" s="217"/>
      <c r="M42" s="217"/>
      <c r="N42" s="217"/>
      <c r="O42" s="217"/>
      <c r="P42" s="223"/>
      <c r="Q42" s="223"/>
      <c r="R42" s="223">
        <v>2</v>
      </c>
      <c r="S42" s="223">
        <f t="shared" si="14"/>
        <v>32</v>
      </c>
      <c r="T42" s="229">
        <f t="shared" si="13"/>
        <v>2</v>
      </c>
      <c r="U42" s="230">
        <f t="shared" si="13"/>
        <v>32</v>
      </c>
    </row>
    <row r="43" spans="1:21">
      <c r="B43" s="723"/>
      <c r="C43" s="730"/>
      <c r="D43" s="210" t="s">
        <v>618</v>
      </c>
      <c r="E43" s="210" t="s">
        <v>674</v>
      </c>
      <c r="F43" s="210">
        <v>70</v>
      </c>
      <c r="G43" s="210">
        <v>3</v>
      </c>
      <c r="H43" s="27"/>
      <c r="I43" s="27"/>
      <c r="J43" s="27"/>
      <c r="K43" s="27"/>
      <c r="L43" s="217"/>
      <c r="M43" s="217"/>
      <c r="N43" s="217"/>
      <c r="O43" s="217"/>
      <c r="P43" s="223"/>
      <c r="Q43" s="223"/>
      <c r="R43" s="223">
        <v>2</v>
      </c>
      <c r="S43" s="223">
        <f t="shared" si="14"/>
        <v>32</v>
      </c>
      <c r="T43" s="229">
        <f t="shared" si="13"/>
        <v>2</v>
      </c>
      <c r="U43" s="230">
        <f t="shared" si="13"/>
        <v>32</v>
      </c>
    </row>
    <row r="44" spans="1:21" s="187" customFormat="1" ht="17.5" thickBot="1">
      <c r="A44" s="191"/>
      <c r="B44" s="724"/>
      <c r="C44" s="731"/>
      <c r="D44" s="728" t="s">
        <v>16</v>
      </c>
      <c r="E44" s="728"/>
      <c r="F44" s="205">
        <f>SUM(F38:F43)</f>
        <v>270</v>
      </c>
      <c r="G44" s="201"/>
      <c r="H44" s="202"/>
      <c r="I44" s="202"/>
      <c r="J44" s="202"/>
      <c r="K44" s="202"/>
      <c r="L44" s="233"/>
      <c r="M44" s="233"/>
      <c r="N44" s="233"/>
      <c r="O44" s="233"/>
      <c r="P44" s="220">
        <v>6</v>
      </c>
      <c r="Q44" s="220">
        <v>96</v>
      </c>
      <c r="R44" s="220">
        <v>6</v>
      </c>
      <c r="S44" s="220">
        <f t="shared" si="14"/>
        <v>96</v>
      </c>
      <c r="T44" s="231">
        <v>12</v>
      </c>
      <c r="U44" s="232">
        <v>192</v>
      </c>
    </row>
    <row r="45" spans="1:21">
      <c r="B45" s="722" t="s">
        <v>588</v>
      </c>
      <c r="C45" s="725">
        <v>12</v>
      </c>
      <c r="D45" s="212" t="s">
        <v>675</v>
      </c>
      <c r="E45" s="212" t="s">
        <v>676</v>
      </c>
      <c r="F45" s="212">
        <v>50</v>
      </c>
      <c r="G45" s="212">
        <v>2</v>
      </c>
      <c r="H45" s="29"/>
      <c r="I45" s="29"/>
      <c r="J45" s="29"/>
      <c r="K45" s="29"/>
      <c r="L45" s="214"/>
      <c r="M45" s="214"/>
      <c r="N45" s="214"/>
      <c r="O45" s="214"/>
      <c r="P45" s="222">
        <v>2</v>
      </c>
      <c r="Q45" s="222">
        <f>P45*16</f>
        <v>32</v>
      </c>
      <c r="R45" s="222"/>
      <c r="S45" s="222"/>
      <c r="T45" s="227">
        <f>H45+J45+L45+N45+P45+R45</f>
        <v>2</v>
      </c>
      <c r="U45" s="228">
        <f>I45+K45+M45+O45+Q45+S45</f>
        <v>32</v>
      </c>
    </row>
    <row r="46" spans="1:21">
      <c r="B46" s="723"/>
      <c r="C46" s="726"/>
      <c r="D46" s="210" t="s">
        <v>677</v>
      </c>
      <c r="E46" s="210" t="s">
        <v>596</v>
      </c>
      <c r="F46" s="210">
        <v>50</v>
      </c>
      <c r="G46" s="210">
        <v>2</v>
      </c>
      <c r="H46" s="27"/>
      <c r="I46" s="27"/>
      <c r="J46" s="27"/>
      <c r="K46" s="27"/>
      <c r="L46" s="217"/>
      <c r="M46" s="217"/>
      <c r="N46" s="217"/>
      <c r="O46" s="217"/>
      <c r="P46" s="223">
        <v>2</v>
      </c>
      <c r="Q46" s="223">
        <f t="shared" ref="Q46:Q47" si="15">P46*16</f>
        <v>32</v>
      </c>
      <c r="R46" s="223"/>
      <c r="S46" s="223"/>
      <c r="T46" s="229">
        <f t="shared" ref="T46:U50" si="16">H46+J46+L46+N46+P46+R46</f>
        <v>2</v>
      </c>
      <c r="U46" s="230">
        <f t="shared" si="16"/>
        <v>32</v>
      </c>
    </row>
    <row r="47" spans="1:21">
      <c r="B47" s="723"/>
      <c r="C47" s="726"/>
      <c r="D47" s="210" t="s">
        <v>678</v>
      </c>
      <c r="E47" s="210" t="s">
        <v>597</v>
      </c>
      <c r="F47" s="210">
        <v>30</v>
      </c>
      <c r="G47" s="210">
        <v>2</v>
      </c>
      <c r="H47" s="27"/>
      <c r="I47" s="27"/>
      <c r="J47" s="27"/>
      <c r="K47" s="27"/>
      <c r="L47" s="217"/>
      <c r="M47" s="217"/>
      <c r="N47" s="217"/>
      <c r="O47" s="217"/>
      <c r="P47" s="223">
        <v>2</v>
      </c>
      <c r="Q47" s="223">
        <f t="shared" si="15"/>
        <v>32</v>
      </c>
      <c r="R47" s="223"/>
      <c r="S47" s="223"/>
      <c r="T47" s="229">
        <f t="shared" si="16"/>
        <v>2</v>
      </c>
      <c r="U47" s="230">
        <f t="shared" si="16"/>
        <v>32</v>
      </c>
    </row>
    <row r="48" spans="1:21">
      <c r="B48" s="723"/>
      <c r="C48" s="726"/>
      <c r="D48" s="210" t="s">
        <v>679</v>
      </c>
      <c r="E48" s="210" t="s">
        <v>680</v>
      </c>
      <c r="F48" s="210">
        <v>40</v>
      </c>
      <c r="G48" s="210">
        <v>3</v>
      </c>
      <c r="H48" s="27"/>
      <c r="I48" s="27"/>
      <c r="J48" s="27"/>
      <c r="K48" s="27"/>
      <c r="L48" s="217"/>
      <c r="M48" s="217"/>
      <c r="N48" s="217"/>
      <c r="O48" s="217"/>
      <c r="P48" s="223"/>
      <c r="Q48" s="223"/>
      <c r="R48" s="223">
        <v>2</v>
      </c>
      <c r="S48" s="223">
        <f t="shared" ref="S48:S51" si="17">R48*16</f>
        <v>32</v>
      </c>
      <c r="T48" s="229">
        <f t="shared" si="16"/>
        <v>2</v>
      </c>
      <c r="U48" s="230">
        <f t="shared" si="16"/>
        <v>32</v>
      </c>
    </row>
    <row r="49" spans="2:21">
      <c r="B49" s="723"/>
      <c r="C49" s="726"/>
      <c r="D49" s="210" t="s">
        <v>681</v>
      </c>
      <c r="E49" s="210" t="s">
        <v>682</v>
      </c>
      <c r="F49" s="210">
        <v>50</v>
      </c>
      <c r="G49" s="210">
        <v>5</v>
      </c>
      <c r="H49" s="27"/>
      <c r="I49" s="27"/>
      <c r="J49" s="27"/>
      <c r="K49" s="27"/>
      <c r="L49" s="217"/>
      <c r="M49" s="217"/>
      <c r="N49" s="217"/>
      <c r="O49" s="217"/>
      <c r="P49" s="223"/>
      <c r="Q49" s="223"/>
      <c r="R49" s="223">
        <v>2</v>
      </c>
      <c r="S49" s="223">
        <f t="shared" si="17"/>
        <v>32</v>
      </c>
      <c r="T49" s="229">
        <f t="shared" si="16"/>
        <v>2</v>
      </c>
      <c r="U49" s="230">
        <f t="shared" si="16"/>
        <v>32</v>
      </c>
    </row>
    <row r="50" spans="2:21">
      <c r="B50" s="723"/>
      <c r="C50" s="726"/>
      <c r="D50" s="210" t="s">
        <v>683</v>
      </c>
      <c r="E50" s="210" t="s">
        <v>684</v>
      </c>
      <c r="F50" s="210">
        <v>50</v>
      </c>
      <c r="G50" s="210">
        <v>5</v>
      </c>
      <c r="H50" s="27"/>
      <c r="I50" s="27"/>
      <c r="J50" s="27"/>
      <c r="K50" s="27"/>
      <c r="L50" s="217"/>
      <c r="M50" s="217"/>
      <c r="N50" s="217"/>
      <c r="O50" s="217"/>
      <c r="P50" s="223"/>
      <c r="Q50" s="223"/>
      <c r="R50" s="223">
        <v>2</v>
      </c>
      <c r="S50" s="223">
        <f t="shared" si="17"/>
        <v>32</v>
      </c>
      <c r="T50" s="229">
        <f t="shared" si="16"/>
        <v>2</v>
      </c>
      <c r="U50" s="230">
        <f t="shared" si="16"/>
        <v>32</v>
      </c>
    </row>
    <row r="51" spans="2:21" ht="17.5" thickBot="1">
      <c r="B51" s="724"/>
      <c r="C51" s="727"/>
      <c r="D51" s="728" t="s">
        <v>16</v>
      </c>
      <c r="E51" s="728"/>
      <c r="F51" s="205">
        <v>190</v>
      </c>
      <c r="G51" s="205"/>
      <c r="H51" s="30"/>
      <c r="I51" s="30"/>
      <c r="J51" s="30"/>
      <c r="K51" s="30"/>
      <c r="L51" s="220"/>
      <c r="M51" s="220"/>
      <c r="N51" s="220"/>
      <c r="O51" s="220"/>
      <c r="P51" s="220">
        <v>6</v>
      </c>
      <c r="Q51" s="220">
        <v>96</v>
      </c>
      <c r="R51" s="220">
        <v>6</v>
      </c>
      <c r="S51" s="220">
        <f t="shared" si="17"/>
        <v>96</v>
      </c>
      <c r="T51" s="231">
        <v>12</v>
      </c>
      <c r="U51" s="232">
        <v>192</v>
      </c>
    </row>
  </sheetData>
  <mergeCells count="48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1"/>
    <mergeCell ref="C9:C11"/>
    <mergeCell ref="D11:E11"/>
    <mergeCell ref="B12:B16"/>
    <mergeCell ref="C12:C16"/>
    <mergeCell ref="D16:E16"/>
    <mergeCell ref="B17:B21"/>
    <mergeCell ref="C17:C21"/>
    <mergeCell ref="D21:E21"/>
    <mergeCell ref="B22:B30"/>
    <mergeCell ref="C22:C30"/>
    <mergeCell ref="D30:E30"/>
    <mergeCell ref="B45:B51"/>
    <mergeCell ref="C45:C51"/>
    <mergeCell ref="D51:E51"/>
    <mergeCell ref="B31:B37"/>
    <mergeCell ref="C31:C37"/>
    <mergeCell ref="D37:E37"/>
    <mergeCell ref="B38:B44"/>
    <mergeCell ref="C38:C44"/>
    <mergeCell ref="D44:E4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DA9B-05AB-46B8-B71E-28D850F55164}">
  <sheetPr>
    <pageSetUpPr fitToPage="1"/>
  </sheetPr>
  <dimension ref="B1:AD102"/>
  <sheetViews>
    <sheetView view="pageBreakPreview" zoomScaleNormal="100" zoomScaleSheetLayoutView="100" workbookViewId="0">
      <pane ySplit="8" topLeftCell="A46" activePane="bottomLeft" state="frozen"/>
      <selection pane="bottomLeft" activeCell="AA42" sqref="AA42"/>
    </sheetView>
  </sheetViews>
  <sheetFormatPr defaultColWidth="8.75" defaultRowHeight="17"/>
  <cols>
    <col min="1" max="1" width="2" style="4" customWidth="1"/>
    <col min="2" max="2" width="6.58203125" style="4" customWidth="1"/>
    <col min="3" max="3" width="9.3320312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58203125" style="4" customWidth="1"/>
    <col min="9" max="9" width="7.83203125" style="4" bestFit="1" customWidth="1"/>
    <col min="10" max="10" width="5.58203125" style="4" customWidth="1"/>
    <col min="11" max="22" width="3.83203125" style="4" customWidth="1"/>
    <col min="23" max="24" width="3.33203125" style="4" customWidth="1"/>
    <col min="25" max="25" width="6.33203125" style="4" customWidth="1"/>
    <col min="26" max="26" width="8.75" style="4"/>
    <col min="27" max="27" width="16.33203125" style="4" customWidth="1"/>
    <col min="28" max="29" width="12.83203125" style="4" customWidth="1"/>
    <col min="30" max="30" width="13.83203125" style="4" customWidth="1"/>
    <col min="31" max="16384" width="8.75" style="4"/>
  </cols>
  <sheetData>
    <row r="1" spans="2:30" ht="17.5" thickBot="1"/>
    <row r="2" spans="2:30" ht="30.75" customHeight="1" thickBot="1">
      <c r="B2" s="593" t="s">
        <v>619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593"/>
      <c r="P2" s="593"/>
      <c r="Q2" s="593"/>
      <c r="R2" s="593"/>
      <c r="S2" s="593"/>
      <c r="T2" s="593"/>
      <c r="U2" s="594"/>
      <c r="V2" s="595" t="s">
        <v>130</v>
      </c>
      <c r="W2" s="596"/>
      <c r="X2" s="591">
        <v>2027</v>
      </c>
      <c r="Y2" s="592"/>
      <c r="AA2" s="597" t="s">
        <v>143</v>
      </c>
      <c r="AB2" s="18" t="s">
        <v>144</v>
      </c>
      <c r="AC2" s="40" t="s">
        <v>151</v>
      </c>
      <c r="AD2" s="19" t="s">
        <v>145</v>
      </c>
    </row>
    <row r="3" spans="2:30" ht="17.5" thickBot="1">
      <c r="B3" s="557" t="s">
        <v>368</v>
      </c>
      <c r="C3" s="559" t="s">
        <v>53</v>
      </c>
      <c r="D3" s="560"/>
      <c r="E3" s="560"/>
      <c r="F3" s="559" t="s">
        <v>64</v>
      </c>
      <c r="G3" s="563"/>
      <c r="H3" s="559" t="s">
        <v>54</v>
      </c>
      <c r="I3" s="560"/>
      <c r="J3" s="560"/>
      <c r="K3" s="559" t="s">
        <v>55</v>
      </c>
      <c r="L3" s="560"/>
      <c r="M3" s="560"/>
      <c r="N3" s="560"/>
      <c r="O3" s="563"/>
      <c r="P3" s="565" t="s">
        <v>56</v>
      </c>
      <c r="Q3" s="566"/>
      <c r="R3" s="566"/>
      <c r="S3" s="566"/>
      <c r="T3" s="566"/>
      <c r="U3" s="566"/>
      <c r="V3" s="566"/>
      <c r="W3" s="566"/>
      <c r="X3" s="566"/>
      <c r="Y3" s="567"/>
      <c r="AA3" s="598"/>
      <c r="AB3" s="20" t="s">
        <v>146</v>
      </c>
      <c r="AC3" s="46" t="s">
        <v>567</v>
      </c>
      <c r="AD3" s="21" t="s">
        <v>570</v>
      </c>
    </row>
    <row r="4" spans="2:30" ht="17.5" thickBot="1">
      <c r="B4" s="558"/>
      <c r="C4" s="561"/>
      <c r="D4" s="562"/>
      <c r="E4" s="562"/>
      <c r="F4" s="561"/>
      <c r="G4" s="564"/>
      <c r="H4" s="561"/>
      <c r="I4" s="562"/>
      <c r="J4" s="562"/>
      <c r="K4" s="561"/>
      <c r="L4" s="562"/>
      <c r="M4" s="562"/>
      <c r="N4" s="562"/>
      <c r="O4" s="564"/>
      <c r="P4" s="565" t="s">
        <v>127</v>
      </c>
      <c r="Q4" s="566"/>
      <c r="R4" s="566"/>
      <c r="S4" s="566"/>
      <c r="T4" s="565" t="s">
        <v>61</v>
      </c>
      <c r="U4" s="566"/>
      <c r="V4" s="567"/>
      <c r="W4" s="566" t="s">
        <v>128</v>
      </c>
      <c r="X4" s="566"/>
      <c r="Y4" s="567"/>
      <c r="AA4" s="598"/>
      <c r="AB4" s="22" t="s">
        <v>147</v>
      </c>
      <c r="AC4" s="47" t="s">
        <v>568</v>
      </c>
      <c r="AD4" s="123" t="s">
        <v>569</v>
      </c>
    </row>
    <row r="5" spans="2:30" ht="26.25" customHeight="1" thickBot="1">
      <c r="B5" s="56" t="s">
        <v>522</v>
      </c>
      <c r="C5" s="568" t="s">
        <v>524</v>
      </c>
      <c r="D5" s="569"/>
      <c r="E5" s="570"/>
      <c r="F5" s="568" t="s">
        <v>600</v>
      </c>
      <c r="G5" s="571"/>
      <c r="H5" s="572" t="s">
        <v>599</v>
      </c>
      <c r="I5" s="569"/>
      <c r="J5" s="570"/>
      <c r="K5" s="568" t="s">
        <v>601</v>
      </c>
      <c r="L5" s="569"/>
      <c r="M5" s="569"/>
      <c r="N5" s="569"/>
      <c r="O5" s="571"/>
      <c r="P5" s="572" t="s">
        <v>111</v>
      </c>
      <c r="Q5" s="569"/>
      <c r="R5" s="569"/>
      <c r="S5" s="570"/>
      <c r="T5" s="568" t="s">
        <v>34</v>
      </c>
      <c r="U5" s="569"/>
      <c r="V5" s="570"/>
      <c r="W5" s="573" t="s">
        <v>602</v>
      </c>
      <c r="X5" s="574"/>
      <c r="Y5" s="575"/>
      <c r="AA5" s="599"/>
      <c r="AB5" s="23" t="s">
        <v>148</v>
      </c>
      <c r="AC5" s="186" t="s">
        <v>568</v>
      </c>
      <c r="AD5" s="123" t="s">
        <v>569</v>
      </c>
    </row>
    <row r="6" spans="2:30" ht="15.75" customHeight="1" thickBot="1">
      <c r="U6" s="576"/>
      <c r="V6" s="576"/>
      <c r="W6" s="576"/>
      <c r="X6" s="576"/>
      <c r="Y6" s="576"/>
    </row>
    <row r="7" spans="2:30" s="10" customFormat="1" ht="22.5" customHeight="1">
      <c r="B7" s="577" t="s">
        <v>2</v>
      </c>
      <c r="C7" s="578"/>
      <c r="D7" s="581" t="s">
        <v>120</v>
      </c>
      <c r="E7" s="538" t="s">
        <v>57</v>
      </c>
      <c r="F7" s="539"/>
      <c r="G7" s="540"/>
      <c r="H7" s="541" t="s">
        <v>133</v>
      </c>
      <c r="I7" s="544" t="s">
        <v>134</v>
      </c>
      <c r="J7" s="548" t="s">
        <v>135</v>
      </c>
      <c r="K7" s="543" t="s">
        <v>58</v>
      </c>
      <c r="L7" s="544"/>
      <c r="M7" s="544"/>
      <c r="N7" s="545"/>
      <c r="O7" s="546" t="s">
        <v>59</v>
      </c>
      <c r="P7" s="544"/>
      <c r="Q7" s="544"/>
      <c r="R7" s="545"/>
      <c r="S7" s="543" t="s">
        <v>60</v>
      </c>
      <c r="T7" s="544"/>
      <c r="U7" s="544"/>
      <c r="V7" s="547"/>
      <c r="W7" s="541" t="s">
        <v>136</v>
      </c>
      <c r="X7" s="548"/>
      <c r="Y7" s="540" t="s">
        <v>137</v>
      </c>
      <c r="Z7" s="9"/>
    </row>
    <row r="8" spans="2:30" s="10" customFormat="1" ht="22.5" customHeight="1" thickBot="1">
      <c r="B8" s="579"/>
      <c r="C8" s="580"/>
      <c r="D8" s="582"/>
      <c r="E8" s="25" t="s">
        <v>18</v>
      </c>
      <c r="F8" s="551" t="s">
        <v>19</v>
      </c>
      <c r="G8" s="552"/>
      <c r="H8" s="542"/>
      <c r="I8" s="554"/>
      <c r="J8" s="549"/>
      <c r="K8" s="553" t="s">
        <v>0</v>
      </c>
      <c r="L8" s="554"/>
      <c r="M8" s="554" t="s">
        <v>62</v>
      </c>
      <c r="N8" s="555"/>
      <c r="O8" s="556" t="s">
        <v>0</v>
      </c>
      <c r="P8" s="554"/>
      <c r="Q8" s="554" t="s">
        <v>62</v>
      </c>
      <c r="R8" s="555"/>
      <c r="S8" s="553" t="s">
        <v>0</v>
      </c>
      <c r="T8" s="554"/>
      <c r="U8" s="554" t="s">
        <v>62</v>
      </c>
      <c r="V8" s="600"/>
      <c r="W8" s="542"/>
      <c r="X8" s="549"/>
      <c r="Y8" s="550"/>
      <c r="AA8" s="408" t="s">
        <v>508</v>
      </c>
      <c r="AB8" s="408"/>
      <c r="AC8" s="408"/>
      <c r="AD8" s="408"/>
    </row>
    <row r="9" spans="2:30" ht="16.5" customHeight="1" thickBot="1">
      <c r="B9" s="502" t="s">
        <v>337</v>
      </c>
      <c r="C9" s="503"/>
      <c r="D9" s="522" t="s">
        <v>21</v>
      </c>
      <c r="E9" s="128" t="s">
        <v>12</v>
      </c>
      <c r="F9" s="491" t="s">
        <v>201</v>
      </c>
      <c r="G9" s="486"/>
      <c r="H9" s="129">
        <v>4</v>
      </c>
      <c r="I9" s="130" t="s">
        <v>338</v>
      </c>
      <c r="J9" s="173">
        <v>3</v>
      </c>
      <c r="K9" s="491">
        <v>3</v>
      </c>
      <c r="L9" s="385"/>
      <c r="M9" s="386"/>
      <c r="N9" s="387"/>
      <c r="O9" s="384"/>
      <c r="P9" s="385"/>
      <c r="Q9" s="386"/>
      <c r="R9" s="387"/>
      <c r="S9" s="384"/>
      <c r="T9" s="385"/>
      <c r="U9" s="386"/>
      <c r="V9" s="486"/>
      <c r="W9" s="48">
        <f>SUM(K9:V9)</f>
        <v>3</v>
      </c>
      <c r="X9" s="395">
        <v>6</v>
      </c>
      <c r="Y9" s="524">
        <v>24</v>
      </c>
      <c r="AA9" s="117" t="s">
        <v>18</v>
      </c>
      <c r="AB9" s="118" t="s">
        <v>515</v>
      </c>
      <c r="AC9" s="118" t="s">
        <v>516</v>
      </c>
      <c r="AD9" s="119" t="s">
        <v>517</v>
      </c>
    </row>
    <row r="10" spans="2:30" ht="17.5" thickBot="1">
      <c r="B10" s="504"/>
      <c r="C10" s="505"/>
      <c r="D10" s="523"/>
      <c r="E10" s="132" t="s">
        <v>12</v>
      </c>
      <c r="F10" s="361" t="s">
        <v>202</v>
      </c>
      <c r="G10" s="358"/>
      <c r="H10" s="133">
        <v>4</v>
      </c>
      <c r="I10" s="134" t="s">
        <v>338</v>
      </c>
      <c r="J10" s="174">
        <v>3</v>
      </c>
      <c r="K10" s="361"/>
      <c r="L10" s="357"/>
      <c r="M10" s="348">
        <v>3</v>
      </c>
      <c r="N10" s="349"/>
      <c r="O10" s="356"/>
      <c r="P10" s="357"/>
      <c r="Q10" s="348"/>
      <c r="R10" s="349"/>
      <c r="S10" s="356"/>
      <c r="T10" s="357"/>
      <c r="U10" s="348"/>
      <c r="V10" s="358"/>
      <c r="W10" s="49">
        <f t="shared" ref="W10:W26" si="0">SUM(K10:V10)</f>
        <v>3</v>
      </c>
      <c r="X10" s="396"/>
      <c r="Y10" s="524"/>
      <c r="AA10" s="120" t="s">
        <v>510</v>
      </c>
      <c r="AB10" s="121">
        <v>4</v>
      </c>
      <c r="AC10" s="121">
        <v>-1</v>
      </c>
      <c r="AD10" s="21" t="s">
        <v>338</v>
      </c>
    </row>
    <row r="11" spans="2:30" ht="35" thickBot="1">
      <c r="B11" s="504"/>
      <c r="C11" s="505"/>
      <c r="D11" s="523"/>
      <c r="E11" s="136" t="s">
        <v>529</v>
      </c>
      <c r="F11" s="361" t="s">
        <v>4</v>
      </c>
      <c r="G11" s="358"/>
      <c r="H11" s="133">
        <v>4</v>
      </c>
      <c r="I11" s="134" t="s">
        <v>341</v>
      </c>
      <c r="J11" s="184">
        <v>3</v>
      </c>
      <c r="K11" s="361"/>
      <c r="L11" s="357"/>
      <c r="M11" s="348"/>
      <c r="N11" s="349"/>
      <c r="O11" s="401">
        <v>3</v>
      </c>
      <c r="P11" s="402"/>
      <c r="Q11" s="348"/>
      <c r="R11" s="349"/>
      <c r="S11" s="356"/>
      <c r="T11" s="357"/>
      <c r="U11" s="348"/>
      <c r="V11" s="358"/>
      <c r="W11" s="397" t="s">
        <v>537</v>
      </c>
      <c r="X11" s="398"/>
      <c r="Y11" s="524"/>
      <c r="AA11" s="120"/>
      <c r="AB11" s="121"/>
      <c r="AC11" s="121"/>
      <c r="AD11" s="21"/>
    </row>
    <row r="12" spans="2:30" ht="35" thickBot="1">
      <c r="B12" s="504"/>
      <c r="C12" s="505"/>
      <c r="D12" s="527"/>
      <c r="E12" s="137" t="s">
        <v>530</v>
      </c>
      <c r="F12" s="365" t="s">
        <v>340</v>
      </c>
      <c r="G12" s="364"/>
      <c r="H12" s="138">
        <v>4</v>
      </c>
      <c r="I12" s="139" t="s">
        <v>341</v>
      </c>
      <c r="J12" s="185">
        <v>3</v>
      </c>
      <c r="K12" s="365"/>
      <c r="L12" s="355"/>
      <c r="M12" s="352"/>
      <c r="N12" s="353"/>
      <c r="O12" s="354"/>
      <c r="P12" s="355"/>
      <c r="Q12" s="536">
        <v>3</v>
      </c>
      <c r="R12" s="537"/>
      <c r="S12" s="354"/>
      <c r="T12" s="355"/>
      <c r="U12" s="352"/>
      <c r="V12" s="364"/>
      <c r="W12" s="399" t="s">
        <v>538</v>
      </c>
      <c r="X12" s="400"/>
      <c r="Y12" s="524"/>
      <c r="AA12" s="120" t="s">
        <v>511</v>
      </c>
      <c r="AB12" s="121">
        <v>3</v>
      </c>
      <c r="AC12" s="121"/>
      <c r="AD12" s="21">
        <v>3</v>
      </c>
    </row>
    <row r="13" spans="2:30" ht="17.5" thickBot="1">
      <c r="B13" s="504"/>
      <c r="C13" s="505"/>
      <c r="D13" s="522" t="s">
        <v>5</v>
      </c>
      <c r="E13" s="128" t="s">
        <v>12</v>
      </c>
      <c r="F13" s="491" t="s">
        <v>213</v>
      </c>
      <c r="G13" s="486"/>
      <c r="H13" s="129">
        <v>4</v>
      </c>
      <c r="I13" s="130" t="s">
        <v>338</v>
      </c>
      <c r="J13" s="173">
        <v>3</v>
      </c>
      <c r="K13" s="491">
        <v>3</v>
      </c>
      <c r="L13" s="385"/>
      <c r="M13" s="386"/>
      <c r="N13" s="387"/>
      <c r="O13" s="384"/>
      <c r="P13" s="385"/>
      <c r="Q13" s="386"/>
      <c r="R13" s="387"/>
      <c r="S13" s="384"/>
      <c r="T13" s="385"/>
      <c r="U13" s="386"/>
      <c r="V13" s="486"/>
      <c r="W13" s="48">
        <f t="shared" si="0"/>
        <v>3</v>
      </c>
      <c r="X13" s="395">
        <v>6</v>
      </c>
      <c r="Y13" s="524"/>
      <c r="AA13" s="120" t="s">
        <v>512</v>
      </c>
      <c r="AB13" s="121">
        <v>4</v>
      </c>
      <c r="AC13" s="121" t="s">
        <v>521</v>
      </c>
      <c r="AD13" s="21" t="s">
        <v>341</v>
      </c>
    </row>
    <row r="14" spans="2:30" ht="17.5" thickBot="1">
      <c r="B14" s="504"/>
      <c r="C14" s="505"/>
      <c r="D14" s="523"/>
      <c r="E14" s="132" t="s">
        <v>12</v>
      </c>
      <c r="F14" s="361" t="s">
        <v>215</v>
      </c>
      <c r="G14" s="358"/>
      <c r="H14" s="133">
        <v>4</v>
      </c>
      <c r="I14" s="134" t="s">
        <v>338</v>
      </c>
      <c r="J14" s="174">
        <v>3</v>
      </c>
      <c r="K14" s="361"/>
      <c r="L14" s="357"/>
      <c r="M14" s="348">
        <v>3</v>
      </c>
      <c r="N14" s="349"/>
      <c r="O14" s="356"/>
      <c r="P14" s="357"/>
      <c r="Q14" s="348"/>
      <c r="R14" s="349"/>
      <c r="S14" s="356"/>
      <c r="T14" s="357"/>
      <c r="U14" s="348"/>
      <c r="V14" s="358"/>
      <c r="W14" s="49">
        <f t="shared" si="0"/>
        <v>3</v>
      </c>
      <c r="X14" s="396"/>
      <c r="Y14" s="524"/>
      <c r="AA14" s="120" t="s">
        <v>513</v>
      </c>
      <c r="AB14" s="121">
        <v>3</v>
      </c>
      <c r="AC14" s="121" t="s">
        <v>521</v>
      </c>
      <c r="AD14" s="21" t="s">
        <v>353</v>
      </c>
    </row>
    <row r="15" spans="2:30" ht="35" thickBot="1">
      <c r="B15" s="504"/>
      <c r="C15" s="505"/>
      <c r="D15" s="523"/>
      <c r="E15" s="136" t="s">
        <v>533</v>
      </c>
      <c r="F15" s="361" t="s">
        <v>224</v>
      </c>
      <c r="G15" s="358"/>
      <c r="H15" s="133">
        <v>4</v>
      </c>
      <c r="I15" s="134" t="s">
        <v>341</v>
      </c>
      <c r="J15" s="184">
        <v>3</v>
      </c>
      <c r="K15" s="361"/>
      <c r="L15" s="357"/>
      <c r="M15" s="348"/>
      <c r="N15" s="349"/>
      <c r="O15" s="401">
        <v>3</v>
      </c>
      <c r="P15" s="402"/>
      <c r="Q15" s="348"/>
      <c r="R15" s="349"/>
      <c r="S15" s="356"/>
      <c r="T15" s="357"/>
      <c r="U15" s="348"/>
      <c r="V15" s="358"/>
      <c r="W15" s="397" t="s">
        <v>537</v>
      </c>
      <c r="X15" s="398"/>
      <c r="Y15" s="524"/>
      <c r="AA15" s="124"/>
      <c r="AB15" s="125"/>
      <c r="AC15" s="126"/>
      <c r="AD15" s="127"/>
    </row>
    <row r="16" spans="2:30" ht="35" thickBot="1">
      <c r="B16" s="504"/>
      <c r="C16" s="505"/>
      <c r="D16" s="527"/>
      <c r="E16" s="137" t="s">
        <v>530</v>
      </c>
      <c r="F16" s="365" t="s">
        <v>342</v>
      </c>
      <c r="G16" s="364"/>
      <c r="H16" s="138">
        <v>4</v>
      </c>
      <c r="I16" s="139" t="s">
        <v>341</v>
      </c>
      <c r="J16" s="185">
        <v>3</v>
      </c>
      <c r="K16" s="365"/>
      <c r="L16" s="355"/>
      <c r="M16" s="352"/>
      <c r="N16" s="353"/>
      <c r="O16" s="354"/>
      <c r="P16" s="355"/>
      <c r="Q16" s="536">
        <v>3</v>
      </c>
      <c r="R16" s="537"/>
      <c r="S16" s="354"/>
      <c r="T16" s="355"/>
      <c r="U16" s="352"/>
      <c r="V16" s="364"/>
      <c r="W16" s="399" t="s">
        <v>538</v>
      </c>
      <c r="X16" s="400"/>
      <c r="Y16" s="524"/>
      <c r="AA16" s="122" t="s">
        <v>514</v>
      </c>
      <c r="AB16" s="403" t="s">
        <v>523</v>
      </c>
      <c r="AC16" s="404"/>
      <c r="AD16" s="405"/>
    </row>
    <row r="17" spans="2:29" ht="17.5" thickBot="1">
      <c r="B17" s="504"/>
      <c r="C17" s="505"/>
      <c r="D17" s="522" t="s">
        <v>6</v>
      </c>
      <c r="E17" s="128" t="s">
        <v>12</v>
      </c>
      <c r="F17" s="491" t="s">
        <v>220</v>
      </c>
      <c r="G17" s="486"/>
      <c r="H17" s="129">
        <v>4</v>
      </c>
      <c r="I17" s="130" t="s">
        <v>338</v>
      </c>
      <c r="J17" s="173">
        <v>3</v>
      </c>
      <c r="K17" s="491">
        <v>3</v>
      </c>
      <c r="L17" s="385"/>
      <c r="M17" s="386"/>
      <c r="N17" s="387"/>
      <c r="O17" s="384"/>
      <c r="P17" s="385"/>
      <c r="Q17" s="386"/>
      <c r="R17" s="387"/>
      <c r="S17" s="384"/>
      <c r="T17" s="385"/>
      <c r="U17" s="386"/>
      <c r="V17" s="486"/>
      <c r="W17" s="48">
        <f t="shared" si="0"/>
        <v>3</v>
      </c>
      <c r="X17" s="395">
        <v>6</v>
      </c>
      <c r="Y17" s="524"/>
    </row>
    <row r="18" spans="2:29" ht="17.5" thickBot="1">
      <c r="B18" s="504"/>
      <c r="C18" s="505"/>
      <c r="D18" s="523"/>
      <c r="E18" s="132" t="s">
        <v>12</v>
      </c>
      <c r="F18" s="361" t="s">
        <v>226</v>
      </c>
      <c r="G18" s="358"/>
      <c r="H18" s="133">
        <v>4</v>
      </c>
      <c r="I18" s="134" t="s">
        <v>338</v>
      </c>
      <c r="J18" s="174">
        <v>3</v>
      </c>
      <c r="K18" s="361"/>
      <c r="L18" s="357"/>
      <c r="M18" s="348">
        <v>3</v>
      </c>
      <c r="N18" s="349"/>
      <c r="O18" s="356"/>
      <c r="P18" s="357"/>
      <c r="Q18" s="348"/>
      <c r="R18" s="349"/>
      <c r="S18" s="356"/>
      <c r="T18" s="357"/>
      <c r="U18" s="348"/>
      <c r="V18" s="358"/>
      <c r="W18" s="49">
        <f t="shared" si="0"/>
        <v>3</v>
      </c>
      <c r="X18" s="396"/>
      <c r="Y18" s="524"/>
    </row>
    <row r="19" spans="2:29" ht="35" thickBot="1">
      <c r="B19" s="504"/>
      <c r="C19" s="505"/>
      <c r="D19" s="523"/>
      <c r="E19" s="136" t="s">
        <v>533</v>
      </c>
      <c r="F19" s="361" t="s">
        <v>231</v>
      </c>
      <c r="G19" s="358"/>
      <c r="H19" s="133">
        <v>4</v>
      </c>
      <c r="I19" s="134" t="s">
        <v>341</v>
      </c>
      <c r="J19" s="184">
        <v>3</v>
      </c>
      <c r="K19" s="361"/>
      <c r="L19" s="357"/>
      <c r="M19" s="348"/>
      <c r="N19" s="349"/>
      <c r="O19" s="401">
        <v>3</v>
      </c>
      <c r="P19" s="402"/>
      <c r="Q19" s="348"/>
      <c r="R19" s="349"/>
      <c r="S19" s="356"/>
      <c r="T19" s="357"/>
      <c r="U19" s="348"/>
      <c r="V19" s="358"/>
      <c r="W19" s="397" t="s">
        <v>537</v>
      </c>
      <c r="X19" s="398"/>
      <c r="Y19" s="524"/>
    </row>
    <row r="20" spans="2:29" ht="35" thickBot="1">
      <c r="B20" s="504"/>
      <c r="C20" s="505"/>
      <c r="D20" s="527"/>
      <c r="E20" s="137" t="s">
        <v>530</v>
      </c>
      <c r="F20" s="365" t="s">
        <v>344</v>
      </c>
      <c r="G20" s="364"/>
      <c r="H20" s="138">
        <v>4</v>
      </c>
      <c r="I20" s="139" t="s">
        <v>341</v>
      </c>
      <c r="J20" s="185">
        <v>3</v>
      </c>
      <c r="K20" s="365"/>
      <c r="L20" s="355"/>
      <c r="M20" s="352"/>
      <c r="N20" s="353"/>
      <c r="O20" s="354"/>
      <c r="P20" s="355"/>
      <c r="Q20" s="536">
        <v>3</v>
      </c>
      <c r="R20" s="537"/>
      <c r="S20" s="354"/>
      <c r="T20" s="355"/>
      <c r="U20" s="352"/>
      <c r="V20" s="364"/>
      <c r="W20" s="399" t="s">
        <v>538</v>
      </c>
      <c r="X20" s="400"/>
      <c r="Y20" s="524"/>
    </row>
    <row r="21" spans="2:29" ht="17.5" thickBot="1">
      <c r="B21" s="504"/>
      <c r="C21" s="505"/>
      <c r="D21" s="522" t="s">
        <v>345</v>
      </c>
      <c r="E21" s="128" t="s">
        <v>12</v>
      </c>
      <c r="F21" s="491" t="s">
        <v>234</v>
      </c>
      <c r="G21" s="486"/>
      <c r="H21" s="129">
        <v>3</v>
      </c>
      <c r="I21" s="141" t="s">
        <v>346</v>
      </c>
      <c r="J21" s="173">
        <v>3</v>
      </c>
      <c r="K21" s="531"/>
      <c r="L21" s="532"/>
      <c r="M21" s="587"/>
      <c r="N21" s="588"/>
      <c r="O21" s="589">
        <v>3</v>
      </c>
      <c r="P21" s="532"/>
      <c r="Q21" s="587"/>
      <c r="R21" s="588"/>
      <c r="S21" s="589"/>
      <c r="T21" s="532"/>
      <c r="U21" s="587"/>
      <c r="V21" s="590"/>
      <c r="W21" s="48">
        <f t="shared" si="0"/>
        <v>3</v>
      </c>
      <c r="X21" s="395">
        <f>SUM(W21:W22)</f>
        <v>6</v>
      </c>
      <c r="Y21" s="524">
        <v>6</v>
      </c>
    </row>
    <row r="22" spans="2:29" ht="17.5" thickBot="1">
      <c r="B22" s="504"/>
      <c r="C22" s="505"/>
      <c r="D22" s="523"/>
      <c r="E22" s="142" t="s">
        <v>12</v>
      </c>
      <c r="F22" s="534" t="s">
        <v>235</v>
      </c>
      <c r="G22" s="535"/>
      <c r="H22" s="143">
        <v>3</v>
      </c>
      <c r="I22" s="144" t="s">
        <v>346</v>
      </c>
      <c r="J22" s="145">
        <v>3</v>
      </c>
      <c r="K22" s="365"/>
      <c r="L22" s="355"/>
      <c r="M22" s="352"/>
      <c r="N22" s="353"/>
      <c r="O22" s="354"/>
      <c r="P22" s="355"/>
      <c r="Q22" s="352">
        <v>3</v>
      </c>
      <c r="R22" s="353"/>
      <c r="S22" s="354"/>
      <c r="T22" s="355"/>
      <c r="U22" s="352"/>
      <c r="V22" s="364"/>
      <c r="W22" s="50">
        <f t="shared" si="0"/>
        <v>3</v>
      </c>
      <c r="X22" s="533"/>
      <c r="Y22" s="524"/>
      <c r="AA22" s="414"/>
      <c r="AB22" s="414"/>
      <c r="AC22" s="172"/>
    </row>
    <row r="23" spans="2:29" ht="17.5" thickBot="1">
      <c r="B23" s="504"/>
      <c r="C23" s="505"/>
      <c r="D23" s="523"/>
      <c r="E23" s="128" t="s">
        <v>12</v>
      </c>
      <c r="F23" s="491" t="s">
        <v>237</v>
      </c>
      <c r="G23" s="486"/>
      <c r="H23" s="129">
        <v>4</v>
      </c>
      <c r="I23" s="141" t="s">
        <v>338</v>
      </c>
      <c r="J23" s="173">
        <v>3</v>
      </c>
      <c r="K23" s="491"/>
      <c r="L23" s="385"/>
      <c r="M23" s="386"/>
      <c r="N23" s="387"/>
      <c r="O23" s="384">
        <v>3</v>
      </c>
      <c r="P23" s="385"/>
      <c r="Q23" s="386"/>
      <c r="R23" s="387"/>
      <c r="S23" s="384"/>
      <c r="T23" s="385"/>
      <c r="U23" s="386"/>
      <c r="V23" s="486"/>
      <c r="W23" s="48">
        <f t="shared" si="0"/>
        <v>3</v>
      </c>
      <c r="X23" s="395">
        <f>SUM(W23:W24)</f>
        <v>6</v>
      </c>
      <c r="Y23" s="524">
        <v>12</v>
      </c>
    </row>
    <row r="24" spans="2:29" ht="17.5" thickBot="1">
      <c r="B24" s="504"/>
      <c r="C24" s="505"/>
      <c r="D24" s="527"/>
      <c r="E24" s="146" t="s">
        <v>12</v>
      </c>
      <c r="F24" s="365" t="s">
        <v>238</v>
      </c>
      <c r="G24" s="364"/>
      <c r="H24" s="138">
        <v>4</v>
      </c>
      <c r="I24" s="139" t="s">
        <v>338</v>
      </c>
      <c r="J24" s="175">
        <v>3</v>
      </c>
      <c r="K24" s="365"/>
      <c r="L24" s="355"/>
      <c r="M24" s="352"/>
      <c r="N24" s="353"/>
      <c r="O24" s="354"/>
      <c r="P24" s="355"/>
      <c r="Q24" s="352">
        <v>3</v>
      </c>
      <c r="R24" s="353"/>
      <c r="S24" s="354"/>
      <c r="T24" s="355"/>
      <c r="U24" s="352"/>
      <c r="V24" s="364"/>
      <c r="W24" s="50">
        <f t="shared" si="0"/>
        <v>3</v>
      </c>
      <c r="X24" s="533"/>
      <c r="Y24" s="524"/>
    </row>
    <row r="25" spans="2:29" ht="17.5" thickBot="1">
      <c r="B25" s="504"/>
      <c r="C25" s="505"/>
      <c r="D25" s="522" t="s">
        <v>26</v>
      </c>
      <c r="E25" s="128" t="s">
        <v>12</v>
      </c>
      <c r="F25" s="491" t="s">
        <v>255</v>
      </c>
      <c r="G25" s="486"/>
      <c r="H25" s="129">
        <v>4</v>
      </c>
      <c r="I25" s="141" t="s">
        <v>338</v>
      </c>
      <c r="J25" s="173">
        <v>3</v>
      </c>
      <c r="K25" s="491">
        <v>3</v>
      </c>
      <c r="L25" s="385"/>
      <c r="M25" s="386"/>
      <c r="N25" s="387"/>
      <c r="O25" s="384"/>
      <c r="P25" s="385"/>
      <c r="Q25" s="386"/>
      <c r="R25" s="387"/>
      <c r="S25" s="384"/>
      <c r="T25" s="385"/>
      <c r="U25" s="386"/>
      <c r="V25" s="486"/>
      <c r="W25" s="48">
        <f t="shared" si="0"/>
        <v>3</v>
      </c>
      <c r="X25" s="585">
        <f>SUM(W25:W26)</f>
        <v>6</v>
      </c>
      <c r="Y25" s="524"/>
    </row>
    <row r="26" spans="2:29" ht="17.5" thickBot="1">
      <c r="B26" s="504"/>
      <c r="C26" s="505"/>
      <c r="D26" s="523"/>
      <c r="E26" s="132" t="s">
        <v>12</v>
      </c>
      <c r="F26" s="361" t="s">
        <v>256</v>
      </c>
      <c r="G26" s="358"/>
      <c r="H26" s="133">
        <v>4</v>
      </c>
      <c r="I26" s="134" t="s">
        <v>338</v>
      </c>
      <c r="J26" s="174">
        <v>3</v>
      </c>
      <c r="K26" s="361"/>
      <c r="L26" s="357"/>
      <c r="M26" s="348">
        <v>3</v>
      </c>
      <c r="N26" s="349"/>
      <c r="O26" s="356"/>
      <c r="P26" s="357"/>
      <c r="Q26" s="348"/>
      <c r="R26" s="349"/>
      <c r="S26" s="356"/>
      <c r="T26" s="357"/>
      <c r="U26" s="348"/>
      <c r="V26" s="358"/>
      <c r="W26" s="49">
        <f t="shared" si="0"/>
        <v>3</v>
      </c>
      <c r="X26" s="586"/>
      <c r="Y26" s="524"/>
    </row>
    <row r="27" spans="2:29" ht="16.5" customHeight="1" thickBot="1">
      <c r="B27" s="504"/>
      <c r="C27" s="505"/>
      <c r="D27" s="522" t="s">
        <v>8</v>
      </c>
      <c r="E27" s="128" t="s">
        <v>351</v>
      </c>
      <c r="F27" s="491" t="s">
        <v>352</v>
      </c>
      <c r="G27" s="486"/>
      <c r="H27" s="129">
        <v>3</v>
      </c>
      <c r="I27" s="141" t="s">
        <v>353</v>
      </c>
      <c r="J27" s="173">
        <f t="shared" ref="J27:J28" si="1">SUM(K27:V27)</f>
        <v>3</v>
      </c>
      <c r="K27" s="491">
        <v>3</v>
      </c>
      <c r="L27" s="385"/>
      <c r="M27" s="386"/>
      <c r="N27" s="387"/>
      <c r="O27" s="384"/>
      <c r="P27" s="385"/>
      <c r="Q27" s="386"/>
      <c r="R27" s="387"/>
      <c r="S27" s="384"/>
      <c r="T27" s="385"/>
      <c r="U27" s="386"/>
      <c r="V27" s="486"/>
      <c r="W27" s="48">
        <f>SUM(K27:V27)</f>
        <v>3</v>
      </c>
      <c r="X27" s="528">
        <f>SUM(W27:W31)</f>
        <v>13</v>
      </c>
      <c r="Y27" s="524">
        <v>8</v>
      </c>
    </row>
    <row r="28" spans="2:29" ht="17.5" thickBot="1">
      <c r="B28" s="504"/>
      <c r="C28" s="505"/>
      <c r="D28" s="523"/>
      <c r="E28" s="132" t="s">
        <v>351</v>
      </c>
      <c r="F28" s="361" t="s">
        <v>354</v>
      </c>
      <c r="G28" s="358"/>
      <c r="H28" s="133">
        <v>3</v>
      </c>
      <c r="I28" s="134" t="s">
        <v>353</v>
      </c>
      <c r="J28" s="174">
        <f t="shared" si="1"/>
        <v>2</v>
      </c>
      <c r="K28" s="361"/>
      <c r="L28" s="357"/>
      <c r="M28" s="348">
        <v>2</v>
      </c>
      <c r="N28" s="349"/>
      <c r="O28" s="356"/>
      <c r="P28" s="357"/>
      <c r="Q28" s="348"/>
      <c r="R28" s="349"/>
      <c r="S28" s="356"/>
      <c r="T28" s="357"/>
      <c r="U28" s="348"/>
      <c r="V28" s="358"/>
      <c r="W28" s="49">
        <f t="shared" ref="W28:W31" si="2">SUM(K28:V28)</f>
        <v>2</v>
      </c>
      <c r="X28" s="529"/>
      <c r="Y28" s="524"/>
    </row>
    <row r="29" spans="2:29" ht="17.5" thickBot="1">
      <c r="B29" s="504"/>
      <c r="C29" s="505"/>
      <c r="D29" s="523"/>
      <c r="E29" s="132" t="s">
        <v>339</v>
      </c>
      <c r="F29" s="361" t="s">
        <v>534</v>
      </c>
      <c r="G29" s="358"/>
      <c r="H29" s="133">
        <v>3</v>
      </c>
      <c r="I29" s="134" t="s">
        <v>353</v>
      </c>
      <c r="J29" s="174">
        <v>3</v>
      </c>
      <c r="K29" s="361"/>
      <c r="L29" s="357"/>
      <c r="M29" s="348"/>
      <c r="N29" s="349"/>
      <c r="O29" s="356">
        <v>3</v>
      </c>
      <c r="P29" s="357"/>
      <c r="Q29" s="348"/>
      <c r="R29" s="349"/>
      <c r="S29" s="356"/>
      <c r="T29" s="357"/>
      <c r="U29" s="348"/>
      <c r="V29" s="358"/>
      <c r="W29" s="49">
        <f t="shared" si="2"/>
        <v>3</v>
      </c>
      <c r="X29" s="529"/>
      <c r="Y29" s="524"/>
    </row>
    <row r="30" spans="2:29" ht="17.5" thickBot="1">
      <c r="B30" s="504"/>
      <c r="C30" s="505"/>
      <c r="D30" s="523"/>
      <c r="E30" s="132" t="s">
        <v>350</v>
      </c>
      <c r="F30" s="361" t="s">
        <v>355</v>
      </c>
      <c r="G30" s="358"/>
      <c r="H30" s="133">
        <v>3</v>
      </c>
      <c r="I30" s="134" t="s">
        <v>353</v>
      </c>
      <c r="J30" s="174">
        <v>3</v>
      </c>
      <c r="K30" s="361"/>
      <c r="L30" s="357"/>
      <c r="M30" s="348"/>
      <c r="N30" s="349"/>
      <c r="O30" s="356"/>
      <c r="P30" s="357"/>
      <c r="Q30" s="348">
        <v>3</v>
      </c>
      <c r="R30" s="349"/>
      <c r="S30" s="356"/>
      <c r="T30" s="357"/>
      <c r="U30" s="348"/>
      <c r="V30" s="358"/>
      <c r="W30" s="49">
        <f t="shared" si="2"/>
        <v>3</v>
      </c>
      <c r="X30" s="529"/>
      <c r="Y30" s="524"/>
    </row>
    <row r="31" spans="2:29" ht="17.5" thickBot="1">
      <c r="B31" s="504"/>
      <c r="C31" s="505"/>
      <c r="D31" s="527"/>
      <c r="E31" s="146" t="s">
        <v>339</v>
      </c>
      <c r="F31" s="365" t="s">
        <v>376</v>
      </c>
      <c r="G31" s="364"/>
      <c r="H31" s="138">
        <v>2</v>
      </c>
      <c r="I31" s="139" t="s">
        <v>356</v>
      </c>
      <c r="J31" s="175">
        <v>2</v>
      </c>
      <c r="K31" s="365"/>
      <c r="L31" s="355"/>
      <c r="M31" s="352"/>
      <c r="N31" s="353"/>
      <c r="O31" s="354"/>
      <c r="P31" s="355"/>
      <c r="Q31" s="352"/>
      <c r="R31" s="353"/>
      <c r="S31" s="354">
        <v>2</v>
      </c>
      <c r="T31" s="355"/>
      <c r="U31" s="352"/>
      <c r="V31" s="364"/>
      <c r="W31" s="50">
        <f t="shared" si="2"/>
        <v>2</v>
      </c>
      <c r="X31" s="530"/>
      <c r="Y31" s="524"/>
    </row>
    <row r="32" spans="2:29" ht="17.5" thickBot="1">
      <c r="B32" s="504"/>
      <c r="C32" s="505"/>
      <c r="D32" s="522" t="s">
        <v>28</v>
      </c>
      <c r="E32" s="128" t="s">
        <v>351</v>
      </c>
      <c r="F32" s="491" t="s">
        <v>47</v>
      </c>
      <c r="G32" s="486"/>
      <c r="H32" s="129">
        <v>3</v>
      </c>
      <c r="I32" s="147" t="s">
        <v>353</v>
      </c>
      <c r="J32" s="173">
        <v>3</v>
      </c>
      <c r="K32" s="491">
        <v>3</v>
      </c>
      <c r="L32" s="385"/>
      <c r="M32" s="386"/>
      <c r="N32" s="387"/>
      <c r="O32" s="384"/>
      <c r="P32" s="385"/>
      <c r="Q32" s="386"/>
      <c r="R32" s="387"/>
      <c r="S32" s="384"/>
      <c r="T32" s="385"/>
      <c r="U32" s="386"/>
      <c r="V32" s="486"/>
      <c r="W32" s="372">
        <f>SUM(K32:V33)</f>
        <v>6</v>
      </c>
      <c r="X32" s="373"/>
      <c r="Y32" s="524">
        <v>6</v>
      </c>
    </row>
    <row r="33" spans="2:28" ht="17.5" thickBot="1">
      <c r="B33" s="504"/>
      <c r="C33" s="505"/>
      <c r="D33" s="523"/>
      <c r="E33" s="148" t="s">
        <v>339</v>
      </c>
      <c r="F33" s="361" t="s">
        <v>283</v>
      </c>
      <c r="G33" s="358"/>
      <c r="H33" s="133">
        <v>3</v>
      </c>
      <c r="I33" s="134" t="s">
        <v>353</v>
      </c>
      <c r="J33" s="174">
        <v>3</v>
      </c>
      <c r="K33" s="361"/>
      <c r="L33" s="357"/>
      <c r="M33" s="348">
        <v>3</v>
      </c>
      <c r="N33" s="349"/>
      <c r="O33" s="356"/>
      <c r="P33" s="357"/>
      <c r="Q33" s="348"/>
      <c r="R33" s="349"/>
      <c r="S33" s="356"/>
      <c r="T33" s="357"/>
      <c r="U33" s="348"/>
      <c r="V33" s="358"/>
      <c r="W33" s="374"/>
      <c r="X33" s="375"/>
      <c r="Y33" s="524"/>
    </row>
    <row r="34" spans="2:28" ht="23" customHeight="1" thickBot="1">
      <c r="B34" s="504"/>
      <c r="C34" s="505"/>
      <c r="D34" s="525" t="s">
        <v>357</v>
      </c>
      <c r="E34" s="149" t="s">
        <v>539</v>
      </c>
      <c r="F34" s="491" t="s">
        <v>535</v>
      </c>
      <c r="G34" s="486"/>
      <c r="H34" s="129">
        <v>4</v>
      </c>
      <c r="I34" s="141" t="s">
        <v>341</v>
      </c>
      <c r="J34" s="173">
        <v>4</v>
      </c>
      <c r="K34" s="491"/>
      <c r="L34" s="385"/>
      <c r="M34" s="386"/>
      <c r="N34" s="387"/>
      <c r="O34" s="384">
        <v>4</v>
      </c>
      <c r="P34" s="385"/>
      <c r="Q34" s="386"/>
      <c r="R34" s="387"/>
      <c r="S34" s="384"/>
      <c r="T34" s="385"/>
      <c r="U34" s="386"/>
      <c r="V34" s="486"/>
      <c r="W34" s="372">
        <f>SUM(K34:V35)</f>
        <v>8</v>
      </c>
      <c r="X34" s="373"/>
      <c r="Y34" s="524">
        <v>8</v>
      </c>
    </row>
    <row r="35" spans="2:28" ht="23.5" thickBot="1">
      <c r="B35" s="693"/>
      <c r="C35" s="694"/>
      <c r="D35" s="526"/>
      <c r="E35" s="235" t="s">
        <v>687</v>
      </c>
      <c r="F35" s="365" t="s">
        <v>692</v>
      </c>
      <c r="G35" s="364"/>
      <c r="H35" s="138">
        <v>4</v>
      </c>
      <c r="I35" s="139" t="s">
        <v>341</v>
      </c>
      <c r="J35" s="175">
        <v>4</v>
      </c>
      <c r="K35" s="365"/>
      <c r="L35" s="355"/>
      <c r="M35" s="352"/>
      <c r="N35" s="353"/>
      <c r="O35" s="356"/>
      <c r="P35" s="357"/>
      <c r="Q35" s="348">
        <v>4</v>
      </c>
      <c r="R35" s="349"/>
      <c r="S35" s="356"/>
      <c r="T35" s="357"/>
      <c r="U35" s="348"/>
      <c r="V35" s="358"/>
      <c r="W35" s="374"/>
      <c r="X35" s="375"/>
      <c r="Y35" s="524"/>
    </row>
    <row r="36" spans="2:28" ht="24.75" customHeight="1" thickBot="1">
      <c r="B36" s="497" t="s">
        <v>369</v>
      </c>
      <c r="C36" s="498"/>
      <c r="D36" s="498"/>
      <c r="E36" s="498"/>
      <c r="F36" s="498"/>
      <c r="G36" s="499"/>
      <c r="H36" s="179"/>
      <c r="I36" s="151"/>
      <c r="J36" s="178">
        <v>69</v>
      </c>
      <c r="K36" s="500">
        <f>SUM(K9:L35)</f>
        <v>18</v>
      </c>
      <c r="L36" s="501"/>
      <c r="M36" s="501">
        <f>SUM(M9:N35)</f>
        <v>17</v>
      </c>
      <c r="N36" s="601"/>
      <c r="O36" s="602">
        <v>16</v>
      </c>
      <c r="P36" s="501"/>
      <c r="Q36" s="501">
        <v>16</v>
      </c>
      <c r="R36" s="608"/>
      <c r="S36" s="609">
        <f>SUM(S9:T35)</f>
        <v>2</v>
      </c>
      <c r="T36" s="501"/>
      <c r="U36" s="501">
        <f>SUM(U9:V35)</f>
        <v>0</v>
      </c>
      <c r="V36" s="605"/>
      <c r="W36" s="409">
        <v>69</v>
      </c>
      <c r="X36" s="435"/>
      <c r="Y36" s="182">
        <f>SUM(Y9:Y35)</f>
        <v>64</v>
      </c>
      <c r="AA36" s="428" t="b">
        <f>W36&gt;=Y36</f>
        <v>1</v>
      </c>
      <c r="AB36" s="429"/>
    </row>
    <row r="37" spans="2:28" ht="17.25" customHeight="1">
      <c r="B37" s="502" t="s">
        <v>358</v>
      </c>
      <c r="C37" s="503"/>
      <c r="D37" s="516" t="s">
        <v>359</v>
      </c>
      <c r="E37" s="517"/>
      <c r="F37" s="406" t="s">
        <v>689</v>
      </c>
      <c r="G37" s="407"/>
      <c r="H37" s="129"/>
      <c r="I37" s="240"/>
      <c r="J37" s="244">
        <v>2</v>
      </c>
      <c r="K37" s="673"/>
      <c r="L37" s="674"/>
      <c r="M37" s="675"/>
      <c r="N37" s="676"/>
      <c r="O37" s="677">
        <v>2</v>
      </c>
      <c r="P37" s="674"/>
      <c r="Q37" s="675"/>
      <c r="R37" s="676"/>
      <c r="S37" s="677"/>
      <c r="T37" s="674"/>
      <c r="U37" s="675"/>
      <c r="V37" s="678"/>
      <c r="W37" s="603">
        <v>2</v>
      </c>
      <c r="X37" s="604"/>
      <c r="Y37" s="441">
        <v>80</v>
      </c>
    </row>
    <row r="38" spans="2:28" ht="17.25" customHeight="1">
      <c r="B38" s="504"/>
      <c r="C38" s="505"/>
      <c r="D38" s="518"/>
      <c r="E38" s="519"/>
      <c r="F38" s="506" t="s">
        <v>688</v>
      </c>
      <c r="G38" s="507"/>
      <c r="H38" s="133"/>
      <c r="I38" s="160"/>
      <c r="J38" s="245">
        <v>2</v>
      </c>
      <c r="K38" s="679"/>
      <c r="L38" s="680"/>
      <c r="M38" s="681"/>
      <c r="N38" s="682"/>
      <c r="O38" s="691"/>
      <c r="P38" s="680"/>
      <c r="Q38" s="681">
        <v>2</v>
      </c>
      <c r="R38" s="682"/>
      <c r="S38" s="691"/>
      <c r="T38" s="680"/>
      <c r="U38" s="681"/>
      <c r="V38" s="692"/>
      <c r="W38" s="359">
        <v>2</v>
      </c>
      <c r="X38" s="360"/>
      <c r="Y38" s="464"/>
    </row>
    <row r="39" spans="2:28" ht="17.25" customHeight="1" thickBot="1">
      <c r="B39" s="504"/>
      <c r="C39" s="505"/>
      <c r="D39" s="520"/>
      <c r="E39" s="521"/>
      <c r="F39" s="362" t="s">
        <v>696</v>
      </c>
      <c r="G39" s="363"/>
      <c r="H39" s="138"/>
      <c r="I39" s="164"/>
      <c r="J39" s="246">
        <v>2</v>
      </c>
      <c r="K39" s="683"/>
      <c r="L39" s="684"/>
      <c r="M39" s="685"/>
      <c r="N39" s="686"/>
      <c r="O39" s="687"/>
      <c r="P39" s="684"/>
      <c r="Q39" s="685"/>
      <c r="R39" s="686"/>
      <c r="S39" s="687">
        <v>2</v>
      </c>
      <c r="T39" s="684"/>
      <c r="U39" s="685"/>
      <c r="V39" s="688"/>
      <c r="W39" s="366">
        <v>2</v>
      </c>
      <c r="X39" s="367"/>
      <c r="Y39" s="464"/>
    </row>
    <row r="40" spans="2:28" ht="17.25" customHeight="1">
      <c r="B40" s="504"/>
      <c r="C40" s="505"/>
      <c r="D40" s="155" t="s">
        <v>363</v>
      </c>
      <c r="E40" s="51" t="s">
        <v>360</v>
      </c>
      <c r="F40" s="508" t="s">
        <v>606</v>
      </c>
      <c r="G40" s="509"/>
      <c r="H40" s="129"/>
      <c r="I40" s="240"/>
      <c r="J40" s="206">
        <v>7</v>
      </c>
      <c r="K40" s="491">
        <v>7</v>
      </c>
      <c r="L40" s="385"/>
      <c r="M40" s="386"/>
      <c r="N40" s="392"/>
      <c r="O40" s="384"/>
      <c r="P40" s="385"/>
      <c r="Q40" s="386"/>
      <c r="R40" s="387"/>
      <c r="S40" s="392"/>
      <c r="T40" s="385"/>
      <c r="U40" s="386"/>
      <c r="V40" s="486"/>
      <c r="W40" s="603">
        <v>7</v>
      </c>
      <c r="X40" s="604"/>
      <c r="Y40" s="464"/>
    </row>
    <row r="41" spans="2:28" ht="17.25" customHeight="1">
      <c r="B41" s="504"/>
      <c r="C41" s="505"/>
      <c r="D41" s="52" t="s">
        <v>363</v>
      </c>
      <c r="E41" s="154" t="s">
        <v>360</v>
      </c>
      <c r="F41" s="510" t="s">
        <v>610</v>
      </c>
      <c r="G41" s="511"/>
      <c r="H41" s="157"/>
      <c r="I41" s="158"/>
      <c r="J41" s="159">
        <v>4</v>
      </c>
      <c r="K41" s="361">
        <v>4</v>
      </c>
      <c r="L41" s="357"/>
      <c r="M41" s="348"/>
      <c r="N41" s="349"/>
      <c r="O41" s="356"/>
      <c r="P41" s="357"/>
      <c r="Q41" s="348"/>
      <c r="R41" s="349"/>
      <c r="S41" s="356"/>
      <c r="T41" s="357"/>
      <c r="U41" s="348"/>
      <c r="V41" s="358"/>
      <c r="W41" s="359">
        <v>4</v>
      </c>
      <c r="X41" s="360"/>
      <c r="Y41" s="464"/>
    </row>
    <row r="42" spans="2:28" ht="17.25" customHeight="1">
      <c r="B42" s="504"/>
      <c r="C42" s="505"/>
      <c r="D42" s="52" t="s">
        <v>363</v>
      </c>
      <c r="E42" s="154" t="s">
        <v>360</v>
      </c>
      <c r="F42" s="510" t="s">
        <v>364</v>
      </c>
      <c r="G42" s="511"/>
      <c r="H42" s="157"/>
      <c r="I42" s="158"/>
      <c r="J42" s="159">
        <v>4</v>
      </c>
      <c r="K42" s="361"/>
      <c r="L42" s="357"/>
      <c r="M42" s="348">
        <v>4</v>
      </c>
      <c r="N42" s="349"/>
      <c r="O42" s="356"/>
      <c r="P42" s="357"/>
      <c r="Q42" s="348"/>
      <c r="R42" s="349"/>
      <c r="S42" s="356"/>
      <c r="T42" s="357"/>
      <c r="U42" s="348"/>
      <c r="V42" s="358"/>
      <c r="W42" s="359">
        <v>4</v>
      </c>
      <c r="X42" s="360"/>
      <c r="Y42" s="464"/>
    </row>
    <row r="43" spans="2:28" ht="17.25" customHeight="1">
      <c r="B43" s="504"/>
      <c r="C43" s="505"/>
      <c r="D43" s="52" t="s">
        <v>363</v>
      </c>
      <c r="E43" s="154" t="s">
        <v>360</v>
      </c>
      <c r="F43" s="512" t="s">
        <v>607</v>
      </c>
      <c r="G43" s="513"/>
      <c r="H43" s="157"/>
      <c r="I43" s="158"/>
      <c r="J43" s="159">
        <v>8</v>
      </c>
      <c r="K43" s="361"/>
      <c r="L43" s="357"/>
      <c r="M43" s="348">
        <v>8</v>
      </c>
      <c r="N43" s="349"/>
      <c r="O43" s="356"/>
      <c r="P43" s="357"/>
      <c r="Q43" s="348"/>
      <c r="R43" s="349"/>
      <c r="S43" s="356"/>
      <c r="T43" s="357"/>
      <c r="U43" s="348"/>
      <c r="V43" s="358"/>
      <c r="W43" s="359">
        <v>8</v>
      </c>
      <c r="X43" s="360"/>
      <c r="Y43" s="464"/>
    </row>
    <row r="44" spans="2:28" ht="17.25" customHeight="1">
      <c r="B44" s="504"/>
      <c r="C44" s="505"/>
      <c r="D44" s="52" t="s">
        <v>363</v>
      </c>
      <c r="E44" s="154" t="s">
        <v>360</v>
      </c>
      <c r="F44" s="512" t="s">
        <v>608</v>
      </c>
      <c r="G44" s="513"/>
      <c r="H44" s="157"/>
      <c r="I44" s="158"/>
      <c r="J44" s="159">
        <v>4</v>
      </c>
      <c r="K44" s="361"/>
      <c r="L44" s="357"/>
      <c r="M44" s="348"/>
      <c r="N44" s="368"/>
      <c r="O44" s="356">
        <v>4</v>
      </c>
      <c r="P44" s="357"/>
      <c r="Q44" s="348"/>
      <c r="R44" s="349"/>
      <c r="S44" s="368"/>
      <c r="T44" s="357"/>
      <c r="U44" s="348"/>
      <c r="V44" s="358"/>
      <c r="W44" s="359">
        <v>4</v>
      </c>
      <c r="X44" s="360"/>
      <c r="Y44" s="464"/>
    </row>
    <row r="45" spans="2:28" ht="17.25" customHeight="1" thickBot="1">
      <c r="B45" s="504"/>
      <c r="C45" s="505"/>
      <c r="D45" s="53" t="s">
        <v>363</v>
      </c>
      <c r="E45" s="156" t="s">
        <v>360</v>
      </c>
      <c r="F45" s="487" t="s">
        <v>609</v>
      </c>
      <c r="G45" s="488"/>
      <c r="H45" s="143"/>
      <c r="I45" s="164"/>
      <c r="J45" s="208">
        <v>4</v>
      </c>
      <c r="K45" s="365"/>
      <c r="L45" s="355"/>
      <c r="M45" s="352"/>
      <c r="N45" s="394"/>
      <c r="O45" s="354">
        <v>4</v>
      </c>
      <c r="P45" s="355"/>
      <c r="Q45" s="352"/>
      <c r="R45" s="353"/>
      <c r="S45" s="394"/>
      <c r="T45" s="355"/>
      <c r="U45" s="352"/>
      <c r="V45" s="364"/>
      <c r="W45" s="366">
        <v>4</v>
      </c>
      <c r="X45" s="367"/>
      <c r="Y45" s="464"/>
    </row>
    <row r="46" spans="2:28" ht="16.5" customHeight="1">
      <c r="B46" s="192"/>
      <c r="C46" s="193"/>
      <c r="D46" s="163" t="s">
        <v>363</v>
      </c>
      <c r="E46" s="153" t="s">
        <v>361</v>
      </c>
      <c r="F46" s="378" t="s">
        <v>365</v>
      </c>
      <c r="G46" s="379"/>
      <c r="H46" s="157"/>
      <c r="I46" s="158"/>
      <c r="J46" s="159">
        <v>10</v>
      </c>
      <c r="K46" s="168"/>
      <c r="L46" s="169"/>
      <c r="M46" s="484"/>
      <c r="N46" s="584"/>
      <c r="O46" s="393"/>
      <c r="P46" s="391"/>
      <c r="Q46" s="484"/>
      <c r="R46" s="584"/>
      <c r="S46" s="393">
        <v>5</v>
      </c>
      <c r="T46" s="391"/>
      <c r="U46" s="484">
        <v>5</v>
      </c>
      <c r="V46" s="485"/>
      <c r="W46" s="606">
        <v>10</v>
      </c>
      <c r="X46" s="607"/>
      <c r="Y46" s="464"/>
    </row>
    <row r="47" spans="2:28" ht="16.5" customHeight="1">
      <c r="B47" s="192"/>
      <c r="C47" s="193"/>
      <c r="D47" s="52" t="s">
        <v>363</v>
      </c>
      <c r="E47" s="154" t="s">
        <v>361</v>
      </c>
      <c r="F47" s="380" t="s">
        <v>611</v>
      </c>
      <c r="G47" s="381"/>
      <c r="H47" s="133"/>
      <c r="I47" s="160"/>
      <c r="J47" s="174">
        <v>10</v>
      </c>
      <c r="K47" s="176"/>
      <c r="L47" s="177"/>
      <c r="M47" s="348"/>
      <c r="N47" s="349"/>
      <c r="O47" s="356"/>
      <c r="P47" s="357"/>
      <c r="Q47" s="348"/>
      <c r="R47" s="349"/>
      <c r="S47" s="356">
        <v>5</v>
      </c>
      <c r="T47" s="357"/>
      <c r="U47" s="348">
        <v>5</v>
      </c>
      <c r="V47" s="358"/>
      <c r="W47" s="359">
        <v>10</v>
      </c>
      <c r="X47" s="360"/>
      <c r="Y47" s="464"/>
    </row>
    <row r="48" spans="2:28" ht="16.5" customHeight="1" thickBot="1">
      <c r="B48" s="194"/>
      <c r="C48" s="195"/>
      <c r="D48" s="53" t="s">
        <v>363</v>
      </c>
      <c r="E48" s="156" t="s">
        <v>361</v>
      </c>
      <c r="F48" s="762" t="s">
        <v>366</v>
      </c>
      <c r="G48" s="763"/>
      <c r="H48" s="138"/>
      <c r="I48" s="164"/>
      <c r="J48" s="175">
        <v>13</v>
      </c>
      <c r="K48" s="170"/>
      <c r="L48" s="171"/>
      <c r="M48" s="352"/>
      <c r="N48" s="353"/>
      <c r="O48" s="354"/>
      <c r="P48" s="355"/>
      <c r="Q48" s="352"/>
      <c r="R48" s="353"/>
      <c r="S48" s="354">
        <v>5</v>
      </c>
      <c r="T48" s="355"/>
      <c r="U48" s="352">
        <v>8</v>
      </c>
      <c r="V48" s="364"/>
      <c r="W48" s="764">
        <v>13</v>
      </c>
      <c r="X48" s="765"/>
      <c r="Y48" s="464"/>
    </row>
    <row r="49" spans="2:29" ht="16.5" customHeight="1" thickBot="1">
      <c r="B49" s="756" t="s">
        <v>603</v>
      </c>
      <c r="C49" s="757" t="s">
        <v>604</v>
      </c>
      <c r="D49" s="155" t="s">
        <v>363</v>
      </c>
      <c r="E49" s="51" t="s">
        <v>361</v>
      </c>
      <c r="F49" s="406" t="s">
        <v>612</v>
      </c>
      <c r="G49" s="407"/>
      <c r="H49" s="157"/>
      <c r="I49" s="158"/>
      <c r="J49" s="759">
        <v>29</v>
      </c>
      <c r="K49" s="199"/>
      <c r="L49" s="200"/>
      <c r="M49" s="386"/>
      <c r="N49" s="387"/>
      <c r="O49" s="384"/>
      <c r="P49" s="385"/>
      <c r="Q49" s="386">
        <v>8</v>
      </c>
      <c r="R49" s="387"/>
      <c r="S49" s="384">
        <v>10</v>
      </c>
      <c r="T49" s="385"/>
      <c r="U49" s="386"/>
      <c r="V49" s="486"/>
      <c r="W49" s="372">
        <v>29</v>
      </c>
      <c r="X49" s="373"/>
      <c r="Y49" s="464"/>
    </row>
    <row r="50" spans="2:29" ht="16.5" customHeight="1" thickBot="1">
      <c r="B50" s="756"/>
      <c r="C50" s="757"/>
      <c r="D50" s="53" t="s">
        <v>363</v>
      </c>
      <c r="E50" s="156" t="s">
        <v>361</v>
      </c>
      <c r="F50" s="350" t="s">
        <v>613</v>
      </c>
      <c r="G50" s="351"/>
      <c r="H50" s="133"/>
      <c r="I50" s="160"/>
      <c r="J50" s="760"/>
      <c r="K50" s="170"/>
      <c r="L50" s="171"/>
      <c r="M50" s="352"/>
      <c r="N50" s="353"/>
      <c r="O50" s="354"/>
      <c r="P50" s="355"/>
      <c r="Q50" s="352"/>
      <c r="R50" s="353"/>
      <c r="S50" s="354"/>
      <c r="T50" s="355"/>
      <c r="U50" s="352">
        <v>11</v>
      </c>
      <c r="V50" s="364"/>
      <c r="W50" s="374"/>
      <c r="X50" s="375"/>
      <c r="Y50" s="464"/>
    </row>
    <row r="51" spans="2:29" ht="16.5" customHeight="1" thickBot="1">
      <c r="B51" s="756"/>
      <c r="C51" s="757" t="s">
        <v>605</v>
      </c>
      <c r="D51" s="155" t="s">
        <v>363</v>
      </c>
      <c r="E51" s="153" t="s">
        <v>361</v>
      </c>
      <c r="F51" s="378" t="s">
        <v>563</v>
      </c>
      <c r="G51" s="379"/>
      <c r="H51" s="133"/>
      <c r="I51" s="160"/>
      <c r="J51" s="760"/>
      <c r="K51" s="168"/>
      <c r="L51" s="169"/>
      <c r="M51" s="484"/>
      <c r="N51" s="584"/>
      <c r="O51" s="393"/>
      <c r="P51" s="391"/>
      <c r="Q51" s="484">
        <v>8</v>
      </c>
      <c r="R51" s="584"/>
      <c r="S51" s="393"/>
      <c r="T51" s="391"/>
      <c r="U51" s="484"/>
      <c r="V51" s="485"/>
      <c r="W51" s="374"/>
      <c r="X51" s="375"/>
      <c r="Y51" s="464"/>
    </row>
    <row r="52" spans="2:29" ht="16.5" customHeight="1" thickBot="1">
      <c r="B52" s="756"/>
      <c r="C52" s="757"/>
      <c r="D52" s="53" t="s">
        <v>363</v>
      </c>
      <c r="E52" s="154" t="s">
        <v>361</v>
      </c>
      <c r="F52" s="380" t="s">
        <v>576</v>
      </c>
      <c r="G52" s="381"/>
      <c r="H52" s="133"/>
      <c r="I52" s="160"/>
      <c r="J52" s="761"/>
      <c r="K52" s="176"/>
      <c r="L52" s="177"/>
      <c r="M52" s="348"/>
      <c r="N52" s="349"/>
      <c r="O52" s="356"/>
      <c r="P52" s="357"/>
      <c r="Q52" s="348"/>
      <c r="R52" s="349"/>
      <c r="S52" s="356">
        <v>10</v>
      </c>
      <c r="T52" s="357"/>
      <c r="U52" s="348">
        <v>11</v>
      </c>
      <c r="V52" s="358"/>
      <c r="W52" s="376"/>
      <c r="X52" s="377"/>
      <c r="Y52" s="464"/>
    </row>
    <row r="53" spans="2:29" ht="16.5" customHeight="1">
      <c r="B53" s="369" t="s">
        <v>153</v>
      </c>
      <c r="C53" s="369" t="s">
        <v>581</v>
      </c>
      <c r="D53" s="155" t="s">
        <v>564</v>
      </c>
      <c r="E53" s="51" t="s">
        <v>360</v>
      </c>
      <c r="F53" s="492" t="s">
        <v>582</v>
      </c>
      <c r="G53" s="493"/>
      <c r="H53" s="129"/>
      <c r="I53" s="165"/>
      <c r="J53" s="494">
        <v>6</v>
      </c>
      <c r="K53" s="491"/>
      <c r="L53" s="385"/>
      <c r="M53" s="386"/>
      <c r="N53" s="392"/>
      <c r="O53" s="384">
        <v>3</v>
      </c>
      <c r="P53" s="385"/>
      <c r="Q53" s="386"/>
      <c r="R53" s="387"/>
      <c r="S53" s="392"/>
      <c r="T53" s="385"/>
      <c r="U53" s="386"/>
      <c r="V53" s="486"/>
      <c r="W53" s="372">
        <v>6</v>
      </c>
      <c r="X53" s="373"/>
      <c r="Y53" s="464"/>
    </row>
    <row r="54" spans="2:29" ht="16.5" customHeight="1" thickBot="1">
      <c r="B54" s="371"/>
      <c r="C54" s="370"/>
      <c r="D54" s="53" t="s">
        <v>564</v>
      </c>
      <c r="E54" s="156" t="s">
        <v>360</v>
      </c>
      <c r="F54" s="487" t="s">
        <v>541</v>
      </c>
      <c r="G54" s="488"/>
      <c r="H54" s="138"/>
      <c r="I54" s="166"/>
      <c r="J54" s="495"/>
      <c r="K54" s="365"/>
      <c r="L54" s="355"/>
      <c r="M54" s="352"/>
      <c r="N54" s="353"/>
      <c r="O54" s="354"/>
      <c r="P54" s="355"/>
      <c r="Q54" s="352">
        <v>3</v>
      </c>
      <c r="R54" s="353"/>
      <c r="S54" s="354"/>
      <c r="T54" s="355"/>
      <c r="U54" s="352"/>
      <c r="V54" s="364"/>
      <c r="W54" s="374"/>
      <c r="X54" s="375"/>
      <c r="Y54" s="464"/>
    </row>
    <row r="55" spans="2:29">
      <c r="B55" s="371"/>
      <c r="C55" s="369" t="s">
        <v>536</v>
      </c>
      <c r="D55" s="163" t="s">
        <v>564</v>
      </c>
      <c r="E55" s="51" t="s">
        <v>360</v>
      </c>
      <c r="F55" s="492" t="s">
        <v>560</v>
      </c>
      <c r="G55" s="493"/>
      <c r="H55" s="129"/>
      <c r="I55" s="165"/>
      <c r="J55" s="495"/>
      <c r="K55" s="491"/>
      <c r="L55" s="385"/>
      <c r="M55" s="386"/>
      <c r="N55" s="392"/>
      <c r="O55" s="384">
        <v>3</v>
      </c>
      <c r="P55" s="385"/>
      <c r="Q55" s="386"/>
      <c r="R55" s="387"/>
      <c r="S55" s="392"/>
      <c r="T55" s="385"/>
      <c r="U55" s="386"/>
      <c r="V55" s="486"/>
      <c r="W55" s="374"/>
      <c r="X55" s="375"/>
      <c r="Y55" s="464"/>
    </row>
    <row r="56" spans="2:29" ht="17.5" thickBot="1">
      <c r="B56" s="371"/>
      <c r="C56" s="370"/>
      <c r="D56" s="53" t="s">
        <v>565</v>
      </c>
      <c r="E56" s="156" t="s">
        <v>361</v>
      </c>
      <c r="F56" s="487" t="s">
        <v>561</v>
      </c>
      <c r="G56" s="488"/>
      <c r="H56" s="138"/>
      <c r="I56" s="166"/>
      <c r="J56" s="495"/>
      <c r="K56" s="365"/>
      <c r="L56" s="355"/>
      <c r="M56" s="352"/>
      <c r="N56" s="394"/>
      <c r="O56" s="354"/>
      <c r="P56" s="355"/>
      <c r="Q56" s="352">
        <v>3</v>
      </c>
      <c r="R56" s="353"/>
      <c r="S56" s="394"/>
      <c r="T56" s="355"/>
      <c r="U56" s="352"/>
      <c r="V56" s="364"/>
      <c r="W56" s="374"/>
      <c r="X56" s="375"/>
      <c r="Y56" s="464"/>
    </row>
    <row r="57" spans="2:29">
      <c r="B57" s="371"/>
      <c r="C57" s="369" t="s">
        <v>549</v>
      </c>
      <c r="D57" s="163" t="s">
        <v>564</v>
      </c>
      <c r="E57" s="51" t="s">
        <v>360</v>
      </c>
      <c r="F57" s="489" t="s">
        <v>562</v>
      </c>
      <c r="G57" s="490"/>
      <c r="H57" s="129"/>
      <c r="I57" s="165"/>
      <c r="J57" s="495"/>
      <c r="K57" s="491"/>
      <c r="L57" s="385"/>
      <c r="M57" s="386"/>
      <c r="N57" s="392"/>
      <c r="O57" s="384">
        <v>3</v>
      </c>
      <c r="P57" s="385"/>
      <c r="Q57" s="386"/>
      <c r="R57" s="387"/>
      <c r="S57" s="392"/>
      <c r="T57" s="385"/>
      <c r="U57" s="386"/>
      <c r="V57" s="486"/>
      <c r="W57" s="374"/>
      <c r="X57" s="375"/>
      <c r="Y57" s="464"/>
    </row>
    <row r="58" spans="2:29" ht="17.5" thickBot="1">
      <c r="B58" s="371"/>
      <c r="C58" s="370"/>
      <c r="D58" s="53" t="s">
        <v>565</v>
      </c>
      <c r="E58" s="156" t="s">
        <v>361</v>
      </c>
      <c r="F58" s="487" t="s">
        <v>624</v>
      </c>
      <c r="G58" s="488"/>
      <c r="H58" s="143"/>
      <c r="I58" s="198"/>
      <c r="J58" s="495"/>
      <c r="K58" s="365"/>
      <c r="L58" s="355"/>
      <c r="M58" s="352"/>
      <c r="N58" s="353"/>
      <c r="O58" s="354"/>
      <c r="P58" s="355"/>
      <c r="Q58" s="352">
        <v>3</v>
      </c>
      <c r="R58" s="353"/>
      <c r="S58" s="354"/>
      <c r="T58" s="355"/>
      <c r="U58" s="352"/>
      <c r="V58" s="364"/>
      <c r="W58" s="374"/>
      <c r="X58" s="375"/>
      <c r="Y58" s="464"/>
    </row>
    <row r="59" spans="2:29">
      <c r="B59" s="371"/>
      <c r="C59" s="369" t="s">
        <v>550</v>
      </c>
      <c r="D59" s="52" t="s">
        <v>564</v>
      </c>
      <c r="E59" s="51" t="s">
        <v>360</v>
      </c>
      <c r="F59" s="489" t="s">
        <v>562</v>
      </c>
      <c r="G59" s="490"/>
      <c r="H59" s="196"/>
      <c r="I59" s="197"/>
      <c r="J59" s="495"/>
      <c r="K59" s="390"/>
      <c r="L59" s="391"/>
      <c r="M59" s="484"/>
      <c r="N59" s="584"/>
      <c r="O59" s="393">
        <v>3</v>
      </c>
      <c r="P59" s="391"/>
      <c r="Q59" s="484"/>
      <c r="R59" s="584"/>
      <c r="S59" s="393"/>
      <c r="T59" s="391"/>
      <c r="U59" s="484"/>
      <c r="V59" s="485"/>
      <c r="W59" s="374"/>
      <c r="X59" s="375"/>
      <c r="Y59" s="464"/>
    </row>
    <row r="60" spans="2:29" ht="17.5" thickBot="1">
      <c r="B60" s="371"/>
      <c r="C60" s="370"/>
      <c r="D60" s="53" t="s">
        <v>565</v>
      </c>
      <c r="E60" s="156" t="s">
        <v>361</v>
      </c>
      <c r="F60" s="487" t="s">
        <v>632</v>
      </c>
      <c r="G60" s="488"/>
      <c r="H60" s="138"/>
      <c r="I60" s="166"/>
      <c r="J60" s="495"/>
      <c r="K60" s="365"/>
      <c r="L60" s="355"/>
      <c r="M60" s="352"/>
      <c r="N60" s="394"/>
      <c r="O60" s="354"/>
      <c r="P60" s="355"/>
      <c r="Q60" s="352">
        <v>3</v>
      </c>
      <c r="R60" s="353"/>
      <c r="S60" s="394"/>
      <c r="T60" s="355"/>
      <c r="U60" s="352"/>
      <c r="V60" s="364"/>
      <c r="W60" s="374"/>
      <c r="X60" s="375"/>
      <c r="Y60" s="464"/>
    </row>
    <row r="61" spans="2:29" ht="24.75" customHeight="1">
      <c r="B61" s="466" t="s">
        <v>370</v>
      </c>
      <c r="C61" s="467"/>
      <c r="D61" s="468"/>
      <c r="E61" s="468"/>
      <c r="F61" s="468"/>
      <c r="G61" s="438"/>
      <c r="H61" s="470">
        <f>SUM(H37:H52)</f>
        <v>0</v>
      </c>
      <c r="I61" s="472">
        <f>SUM(I37:I52)</f>
        <v>0</v>
      </c>
      <c r="J61" s="474">
        <f>SUM(J37:J60)</f>
        <v>105</v>
      </c>
      <c r="K61" s="437">
        <f>SUM(K37:L60)</f>
        <v>11</v>
      </c>
      <c r="L61" s="476"/>
      <c r="M61" s="478">
        <f>SUM(M37:N55)</f>
        <v>12</v>
      </c>
      <c r="N61" s="468"/>
      <c r="O61" s="480">
        <v>13</v>
      </c>
      <c r="P61" s="476"/>
      <c r="Q61" s="478">
        <v>13</v>
      </c>
      <c r="R61" s="482"/>
      <c r="S61" s="468">
        <v>27</v>
      </c>
      <c r="T61" s="476"/>
      <c r="U61" s="478">
        <v>29</v>
      </c>
      <c r="V61" s="438"/>
      <c r="W61" s="466">
        <v>105</v>
      </c>
      <c r="X61" s="758"/>
      <c r="Y61" s="441">
        <f>SUM(Y37:Y56)</f>
        <v>80</v>
      </c>
      <c r="AC61" s="172"/>
    </row>
    <row r="62" spans="2:29" ht="17.5" thickBot="1">
      <c r="B62" s="439"/>
      <c r="C62" s="469"/>
      <c r="D62" s="469"/>
      <c r="E62" s="469"/>
      <c r="F62" s="469"/>
      <c r="G62" s="440"/>
      <c r="H62" s="471"/>
      <c r="I62" s="473"/>
      <c r="J62" s="475"/>
      <c r="K62" s="439"/>
      <c r="L62" s="477"/>
      <c r="M62" s="479"/>
      <c r="N62" s="469"/>
      <c r="O62" s="481"/>
      <c r="P62" s="477"/>
      <c r="Q62" s="479"/>
      <c r="R62" s="483"/>
      <c r="S62" s="469"/>
      <c r="T62" s="477"/>
      <c r="U62" s="479"/>
      <c r="V62" s="440"/>
      <c r="W62" s="439"/>
      <c r="X62" s="440"/>
      <c r="Y62" s="442"/>
      <c r="AC62" s="54"/>
    </row>
    <row r="63" spans="2:29" ht="17.25" customHeight="1" thickBot="1">
      <c r="B63" s="409"/>
      <c r="C63" s="410"/>
      <c r="D63" s="410"/>
      <c r="E63" s="410"/>
      <c r="F63" s="410"/>
      <c r="G63" s="411"/>
      <c r="H63" s="183">
        <f>SUM(H36,H61)</f>
        <v>0</v>
      </c>
      <c r="I63" s="181">
        <f>SUM(I36,I61)</f>
        <v>0</v>
      </c>
      <c r="J63" s="182">
        <f>SUM(J36,J61)</f>
        <v>174</v>
      </c>
      <c r="K63" s="409">
        <f>SUM(K36,K61)</f>
        <v>29</v>
      </c>
      <c r="L63" s="435"/>
      <c r="M63" s="436">
        <f>SUM(M36,M61)</f>
        <v>29</v>
      </c>
      <c r="N63" s="412"/>
      <c r="O63" s="413">
        <f>SUM(O36,O61)</f>
        <v>29</v>
      </c>
      <c r="P63" s="435"/>
      <c r="Q63" s="436">
        <f>SUM(Q36,Q61)</f>
        <v>29</v>
      </c>
      <c r="R63" s="412"/>
      <c r="S63" s="413">
        <f>SUM(S36,S61)</f>
        <v>29</v>
      </c>
      <c r="T63" s="435"/>
      <c r="U63" s="436">
        <f>SUM(U36,U61)</f>
        <v>29</v>
      </c>
      <c r="V63" s="411"/>
      <c r="W63" s="409">
        <v>174</v>
      </c>
      <c r="X63" s="411"/>
      <c r="Y63" s="11">
        <f>Y61+Y36</f>
        <v>144</v>
      </c>
      <c r="AA63" s="414" t="s">
        <v>154</v>
      </c>
      <c r="AB63" s="414"/>
    </row>
    <row r="64" spans="2:29" ht="18.75" customHeight="1" thickBot="1">
      <c r="B64" s="444" t="s">
        <v>371</v>
      </c>
      <c r="C64" s="445"/>
      <c r="D64" s="445"/>
      <c r="E64" s="446"/>
      <c r="F64" s="453" t="s">
        <v>367</v>
      </c>
      <c r="G64" s="454"/>
      <c r="H64" s="454"/>
      <c r="I64" s="454"/>
      <c r="J64" s="455"/>
      <c r="K64" s="456">
        <v>16</v>
      </c>
      <c r="L64" s="457"/>
      <c r="M64" s="458">
        <v>16</v>
      </c>
      <c r="N64" s="459"/>
      <c r="O64" s="460">
        <v>16</v>
      </c>
      <c r="P64" s="457"/>
      <c r="Q64" s="458">
        <v>16</v>
      </c>
      <c r="R64" s="459"/>
      <c r="S64" s="460">
        <v>16</v>
      </c>
      <c r="T64" s="457"/>
      <c r="U64" s="458">
        <v>16</v>
      </c>
      <c r="V64" s="461"/>
      <c r="W64" s="444">
        <f>SUM(K64:V66)</f>
        <v>288</v>
      </c>
      <c r="X64" s="446"/>
      <c r="Y64" s="441">
        <f>Y67*16</f>
        <v>288</v>
      </c>
      <c r="AA64" s="443"/>
      <c r="AB64" s="443"/>
    </row>
    <row r="65" spans="2:28" ht="17.25" customHeight="1" thickBot="1">
      <c r="B65" s="447"/>
      <c r="C65" s="448"/>
      <c r="D65" s="448"/>
      <c r="E65" s="449"/>
      <c r="F65" s="430" t="s">
        <v>63</v>
      </c>
      <c r="G65" s="431"/>
      <c r="H65" s="431"/>
      <c r="I65" s="431"/>
      <c r="J65" s="432"/>
      <c r="K65" s="433">
        <v>16</v>
      </c>
      <c r="L65" s="425"/>
      <c r="M65" s="426">
        <v>16</v>
      </c>
      <c r="N65" s="434"/>
      <c r="O65" s="424">
        <v>16</v>
      </c>
      <c r="P65" s="425"/>
      <c r="Q65" s="426">
        <v>16</v>
      </c>
      <c r="R65" s="434"/>
      <c r="S65" s="424">
        <v>16</v>
      </c>
      <c r="T65" s="425"/>
      <c r="U65" s="426">
        <v>16</v>
      </c>
      <c r="V65" s="427"/>
      <c r="W65" s="447"/>
      <c r="X65" s="449"/>
      <c r="Y65" s="464"/>
      <c r="AA65" s="428" t="b">
        <f>W63&gt;=Y63</f>
        <v>1</v>
      </c>
      <c r="AB65" s="429"/>
    </row>
    <row r="66" spans="2:28" ht="17.25" customHeight="1">
      <c r="B66" s="447"/>
      <c r="C66" s="448"/>
      <c r="D66" s="448"/>
      <c r="E66" s="449"/>
      <c r="F66" s="430" t="s">
        <v>11</v>
      </c>
      <c r="G66" s="431"/>
      <c r="H66" s="431"/>
      <c r="I66" s="431"/>
      <c r="J66" s="432"/>
      <c r="K66" s="433">
        <v>16</v>
      </c>
      <c r="L66" s="425"/>
      <c r="M66" s="426">
        <v>16</v>
      </c>
      <c r="N66" s="434"/>
      <c r="O66" s="424">
        <v>16</v>
      </c>
      <c r="P66" s="425"/>
      <c r="Q66" s="426">
        <v>16</v>
      </c>
      <c r="R66" s="434"/>
      <c r="S66" s="424">
        <v>16</v>
      </c>
      <c r="T66" s="425"/>
      <c r="U66" s="426">
        <v>16</v>
      </c>
      <c r="V66" s="427"/>
      <c r="W66" s="462"/>
      <c r="X66" s="463"/>
      <c r="Y66" s="465"/>
    </row>
    <row r="67" spans="2:28" ht="17.25" customHeight="1" thickBot="1">
      <c r="B67" s="450"/>
      <c r="C67" s="451"/>
      <c r="D67" s="451"/>
      <c r="E67" s="452"/>
      <c r="F67" s="415" t="s">
        <v>149</v>
      </c>
      <c r="G67" s="416"/>
      <c r="H67" s="416"/>
      <c r="I67" s="416"/>
      <c r="J67" s="417"/>
      <c r="K67" s="418">
        <v>3</v>
      </c>
      <c r="L67" s="419"/>
      <c r="M67" s="420">
        <v>3</v>
      </c>
      <c r="N67" s="421"/>
      <c r="O67" s="422">
        <v>3</v>
      </c>
      <c r="P67" s="419"/>
      <c r="Q67" s="420">
        <v>3</v>
      </c>
      <c r="R67" s="421"/>
      <c r="S67" s="422">
        <v>3</v>
      </c>
      <c r="T67" s="419"/>
      <c r="U67" s="420">
        <v>3</v>
      </c>
      <c r="V67" s="423"/>
      <c r="W67" s="415">
        <f>SUM(K67:V67)</f>
        <v>18</v>
      </c>
      <c r="X67" s="417"/>
      <c r="Y67" s="55">
        <v>18</v>
      </c>
      <c r="AA67" s="414" t="s">
        <v>155</v>
      </c>
      <c r="AB67" s="414"/>
    </row>
    <row r="68" spans="2:28" ht="17.25" customHeight="1" thickBot="1">
      <c r="B68" s="409"/>
      <c r="C68" s="410"/>
      <c r="D68" s="410"/>
      <c r="E68" s="410"/>
      <c r="F68" s="410"/>
      <c r="G68" s="410"/>
      <c r="H68" s="410"/>
      <c r="I68" s="410"/>
      <c r="J68" s="411"/>
      <c r="K68" s="409">
        <v>32</v>
      </c>
      <c r="L68" s="435"/>
      <c r="M68" s="436">
        <v>32</v>
      </c>
      <c r="N68" s="412"/>
      <c r="O68" s="413">
        <v>32</v>
      </c>
      <c r="P68" s="435"/>
      <c r="Q68" s="436">
        <v>32</v>
      </c>
      <c r="R68" s="412"/>
      <c r="S68" s="413">
        <v>32</v>
      </c>
      <c r="T68" s="435"/>
      <c r="U68" s="436">
        <v>32</v>
      </c>
      <c r="V68" s="411"/>
      <c r="W68" s="409">
        <f>SUM(K68:V68)</f>
        <v>192</v>
      </c>
      <c r="X68" s="411"/>
      <c r="Y68" s="45">
        <f>W68</f>
        <v>192</v>
      </c>
      <c r="AA68" s="428" t="b">
        <f>W67&gt;=Y67</f>
        <v>1</v>
      </c>
      <c r="AB68" s="429"/>
    </row>
    <row r="69" spans="2:28" ht="17.25" customHeight="1" thickBot="1">
      <c r="B69" s="409"/>
      <c r="C69" s="410"/>
      <c r="D69" s="410"/>
      <c r="E69" s="410"/>
      <c r="F69" s="410"/>
      <c r="G69" s="410"/>
      <c r="H69" s="410"/>
      <c r="I69" s="410"/>
      <c r="J69" s="411"/>
      <c r="K69" s="409">
        <f>SUM(K68:N68)</f>
        <v>64</v>
      </c>
      <c r="L69" s="410"/>
      <c r="M69" s="410"/>
      <c r="N69" s="412"/>
      <c r="O69" s="413">
        <f>SUM(O68:R68)</f>
        <v>64</v>
      </c>
      <c r="P69" s="410"/>
      <c r="Q69" s="410"/>
      <c r="R69" s="412"/>
      <c r="S69" s="413">
        <f>SUM(S68:V68)</f>
        <v>64</v>
      </c>
      <c r="T69" s="410"/>
      <c r="U69" s="410"/>
      <c r="V69" s="411"/>
      <c r="W69" s="409">
        <f>SUM(K69:V69)</f>
        <v>192</v>
      </c>
      <c r="X69" s="411"/>
      <c r="Y69" s="11"/>
      <c r="AA69" s="414" t="s">
        <v>152</v>
      </c>
      <c r="AB69" s="414"/>
    </row>
    <row r="70" spans="2:28" ht="17.25" customHeight="1" thickBot="1">
      <c r="AA70" s="428" t="b">
        <f>W68&gt;=Y68</f>
        <v>1</v>
      </c>
      <c r="AB70" s="429"/>
    </row>
    <row r="71" spans="2:28" ht="17.25" customHeight="1"/>
    <row r="72" spans="2:28" ht="17.25" customHeight="1"/>
    <row r="73" spans="2:28" ht="17.25" customHeight="1"/>
    <row r="75" spans="2:28" ht="25" customHeight="1"/>
    <row r="76" spans="2:28" ht="25" customHeight="1"/>
    <row r="77" spans="2:28" ht="32.25" customHeight="1"/>
    <row r="78" spans="2:28" ht="25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29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5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X9:X10"/>
    <mergeCell ref="Y9:Y20"/>
    <mergeCell ref="F10:G10"/>
    <mergeCell ref="K10:L10"/>
    <mergeCell ref="M10:N10"/>
    <mergeCell ref="O10:P10"/>
    <mergeCell ref="Q10:R10"/>
    <mergeCell ref="S10:T10"/>
    <mergeCell ref="U10:V10"/>
    <mergeCell ref="F11:G11"/>
    <mergeCell ref="W11:X11"/>
    <mergeCell ref="F12:G12"/>
    <mergeCell ref="K12:L12"/>
    <mergeCell ref="M12:N12"/>
    <mergeCell ref="O12:P12"/>
    <mergeCell ref="Q12:R12"/>
    <mergeCell ref="S12:T12"/>
    <mergeCell ref="U12:V12"/>
    <mergeCell ref="W12:X12"/>
    <mergeCell ref="K11:L11"/>
    <mergeCell ref="M11:N11"/>
    <mergeCell ref="O11:P11"/>
    <mergeCell ref="Q11:R11"/>
    <mergeCell ref="S11:T11"/>
    <mergeCell ref="U11:V11"/>
    <mergeCell ref="W16:X16"/>
    <mergeCell ref="S13:T13"/>
    <mergeCell ref="U13:V13"/>
    <mergeCell ref="X13:X14"/>
    <mergeCell ref="F14:G14"/>
    <mergeCell ref="K14:L14"/>
    <mergeCell ref="M14:N14"/>
    <mergeCell ref="O14:P14"/>
    <mergeCell ref="Q14:R14"/>
    <mergeCell ref="S14:T14"/>
    <mergeCell ref="U14:V14"/>
    <mergeCell ref="F13:G13"/>
    <mergeCell ref="K13:L13"/>
    <mergeCell ref="M13:N13"/>
    <mergeCell ref="O13:P13"/>
    <mergeCell ref="Q13:R13"/>
    <mergeCell ref="M16:N16"/>
    <mergeCell ref="O16:P16"/>
    <mergeCell ref="Q16:R16"/>
    <mergeCell ref="S16:T16"/>
    <mergeCell ref="F15:G15"/>
    <mergeCell ref="K15:L15"/>
    <mergeCell ref="M15:N15"/>
    <mergeCell ref="O15:P15"/>
    <mergeCell ref="U16:V16"/>
    <mergeCell ref="AB16:AD16"/>
    <mergeCell ref="D17:D20"/>
    <mergeCell ref="F17:G17"/>
    <mergeCell ref="K17:L17"/>
    <mergeCell ref="M17:N17"/>
    <mergeCell ref="O17:P17"/>
    <mergeCell ref="Q17:R17"/>
    <mergeCell ref="S17:T17"/>
    <mergeCell ref="D13:D16"/>
    <mergeCell ref="U17:V17"/>
    <mergeCell ref="X17:X18"/>
    <mergeCell ref="F18:G18"/>
    <mergeCell ref="K18:L18"/>
    <mergeCell ref="M18:N18"/>
    <mergeCell ref="O18:P18"/>
    <mergeCell ref="Q18:R18"/>
    <mergeCell ref="S18:T18"/>
    <mergeCell ref="U18:V18"/>
    <mergeCell ref="Q15:R15"/>
    <mergeCell ref="S15:T15"/>
    <mergeCell ref="U15:V15"/>
    <mergeCell ref="W15:X15"/>
    <mergeCell ref="F16:G16"/>
    <mergeCell ref="K16:L16"/>
    <mergeCell ref="D21:D24"/>
    <mergeCell ref="F21:G21"/>
    <mergeCell ref="K21:L21"/>
    <mergeCell ref="M21:N21"/>
    <mergeCell ref="O21:P21"/>
    <mergeCell ref="Q21:R21"/>
    <mergeCell ref="U19:V19"/>
    <mergeCell ref="W19:X19"/>
    <mergeCell ref="F20:G20"/>
    <mergeCell ref="K20:L20"/>
    <mergeCell ref="M20:N20"/>
    <mergeCell ref="O20:P20"/>
    <mergeCell ref="Q20:R20"/>
    <mergeCell ref="S20:T20"/>
    <mergeCell ref="U20:V20"/>
    <mergeCell ref="W20:X20"/>
    <mergeCell ref="F19:G19"/>
    <mergeCell ref="K19:L19"/>
    <mergeCell ref="M19:N19"/>
    <mergeCell ref="O19:P19"/>
    <mergeCell ref="Q19:R19"/>
    <mergeCell ref="S19:T19"/>
    <mergeCell ref="S21:T21"/>
    <mergeCell ref="U21:V21"/>
    <mergeCell ref="X21:X22"/>
    <mergeCell ref="Y21:Y22"/>
    <mergeCell ref="F22:G22"/>
    <mergeCell ref="K22:L22"/>
    <mergeCell ref="M22:N22"/>
    <mergeCell ref="O22:P22"/>
    <mergeCell ref="Q22:R22"/>
    <mergeCell ref="S22:T22"/>
    <mergeCell ref="U22:V22"/>
    <mergeCell ref="AA22:AB22"/>
    <mergeCell ref="F23:G23"/>
    <mergeCell ref="K23:L23"/>
    <mergeCell ref="M23:N23"/>
    <mergeCell ref="O23:P23"/>
    <mergeCell ref="Q23:R23"/>
    <mergeCell ref="S23:T23"/>
    <mergeCell ref="U23:V23"/>
    <mergeCell ref="X23:X24"/>
    <mergeCell ref="Y23:Y26"/>
    <mergeCell ref="F24:G24"/>
    <mergeCell ref="K24:L24"/>
    <mergeCell ref="M24:N24"/>
    <mergeCell ref="O24:P24"/>
    <mergeCell ref="Q24:R24"/>
    <mergeCell ref="S24:T24"/>
    <mergeCell ref="U24:V24"/>
    <mergeCell ref="S25:T25"/>
    <mergeCell ref="U25:V25"/>
    <mergeCell ref="X25:X26"/>
    <mergeCell ref="F26:G26"/>
    <mergeCell ref="K26:L26"/>
    <mergeCell ref="M26:N26"/>
    <mergeCell ref="O26:P26"/>
    <mergeCell ref="Q26:R26"/>
    <mergeCell ref="S26:T26"/>
    <mergeCell ref="U26:V26"/>
    <mergeCell ref="D25:D26"/>
    <mergeCell ref="F25:G25"/>
    <mergeCell ref="K25:L25"/>
    <mergeCell ref="M25:N25"/>
    <mergeCell ref="O25:P25"/>
    <mergeCell ref="Q25:R25"/>
    <mergeCell ref="X27:X31"/>
    <mergeCell ref="Y27:Y31"/>
    <mergeCell ref="F28:G28"/>
    <mergeCell ref="K28:L28"/>
    <mergeCell ref="M28:N28"/>
    <mergeCell ref="O28:P28"/>
    <mergeCell ref="Q28:R28"/>
    <mergeCell ref="S28:T28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U28:V28"/>
    <mergeCell ref="F29:G29"/>
    <mergeCell ref="K29:L29"/>
    <mergeCell ref="M29:N29"/>
    <mergeCell ref="O29:P29"/>
    <mergeCell ref="Q29:R29"/>
    <mergeCell ref="U33:V33"/>
    <mergeCell ref="S29:T29"/>
    <mergeCell ref="U29:V29"/>
    <mergeCell ref="S27:T27"/>
    <mergeCell ref="U27:V27"/>
    <mergeCell ref="Q30:R30"/>
    <mergeCell ref="S30:T30"/>
    <mergeCell ref="U30:V30"/>
    <mergeCell ref="F31:G31"/>
    <mergeCell ref="K31:L31"/>
    <mergeCell ref="M31:N31"/>
    <mergeCell ref="O31:P31"/>
    <mergeCell ref="Q31:R31"/>
    <mergeCell ref="S31:T31"/>
    <mergeCell ref="U31:V31"/>
    <mergeCell ref="M33:N33"/>
    <mergeCell ref="O33:P33"/>
    <mergeCell ref="Q33:R33"/>
    <mergeCell ref="S33:T33"/>
    <mergeCell ref="F32:G32"/>
    <mergeCell ref="K32:L32"/>
    <mergeCell ref="M32:N32"/>
    <mergeCell ref="O32:P32"/>
    <mergeCell ref="Q32:R32"/>
    <mergeCell ref="D32:D33"/>
    <mergeCell ref="W34:X35"/>
    <mergeCell ref="Y34:Y35"/>
    <mergeCell ref="F35:G35"/>
    <mergeCell ref="M35:N35"/>
    <mergeCell ref="O35:P35"/>
    <mergeCell ref="Q35:R35"/>
    <mergeCell ref="S35:T35"/>
    <mergeCell ref="U35:V35"/>
    <mergeCell ref="D34:D35"/>
    <mergeCell ref="F34:G34"/>
    <mergeCell ref="K34:L34"/>
    <mergeCell ref="M34:N34"/>
    <mergeCell ref="O34:P34"/>
    <mergeCell ref="Q34:R34"/>
    <mergeCell ref="S34:T34"/>
    <mergeCell ref="U34:V34"/>
    <mergeCell ref="K35:L35"/>
    <mergeCell ref="S32:T32"/>
    <mergeCell ref="U32:V32"/>
    <mergeCell ref="W32:X33"/>
    <mergeCell ref="Y32:Y33"/>
    <mergeCell ref="F33:G33"/>
    <mergeCell ref="K33:L33"/>
    <mergeCell ref="B36:G36"/>
    <mergeCell ref="K36:L36"/>
    <mergeCell ref="M36:N36"/>
    <mergeCell ref="O36:P36"/>
    <mergeCell ref="Q36:R36"/>
    <mergeCell ref="S36:T36"/>
    <mergeCell ref="U36:V36"/>
    <mergeCell ref="W36:X36"/>
    <mergeCell ref="AA36:AB36"/>
    <mergeCell ref="D37:E39"/>
    <mergeCell ref="F37:G37"/>
    <mergeCell ref="K37:L37"/>
    <mergeCell ref="M37:N37"/>
    <mergeCell ref="O37:P37"/>
    <mergeCell ref="Q37:R37"/>
    <mergeCell ref="S37:T37"/>
    <mergeCell ref="U37:V37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Y37:Y60"/>
    <mergeCell ref="F39:G39"/>
    <mergeCell ref="K39:L39"/>
    <mergeCell ref="M39:N39"/>
    <mergeCell ref="O39:P39"/>
    <mergeCell ref="Q39:R39"/>
    <mergeCell ref="S39:T39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F46:G46"/>
    <mergeCell ref="M46:N46"/>
    <mergeCell ref="O46:P46"/>
    <mergeCell ref="Q46:R46"/>
    <mergeCell ref="S46:T46"/>
    <mergeCell ref="U46:V46"/>
    <mergeCell ref="W46:X46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F49:G49"/>
    <mergeCell ref="M49:N49"/>
    <mergeCell ref="O49:P49"/>
    <mergeCell ref="Q49:R49"/>
    <mergeCell ref="S49:T49"/>
    <mergeCell ref="U49:V49"/>
    <mergeCell ref="W47:X47"/>
    <mergeCell ref="F48:G48"/>
    <mergeCell ref="M48:N48"/>
    <mergeCell ref="O48:P48"/>
    <mergeCell ref="Q48:R48"/>
    <mergeCell ref="S48:T48"/>
    <mergeCell ref="U48:V48"/>
    <mergeCell ref="W48:X48"/>
    <mergeCell ref="F47:G47"/>
    <mergeCell ref="M47:N47"/>
    <mergeCell ref="O47:P47"/>
    <mergeCell ref="Q47:R47"/>
    <mergeCell ref="S47:T47"/>
    <mergeCell ref="U47:V47"/>
    <mergeCell ref="W49:X52"/>
    <mergeCell ref="U52:V52"/>
    <mergeCell ref="F51:G51"/>
    <mergeCell ref="M51:N51"/>
    <mergeCell ref="O51:P51"/>
    <mergeCell ref="Q51:R51"/>
    <mergeCell ref="S51:T51"/>
    <mergeCell ref="U51:V51"/>
    <mergeCell ref="F50:G50"/>
    <mergeCell ref="M50:N50"/>
    <mergeCell ref="O50:P50"/>
    <mergeCell ref="Q50:R50"/>
    <mergeCell ref="S50:T50"/>
    <mergeCell ref="U50:V50"/>
    <mergeCell ref="S52:T52"/>
    <mergeCell ref="B53:B60"/>
    <mergeCell ref="C53:C54"/>
    <mergeCell ref="F53:G53"/>
    <mergeCell ref="J53:J60"/>
    <mergeCell ref="K53:L53"/>
    <mergeCell ref="M53:N53"/>
    <mergeCell ref="O53:P53"/>
    <mergeCell ref="Q53:R53"/>
    <mergeCell ref="F52:G52"/>
    <mergeCell ref="M52:N52"/>
    <mergeCell ref="O52:P52"/>
    <mergeCell ref="Q52:R52"/>
    <mergeCell ref="C57:C58"/>
    <mergeCell ref="C59:C60"/>
    <mergeCell ref="K59:L59"/>
    <mergeCell ref="M58:N58"/>
    <mergeCell ref="C55:C56"/>
    <mergeCell ref="F58:G58"/>
    <mergeCell ref="F59:G59"/>
    <mergeCell ref="J49:J52"/>
    <mergeCell ref="M59:N59"/>
    <mergeCell ref="O58:P58"/>
    <mergeCell ref="O59:P59"/>
    <mergeCell ref="F56:G56"/>
    <mergeCell ref="K56:L56"/>
    <mergeCell ref="M56:N56"/>
    <mergeCell ref="O56:P56"/>
    <mergeCell ref="Q56:R56"/>
    <mergeCell ref="S56:T56"/>
    <mergeCell ref="U56:V56"/>
    <mergeCell ref="F55:G55"/>
    <mergeCell ref="K55:L55"/>
    <mergeCell ref="M55:N55"/>
    <mergeCell ref="O55:P55"/>
    <mergeCell ref="Q55:R55"/>
    <mergeCell ref="Q57:R57"/>
    <mergeCell ref="U58:V58"/>
    <mergeCell ref="U59:V59"/>
    <mergeCell ref="Q59:R59"/>
    <mergeCell ref="S58:T58"/>
    <mergeCell ref="S59:T59"/>
    <mergeCell ref="Q58:R58"/>
    <mergeCell ref="S55:T55"/>
    <mergeCell ref="U55:V55"/>
    <mergeCell ref="O61:P62"/>
    <mergeCell ref="Q61:R62"/>
    <mergeCell ref="S61:T62"/>
    <mergeCell ref="U61:V62"/>
    <mergeCell ref="W61:X62"/>
    <mergeCell ref="Y61:Y62"/>
    <mergeCell ref="B61:G62"/>
    <mergeCell ref="H61:H62"/>
    <mergeCell ref="I61:I62"/>
    <mergeCell ref="J61:J62"/>
    <mergeCell ref="K61:L62"/>
    <mergeCell ref="M61:N62"/>
    <mergeCell ref="U63:V63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B63:G63"/>
    <mergeCell ref="K63:L63"/>
    <mergeCell ref="M63:N63"/>
    <mergeCell ref="O63:P63"/>
    <mergeCell ref="Q63:R63"/>
    <mergeCell ref="S63:T63"/>
    <mergeCell ref="U64:V64"/>
    <mergeCell ref="W64:X66"/>
    <mergeCell ref="Y64:Y66"/>
    <mergeCell ref="F65:J65"/>
    <mergeCell ref="K65:L65"/>
    <mergeCell ref="M65:N65"/>
    <mergeCell ref="O65:P65"/>
    <mergeCell ref="Q65:R65"/>
    <mergeCell ref="S65:T65"/>
    <mergeCell ref="U65:V65"/>
    <mergeCell ref="K67:L67"/>
    <mergeCell ref="M67:N67"/>
    <mergeCell ref="O67:P67"/>
    <mergeCell ref="Q67:R67"/>
    <mergeCell ref="S67:T67"/>
    <mergeCell ref="AA65:AB65"/>
    <mergeCell ref="F66:J66"/>
    <mergeCell ref="K66:L66"/>
    <mergeCell ref="M66:N66"/>
    <mergeCell ref="O66:P66"/>
    <mergeCell ref="Q66:R66"/>
    <mergeCell ref="S66:T66"/>
    <mergeCell ref="U66:V66"/>
    <mergeCell ref="AA70:AB70"/>
    <mergeCell ref="B37:C45"/>
    <mergeCell ref="B49:B52"/>
    <mergeCell ref="C49:C50"/>
    <mergeCell ref="C51:C52"/>
    <mergeCell ref="W68:X68"/>
    <mergeCell ref="AA68:AB68"/>
    <mergeCell ref="B69:J69"/>
    <mergeCell ref="K69:N69"/>
    <mergeCell ref="O69:R69"/>
    <mergeCell ref="S69:V69"/>
    <mergeCell ref="W69:X69"/>
    <mergeCell ref="AA69:AB69"/>
    <mergeCell ref="U67:V67"/>
    <mergeCell ref="W67:X67"/>
    <mergeCell ref="AA67:AB67"/>
    <mergeCell ref="B68:J68"/>
    <mergeCell ref="K68:L68"/>
    <mergeCell ref="M68:N68"/>
    <mergeCell ref="O68:P68"/>
    <mergeCell ref="Q68:R68"/>
    <mergeCell ref="S68:T68"/>
    <mergeCell ref="U68:V68"/>
    <mergeCell ref="F67:J67"/>
    <mergeCell ref="S53:T53"/>
    <mergeCell ref="U53:V53"/>
    <mergeCell ref="W53:X60"/>
    <mergeCell ref="F54:G54"/>
    <mergeCell ref="K54:L54"/>
    <mergeCell ref="M54:N54"/>
    <mergeCell ref="O54:P54"/>
    <mergeCell ref="Q54:R54"/>
    <mergeCell ref="S54:T54"/>
    <mergeCell ref="U54:V54"/>
    <mergeCell ref="S57:T57"/>
    <mergeCell ref="U57:V57"/>
    <mergeCell ref="F60:G60"/>
    <mergeCell ref="K60:L60"/>
    <mergeCell ref="M60:N60"/>
    <mergeCell ref="O60:P60"/>
    <mergeCell ref="Q60:R60"/>
    <mergeCell ref="S60:T60"/>
    <mergeCell ref="U60:V60"/>
    <mergeCell ref="K58:L58"/>
    <mergeCell ref="F57:G57"/>
    <mergeCell ref="K57:L57"/>
    <mergeCell ref="M57:N57"/>
    <mergeCell ref="O57:P57"/>
  </mergeCells>
  <phoneticPr fontId="9" type="noConversion"/>
  <conditionalFormatting sqref="AA36:AB36 AC62 AA65:AB65 AA68:AB68 AA70:AB70">
    <cfRule type="containsText" dxfId="0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60" xr:uid="{0E116421-F3E9-4917-8952-F35D7300F5CC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6D80F3-9E41-4C45-8F21-D16602F59201}">
          <x14:formula1>
            <xm:f>삭제금지!$J$2:$J$59</xm:f>
          </x14:formula1>
          <xm:sqref>H5:J5</xm:sqref>
        </x14:dataValidation>
        <x14:dataValidation type="list" allowBlank="1" showInputMessage="1" showErrorMessage="1" xr:uid="{FAD0AF10-2A83-4C94-81F2-CC5B77AB95D3}">
          <x14:formula1>
            <xm:f>삭제금지!$I$2:$I$18</xm:f>
          </x14:formula1>
          <xm:sqref>F5:G5</xm:sqref>
        </x14:dataValidation>
        <x14:dataValidation type="list" allowBlank="1" showInputMessage="1" showErrorMessage="1" xr:uid="{96FDADAE-88BF-40F1-A5D2-BD2A7E375D68}">
          <x14:formula1>
            <xm:f>삭제금지!$K$2:$K$59</xm:f>
          </x14:formula1>
          <xm:sqref>K5:O5</xm:sqref>
        </x14:dataValidation>
        <x14:dataValidation type="list" allowBlank="1" showInputMessage="1" showErrorMessage="1" xr:uid="{A595C4E9-E1DC-43F4-8220-6CF8FFE1FC6D}">
          <x14:formula1>
            <xm:f>삭제금지!$L$2:$L$4</xm:f>
          </x14:formula1>
          <xm:sqref>T5:V5</xm:sqref>
        </x14:dataValidation>
        <x14:dataValidation type="list" allowBlank="1" showInputMessage="1" showErrorMessage="1" xr:uid="{ABE74DA8-EF3B-4D3E-ADC8-6C584652D2C9}">
          <x14:formula1>
            <xm:f>삭제금지!$H$2:$H$18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75BC-5483-46CB-BA5A-33C3B42F4918}">
  <sheetPr>
    <pageSetUpPr fitToPage="1"/>
  </sheetPr>
  <dimension ref="A2:AG50"/>
  <sheetViews>
    <sheetView showGridLines="0" view="pageBreakPreview" topLeftCell="A15" zoomScale="89" zoomScaleNormal="85" zoomScaleSheetLayoutView="89" workbookViewId="0">
      <selection activeCell="L12" sqref="L12"/>
    </sheetView>
  </sheetViews>
  <sheetFormatPr defaultRowHeight="17"/>
  <cols>
    <col min="1" max="1" width="3" customWidth="1"/>
    <col min="2" max="2" width="12.83203125" customWidth="1"/>
    <col min="3" max="3" width="5.58203125" customWidth="1"/>
    <col min="4" max="4" width="21.08203125" style="332" customWidth="1"/>
    <col min="5" max="5" width="19" style="333" bestFit="1" customWidth="1"/>
    <col min="6" max="6" width="9.08203125" style="1" customWidth="1"/>
    <col min="7" max="7" width="10.75" customWidth="1"/>
    <col min="8" max="19" width="7.75" bestFit="1" customWidth="1"/>
    <col min="20" max="20" width="7.83203125" customWidth="1"/>
    <col min="21" max="21" width="8.58203125" customWidth="1"/>
  </cols>
  <sheetData>
    <row r="2" spans="2:33" ht="39.75" customHeight="1" thickBot="1">
      <c r="B2" s="617" t="s">
        <v>150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</row>
    <row r="3" spans="2:33" ht="27" customHeight="1" thickBot="1">
      <c r="B3" s="302"/>
      <c r="C3" s="302"/>
      <c r="D3" s="331"/>
      <c r="E3" s="331"/>
      <c r="F3" s="302"/>
      <c r="G3" s="302"/>
      <c r="H3" s="302"/>
      <c r="I3" s="302"/>
      <c r="J3" s="302"/>
      <c r="K3" s="302"/>
      <c r="L3" s="302"/>
      <c r="M3" s="302"/>
      <c r="N3" s="618" t="s">
        <v>129</v>
      </c>
      <c r="O3" s="619"/>
      <c r="P3" s="620"/>
      <c r="Q3" s="618" t="s">
        <v>127</v>
      </c>
      <c r="R3" s="619"/>
      <c r="S3" s="620"/>
      <c r="T3" s="621" t="s">
        <v>130</v>
      </c>
      <c r="U3" s="622"/>
    </row>
    <row r="4" spans="2:33" ht="27" customHeight="1" thickBot="1">
      <c r="B4" s="302"/>
      <c r="C4" s="302"/>
      <c r="D4" s="331"/>
      <c r="E4" s="331"/>
      <c r="F4" s="302"/>
      <c r="G4" s="302"/>
      <c r="H4" s="302"/>
      <c r="I4" s="302"/>
      <c r="J4" s="302"/>
      <c r="K4" s="302"/>
      <c r="L4" s="302"/>
      <c r="M4" s="302"/>
      <c r="N4" s="623" t="s">
        <v>524</v>
      </c>
      <c r="O4" s="624"/>
      <c r="P4" s="625"/>
      <c r="Q4" s="626" t="s">
        <v>111</v>
      </c>
      <c r="R4" s="627"/>
      <c r="S4" s="628"/>
      <c r="T4" s="629">
        <v>2027</v>
      </c>
      <c r="U4" s="630"/>
    </row>
    <row r="5" spans="2:33" ht="24" customHeight="1" thickBot="1">
      <c r="B5" s="631"/>
      <c r="C5" s="631"/>
    </row>
    <row r="6" spans="2:33" ht="20.25" customHeight="1">
      <c r="B6" s="632" t="s">
        <v>13</v>
      </c>
      <c r="C6" s="635" t="s">
        <v>140</v>
      </c>
      <c r="D6" s="614" t="s">
        <v>14</v>
      </c>
      <c r="E6" s="614" t="s">
        <v>15</v>
      </c>
      <c r="F6" s="614" t="s">
        <v>141</v>
      </c>
      <c r="G6" s="614" t="s">
        <v>142</v>
      </c>
      <c r="H6" s="638" t="s">
        <v>58</v>
      </c>
      <c r="I6" s="638"/>
      <c r="J6" s="638"/>
      <c r="K6" s="638"/>
      <c r="L6" s="638" t="s">
        <v>59</v>
      </c>
      <c r="M6" s="638"/>
      <c r="N6" s="638"/>
      <c r="O6" s="638"/>
      <c r="P6" s="638" t="s">
        <v>60</v>
      </c>
      <c r="Q6" s="638"/>
      <c r="R6" s="638"/>
      <c r="S6" s="638"/>
      <c r="T6" s="639" t="s">
        <v>139</v>
      </c>
      <c r="U6" s="649" t="s">
        <v>126</v>
      </c>
      <c r="W6" s="642" t="s">
        <v>131</v>
      </c>
      <c r="X6" s="643"/>
      <c r="Y6" s="643"/>
      <c r="Z6" s="643"/>
      <c r="AA6" s="643"/>
      <c r="AB6" s="643"/>
      <c r="AC6" s="643"/>
      <c r="AD6" s="643"/>
      <c r="AE6" s="643"/>
      <c r="AF6" s="644"/>
      <c r="AG6" s="247"/>
    </row>
    <row r="7" spans="2:33" ht="16.5" customHeight="1">
      <c r="B7" s="633"/>
      <c r="C7" s="636"/>
      <c r="D7" s="615"/>
      <c r="E7" s="615"/>
      <c r="F7" s="615"/>
      <c r="G7" s="615"/>
      <c r="H7" s="645" t="s">
        <v>124</v>
      </c>
      <c r="I7" s="645"/>
      <c r="J7" s="645" t="s">
        <v>62</v>
      </c>
      <c r="K7" s="645"/>
      <c r="L7" s="645" t="s">
        <v>124</v>
      </c>
      <c r="M7" s="645"/>
      <c r="N7" s="645" t="s">
        <v>62</v>
      </c>
      <c r="O7" s="645"/>
      <c r="P7" s="645" t="s">
        <v>124</v>
      </c>
      <c r="Q7" s="645"/>
      <c r="R7" s="645" t="s">
        <v>62</v>
      </c>
      <c r="S7" s="645"/>
      <c r="T7" s="640"/>
      <c r="U7" s="650"/>
      <c r="W7" s="646" t="s">
        <v>132</v>
      </c>
      <c r="X7" s="647"/>
      <c r="Y7" s="647"/>
      <c r="Z7" s="647"/>
      <c r="AA7" s="647"/>
      <c r="AB7" s="647"/>
      <c r="AC7" s="647"/>
      <c r="AD7" s="647"/>
      <c r="AE7" s="647"/>
      <c r="AF7" s="648"/>
      <c r="AG7" s="247"/>
    </row>
    <row r="8" spans="2:33" ht="17.25" customHeight="1" thickBot="1">
      <c r="B8" s="716"/>
      <c r="C8" s="637"/>
      <c r="D8" s="616"/>
      <c r="E8" s="616"/>
      <c r="F8" s="616"/>
      <c r="G8" s="616"/>
      <c r="H8" s="248" t="s">
        <v>138</v>
      </c>
      <c r="I8" s="248" t="s">
        <v>125</v>
      </c>
      <c r="J8" s="248" t="s">
        <v>138</v>
      </c>
      <c r="K8" s="248" t="s">
        <v>125</v>
      </c>
      <c r="L8" s="248" t="s">
        <v>138</v>
      </c>
      <c r="M8" s="248" t="s">
        <v>125</v>
      </c>
      <c r="N8" s="248" t="s">
        <v>138</v>
      </c>
      <c r="O8" s="248" t="s">
        <v>125</v>
      </c>
      <c r="P8" s="248" t="s">
        <v>138</v>
      </c>
      <c r="Q8" s="248" t="s">
        <v>125</v>
      </c>
      <c r="R8" s="248" t="s">
        <v>138</v>
      </c>
      <c r="S8" s="248" t="s">
        <v>125</v>
      </c>
      <c r="T8" s="641"/>
      <c r="U8" s="651"/>
      <c r="W8" s="14"/>
      <c r="X8" s="249"/>
      <c r="Y8" s="249"/>
      <c r="Z8" s="249"/>
      <c r="AA8" s="249"/>
      <c r="AB8" s="249"/>
      <c r="AC8" s="249"/>
      <c r="AD8" s="249"/>
      <c r="AE8" s="249"/>
      <c r="AF8" s="16"/>
      <c r="AG8" s="247"/>
    </row>
    <row r="9" spans="2:33" ht="16.5" customHeight="1">
      <c r="B9" s="701" t="s">
        <v>365</v>
      </c>
      <c r="C9" s="705">
        <v>10</v>
      </c>
      <c r="D9" s="334" t="s">
        <v>803</v>
      </c>
      <c r="E9" s="334" t="s">
        <v>804</v>
      </c>
      <c r="F9" s="303">
        <v>20</v>
      </c>
      <c r="G9" s="303">
        <v>3</v>
      </c>
      <c r="H9" s="304"/>
      <c r="I9" s="304"/>
      <c r="J9" s="304"/>
      <c r="K9" s="304"/>
      <c r="L9" s="304"/>
      <c r="M9" s="304"/>
      <c r="N9" s="304"/>
      <c r="O9" s="304"/>
      <c r="P9" s="304">
        <v>2</v>
      </c>
      <c r="Q9" s="304">
        <v>32</v>
      </c>
      <c r="R9" s="304"/>
      <c r="S9" s="304"/>
      <c r="T9" s="188">
        <f>SUM(H9,J9,L9,N9,P9,R9)</f>
        <v>2</v>
      </c>
      <c r="U9" s="188">
        <f>SUM(I9,K9,M9,O9,Q9,S9)</f>
        <v>32</v>
      </c>
      <c r="W9" s="256"/>
      <c r="X9" s="247"/>
      <c r="Y9" s="247"/>
      <c r="Z9" s="247"/>
      <c r="AA9" s="247"/>
      <c r="AB9" s="247"/>
      <c r="AC9" s="247"/>
      <c r="AD9" s="247"/>
      <c r="AE9" s="247"/>
      <c r="AF9" s="257"/>
      <c r="AG9" s="247"/>
    </row>
    <row r="10" spans="2:33" ht="16.5" customHeight="1">
      <c r="B10" s="702"/>
      <c r="C10" s="706"/>
      <c r="D10" s="335" t="s">
        <v>805</v>
      </c>
      <c r="E10" s="335" t="s">
        <v>806</v>
      </c>
      <c r="F10" s="307">
        <v>20</v>
      </c>
      <c r="G10" s="307">
        <v>2</v>
      </c>
      <c r="H10" s="308"/>
      <c r="I10" s="308"/>
      <c r="J10" s="308"/>
      <c r="K10" s="308"/>
      <c r="L10" s="308"/>
      <c r="M10" s="308"/>
      <c r="N10" s="308"/>
      <c r="O10" s="308"/>
      <c r="P10" s="308">
        <v>3</v>
      </c>
      <c r="Q10" s="308">
        <v>48</v>
      </c>
      <c r="R10" s="308"/>
      <c r="S10" s="308"/>
      <c r="T10" s="189">
        <f>SUM(H10,J10,L10,N10,P10,R10)</f>
        <v>3</v>
      </c>
      <c r="U10" s="189">
        <f>SUM(I10,K10,M10,O10,Q10,S10)</f>
        <v>48</v>
      </c>
      <c r="W10" s="256"/>
      <c r="X10" s="247"/>
      <c r="Y10" s="247"/>
      <c r="Z10" s="247"/>
      <c r="AA10" s="247"/>
      <c r="AB10" s="247"/>
      <c r="AC10" s="247"/>
      <c r="AD10" s="247"/>
      <c r="AE10" s="247"/>
      <c r="AF10" s="257"/>
      <c r="AG10" s="247"/>
    </row>
    <row r="11" spans="2:33">
      <c r="B11" s="702"/>
      <c r="C11" s="706"/>
      <c r="D11" s="335" t="s">
        <v>807</v>
      </c>
      <c r="E11" s="335" t="s">
        <v>808</v>
      </c>
      <c r="F11" s="313">
        <v>40</v>
      </c>
      <c r="G11" s="313">
        <v>3</v>
      </c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>
        <v>2</v>
      </c>
      <c r="S11" s="314">
        <v>32</v>
      </c>
      <c r="T11" s="189">
        <f t="shared" ref="T11:U12" si="0">SUM(H11,J11,L11,N11,P11,R11)</f>
        <v>2</v>
      </c>
      <c r="U11" s="189">
        <f t="shared" si="0"/>
        <v>32</v>
      </c>
    </row>
    <row r="12" spans="2:33">
      <c r="B12" s="702"/>
      <c r="C12" s="706"/>
      <c r="D12" s="335" t="s">
        <v>809</v>
      </c>
      <c r="E12" s="335" t="s">
        <v>810</v>
      </c>
      <c r="F12" s="313">
        <v>50</v>
      </c>
      <c r="G12" s="313">
        <v>4</v>
      </c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>
        <v>3</v>
      </c>
      <c r="S12" s="314">
        <v>48</v>
      </c>
      <c r="T12" s="189">
        <f t="shared" si="0"/>
        <v>3</v>
      </c>
      <c r="U12" s="189">
        <f t="shared" si="0"/>
        <v>48</v>
      </c>
    </row>
    <row r="13" spans="2:33" ht="17.5" thickBot="1">
      <c r="B13" s="703"/>
      <c r="C13" s="707"/>
      <c r="D13" s="704" t="s">
        <v>16</v>
      </c>
      <c r="E13" s="704"/>
      <c r="F13" s="310">
        <f>SUM(F9:F12)</f>
        <v>130</v>
      </c>
      <c r="G13" s="310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1"/>
      <c r="S13" s="311"/>
      <c r="T13" s="312">
        <f>SUM(T9:T12)</f>
        <v>10</v>
      </c>
      <c r="U13" s="312">
        <f>SUM(U9:U12)</f>
        <v>160</v>
      </c>
    </row>
    <row r="14" spans="2:33">
      <c r="B14" s="708" t="s">
        <v>811</v>
      </c>
      <c r="C14" s="711">
        <v>10</v>
      </c>
      <c r="D14" s="334" t="s">
        <v>812</v>
      </c>
      <c r="E14" s="334" t="s">
        <v>813</v>
      </c>
      <c r="F14" s="303">
        <v>30</v>
      </c>
      <c r="G14" s="303">
        <v>4</v>
      </c>
      <c r="H14" s="304"/>
      <c r="I14" s="304"/>
      <c r="J14" s="304"/>
      <c r="K14" s="304"/>
      <c r="L14" s="304"/>
      <c r="M14" s="304"/>
      <c r="N14" s="304"/>
      <c r="O14" s="304"/>
      <c r="P14" s="304">
        <v>3</v>
      </c>
      <c r="Q14" s="304">
        <v>48</v>
      </c>
      <c r="R14" s="304"/>
      <c r="S14" s="304"/>
      <c r="T14" s="188">
        <f>SUM(H14,J14,L14,N14,P14,R14)</f>
        <v>3</v>
      </c>
      <c r="U14" s="188">
        <f>SUM(I14,K14,M14,O14,Q14,S14)</f>
        <v>48</v>
      </c>
      <c r="W14" s="277"/>
    </row>
    <row r="15" spans="2:33">
      <c r="B15" s="714"/>
      <c r="C15" s="715"/>
      <c r="D15" s="335" t="s">
        <v>814</v>
      </c>
      <c r="E15" s="335" t="s">
        <v>815</v>
      </c>
      <c r="F15" s="313">
        <v>20</v>
      </c>
      <c r="G15" s="313">
        <v>2</v>
      </c>
      <c r="H15" s="314"/>
      <c r="I15" s="314"/>
      <c r="J15" s="314"/>
      <c r="K15" s="314"/>
      <c r="L15" s="314"/>
      <c r="M15" s="314"/>
      <c r="N15" s="314"/>
      <c r="O15" s="314"/>
      <c r="P15" s="314">
        <v>2</v>
      </c>
      <c r="Q15" s="314">
        <v>32</v>
      </c>
      <c r="R15" s="314"/>
      <c r="S15" s="308"/>
      <c r="T15" s="189">
        <f>SUM(H15,J15,L15,N15,P15,R15)</f>
        <v>2</v>
      </c>
      <c r="U15" s="189">
        <f>SUM(I15,K15,M15,O15,Q15,S15)</f>
        <v>32</v>
      </c>
    </row>
    <row r="16" spans="2:33">
      <c r="B16" s="714"/>
      <c r="C16" s="715"/>
      <c r="D16" s="335" t="s">
        <v>816</v>
      </c>
      <c r="E16" s="335" t="s">
        <v>817</v>
      </c>
      <c r="F16" s="313">
        <v>30</v>
      </c>
      <c r="G16" s="313">
        <v>3</v>
      </c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14">
        <v>2</v>
      </c>
      <c r="S16" s="308">
        <v>32</v>
      </c>
      <c r="T16" s="189">
        <f t="shared" ref="T16:U17" si="1">SUM(H16,J16,L16,N16,P16,R16)</f>
        <v>2</v>
      </c>
      <c r="U16" s="189">
        <f t="shared" si="1"/>
        <v>32</v>
      </c>
    </row>
    <row r="17" spans="2:21">
      <c r="B17" s="709"/>
      <c r="C17" s="712"/>
      <c r="D17" s="335" t="s">
        <v>818</v>
      </c>
      <c r="E17" s="335" t="s">
        <v>819</v>
      </c>
      <c r="F17" s="307">
        <v>20</v>
      </c>
      <c r="G17" s="307">
        <v>2</v>
      </c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>
        <v>3</v>
      </c>
      <c r="S17" s="308">
        <v>48</v>
      </c>
      <c r="T17" s="189">
        <f t="shared" si="1"/>
        <v>3</v>
      </c>
      <c r="U17" s="189">
        <f t="shared" si="1"/>
        <v>48</v>
      </c>
    </row>
    <row r="18" spans="2:21" ht="17.5" thickBot="1">
      <c r="B18" s="710"/>
      <c r="C18" s="713"/>
      <c r="D18" s="704" t="s">
        <v>16</v>
      </c>
      <c r="E18" s="704"/>
      <c r="F18" s="310">
        <f>SUM(F14:F17)</f>
        <v>100</v>
      </c>
      <c r="G18" s="310"/>
      <c r="H18" s="311"/>
      <c r="I18" s="311"/>
      <c r="J18" s="311"/>
      <c r="K18" s="311"/>
      <c r="L18" s="311"/>
      <c r="M18" s="311"/>
      <c r="N18" s="311"/>
      <c r="O18" s="311"/>
      <c r="P18" s="311"/>
      <c r="Q18" s="311"/>
      <c r="R18" s="311"/>
      <c r="S18" s="311"/>
      <c r="T18" s="312">
        <f>SUM(T14:T17)</f>
        <v>10</v>
      </c>
      <c r="U18" s="312">
        <f>SUM(U14:U17)</f>
        <v>160</v>
      </c>
    </row>
    <row r="19" spans="2:21">
      <c r="B19" s="702" t="s">
        <v>366</v>
      </c>
      <c r="C19" s="698">
        <v>13</v>
      </c>
      <c r="D19" s="334" t="s">
        <v>820</v>
      </c>
      <c r="E19" s="336" t="s">
        <v>821</v>
      </c>
      <c r="F19" s="337">
        <v>20</v>
      </c>
      <c r="G19" s="337">
        <v>3</v>
      </c>
      <c r="H19" s="314"/>
      <c r="I19" s="314"/>
      <c r="J19" s="314"/>
      <c r="K19" s="314"/>
      <c r="L19" s="314"/>
      <c r="M19" s="314"/>
      <c r="N19" s="314"/>
      <c r="O19" s="314"/>
      <c r="P19" s="314">
        <v>2</v>
      </c>
      <c r="Q19" s="314">
        <v>32</v>
      </c>
      <c r="R19" s="314"/>
      <c r="S19" s="314"/>
      <c r="T19" s="188">
        <f>SUM(H19,J19,L19,N19,P19,R19)</f>
        <v>2</v>
      </c>
      <c r="U19" s="188">
        <f>SUM(I19,K19,M19,O19,Q19,S19)</f>
        <v>32</v>
      </c>
    </row>
    <row r="20" spans="2:21">
      <c r="B20" s="702"/>
      <c r="C20" s="699"/>
      <c r="D20" s="338" t="s">
        <v>822</v>
      </c>
      <c r="E20" s="339" t="s">
        <v>823</v>
      </c>
      <c r="F20" s="340">
        <v>20</v>
      </c>
      <c r="G20" s="341">
        <v>3</v>
      </c>
      <c r="H20" s="314"/>
      <c r="I20" s="314"/>
      <c r="J20" s="314"/>
      <c r="K20" s="314"/>
      <c r="L20" s="314"/>
      <c r="M20" s="314"/>
      <c r="N20" s="314"/>
      <c r="O20" s="314"/>
      <c r="P20" s="314">
        <v>3</v>
      </c>
      <c r="Q20" s="314">
        <v>48</v>
      </c>
      <c r="R20" s="314"/>
      <c r="S20" s="314"/>
      <c r="T20" s="189">
        <f>SUM(H20,J20,L20,N20,P20,R20)</f>
        <v>3</v>
      </c>
      <c r="U20" s="189">
        <f>SUM(I20,K20,M20,O20,Q20,S20)</f>
        <v>48</v>
      </c>
    </row>
    <row r="21" spans="2:21">
      <c r="B21" s="702"/>
      <c r="C21" s="699"/>
      <c r="D21" s="335" t="s">
        <v>824</v>
      </c>
      <c r="E21" s="342" t="s">
        <v>825</v>
      </c>
      <c r="F21" s="337">
        <v>15</v>
      </c>
      <c r="G21" s="337">
        <v>2</v>
      </c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>
        <v>2</v>
      </c>
      <c r="S21" s="314">
        <v>32</v>
      </c>
      <c r="T21" s="189">
        <f t="shared" ref="T21:U23" si="2">SUM(H21,J21,L21,N21,P21,R21)</f>
        <v>2</v>
      </c>
      <c r="U21" s="189">
        <f t="shared" si="2"/>
        <v>32</v>
      </c>
    </row>
    <row r="22" spans="2:21">
      <c r="B22" s="702"/>
      <c r="C22" s="699"/>
      <c r="D22" s="335" t="s">
        <v>826</v>
      </c>
      <c r="E22" s="342" t="s">
        <v>827</v>
      </c>
      <c r="F22" s="337">
        <v>15</v>
      </c>
      <c r="G22" s="337">
        <v>2</v>
      </c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>
        <v>3</v>
      </c>
      <c r="S22" s="314">
        <v>48</v>
      </c>
      <c r="T22" s="189">
        <f t="shared" si="2"/>
        <v>3</v>
      </c>
      <c r="U22" s="189">
        <f t="shared" si="2"/>
        <v>48</v>
      </c>
    </row>
    <row r="23" spans="2:21">
      <c r="B23" s="702"/>
      <c r="C23" s="699"/>
      <c r="D23" s="335" t="s">
        <v>828</v>
      </c>
      <c r="E23" s="342" t="s">
        <v>829</v>
      </c>
      <c r="F23" s="337">
        <v>20</v>
      </c>
      <c r="G23" s="337">
        <v>2</v>
      </c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>
        <v>3</v>
      </c>
      <c r="S23" s="308">
        <v>48</v>
      </c>
      <c r="T23" s="189">
        <f t="shared" si="2"/>
        <v>3</v>
      </c>
      <c r="U23" s="189">
        <f t="shared" si="2"/>
        <v>48</v>
      </c>
    </row>
    <row r="24" spans="2:21" ht="17.5" thickBot="1">
      <c r="B24" s="703"/>
      <c r="C24" s="700"/>
      <c r="D24" s="704" t="s">
        <v>16</v>
      </c>
      <c r="E24" s="704"/>
      <c r="F24" s="310">
        <f>SUM(F19:F23)</f>
        <v>90</v>
      </c>
      <c r="G24" s="317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2">
        <f>SUM(T19:T23)</f>
        <v>13</v>
      </c>
      <c r="U24" s="312">
        <f>SUM(U19:U23)</f>
        <v>208</v>
      </c>
    </row>
    <row r="25" spans="2:21">
      <c r="B25" s="708" t="s">
        <v>612</v>
      </c>
      <c r="C25" s="711">
        <v>18</v>
      </c>
      <c r="D25" s="334" t="s">
        <v>830</v>
      </c>
      <c r="E25" s="334" t="s">
        <v>831</v>
      </c>
      <c r="F25" s="303">
        <v>20</v>
      </c>
      <c r="G25" s="319">
        <v>3</v>
      </c>
      <c r="H25" s="304"/>
      <c r="I25" s="304"/>
      <c r="J25" s="304"/>
      <c r="K25" s="304"/>
      <c r="L25" s="304"/>
      <c r="M25" s="304"/>
      <c r="N25" s="304">
        <v>2</v>
      </c>
      <c r="O25" s="304">
        <v>32</v>
      </c>
      <c r="P25" s="304"/>
      <c r="Q25" s="304"/>
      <c r="R25" s="304"/>
      <c r="S25" s="304"/>
      <c r="T25" s="188">
        <f>SUM(H25,J25,L25,N25,P25,R25)</f>
        <v>2</v>
      </c>
      <c r="U25" s="188">
        <f>SUM(I25,K25,M25,O25,Q25,S25)</f>
        <v>32</v>
      </c>
    </row>
    <row r="26" spans="2:21">
      <c r="B26" s="709"/>
      <c r="C26" s="712"/>
      <c r="D26" s="335" t="s">
        <v>832</v>
      </c>
      <c r="E26" s="335" t="s">
        <v>833</v>
      </c>
      <c r="F26" s="313">
        <v>30</v>
      </c>
      <c r="G26" s="313">
        <v>3</v>
      </c>
      <c r="H26" s="314"/>
      <c r="I26" s="314"/>
      <c r="J26" s="314"/>
      <c r="K26" s="314"/>
      <c r="L26" s="314"/>
      <c r="M26" s="314"/>
      <c r="N26" s="314">
        <v>3</v>
      </c>
      <c r="O26" s="314">
        <v>48</v>
      </c>
      <c r="P26" s="314"/>
      <c r="Q26" s="314"/>
      <c r="R26" s="314"/>
      <c r="S26" s="314"/>
      <c r="T26" s="189">
        <f>SUM(H26,J26,L26,N26,P26,R26)</f>
        <v>3</v>
      </c>
      <c r="U26" s="189">
        <f>SUM(I26,K26,M26,O26,Q26,S26)</f>
        <v>48</v>
      </c>
    </row>
    <row r="27" spans="2:21">
      <c r="B27" s="709"/>
      <c r="C27" s="712"/>
      <c r="D27" s="335" t="s">
        <v>834</v>
      </c>
      <c r="E27" s="335" t="s">
        <v>835</v>
      </c>
      <c r="F27" s="313">
        <v>40</v>
      </c>
      <c r="G27" s="313">
        <v>3</v>
      </c>
      <c r="H27" s="314"/>
      <c r="I27" s="314"/>
      <c r="J27" s="314"/>
      <c r="K27" s="314"/>
      <c r="L27" s="314"/>
      <c r="M27" s="314"/>
      <c r="N27" s="314">
        <v>3</v>
      </c>
      <c r="O27" s="314">
        <v>48</v>
      </c>
      <c r="P27" s="314"/>
      <c r="Q27" s="314"/>
      <c r="R27" s="314"/>
      <c r="S27" s="314"/>
      <c r="T27" s="189">
        <f>SUM(H27,J27,L27,N27,P27,R27)</f>
        <v>3</v>
      </c>
      <c r="U27" s="189">
        <f t="shared" ref="U27:U29" si="3">SUM(I27,K27,M27,O27,Q27,S27)</f>
        <v>48</v>
      </c>
    </row>
    <row r="28" spans="2:21">
      <c r="B28" s="709"/>
      <c r="C28" s="712"/>
      <c r="D28" s="335" t="s">
        <v>836</v>
      </c>
      <c r="E28" s="335" t="s">
        <v>837</v>
      </c>
      <c r="F28" s="313">
        <v>40</v>
      </c>
      <c r="G28" s="313">
        <v>3</v>
      </c>
      <c r="H28" s="314"/>
      <c r="I28" s="314"/>
      <c r="J28" s="314"/>
      <c r="K28" s="314"/>
      <c r="L28" s="314"/>
      <c r="M28" s="314"/>
      <c r="N28" s="314"/>
      <c r="O28" s="314"/>
      <c r="P28" s="314">
        <v>4</v>
      </c>
      <c r="Q28" s="314">
        <v>64</v>
      </c>
      <c r="R28" s="314"/>
      <c r="S28" s="314"/>
      <c r="T28" s="190">
        <f>SUM(H28,J28,L28,N28,P28,R28)</f>
        <v>4</v>
      </c>
      <c r="U28" s="189">
        <f t="shared" si="3"/>
        <v>64</v>
      </c>
    </row>
    <row r="29" spans="2:21">
      <c r="B29" s="709"/>
      <c r="C29" s="712"/>
      <c r="D29" s="335" t="s">
        <v>838</v>
      </c>
      <c r="E29" s="335" t="s">
        <v>839</v>
      </c>
      <c r="F29" s="307">
        <v>40</v>
      </c>
      <c r="G29" s="307">
        <v>4</v>
      </c>
      <c r="H29" s="308"/>
      <c r="I29" s="308"/>
      <c r="J29" s="308"/>
      <c r="K29" s="308"/>
      <c r="L29" s="308"/>
      <c r="M29" s="308"/>
      <c r="N29" s="308"/>
      <c r="O29" s="308"/>
      <c r="P29" s="308">
        <v>3</v>
      </c>
      <c r="Q29" s="308">
        <v>48</v>
      </c>
      <c r="R29" s="308"/>
      <c r="S29" s="308"/>
      <c r="T29" s="190">
        <f>SUM(H29,J29,L29,N29,P29,R29)</f>
        <v>3</v>
      </c>
      <c r="U29" s="189">
        <f t="shared" si="3"/>
        <v>48</v>
      </c>
    </row>
    <row r="30" spans="2:21">
      <c r="B30" s="709"/>
      <c r="C30" s="712"/>
      <c r="D30" s="335" t="s">
        <v>840</v>
      </c>
      <c r="E30" s="343" t="s">
        <v>841</v>
      </c>
      <c r="F30" s="307">
        <v>40</v>
      </c>
      <c r="G30" s="307">
        <v>3</v>
      </c>
      <c r="H30" s="308"/>
      <c r="I30" s="308"/>
      <c r="J30" s="308"/>
      <c r="K30" s="308"/>
      <c r="L30" s="308"/>
      <c r="M30" s="308"/>
      <c r="N30" s="308"/>
      <c r="O30" s="308"/>
      <c r="P30" s="308">
        <v>3</v>
      </c>
      <c r="Q30" s="308">
        <v>48</v>
      </c>
      <c r="R30" s="308"/>
      <c r="S30" s="308"/>
      <c r="T30" s="190">
        <f>SUM(H30,J30,L30,N30,P30,R30)</f>
        <v>3</v>
      </c>
      <c r="U30" s="190">
        <f>SUM(I30,K30,M30,O30,Q30,S30)</f>
        <v>48</v>
      </c>
    </row>
    <row r="31" spans="2:21" ht="17.5" thickBot="1">
      <c r="B31" s="710"/>
      <c r="C31" s="713"/>
      <c r="D31" s="704" t="s">
        <v>16</v>
      </c>
      <c r="E31" s="704"/>
      <c r="F31" s="310">
        <f>SUM(F25:F30)</f>
        <v>210</v>
      </c>
      <c r="G31" s="310"/>
      <c r="H31" s="311"/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2">
        <f>SUM(T25:T30)</f>
        <v>18</v>
      </c>
      <c r="U31" s="312">
        <f>SUM(U25:U30)</f>
        <v>288</v>
      </c>
    </row>
    <row r="32" spans="2:21">
      <c r="B32" s="701" t="s">
        <v>613</v>
      </c>
      <c r="C32" s="705">
        <v>11</v>
      </c>
      <c r="D32" s="334" t="s">
        <v>842</v>
      </c>
      <c r="E32" s="334" t="s">
        <v>843</v>
      </c>
      <c r="F32" s="313">
        <v>20</v>
      </c>
      <c r="G32" s="313">
        <v>3</v>
      </c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>
        <v>2</v>
      </c>
      <c r="S32" s="304">
        <v>32</v>
      </c>
      <c r="T32" s="188">
        <f>SUM(H32,J32,L32,N32,P32,R32)</f>
        <v>2</v>
      </c>
      <c r="U32" s="188">
        <f>SUM(I32,K32,M32,O32,Q32,S32)</f>
        <v>32</v>
      </c>
    </row>
    <row r="33" spans="1:21">
      <c r="B33" s="702"/>
      <c r="C33" s="706"/>
      <c r="D33" s="335" t="s">
        <v>844</v>
      </c>
      <c r="E33" s="335" t="s">
        <v>845</v>
      </c>
      <c r="F33" s="313">
        <v>40</v>
      </c>
      <c r="G33" s="313">
        <v>3</v>
      </c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>
        <v>2</v>
      </c>
      <c r="S33" s="314">
        <v>32</v>
      </c>
      <c r="T33" s="189">
        <f>SUM(H33,J33,L33,N33,P33,R33)</f>
        <v>2</v>
      </c>
      <c r="U33" s="189">
        <f>SUM(I33,K33,M33,O33,Q33,S33)</f>
        <v>32</v>
      </c>
    </row>
    <row r="34" spans="1:21">
      <c r="B34" s="702"/>
      <c r="C34" s="706"/>
      <c r="D34" s="335" t="s">
        <v>846</v>
      </c>
      <c r="E34" s="335" t="s">
        <v>847</v>
      </c>
      <c r="F34" s="307">
        <v>40</v>
      </c>
      <c r="G34" s="307">
        <v>3</v>
      </c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14">
        <v>2</v>
      </c>
      <c r="S34" s="314">
        <v>32</v>
      </c>
      <c r="T34" s="189">
        <f>SUM(H34,J34,L34,N34,P34,R34)</f>
        <v>2</v>
      </c>
      <c r="U34" s="189">
        <f t="shared" ref="U34:U36" si="4">SUM(I34,K34,M34,O34,Q34,S34)</f>
        <v>32</v>
      </c>
    </row>
    <row r="35" spans="1:21" ht="18">
      <c r="B35" s="702"/>
      <c r="C35" s="706"/>
      <c r="D35" s="335" t="s">
        <v>848</v>
      </c>
      <c r="E35" s="335" t="s">
        <v>849</v>
      </c>
      <c r="F35" s="313">
        <v>40</v>
      </c>
      <c r="G35" s="320">
        <v>3</v>
      </c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>
        <v>3</v>
      </c>
      <c r="S35" s="314">
        <v>48</v>
      </c>
      <c r="T35" s="190">
        <f>SUM(H35,J35,L35,N35,P35,R35)</f>
        <v>3</v>
      </c>
      <c r="U35" s="189">
        <f t="shared" si="4"/>
        <v>48</v>
      </c>
    </row>
    <row r="36" spans="1:21">
      <c r="B36" s="702"/>
      <c r="C36" s="706"/>
      <c r="D36" s="335" t="s">
        <v>850</v>
      </c>
      <c r="E36" s="335" t="s">
        <v>851</v>
      </c>
      <c r="F36" s="313">
        <v>40</v>
      </c>
      <c r="G36" s="320">
        <v>4</v>
      </c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14">
        <v>2</v>
      </c>
      <c r="S36" s="314">
        <v>32</v>
      </c>
      <c r="T36" s="190">
        <f>SUM(H36,J36,L36,N36,P36,R36)</f>
        <v>2</v>
      </c>
      <c r="U36" s="189">
        <f t="shared" si="4"/>
        <v>32</v>
      </c>
    </row>
    <row r="37" spans="1:21" ht="17.5" thickBot="1">
      <c r="B37" s="703"/>
      <c r="C37" s="707"/>
      <c r="D37" s="704" t="s">
        <v>16</v>
      </c>
      <c r="E37" s="704"/>
      <c r="F37" s="310">
        <f>SUM(F32:F36)</f>
        <v>180</v>
      </c>
      <c r="G37" s="310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2">
        <f>SUM(T32:T36)</f>
        <v>11</v>
      </c>
      <c r="U37" s="312">
        <f>SUM(U32:U36)</f>
        <v>176</v>
      </c>
    </row>
    <row r="38" spans="1:21">
      <c r="B38" s="702" t="s">
        <v>852</v>
      </c>
      <c r="C38" s="699">
        <v>21</v>
      </c>
      <c r="D38" s="334" t="s">
        <v>853</v>
      </c>
      <c r="E38" s="334" t="s">
        <v>854</v>
      </c>
      <c r="F38" s="303">
        <v>20</v>
      </c>
      <c r="G38" s="319">
        <v>2</v>
      </c>
      <c r="H38" s="304"/>
      <c r="I38" s="304"/>
      <c r="J38" s="304"/>
      <c r="K38" s="304"/>
      <c r="L38" s="304"/>
      <c r="M38" s="304"/>
      <c r="N38" s="304"/>
      <c r="O38" s="304"/>
      <c r="P38" s="304">
        <v>3</v>
      </c>
      <c r="Q38" s="304">
        <v>48</v>
      </c>
      <c r="R38" s="304"/>
      <c r="S38" s="304"/>
      <c r="T38" s="188">
        <f>SUM(H38,J38,L38,N38,P38,R38)</f>
        <v>3</v>
      </c>
      <c r="U38" s="188">
        <f>SUM(I38,K38,M38,O38,Q38,S38)</f>
        <v>48</v>
      </c>
    </row>
    <row r="39" spans="1:21">
      <c r="B39" s="702"/>
      <c r="C39" s="699"/>
      <c r="D39" s="335" t="s">
        <v>781</v>
      </c>
      <c r="E39" s="335" t="s">
        <v>855</v>
      </c>
      <c r="F39" s="313">
        <v>60</v>
      </c>
      <c r="G39" s="320">
        <v>3</v>
      </c>
      <c r="H39" s="314"/>
      <c r="I39" s="314"/>
      <c r="J39" s="314"/>
      <c r="K39" s="314"/>
      <c r="L39" s="314"/>
      <c r="M39" s="314"/>
      <c r="N39" s="314"/>
      <c r="O39" s="314"/>
      <c r="P39" s="314">
        <v>3</v>
      </c>
      <c r="Q39" s="314">
        <v>48</v>
      </c>
      <c r="R39" s="314"/>
      <c r="S39" s="314"/>
      <c r="T39" s="189">
        <f>SUM(H39,J39,L39,N39,P39,R39)</f>
        <v>3</v>
      </c>
      <c r="U39" s="189">
        <f>SUM(I39,K39,M39,O39,Q39,S39)</f>
        <v>48</v>
      </c>
    </row>
    <row r="40" spans="1:21">
      <c r="B40" s="702"/>
      <c r="C40" s="699"/>
      <c r="D40" s="335" t="s">
        <v>785</v>
      </c>
      <c r="E40" s="335" t="s">
        <v>856</v>
      </c>
      <c r="F40" s="313">
        <v>50</v>
      </c>
      <c r="G40" s="320">
        <v>2</v>
      </c>
      <c r="H40" s="314"/>
      <c r="I40" s="314"/>
      <c r="J40" s="314"/>
      <c r="K40" s="314"/>
      <c r="L40" s="314"/>
      <c r="M40" s="314"/>
      <c r="N40" s="314"/>
      <c r="O40" s="314"/>
      <c r="P40" s="314">
        <v>4</v>
      </c>
      <c r="Q40" s="314">
        <v>64</v>
      </c>
      <c r="R40" s="314"/>
      <c r="S40" s="314"/>
      <c r="T40" s="189">
        <f>SUM(H40,J40,L40,N40,P40,R40)</f>
        <v>4</v>
      </c>
      <c r="U40" s="189">
        <f t="shared" ref="U40:U42" si="5">SUM(I40,K40,M40,O40,Q40,S40)</f>
        <v>64</v>
      </c>
    </row>
    <row r="41" spans="1:21">
      <c r="B41" s="702"/>
      <c r="C41" s="699"/>
      <c r="D41" s="335" t="s">
        <v>857</v>
      </c>
      <c r="E41" s="335" t="s">
        <v>858</v>
      </c>
      <c r="F41" s="313">
        <v>35</v>
      </c>
      <c r="G41" s="320">
        <v>3</v>
      </c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>
        <v>4</v>
      </c>
      <c r="S41" s="314">
        <v>64</v>
      </c>
      <c r="T41" s="190">
        <f>SUM(H41,J41,L41,N41,P41,R41)</f>
        <v>4</v>
      </c>
      <c r="U41" s="189">
        <f t="shared" si="5"/>
        <v>64</v>
      </c>
    </row>
    <row r="42" spans="1:21">
      <c r="B42" s="702"/>
      <c r="C42" s="699"/>
      <c r="D42" s="335" t="s">
        <v>783</v>
      </c>
      <c r="E42" s="335" t="s">
        <v>859</v>
      </c>
      <c r="F42" s="313">
        <v>50</v>
      </c>
      <c r="G42" s="313">
        <v>3</v>
      </c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>
        <v>4</v>
      </c>
      <c r="S42" s="314">
        <v>64</v>
      </c>
      <c r="T42" s="190">
        <f>SUM(H42,J42,L42,N42,P42,R42)</f>
        <v>4</v>
      </c>
      <c r="U42" s="189">
        <f t="shared" si="5"/>
        <v>64</v>
      </c>
    </row>
    <row r="43" spans="1:21">
      <c r="B43" s="702"/>
      <c r="C43" s="699"/>
      <c r="D43" s="335" t="s">
        <v>779</v>
      </c>
      <c r="E43" s="335" t="s">
        <v>780</v>
      </c>
      <c r="F43" s="307">
        <v>60</v>
      </c>
      <c r="G43" s="307">
        <v>3</v>
      </c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>
        <v>3</v>
      </c>
      <c r="S43" s="308">
        <v>48</v>
      </c>
      <c r="T43" s="190">
        <f>SUM(H43,J43,L43,N43,P43,R43)</f>
        <v>3</v>
      </c>
      <c r="U43" s="190">
        <f>SUM(I43,K43,M43,O43,Q43,S43)</f>
        <v>48</v>
      </c>
    </row>
    <row r="44" spans="1:21" s="187" customFormat="1" ht="17.5" thickBot="1">
      <c r="A44" s="191"/>
      <c r="B44" s="703"/>
      <c r="C44" s="700"/>
      <c r="D44" s="704" t="s">
        <v>16</v>
      </c>
      <c r="E44" s="704"/>
      <c r="F44" s="310">
        <f>SUM(F38:F43)</f>
        <v>275</v>
      </c>
      <c r="G44" s="321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12">
        <f>SUM(T38:T43)</f>
        <v>21</v>
      </c>
      <c r="U44" s="312">
        <f>SUM(U38:U43)</f>
        <v>336</v>
      </c>
    </row>
    <row r="45" spans="1:21">
      <c r="B45" s="701" t="s">
        <v>860</v>
      </c>
      <c r="C45" s="705">
        <v>3</v>
      </c>
      <c r="D45" s="344" t="s">
        <v>629</v>
      </c>
      <c r="E45" s="345" t="s">
        <v>630</v>
      </c>
      <c r="F45" s="259">
        <v>40</v>
      </c>
      <c r="G45" s="259">
        <v>2</v>
      </c>
      <c r="H45" s="261"/>
      <c r="I45" s="261"/>
      <c r="J45" s="261"/>
      <c r="K45" s="261"/>
      <c r="L45" s="261"/>
      <c r="M45" s="261"/>
      <c r="N45" s="261">
        <v>1</v>
      </c>
      <c r="O45" s="261">
        <v>16</v>
      </c>
      <c r="P45" s="261"/>
      <c r="Q45" s="261"/>
      <c r="R45" s="261"/>
      <c r="S45" s="261"/>
      <c r="T45" s="329">
        <v>1</v>
      </c>
      <c r="U45" s="330">
        <v>32</v>
      </c>
    </row>
    <row r="46" spans="1:21">
      <c r="B46" s="702"/>
      <c r="C46" s="706"/>
      <c r="D46" s="344" t="s">
        <v>594</v>
      </c>
      <c r="E46" s="345" t="s">
        <v>631</v>
      </c>
      <c r="F46" s="259">
        <v>40</v>
      </c>
      <c r="G46" s="259">
        <v>2</v>
      </c>
      <c r="H46" s="261"/>
      <c r="I46" s="261"/>
      <c r="J46" s="261"/>
      <c r="K46" s="261"/>
      <c r="L46" s="261"/>
      <c r="M46" s="261"/>
      <c r="N46" s="261">
        <v>2</v>
      </c>
      <c r="O46" s="261">
        <v>32</v>
      </c>
      <c r="P46" s="261"/>
      <c r="Q46" s="261"/>
      <c r="R46" s="261"/>
      <c r="S46" s="261"/>
      <c r="T46" s="329">
        <v>2</v>
      </c>
      <c r="U46" s="330">
        <v>32</v>
      </c>
    </row>
    <row r="47" spans="1:21" ht="17.5" thickBot="1">
      <c r="B47" s="703"/>
      <c r="C47" s="707"/>
      <c r="D47" s="704" t="s">
        <v>16</v>
      </c>
      <c r="E47" s="704"/>
      <c r="F47" s="310">
        <f>SUM(F45:F46)</f>
        <v>80</v>
      </c>
      <c r="G47" s="310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3">
        <f>SUM(T45:T46)</f>
        <v>3</v>
      </c>
      <c r="U47" s="33">
        <f>SUM(U45:U46)</f>
        <v>64</v>
      </c>
    </row>
    <row r="48" spans="1:21">
      <c r="B48" s="701" t="s">
        <v>861</v>
      </c>
      <c r="C48" s="698">
        <v>3</v>
      </c>
      <c r="D48" s="344" t="s">
        <v>635</v>
      </c>
      <c r="E48" s="345" t="s">
        <v>636</v>
      </c>
      <c r="F48" s="259">
        <v>50</v>
      </c>
      <c r="G48" s="259">
        <v>2</v>
      </c>
      <c r="H48" s="261"/>
      <c r="I48" s="261"/>
      <c r="J48" s="261"/>
      <c r="K48" s="261"/>
      <c r="L48" s="261"/>
      <c r="M48" s="261"/>
      <c r="N48" s="261">
        <v>1</v>
      </c>
      <c r="O48" s="261">
        <v>16</v>
      </c>
      <c r="P48" s="261"/>
      <c r="Q48" s="261"/>
      <c r="R48" s="261"/>
      <c r="S48" s="261"/>
      <c r="T48" s="329">
        <v>1</v>
      </c>
      <c r="U48" s="330">
        <v>32</v>
      </c>
    </row>
    <row r="49" spans="1:21">
      <c r="B49" s="702"/>
      <c r="C49" s="699"/>
      <c r="D49" s="344" t="s">
        <v>637</v>
      </c>
      <c r="E49" s="345" t="s">
        <v>638</v>
      </c>
      <c r="F49" s="259">
        <v>30</v>
      </c>
      <c r="G49" s="259">
        <v>2</v>
      </c>
      <c r="H49" s="261"/>
      <c r="I49" s="261"/>
      <c r="J49" s="261"/>
      <c r="K49" s="261"/>
      <c r="L49" s="261"/>
      <c r="M49" s="261"/>
      <c r="N49" s="261">
        <v>2</v>
      </c>
      <c r="O49" s="261">
        <v>32</v>
      </c>
      <c r="P49" s="261"/>
      <c r="Q49" s="261"/>
      <c r="R49" s="261"/>
      <c r="S49" s="261"/>
      <c r="T49" s="329">
        <v>2</v>
      </c>
      <c r="U49" s="330">
        <v>32</v>
      </c>
    </row>
    <row r="50" spans="1:21" s="187" customFormat="1" ht="17.5" thickBot="1">
      <c r="A50" s="191"/>
      <c r="B50" s="703"/>
      <c r="C50" s="700"/>
      <c r="D50" s="704" t="s">
        <v>16</v>
      </c>
      <c r="E50" s="704"/>
      <c r="F50" s="310">
        <f>SUM(F48:F49)</f>
        <v>80</v>
      </c>
      <c r="G50" s="346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3">
        <f>SUM(T48:T49)</f>
        <v>3</v>
      </c>
      <c r="U50" s="33">
        <f>SUM(U48:U49)</f>
        <v>64</v>
      </c>
    </row>
  </sheetData>
  <mergeCells count="51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3"/>
    <mergeCell ref="C9:C13"/>
    <mergeCell ref="D13:E13"/>
    <mergeCell ref="B14:B18"/>
    <mergeCell ref="C14:C18"/>
    <mergeCell ref="D18:E18"/>
    <mergeCell ref="B19:B24"/>
    <mergeCell ref="C19:C24"/>
    <mergeCell ref="D24:E24"/>
    <mergeCell ref="B25:B31"/>
    <mergeCell ref="C25:C31"/>
    <mergeCell ref="D31:E31"/>
    <mergeCell ref="B32:B37"/>
    <mergeCell ref="C32:C37"/>
    <mergeCell ref="D37:E37"/>
    <mergeCell ref="B38:B44"/>
    <mergeCell ref="C38:C44"/>
    <mergeCell ref="D44:E44"/>
    <mergeCell ref="B45:B47"/>
    <mergeCell ref="C45:C47"/>
    <mergeCell ref="D47:E47"/>
    <mergeCell ref="B48:B50"/>
    <mergeCell ref="C48:C50"/>
    <mergeCell ref="D50:E50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74" activePane="bottomLeft" state="frozen"/>
      <selection pane="bottomLeft" activeCell="L14" sqref="L14"/>
    </sheetView>
  </sheetViews>
  <sheetFormatPr defaultRowHeight="17"/>
  <cols>
    <col min="1" max="1" width="16.5" style="1" bestFit="1" customWidth="1"/>
    <col min="2" max="5" width="9" style="1"/>
    <col min="6" max="6" width="11.33203125" style="1" bestFit="1" customWidth="1"/>
    <col min="9" max="9" width="17.582031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201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338</v>
      </c>
      <c r="G2" s="5"/>
      <c r="H2" s="3" t="s">
        <v>74</v>
      </c>
      <c r="I2" s="3" t="s">
        <v>66</v>
      </c>
      <c r="J2" s="3" t="s">
        <v>166</v>
      </c>
      <c r="K2" s="3" t="s">
        <v>166</v>
      </c>
      <c r="L2" s="3" t="s">
        <v>123</v>
      </c>
    </row>
    <row r="3" spans="1:12">
      <c r="A3" s="3" t="s">
        <v>202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338</v>
      </c>
      <c r="G3" s="5"/>
      <c r="H3" s="3" t="s">
        <v>75</v>
      </c>
      <c r="I3" s="3" t="s">
        <v>67</v>
      </c>
      <c r="J3" s="3" t="s">
        <v>167</v>
      </c>
      <c r="K3" s="3" t="s">
        <v>167</v>
      </c>
      <c r="L3" s="3" t="s">
        <v>118</v>
      </c>
    </row>
    <row r="4" spans="1:12">
      <c r="A4" s="3" t="s">
        <v>204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341</v>
      </c>
      <c r="G4" s="5"/>
      <c r="H4" s="3" t="s">
        <v>76</v>
      </c>
      <c r="I4" s="3" t="s">
        <v>156</v>
      </c>
      <c r="J4" s="3" t="s">
        <v>93</v>
      </c>
      <c r="K4" s="3" t="s">
        <v>93</v>
      </c>
      <c r="L4" s="3" t="s">
        <v>119</v>
      </c>
    </row>
    <row r="5" spans="1:12">
      <c r="A5" s="3" t="s">
        <v>205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341</v>
      </c>
      <c r="G5" s="5"/>
      <c r="H5" s="3" t="s">
        <v>77</v>
      </c>
      <c r="I5" s="3" t="s">
        <v>157</v>
      </c>
      <c r="J5" s="3" t="s">
        <v>168</v>
      </c>
      <c r="K5" s="3" t="s">
        <v>168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341</v>
      </c>
      <c r="G6" s="5"/>
      <c r="H6" s="3" t="s">
        <v>78</v>
      </c>
      <c r="I6" s="3" t="s">
        <v>158</v>
      </c>
      <c r="J6" s="3" t="s">
        <v>169</v>
      </c>
      <c r="K6" s="3" t="s">
        <v>169</v>
      </c>
      <c r="L6" s="8"/>
    </row>
    <row r="7" spans="1:12">
      <c r="A7" s="3" t="s">
        <v>206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341</v>
      </c>
      <c r="G7" s="5"/>
      <c r="H7" s="3" t="s">
        <v>79</v>
      </c>
      <c r="I7" s="3" t="s">
        <v>164</v>
      </c>
      <c r="J7" s="3" t="s">
        <v>94</v>
      </c>
      <c r="K7" s="3" t="s">
        <v>94</v>
      </c>
      <c r="L7" s="5"/>
    </row>
    <row r="8" spans="1:12">
      <c r="A8" s="3" t="s">
        <v>207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341</v>
      </c>
      <c r="G8" s="5"/>
      <c r="H8" s="3" t="s">
        <v>80</v>
      </c>
      <c r="I8" s="3" t="s">
        <v>159</v>
      </c>
      <c r="J8" s="3" t="s">
        <v>170</v>
      </c>
      <c r="K8" s="3" t="s">
        <v>170</v>
      </c>
      <c r="L8" s="5"/>
    </row>
    <row r="9" spans="1:12">
      <c r="A9" s="3" t="s">
        <v>208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341</v>
      </c>
      <c r="G9" s="5"/>
      <c r="H9" s="3" t="s">
        <v>81</v>
      </c>
      <c r="I9" s="3" t="s">
        <v>68</v>
      </c>
      <c r="J9" s="3" t="s">
        <v>171</v>
      </c>
      <c r="K9" s="3" t="s">
        <v>171</v>
      </c>
      <c r="L9" s="5"/>
    </row>
    <row r="10" spans="1:12">
      <c r="A10" s="3" t="s">
        <v>209</v>
      </c>
      <c r="B10" s="3" t="s">
        <v>17</v>
      </c>
      <c r="C10" s="3" t="s">
        <v>21</v>
      </c>
      <c r="D10" s="3" t="s">
        <v>212</v>
      </c>
      <c r="E10" s="3">
        <v>4</v>
      </c>
      <c r="F10" s="7" t="s">
        <v>341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210</v>
      </c>
      <c r="B11" s="3" t="s">
        <v>17</v>
      </c>
      <c r="C11" s="3" t="s">
        <v>21</v>
      </c>
      <c r="D11" s="3" t="s">
        <v>212</v>
      </c>
      <c r="E11" s="3">
        <v>4</v>
      </c>
      <c r="F11" s="7" t="s">
        <v>341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211</v>
      </c>
      <c r="B12" s="3" t="s">
        <v>17</v>
      </c>
      <c r="C12" s="3" t="s">
        <v>21</v>
      </c>
      <c r="D12" s="3" t="s">
        <v>212</v>
      </c>
      <c r="E12" s="3">
        <v>4</v>
      </c>
      <c r="F12" s="7" t="s">
        <v>341</v>
      </c>
      <c r="G12" s="5"/>
      <c r="H12" s="3" t="s">
        <v>84</v>
      </c>
      <c r="I12" s="3" t="s">
        <v>160</v>
      </c>
      <c r="J12" s="3" t="s">
        <v>96</v>
      </c>
      <c r="K12" s="3" t="s">
        <v>96</v>
      </c>
      <c r="L12" s="5"/>
    </row>
    <row r="13" spans="1:12">
      <c r="A13" s="3" t="s">
        <v>213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338</v>
      </c>
      <c r="G13" s="5"/>
      <c r="H13" s="3" t="s">
        <v>85</v>
      </c>
      <c r="I13" s="3" t="s">
        <v>71</v>
      </c>
      <c r="J13" s="3" t="s">
        <v>172</v>
      </c>
      <c r="K13" s="3" t="s">
        <v>172</v>
      </c>
      <c r="L13" s="5"/>
    </row>
    <row r="14" spans="1:12">
      <c r="A14" s="3" t="s">
        <v>215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338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216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341</v>
      </c>
      <c r="G15" s="5"/>
      <c r="H15" s="3" t="s">
        <v>87</v>
      </c>
      <c r="I15" s="3" t="s">
        <v>161</v>
      </c>
      <c r="J15" s="3" t="s">
        <v>173</v>
      </c>
      <c r="K15" s="3" t="s">
        <v>173</v>
      </c>
      <c r="L15" s="5"/>
    </row>
    <row r="16" spans="1:12">
      <c r="A16" s="3" t="s">
        <v>217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341</v>
      </c>
      <c r="G16" s="5"/>
      <c r="H16" s="3" t="s">
        <v>88</v>
      </c>
      <c r="I16" s="3" t="s">
        <v>162</v>
      </c>
      <c r="J16" s="3" t="s">
        <v>174</v>
      </c>
      <c r="K16" s="3" t="s">
        <v>174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341</v>
      </c>
      <c r="G17" s="5"/>
      <c r="H17" s="3" t="s">
        <v>89</v>
      </c>
      <c r="I17" s="3" t="s">
        <v>163</v>
      </c>
      <c r="J17" s="3" t="s">
        <v>175</v>
      </c>
      <c r="K17" s="3" t="s">
        <v>175</v>
      </c>
      <c r="L17" s="5"/>
    </row>
    <row r="18" spans="1:12">
      <c r="A18" s="3" t="s">
        <v>218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341</v>
      </c>
      <c r="G18" s="5"/>
      <c r="H18" s="3" t="s">
        <v>90</v>
      </c>
      <c r="I18" s="3" t="s">
        <v>165</v>
      </c>
      <c r="J18" s="3" t="s">
        <v>176</v>
      </c>
      <c r="K18" s="3" t="s">
        <v>176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341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341</v>
      </c>
      <c r="G20" s="5"/>
      <c r="J20" s="3" t="s">
        <v>177</v>
      </c>
      <c r="K20" s="3" t="s">
        <v>177</v>
      </c>
      <c r="L20" s="5"/>
    </row>
    <row r="21" spans="1:12">
      <c r="A21" s="3" t="s">
        <v>219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341</v>
      </c>
      <c r="G21" s="5"/>
      <c r="J21" s="3" t="s">
        <v>98</v>
      </c>
      <c r="K21" s="3" t="s">
        <v>98</v>
      </c>
      <c r="L21" s="5"/>
    </row>
    <row r="22" spans="1:12">
      <c r="A22" s="3" t="s">
        <v>221</v>
      </c>
      <c r="B22" s="3" t="s">
        <v>17</v>
      </c>
      <c r="C22" s="3" t="s">
        <v>5</v>
      </c>
      <c r="D22" s="3" t="s">
        <v>222</v>
      </c>
      <c r="E22" s="3">
        <v>4</v>
      </c>
      <c r="F22" s="7" t="s">
        <v>341</v>
      </c>
      <c r="G22" s="5"/>
      <c r="H22" s="3"/>
      <c r="I22" s="3"/>
      <c r="J22" s="3" t="s">
        <v>178</v>
      </c>
      <c r="K22" s="3" t="s">
        <v>178</v>
      </c>
      <c r="L22" s="5"/>
    </row>
    <row r="23" spans="1:12">
      <c r="A23" s="3" t="s">
        <v>223</v>
      </c>
      <c r="B23" s="3" t="s">
        <v>17</v>
      </c>
      <c r="C23" s="3" t="s">
        <v>5</v>
      </c>
      <c r="D23" s="3" t="s">
        <v>212</v>
      </c>
      <c r="E23" s="3">
        <v>4</v>
      </c>
      <c r="F23" s="7" t="s">
        <v>341</v>
      </c>
      <c r="G23" s="5"/>
      <c r="H23" s="3"/>
      <c r="I23" s="3"/>
      <c r="J23" s="3" t="s">
        <v>179</v>
      </c>
      <c r="K23" s="3" t="s">
        <v>179</v>
      </c>
      <c r="L23" s="5"/>
    </row>
    <row r="24" spans="1:12">
      <c r="A24" s="3" t="s">
        <v>224</v>
      </c>
      <c r="B24" s="3" t="s">
        <v>17</v>
      </c>
      <c r="C24" s="3" t="s">
        <v>5</v>
      </c>
      <c r="D24" s="3" t="s">
        <v>212</v>
      </c>
      <c r="E24" s="3">
        <v>4</v>
      </c>
      <c r="F24" s="7" t="s">
        <v>341</v>
      </c>
      <c r="G24" s="5"/>
      <c r="H24" s="3"/>
      <c r="I24" s="3"/>
      <c r="J24" s="3" t="s">
        <v>180</v>
      </c>
      <c r="K24" s="3" t="s">
        <v>180</v>
      </c>
      <c r="L24" s="5"/>
    </row>
    <row r="25" spans="1:12">
      <c r="A25" s="3" t="s">
        <v>225</v>
      </c>
      <c r="B25" s="3" t="s">
        <v>17</v>
      </c>
      <c r="C25" s="3" t="s">
        <v>5</v>
      </c>
      <c r="D25" s="3" t="s">
        <v>212</v>
      </c>
      <c r="E25" s="3">
        <v>4</v>
      </c>
      <c r="F25" s="7" t="s">
        <v>341</v>
      </c>
      <c r="G25" s="5"/>
      <c r="H25" s="3"/>
      <c r="I25" s="3"/>
      <c r="J25" s="3" t="s">
        <v>181</v>
      </c>
      <c r="K25" s="3" t="s">
        <v>181</v>
      </c>
      <c r="L25" s="5"/>
    </row>
    <row r="26" spans="1:12">
      <c r="A26" s="3" t="s">
        <v>220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338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226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341</v>
      </c>
      <c r="G27" s="5"/>
      <c r="H27" s="5"/>
      <c r="I27" s="5"/>
      <c r="J27" s="3" t="s">
        <v>182</v>
      </c>
      <c r="K27" s="3" t="s">
        <v>182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341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341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341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341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227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341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228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341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229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341</v>
      </c>
      <c r="G34" s="5"/>
      <c r="H34" s="5"/>
      <c r="I34" s="5"/>
      <c r="J34" s="3" t="s">
        <v>183</v>
      </c>
      <c r="K34" s="3" t="s">
        <v>183</v>
      </c>
      <c r="L34" s="5"/>
    </row>
    <row r="35" spans="1:12">
      <c r="A35" s="3" t="s">
        <v>230</v>
      </c>
      <c r="B35" s="3" t="s">
        <v>17</v>
      </c>
      <c r="C35" s="3" t="s">
        <v>6</v>
      </c>
      <c r="D35" s="3" t="s">
        <v>222</v>
      </c>
      <c r="E35" s="3">
        <v>4</v>
      </c>
      <c r="F35" s="7" t="s">
        <v>341</v>
      </c>
      <c r="G35" s="5"/>
      <c r="H35" s="5"/>
      <c r="I35" s="5"/>
      <c r="J35" s="3" t="s">
        <v>184</v>
      </c>
      <c r="K35" s="3" t="s">
        <v>184</v>
      </c>
      <c r="L35" s="5"/>
    </row>
    <row r="36" spans="1:12">
      <c r="A36" s="3" t="s">
        <v>231</v>
      </c>
      <c r="B36" s="3" t="s">
        <v>17</v>
      </c>
      <c r="C36" s="3" t="s">
        <v>6</v>
      </c>
      <c r="D36" s="3" t="s">
        <v>212</v>
      </c>
      <c r="E36" s="3">
        <v>4</v>
      </c>
      <c r="F36" s="7" t="s">
        <v>341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232</v>
      </c>
      <c r="B37" s="3" t="s">
        <v>17</v>
      </c>
      <c r="C37" s="3" t="s">
        <v>6</v>
      </c>
      <c r="D37" s="3" t="s">
        <v>212</v>
      </c>
      <c r="E37" s="3">
        <v>4</v>
      </c>
      <c r="F37" s="7" t="s">
        <v>341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233</v>
      </c>
      <c r="B38" s="3" t="s">
        <v>17</v>
      </c>
      <c r="C38" s="3" t="s">
        <v>6</v>
      </c>
      <c r="D38" s="3" t="s">
        <v>212</v>
      </c>
      <c r="E38" s="3">
        <v>4</v>
      </c>
      <c r="F38" s="7" t="s">
        <v>341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234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373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235</v>
      </c>
      <c r="B40" s="3" t="s">
        <v>17</v>
      </c>
      <c r="C40" s="3" t="s">
        <v>7</v>
      </c>
      <c r="D40" s="3" t="s">
        <v>236</v>
      </c>
      <c r="E40" s="3">
        <v>3</v>
      </c>
      <c r="F40" s="7" t="s">
        <v>373</v>
      </c>
      <c r="G40" s="5"/>
      <c r="H40" s="5"/>
      <c r="I40" s="5"/>
      <c r="J40" s="3" t="s">
        <v>185</v>
      </c>
      <c r="K40" s="3" t="s">
        <v>185</v>
      </c>
      <c r="L40" s="5"/>
    </row>
    <row r="41" spans="1:12" ht="17.25" customHeight="1">
      <c r="A41" s="3" t="s">
        <v>237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338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238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338</v>
      </c>
      <c r="G42" s="5"/>
      <c r="H42" s="5"/>
      <c r="I42" s="5"/>
      <c r="J42" s="3" t="s">
        <v>186</v>
      </c>
      <c r="K42" s="3" t="s">
        <v>186</v>
      </c>
      <c r="L42" s="5"/>
    </row>
    <row r="43" spans="1:12" ht="17.25" customHeight="1">
      <c r="A43" s="3" t="s">
        <v>250</v>
      </c>
      <c r="B43" s="3" t="s">
        <v>17</v>
      </c>
      <c r="C43" s="3" t="s">
        <v>25</v>
      </c>
      <c r="D43" s="3" t="s">
        <v>254</v>
      </c>
      <c r="E43" s="3">
        <v>4</v>
      </c>
      <c r="F43" s="7" t="s">
        <v>341</v>
      </c>
      <c r="G43" s="5"/>
      <c r="H43" s="5"/>
      <c r="I43" s="5"/>
      <c r="J43" s="3" t="s">
        <v>187</v>
      </c>
      <c r="K43" s="3" t="s">
        <v>187</v>
      </c>
      <c r="L43" s="5"/>
    </row>
    <row r="44" spans="1:12" ht="17.25" customHeight="1">
      <c r="A44" s="3" t="s">
        <v>251</v>
      </c>
      <c r="B44" s="3" t="s">
        <v>17</v>
      </c>
      <c r="C44" s="3" t="s">
        <v>25</v>
      </c>
      <c r="D44" s="3" t="s">
        <v>254</v>
      </c>
      <c r="E44" s="3">
        <v>4</v>
      </c>
      <c r="F44" s="7" t="s">
        <v>341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252</v>
      </c>
      <c r="B45" s="3" t="s">
        <v>17</v>
      </c>
      <c r="C45" s="3" t="s">
        <v>25</v>
      </c>
      <c r="D45" s="3" t="s">
        <v>254</v>
      </c>
      <c r="E45" s="3">
        <v>4</v>
      </c>
      <c r="F45" s="7" t="s">
        <v>341</v>
      </c>
      <c r="G45" s="5"/>
      <c r="H45" s="5"/>
      <c r="I45" s="5"/>
      <c r="J45" s="3" t="s">
        <v>188</v>
      </c>
      <c r="K45" s="3" t="s">
        <v>188</v>
      </c>
      <c r="L45" s="5"/>
    </row>
    <row r="46" spans="1:12" ht="17.25" customHeight="1">
      <c r="A46" s="3" t="s">
        <v>253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341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239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341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240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341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241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341</v>
      </c>
      <c r="G49" s="5"/>
      <c r="H49" s="5"/>
      <c r="I49" s="5"/>
      <c r="J49" s="5" t="s">
        <v>189</v>
      </c>
      <c r="K49" s="5" t="s">
        <v>189</v>
      </c>
      <c r="L49" s="5"/>
    </row>
    <row r="50" spans="1:12">
      <c r="A50" s="3" t="s">
        <v>242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341</v>
      </c>
      <c r="G50" s="5"/>
      <c r="H50" s="5"/>
      <c r="I50" s="5"/>
      <c r="J50" s="5" t="s">
        <v>190</v>
      </c>
      <c r="K50" s="5" t="s">
        <v>190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341</v>
      </c>
      <c r="G51" s="5"/>
      <c r="H51" s="5"/>
      <c r="I51" s="5"/>
      <c r="J51" s="5" t="s">
        <v>191</v>
      </c>
      <c r="K51" s="5" t="s">
        <v>191</v>
      </c>
      <c r="L51" s="5"/>
    </row>
    <row r="52" spans="1:12">
      <c r="A52" s="3" t="s">
        <v>243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341</v>
      </c>
      <c r="G52" s="5"/>
      <c r="H52" s="5"/>
      <c r="I52" s="5"/>
      <c r="J52" s="5" t="s">
        <v>192</v>
      </c>
      <c r="K52" s="5" t="s">
        <v>192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341</v>
      </c>
      <c r="G53" s="5"/>
      <c r="H53" s="5"/>
      <c r="I53" s="5"/>
      <c r="J53" s="5" t="s">
        <v>193</v>
      </c>
      <c r="K53" s="5" t="s">
        <v>193</v>
      </c>
      <c r="L53" s="5"/>
    </row>
    <row r="54" spans="1:12">
      <c r="A54" s="3" t="s">
        <v>244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341</v>
      </c>
      <c r="G54" s="5"/>
      <c r="H54" s="5"/>
      <c r="I54" s="5"/>
      <c r="J54" s="5" t="s">
        <v>194</v>
      </c>
      <c r="K54" s="5" t="s">
        <v>194</v>
      </c>
      <c r="L54" s="5"/>
    </row>
    <row r="55" spans="1:12">
      <c r="A55" s="3" t="s">
        <v>245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341</v>
      </c>
      <c r="G55" s="5"/>
      <c r="H55" s="5"/>
      <c r="I55" s="5"/>
      <c r="J55" s="5" t="s">
        <v>196</v>
      </c>
      <c r="K55" s="5" t="s">
        <v>196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212</v>
      </c>
      <c r="E56" s="3">
        <v>4</v>
      </c>
      <c r="F56" s="7" t="s">
        <v>341</v>
      </c>
      <c r="G56" s="5"/>
      <c r="H56" s="5"/>
      <c r="I56" s="5"/>
      <c r="J56" s="5" t="s">
        <v>195</v>
      </c>
      <c r="K56" s="5" t="s">
        <v>195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212</v>
      </c>
      <c r="E57" s="3">
        <v>4</v>
      </c>
      <c r="F57" s="7" t="s">
        <v>341</v>
      </c>
      <c r="G57" s="5"/>
      <c r="H57" s="5"/>
      <c r="I57" s="5"/>
      <c r="J57" s="5" t="s">
        <v>197</v>
      </c>
      <c r="K57" s="5" t="s">
        <v>197</v>
      </c>
      <c r="L57" s="5"/>
    </row>
    <row r="58" spans="1:12">
      <c r="A58" s="3" t="s">
        <v>246</v>
      </c>
      <c r="B58" s="3" t="s">
        <v>17</v>
      </c>
      <c r="C58" s="3" t="s">
        <v>25</v>
      </c>
      <c r="D58" s="3" t="s">
        <v>212</v>
      </c>
      <c r="E58" s="3">
        <v>4</v>
      </c>
      <c r="F58" s="7" t="s">
        <v>341</v>
      </c>
      <c r="G58" s="5"/>
      <c r="H58" s="5"/>
      <c r="I58" s="5"/>
      <c r="J58" s="5" t="s">
        <v>198</v>
      </c>
      <c r="K58" s="5" t="s">
        <v>198</v>
      </c>
      <c r="L58" s="5"/>
    </row>
    <row r="59" spans="1:12">
      <c r="A59" s="3" t="s">
        <v>247</v>
      </c>
      <c r="B59" s="3" t="s">
        <v>17</v>
      </c>
      <c r="C59" s="3" t="s">
        <v>25</v>
      </c>
      <c r="D59" s="3" t="s">
        <v>212</v>
      </c>
      <c r="E59" s="3">
        <v>4</v>
      </c>
      <c r="F59" s="7" t="s">
        <v>341</v>
      </c>
      <c r="G59" s="5"/>
      <c r="H59" s="5"/>
      <c r="I59" s="5"/>
      <c r="J59" s="5" t="s">
        <v>199</v>
      </c>
      <c r="K59" s="5" t="s">
        <v>199</v>
      </c>
      <c r="L59" s="5"/>
    </row>
    <row r="60" spans="1:12">
      <c r="A60" s="3" t="s">
        <v>248</v>
      </c>
      <c r="B60" s="3" t="s">
        <v>17</v>
      </c>
      <c r="C60" s="3" t="s">
        <v>25</v>
      </c>
      <c r="D60" s="3" t="s">
        <v>212</v>
      </c>
      <c r="E60" s="3">
        <v>4</v>
      </c>
      <c r="F60" s="7" t="s">
        <v>341</v>
      </c>
      <c r="G60" s="5"/>
      <c r="H60" s="5"/>
      <c r="I60" s="5"/>
      <c r="J60" s="3"/>
      <c r="K60" s="3"/>
      <c r="L60" s="5"/>
    </row>
    <row r="61" spans="1:12">
      <c r="A61" s="3" t="s">
        <v>249</v>
      </c>
      <c r="B61" s="3" t="s">
        <v>17</v>
      </c>
      <c r="C61" s="3" t="s">
        <v>25</v>
      </c>
      <c r="D61" s="3" t="s">
        <v>212</v>
      </c>
      <c r="E61" s="3">
        <v>4</v>
      </c>
      <c r="F61" s="7" t="s">
        <v>341</v>
      </c>
      <c r="G61" s="5"/>
      <c r="H61" s="5"/>
      <c r="I61" s="5"/>
      <c r="J61" s="3"/>
      <c r="K61" s="3"/>
      <c r="L61" s="5"/>
    </row>
    <row r="62" spans="1:12">
      <c r="A62" s="3" t="s">
        <v>255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338</v>
      </c>
      <c r="G62" s="5"/>
      <c r="H62" s="5"/>
      <c r="I62" s="5"/>
      <c r="L62" s="5"/>
    </row>
    <row r="63" spans="1:12">
      <c r="A63" s="3" t="s">
        <v>256</v>
      </c>
      <c r="B63" s="3" t="s">
        <v>17</v>
      </c>
      <c r="C63" s="3" t="s">
        <v>26</v>
      </c>
      <c r="D63" s="3" t="s">
        <v>236</v>
      </c>
      <c r="E63" s="3">
        <v>4</v>
      </c>
      <c r="F63" s="7" t="s">
        <v>338</v>
      </c>
      <c r="G63" s="5"/>
      <c r="H63" s="5"/>
      <c r="I63" s="5"/>
      <c r="J63" s="3"/>
      <c r="K63" s="3"/>
      <c r="L63" s="5"/>
    </row>
    <row r="64" spans="1:12">
      <c r="A64" s="3" t="s">
        <v>257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338</v>
      </c>
      <c r="G64" s="5"/>
      <c r="H64" s="5"/>
      <c r="I64" s="5"/>
      <c r="L64" s="5"/>
    </row>
    <row r="65" spans="1:12">
      <c r="A65" s="3" t="s">
        <v>258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338</v>
      </c>
      <c r="G65" s="5"/>
      <c r="H65" s="5"/>
      <c r="I65" s="5"/>
      <c r="J65" s="3"/>
      <c r="K65" s="3"/>
      <c r="L65" s="5"/>
    </row>
    <row r="66" spans="1:12">
      <c r="A66" s="3" t="s">
        <v>259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341</v>
      </c>
      <c r="G66" s="5"/>
      <c r="H66" s="5"/>
      <c r="I66" s="5"/>
      <c r="J66" s="3"/>
      <c r="K66" s="3"/>
      <c r="L66" s="5"/>
    </row>
    <row r="67" spans="1:12">
      <c r="A67" s="3" t="s">
        <v>260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341</v>
      </c>
      <c r="G67" s="5"/>
      <c r="H67" s="5"/>
      <c r="I67" s="5"/>
      <c r="J67" s="3"/>
      <c r="K67" s="3"/>
      <c r="L67" s="5"/>
    </row>
    <row r="68" spans="1:12">
      <c r="A68" s="3" t="s">
        <v>261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341</v>
      </c>
      <c r="G68" s="5"/>
      <c r="H68" s="5"/>
      <c r="I68" s="5"/>
      <c r="J68" s="3"/>
      <c r="K68" s="3"/>
      <c r="L68" s="5"/>
    </row>
    <row r="69" spans="1:12">
      <c r="A69" s="3" t="s">
        <v>262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341</v>
      </c>
      <c r="G69" s="5"/>
      <c r="H69" s="5"/>
      <c r="I69" s="5"/>
      <c r="L69" s="5"/>
    </row>
    <row r="70" spans="1:12">
      <c r="A70" s="3" t="s">
        <v>263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341</v>
      </c>
      <c r="G70" s="5"/>
      <c r="H70" s="5"/>
      <c r="I70" s="5"/>
      <c r="L70" s="5"/>
    </row>
    <row r="71" spans="1:12">
      <c r="A71" s="3" t="s">
        <v>264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341</v>
      </c>
      <c r="G71" s="5"/>
      <c r="H71" s="5"/>
      <c r="I71" s="5"/>
      <c r="L71" s="5"/>
    </row>
    <row r="72" spans="1:12">
      <c r="A72" s="3" t="s">
        <v>265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341</v>
      </c>
      <c r="G72" s="5"/>
      <c r="H72" s="5"/>
      <c r="I72" s="5"/>
      <c r="L72" s="5"/>
    </row>
    <row r="73" spans="1:12">
      <c r="A73" s="3" t="s">
        <v>266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341</v>
      </c>
      <c r="G73" s="5"/>
      <c r="H73" s="5"/>
      <c r="I73" s="5"/>
      <c r="L73" s="5"/>
    </row>
    <row r="74" spans="1:12">
      <c r="A74" s="3" t="s">
        <v>267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341</v>
      </c>
      <c r="G74" s="5"/>
      <c r="H74" s="5"/>
      <c r="I74" s="5"/>
      <c r="L74" s="5"/>
    </row>
    <row r="75" spans="1:12">
      <c r="A75" s="3" t="s">
        <v>268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341</v>
      </c>
      <c r="G75" s="5"/>
      <c r="H75" s="5"/>
      <c r="I75" s="5"/>
      <c r="L75" s="5"/>
    </row>
    <row r="76" spans="1:12">
      <c r="A76" s="3" t="s">
        <v>269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341</v>
      </c>
      <c r="G76" s="5"/>
      <c r="H76" s="5"/>
      <c r="I76" s="5"/>
      <c r="L76" s="5"/>
    </row>
    <row r="77" spans="1:12">
      <c r="A77" s="3" t="s">
        <v>270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341</v>
      </c>
      <c r="G77" s="5"/>
      <c r="H77" s="5"/>
      <c r="I77" s="5"/>
      <c r="L77" s="5"/>
    </row>
    <row r="78" spans="1:12">
      <c r="A78" s="3" t="s">
        <v>271</v>
      </c>
      <c r="B78" s="3" t="s">
        <v>17</v>
      </c>
      <c r="C78" s="3" t="s">
        <v>26</v>
      </c>
      <c r="D78" s="3" t="s">
        <v>274</v>
      </c>
      <c r="E78" s="3">
        <v>4</v>
      </c>
      <c r="F78" s="7" t="s">
        <v>341</v>
      </c>
      <c r="G78" s="5"/>
      <c r="H78" s="5"/>
      <c r="I78" s="5"/>
      <c r="L78" s="5"/>
    </row>
    <row r="79" spans="1:12">
      <c r="A79" s="3" t="s">
        <v>272</v>
      </c>
      <c r="B79" s="3" t="s">
        <v>17</v>
      </c>
      <c r="C79" s="3" t="s">
        <v>26</v>
      </c>
      <c r="D79" s="3" t="s">
        <v>212</v>
      </c>
      <c r="E79" s="3">
        <v>4</v>
      </c>
      <c r="F79" s="7" t="s">
        <v>341</v>
      </c>
      <c r="G79" s="5"/>
      <c r="H79" s="5"/>
      <c r="I79" s="5"/>
      <c r="L79" s="5"/>
    </row>
    <row r="80" spans="1:12">
      <c r="A80" s="3" t="s">
        <v>273</v>
      </c>
      <c r="B80" s="3" t="s">
        <v>17</v>
      </c>
      <c r="C80" s="3" t="s">
        <v>26</v>
      </c>
      <c r="D80" s="3" t="s">
        <v>212</v>
      </c>
      <c r="E80" s="3">
        <v>4</v>
      </c>
      <c r="F80" s="7" t="s">
        <v>341</v>
      </c>
      <c r="G80" s="5"/>
      <c r="H80" s="5"/>
      <c r="I80" s="5"/>
      <c r="L80" s="5"/>
    </row>
    <row r="81" spans="1:12">
      <c r="A81" s="3" t="s">
        <v>275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353</v>
      </c>
      <c r="G81" s="5"/>
      <c r="H81" s="5"/>
      <c r="I81" s="5"/>
      <c r="L81" s="5"/>
    </row>
    <row r="82" spans="1:12">
      <c r="A82" s="3" t="s">
        <v>276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353</v>
      </c>
      <c r="G82" s="5"/>
      <c r="H82" s="5"/>
      <c r="I82" s="5"/>
      <c r="L82" s="5"/>
    </row>
    <row r="83" spans="1:12">
      <c r="A83" s="3" t="s">
        <v>277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353</v>
      </c>
      <c r="G83" s="5"/>
      <c r="H83" s="5"/>
      <c r="I83" s="5"/>
      <c r="L83" s="5"/>
    </row>
    <row r="84" spans="1:12">
      <c r="A84" s="3" t="s">
        <v>278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353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356</v>
      </c>
      <c r="G85" s="5"/>
      <c r="H85" s="5"/>
      <c r="I85" s="5"/>
      <c r="J85" s="5"/>
      <c r="K85" s="5"/>
      <c r="L85" s="5"/>
    </row>
    <row r="86" spans="1:12">
      <c r="A86" s="3" t="s">
        <v>279</v>
      </c>
      <c r="B86" s="3" t="s">
        <v>17</v>
      </c>
      <c r="C86" s="3" t="s">
        <v>8</v>
      </c>
      <c r="D86" s="3" t="s">
        <v>212</v>
      </c>
      <c r="E86" s="3">
        <v>3</v>
      </c>
      <c r="F86" s="7" t="s">
        <v>353</v>
      </c>
      <c r="G86" s="5"/>
      <c r="H86" s="5"/>
      <c r="I86" s="5"/>
      <c r="J86" s="5"/>
      <c r="K86" s="5"/>
      <c r="L86" s="5"/>
    </row>
    <row r="87" spans="1:12">
      <c r="A87" s="3" t="s">
        <v>280</v>
      </c>
      <c r="B87" s="3" t="s">
        <v>17</v>
      </c>
      <c r="C87" s="3" t="s">
        <v>8</v>
      </c>
      <c r="D87" s="3" t="s">
        <v>212</v>
      </c>
      <c r="E87" s="3">
        <v>2</v>
      </c>
      <c r="F87" s="7" t="s">
        <v>356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353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353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353</v>
      </c>
      <c r="G90" s="5"/>
      <c r="H90" s="5"/>
      <c r="I90" s="5"/>
      <c r="J90" s="5"/>
      <c r="K90" s="5"/>
      <c r="L90" s="5"/>
    </row>
    <row r="91" spans="1:12">
      <c r="A91" s="3" t="s">
        <v>281</v>
      </c>
      <c r="B91" s="3" t="s">
        <v>17</v>
      </c>
      <c r="C91" s="3" t="s">
        <v>28</v>
      </c>
      <c r="D91" s="3" t="s">
        <v>222</v>
      </c>
      <c r="E91" s="3">
        <v>3</v>
      </c>
      <c r="F91" s="7" t="s">
        <v>353</v>
      </c>
      <c r="G91" s="5"/>
      <c r="H91" s="5"/>
      <c r="I91" s="5"/>
      <c r="J91" s="5"/>
      <c r="K91" s="5"/>
      <c r="L91" s="5"/>
    </row>
    <row r="92" spans="1:12">
      <c r="A92" s="3" t="s">
        <v>282</v>
      </c>
      <c r="B92" s="3" t="s">
        <v>17</v>
      </c>
      <c r="C92" s="3" t="s">
        <v>28</v>
      </c>
      <c r="D92" s="3" t="s">
        <v>222</v>
      </c>
      <c r="E92" s="3">
        <v>3</v>
      </c>
      <c r="F92" s="7" t="s">
        <v>353</v>
      </c>
      <c r="G92" s="5"/>
      <c r="H92" s="5"/>
      <c r="I92" s="5"/>
      <c r="J92" s="5"/>
      <c r="K92" s="5"/>
      <c r="L92" s="5"/>
    </row>
    <row r="93" spans="1:12">
      <c r="A93" s="3" t="s">
        <v>283</v>
      </c>
      <c r="B93" s="3" t="s">
        <v>17</v>
      </c>
      <c r="C93" s="3" t="s">
        <v>28</v>
      </c>
      <c r="D93" s="3" t="s">
        <v>222</v>
      </c>
      <c r="E93" s="3">
        <v>3</v>
      </c>
      <c r="F93" s="7" t="s">
        <v>353</v>
      </c>
      <c r="G93" s="5"/>
      <c r="H93" s="5"/>
      <c r="I93" s="5"/>
      <c r="J93" s="5"/>
      <c r="K93" s="5"/>
      <c r="L93" s="5"/>
    </row>
    <row r="94" spans="1:12">
      <c r="A94" s="3" t="s">
        <v>284</v>
      </c>
      <c r="B94" s="3" t="s">
        <v>17</v>
      </c>
      <c r="C94" s="3" t="s">
        <v>28</v>
      </c>
      <c r="D94" s="3" t="s">
        <v>222</v>
      </c>
      <c r="E94" s="3">
        <v>3</v>
      </c>
      <c r="F94" s="7" t="s">
        <v>353</v>
      </c>
      <c r="G94" s="5"/>
      <c r="H94" s="5"/>
      <c r="I94" s="5"/>
      <c r="J94" s="5"/>
      <c r="K94" s="5"/>
      <c r="L94" s="5"/>
    </row>
    <row r="95" spans="1:12">
      <c r="A95" s="3" t="s">
        <v>285</v>
      </c>
      <c r="B95" s="3" t="s">
        <v>17</v>
      </c>
      <c r="C95" s="3" t="s">
        <v>28</v>
      </c>
      <c r="D95" s="3" t="s">
        <v>212</v>
      </c>
      <c r="E95" s="3">
        <v>3</v>
      </c>
      <c r="F95" s="7" t="s">
        <v>353</v>
      </c>
      <c r="G95" s="5"/>
      <c r="H95" s="5"/>
      <c r="I95" s="5"/>
      <c r="J95" s="5"/>
      <c r="K95" s="5"/>
      <c r="L95" s="5"/>
    </row>
    <row r="96" spans="1:12">
      <c r="A96" s="3" t="s">
        <v>286</v>
      </c>
      <c r="B96" s="3" t="s">
        <v>17</v>
      </c>
      <c r="C96" s="3" t="s">
        <v>28</v>
      </c>
      <c r="D96" s="3" t="s">
        <v>212</v>
      </c>
      <c r="E96" s="3">
        <v>3</v>
      </c>
      <c r="F96" s="7" t="s">
        <v>353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341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341</v>
      </c>
      <c r="G98" s="5"/>
      <c r="H98" s="5"/>
      <c r="I98" s="5"/>
      <c r="J98" s="5"/>
      <c r="K98" s="5"/>
      <c r="L98" s="5"/>
    </row>
    <row r="99" spans="1:12">
      <c r="A99" s="3" t="s">
        <v>287</v>
      </c>
      <c r="B99" s="3" t="s">
        <v>17</v>
      </c>
      <c r="C99" s="3" t="s">
        <v>10</v>
      </c>
      <c r="D99" s="3" t="s">
        <v>222</v>
      </c>
      <c r="E99" s="3">
        <v>4</v>
      </c>
      <c r="F99" s="7" t="s">
        <v>341</v>
      </c>
      <c r="G99" s="5"/>
      <c r="H99" s="5"/>
      <c r="I99" s="5"/>
      <c r="J99" s="5"/>
      <c r="K99" s="5"/>
      <c r="L99" s="5"/>
    </row>
    <row r="100" spans="1:12">
      <c r="A100" s="3" t="s">
        <v>288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341</v>
      </c>
      <c r="G100" s="5"/>
      <c r="H100" s="5"/>
      <c r="I100" s="5"/>
      <c r="J100" s="5"/>
      <c r="K100" s="5"/>
      <c r="L100" s="5"/>
    </row>
    <row r="101" spans="1:12">
      <c r="A101" s="3" t="s">
        <v>289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341</v>
      </c>
      <c r="G101" s="5"/>
      <c r="H101" s="5"/>
      <c r="I101" s="5"/>
      <c r="J101" s="5"/>
      <c r="K101" s="5"/>
      <c r="L101" s="5"/>
    </row>
    <row r="102" spans="1:12">
      <c r="A102" s="3" t="s">
        <v>290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341</v>
      </c>
      <c r="G102" s="5"/>
      <c r="H102" s="5"/>
      <c r="I102" s="5"/>
      <c r="J102" s="5"/>
      <c r="K102" s="5"/>
      <c r="L102" s="5"/>
    </row>
    <row r="103" spans="1:12">
      <c r="A103" s="3" t="s">
        <v>291</v>
      </c>
      <c r="B103" s="3" t="s">
        <v>17</v>
      </c>
      <c r="C103" s="3" t="s">
        <v>10</v>
      </c>
      <c r="D103" s="3" t="s">
        <v>212</v>
      </c>
      <c r="E103" s="3">
        <v>4</v>
      </c>
      <c r="F103" s="7" t="s">
        <v>341</v>
      </c>
      <c r="G103" s="5"/>
      <c r="H103" s="5"/>
      <c r="I103" s="5"/>
      <c r="J103" s="5"/>
      <c r="K103" s="5"/>
      <c r="L103" s="5"/>
    </row>
    <row r="104" spans="1:12">
      <c r="A104" s="3" t="s">
        <v>292</v>
      </c>
      <c r="B104" s="3" t="s">
        <v>17</v>
      </c>
      <c r="C104" s="3" t="s">
        <v>10</v>
      </c>
      <c r="D104" s="3" t="s">
        <v>212</v>
      </c>
      <c r="E104" s="3">
        <v>4</v>
      </c>
      <c r="F104" s="7" t="s">
        <v>341</v>
      </c>
      <c r="G104" s="5"/>
      <c r="H104" s="5"/>
      <c r="I104" s="5"/>
      <c r="J104" s="5"/>
      <c r="K104" s="5"/>
      <c r="L104" s="5"/>
    </row>
    <row r="105" spans="1:12">
      <c r="A105" s="3" t="s">
        <v>293</v>
      </c>
      <c r="B105" s="3" t="s">
        <v>17</v>
      </c>
      <c r="C105" s="3" t="s">
        <v>10</v>
      </c>
      <c r="D105" s="3" t="s">
        <v>212</v>
      </c>
      <c r="E105" s="3">
        <v>4</v>
      </c>
      <c r="F105" s="7" t="s">
        <v>341</v>
      </c>
      <c r="G105" s="5"/>
      <c r="H105" s="5"/>
      <c r="I105" s="5"/>
      <c r="J105" s="5"/>
      <c r="K105" s="5"/>
      <c r="L105" s="5"/>
    </row>
    <row r="106" spans="1:12">
      <c r="A106" s="3" t="s">
        <v>294</v>
      </c>
      <c r="B106" s="3" t="s">
        <v>17</v>
      </c>
      <c r="C106" s="3" t="s">
        <v>10</v>
      </c>
      <c r="D106" s="3" t="s">
        <v>212</v>
      </c>
      <c r="E106" s="3">
        <v>2</v>
      </c>
      <c r="F106" s="7" t="s">
        <v>356</v>
      </c>
      <c r="G106" s="5"/>
      <c r="H106" s="5"/>
      <c r="I106" s="5"/>
      <c r="J106" s="5"/>
      <c r="K106" s="5"/>
      <c r="L106" s="5"/>
    </row>
    <row r="107" spans="1:12">
      <c r="A107" s="3" t="s">
        <v>295</v>
      </c>
      <c r="B107" s="3" t="s">
        <v>17</v>
      </c>
      <c r="C107" s="3" t="s">
        <v>10</v>
      </c>
      <c r="D107" s="3" t="s">
        <v>212</v>
      </c>
      <c r="E107" s="3">
        <v>4</v>
      </c>
      <c r="F107" s="7" t="s">
        <v>341</v>
      </c>
      <c r="G107" s="5"/>
      <c r="H107" s="5"/>
      <c r="I107" s="5"/>
      <c r="J107" s="5"/>
      <c r="K107" s="5"/>
      <c r="L107" s="5"/>
    </row>
    <row r="108" spans="1:12">
      <c r="A108" s="3" t="s">
        <v>296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341</v>
      </c>
      <c r="G108" s="5"/>
      <c r="H108" s="5"/>
      <c r="I108" s="5"/>
      <c r="J108" s="5"/>
      <c r="K108" s="5"/>
      <c r="L108" s="5"/>
    </row>
    <row r="109" spans="1:12">
      <c r="A109" s="3" t="s">
        <v>297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341</v>
      </c>
      <c r="G109" s="5"/>
      <c r="H109" s="5"/>
      <c r="I109" s="5"/>
      <c r="J109" s="5"/>
      <c r="K109" s="5"/>
      <c r="L109" s="5"/>
    </row>
    <row r="110" spans="1:12">
      <c r="A110" s="3" t="s">
        <v>298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341</v>
      </c>
      <c r="G110" s="5"/>
      <c r="H110" s="5"/>
      <c r="I110" s="5"/>
      <c r="J110" s="5"/>
      <c r="K110" s="5"/>
      <c r="L110" s="5"/>
    </row>
    <row r="111" spans="1:12">
      <c r="A111" s="3" t="s">
        <v>299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341</v>
      </c>
      <c r="G111" s="5"/>
      <c r="H111" s="5"/>
      <c r="I111" s="5"/>
      <c r="J111" s="5"/>
      <c r="K111" s="5"/>
      <c r="L111" s="5"/>
    </row>
    <row r="112" spans="1:12">
      <c r="A112" s="3" t="s">
        <v>300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341</v>
      </c>
      <c r="G112" s="5"/>
      <c r="H112" s="5"/>
      <c r="I112" s="5"/>
      <c r="J112" s="5"/>
      <c r="K112" s="5"/>
      <c r="L112" s="5"/>
    </row>
    <row r="113" spans="1:12">
      <c r="A113" s="3" t="s">
        <v>301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341</v>
      </c>
      <c r="G113" s="5"/>
      <c r="H113" s="5"/>
      <c r="I113" s="5"/>
      <c r="J113" s="5"/>
      <c r="K113" s="5"/>
      <c r="L113" s="5"/>
    </row>
    <row r="114" spans="1:12">
      <c r="A114" s="3" t="s">
        <v>302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341</v>
      </c>
      <c r="G114" s="5"/>
      <c r="H114" s="5"/>
      <c r="I114" s="5"/>
      <c r="J114" s="5"/>
      <c r="K114" s="5"/>
      <c r="L114" s="5"/>
    </row>
    <row r="115" spans="1:12">
      <c r="A115" s="3" t="s">
        <v>303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341</v>
      </c>
      <c r="G115" s="5"/>
      <c r="H115" s="5"/>
      <c r="I115" s="5"/>
      <c r="J115" s="5"/>
      <c r="K115" s="5"/>
      <c r="L115" s="5"/>
    </row>
    <row r="116" spans="1:12">
      <c r="A116" s="3" t="s">
        <v>304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341</v>
      </c>
      <c r="G116" s="5"/>
      <c r="H116" s="5"/>
      <c r="I116" s="5"/>
      <c r="J116" s="5"/>
      <c r="K116" s="5"/>
      <c r="L116" s="5"/>
    </row>
    <row r="117" spans="1:12">
      <c r="A117" s="3" t="s">
        <v>305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341</v>
      </c>
      <c r="G117" s="5"/>
      <c r="H117" s="5"/>
      <c r="I117" s="5"/>
      <c r="J117" s="5"/>
      <c r="K117" s="5"/>
      <c r="L117" s="5"/>
    </row>
    <row r="118" spans="1:12">
      <c r="A118" s="3" t="s">
        <v>306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341</v>
      </c>
      <c r="G118" s="5"/>
      <c r="H118" s="5"/>
      <c r="I118" s="5"/>
      <c r="J118" s="5"/>
      <c r="K118" s="5"/>
      <c r="L118" s="5"/>
    </row>
    <row r="119" spans="1:12">
      <c r="A119" s="3" t="s">
        <v>307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341</v>
      </c>
      <c r="G119" s="5"/>
      <c r="H119" s="5"/>
      <c r="I119" s="5"/>
      <c r="J119" s="5"/>
      <c r="K119" s="5"/>
      <c r="L119" s="5"/>
    </row>
    <row r="120" spans="1:12">
      <c r="A120" s="3" t="s">
        <v>308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341</v>
      </c>
      <c r="G120" s="5"/>
      <c r="H120" s="5"/>
      <c r="I120" s="5"/>
      <c r="J120" s="5"/>
      <c r="K120" s="5"/>
      <c r="L120" s="5"/>
    </row>
    <row r="121" spans="1:12">
      <c r="A121" s="3" t="s">
        <v>309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341</v>
      </c>
      <c r="G121" s="5"/>
      <c r="H121" s="5"/>
      <c r="I121" s="5"/>
      <c r="J121" s="5"/>
      <c r="K121" s="5"/>
      <c r="L121" s="5"/>
    </row>
    <row r="122" spans="1:12">
      <c r="A122" s="3" t="s">
        <v>310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341</v>
      </c>
      <c r="G122" s="5"/>
      <c r="H122" s="5"/>
      <c r="I122" s="5"/>
      <c r="J122" s="5"/>
      <c r="K122" s="5"/>
      <c r="L122" s="5"/>
    </row>
    <row r="123" spans="1:12">
      <c r="A123" s="3" t="s">
        <v>311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341</v>
      </c>
      <c r="G123" s="5"/>
      <c r="H123" s="5"/>
      <c r="I123" s="5"/>
      <c r="J123" s="5"/>
      <c r="K123" s="5"/>
      <c r="L123" s="5"/>
    </row>
    <row r="124" spans="1:12">
      <c r="A124" s="3" t="s">
        <v>312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341</v>
      </c>
      <c r="G124" s="5"/>
      <c r="H124" s="5"/>
      <c r="I124" s="5"/>
      <c r="J124" s="5"/>
      <c r="K124" s="5"/>
      <c r="L124" s="5"/>
    </row>
    <row r="125" spans="1:12">
      <c r="A125" s="3" t="s">
        <v>313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341</v>
      </c>
      <c r="G125" s="5"/>
      <c r="H125" s="5"/>
      <c r="I125" s="5"/>
      <c r="J125" s="5"/>
      <c r="K125" s="5"/>
      <c r="L125" s="5"/>
    </row>
    <row r="126" spans="1:12">
      <c r="A126" s="3" t="s">
        <v>315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341</v>
      </c>
      <c r="G126" s="5"/>
      <c r="H126" s="5"/>
      <c r="I126" s="5"/>
      <c r="J126" s="5"/>
      <c r="K126" s="5"/>
      <c r="L126" s="5"/>
    </row>
    <row r="127" spans="1:12">
      <c r="A127" s="3" t="s">
        <v>314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341</v>
      </c>
      <c r="G127" s="5"/>
      <c r="H127" s="5"/>
      <c r="I127" s="5"/>
      <c r="J127" s="5"/>
      <c r="K127" s="5"/>
      <c r="L127" s="5"/>
    </row>
    <row r="128" spans="1:12">
      <c r="A128" s="3" t="s">
        <v>316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341</v>
      </c>
      <c r="G128" s="5"/>
      <c r="H128" s="5"/>
      <c r="I128" s="5"/>
      <c r="J128" s="5"/>
      <c r="K128" s="5"/>
      <c r="L128" s="5"/>
    </row>
    <row r="129" spans="1:12">
      <c r="A129" s="3" t="s">
        <v>317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341</v>
      </c>
      <c r="G129" s="5"/>
      <c r="H129" s="5"/>
      <c r="I129" s="5"/>
      <c r="J129" s="5"/>
      <c r="K129" s="5"/>
      <c r="L129" s="5"/>
    </row>
    <row r="130" spans="1:12">
      <c r="A130" s="3" t="s">
        <v>318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341</v>
      </c>
      <c r="G130" s="5"/>
      <c r="H130" s="5"/>
      <c r="I130" s="5"/>
      <c r="J130" s="5"/>
      <c r="K130" s="5"/>
      <c r="L130" s="5"/>
    </row>
    <row r="131" spans="1:12">
      <c r="A131" s="3" t="s">
        <v>322</v>
      </c>
      <c r="B131" s="3" t="s">
        <v>17</v>
      </c>
      <c r="C131" s="3" t="s">
        <v>30</v>
      </c>
      <c r="D131" s="3" t="s">
        <v>212</v>
      </c>
      <c r="E131" s="3">
        <v>4</v>
      </c>
      <c r="F131" s="7" t="s">
        <v>341</v>
      </c>
      <c r="G131" s="5"/>
      <c r="H131" s="5"/>
      <c r="I131" s="5"/>
      <c r="J131" s="5"/>
      <c r="K131" s="5"/>
      <c r="L131" s="5"/>
    </row>
    <row r="132" spans="1:12">
      <c r="A132" s="3" t="s">
        <v>323</v>
      </c>
      <c r="B132" s="3" t="s">
        <v>17</v>
      </c>
      <c r="C132" s="3" t="s">
        <v>30</v>
      </c>
      <c r="D132" s="3" t="s">
        <v>212</v>
      </c>
      <c r="E132" s="3">
        <v>4</v>
      </c>
      <c r="F132" s="7" t="s">
        <v>341</v>
      </c>
      <c r="G132" s="5"/>
      <c r="H132" s="5"/>
      <c r="I132" s="5"/>
      <c r="J132" s="5"/>
      <c r="K132" s="5"/>
      <c r="L132" s="5"/>
    </row>
    <row r="133" spans="1:12">
      <c r="A133" s="3" t="s">
        <v>324</v>
      </c>
      <c r="B133" s="3" t="s">
        <v>17</v>
      </c>
      <c r="C133" s="3" t="s">
        <v>30</v>
      </c>
      <c r="D133" s="3" t="s">
        <v>212</v>
      </c>
      <c r="E133" s="3">
        <v>4</v>
      </c>
      <c r="F133" s="7" t="s">
        <v>341</v>
      </c>
      <c r="G133" s="5"/>
      <c r="H133" s="5"/>
      <c r="I133" s="5"/>
      <c r="J133" s="5"/>
      <c r="K133" s="5"/>
      <c r="L133" s="5"/>
    </row>
    <row r="134" spans="1:12">
      <c r="A134" s="3" t="s">
        <v>325</v>
      </c>
      <c r="B134" s="3" t="s">
        <v>17</v>
      </c>
      <c r="C134" s="3" t="s">
        <v>30</v>
      </c>
      <c r="D134" s="3" t="s">
        <v>212</v>
      </c>
      <c r="E134" s="3">
        <v>4</v>
      </c>
      <c r="F134" s="7" t="s">
        <v>341</v>
      </c>
      <c r="G134" s="5"/>
      <c r="H134" s="5"/>
      <c r="I134" s="5"/>
      <c r="J134" s="5"/>
      <c r="K134" s="5"/>
      <c r="L134" s="5"/>
    </row>
    <row r="135" spans="1:12">
      <c r="A135" s="3" t="s">
        <v>326</v>
      </c>
      <c r="B135" s="3" t="s">
        <v>17</v>
      </c>
      <c r="C135" s="3" t="s">
        <v>30</v>
      </c>
      <c r="D135" s="3" t="s">
        <v>212</v>
      </c>
      <c r="E135" s="3">
        <v>4</v>
      </c>
      <c r="F135" s="7" t="s">
        <v>341</v>
      </c>
      <c r="G135" s="5"/>
      <c r="H135" s="5"/>
      <c r="I135" s="5"/>
      <c r="J135" s="5"/>
      <c r="K135" s="5"/>
      <c r="L135" s="5"/>
    </row>
    <row r="136" spans="1:12">
      <c r="A136" s="3" t="s">
        <v>327</v>
      </c>
      <c r="B136" s="3" t="s">
        <v>17</v>
      </c>
      <c r="C136" s="3" t="s">
        <v>30</v>
      </c>
      <c r="D136" s="3" t="s">
        <v>212</v>
      </c>
      <c r="E136" s="3">
        <v>4</v>
      </c>
      <c r="F136" s="7" t="s">
        <v>341</v>
      </c>
      <c r="G136" s="5"/>
      <c r="H136" s="5"/>
      <c r="I136" s="5"/>
      <c r="J136" s="5"/>
      <c r="K136" s="5"/>
      <c r="L136" s="5"/>
    </row>
    <row r="137" spans="1:12">
      <c r="A137" s="3" t="s">
        <v>328</v>
      </c>
      <c r="B137" s="3" t="s">
        <v>17</v>
      </c>
      <c r="C137" s="3" t="s">
        <v>30</v>
      </c>
      <c r="D137" s="3" t="s">
        <v>212</v>
      </c>
      <c r="E137" s="3">
        <v>4</v>
      </c>
      <c r="F137" s="7" t="s">
        <v>341</v>
      </c>
      <c r="G137" s="5"/>
      <c r="H137" s="5"/>
      <c r="I137" s="5"/>
      <c r="J137" s="5"/>
      <c r="K137" s="5"/>
      <c r="L137" s="5"/>
    </row>
    <row r="138" spans="1:12">
      <c r="A138" s="3" t="s">
        <v>329</v>
      </c>
      <c r="B138" s="3" t="s">
        <v>17</v>
      </c>
      <c r="C138" s="3" t="s">
        <v>30</v>
      </c>
      <c r="D138" s="3" t="s">
        <v>212</v>
      </c>
      <c r="E138" s="3">
        <v>4</v>
      </c>
      <c r="F138" s="7" t="s">
        <v>341</v>
      </c>
      <c r="G138" s="5"/>
      <c r="H138" s="5"/>
      <c r="I138" s="5"/>
      <c r="J138" s="5"/>
      <c r="K138" s="5"/>
      <c r="L138" s="5"/>
    </row>
    <row r="139" spans="1:12">
      <c r="A139" s="3" t="s">
        <v>320</v>
      </c>
      <c r="B139" s="3" t="s">
        <v>17</v>
      </c>
      <c r="C139" s="3" t="s">
        <v>320</v>
      </c>
      <c r="D139" s="3" t="s">
        <v>254</v>
      </c>
      <c r="E139" s="3">
        <v>4</v>
      </c>
      <c r="F139" s="7" t="s">
        <v>341</v>
      </c>
      <c r="G139" s="5"/>
      <c r="H139" s="5"/>
      <c r="I139" s="5"/>
      <c r="J139" s="5"/>
      <c r="K139" s="5"/>
      <c r="L139" s="5"/>
    </row>
    <row r="140" spans="1:12">
      <c r="A140" s="3" t="s">
        <v>319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341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353</v>
      </c>
      <c r="G141" s="5"/>
      <c r="H141" s="5"/>
      <c r="I141" s="5"/>
      <c r="J141" s="5"/>
      <c r="K141" s="5"/>
      <c r="L141" s="5"/>
    </row>
    <row r="142" spans="1:12">
      <c r="A142" s="3" t="s">
        <v>330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353</v>
      </c>
      <c r="G142" s="5"/>
      <c r="H142" s="5"/>
      <c r="I142" s="5"/>
      <c r="J142" s="5"/>
      <c r="K142" s="5"/>
      <c r="L142" s="5"/>
    </row>
    <row r="143" spans="1:12">
      <c r="A143" s="3" t="s">
        <v>331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353</v>
      </c>
      <c r="G143" s="5"/>
      <c r="H143" s="5"/>
      <c r="I143" s="5"/>
      <c r="J143" s="5"/>
      <c r="K143" s="5"/>
      <c r="L143" s="5"/>
    </row>
    <row r="144" spans="1:12">
      <c r="A144" s="3" t="s">
        <v>332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353</v>
      </c>
      <c r="G144" s="5"/>
      <c r="H144" s="5"/>
      <c r="I144" s="5"/>
      <c r="J144" s="5"/>
      <c r="K144" s="5"/>
      <c r="L144" s="5"/>
    </row>
    <row r="145" spans="1:12">
      <c r="A145" s="3" t="s">
        <v>333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353</v>
      </c>
      <c r="G145" s="5"/>
      <c r="H145" s="5"/>
      <c r="I145" s="5"/>
      <c r="J145" s="5"/>
      <c r="K145" s="5"/>
      <c r="L145" s="5"/>
    </row>
    <row r="146" spans="1:12">
      <c r="A146" s="3" t="s">
        <v>334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353</v>
      </c>
      <c r="G146" s="5"/>
      <c r="H146" s="5"/>
      <c r="I146" s="5"/>
      <c r="J146" s="5"/>
      <c r="K146" s="5"/>
      <c r="L146" s="5"/>
    </row>
    <row r="147" spans="1:12">
      <c r="A147" s="3" t="s">
        <v>335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353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353</v>
      </c>
      <c r="G148" s="5"/>
      <c r="H148" s="5"/>
      <c r="I148" s="5"/>
      <c r="J148" s="5"/>
      <c r="K148" s="5"/>
      <c r="L148" s="5"/>
    </row>
    <row r="149" spans="1:12">
      <c r="A149" s="3" t="s">
        <v>336</v>
      </c>
      <c r="B149" s="3" t="s">
        <v>17</v>
      </c>
      <c r="C149" s="3" t="s">
        <v>32</v>
      </c>
      <c r="D149" s="3" t="s">
        <v>274</v>
      </c>
      <c r="E149" s="3">
        <v>3</v>
      </c>
      <c r="F149" s="7" t="s">
        <v>353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212</v>
      </c>
      <c r="E150" s="3">
        <v>3</v>
      </c>
      <c r="F150" s="7" t="s">
        <v>353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59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3203125" style="58" customWidth="1"/>
    <col min="2" max="2" width="7.5" style="58" customWidth="1"/>
    <col min="3" max="3" width="0.83203125" style="58" customWidth="1"/>
    <col min="4" max="4" width="4" style="58" customWidth="1"/>
    <col min="5" max="5" width="5.83203125" style="58" customWidth="1"/>
    <col min="6" max="6" width="5.58203125" style="58" customWidth="1"/>
    <col min="7" max="7" width="11.25" style="58" customWidth="1"/>
    <col min="8" max="8" width="9.08203125" style="58" customWidth="1"/>
    <col min="9" max="9" width="12.75" style="58" customWidth="1"/>
    <col min="10" max="10" width="1.33203125" style="58" customWidth="1"/>
    <col min="11" max="11" width="1" style="58" customWidth="1"/>
    <col min="12" max="12" width="10.75" style="58" customWidth="1"/>
    <col min="13" max="13" width="10.08203125" style="58" customWidth="1"/>
    <col min="14" max="14" width="16.58203125" style="58" customWidth="1"/>
    <col min="15" max="15" width="8.33203125" style="58" customWidth="1"/>
    <col min="16" max="16" width="9.5" style="58" customWidth="1"/>
    <col min="17" max="17" width="1.25" style="58" customWidth="1"/>
    <col min="18" max="18" width="0.5" style="58" customWidth="1"/>
    <col min="19" max="26" width="0" style="58" hidden="1" customWidth="1"/>
    <col min="27" max="16384" width="11" style="58" hidden="1"/>
  </cols>
  <sheetData>
    <row r="1" spans="2:26" ht="16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2:26" ht="36.5" thickBot="1">
      <c r="B2" s="819" t="s">
        <v>377</v>
      </c>
      <c r="C2" s="820"/>
      <c r="D2" s="820"/>
      <c r="E2" s="820"/>
      <c r="F2" s="820"/>
      <c r="G2" s="820"/>
      <c r="H2" s="820"/>
      <c r="I2" s="820"/>
      <c r="J2" s="820"/>
      <c r="K2" s="820"/>
      <c r="L2" s="820"/>
      <c r="M2" s="820"/>
      <c r="N2" s="820"/>
      <c r="O2" s="820"/>
      <c r="P2" s="820"/>
      <c r="Q2" s="820"/>
      <c r="R2" s="57"/>
      <c r="S2" s="57"/>
      <c r="T2" s="57"/>
      <c r="U2" s="57"/>
      <c r="V2" s="57"/>
      <c r="W2" s="57"/>
      <c r="X2" s="57"/>
      <c r="Y2" s="57"/>
      <c r="Z2" s="57"/>
    </row>
    <row r="3" spans="2:26" ht="24" customHeight="1" thickBot="1">
      <c r="B3" s="59" t="s">
        <v>378</v>
      </c>
      <c r="C3" s="821" t="s">
        <v>379</v>
      </c>
      <c r="D3" s="822"/>
      <c r="E3" s="822"/>
      <c r="F3" s="822"/>
      <c r="G3" s="822"/>
      <c r="H3" s="822"/>
      <c r="I3" s="822"/>
      <c r="J3" s="823"/>
      <c r="K3" s="824" t="s">
        <v>380</v>
      </c>
      <c r="L3" s="825"/>
      <c r="M3" s="825"/>
      <c r="N3" s="825"/>
      <c r="O3" s="825"/>
      <c r="P3" s="825"/>
      <c r="Q3" s="826"/>
      <c r="R3" s="57"/>
      <c r="S3" s="57"/>
      <c r="T3" s="57"/>
      <c r="U3" s="57"/>
      <c r="V3" s="57"/>
      <c r="W3" s="57"/>
      <c r="X3" s="57"/>
      <c r="Y3" s="57"/>
      <c r="Z3" s="57"/>
    </row>
    <row r="4" spans="2:26" ht="16">
      <c r="B4" s="784" t="s">
        <v>381</v>
      </c>
      <c r="C4" s="60" t="s">
        <v>382</v>
      </c>
      <c r="D4" s="61"/>
      <c r="E4" s="61"/>
      <c r="F4" s="61"/>
      <c r="G4" s="61"/>
      <c r="H4" s="61"/>
      <c r="I4" s="61"/>
      <c r="J4" s="62"/>
      <c r="K4" s="63" t="s">
        <v>382</v>
      </c>
      <c r="L4" s="61"/>
      <c r="M4" s="61"/>
      <c r="N4" s="61"/>
      <c r="O4" s="61"/>
      <c r="P4" s="61"/>
      <c r="Q4" s="62"/>
      <c r="R4" s="57"/>
      <c r="S4" s="57"/>
      <c r="T4" s="57"/>
      <c r="U4" s="57"/>
      <c r="V4" s="57"/>
      <c r="W4" s="57"/>
      <c r="X4" s="57"/>
      <c r="Y4" s="57"/>
      <c r="Z4" s="57"/>
    </row>
    <row r="5" spans="2:26" ht="18.75" customHeight="1">
      <c r="B5" s="771"/>
      <c r="C5" s="64"/>
      <c r="D5" s="790" t="s">
        <v>383</v>
      </c>
      <c r="E5" s="779"/>
      <c r="F5" s="779"/>
      <c r="G5" s="778"/>
      <c r="H5" s="794" t="s">
        <v>384</v>
      </c>
      <c r="I5" s="779"/>
      <c r="J5" s="65"/>
      <c r="K5" s="66"/>
      <c r="L5" s="790" t="s">
        <v>383</v>
      </c>
      <c r="M5" s="779"/>
      <c r="N5" s="778"/>
      <c r="O5" s="794" t="s">
        <v>385</v>
      </c>
      <c r="P5" s="779"/>
      <c r="Q5" s="65"/>
      <c r="R5" s="57"/>
      <c r="S5" s="57"/>
      <c r="T5" s="57"/>
      <c r="U5" s="57"/>
      <c r="V5" s="57"/>
      <c r="W5" s="57"/>
      <c r="X5" s="57"/>
      <c r="Y5" s="57"/>
      <c r="Z5" s="57"/>
    </row>
    <row r="6" spans="2:26" ht="18.75" customHeight="1">
      <c r="B6" s="771"/>
      <c r="C6" s="64"/>
      <c r="D6" s="790" t="s">
        <v>386</v>
      </c>
      <c r="E6" s="779"/>
      <c r="F6" s="779"/>
      <c r="G6" s="778"/>
      <c r="H6" s="794" t="s">
        <v>387</v>
      </c>
      <c r="I6" s="779"/>
      <c r="J6" s="65"/>
      <c r="K6" s="66"/>
      <c r="L6" s="790" t="s">
        <v>386</v>
      </c>
      <c r="M6" s="779"/>
      <c r="N6" s="778"/>
      <c r="O6" s="794" t="s">
        <v>388</v>
      </c>
      <c r="P6" s="779"/>
      <c r="Q6" s="65"/>
      <c r="R6" s="57"/>
      <c r="S6" s="57"/>
      <c r="T6" s="57"/>
      <c r="U6" s="57"/>
      <c r="V6" s="57"/>
      <c r="W6" s="57"/>
      <c r="X6" s="57"/>
      <c r="Y6" s="57"/>
      <c r="Z6" s="57"/>
    </row>
    <row r="7" spans="2:26" ht="18.75" customHeight="1">
      <c r="B7" s="771"/>
      <c r="C7" s="64"/>
      <c r="D7" s="790" t="s">
        <v>389</v>
      </c>
      <c r="E7" s="779"/>
      <c r="F7" s="779"/>
      <c r="G7" s="778"/>
      <c r="H7" s="794" t="s">
        <v>390</v>
      </c>
      <c r="I7" s="779"/>
      <c r="J7" s="65"/>
      <c r="K7" s="66"/>
      <c r="L7" s="790" t="s">
        <v>389</v>
      </c>
      <c r="M7" s="779"/>
      <c r="N7" s="778"/>
      <c r="O7" s="794" t="s">
        <v>391</v>
      </c>
      <c r="P7" s="779"/>
      <c r="Q7" s="65"/>
      <c r="R7" s="57"/>
      <c r="S7" s="57"/>
      <c r="T7" s="57"/>
      <c r="U7" s="57"/>
      <c r="V7" s="57"/>
      <c r="W7" s="57"/>
      <c r="X7" s="57"/>
      <c r="Y7" s="57"/>
      <c r="Z7" s="57"/>
    </row>
    <row r="8" spans="2:26" ht="18.75" customHeight="1">
      <c r="B8" s="771"/>
      <c r="C8" s="64"/>
      <c r="D8" s="790" t="s">
        <v>392</v>
      </c>
      <c r="E8" s="779"/>
      <c r="F8" s="779"/>
      <c r="G8" s="778"/>
      <c r="H8" s="794" t="s">
        <v>393</v>
      </c>
      <c r="I8" s="779"/>
      <c r="J8" s="65"/>
      <c r="K8" s="66"/>
      <c r="L8" s="790" t="s">
        <v>392</v>
      </c>
      <c r="M8" s="779"/>
      <c r="N8" s="778"/>
      <c r="O8" s="794" t="s">
        <v>393</v>
      </c>
      <c r="P8" s="779"/>
      <c r="Q8" s="65"/>
      <c r="R8" s="57"/>
      <c r="S8" s="57"/>
      <c r="T8" s="57"/>
      <c r="U8" s="57"/>
      <c r="V8" s="57"/>
      <c r="W8" s="57"/>
      <c r="X8" s="57"/>
      <c r="Y8" s="57"/>
      <c r="Z8" s="57"/>
    </row>
    <row r="9" spans="2:26" ht="8.25" customHeight="1" thickBot="1">
      <c r="B9" s="772"/>
      <c r="C9" s="67"/>
      <c r="D9" s="68"/>
      <c r="E9" s="68"/>
      <c r="F9" s="68"/>
      <c r="G9" s="68"/>
      <c r="H9" s="68"/>
      <c r="I9" s="68"/>
      <c r="J9" s="69"/>
      <c r="K9" s="70"/>
      <c r="L9" s="68"/>
      <c r="M9" s="68"/>
      <c r="N9" s="68"/>
      <c r="O9" s="68"/>
      <c r="P9" s="68"/>
      <c r="Q9" s="69"/>
      <c r="R9" s="57"/>
      <c r="S9" s="57"/>
      <c r="T9" s="57"/>
      <c r="U9" s="57"/>
      <c r="V9" s="57"/>
      <c r="W9" s="57"/>
      <c r="X9" s="57"/>
      <c r="Y9" s="57"/>
      <c r="Z9" s="57"/>
    </row>
    <row r="10" spans="2:26" ht="6.75" customHeight="1">
      <c r="B10" s="784" t="s">
        <v>394</v>
      </c>
      <c r="C10" s="60"/>
      <c r="D10" s="61"/>
      <c r="E10" s="61"/>
      <c r="F10" s="61"/>
      <c r="G10" s="61"/>
      <c r="H10" s="61"/>
      <c r="I10" s="61"/>
      <c r="J10" s="62"/>
      <c r="K10" s="63"/>
      <c r="L10" s="61"/>
      <c r="M10" s="61"/>
      <c r="N10" s="61"/>
      <c r="O10" s="61"/>
      <c r="P10" s="61"/>
      <c r="Q10" s="62"/>
      <c r="R10" s="57"/>
      <c r="S10" s="57"/>
      <c r="T10" s="57"/>
      <c r="U10" s="57"/>
      <c r="V10" s="57"/>
      <c r="W10" s="57"/>
      <c r="X10" s="57"/>
      <c r="Y10" s="57"/>
      <c r="Z10" s="57"/>
    </row>
    <row r="11" spans="2:26" ht="16.5" customHeight="1">
      <c r="B11" s="771"/>
      <c r="C11" s="64"/>
      <c r="D11" s="790" t="s">
        <v>321</v>
      </c>
      <c r="E11" s="779"/>
      <c r="F11" s="779"/>
      <c r="G11" s="794" t="s">
        <v>395</v>
      </c>
      <c r="H11" s="779"/>
      <c r="I11" s="779"/>
      <c r="J11" s="65"/>
      <c r="K11" s="66"/>
      <c r="L11" s="815" t="s">
        <v>321</v>
      </c>
      <c r="M11" s="816"/>
      <c r="N11" s="817" t="s">
        <v>396</v>
      </c>
      <c r="O11" s="818"/>
      <c r="P11" s="818"/>
      <c r="Q11" s="65"/>
      <c r="R11" s="57"/>
      <c r="S11" s="57"/>
      <c r="T11" s="57"/>
      <c r="U11" s="57"/>
      <c r="V11" s="57"/>
      <c r="W11" s="57"/>
      <c r="X11" s="57"/>
      <c r="Y11" s="57"/>
      <c r="Z11" s="57"/>
    </row>
    <row r="12" spans="2:26" ht="16.5" customHeight="1">
      <c r="B12" s="771"/>
      <c r="C12" s="64"/>
      <c r="D12" s="790" t="s">
        <v>397</v>
      </c>
      <c r="E12" s="779"/>
      <c r="F12" s="779"/>
      <c r="G12" s="794" t="s">
        <v>398</v>
      </c>
      <c r="H12" s="779"/>
      <c r="I12" s="779"/>
      <c r="J12" s="65"/>
      <c r="K12" s="66"/>
      <c r="L12" s="799"/>
      <c r="M12" s="776"/>
      <c r="N12" s="793"/>
      <c r="O12" s="799"/>
      <c r="P12" s="799"/>
      <c r="Q12" s="65"/>
      <c r="R12" s="57"/>
      <c r="S12" s="57"/>
      <c r="T12" s="57"/>
      <c r="U12" s="57"/>
      <c r="V12" s="57"/>
      <c r="W12" s="57"/>
      <c r="X12" s="57"/>
      <c r="Y12" s="57"/>
      <c r="Z12" s="57"/>
    </row>
    <row r="13" spans="2:26" ht="16.5" customHeight="1">
      <c r="B13" s="771"/>
      <c r="C13" s="64"/>
      <c r="D13" s="790" t="s">
        <v>399</v>
      </c>
      <c r="E13" s="779"/>
      <c r="F13" s="779"/>
      <c r="G13" s="794" t="s">
        <v>400</v>
      </c>
      <c r="H13" s="779"/>
      <c r="I13" s="779"/>
      <c r="J13" s="65"/>
      <c r="K13" s="66"/>
      <c r="L13" s="790" t="s">
        <v>401</v>
      </c>
      <c r="M13" s="778"/>
      <c r="N13" s="794" t="s">
        <v>400</v>
      </c>
      <c r="O13" s="779"/>
      <c r="P13" s="779"/>
      <c r="Q13" s="65"/>
      <c r="R13" s="57"/>
      <c r="S13" s="57"/>
      <c r="T13" s="57"/>
      <c r="U13" s="57"/>
      <c r="V13" s="57"/>
      <c r="W13" s="57"/>
      <c r="X13" s="57"/>
      <c r="Y13" s="57"/>
      <c r="Z13" s="57"/>
    </row>
    <row r="14" spans="2:26" ht="6.75" customHeight="1" thickBot="1">
      <c r="B14" s="772"/>
      <c r="C14" s="67"/>
      <c r="D14" s="68"/>
      <c r="E14" s="68"/>
      <c r="F14" s="68"/>
      <c r="G14" s="68"/>
      <c r="H14" s="68"/>
      <c r="I14" s="68"/>
      <c r="J14" s="69"/>
      <c r="K14" s="70"/>
      <c r="L14" s="68"/>
      <c r="M14" s="68"/>
      <c r="N14" s="68"/>
      <c r="O14" s="68"/>
      <c r="P14" s="68"/>
      <c r="Q14" s="69"/>
      <c r="R14" s="57"/>
      <c r="S14" s="57"/>
      <c r="T14" s="57"/>
      <c r="U14" s="57"/>
      <c r="V14" s="57"/>
      <c r="W14" s="57"/>
      <c r="X14" s="57"/>
      <c r="Y14" s="57"/>
      <c r="Z14" s="57"/>
    </row>
    <row r="15" spans="2:26" ht="6.75" customHeight="1">
      <c r="B15" s="784" t="s">
        <v>402</v>
      </c>
      <c r="C15" s="60"/>
      <c r="D15" s="61"/>
      <c r="E15" s="61"/>
      <c r="F15" s="61"/>
      <c r="G15" s="61"/>
      <c r="H15" s="61"/>
      <c r="I15" s="61"/>
      <c r="J15" s="62"/>
      <c r="K15" s="63"/>
      <c r="L15" s="61"/>
      <c r="M15" s="61"/>
      <c r="N15" s="61"/>
      <c r="O15" s="61"/>
      <c r="P15" s="61"/>
      <c r="Q15" s="62"/>
      <c r="R15" s="57"/>
      <c r="S15" s="57"/>
      <c r="T15" s="57"/>
      <c r="U15" s="57"/>
      <c r="V15" s="57"/>
      <c r="W15" s="57"/>
      <c r="X15" s="57"/>
      <c r="Y15" s="57"/>
      <c r="Z15" s="57"/>
    </row>
    <row r="16" spans="2:26" ht="20.25" customHeight="1">
      <c r="B16" s="771"/>
      <c r="C16" s="64"/>
      <c r="D16" s="790" t="s">
        <v>403</v>
      </c>
      <c r="E16" s="779"/>
      <c r="F16" s="779"/>
      <c r="G16" s="778"/>
      <c r="H16" s="794">
        <v>1</v>
      </c>
      <c r="I16" s="779"/>
      <c r="J16" s="65"/>
      <c r="K16" s="66"/>
      <c r="L16" s="790" t="s">
        <v>403</v>
      </c>
      <c r="M16" s="779"/>
      <c r="N16" s="778"/>
      <c r="O16" s="794" t="s">
        <v>404</v>
      </c>
      <c r="P16" s="779"/>
      <c r="Q16" s="65"/>
      <c r="R16" s="57"/>
      <c r="S16" s="57"/>
      <c r="T16" s="57"/>
      <c r="U16" s="57"/>
      <c r="V16" s="57"/>
      <c r="W16" s="57"/>
      <c r="X16" s="57"/>
      <c r="Y16" s="57"/>
      <c r="Z16" s="57"/>
    </row>
    <row r="17" spans="2:26" ht="20.25" customHeight="1">
      <c r="B17" s="771"/>
      <c r="C17" s="64"/>
      <c r="D17" s="790" t="s">
        <v>405</v>
      </c>
      <c r="E17" s="779"/>
      <c r="F17" s="779"/>
      <c r="G17" s="778"/>
      <c r="H17" s="794">
        <v>179</v>
      </c>
      <c r="I17" s="779"/>
      <c r="J17" s="65"/>
      <c r="K17" s="66"/>
      <c r="L17" s="790" t="s">
        <v>406</v>
      </c>
      <c r="M17" s="779"/>
      <c r="N17" s="778"/>
      <c r="O17" s="794" t="s">
        <v>407</v>
      </c>
      <c r="P17" s="779"/>
      <c r="Q17" s="65"/>
      <c r="R17" s="57"/>
      <c r="S17" s="57"/>
      <c r="T17" s="57"/>
      <c r="U17" s="57"/>
      <c r="V17" s="57"/>
      <c r="W17" s="57"/>
      <c r="X17" s="57"/>
      <c r="Y17" s="57"/>
      <c r="Z17" s="57"/>
    </row>
    <row r="18" spans="2:26" ht="20.25" customHeight="1">
      <c r="B18" s="771"/>
      <c r="C18" s="64"/>
      <c r="D18" s="790" t="s">
        <v>408</v>
      </c>
      <c r="E18" s="779"/>
      <c r="F18" s="779"/>
      <c r="G18" s="778"/>
      <c r="H18" s="794">
        <v>368</v>
      </c>
      <c r="I18" s="779"/>
      <c r="J18" s="65"/>
      <c r="K18" s="66"/>
      <c r="L18" s="790" t="s">
        <v>409</v>
      </c>
      <c r="M18" s="779"/>
      <c r="N18" s="778"/>
      <c r="O18" s="794" t="s">
        <v>410</v>
      </c>
      <c r="P18" s="779"/>
      <c r="Q18" s="65"/>
      <c r="R18" s="57"/>
      <c r="S18" s="57"/>
      <c r="T18" s="57"/>
      <c r="U18" s="57"/>
      <c r="V18" s="57"/>
      <c r="W18" s="57"/>
      <c r="X18" s="57"/>
      <c r="Y18" s="57"/>
      <c r="Z18" s="57"/>
    </row>
    <row r="19" spans="2:26" ht="20.25" customHeight="1">
      <c r="B19" s="771"/>
      <c r="C19" s="64"/>
      <c r="D19" s="790" t="s">
        <v>411</v>
      </c>
      <c r="E19" s="779"/>
      <c r="F19" s="779"/>
      <c r="G19" s="778"/>
      <c r="H19" s="794">
        <v>548</v>
      </c>
      <c r="I19" s="779"/>
      <c r="J19" s="65"/>
      <c r="K19" s="66"/>
      <c r="L19" s="790" t="s">
        <v>411</v>
      </c>
      <c r="M19" s="779"/>
      <c r="N19" s="778"/>
      <c r="O19" s="794" t="s">
        <v>412</v>
      </c>
      <c r="P19" s="779"/>
      <c r="Q19" s="65"/>
      <c r="R19" s="57"/>
      <c r="S19" s="57"/>
      <c r="T19" s="57"/>
      <c r="U19" s="57"/>
      <c r="V19" s="57"/>
      <c r="W19" s="57"/>
      <c r="X19" s="57"/>
      <c r="Y19" s="57"/>
      <c r="Z19" s="57"/>
    </row>
    <row r="20" spans="2:26" ht="5.25" customHeight="1" thickBot="1">
      <c r="B20" s="772"/>
      <c r="C20" s="67"/>
      <c r="D20" s="68"/>
      <c r="E20" s="68"/>
      <c r="F20" s="68"/>
      <c r="G20" s="68"/>
      <c r="H20" s="68"/>
      <c r="I20" s="68"/>
      <c r="J20" s="69"/>
      <c r="K20" s="70"/>
      <c r="L20" s="68"/>
      <c r="M20" s="68"/>
      <c r="N20" s="68"/>
      <c r="O20" s="68"/>
      <c r="P20" s="68"/>
      <c r="Q20" s="69"/>
      <c r="R20" s="57"/>
      <c r="S20" s="57"/>
      <c r="T20" s="57"/>
      <c r="U20" s="57"/>
      <c r="V20" s="57"/>
      <c r="W20" s="57"/>
      <c r="X20" s="57"/>
      <c r="Y20" s="57"/>
      <c r="Z20" s="57"/>
    </row>
    <row r="21" spans="2:26" ht="5.25" customHeight="1">
      <c r="B21" s="784" t="s">
        <v>413</v>
      </c>
      <c r="C21" s="60"/>
      <c r="D21" s="61"/>
      <c r="E21" s="61"/>
      <c r="F21" s="61"/>
      <c r="G21" s="61"/>
      <c r="H21" s="61"/>
      <c r="I21" s="61"/>
      <c r="J21" s="62"/>
      <c r="K21" s="63"/>
      <c r="L21" s="61"/>
      <c r="M21" s="61"/>
      <c r="N21" s="61"/>
      <c r="O21" s="61"/>
      <c r="P21" s="61"/>
      <c r="Q21" s="62"/>
      <c r="R21" s="57"/>
      <c r="S21" s="57"/>
      <c r="T21" s="57"/>
      <c r="U21" s="57"/>
      <c r="V21" s="57"/>
      <c r="W21" s="57"/>
      <c r="X21" s="57"/>
      <c r="Y21" s="57"/>
      <c r="Z21" s="57"/>
    </row>
    <row r="22" spans="2:26" ht="32.5" thickBot="1">
      <c r="B22" s="771"/>
      <c r="C22" s="64"/>
      <c r="D22" s="71"/>
      <c r="E22" s="72"/>
      <c r="F22" s="73" t="s">
        <v>414</v>
      </c>
      <c r="G22" s="73" t="s">
        <v>415</v>
      </c>
      <c r="H22" s="73" t="s">
        <v>416</v>
      </c>
      <c r="I22" s="74" t="s">
        <v>417</v>
      </c>
      <c r="J22" s="75"/>
      <c r="K22" s="76"/>
      <c r="L22" s="71"/>
      <c r="M22" s="73" t="s">
        <v>415</v>
      </c>
      <c r="N22" s="73" t="s">
        <v>418</v>
      </c>
      <c r="O22" s="807" t="s">
        <v>417</v>
      </c>
      <c r="P22" s="808"/>
      <c r="Q22" s="65"/>
      <c r="R22" s="57"/>
      <c r="S22" s="57"/>
      <c r="T22" s="57"/>
      <c r="U22" s="57"/>
      <c r="V22" s="57"/>
      <c r="W22" s="57"/>
      <c r="X22" s="57"/>
      <c r="Y22" s="57"/>
      <c r="Z22" s="57"/>
    </row>
    <row r="23" spans="2:26" ht="16.5" thickTop="1">
      <c r="B23" s="771"/>
      <c r="C23" s="64"/>
      <c r="D23" s="795" t="s">
        <v>415</v>
      </c>
      <c r="E23" s="809" t="s">
        <v>419</v>
      </c>
      <c r="F23" s="809" t="s">
        <v>420</v>
      </c>
      <c r="G23" s="77" t="s">
        <v>421</v>
      </c>
      <c r="H23" s="77" t="s">
        <v>422</v>
      </c>
      <c r="I23" s="797">
        <v>24</v>
      </c>
      <c r="J23" s="75"/>
      <c r="K23" s="76"/>
      <c r="L23" s="795" t="s">
        <v>423</v>
      </c>
      <c r="M23" s="78" t="s">
        <v>421</v>
      </c>
      <c r="N23" s="78" t="s">
        <v>424</v>
      </c>
      <c r="O23" s="797">
        <v>24</v>
      </c>
      <c r="P23" s="798"/>
      <c r="Q23" s="65"/>
      <c r="R23" s="57"/>
      <c r="S23" s="57"/>
      <c r="T23" s="57"/>
      <c r="U23" s="57"/>
      <c r="V23" s="57"/>
      <c r="W23" s="57"/>
      <c r="X23" s="57"/>
      <c r="Y23" s="57"/>
      <c r="Z23" s="57"/>
    </row>
    <row r="24" spans="2:26" ht="16">
      <c r="B24" s="771"/>
      <c r="C24" s="64"/>
      <c r="D24" s="796"/>
      <c r="E24" s="810"/>
      <c r="F24" s="810"/>
      <c r="G24" s="79" t="s">
        <v>425</v>
      </c>
      <c r="H24" s="79" t="s">
        <v>426</v>
      </c>
      <c r="I24" s="792"/>
      <c r="J24" s="75"/>
      <c r="K24" s="76"/>
      <c r="L24" s="796"/>
      <c r="M24" s="80" t="s">
        <v>425</v>
      </c>
      <c r="N24" s="80" t="s">
        <v>427</v>
      </c>
      <c r="O24" s="792"/>
      <c r="P24" s="769"/>
      <c r="Q24" s="65"/>
      <c r="R24" s="57"/>
      <c r="S24" s="57"/>
      <c r="T24" s="57"/>
      <c r="U24" s="57"/>
      <c r="V24" s="57"/>
      <c r="W24" s="57"/>
      <c r="X24" s="57"/>
      <c r="Y24" s="57"/>
      <c r="Z24" s="57"/>
    </row>
    <row r="25" spans="2:26" ht="16">
      <c r="B25" s="771"/>
      <c r="C25" s="64"/>
      <c r="D25" s="796"/>
      <c r="E25" s="810"/>
      <c r="F25" s="810"/>
      <c r="G25" s="79" t="s">
        <v>428</v>
      </c>
      <c r="H25" s="79" t="s">
        <v>429</v>
      </c>
      <c r="I25" s="811"/>
      <c r="J25" s="75"/>
      <c r="K25" s="76"/>
      <c r="L25" s="796"/>
      <c r="M25" s="80" t="s">
        <v>428</v>
      </c>
      <c r="N25" s="80" t="s">
        <v>430</v>
      </c>
      <c r="O25" s="793"/>
      <c r="P25" s="799"/>
      <c r="Q25" s="65"/>
      <c r="R25" s="57"/>
      <c r="S25" s="57"/>
      <c r="T25" s="57"/>
      <c r="U25" s="57"/>
      <c r="V25" s="57"/>
      <c r="W25" s="57"/>
      <c r="X25" s="57"/>
      <c r="Y25" s="57"/>
      <c r="Z25" s="57"/>
    </row>
    <row r="26" spans="2:26" ht="16">
      <c r="B26" s="771"/>
      <c r="C26" s="64"/>
      <c r="D26" s="796"/>
      <c r="E26" s="810"/>
      <c r="F26" s="767"/>
      <c r="G26" s="81" t="s">
        <v>431</v>
      </c>
      <c r="H26" s="81" t="s">
        <v>432</v>
      </c>
      <c r="I26" s="82">
        <v>6</v>
      </c>
      <c r="J26" s="75"/>
      <c r="K26" s="76"/>
      <c r="L26" s="796"/>
      <c r="M26" s="800" t="s">
        <v>433</v>
      </c>
      <c r="N26" s="83" t="s">
        <v>434</v>
      </c>
      <c r="O26" s="801">
        <v>6</v>
      </c>
      <c r="P26" s="802"/>
      <c r="Q26" s="65"/>
      <c r="R26" s="57"/>
      <c r="S26" s="57"/>
      <c r="T26" s="57"/>
      <c r="U26" s="57"/>
      <c r="V26" s="57"/>
      <c r="W26" s="57"/>
      <c r="X26" s="57"/>
      <c r="Y26" s="57"/>
      <c r="Z26" s="57"/>
    </row>
    <row r="27" spans="2:26" ht="48">
      <c r="B27" s="771"/>
      <c r="C27" s="64"/>
      <c r="D27" s="796"/>
      <c r="E27" s="810"/>
      <c r="F27" s="800" t="s">
        <v>435</v>
      </c>
      <c r="G27" s="83" t="s">
        <v>433</v>
      </c>
      <c r="H27" s="83" t="s">
        <v>436</v>
      </c>
      <c r="I27" s="803">
        <v>12</v>
      </c>
      <c r="J27" s="75"/>
      <c r="K27" s="76"/>
      <c r="L27" s="796"/>
      <c r="M27" s="767"/>
      <c r="N27" s="81" t="s">
        <v>437</v>
      </c>
      <c r="O27" s="804">
        <v>12</v>
      </c>
      <c r="P27" s="805"/>
      <c r="Q27" s="65"/>
      <c r="R27" s="57"/>
      <c r="S27" s="57"/>
      <c r="T27" s="57"/>
      <c r="U27" s="57"/>
      <c r="V27" s="57"/>
      <c r="W27" s="57"/>
      <c r="X27" s="57"/>
      <c r="Y27" s="57"/>
      <c r="Z27" s="57"/>
    </row>
    <row r="28" spans="2:26" ht="32">
      <c r="B28" s="771"/>
      <c r="C28" s="64"/>
      <c r="D28" s="796"/>
      <c r="E28" s="810"/>
      <c r="F28" s="767"/>
      <c r="G28" s="81" t="s">
        <v>438</v>
      </c>
      <c r="H28" s="81" t="s">
        <v>439</v>
      </c>
      <c r="I28" s="793"/>
      <c r="J28" s="75"/>
      <c r="K28" s="76"/>
      <c r="L28" s="796"/>
      <c r="M28" s="80" t="s">
        <v>438</v>
      </c>
      <c r="N28" s="80" t="s">
        <v>440</v>
      </c>
      <c r="O28" s="793"/>
      <c r="P28" s="799"/>
      <c r="Q28" s="65"/>
      <c r="R28" s="57"/>
      <c r="S28" s="57"/>
      <c r="T28" s="57"/>
      <c r="U28" s="57"/>
      <c r="V28" s="57"/>
      <c r="W28" s="57"/>
      <c r="X28" s="57"/>
      <c r="Y28" s="57"/>
      <c r="Z28" s="57"/>
    </row>
    <row r="29" spans="2:26" ht="16">
      <c r="B29" s="771"/>
      <c r="C29" s="64"/>
      <c r="D29" s="796"/>
      <c r="E29" s="810"/>
      <c r="F29" s="800" t="s">
        <v>441</v>
      </c>
      <c r="G29" s="83" t="s">
        <v>442</v>
      </c>
      <c r="H29" s="84"/>
      <c r="I29" s="85">
        <v>8</v>
      </c>
      <c r="J29" s="75"/>
      <c r="K29" s="76"/>
      <c r="L29" s="796"/>
      <c r="M29" s="80" t="s">
        <v>442</v>
      </c>
      <c r="N29" s="86"/>
      <c r="O29" s="806">
        <v>8</v>
      </c>
      <c r="P29" s="779"/>
      <c r="Q29" s="65"/>
      <c r="R29" s="57"/>
      <c r="S29" s="57"/>
      <c r="T29" s="57"/>
      <c r="U29" s="57"/>
      <c r="V29" s="57"/>
      <c r="W29" s="57"/>
      <c r="X29" s="57"/>
      <c r="Y29" s="57"/>
      <c r="Z29" s="57"/>
    </row>
    <row r="30" spans="2:26" ht="16">
      <c r="B30" s="771"/>
      <c r="C30" s="64"/>
      <c r="D30" s="796"/>
      <c r="E30" s="810"/>
      <c r="F30" s="767"/>
      <c r="G30" s="81" t="s">
        <v>443</v>
      </c>
      <c r="H30" s="87"/>
      <c r="I30" s="82">
        <v>6</v>
      </c>
      <c r="J30" s="75"/>
      <c r="K30" s="76"/>
      <c r="L30" s="796"/>
      <c r="M30" s="80" t="s">
        <v>443</v>
      </c>
      <c r="N30" s="86"/>
      <c r="O30" s="806">
        <v>6</v>
      </c>
      <c r="P30" s="779"/>
      <c r="Q30" s="65"/>
      <c r="R30" s="57"/>
      <c r="S30" s="57"/>
      <c r="T30" s="57"/>
      <c r="U30" s="57"/>
      <c r="V30" s="57"/>
      <c r="W30" s="57"/>
      <c r="X30" s="57"/>
      <c r="Y30" s="57"/>
      <c r="Z30" s="57"/>
    </row>
    <row r="31" spans="2:26" ht="64">
      <c r="B31" s="771"/>
      <c r="C31" s="64"/>
      <c r="D31" s="796"/>
      <c r="E31" s="810"/>
      <c r="F31" s="80" t="s">
        <v>444</v>
      </c>
      <c r="G31" s="80" t="s">
        <v>445</v>
      </c>
      <c r="H31" s="86"/>
      <c r="I31" s="88">
        <v>10</v>
      </c>
      <c r="J31" s="75"/>
      <c r="K31" s="76"/>
      <c r="L31" s="796"/>
      <c r="M31" s="80" t="s">
        <v>446</v>
      </c>
      <c r="N31" s="86"/>
      <c r="O31" s="806">
        <v>8</v>
      </c>
      <c r="P31" s="779"/>
      <c r="Q31" s="65"/>
      <c r="R31" s="57"/>
      <c r="S31" s="57"/>
      <c r="T31" s="57"/>
      <c r="U31" s="57"/>
      <c r="V31" s="57"/>
      <c r="W31" s="57"/>
      <c r="X31" s="57"/>
      <c r="Y31" s="57"/>
      <c r="Z31" s="57"/>
    </row>
    <row r="32" spans="2:26" ht="18.75" customHeight="1">
      <c r="B32" s="771"/>
      <c r="C32" s="64"/>
      <c r="D32" s="796"/>
      <c r="E32" s="767"/>
      <c r="F32" s="814" t="s">
        <v>411</v>
      </c>
      <c r="G32" s="779"/>
      <c r="H32" s="778"/>
      <c r="I32" s="89">
        <v>66</v>
      </c>
      <c r="J32" s="75"/>
      <c r="K32" s="76"/>
      <c r="L32" s="776"/>
      <c r="M32" s="814" t="s">
        <v>411</v>
      </c>
      <c r="N32" s="778"/>
      <c r="O32" s="787">
        <v>64</v>
      </c>
      <c r="P32" s="779"/>
      <c r="Q32" s="65"/>
      <c r="R32" s="57"/>
      <c r="S32" s="57"/>
      <c r="T32" s="57"/>
      <c r="U32" s="57"/>
      <c r="V32" s="57"/>
      <c r="W32" s="57"/>
      <c r="X32" s="57"/>
      <c r="Y32" s="57"/>
      <c r="Z32" s="57"/>
    </row>
    <row r="33" spans="2:26" ht="35.25" customHeight="1">
      <c r="B33" s="771"/>
      <c r="C33" s="64"/>
      <c r="D33" s="776"/>
      <c r="E33" s="90" t="s">
        <v>447</v>
      </c>
      <c r="F33" s="814" t="s">
        <v>448</v>
      </c>
      <c r="G33" s="779"/>
      <c r="H33" s="778"/>
      <c r="I33" s="89">
        <v>86</v>
      </c>
      <c r="J33" s="75"/>
      <c r="K33" s="76"/>
      <c r="L33" s="91" t="s">
        <v>449</v>
      </c>
      <c r="M33" s="814" t="s">
        <v>450</v>
      </c>
      <c r="N33" s="778"/>
      <c r="O33" s="787">
        <v>80</v>
      </c>
      <c r="P33" s="779"/>
      <c r="Q33" s="65"/>
      <c r="R33" s="57"/>
      <c r="S33" s="57"/>
      <c r="T33" s="57"/>
      <c r="U33" s="57"/>
      <c r="V33" s="57"/>
      <c r="W33" s="57"/>
      <c r="X33" s="57"/>
      <c r="Y33" s="57"/>
      <c r="Z33" s="57"/>
    </row>
    <row r="34" spans="2:26" ht="21.75" customHeight="1">
      <c r="B34" s="771"/>
      <c r="C34" s="64"/>
      <c r="D34" s="812" t="s">
        <v>389</v>
      </c>
      <c r="E34" s="779"/>
      <c r="F34" s="779"/>
      <c r="G34" s="779"/>
      <c r="H34" s="778"/>
      <c r="I34" s="92">
        <v>22</v>
      </c>
      <c r="J34" s="75"/>
      <c r="K34" s="76"/>
      <c r="L34" s="812" t="s">
        <v>389</v>
      </c>
      <c r="M34" s="779"/>
      <c r="N34" s="778"/>
      <c r="O34" s="813">
        <v>30</v>
      </c>
      <c r="P34" s="779"/>
      <c r="Q34" s="65"/>
      <c r="R34" s="57"/>
      <c r="S34" s="57"/>
      <c r="T34" s="57"/>
      <c r="U34" s="57"/>
      <c r="V34" s="57"/>
      <c r="W34" s="57"/>
      <c r="X34" s="57"/>
      <c r="Y34" s="57"/>
      <c r="Z34" s="57"/>
    </row>
    <row r="35" spans="2:26" ht="24" customHeight="1">
      <c r="B35" s="771"/>
      <c r="C35" s="64"/>
      <c r="D35" s="812" t="s">
        <v>392</v>
      </c>
      <c r="E35" s="779"/>
      <c r="F35" s="779"/>
      <c r="G35" s="779"/>
      <c r="H35" s="778"/>
      <c r="I35" s="92">
        <v>18</v>
      </c>
      <c r="J35" s="75"/>
      <c r="K35" s="76"/>
      <c r="L35" s="812" t="s">
        <v>392</v>
      </c>
      <c r="M35" s="779"/>
      <c r="N35" s="778"/>
      <c r="O35" s="813">
        <v>18</v>
      </c>
      <c r="P35" s="779"/>
      <c r="Q35" s="65"/>
      <c r="R35" s="57"/>
      <c r="S35" s="57"/>
      <c r="T35" s="57"/>
      <c r="U35" s="57"/>
      <c r="V35" s="57"/>
      <c r="W35" s="57"/>
      <c r="X35" s="57"/>
      <c r="Y35" s="57"/>
      <c r="Z35" s="57"/>
    </row>
    <row r="36" spans="2:26" ht="16">
      <c r="B36" s="771"/>
      <c r="C36" s="64"/>
      <c r="D36" s="786" t="s">
        <v>451</v>
      </c>
      <c r="E36" s="779"/>
      <c r="F36" s="779"/>
      <c r="G36" s="779"/>
      <c r="H36" s="778"/>
      <c r="I36" s="89">
        <v>192</v>
      </c>
      <c r="J36" s="75"/>
      <c r="K36" s="76"/>
      <c r="L36" s="786" t="s">
        <v>451</v>
      </c>
      <c r="M36" s="779"/>
      <c r="N36" s="778"/>
      <c r="O36" s="787">
        <v>192</v>
      </c>
      <c r="P36" s="779"/>
      <c r="Q36" s="65"/>
      <c r="R36" s="57"/>
      <c r="S36" s="57"/>
      <c r="T36" s="57"/>
      <c r="U36" s="57"/>
      <c r="V36" s="57"/>
      <c r="W36" s="57"/>
      <c r="X36" s="57"/>
      <c r="Y36" s="57"/>
      <c r="Z36" s="57"/>
    </row>
    <row r="37" spans="2:26" ht="5.25" customHeight="1" thickBot="1">
      <c r="B37" s="772"/>
      <c r="C37" s="67"/>
      <c r="D37" s="68"/>
      <c r="E37" s="68"/>
      <c r="F37" s="68"/>
      <c r="G37" s="68"/>
      <c r="H37" s="68"/>
      <c r="I37" s="68"/>
      <c r="J37" s="69"/>
      <c r="K37" s="70"/>
      <c r="L37" s="68"/>
      <c r="M37" s="68"/>
      <c r="N37" s="68"/>
      <c r="O37" s="68"/>
      <c r="P37" s="68"/>
      <c r="Q37" s="69"/>
      <c r="R37" s="57"/>
      <c r="S37" s="57"/>
      <c r="T37" s="57"/>
      <c r="U37" s="57"/>
      <c r="V37" s="57"/>
      <c r="W37" s="57"/>
      <c r="X37" s="57"/>
      <c r="Y37" s="57"/>
      <c r="Z37" s="57"/>
    </row>
    <row r="38" spans="2:26" ht="5.25" customHeight="1">
      <c r="B38" s="784" t="s">
        <v>452</v>
      </c>
      <c r="C38" s="60"/>
      <c r="D38" s="61"/>
      <c r="E38" s="61"/>
      <c r="F38" s="61"/>
      <c r="G38" s="61"/>
      <c r="H38" s="61"/>
      <c r="I38" s="61"/>
      <c r="J38" s="62"/>
      <c r="K38" s="63"/>
      <c r="L38" s="61"/>
      <c r="M38" s="61"/>
      <c r="N38" s="61"/>
      <c r="O38" s="61"/>
      <c r="P38" s="61"/>
      <c r="Q38" s="62"/>
      <c r="R38" s="57"/>
      <c r="S38" s="57"/>
      <c r="T38" s="57"/>
      <c r="U38" s="57"/>
      <c r="V38" s="57"/>
      <c r="W38" s="57"/>
      <c r="X38" s="57"/>
      <c r="Y38" s="57"/>
      <c r="Z38" s="57"/>
    </row>
    <row r="39" spans="2:26" ht="16">
      <c r="B39" s="771"/>
      <c r="C39" s="64" t="s">
        <v>453</v>
      </c>
      <c r="D39" s="93"/>
      <c r="E39" s="93"/>
      <c r="F39" s="93"/>
      <c r="G39" s="93"/>
      <c r="H39" s="93"/>
      <c r="I39" s="93"/>
      <c r="J39" s="65"/>
      <c r="K39" s="66"/>
      <c r="L39" s="93" t="s">
        <v>454</v>
      </c>
      <c r="M39" s="93"/>
      <c r="N39" s="93"/>
      <c r="O39" s="93"/>
      <c r="P39" s="93"/>
      <c r="Q39" s="65"/>
      <c r="R39" s="57"/>
      <c r="S39" s="57"/>
      <c r="T39" s="57"/>
      <c r="U39" s="57"/>
      <c r="V39" s="57"/>
      <c r="W39" s="57"/>
      <c r="X39" s="57"/>
      <c r="Y39" s="57"/>
      <c r="Z39" s="57"/>
    </row>
    <row r="40" spans="2:26" ht="16">
      <c r="B40" s="771"/>
      <c r="C40" s="64" t="s">
        <v>455</v>
      </c>
      <c r="D40" s="93"/>
      <c r="E40" s="93"/>
      <c r="F40" s="93"/>
      <c r="G40" s="93"/>
      <c r="H40" s="93"/>
      <c r="I40" s="93"/>
      <c r="J40" s="65"/>
      <c r="K40" s="66"/>
      <c r="L40" s="93" t="s">
        <v>456</v>
      </c>
      <c r="M40" s="93"/>
      <c r="N40" s="93"/>
      <c r="O40" s="93"/>
      <c r="P40" s="93"/>
      <c r="Q40" s="65"/>
      <c r="R40" s="57"/>
      <c r="S40" s="57"/>
      <c r="T40" s="57"/>
      <c r="U40" s="57"/>
      <c r="V40" s="57"/>
      <c r="W40" s="57"/>
      <c r="X40" s="57"/>
      <c r="Y40" s="57"/>
      <c r="Z40" s="57"/>
    </row>
    <row r="41" spans="2:26" ht="5.25" customHeight="1" thickBot="1">
      <c r="B41" s="772"/>
      <c r="C41" s="67"/>
      <c r="D41" s="68"/>
      <c r="E41" s="68"/>
      <c r="F41" s="68"/>
      <c r="G41" s="68"/>
      <c r="H41" s="68"/>
      <c r="I41" s="68"/>
      <c r="J41" s="69"/>
      <c r="K41" s="70"/>
      <c r="L41" s="68"/>
      <c r="M41" s="68"/>
      <c r="N41" s="68"/>
      <c r="O41" s="68"/>
      <c r="P41" s="68"/>
      <c r="Q41" s="69"/>
      <c r="R41" s="57"/>
      <c r="S41" s="57"/>
      <c r="T41" s="57"/>
      <c r="U41" s="57"/>
      <c r="V41" s="57"/>
      <c r="W41" s="57"/>
      <c r="X41" s="57"/>
      <c r="Y41" s="57"/>
      <c r="Z41" s="57"/>
    </row>
    <row r="42" spans="2:26" ht="5.25" customHeight="1">
      <c r="B42" s="784" t="s">
        <v>457</v>
      </c>
      <c r="C42" s="60"/>
      <c r="D42" s="61"/>
      <c r="E42" s="61"/>
      <c r="F42" s="61"/>
      <c r="G42" s="61"/>
      <c r="H42" s="61"/>
      <c r="I42" s="61"/>
      <c r="J42" s="62"/>
      <c r="K42" s="63"/>
      <c r="L42" s="61"/>
      <c r="M42" s="61"/>
      <c r="N42" s="61"/>
      <c r="O42" s="61"/>
      <c r="P42" s="61"/>
      <c r="Q42" s="62"/>
      <c r="R42" s="57"/>
      <c r="S42" s="57"/>
      <c r="T42" s="57"/>
      <c r="U42" s="57"/>
      <c r="V42" s="57"/>
      <c r="W42" s="57"/>
      <c r="X42" s="57"/>
      <c r="Y42" s="57"/>
      <c r="Z42" s="57"/>
    </row>
    <row r="43" spans="2:26" ht="16">
      <c r="B43" s="771"/>
      <c r="C43" s="64"/>
      <c r="D43" s="93" t="s">
        <v>458</v>
      </c>
      <c r="E43" s="93"/>
      <c r="F43" s="93"/>
      <c r="G43" s="93"/>
      <c r="H43" s="93"/>
      <c r="I43" s="93"/>
      <c r="J43" s="65"/>
      <c r="K43" s="66"/>
      <c r="L43" s="93" t="s">
        <v>459</v>
      </c>
      <c r="M43" s="93"/>
      <c r="N43" s="93"/>
      <c r="O43" s="93"/>
      <c r="P43" s="93"/>
      <c r="Q43" s="65"/>
      <c r="R43" s="57"/>
      <c r="S43" s="57"/>
      <c r="T43" s="57"/>
      <c r="U43" s="57"/>
      <c r="V43" s="57"/>
      <c r="W43" s="57"/>
      <c r="X43" s="57"/>
      <c r="Y43" s="57"/>
      <c r="Z43" s="57"/>
    </row>
    <row r="44" spans="2:26" ht="16">
      <c r="B44" s="771"/>
      <c r="C44" s="64"/>
      <c r="D44" s="93" t="s">
        <v>460</v>
      </c>
      <c r="E44" s="94"/>
      <c r="F44" s="94"/>
      <c r="G44" s="94"/>
      <c r="H44" s="94"/>
      <c r="I44" s="94"/>
      <c r="J44" s="65"/>
      <c r="K44" s="66"/>
      <c r="L44" s="93"/>
      <c r="M44" s="93"/>
      <c r="N44" s="93"/>
      <c r="O44" s="93"/>
      <c r="P44" s="93"/>
      <c r="Q44" s="65"/>
      <c r="R44" s="57"/>
      <c r="S44" s="57"/>
      <c r="T44" s="57"/>
      <c r="U44" s="57"/>
      <c r="V44" s="57"/>
      <c r="W44" s="57"/>
      <c r="X44" s="57"/>
      <c r="Y44" s="57"/>
      <c r="Z44" s="57"/>
    </row>
    <row r="45" spans="2:26" ht="16">
      <c r="B45" s="771"/>
      <c r="C45" s="64"/>
      <c r="D45" s="788" t="s">
        <v>378</v>
      </c>
      <c r="E45" s="779"/>
      <c r="F45" s="778"/>
      <c r="G45" s="789" t="s">
        <v>461</v>
      </c>
      <c r="H45" s="778"/>
      <c r="I45" s="95" t="s">
        <v>462</v>
      </c>
      <c r="J45" s="65"/>
      <c r="K45" s="66"/>
      <c r="L45" s="788" t="s">
        <v>378</v>
      </c>
      <c r="M45" s="778"/>
      <c r="N45" s="789" t="s">
        <v>461</v>
      </c>
      <c r="O45" s="778"/>
      <c r="P45" s="95" t="s">
        <v>463</v>
      </c>
      <c r="Q45" s="65"/>
      <c r="R45" s="57"/>
      <c r="S45" s="57"/>
      <c r="T45" s="57"/>
      <c r="U45" s="57"/>
      <c r="V45" s="57"/>
      <c r="W45" s="57"/>
      <c r="X45" s="57"/>
      <c r="Y45" s="57"/>
      <c r="Z45" s="57"/>
    </row>
    <row r="46" spans="2:26" ht="38.25" customHeight="1">
      <c r="B46" s="771"/>
      <c r="C46" s="64"/>
      <c r="D46" s="790" t="s">
        <v>464</v>
      </c>
      <c r="E46" s="778"/>
      <c r="F46" s="96">
        <v>1</v>
      </c>
      <c r="G46" s="783" t="s">
        <v>465</v>
      </c>
      <c r="H46" s="778"/>
      <c r="I46" s="791">
        <v>86</v>
      </c>
      <c r="J46" s="65"/>
      <c r="K46" s="66"/>
      <c r="L46" s="97" t="s">
        <v>464</v>
      </c>
      <c r="M46" s="96">
        <v>3</v>
      </c>
      <c r="N46" s="783" t="s">
        <v>466</v>
      </c>
      <c r="O46" s="778"/>
      <c r="P46" s="791">
        <v>80</v>
      </c>
      <c r="Q46" s="65"/>
      <c r="R46" s="57"/>
      <c r="S46" s="57"/>
      <c r="T46" s="57"/>
      <c r="U46" s="57"/>
      <c r="V46" s="57"/>
      <c r="W46" s="57"/>
      <c r="X46" s="57"/>
      <c r="Y46" s="57"/>
      <c r="Z46" s="57"/>
    </row>
    <row r="47" spans="2:26" ht="16.5" customHeight="1">
      <c r="B47" s="771"/>
      <c r="C47" s="64"/>
      <c r="D47" s="790" t="s">
        <v>467</v>
      </c>
      <c r="E47" s="778"/>
      <c r="F47" s="96">
        <v>179</v>
      </c>
      <c r="G47" s="794" t="s">
        <v>450</v>
      </c>
      <c r="H47" s="778"/>
      <c r="I47" s="792"/>
      <c r="J47" s="65"/>
      <c r="K47" s="66"/>
      <c r="L47" s="97" t="s">
        <v>468</v>
      </c>
      <c r="M47" s="96">
        <v>216</v>
      </c>
      <c r="N47" s="794" t="s">
        <v>450</v>
      </c>
      <c r="O47" s="778"/>
      <c r="P47" s="792"/>
      <c r="Q47" s="65"/>
      <c r="R47" s="57"/>
      <c r="S47" s="57"/>
      <c r="T47" s="57"/>
      <c r="U47" s="57"/>
      <c r="V47" s="57"/>
      <c r="W47" s="57"/>
      <c r="X47" s="57"/>
      <c r="Y47" s="57"/>
      <c r="Z47" s="57"/>
    </row>
    <row r="48" spans="2:26" ht="16.5" customHeight="1">
      <c r="B48" s="771"/>
      <c r="C48" s="64"/>
      <c r="D48" s="790" t="s">
        <v>469</v>
      </c>
      <c r="E48" s="778"/>
      <c r="F48" s="96">
        <v>368</v>
      </c>
      <c r="G48" s="794" t="s">
        <v>450</v>
      </c>
      <c r="H48" s="778"/>
      <c r="I48" s="793"/>
      <c r="J48" s="65"/>
      <c r="K48" s="66"/>
      <c r="L48" s="97" t="s">
        <v>470</v>
      </c>
      <c r="M48" s="96">
        <v>309</v>
      </c>
      <c r="N48" s="794" t="s">
        <v>450</v>
      </c>
      <c r="O48" s="778"/>
      <c r="P48" s="793"/>
      <c r="Q48" s="65"/>
      <c r="R48" s="57"/>
      <c r="S48" s="57"/>
      <c r="T48" s="57"/>
      <c r="U48" s="57"/>
      <c r="V48" s="57"/>
      <c r="W48" s="57"/>
      <c r="X48" s="57"/>
      <c r="Y48" s="57"/>
      <c r="Z48" s="57"/>
    </row>
    <row r="49" spans="2:26" ht="5.25" customHeight="1" thickBot="1">
      <c r="B49" s="772"/>
      <c r="C49" s="67"/>
      <c r="D49" s="68"/>
      <c r="E49" s="68"/>
      <c r="F49" s="68"/>
      <c r="G49" s="68"/>
      <c r="H49" s="68"/>
      <c r="I49" s="68"/>
      <c r="J49" s="69"/>
      <c r="K49" s="70"/>
      <c r="L49" s="68"/>
      <c r="M49" s="68"/>
      <c r="N49" s="68"/>
      <c r="O49" s="68"/>
      <c r="P49" s="68"/>
      <c r="Q49" s="69"/>
      <c r="R49" s="57"/>
      <c r="S49" s="57"/>
      <c r="T49" s="57"/>
      <c r="U49" s="57"/>
      <c r="V49" s="57"/>
      <c r="W49" s="57"/>
      <c r="X49" s="57"/>
      <c r="Y49" s="57"/>
      <c r="Z49" s="57"/>
    </row>
    <row r="50" spans="2:26" ht="5.25" customHeight="1">
      <c r="B50" s="784" t="s">
        <v>471</v>
      </c>
      <c r="C50" s="60"/>
      <c r="D50" s="61"/>
      <c r="E50" s="61"/>
      <c r="F50" s="61"/>
      <c r="G50" s="61"/>
      <c r="H50" s="61"/>
      <c r="I50" s="61"/>
      <c r="J50" s="62"/>
      <c r="K50" s="63"/>
      <c r="L50" s="61"/>
      <c r="M50" s="61"/>
      <c r="N50" s="61"/>
      <c r="O50" s="61"/>
      <c r="P50" s="61"/>
      <c r="Q50" s="62"/>
      <c r="R50" s="57"/>
      <c r="S50" s="57"/>
      <c r="T50" s="57"/>
      <c r="U50" s="57"/>
      <c r="V50" s="57"/>
      <c r="W50" s="57"/>
      <c r="X50" s="57"/>
      <c r="Y50" s="57"/>
      <c r="Z50" s="57"/>
    </row>
    <row r="51" spans="2:26" ht="29">
      <c r="B51" s="771"/>
      <c r="C51" s="64"/>
      <c r="D51" s="785" t="s">
        <v>378</v>
      </c>
      <c r="E51" s="779"/>
      <c r="F51" s="778"/>
      <c r="G51" s="98" t="s">
        <v>472</v>
      </c>
      <c r="H51" s="98" t="s">
        <v>473</v>
      </c>
      <c r="I51" s="99" t="s">
        <v>474</v>
      </c>
      <c r="J51" s="75"/>
      <c r="K51" s="76"/>
      <c r="L51" s="785" t="s">
        <v>378</v>
      </c>
      <c r="M51" s="778"/>
      <c r="N51" s="98" t="s">
        <v>472</v>
      </c>
      <c r="O51" s="98" t="s">
        <v>473</v>
      </c>
      <c r="P51" s="99" t="s">
        <v>475</v>
      </c>
      <c r="Q51" s="65"/>
      <c r="R51" s="57"/>
      <c r="S51" s="57"/>
      <c r="T51" s="57"/>
      <c r="U51" s="57"/>
      <c r="V51" s="57"/>
      <c r="W51" s="57"/>
      <c r="X51" s="57"/>
      <c r="Y51" s="57"/>
      <c r="Z51" s="57"/>
    </row>
    <row r="52" spans="2:26" ht="16">
      <c r="B52" s="771"/>
      <c r="C52" s="64"/>
      <c r="D52" s="782" t="s">
        <v>476</v>
      </c>
      <c r="E52" s="779"/>
      <c r="F52" s="778"/>
      <c r="G52" s="100">
        <v>8</v>
      </c>
      <c r="H52" s="100">
        <v>-2</v>
      </c>
      <c r="I52" s="101" t="s">
        <v>477</v>
      </c>
      <c r="J52" s="75"/>
      <c r="K52" s="76"/>
      <c r="L52" s="782" t="s">
        <v>476</v>
      </c>
      <c r="M52" s="778"/>
      <c r="N52" s="100">
        <v>4</v>
      </c>
      <c r="O52" s="100">
        <v>-1</v>
      </c>
      <c r="P52" s="101" t="s">
        <v>372</v>
      </c>
      <c r="Q52" s="65"/>
      <c r="R52" s="57"/>
      <c r="S52" s="57"/>
      <c r="T52" s="57"/>
      <c r="U52" s="57"/>
      <c r="V52" s="57"/>
      <c r="W52" s="57"/>
      <c r="X52" s="57"/>
      <c r="Y52" s="57"/>
      <c r="Z52" s="57"/>
    </row>
    <row r="53" spans="2:26" ht="27.75" customHeight="1">
      <c r="B53" s="771"/>
      <c r="C53" s="64"/>
      <c r="D53" s="782" t="s">
        <v>478</v>
      </c>
      <c r="E53" s="779"/>
      <c r="F53" s="778"/>
      <c r="G53" s="100">
        <v>6</v>
      </c>
      <c r="H53" s="102"/>
      <c r="I53" s="101" t="s">
        <v>479</v>
      </c>
      <c r="J53" s="75"/>
      <c r="K53" s="76"/>
      <c r="L53" s="782" t="s">
        <v>480</v>
      </c>
      <c r="M53" s="778"/>
      <c r="N53" s="100">
        <v>3</v>
      </c>
      <c r="O53" s="102"/>
      <c r="P53" s="101">
        <v>3</v>
      </c>
      <c r="Q53" s="65"/>
      <c r="R53" s="57"/>
      <c r="S53" s="57"/>
      <c r="T53" s="57"/>
      <c r="U53" s="57"/>
      <c r="V53" s="57"/>
      <c r="W53" s="57"/>
      <c r="X53" s="57"/>
      <c r="Y53" s="57"/>
      <c r="Z53" s="57"/>
    </row>
    <row r="54" spans="2:26" ht="16">
      <c r="B54" s="771"/>
      <c r="C54" s="64"/>
      <c r="D54" s="782" t="s">
        <v>481</v>
      </c>
      <c r="E54" s="779"/>
      <c r="F54" s="778"/>
      <c r="G54" s="100">
        <v>5</v>
      </c>
      <c r="H54" s="100" t="s">
        <v>482</v>
      </c>
      <c r="I54" s="101" t="s">
        <v>483</v>
      </c>
      <c r="J54" s="75"/>
      <c r="K54" s="76"/>
      <c r="L54" s="782" t="s">
        <v>484</v>
      </c>
      <c r="M54" s="778"/>
      <c r="N54" s="100">
        <v>4</v>
      </c>
      <c r="O54" s="100" t="s">
        <v>485</v>
      </c>
      <c r="P54" s="101" t="s">
        <v>374</v>
      </c>
      <c r="Q54" s="65"/>
      <c r="R54" s="57"/>
      <c r="S54" s="57"/>
      <c r="T54" s="57"/>
      <c r="U54" s="57"/>
      <c r="V54" s="57"/>
      <c r="W54" s="57"/>
      <c r="X54" s="57"/>
      <c r="Y54" s="57"/>
      <c r="Z54" s="57"/>
    </row>
    <row r="55" spans="2:26" ht="16">
      <c r="B55" s="771"/>
      <c r="C55" s="64"/>
      <c r="D55" s="782" t="s">
        <v>486</v>
      </c>
      <c r="E55" s="779"/>
      <c r="F55" s="778"/>
      <c r="G55" s="100">
        <v>5</v>
      </c>
      <c r="H55" s="100" t="s">
        <v>487</v>
      </c>
      <c r="I55" s="101" t="s">
        <v>488</v>
      </c>
      <c r="J55" s="75"/>
      <c r="K55" s="76"/>
      <c r="L55" s="782" t="s">
        <v>489</v>
      </c>
      <c r="M55" s="778"/>
      <c r="N55" s="100">
        <v>3</v>
      </c>
      <c r="O55" s="100" t="s">
        <v>485</v>
      </c>
      <c r="P55" s="101" t="s">
        <v>375</v>
      </c>
      <c r="Q55" s="65"/>
      <c r="R55" s="57"/>
      <c r="S55" s="57"/>
      <c r="T55" s="57"/>
      <c r="U55" s="57"/>
      <c r="V55" s="57"/>
      <c r="W55" s="57"/>
      <c r="X55" s="57"/>
      <c r="Y55" s="57"/>
      <c r="Z55" s="57"/>
    </row>
    <row r="56" spans="2:26" ht="16">
      <c r="B56" s="771"/>
      <c r="C56" s="64"/>
      <c r="D56" s="782" t="s">
        <v>490</v>
      </c>
      <c r="E56" s="779"/>
      <c r="F56" s="778"/>
      <c r="G56" s="100">
        <v>5</v>
      </c>
      <c r="H56" s="100" t="s">
        <v>487</v>
      </c>
      <c r="I56" s="101" t="s">
        <v>488</v>
      </c>
      <c r="J56" s="75"/>
      <c r="K56" s="76"/>
      <c r="L56" s="782" t="s">
        <v>401</v>
      </c>
      <c r="M56" s="778"/>
      <c r="N56" s="783" t="s">
        <v>491</v>
      </c>
      <c r="O56" s="779"/>
      <c r="P56" s="779"/>
      <c r="Q56" s="65"/>
      <c r="R56" s="57"/>
      <c r="S56" s="57"/>
      <c r="T56" s="57"/>
      <c r="U56" s="57"/>
      <c r="V56" s="57"/>
      <c r="W56" s="57"/>
      <c r="X56" s="57"/>
      <c r="Y56" s="57"/>
      <c r="Z56" s="57"/>
    </row>
    <row r="57" spans="2:26" ht="16">
      <c r="B57" s="771"/>
      <c r="C57" s="64"/>
      <c r="D57" s="782" t="s">
        <v>399</v>
      </c>
      <c r="E57" s="779"/>
      <c r="F57" s="778"/>
      <c r="G57" s="783" t="s">
        <v>491</v>
      </c>
      <c r="H57" s="779"/>
      <c r="I57" s="779"/>
      <c r="J57" s="75"/>
      <c r="K57" s="76"/>
      <c r="L57" s="103"/>
      <c r="M57" s="93"/>
      <c r="N57" s="93"/>
      <c r="O57" s="93"/>
      <c r="P57" s="93"/>
      <c r="Q57" s="65"/>
      <c r="R57" s="57"/>
      <c r="S57" s="57"/>
      <c r="T57" s="57"/>
      <c r="U57" s="57"/>
      <c r="V57" s="57"/>
      <c r="W57" s="57"/>
      <c r="X57" s="57"/>
      <c r="Y57" s="57"/>
      <c r="Z57" s="57"/>
    </row>
    <row r="58" spans="2:26" ht="16">
      <c r="B58" s="771"/>
      <c r="C58" s="64"/>
      <c r="D58" s="93"/>
      <c r="E58" s="93"/>
      <c r="F58" s="93"/>
      <c r="G58" s="93"/>
      <c r="H58" s="93"/>
      <c r="I58" s="93"/>
      <c r="J58" s="65"/>
      <c r="K58" s="66"/>
      <c r="L58" s="93"/>
      <c r="M58" s="93"/>
      <c r="N58" s="93"/>
      <c r="O58" s="93"/>
      <c r="P58" s="93"/>
      <c r="Q58" s="65"/>
      <c r="R58" s="57"/>
      <c r="S58" s="57"/>
      <c r="T58" s="57"/>
      <c r="U58" s="57"/>
      <c r="V58" s="57"/>
      <c r="W58" s="57"/>
      <c r="X58" s="57"/>
      <c r="Y58" s="57"/>
      <c r="Z58" s="57"/>
    </row>
    <row r="59" spans="2:26" ht="33.75" customHeight="1">
      <c r="B59" s="771"/>
      <c r="C59" s="64"/>
      <c r="D59" s="768" t="s">
        <v>492</v>
      </c>
      <c r="E59" s="769"/>
      <c r="F59" s="769"/>
      <c r="G59" s="769"/>
      <c r="H59" s="769"/>
      <c r="I59" s="769"/>
      <c r="J59" s="65"/>
      <c r="K59" s="66"/>
      <c r="L59" s="768" t="s">
        <v>493</v>
      </c>
      <c r="M59" s="768"/>
      <c r="N59" s="768"/>
      <c r="O59" s="768"/>
      <c r="P59" s="768"/>
      <c r="Q59" s="65"/>
      <c r="R59" s="57"/>
      <c r="S59" s="57"/>
      <c r="T59" s="57"/>
      <c r="U59" s="57"/>
      <c r="V59" s="57"/>
      <c r="W59" s="57"/>
      <c r="X59" s="57"/>
      <c r="Y59" s="57"/>
      <c r="Z59" s="57"/>
    </row>
    <row r="60" spans="2:26" ht="5.25" customHeight="1" thickBot="1">
      <c r="B60" s="772"/>
      <c r="C60" s="67"/>
      <c r="D60" s="68"/>
      <c r="E60" s="68"/>
      <c r="F60" s="68"/>
      <c r="G60" s="68"/>
      <c r="H60" s="68"/>
      <c r="I60" s="68"/>
      <c r="J60" s="69"/>
      <c r="K60" s="70"/>
      <c r="L60" s="68"/>
      <c r="M60" s="68"/>
      <c r="N60" s="68"/>
      <c r="O60" s="68"/>
      <c r="P60" s="68"/>
      <c r="Q60" s="69"/>
      <c r="R60" s="57"/>
      <c r="S60" s="57"/>
      <c r="T60" s="57"/>
      <c r="U60" s="57"/>
      <c r="V60" s="57"/>
      <c r="W60" s="57"/>
      <c r="X60" s="57"/>
      <c r="Y60" s="57"/>
      <c r="Z60" s="57"/>
    </row>
    <row r="61" spans="2:26" ht="5.25" customHeight="1">
      <c r="B61" s="773" t="s">
        <v>494</v>
      </c>
      <c r="C61" s="64"/>
      <c r="D61" s="93"/>
      <c r="E61" s="93"/>
      <c r="F61" s="93"/>
      <c r="G61" s="93"/>
      <c r="H61" s="93"/>
      <c r="I61" s="93"/>
      <c r="J61" s="93"/>
      <c r="K61" s="63"/>
      <c r="L61" s="61"/>
      <c r="M61" s="61"/>
      <c r="N61" s="61"/>
      <c r="O61" s="61"/>
      <c r="P61" s="61"/>
      <c r="Q61" s="62"/>
      <c r="R61" s="57"/>
      <c r="S61" s="57"/>
      <c r="T61" s="57"/>
      <c r="U61" s="57"/>
      <c r="V61" s="57"/>
      <c r="W61" s="57"/>
      <c r="X61" s="57"/>
      <c r="Y61" s="57"/>
      <c r="Z61" s="57"/>
    </row>
    <row r="62" spans="2:26" ht="16">
      <c r="B62" s="774"/>
      <c r="C62" s="64"/>
      <c r="D62" s="93"/>
      <c r="E62" s="93"/>
      <c r="F62" s="93"/>
      <c r="G62" s="93"/>
      <c r="H62" s="93"/>
      <c r="I62" s="93"/>
      <c r="J62" s="93"/>
      <c r="K62" s="66"/>
      <c r="L62" s="93" t="s">
        <v>495</v>
      </c>
      <c r="M62" s="93"/>
      <c r="N62" s="93"/>
      <c r="O62" s="93"/>
      <c r="P62" s="93"/>
      <c r="Q62" s="65"/>
      <c r="R62" s="57"/>
      <c r="S62" s="57"/>
      <c r="T62" s="57"/>
      <c r="U62" s="57"/>
      <c r="V62" s="57"/>
      <c r="W62" s="57"/>
      <c r="X62" s="57"/>
      <c r="Y62" s="57"/>
      <c r="Z62" s="57"/>
    </row>
    <row r="63" spans="2:26" ht="16">
      <c r="B63" s="774"/>
      <c r="C63" s="64"/>
      <c r="D63" s="93"/>
      <c r="E63" s="93"/>
      <c r="F63" s="93"/>
      <c r="G63" s="93"/>
      <c r="H63" s="93"/>
      <c r="I63" s="93"/>
      <c r="J63" s="93"/>
      <c r="K63" s="66"/>
      <c r="L63" s="93" t="s">
        <v>496</v>
      </c>
      <c r="M63" s="93"/>
      <c r="N63" s="93"/>
      <c r="O63" s="93"/>
      <c r="P63" s="93"/>
      <c r="Q63" s="65"/>
      <c r="R63" s="57"/>
      <c r="S63" s="57"/>
      <c r="T63" s="57"/>
      <c r="U63" s="57"/>
      <c r="V63" s="57"/>
      <c r="W63" s="57"/>
      <c r="X63" s="57"/>
      <c r="Y63" s="57"/>
      <c r="Z63" s="57"/>
    </row>
    <row r="64" spans="2:26" ht="16">
      <c r="B64" s="774"/>
      <c r="C64" s="64"/>
      <c r="D64" s="93"/>
      <c r="E64" s="93"/>
      <c r="F64" s="93"/>
      <c r="G64" s="93"/>
      <c r="H64" s="93"/>
      <c r="I64" s="93"/>
      <c r="J64" s="93"/>
      <c r="K64" s="66"/>
      <c r="L64" s="775" t="s">
        <v>378</v>
      </c>
      <c r="M64" s="777" t="s">
        <v>497</v>
      </c>
      <c r="N64" s="778"/>
      <c r="O64" s="777" t="s">
        <v>498</v>
      </c>
      <c r="P64" s="779"/>
      <c r="Q64" s="65"/>
      <c r="R64" s="57"/>
      <c r="S64" s="57"/>
      <c r="T64" s="57"/>
      <c r="U64" s="57"/>
      <c r="V64" s="57"/>
      <c r="W64" s="57"/>
      <c r="X64" s="57"/>
      <c r="Y64" s="57"/>
      <c r="Z64" s="57"/>
    </row>
    <row r="65" spans="2:26" ht="16">
      <c r="B65" s="774"/>
      <c r="C65" s="64"/>
      <c r="D65" s="93"/>
      <c r="E65" s="93"/>
      <c r="F65" s="93"/>
      <c r="G65" s="93"/>
      <c r="H65" s="93"/>
      <c r="I65" s="93"/>
      <c r="J65" s="93"/>
      <c r="K65" s="66"/>
      <c r="L65" s="776"/>
      <c r="M65" s="96" t="s">
        <v>0</v>
      </c>
      <c r="N65" s="96" t="s">
        <v>499</v>
      </c>
      <c r="O65" s="96" t="s">
        <v>0</v>
      </c>
      <c r="P65" s="104" t="s">
        <v>499</v>
      </c>
      <c r="Q65" s="65"/>
      <c r="R65" s="57"/>
      <c r="S65" s="57"/>
      <c r="T65" s="57"/>
      <c r="U65" s="57"/>
      <c r="V65" s="57"/>
      <c r="W65" s="57"/>
      <c r="X65" s="57"/>
      <c r="Y65" s="57"/>
      <c r="Z65" s="57"/>
    </row>
    <row r="66" spans="2:26" ht="16">
      <c r="B66" s="774"/>
      <c r="C66" s="64"/>
      <c r="D66" s="93"/>
      <c r="E66" s="93"/>
      <c r="F66" s="93"/>
      <c r="G66" s="93"/>
      <c r="H66" s="93"/>
      <c r="I66" s="93"/>
      <c r="J66" s="93"/>
      <c r="K66" s="66"/>
      <c r="L66" s="105" t="s">
        <v>200</v>
      </c>
      <c r="M66" s="106">
        <v>2</v>
      </c>
      <c r="N66" s="106">
        <v>2</v>
      </c>
      <c r="O66" s="106">
        <v>4</v>
      </c>
      <c r="P66" s="95">
        <v>0</v>
      </c>
      <c r="Q66" s="65"/>
      <c r="R66" s="57"/>
      <c r="S66" s="57"/>
      <c r="T66" s="57"/>
      <c r="U66" s="57"/>
      <c r="V66" s="57"/>
      <c r="W66" s="57"/>
      <c r="X66" s="57"/>
      <c r="Y66" s="57"/>
      <c r="Z66" s="57"/>
    </row>
    <row r="67" spans="2:26" ht="16">
      <c r="B67" s="774"/>
      <c r="C67" s="64"/>
      <c r="D67" s="93"/>
      <c r="E67" s="93"/>
      <c r="F67" s="93"/>
      <c r="G67" s="93"/>
      <c r="H67" s="93"/>
      <c r="I67" s="93"/>
      <c r="J67" s="93"/>
      <c r="K67" s="66"/>
      <c r="L67" s="105" t="s">
        <v>214</v>
      </c>
      <c r="M67" s="106">
        <v>2</v>
      </c>
      <c r="N67" s="106">
        <v>2</v>
      </c>
      <c r="O67" s="106">
        <v>0</v>
      </c>
      <c r="P67" s="95">
        <v>4</v>
      </c>
      <c r="Q67" s="65"/>
      <c r="R67" s="57"/>
      <c r="S67" s="57"/>
      <c r="T67" s="57"/>
      <c r="U67" s="57"/>
      <c r="V67" s="57"/>
      <c r="W67" s="57"/>
      <c r="X67" s="57"/>
      <c r="Y67" s="57"/>
      <c r="Z67" s="57"/>
    </row>
    <row r="68" spans="2:26" ht="16">
      <c r="B68" s="774"/>
      <c r="C68" s="64"/>
      <c r="D68" s="93"/>
      <c r="E68" s="93"/>
      <c r="F68" s="93"/>
      <c r="G68" s="93"/>
      <c r="H68" s="93"/>
      <c r="I68" s="93"/>
      <c r="J68" s="93"/>
      <c r="K68" s="66"/>
      <c r="L68" s="105" t="s">
        <v>203</v>
      </c>
      <c r="M68" s="106">
        <v>2</v>
      </c>
      <c r="N68" s="106">
        <v>2</v>
      </c>
      <c r="O68" s="106">
        <v>4</v>
      </c>
      <c r="P68" s="95">
        <v>0</v>
      </c>
      <c r="Q68" s="65"/>
      <c r="R68" s="57"/>
      <c r="S68" s="57"/>
      <c r="T68" s="57"/>
      <c r="U68" s="57"/>
      <c r="V68" s="57"/>
      <c r="W68" s="57"/>
      <c r="X68" s="57"/>
      <c r="Y68" s="57"/>
      <c r="Z68" s="57"/>
    </row>
    <row r="69" spans="2:26" ht="16">
      <c r="B69" s="774"/>
      <c r="C69" s="64"/>
      <c r="D69" s="93"/>
      <c r="E69" s="93"/>
      <c r="F69" s="93"/>
      <c r="G69" s="93"/>
      <c r="H69" s="93"/>
      <c r="I69" s="93"/>
      <c r="J69" s="93"/>
      <c r="K69" s="66"/>
      <c r="L69" s="93" t="s">
        <v>500</v>
      </c>
      <c r="M69" s="93"/>
      <c r="N69" s="93"/>
      <c r="O69" s="93"/>
      <c r="P69" s="93"/>
      <c r="Q69" s="65"/>
      <c r="R69" s="57"/>
      <c r="S69" s="57"/>
      <c r="T69" s="57"/>
      <c r="U69" s="57"/>
      <c r="V69" s="57"/>
      <c r="W69" s="57"/>
      <c r="X69" s="57"/>
      <c r="Y69" s="57"/>
      <c r="Z69" s="57"/>
    </row>
    <row r="70" spans="2:26" ht="16">
      <c r="B70" s="774"/>
      <c r="C70" s="64"/>
      <c r="D70" s="93"/>
      <c r="E70" s="93"/>
      <c r="F70" s="93"/>
      <c r="G70" s="93"/>
      <c r="H70" s="93"/>
      <c r="I70" s="93"/>
      <c r="J70" s="93"/>
      <c r="K70" s="66"/>
      <c r="L70" s="775" t="s">
        <v>378</v>
      </c>
      <c r="M70" s="777" t="s">
        <v>497</v>
      </c>
      <c r="N70" s="778"/>
      <c r="O70" s="777" t="s">
        <v>498</v>
      </c>
      <c r="P70" s="779"/>
      <c r="Q70" s="65"/>
      <c r="R70" s="57"/>
      <c r="S70" s="57"/>
      <c r="T70" s="57"/>
      <c r="U70" s="57"/>
      <c r="V70" s="57"/>
      <c r="W70" s="57"/>
      <c r="X70" s="57"/>
      <c r="Y70" s="57"/>
      <c r="Z70" s="57"/>
    </row>
    <row r="71" spans="2:26" ht="16">
      <c r="B71" s="774"/>
      <c r="C71" s="64"/>
      <c r="D71" s="93"/>
      <c r="E71" s="93"/>
      <c r="F71" s="93"/>
      <c r="G71" s="93"/>
      <c r="H71" s="93"/>
      <c r="I71" s="93"/>
      <c r="J71" s="93"/>
      <c r="K71" s="66"/>
      <c r="L71" s="776"/>
      <c r="M71" s="96" t="s">
        <v>0</v>
      </c>
      <c r="N71" s="96" t="s">
        <v>499</v>
      </c>
      <c r="O71" s="96" t="s">
        <v>0</v>
      </c>
      <c r="P71" s="104" t="s">
        <v>499</v>
      </c>
      <c r="Q71" s="65"/>
      <c r="R71" s="57"/>
      <c r="S71" s="57"/>
      <c r="T71" s="57"/>
      <c r="U71" s="57"/>
      <c r="V71" s="57"/>
      <c r="W71" s="57"/>
      <c r="X71" s="57"/>
      <c r="Y71" s="57"/>
      <c r="Z71" s="57"/>
    </row>
    <row r="72" spans="2:26" ht="16">
      <c r="B72" s="774"/>
      <c r="C72" s="64"/>
      <c r="D72" s="93"/>
      <c r="E72" s="93"/>
      <c r="F72" s="93"/>
      <c r="G72" s="93"/>
      <c r="H72" s="93"/>
      <c r="I72" s="93"/>
      <c r="J72" s="93"/>
      <c r="K72" s="66"/>
      <c r="L72" s="105" t="s">
        <v>464</v>
      </c>
      <c r="M72" s="106">
        <v>1</v>
      </c>
      <c r="N72" s="106">
        <v>1</v>
      </c>
      <c r="O72" s="106">
        <v>2</v>
      </c>
      <c r="P72" s="95">
        <v>0</v>
      </c>
      <c r="Q72" s="65"/>
      <c r="R72" s="57"/>
      <c r="S72" s="57"/>
      <c r="T72" s="57"/>
      <c r="U72" s="57"/>
      <c r="V72" s="57"/>
      <c r="W72" s="57"/>
      <c r="X72" s="57"/>
      <c r="Y72" s="57"/>
      <c r="Z72" s="57"/>
    </row>
    <row r="73" spans="2:26" ht="16">
      <c r="B73" s="774"/>
      <c r="C73" s="64"/>
      <c r="D73" s="93"/>
      <c r="E73" s="93"/>
      <c r="F73" s="93"/>
      <c r="G73" s="93"/>
      <c r="H73" s="93"/>
      <c r="I73" s="93"/>
      <c r="J73" s="93"/>
      <c r="K73" s="66"/>
      <c r="L73" s="105" t="s">
        <v>468</v>
      </c>
      <c r="M73" s="106">
        <v>2</v>
      </c>
      <c r="N73" s="106">
        <v>2</v>
      </c>
      <c r="O73" s="106">
        <v>0</v>
      </c>
      <c r="P73" s="95">
        <v>4</v>
      </c>
      <c r="Q73" s="65"/>
      <c r="R73" s="57"/>
      <c r="S73" s="57"/>
      <c r="T73" s="57"/>
      <c r="U73" s="57"/>
      <c r="V73" s="57"/>
      <c r="W73" s="57"/>
      <c r="X73" s="57"/>
      <c r="Y73" s="57"/>
      <c r="Z73" s="57"/>
    </row>
    <row r="74" spans="2:26" ht="16">
      <c r="B74" s="774"/>
      <c r="C74" s="64"/>
      <c r="D74" s="93"/>
      <c r="E74" s="93"/>
      <c r="F74" s="93"/>
      <c r="G74" s="93"/>
      <c r="H74" s="93"/>
      <c r="I74" s="93"/>
      <c r="J74" s="93"/>
      <c r="K74" s="66"/>
      <c r="L74" s="780" t="s">
        <v>501</v>
      </c>
      <c r="M74" s="766" t="s">
        <v>502</v>
      </c>
      <c r="N74" s="766" t="s">
        <v>502</v>
      </c>
      <c r="O74" s="107">
        <v>8</v>
      </c>
      <c r="P74" s="108">
        <v>0</v>
      </c>
      <c r="Q74" s="65"/>
      <c r="R74" s="57"/>
      <c r="S74" s="57"/>
      <c r="T74" s="57"/>
      <c r="U74" s="57"/>
      <c r="V74" s="57"/>
      <c r="W74" s="57"/>
      <c r="X74" s="57"/>
      <c r="Y74" s="57"/>
      <c r="Z74" s="57"/>
    </row>
    <row r="75" spans="2:26" ht="16">
      <c r="B75" s="774"/>
      <c r="C75" s="64"/>
      <c r="D75" s="93"/>
      <c r="E75" s="93"/>
      <c r="F75" s="93"/>
      <c r="G75" s="93"/>
      <c r="H75" s="93"/>
      <c r="I75" s="93"/>
      <c r="J75" s="93"/>
      <c r="K75" s="66"/>
      <c r="L75" s="781"/>
      <c r="M75" s="767"/>
      <c r="N75" s="767"/>
      <c r="O75" s="107">
        <v>4</v>
      </c>
      <c r="P75" s="108">
        <v>4</v>
      </c>
      <c r="Q75" s="65"/>
      <c r="R75" s="57"/>
      <c r="S75" s="57"/>
      <c r="T75" s="57"/>
      <c r="U75" s="57"/>
      <c r="V75" s="57"/>
      <c r="W75" s="57"/>
      <c r="X75" s="57"/>
      <c r="Y75" s="57"/>
      <c r="Z75" s="57"/>
    </row>
    <row r="76" spans="2:26" ht="33.75" customHeight="1">
      <c r="B76" s="774"/>
      <c r="C76" s="64"/>
      <c r="D76" s="93"/>
      <c r="E76" s="93"/>
      <c r="F76" s="93"/>
      <c r="G76" s="93"/>
      <c r="H76" s="93"/>
      <c r="I76" s="93"/>
      <c r="J76" s="93"/>
      <c r="K76" s="66"/>
      <c r="L76" s="768" t="s">
        <v>503</v>
      </c>
      <c r="M76" s="769"/>
      <c r="N76" s="769"/>
      <c r="O76" s="769"/>
      <c r="P76" s="769"/>
      <c r="Q76" s="65"/>
      <c r="R76" s="57"/>
      <c r="S76" s="57"/>
      <c r="T76" s="57"/>
      <c r="U76" s="57"/>
      <c r="V76" s="57"/>
      <c r="W76" s="57"/>
      <c r="X76" s="57"/>
      <c r="Y76" s="57"/>
      <c r="Z76" s="57"/>
    </row>
    <row r="77" spans="2:26" ht="5.25" customHeight="1">
      <c r="B77" s="774"/>
      <c r="C77" s="109"/>
      <c r="D77" s="110"/>
      <c r="E77" s="110"/>
      <c r="F77" s="110"/>
      <c r="G77" s="110"/>
      <c r="H77" s="110"/>
      <c r="I77" s="110"/>
      <c r="J77" s="110"/>
      <c r="K77" s="111"/>
      <c r="L77" s="110"/>
      <c r="M77" s="110"/>
      <c r="N77" s="110"/>
      <c r="O77" s="110"/>
      <c r="P77" s="110"/>
      <c r="Q77" s="112"/>
      <c r="R77" s="57"/>
      <c r="S77" s="57"/>
      <c r="T77" s="57"/>
      <c r="U77" s="57"/>
      <c r="V77" s="57"/>
      <c r="W77" s="57"/>
      <c r="X77" s="57"/>
      <c r="Y77" s="57"/>
      <c r="Z77" s="57"/>
    </row>
    <row r="78" spans="2:26" ht="5.25" customHeight="1">
      <c r="B78" s="770" t="s">
        <v>504</v>
      </c>
      <c r="C78" s="113"/>
      <c r="D78" s="114"/>
      <c r="E78" s="114"/>
      <c r="F78" s="114"/>
      <c r="G78" s="114"/>
      <c r="H78" s="114"/>
      <c r="I78" s="114"/>
      <c r="J78" s="114"/>
      <c r="K78" s="115"/>
      <c r="L78" s="114"/>
      <c r="M78" s="114"/>
      <c r="N78" s="114"/>
      <c r="O78" s="114"/>
      <c r="P78" s="114"/>
      <c r="Q78" s="116"/>
      <c r="R78" s="57"/>
      <c r="S78" s="57"/>
      <c r="T78" s="57"/>
      <c r="U78" s="57"/>
      <c r="V78" s="57"/>
      <c r="W78" s="57"/>
      <c r="X78" s="57"/>
      <c r="Y78" s="57"/>
      <c r="Z78" s="57"/>
    </row>
    <row r="79" spans="2:26" ht="16">
      <c r="B79" s="771"/>
      <c r="C79" s="64"/>
      <c r="D79" s="93" t="s">
        <v>505</v>
      </c>
      <c r="E79" s="93"/>
      <c r="F79" s="93"/>
      <c r="G79" s="93"/>
      <c r="H79" s="93"/>
      <c r="I79" s="93"/>
      <c r="J79" s="93"/>
      <c r="K79" s="66"/>
      <c r="L79" s="93" t="s">
        <v>506</v>
      </c>
      <c r="M79" s="93"/>
      <c r="N79" s="93"/>
      <c r="O79" s="93"/>
      <c r="P79" s="93"/>
      <c r="Q79" s="65"/>
      <c r="R79" s="57"/>
      <c r="S79" s="57"/>
      <c r="T79" s="57"/>
      <c r="U79" s="57"/>
      <c r="V79" s="57"/>
      <c r="W79" s="57"/>
      <c r="X79" s="57"/>
      <c r="Y79" s="57"/>
      <c r="Z79" s="57"/>
    </row>
    <row r="80" spans="2:26" ht="16">
      <c r="B80" s="771"/>
      <c r="C80" s="64"/>
      <c r="D80" s="93"/>
      <c r="E80" s="93"/>
      <c r="F80" s="93"/>
      <c r="G80" s="93"/>
      <c r="H80" s="93"/>
      <c r="I80" s="93"/>
      <c r="J80" s="93"/>
      <c r="K80" s="66"/>
      <c r="L80" s="93" t="s">
        <v>507</v>
      </c>
      <c r="M80" s="93"/>
      <c r="N80" s="93"/>
      <c r="O80" s="93"/>
      <c r="P80" s="93"/>
      <c r="Q80" s="65"/>
      <c r="R80" s="57"/>
      <c r="S80" s="57"/>
      <c r="T80" s="57"/>
      <c r="U80" s="57"/>
      <c r="V80" s="57"/>
      <c r="W80" s="57"/>
      <c r="X80" s="57"/>
      <c r="Y80" s="57"/>
      <c r="Z80" s="57"/>
    </row>
    <row r="81" spans="2:26" ht="5.25" customHeight="1" thickBot="1">
      <c r="B81" s="772"/>
      <c r="C81" s="67"/>
      <c r="D81" s="68"/>
      <c r="E81" s="68"/>
      <c r="F81" s="68"/>
      <c r="G81" s="68"/>
      <c r="H81" s="68"/>
      <c r="I81" s="68"/>
      <c r="J81" s="68"/>
      <c r="K81" s="70"/>
      <c r="L81" s="68"/>
      <c r="M81" s="68"/>
      <c r="N81" s="68"/>
      <c r="O81" s="68"/>
      <c r="P81" s="68"/>
      <c r="Q81" s="69"/>
      <c r="R81" s="57"/>
      <c r="S81" s="57"/>
      <c r="T81" s="57"/>
      <c r="U81" s="57"/>
      <c r="V81" s="57"/>
      <c r="W81" s="57"/>
      <c r="X81" s="57"/>
      <c r="Y81" s="57"/>
      <c r="Z81" s="57"/>
    </row>
    <row r="82" spans="2:26" ht="4.5" customHeight="1"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2:26" ht="16" hidden="1"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2:26" ht="16" hidden="1"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2:26" ht="16" hidden="1"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2:26" ht="16" hidden="1"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2:26" ht="16" hidden="1"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2:26" ht="16" hidden="1"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2:26" ht="16" hidden="1"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2:26" ht="16" hidden="1"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2:26" ht="16" hidden="1"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2:26" ht="16" hidden="1"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2:26" ht="16" hidden="1"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2:26" ht="16" hidden="1"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2:26" ht="16" hidden="1"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2:26" ht="16" hidden="1"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2:26" ht="16" hidden="1"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2:26" ht="16" hidden="1"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2:26" ht="16" hidden="1"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2:26" ht="16" hidden="1"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2:26" ht="16" hidden="1"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2:26" ht="16" hidden="1"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2:26" ht="16" hidden="1"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2:26" ht="16" hidden="1"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2:26" ht="16" hidden="1"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2:26" ht="16" hidden="1"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2:26" ht="16" hidden="1"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2:26" ht="16" hidden="1"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2:26" ht="16" hidden="1"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2:26" ht="16" hidden="1"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2:26" ht="16" hidden="1"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2:26" ht="16" hidden="1"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2:26" ht="16" hidden="1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2:26" ht="16" hidden="1"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2:26" ht="16" hidden="1"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2:26" ht="16" hidden="1"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2:26" ht="16" hidden="1"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2:26" ht="16" hidden="1"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2:26" ht="16" hidden="1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2:26" ht="16" hidden="1"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2:26" ht="16" hidden="1"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2:26" ht="16" hidden="1"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2:26" ht="16" hidden="1"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2:26" ht="16" hidden="1"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2:26" ht="16" hidden="1"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2:26" ht="16" hidden="1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2:26" ht="16" hidden="1"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2:26" ht="16" hidden="1"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2:26" ht="16" hidden="1"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2:26" ht="16" hidden="1"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2:26" ht="16" hidden="1"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2:26" ht="16" hidden="1"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2:26" ht="16" hidden="1"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2:26" ht="16" hidden="1"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2:26" ht="16" hidden="1"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2:26" ht="16" hidden="1"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2:26" ht="16" hidden="1"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2:26" ht="16" hidden="1"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2:26" ht="16" hidden="1"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2:26" ht="16" hidden="1"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2:26" ht="16" hidden="1"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2:26" ht="16" hidden="1"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2:26" ht="16" hidden="1"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2:26" ht="16" hidden="1"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2:26" ht="16" hidden="1"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2:26" ht="16" hidden="1"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2:26" ht="16" hidden="1"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2:26" ht="16" hidden="1"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2:26" ht="16" hidden="1"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2:26" ht="16" hidden="1"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2:26" ht="16" hidden="1"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2:26" ht="16" hidden="1"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2:26" ht="16" hidden="1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2:26" ht="16" hidden="1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2:26" ht="16" hidden="1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2:26" ht="16" hidden="1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2:26" ht="16" hidden="1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2:26" ht="16" hidden="1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2:26" ht="16" hidden="1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2:26" ht="16" hidden="1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2:26" ht="16" hidden="1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2:26" ht="16" hidden="1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2:26" ht="16" hidden="1"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2:26" ht="16" hidden="1"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2:26" ht="16" hidden="1"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2:26" ht="16" hidden="1"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2:26" ht="16" hidden="1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2:26" ht="16" hidden="1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2:26" ht="16" hidden="1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2:26" ht="16" hidden="1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2:26" ht="16" hidden="1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2:26" ht="16" hidden="1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2:26" ht="16" hidden="1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2:26" ht="16" hidden="1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2:26" ht="16" hidden="1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2:26" ht="16" hidden="1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2:26" ht="16" hidden="1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2:26" ht="16" hidden="1"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2:26" ht="16" hidden="1"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2:26" ht="16" hidden="1"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2:26" ht="16" hidden="1"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2:26" ht="16" hidden="1"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2:26" ht="16" hidden="1"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2:26" ht="16" hidden="1"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2:26" ht="16" hidden="1"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2:26" ht="16" hidden="1"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2:26" ht="16" hidden="1"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2:26" ht="16" hidden="1"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2:26" ht="16" hidden="1"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2:26" ht="16" hidden="1"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2:26" ht="16" hidden="1"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2:26" ht="16" hidden="1"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2:26" ht="16" hidden="1"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2:26" ht="16" hidden="1"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2:26" ht="16" hidden="1"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2:26" ht="16" hidden="1"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2:26" ht="16" hidden="1"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2:26" ht="16" hidden="1"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2:26" ht="16" hidden="1"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2:26" ht="16" hidden="1"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2:26" ht="16" hidden="1"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2:26" ht="16" hidden="1"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2:26" ht="16" hidden="1"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2:26" ht="16" hidden="1"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2:26" ht="16" hidden="1"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2:26" ht="16" hidden="1"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2:26" ht="16" hidden="1"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2:26" ht="16" hidden="1"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2:26" ht="16" hidden="1"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2:26" ht="16" hidden="1"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2:26" ht="16" hidden="1"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2:26" ht="16" hidden="1"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2:26" ht="16" hidden="1"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2:26" ht="16" hidden="1"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2:26" ht="16" hidden="1"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2:26" ht="16" hidden="1"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2:26" ht="16" hidden="1"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2:26" ht="16" hidden="1"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2:26" ht="16" hidden="1"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2:26" ht="16" hidden="1"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2:26" ht="16" hidden="1"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2:26" ht="16" hidden="1"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2:26" ht="16" hidden="1"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2:26" ht="16" hidden="1"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2:26" ht="16" hidden="1"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2:26" ht="16" hidden="1"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2:26" ht="16" hidden="1"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2:26" ht="16" hidden="1"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2:26" ht="16" hidden="1"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2:26" ht="16" hidden="1"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2:26" ht="16" hidden="1"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2:26" ht="16" hidden="1"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2:26" ht="16" hidden="1"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2:26" ht="16" hidden="1"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2:26" ht="16" hidden="1"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2:26" ht="16" hidden="1"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2:26" ht="16" hidden="1"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2:26" ht="16" hidden="1"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2:26" ht="16" hidden="1"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2:26" ht="16" hidden="1"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2:26" ht="16" hidden="1"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2:26" ht="16" hidden="1"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2:26" ht="16" hidden="1"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2:26" ht="16" hidden="1"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2:26" ht="16" hidden="1"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2:26" ht="16" hidden="1"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2:26" ht="16" hidden="1"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2:26" ht="16" hidden="1"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2:26" ht="16" hidden="1"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2:26" ht="16" hidden="1"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2:26" ht="16" hidden="1"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2:26" ht="16" hidden="1"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2:26" ht="16" hidden="1"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2:26" ht="16" hidden="1"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2:26" ht="16" hidden="1"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2:26" ht="16" hidden="1"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2:26" ht="16" hidden="1"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2:26" ht="16" hidden="1"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2:26" ht="16" hidden="1"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2:26" ht="16" hidden="1"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2:26" ht="16" hidden="1"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2:26" ht="16" hidden="1"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2:26" ht="16" hidden="1"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2:26" ht="16" hidden="1"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2:26" ht="16" hidden="1"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2:26" ht="16" hidden="1"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2:26" ht="16" hidden="1"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2:26" ht="16" hidden="1"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2:26" ht="16" hidden="1"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2:26" ht="16" hidden="1"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2:26" ht="16" hidden="1"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2:26" ht="16" hidden="1"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2:26" ht="16" hidden="1"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2:26" ht="16" hidden="1"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2:26" ht="16" hidden="1"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2:26" ht="16" hidden="1"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2:26" ht="16" hidden="1"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2:26" ht="16" hidden="1"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2:26" ht="16" hidden="1"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2:26" ht="16" hidden="1"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2:26" ht="16" hidden="1"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2:26" ht="16" hidden="1"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2:26" ht="16" hidden="1"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2:26" ht="16" hidden="1"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2:26" ht="16" hidden="1"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2:26" ht="16" hidden="1"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2:26" ht="16" hidden="1"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2:26" ht="16" hidden="1"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2:26" ht="16" hidden="1"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2:26" ht="16" hidden="1"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2:26" ht="16" hidden="1"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2:26" ht="16" hidden="1"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2:26" ht="16" hidden="1"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2:26" ht="16" hidden="1"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2:26" ht="16" hidden="1"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2:26" ht="16" hidden="1"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2:26" ht="16" hidden="1"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2:26" ht="16" hidden="1"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2:26" ht="16" hidden="1"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2:26" ht="16" hidden="1"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2:26" ht="16" hidden="1"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2:26" ht="16" hidden="1"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2:26" ht="16" hidden="1"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2:26" ht="16" hidden="1"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2:26" ht="16" hidden="1"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2:26" ht="16" hidden="1"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2:26" ht="16" hidden="1"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2:26" ht="16" hidden="1"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2:26" ht="16" hidden="1"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2:26" ht="16" hidden="1"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2:26" ht="16" hidden="1"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2:26" ht="16" hidden="1"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2:26" ht="16" hidden="1"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2:26" ht="16" hidden="1"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2:26" ht="16" hidden="1"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2:26" ht="16" hidden="1"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2:26" ht="16" hidden="1"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2:26" ht="16" hidden="1"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2:26" ht="16" hidden="1"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2:26" ht="16" hidden="1"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2:26" ht="16" hidden="1"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2:26" ht="16" hidden="1"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2:26" ht="16" hidden="1"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2:26" ht="16" hidden="1"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2:26" ht="16" hidden="1"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2:26" ht="16" hidden="1"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2:26" ht="16" hidden="1"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2:26" ht="16" hidden="1"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2:26" ht="16" hidden="1"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2:26" ht="16" hidden="1"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2:26" ht="16" hidden="1"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2:26" ht="16" hidden="1"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2:26" ht="16" hidden="1"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2:26" ht="16" hidden="1"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2:26" ht="16" hidden="1"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2:26" ht="16" hidden="1"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2:26" ht="16" hidden="1"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2:26" ht="16" hidden="1"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2:26" ht="16" hidden="1"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2:26" ht="16" hidden="1"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2:26" ht="16" hidden="1"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2:26" ht="16" hidden="1"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2:26" ht="16" hidden="1"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2:26" ht="16" hidden="1"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2:26" ht="16" hidden="1"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2:26" ht="16" hidden="1"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2:26" ht="16" hidden="1"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2:26" ht="16" hidden="1"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2:26" ht="16" hidden="1"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2:26" ht="16" hidden="1"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2:26" ht="16" hidden="1"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2:26" ht="16" hidden="1"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2:26" ht="16" hidden="1"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2:26" ht="16" hidden="1"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2:26" ht="16" hidden="1"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2:26" ht="16" hidden="1"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2:26" ht="16" hidden="1"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2:26" ht="16" hidden="1"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2:26" ht="16" hidden="1"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2:26" ht="16" hidden="1"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2:26" ht="16" hidden="1"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2:26" ht="16" hidden="1"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2:26" ht="16" hidden="1"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2:26" ht="16" hidden="1"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2:26" ht="16" hidden="1"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2:26" ht="16" hidden="1"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2:26" ht="16" hidden="1"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2:26" ht="16" hidden="1"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2:26" ht="16" hidden="1"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2:26" ht="16" hidden="1"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2:26" ht="16" hidden="1"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2:26" ht="16" hidden="1"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2:26" ht="16" hidden="1"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2:26" ht="16" hidden="1"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2:26" ht="16" hidden="1"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2:26" ht="16" hidden="1"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2:26" ht="16" hidden="1"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2:26" ht="16" hidden="1"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2:26" ht="16" hidden="1"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2:26" ht="16" hidden="1"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2:26" ht="16" hidden="1"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2:26" ht="16" hidden="1"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2:26" ht="16" hidden="1"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2:26" ht="16" hidden="1"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2:26" ht="16" hidden="1"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2:26" ht="16" hidden="1"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2:26" ht="16" hidden="1"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2:26" ht="16" hidden="1"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2:26" ht="16" hidden="1"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2:26" ht="16" hidden="1"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2:26" ht="16" hidden="1"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2:26" ht="16" hidden="1"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2:26" ht="16" hidden="1"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2:26" ht="16" hidden="1"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2:26" ht="16" hidden="1"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2:26" ht="16" hidden="1"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2:26" ht="16" hidden="1"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2:26" ht="16" hidden="1"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2:26" ht="16" hidden="1"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2:26" ht="16" hidden="1"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2:26" ht="16" hidden="1"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2:26" ht="16" hidden="1"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2:26" ht="16" hidden="1"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2:26" ht="16" hidden="1"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2:26" ht="16" hidden="1"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2:26" ht="16" hidden="1"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2:26" ht="16" hidden="1"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2:26" ht="16" hidden="1"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2:26" ht="16" hidden="1"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2:26" ht="16" hidden="1"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2:26" ht="16" hidden="1"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2:26" ht="16" hidden="1"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2:26" ht="16" hidden="1"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2:26" ht="16" hidden="1"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2:26" ht="16" hidden="1"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2:26" ht="16" hidden="1"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2:26" ht="16" hidden="1"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2:26" ht="16" hidden="1"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2:26" ht="16" hidden="1"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2:26" ht="16" hidden="1"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2:26" ht="16" hidden="1"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2:26" ht="16" hidden="1"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2:26" ht="16" hidden="1"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2:26" ht="16" hidden="1"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2:26" ht="16" hidden="1"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2:26" ht="16" hidden="1"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2:26" ht="16" hidden="1"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2:26" ht="16" hidden="1"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2:26" ht="16" hidden="1"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2:26" ht="16" hidden="1"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2:26" ht="16" hidden="1"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2:26" ht="16" hidden="1"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2:26" ht="16" hidden="1"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2:26" ht="16" hidden="1"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2:26" ht="16" hidden="1"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2:26" ht="16" hidden="1"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2:26" ht="16" hidden="1"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2:26" ht="16" hidden="1"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2:26" ht="16" hidden="1"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2:26" ht="16" hidden="1"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2:26" ht="16" hidden="1"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2:26" ht="16" hidden="1"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2:26" ht="16" hidden="1"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2:26" ht="16" hidden="1"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2:26" ht="16" hidden="1"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2:26" ht="16" hidden="1"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2:26" ht="16" hidden="1"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2:26" ht="16" hidden="1"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2:26" ht="16" hidden="1"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2:26" ht="16" hidden="1"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2:26" ht="16" hidden="1"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2:26" ht="16" hidden="1"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2:26" ht="16" hidden="1"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2:26" ht="16" hidden="1"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2:26" ht="16" hidden="1"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2:26" ht="16" hidden="1"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2:26" ht="16" hidden="1"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2:26" ht="16" hidden="1"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2:26" ht="16" hidden="1"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2:26" ht="16" hidden="1"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2:26" ht="16" hidden="1"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2:26" ht="16" hidden="1"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2:26" ht="16" hidden="1"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2:26" ht="16" hidden="1"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2:26" ht="16" hidden="1"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2:26" ht="16" hidden="1"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2:26" ht="16" hidden="1"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2:26" ht="16" hidden="1"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2:26" ht="16" hidden="1"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2:26" ht="16" hidden="1"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2:26" ht="16" hidden="1"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2:26" ht="16" hidden="1"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2:26" ht="16" hidden="1"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2:26" ht="16" hidden="1"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2:26" ht="16" hidden="1"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2:26" ht="16" hidden="1"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2:26" ht="16" hidden="1"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2:26" ht="16" hidden="1"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2:26" ht="16" hidden="1"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2:26" ht="16" hidden="1"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2:26" ht="16" hidden="1"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2:26" ht="16" hidden="1"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2:26" ht="16" hidden="1"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2:26" ht="16" hidden="1"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2:26" ht="16" hidden="1"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2:26" ht="16" hidden="1"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2:26" ht="16" hidden="1"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2:26" ht="16" hidden="1"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2:26" ht="16" hidden="1"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2:26" ht="16" hidden="1"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2:26" ht="16" hidden="1"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2:26" ht="16" hidden="1"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2:26" ht="16" hidden="1"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2:26" ht="16" hidden="1"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2:26" ht="16" hidden="1"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2:26" ht="16" hidden="1"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2:26" ht="16" hidden="1"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2:26" ht="16" hidden="1"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2:26" ht="16" hidden="1"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2:26" ht="16" hidden="1"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2:26" ht="16" hidden="1"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2:26" ht="16" hidden="1"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2:26" ht="16" hidden="1"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2:26" ht="16" hidden="1"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2:26" ht="16" hidden="1"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2:26" ht="16" hidden="1"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2:26" ht="16" hidden="1"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2:26" ht="16" hidden="1"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2:26" ht="16" hidden="1"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2:26" ht="16" hidden="1"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2:26" ht="16" hidden="1"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2:26" ht="16" hidden="1"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2:26" ht="16" hidden="1"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2:26" ht="16" hidden="1"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2:26" ht="16" hidden="1"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2:26" ht="16" hidden="1"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2:26" ht="16" hidden="1"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2:26" ht="16" hidden="1"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2:26" ht="16" hidden="1"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2:26" ht="16" hidden="1"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2:26" ht="16" hidden="1"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2:26" ht="16" hidden="1"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2:26" ht="16" hidden="1"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2:26" ht="16" hidden="1"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2:26" ht="16" hidden="1"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2:26" ht="16" hidden="1"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2:26" ht="16" hidden="1"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2:26" ht="16" hidden="1"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2:26" ht="16" hidden="1"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2:26" ht="16" hidden="1"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2:26" ht="16" hidden="1"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2:26" ht="16" hidden="1"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2:26" ht="16" hidden="1"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2:26" ht="16" hidden="1"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2:26" ht="16" hidden="1"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2:26" ht="16" hidden="1"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2:26" ht="16" hidden="1"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2:26" ht="16" hidden="1"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2:26" ht="16" hidden="1"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2:26" ht="16" hidden="1"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2:26" ht="16" hidden="1"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2:26" ht="16" hidden="1"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2:26" ht="16" hidden="1"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2:26" ht="16" hidden="1"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2:26" ht="16" hidden="1"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2:26" ht="16" hidden="1"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2:26" ht="16" hidden="1"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2:26" ht="16" hidden="1"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2:26" ht="16" hidden="1"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2:26" ht="16" hidden="1"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2:26" ht="16" hidden="1"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2:26" ht="16" hidden="1"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2:26" ht="16" hidden="1"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2:26" ht="16" hidden="1"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2:26" ht="16" hidden="1"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2:26" ht="16" hidden="1"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2:26" ht="16" hidden="1"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2:26" ht="16" hidden="1"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2:26" ht="16" hidden="1"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2:26" ht="16" hidden="1"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2:26" ht="16" hidden="1"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2:26" ht="16" hidden="1"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2:26" ht="16" hidden="1"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2:26" ht="16" hidden="1"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2:26" ht="16" hidden="1"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2:26" ht="16" hidden="1"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2:26" ht="16" hidden="1"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2:26" ht="16" hidden="1"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2:26" ht="16" hidden="1"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2:26" ht="16" hidden="1"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2:26" ht="16" hidden="1"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2:26" ht="16" hidden="1"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2:26" ht="16" hidden="1"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2:26" ht="16" hidden="1"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2:26" ht="16" hidden="1"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2:26" ht="16" hidden="1"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2:26" ht="16" hidden="1"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2:26" ht="16" hidden="1"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2:26" ht="16" hidden="1"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2:26" ht="16" hidden="1"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2:26" ht="16" hidden="1"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2:26" ht="16" hidden="1"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2:26" ht="16" hidden="1"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2:26" ht="16" hidden="1"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2:26" ht="16" hidden="1"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2:26" ht="16" hidden="1"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2:26" ht="16" hidden="1"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2:26" ht="16" hidden="1"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2:26" ht="16" hidden="1"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2:26" ht="16" hidden="1"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2:26" ht="16" hidden="1"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2:26" ht="16" hidden="1"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2:26" ht="16" hidden="1"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2:26" ht="16" hidden="1"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2:26" ht="16" hidden="1"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2:26" ht="16" hidden="1"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2:26" ht="16" hidden="1"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2:26" ht="16" hidden="1"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2:26" ht="16" hidden="1"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2:26" ht="16" hidden="1"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2:26" ht="16" hidden="1"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2:26" ht="16" hidden="1"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2:26" ht="16" hidden="1"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2:26" ht="16" hidden="1"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2:26" ht="16" hidden="1"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2:26" ht="16" hidden="1"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2:26" ht="16" hidden="1"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2:26" ht="16" hidden="1"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2:26" ht="16" hidden="1"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2:26" ht="16" hidden="1"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2:26" ht="16" hidden="1"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2:26" ht="16" hidden="1"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2:26" ht="16" hidden="1"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2:26" ht="16" hidden="1"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2:26" ht="16" hidden="1"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2:26" ht="16" hidden="1"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2:26" ht="16" hidden="1"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2:26" ht="16" hidden="1"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2:26" ht="16" hidden="1"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2:26" ht="16" hidden="1"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2:26" ht="16" hidden="1"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2:26" ht="16" hidden="1"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2:26" ht="16" hidden="1"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2:26" ht="16" hidden="1"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2:26" ht="16" hidden="1"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2:26" ht="16" hidden="1"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2:26" ht="16" hidden="1"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2:26" ht="16" hidden="1"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2:26" ht="16" hidden="1"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2:26" ht="16" hidden="1"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2:26" ht="16" hidden="1"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2:26" ht="16" hidden="1"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2:26" ht="16" hidden="1"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2:26" ht="16" hidden="1"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2:26" ht="16" hidden="1"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2:26" ht="16" hidden="1"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2:26" ht="16" hidden="1"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2:26" ht="16" hidden="1"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2:26" ht="16" hidden="1"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2:26" ht="16" hidden="1"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2:26" ht="16" hidden="1"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2:26" ht="16" hidden="1"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2:26" ht="16" hidden="1"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2:26" ht="16" hidden="1"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2:26" ht="16" hidden="1"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2:26" ht="16" hidden="1"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2:26" ht="16" hidden="1"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2:26" ht="16" hidden="1"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2:26" ht="16" hidden="1"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2:26" ht="16" hidden="1"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2:26" ht="16" hidden="1"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2:26" ht="16" hidden="1"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2:26" ht="16" hidden="1"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2:26" ht="16" hidden="1"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2:26" ht="16" hidden="1"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2:26" ht="16" hidden="1"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2:26" ht="16" hidden="1"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2:26" ht="16" hidden="1"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2:26" ht="16" hidden="1"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2:26" ht="16" hidden="1"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2:26" ht="16" hidden="1"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2:26" ht="16" hidden="1"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2:26" ht="16" hidden="1"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2:26" ht="16" hidden="1"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2:26" ht="16" hidden="1"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2:26" ht="16" hidden="1"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2:26" ht="16" hidden="1"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2:26" ht="16" hidden="1"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2:26" ht="16" hidden="1"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2:26" ht="16" hidden="1"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2:26" ht="16" hidden="1"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2:26" ht="16" hidden="1"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2:26" ht="16" hidden="1"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2:26" ht="16" hidden="1"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2:26" ht="16" hidden="1"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2:26" ht="16" hidden="1"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2:26" ht="16" hidden="1"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2:26" ht="16" hidden="1"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2:26" ht="16" hidden="1"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2:26" ht="16" hidden="1"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2:26" ht="16" hidden="1"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2:26" ht="16" hidden="1"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2:26" ht="16" hidden="1"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2:26" ht="16" hidden="1"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2:26" ht="16" hidden="1"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2:26" ht="16" hidden="1"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2:26" ht="16" hidden="1"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2:26" ht="16" hidden="1"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2:26" ht="16" hidden="1"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2:26" ht="16" hidden="1"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2:26" ht="16" hidden="1"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2:26" ht="16" hidden="1"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2:26" ht="16" hidden="1"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2:26" ht="16" hidden="1"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2:26" ht="16" hidden="1"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2:26" ht="16" hidden="1"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2:26" ht="16" hidden="1"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2:26" ht="16" hidden="1"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2:26" ht="16" hidden="1"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2:26" ht="16" hidden="1"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2:26" ht="16" hidden="1"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2:26" ht="16" hidden="1"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2:26" ht="16" hidden="1"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2:26" ht="16" hidden="1"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2:26" ht="16" hidden="1"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2:26" ht="16" hidden="1"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2:26" ht="16" hidden="1"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2:26" ht="16" hidden="1"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2:26" ht="16" hidden="1"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2:26" ht="16" hidden="1"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2:26" ht="16" hidden="1"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2:26" ht="16" hidden="1"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2:26" ht="16" hidden="1"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2:26" ht="16" hidden="1"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2:26" ht="16" hidden="1"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2:26" ht="16" hidden="1"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2:26" ht="16" hidden="1"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2:26" ht="16" hidden="1"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2:26" ht="16" hidden="1"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2:26" ht="16" hidden="1"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2:26" ht="16" hidden="1"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2:26" ht="16" hidden="1"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2:26" ht="16" hidden="1"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2:26" ht="16" hidden="1"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2:26" ht="16" hidden="1"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2:26" ht="16" hidden="1"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2:26" ht="16" hidden="1"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2:26" ht="16" hidden="1"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2:26" ht="16" hidden="1"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2:26" ht="16" hidden="1"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2:26" ht="16" hidden="1"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2:26" ht="16" hidden="1"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2:26" ht="16" hidden="1"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2:26" ht="16" hidden="1"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2:26" ht="16" hidden="1"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2:26" ht="16" hidden="1"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2:26" ht="16" hidden="1"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2:26" ht="16" hidden="1"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2:26" ht="16" hidden="1"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2:26" ht="16" hidden="1"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2:26" ht="16" hidden="1"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2:26" ht="16" hidden="1"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2:26" ht="16" hidden="1"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2:26" ht="16" hidden="1"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2:26" ht="16" hidden="1"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2:26" ht="16" hidden="1"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2:26" ht="16" hidden="1"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2:26" ht="16" hidden="1"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2:26" ht="16" hidden="1"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2:26" ht="16" hidden="1"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2:26" ht="16" hidden="1"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2:26" ht="16" hidden="1"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2:26" ht="16" hidden="1"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2:26" ht="16" hidden="1"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2:26" ht="16" hidden="1"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2:26" ht="16" hidden="1"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2:26" ht="16" hidden="1"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2:26" ht="16" hidden="1"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2:26" ht="16" hidden="1"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2:26" ht="16" hidden="1"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2:26" ht="16" hidden="1"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2:26" ht="16" hidden="1"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2:26" ht="16" hidden="1"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2:26" ht="16" hidden="1"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2:26" ht="16" hidden="1"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2:26" ht="16" hidden="1"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2:26" ht="16" hidden="1"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2:26" ht="16" hidden="1"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2:26" ht="16" hidden="1"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2:26" ht="16" hidden="1"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2:26" ht="16" hidden="1"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2:26" ht="16" hidden="1"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2:26" ht="16" hidden="1"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2:26" ht="16" hidden="1"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2:26" ht="16" hidden="1"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2:26" ht="16" hidden="1"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2:26" ht="16" hidden="1"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2:26" ht="16" hidden="1"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2:26" ht="16" hidden="1"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2:26" ht="16" hidden="1"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2:26" ht="16" hidden="1"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2:26" ht="16" hidden="1"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2:26" ht="16" hidden="1"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2:26" ht="16" hidden="1"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2:26" ht="16" hidden="1"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2:26" ht="16" hidden="1"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2:26" ht="16" hidden="1"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2:26" ht="16" hidden="1"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2:26" ht="16" hidden="1"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2:26" ht="16" hidden="1"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2:26" ht="16" hidden="1"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2:26" ht="16" hidden="1"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2:26" ht="16" hidden="1"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2:26" ht="16" hidden="1"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2:26" ht="16" hidden="1"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2:26" ht="16" hidden="1"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2:26" ht="16" hidden="1"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2:26" ht="16" hidden="1"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2:26" ht="16" hidden="1"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2:26" ht="16" hidden="1"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2:26" ht="16" hidden="1"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2:26" ht="16" hidden="1"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2:26" ht="16" hidden="1"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2:26" ht="16" hidden="1"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2:26" ht="16" hidden="1"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2:26" ht="16" hidden="1"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2:26" ht="16" hidden="1"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2:26" ht="16" hidden="1"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2:26" ht="16" hidden="1"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2:26" ht="16" hidden="1"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2:26" ht="16" hidden="1"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2:26" ht="16" hidden="1"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2:26" ht="16" hidden="1"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2:26" ht="16" hidden="1"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2:26" ht="16" hidden="1"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2:26" ht="16" hidden="1"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2:26" ht="16" hidden="1"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2:26" ht="16" hidden="1"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2:26" ht="16" hidden="1"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2:26" ht="16" hidden="1"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2:26" ht="16" hidden="1"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2:26" ht="16" hidden="1"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2:26" ht="16" hidden="1"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2:26" ht="16" hidden="1"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2:26" ht="16" hidden="1"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2:26" ht="16" hidden="1"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2:26" ht="16" hidden="1"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2:26" ht="16" hidden="1"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2:26" ht="16" hidden="1"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2:26" ht="16" hidden="1"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2:26" ht="16" hidden="1"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2:26" ht="16" hidden="1"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2:26" ht="16" hidden="1"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2:26" ht="16" hidden="1"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2:26" ht="16" hidden="1"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2:26" ht="16" hidden="1"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2:26" ht="16" hidden="1"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2:26" ht="16" hidden="1"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2:26" ht="16" hidden="1"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2:26" ht="16" hidden="1"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2:26" ht="16" hidden="1"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2:26" ht="16" hidden="1"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2:26" ht="16" hidden="1"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2:26" ht="16" hidden="1"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2:26" ht="16" hidden="1"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2:26" ht="16" hidden="1"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2:26" ht="16" hidden="1"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2:26" ht="16" hidden="1"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2:26" ht="16" hidden="1"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2:26" ht="16" hidden="1"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2:26" ht="16" hidden="1"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2:26" ht="16" hidden="1"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2:26" ht="16" hidden="1"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2:26" ht="16" hidden="1"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2:26" ht="16" hidden="1"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2:26" ht="16" hidden="1"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2:26" ht="16" hidden="1"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2:26" ht="16" hidden="1"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2:26" ht="16" hidden="1"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2:26" ht="16" hidden="1"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2:26" ht="16" hidden="1"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2:26" ht="16" hidden="1"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2:26" ht="16" hidden="1"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2:26" ht="16" hidden="1"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2:26" ht="16" hidden="1"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2:26" ht="16" hidden="1"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2:26" ht="16" hidden="1"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2:26" ht="16" hidden="1"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2:26" ht="16" hidden="1"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2:26" ht="16" hidden="1"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2:26" ht="16" hidden="1"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2:26" ht="16" hidden="1"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2:26" ht="16" hidden="1"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2:26" ht="16" hidden="1"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2:26" ht="16" hidden="1"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2:26" ht="16" hidden="1"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2:26" ht="16" hidden="1"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2:26" ht="16" hidden="1"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2:26" ht="16" hidden="1"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2:26" ht="16" hidden="1"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2:26" ht="16" hidden="1"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2:26" ht="16" hidden="1"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2:26" ht="16" hidden="1"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2:26" ht="16" hidden="1"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2:26" ht="16" hidden="1"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2:26" ht="16" hidden="1"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2:26" ht="16" hidden="1"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2:26" ht="16" hidden="1"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2:26" ht="16" hidden="1"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2:26" ht="16" hidden="1"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2:26" ht="16" hidden="1"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2:26" ht="16" hidden="1"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2:26" ht="16" hidden="1"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2:26" ht="16" hidden="1"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2:26" ht="16" hidden="1"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2:26" ht="16" hidden="1"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2:26" ht="16" hidden="1"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2:26" ht="16" hidden="1"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2:26" ht="16" hidden="1"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2:26" ht="16" hidden="1"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2:26" ht="16" hidden="1"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2:26" ht="16" hidden="1"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2:26" ht="16" hidden="1"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2:26" ht="16" hidden="1"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2:26" ht="16" hidden="1"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2:26" ht="16" hidden="1"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2:26" ht="16" hidden="1"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2:26" ht="16" hidden="1"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2:26" ht="16" hidden="1"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2:26" ht="16" hidden="1"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2:26" ht="16" hidden="1"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2:26" ht="16" hidden="1"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2:26" ht="16" hidden="1"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2:26" ht="16" hidden="1"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2:26" ht="16" hidden="1"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2:26" ht="16" hidden="1"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2:26" ht="16" hidden="1"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2:26" ht="16" hidden="1"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2:26" ht="16" hidden="1"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2:26" ht="16" hidden="1"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2:26" ht="16" hidden="1"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2:26" ht="16" hidden="1"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2:26" ht="16" hidden="1"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2:26" ht="16" hidden="1"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2:26" ht="16" hidden="1"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2:26" ht="16" hidden="1"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2:26" ht="16" hidden="1"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2:26" ht="16" hidden="1"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2:26" ht="16" hidden="1"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2:26" ht="16" hidden="1"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2:26" ht="16" hidden="1"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2:26" ht="16" hidden="1"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2:26" ht="16" hidden="1"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2:26" ht="16" hidden="1"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2:26" ht="16" hidden="1"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2:26" ht="16" hidden="1"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2:26" ht="16" hidden="1"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2:26" ht="16" hidden="1"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2:26" ht="16" hidden="1"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2:26" ht="16" hidden="1"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2:26" ht="16" hidden="1"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2:26" ht="16" hidden="1"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2:26" ht="16" hidden="1"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2:26" ht="16" hidden="1"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2:26" ht="16" hidden="1"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2:26" ht="16" hidden="1"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2:26" ht="16" hidden="1"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2:26" ht="16" hidden="1"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2:26" ht="16" hidden="1"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2:26" ht="16" hidden="1"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2:26" ht="16" hidden="1"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2:26" ht="16" hidden="1"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2:26" ht="16" hidden="1"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2:26" ht="16" hidden="1"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2:26" ht="16" hidden="1"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2:26" ht="16" hidden="1"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2:26" ht="16" hidden="1"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2:26" ht="16" hidden="1"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2:26" ht="16" hidden="1"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2:26" ht="16" hidden="1"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2:26" ht="16" hidden="1"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2:26" ht="16" hidden="1"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2:26" ht="16" hidden="1"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2:26" ht="16" hidden="1"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2:26" ht="16" hidden="1"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2:26" ht="16" hidden="1"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2:26" ht="16" hidden="1"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2:26" ht="16" hidden="1"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2:26" ht="16" hidden="1"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2:26" ht="16" hidden="1"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2:26" ht="16" hidden="1"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2:26" ht="16" hidden="1"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2:26" ht="16" hidden="1"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2:26" ht="16" hidden="1"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2:26" ht="16" hidden="1"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2:26" ht="16" hidden="1"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2:26" ht="16" hidden="1"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2:26" ht="16" hidden="1"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2:26" ht="16" hidden="1"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2:26" ht="16" hidden="1"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2:26" ht="16" hidden="1"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2:26" ht="16" hidden="1"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2:26" ht="16" hidden="1"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2:26" ht="16" hidden="1"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2:26" ht="16" hidden="1"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2:26" ht="16" hidden="1"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2:26" ht="16" hidden="1"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2:26" ht="16" hidden="1"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2:26" ht="16" hidden="1"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2:26" ht="16" hidden="1"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2:26" ht="16" hidden="1"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2:26" ht="16" hidden="1"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2:26" ht="16" hidden="1"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2:26" ht="16" hidden="1"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2:26" ht="16" hidden="1"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2:26" ht="16" hidden="1"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2:26" ht="16" hidden="1"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2:26" ht="16" hidden="1"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2:26" ht="16" hidden="1"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교육과정편제표(치유농업과)</vt:lpstr>
      <vt:lpstr>실무과목 능력단위(치유농업과)</vt:lpstr>
      <vt:lpstr>교육과정편제표(축산자원개발과)</vt:lpstr>
      <vt:lpstr>실무과목 능력단위(축산자원개발과)</vt:lpstr>
      <vt:lpstr>교육과정편제표(산업기계설비과)</vt:lpstr>
      <vt:lpstr>실무과목 능력단위(산업기계설비과)</vt:lpstr>
      <vt:lpstr>교육과정편제표(식품가공과)</vt:lpstr>
      <vt:lpstr>실무과목 능력단위(식품가공과)</vt:lpstr>
      <vt:lpstr>삭제금지</vt:lpstr>
      <vt:lpstr>(참고1) 편성 기준🔐</vt:lpstr>
      <vt:lpstr>'교육과정편제표(산업기계설비과)'!Print_Area</vt:lpstr>
      <vt:lpstr>'교육과정편제표(식품가공과)'!Print_Area</vt:lpstr>
      <vt:lpstr>'교육과정편제표(축산자원개발과)'!Print_Area</vt:lpstr>
      <vt:lpstr>'교육과정편제표(치유농업과)'!Print_Area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2026-10-14T22:28:42Z</dcterms:modified>
</cp:coreProperties>
</file>