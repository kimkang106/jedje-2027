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2027학년도 교육과정 편제 준비\27학년도 입학생 편제 제출(10월 23일까지)\"/>
    </mc:Choice>
  </mc:AlternateContent>
  <xr:revisionPtr revIDLastSave="0" documentId="13_ncr:1_{C03CD599-59B9-40DE-91F7-D93B863DAB74}" xr6:coauthVersionLast="36" xr6:coauthVersionMax="47" xr10:uidLastSave="{00000000-0000-0000-0000-000000000000}"/>
  <bookViews>
    <workbookView xWindow="28680" yWindow="-120" windowWidth="29040" windowHeight="15720" tabRatio="795" xr2:uid="{00000000-000D-0000-FFFF-FFFF00000000}"/>
  </bookViews>
  <sheets>
    <sheet name="교육과정편제표(스마트경영)" sheetId="17" r:id="rId1"/>
    <sheet name="실무과목 능력단위(스마트경영과)" sheetId="25" r:id="rId2"/>
    <sheet name="교육과정편제표(소프트웨어개발)" sheetId="18" r:id="rId3"/>
    <sheet name="실무과목 능력단위(소프트웨어개발)" sheetId="22" r:id="rId4"/>
    <sheet name="교육과정편제표(광고미디어디자인)" sheetId="19" r:id="rId5"/>
    <sheet name="실무과목 능력단위(광고미디어디자인)" sheetId="24" r:id="rId6"/>
    <sheet name="교육과정편제표(도제)" sheetId="20" r:id="rId7"/>
    <sheet name="실무과목 능력단위(도제)" sheetId="23" r:id="rId8"/>
    <sheet name="교육과정편제표(사무회계과)" sheetId="21" r:id="rId9"/>
    <sheet name="실무과목 능력단위(사무회계과)" sheetId="14" r:id="rId10"/>
    <sheet name="삭제금지" sheetId="4" r:id="rId11"/>
    <sheet name="(참고1) 편성 기준🔐" sheetId="16" r:id="rId12"/>
  </sheets>
  <definedNames>
    <definedName name="_xlnm._FilterDatabase" localSheetId="4" hidden="1">'교육과정편제표(광고미디어디자인)'!$M$3:$P$4</definedName>
    <definedName name="_xlnm._FilterDatabase" localSheetId="6" hidden="1">'교육과정편제표(도제)'!$M$3:$P$4</definedName>
    <definedName name="_xlnm._FilterDatabase" localSheetId="8" hidden="1">'교육과정편제표(사무회계과)'!$M$3:$P$4</definedName>
    <definedName name="_xlnm._FilterDatabase" localSheetId="2" hidden="1">'교육과정편제표(소프트웨어개발)'!$M$3:$P$4</definedName>
    <definedName name="_xlnm._FilterDatabase" localSheetId="0" hidden="1">'교육과정편제표(스마트경영)'!$M$3:$P$4</definedName>
    <definedName name="_xlnm._FilterDatabase" localSheetId="10" hidden="1">삭제금지!$A$1:$F$151</definedName>
    <definedName name="_xlnm._FilterDatabase" localSheetId="5" hidden="1">'실무과목 능력단위(광고미디어디자인)'!#REF!</definedName>
    <definedName name="_xlnm._FilterDatabase" localSheetId="7" hidden="1">'실무과목 능력단위(도제)'!#REF!</definedName>
    <definedName name="_xlnm._FilterDatabase" localSheetId="9" hidden="1">'실무과목 능력단위(사무회계과)'!#REF!</definedName>
    <definedName name="_xlnm._FilterDatabase" localSheetId="3" hidden="1">'실무과목 능력단위(소프트웨어개발)'!#REF!</definedName>
    <definedName name="_xlnm._FilterDatabase" localSheetId="1" hidden="1">'실무과목 능력단위(스마트경영과)'!#REF!</definedName>
    <definedName name="_xlnm.Print_Area" localSheetId="4">'교육과정편제표(광고미디어디자인)'!$A$1:$AE$72</definedName>
    <definedName name="_xlnm.Print_Area" localSheetId="6">'교육과정편제표(도제)'!$A$1:$AE$65</definedName>
    <definedName name="_xlnm.Print_Area" localSheetId="8">'교육과정편제표(사무회계과)'!$A$1:$AE$71</definedName>
    <definedName name="_xlnm.Print_Area" localSheetId="2">'교육과정편제표(소프트웨어개발)'!$A$1:$AE$68</definedName>
    <definedName name="_xlnm.Print_Area" localSheetId="0">'교육과정편제표(스마트경영)'!$A$1:$AE$70</definedName>
    <definedName name="_xlnm.Print_Area" localSheetId="5">'실무과목 능력단위(광고미디어디자인)'!$A$1:$AF$63</definedName>
    <definedName name="_xlnm.Print_Area" localSheetId="7">'실무과목 능력단위(도제)'!$A$1:$AF$28</definedName>
    <definedName name="_xlnm.Print_Area" localSheetId="9">'실무과목 능력단위(사무회계과)'!$A$1:$AF$41</definedName>
    <definedName name="_xlnm.Print_Area" localSheetId="3">'실무과목 능력단위(소프트웨어개발)'!$A$1:$AF$43</definedName>
    <definedName name="_xlnm.Print_Area" localSheetId="1">'실무과목 능력단위(스마트경영과)'!$A$1:$AF$52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37" i="14" l="1"/>
  <c r="R37" i="14"/>
  <c r="Q37" i="14"/>
  <c r="P37" i="14"/>
  <c r="O37" i="14"/>
  <c r="N37" i="14"/>
  <c r="M37" i="14"/>
  <c r="L37" i="14"/>
  <c r="K37" i="14"/>
  <c r="J37" i="14"/>
  <c r="I37" i="14"/>
  <c r="H37" i="14"/>
  <c r="U36" i="14"/>
  <c r="T36" i="14"/>
  <c r="U35" i="14"/>
  <c r="T35" i="14"/>
  <c r="U34" i="14"/>
  <c r="T34" i="14"/>
  <c r="U33" i="14"/>
  <c r="U37" i="14" s="1"/>
  <c r="T33" i="14"/>
  <c r="T37" i="14" s="1"/>
  <c r="S32" i="14"/>
  <c r="R32" i="14"/>
  <c r="Q32" i="14"/>
  <c r="P32" i="14"/>
  <c r="O32" i="14"/>
  <c r="N32" i="14"/>
  <c r="M32" i="14"/>
  <c r="L32" i="14"/>
  <c r="K32" i="14"/>
  <c r="J32" i="14"/>
  <c r="I32" i="14"/>
  <c r="H32" i="14"/>
  <c r="U31" i="14"/>
  <c r="T31" i="14"/>
  <c r="U30" i="14"/>
  <c r="T30" i="14"/>
  <c r="T32" i="14" s="1"/>
  <c r="T29" i="14"/>
  <c r="K29" i="14"/>
  <c r="I29" i="14"/>
  <c r="U29" i="14" s="1"/>
  <c r="T28" i="14"/>
  <c r="K28" i="14"/>
  <c r="I28" i="14"/>
  <c r="U28" i="14" s="1"/>
  <c r="U32" i="14" s="1"/>
  <c r="S27" i="14"/>
  <c r="R27" i="14"/>
  <c r="Q27" i="14"/>
  <c r="P27" i="14"/>
  <c r="O27" i="14"/>
  <c r="N27" i="14"/>
  <c r="M27" i="14"/>
  <c r="L27" i="14"/>
  <c r="K27" i="14"/>
  <c r="J27" i="14"/>
  <c r="I27" i="14"/>
  <c r="H27" i="14"/>
  <c r="U26" i="14"/>
  <c r="T26" i="14"/>
  <c r="U25" i="14"/>
  <c r="U27" i="14" s="1"/>
  <c r="T25" i="14"/>
  <c r="T27" i="14" s="1"/>
  <c r="S24" i="14"/>
  <c r="R24" i="14"/>
  <c r="Q24" i="14"/>
  <c r="P24" i="14"/>
  <c r="O24" i="14"/>
  <c r="N24" i="14"/>
  <c r="M24" i="14"/>
  <c r="L24" i="14"/>
  <c r="K24" i="14"/>
  <c r="J24" i="14"/>
  <c r="I24" i="14"/>
  <c r="H24" i="14"/>
  <c r="U23" i="14"/>
  <c r="T23" i="14"/>
  <c r="U22" i="14"/>
  <c r="U24" i="14" s="1"/>
  <c r="T22" i="14"/>
  <c r="T24" i="14" s="1"/>
  <c r="S21" i="14"/>
  <c r="R21" i="14"/>
  <c r="Q21" i="14"/>
  <c r="P21" i="14"/>
  <c r="O21" i="14"/>
  <c r="N21" i="14"/>
  <c r="M21" i="14"/>
  <c r="L21" i="14"/>
  <c r="K21" i="14"/>
  <c r="J21" i="14"/>
  <c r="I21" i="14"/>
  <c r="H21" i="14"/>
  <c r="U20" i="14"/>
  <c r="T20" i="14"/>
  <c r="U19" i="14"/>
  <c r="U21" i="14" s="1"/>
  <c r="T19" i="14"/>
  <c r="T21" i="14" s="1"/>
  <c r="S18" i="14"/>
  <c r="R18" i="14"/>
  <c r="Q18" i="14"/>
  <c r="P18" i="14"/>
  <c r="O18" i="14"/>
  <c r="N18" i="14"/>
  <c r="M18" i="14"/>
  <c r="L18" i="14"/>
  <c r="K18" i="14"/>
  <c r="J18" i="14"/>
  <c r="I18" i="14"/>
  <c r="H18" i="14"/>
  <c r="U17" i="14"/>
  <c r="T17" i="14"/>
  <c r="U16" i="14"/>
  <c r="T16" i="14"/>
  <c r="U15" i="14"/>
  <c r="T15" i="14"/>
  <c r="U14" i="14"/>
  <c r="T14" i="14"/>
  <c r="U13" i="14"/>
  <c r="T13" i="14"/>
  <c r="U12" i="14"/>
  <c r="U18" i="14" s="1"/>
  <c r="T12" i="14"/>
  <c r="T18" i="14" s="1"/>
  <c r="S11" i="14"/>
  <c r="R11" i="14"/>
  <c r="Q11" i="14"/>
  <c r="P11" i="14"/>
  <c r="O11" i="14"/>
  <c r="N11" i="14"/>
  <c r="M11" i="14"/>
  <c r="L11" i="14"/>
  <c r="J11" i="14"/>
  <c r="H11" i="14"/>
  <c r="U10" i="14"/>
  <c r="T10" i="14"/>
  <c r="T9" i="14"/>
  <c r="T11" i="14" s="1"/>
  <c r="K9" i="14"/>
  <c r="K11" i="14" s="1"/>
  <c r="I9" i="14"/>
  <c r="U9" i="14" s="1"/>
  <c r="U11" i="14" s="1"/>
  <c r="I11" i="14" l="1"/>
  <c r="S24" i="23" l="1"/>
  <c r="R24" i="23"/>
  <c r="Q24" i="23"/>
  <c r="P24" i="23"/>
  <c r="O24" i="23"/>
  <c r="N24" i="23"/>
  <c r="M24" i="23"/>
  <c r="L24" i="23"/>
  <c r="K24" i="23"/>
  <c r="J24" i="23"/>
  <c r="I24" i="23"/>
  <c r="H24" i="23"/>
  <c r="U23" i="23"/>
  <c r="T23" i="23"/>
  <c r="U22" i="23"/>
  <c r="U24" i="23" s="1"/>
  <c r="T22" i="23"/>
  <c r="T24" i="23" s="1"/>
  <c r="K22" i="23"/>
  <c r="I22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U20" i="23"/>
  <c r="T20" i="23"/>
  <c r="U19" i="23"/>
  <c r="T19" i="23"/>
  <c r="U18" i="23"/>
  <c r="U21" i="23" s="1"/>
  <c r="T18" i="23"/>
  <c r="T21" i="23" s="1"/>
  <c r="S17" i="23"/>
  <c r="R17" i="23"/>
  <c r="Q17" i="23"/>
  <c r="P17" i="23"/>
  <c r="O17" i="23"/>
  <c r="N17" i="23"/>
  <c r="M17" i="23"/>
  <c r="L17" i="23"/>
  <c r="K17" i="23"/>
  <c r="J17" i="23"/>
  <c r="I17" i="23"/>
  <c r="H17" i="23"/>
  <c r="U16" i="23"/>
  <c r="T16" i="23"/>
  <c r="U15" i="23"/>
  <c r="T15" i="23"/>
  <c r="T17" i="23" s="1"/>
  <c r="K15" i="23"/>
  <c r="I15" i="23"/>
  <c r="T14" i="23"/>
  <c r="K14" i="23"/>
  <c r="I14" i="23"/>
  <c r="U14" i="23" s="1"/>
  <c r="U17" i="23" s="1"/>
  <c r="S13" i="23"/>
  <c r="R13" i="23"/>
  <c r="Q13" i="23"/>
  <c r="P13" i="23"/>
  <c r="O13" i="23"/>
  <c r="N13" i="23"/>
  <c r="M13" i="23"/>
  <c r="L13" i="23"/>
  <c r="K13" i="23"/>
  <c r="J13" i="23"/>
  <c r="I13" i="23"/>
  <c r="H13" i="23"/>
  <c r="U12" i="23"/>
  <c r="T12" i="23"/>
  <c r="U11" i="23"/>
  <c r="T11" i="23"/>
  <c r="T13" i="23" s="1"/>
  <c r="T10" i="23"/>
  <c r="K10" i="23"/>
  <c r="I10" i="23"/>
  <c r="U10" i="23" s="1"/>
  <c r="T9" i="23"/>
  <c r="K9" i="23"/>
  <c r="I9" i="23"/>
  <c r="U9" i="23" s="1"/>
  <c r="U13" i="23" s="1"/>
  <c r="S61" i="24" l="1"/>
  <c r="R61" i="24"/>
  <c r="Q61" i="24"/>
  <c r="P61" i="24"/>
  <c r="O61" i="24"/>
  <c r="N61" i="24"/>
  <c r="M61" i="24"/>
  <c r="L61" i="24"/>
  <c r="K61" i="24"/>
  <c r="J61" i="24"/>
  <c r="I61" i="24"/>
  <c r="H61" i="24"/>
  <c r="U60" i="24"/>
  <c r="T60" i="24"/>
  <c r="U59" i="24"/>
  <c r="T59" i="24"/>
  <c r="U58" i="24"/>
  <c r="T58" i="24"/>
  <c r="U57" i="24"/>
  <c r="T57" i="24"/>
  <c r="U56" i="24"/>
  <c r="T56" i="24"/>
  <c r="U55" i="24"/>
  <c r="U61" i="24" s="1"/>
  <c r="T55" i="24"/>
  <c r="T61" i="24" s="1"/>
  <c r="S54" i="24"/>
  <c r="R54" i="24"/>
  <c r="Q54" i="24"/>
  <c r="P54" i="24"/>
  <c r="O54" i="24"/>
  <c r="N54" i="24"/>
  <c r="M54" i="24"/>
  <c r="L54" i="24"/>
  <c r="K54" i="24"/>
  <c r="J54" i="24"/>
  <c r="I54" i="24"/>
  <c r="H54" i="24"/>
  <c r="U53" i="24"/>
  <c r="T53" i="24"/>
  <c r="U52" i="24"/>
  <c r="T52" i="24"/>
  <c r="U51" i="24"/>
  <c r="T51" i="24"/>
  <c r="U50" i="24"/>
  <c r="T50" i="24"/>
  <c r="U49" i="24"/>
  <c r="U54" i="24" s="1"/>
  <c r="T49" i="24"/>
  <c r="T54" i="24" s="1"/>
  <c r="S48" i="24"/>
  <c r="R48" i="24"/>
  <c r="Q48" i="24"/>
  <c r="P48" i="24"/>
  <c r="O48" i="24"/>
  <c r="N48" i="24"/>
  <c r="M48" i="24"/>
  <c r="L48" i="24"/>
  <c r="K48" i="24"/>
  <c r="J48" i="24"/>
  <c r="I48" i="24"/>
  <c r="H48" i="24"/>
  <c r="U47" i="24"/>
  <c r="T47" i="24"/>
  <c r="U46" i="24"/>
  <c r="T46" i="24"/>
  <c r="U45" i="24"/>
  <c r="T45" i="24"/>
  <c r="U44" i="24"/>
  <c r="T44" i="24"/>
  <c r="U43" i="24"/>
  <c r="T43" i="24"/>
  <c r="U42" i="24"/>
  <c r="U48" i="24" s="1"/>
  <c r="T42" i="24"/>
  <c r="T48" i="24" s="1"/>
  <c r="S41" i="24"/>
  <c r="R41" i="24"/>
  <c r="Q41" i="24"/>
  <c r="P41" i="24"/>
  <c r="O41" i="24"/>
  <c r="N41" i="24"/>
  <c r="M41" i="24"/>
  <c r="L41" i="24"/>
  <c r="K41" i="24"/>
  <c r="J41" i="24"/>
  <c r="I41" i="24"/>
  <c r="H41" i="24"/>
  <c r="U40" i="24"/>
  <c r="T40" i="24"/>
  <c r="U39" i="24"/>
  <c r="T39" i="24"/>
  <c r="U38" i="24"/>
  <c r="T38" i="24"/>
  <c r="U37" i="24"/>
  <c r="T37" i="24"/>
  <c r="U36" i="24"/>
  <c r="T36" i="24"/>
  <c r="U35" i="24"/>
  <c r="U41" i="24" s="1"/>
  <c r="T35" i="24"/>
  <c r="T41" i="24" s="1"/>
  <c r="S34" i="24"/>
  <c r="R34" i="24"/>
  <c r="Q34" i="24"/>
  <c r="P34" i="24"/>
  <c r="O34" i="24"/>
  <c r="N34" i="24"/>
  <c r="M34" i="24"/>
  <c r="L34" i="24"/>
  <c r="K34" i="24"/>
  <c r="J34" i="24"/>
  <c r="I34" i="24"/>
  <c r="H34" i="24"/>
  <c r="U33" i="24"/>
  <c r="T33" i="24"/>
  <c r="U32" i="24"/>
  <c r="T32" i="24"/>
  <c r="U31" i="24"/>
  <c r="T31" i="24"/>
  <c r="U30" i="24"/>
  <c r="T30" i="24"/>
  <c r="U29" i="24"/>
  <c r="T29" i="24"/>
  <c r="U28" i="24"/>
  <c r="U34" i="24" s="1"/>
  <c r="T28" i="24"/>
  <c r="T34" i="24" s="1"/>
  <c r="S27" i="24"/>
  <c r="R27" i="24"/>
  <c r="Q27" i="24"/>
  <c r="P27" i="24"/>
  <c r="O27" i="24"/>
  <c r="N27" i="24"/>
  <c r="M27" i="24"/>
  <c r="L27" i="24"/>
  <c r="K27" i="24"/>
  <c r="J27" i="24"/>
  <c r="I27" i="24"/>
  <c r="H27" i="24"/>
  <c r="U26" i="24"/>
  <c r="T26" i="24"/>
  <c r="U25" i="24"/>
  <c r="T25" i="24"/>
  <c r="U24" i="24"/>
  <c r="T24" i="24"/>
  <c r="U23" i="24"/>
  <c r="T23" i="24"/>
  <c r="U22" i="24"/>
  <c r="T22" i="24"/>
  <c r="U21" i="24"/>
  <c r="U27" i="24" s="1"/>
  <c r="T21" i="24"/>
  <c r="T27" i="24" s="1"/>
  <c r="S20" i="24"/>
  <c r="R20" i="24"/>
  <c r="Q20" i="24"/>
  <c r="P20" i="24"/>
  <c r="O20" i="24"/>
  <c r="N20" i="24"/>
  <c r="M20" i="24"/>
  <c r="L20" i="24"/>
  <c r="K20" i="24"/>
  <c r="J20" i="24"/>
  <c r="I20" i="24"/>
  <c r="H20" i="24"/>
  <c r="U19" i="24"/>
  <c r="T19" i="24"/>
  <c r="U18" i="24"/>
  <c r="U20" i="24" s="1"/>
  <c r="T18" i="24"/>
  <c r="T20" i="24" s="1"/>
  <c r="S17" i="24"/>
  <c r="R17" i="24"/>
  <c r="Q17" i="24"/>
  <c r="P17" i="24"/>
  <c r="O17" i="24"/>
  <c r="N17" i="24"/>
  <c r="M17" i="24"/>
  <c r="L17" i="24"/>
  <c r="J17" i="24"/>
  <c r="H17" i="24"/>
  <c r="U16" i="24"/>
  <c r="T16" i="24"/>
  <c r="T15" i="24"/>
  <c r="T17" i="24" s="1"/>
  <c r="K15" i="24"/>
  <c r="K17" i="24" s="1"/>
  <c r="I15" i="24"/>
  <c r="I17" i="24" s="1"/>
  <c r="S14" i="24"/>
  <c r="R14" i="24"/>
  <c r="Q14" i="24"/>
  <c r="P14" i="24"/>
  <c r="O14" i="24"/>
  <c r="N14" i="24"/>
  <c r="M14" i="24"/>
  <c r="L14" i="24"/>
  <c r="K14" i="24"/>
  <c r="J14" i="24"/>
  <c r="I14" i="24"/>
  <c r="H14" i="24"/>
  <c r="U13" i="24"/>
  <c r="T13" i="24"/>
  <c r="U12" i="24"/>
  <c r="U14" i="24" s="1"/>
  <c r="T12" i="24"/>
  <c r="T14" i="24" s="1"/>
  <c r="S11" i="24"/>
  <c r="R11" i="24"/>
  <c r="Q11" i="24"/>
  <c r="P11" i="24"/>
  <c r="O11" i="24"/>
  <c r="N11" i="24"/>
  <c r="M11" i="24"/>
  <c r="L11" i="24"/>
  <c r="K11" i="24"/>
  <c r="J11" i="24"/>
  <c r="I11" i="24"/>
  <c r="H11" i="24"/>
  <c r="U10" i="24"/>
  <c r="T10" i="24"/>
  <c r="U9" i="24"/>
  <c r="U11" i="24" s="1"/>
  <c r="T9" i="24"/>
  <c r="T11" i="24" s="1"/>
  <c r="U15" i="24" l="1"/>
  <c r="U17" i="24" s="1"/>
  <c r="P39" i="22" l="1"/>
  <c r="Q39" i="22"/>
  <c r="R39" i="22"/>
  <c r="S39" i="22"/>
  <c r="O39" i="22"/>
  <c r="N39" i="22"/>
  <c r="M39" i="22"/>
  <c r="L39" i="22"/>
  <c r="K39" i="22"/>
  <c r="J39" i="22"/>
  <c r="I39" i="22"/>
  <c r="H39" i="22"/>
  <c r="U38" i="22"/>
  <c r="T38" i="22"/>
  <c r="U37" i="22"/>
  <c r="T37" i="22"/>
  <c r="U36" i="22"/>
  <c r="T36" i="22"/>
  <c r="U35" i="22"/>
  <c r="T35" i="22"/>
  <c r="U34" i="22"/>
  <c r="T34" i="22"/>
  <c r="U33" i="22"/>
  <c r="U39" i="22" s="1"/>
  <c r="T33" i="22"/>
  <c r="T39" i="22" s="1"/>
  <c r="T32" i="22"/>
  <c r="U31" i="22"/>
  <c r="T31" i="22"/>
  <c r="U30" i="22"/>
  <c r="T30" i="22"/>
  <c r="U29" i="22"/>
  <c r="T29" i="22"/>
  <c r="U28" i="22"/>
  <c r="U32" i="22" s="1"/>
  <c r="T28" i="22"/>
  <c r="U27" i="22"/>
  <c r="T27" i="22"/>
  <c r="U26" i="22"/>
  <c r="T26" i="22"/>
  <c r="U24" i="22"/>
  <c r="U25" i="22" s="1"/>
  <c r="T24" i="22"/>
  <c r="T25" i="22" s="1"/>
  <c r="U23" i="22"/>
  <c r="T23" i="22"/>
  <c r="U21" i="22"/>
  <c r="T21" i="22"/>
  <c r="U20" i="22"/>
  <c r="U22" i="22" s="1"/>
  <c r="T20" i="22"/>
  <c r="T22" i="22" s="1"/>
  <c r="U19" i="22"/>
  <c r="T19" i="22"/>
  <c r="U17" i="22"/>
  <c r="T17" i="22"/>
  <c r="U16" i="22"/>
  <c r="U18" i="22" s="1"/>
  <c r="T16" i="22"/>
  <c r="T18" i="22" s="1"/>
  <c r="U14" i="22"/>
  <c r="T14" i="22"/>
  <c r="U13" i="22"/>
  <c r="T13" i="22"/>
  <c r="U12" i="22"/>
  <c r="U15" i="22" s="1"/>
  <c r="T12" i="22"/>
  <c r="T15" i="22" s="1"/>
  <c r="U10" i="22"/>
  <c r="T10" i="22"/>
  <c r="U9" i="22"/>
  <c r="U11" i="22" s="1"/>
  <c r="T9" i="22"/>
  <c r="T11" i="22" s="1"/>
  <c r="S32" i="22"/>
  <c r="R32" i="22"/>
  <c r="Q32" i="22"/>
  <c r="P32" i="22"/>
  <c r="O32" i="22"/>
  <c r="N32" i="22"/>
  <c r="M32" i="22"/>
  <c r="L32" i="22"/>
  <c r="K32" i="22"/>
  <c r="J32" i="22"/>
  <c r="I32" i="22"/>
  <c r="H32" i="22"/>
  <c r="S25" i="22"/>
  <c r="R25" i="22"/>
  <c r="Q25" i="22"/>
  <c r="P25" i="22"/>
  <c r="O25" i="22"/>
  <c r="N25" i="22"/>
  <c r="M25" i="22"/>
  <c r="L25" i="22"/>
  <c r="K25" i="22"/>
  <c r="J25" i="22"/>
  <c r="I25" i="22"/>
  <c r="H25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S11" i="22"/>
  <c r="R11" i="22"/>
  <c r="Q11" i="22"/>
  <c r="P11" i="22"/>
  <c r="O11" i="22"/>
  <c r="N11" i="22"/>
  <c r="M11" i="22"/>
  <c r="L11" i="22"/>
  <c r="J11" i="22"/>
  <c r="H11" i="22"/>
  <c r="K9" i="22"/>
  <c r="K11" i="22" s="1"/>
  <c r="I9" i="22"/>
  <c r="I11" i="22" s="1"/>
  <c r="I40" i="25" l="1"/>
  <c r="J40" i="25"/>
  <c r="K40" i="25"/>
  <c r="L40" i="25"/>
  <c r="M40" i="25"/>
  <c r="N40" i="25"/>
  <c r="H45" i="25"/>
  <c r="I45" i="25"/>
  <c r="J45" i="25"/>
  <c r="K45" i="25"/>
  <c r="L45" i="25"/>
  <c r="M45" i="25"/>
  <c r="N45" i="25"/>
  <c r="I48" i="25"/>
  <c r="J48" i="25"/>
  <c r="K48" i="25"/>
  <c r="L48" i="25"/>
  <c r="M48" i="25"/>
  <c r="N48" i="25"/>
  <c r="T48" i="25"/>
  <c r="S48" i="25"/>
  <c r="R48" i="25"/>
  <c r="Q48" i="25"/>
  <c r="P48" i="25"/>
  <c r="O48" i="25"/>
  <c r="U47" i="25"/>
  <c r="T47" i="25"/>
  <c r="U46" i="25"/>
  <c r="U48" i="25" s="1"/>
  <c r="T46" i="25"/>
  <c r="S45" i="25"/>
  <c r="R45" i="25"/>
  <c r="Q45" i="25"/>
  <c r="P45" i="25"/>
  <c r="O45" i="25"/>
  <c r="U44" i="25"/>
  <c r="T44" i="25"/>
  <c r="U43" i="25"/>
  <c r="T43" i="25"/>
  <c r="T42" i="25"/>
  <c r="K42" i="25"/>
  <c r="I42" i="25"/>
  <c r="U42" i="25" s="1"/>
  <c r="T41" i="25"/>
  <c r="K41" i="25"/>
  <c r="I41" i="25"/>
  <c r="S40" i="25"/>
  <c r="R40" i="25"/>
  <c r="Q40" i="25"/>
  <c r="P40" i="25"/>
  <c r="O40" i="25"/>
  <c r="U39" i="25"/>
  <c r="T39" i="25"/>
  <c r="U38" i="25"/>
  <c r="U40" i="25" s="1"/>
  <c r="T38" i="25"/>
  <c r="T40" i="25" s="1"/>
  <c r="S37" i="25"/>
  <c r="R37" i="25"/>
  <c r="Q37" i="25"/>
  <c r="P37" i="25"/>
  <c r="O37" i="25"/>
  <c r="N37" i="25"/>
  <c r="M37" i="25"/>
  <c r="L37" i="25"/>
  <c r="K37" i="25"/>
  <c r="J37" i="25"/>
  <c r="I37" i="25"/>
  <c r="H37" i="25"/>
  <c r="U36" i="25"/>
  <c r="T36" i="25"/>
  <c r="U35" i="25"/>
  <c r="U37" i="25" s="1"/>
  <c r="T35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U33" i="25"/>
  <c r="T33" i="25"/>
  <c r="U32" i="25"/>
  <c r="U34" i="25" s="1"/>
  <c r="T32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U30" i="25"/>
  <c r="T30" i="25"/>
  <c r="U29" i="25"/>
  <c r="U31" i="25" s="1"/>
  <c r="T29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U27" i="25"/>
  <c r="T27" i="25"/>
  <c r="U26" i="25"/>
  <c r="T26" i="25"/>
  <c r="U25" i="25"/>
  <c r="T25" i="25"/>
  <c r="U24" i="25"/>
  <c r="T24" i="25"/>
  <c r="U23" i="25"/>
  <c r="T23" i="25"/>
  <c r="U22" i="25"/>
  <c r="T22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U20" i="25"/>
  <c r="T20" i="25"/>
  <c r="U19" i="25"/>
  <c r="T19" i="25"/>
  <c r="U18" i="25"/>
  <c r="T18" i="25"/>
  <c r="U17" i="25"/>
  <c r="U21" i="25" s="1"/>
  <c r="T17" i="25"/>
  <c r="T21" i="25" s="1"/>
  <c r="S16" i="25"/>
  <c r="R16" i="25"/>
  <c r="Q16" i="25"/>
  <c r="P16" i="25"/>
  <c r="O16" i="25"/>
  <c r="N16" i="25"/>
  <c r="M16" i="25"/>
  <c r="L16" i="25"/>
  <c r="J16" i="25"/>
  <c r="H16" i="25"/>
  <c r="U15" i="25"/>
  <c r="T15" i="25"/>
  <c r="T14" i="25"/>
  <c r="K14" i="25"/>
  <c r="K16" i="25" s="1"/>
  <c r="I14" i="25"/>
  <c r="U14" i="25" s="1"/>
  <c r="U16" i="25" s="1"/>
  <c r="U11" i="25"/>
  <c r="S13" i="25"/>
  <c r="R13" i="25"/>
  <c r="Q13" i="25"/>
  <c r="P13" i="25"/>
  <c r="O13" i="25"/>
  <c r="N13" i="25"/>
  <c r="M13" i="25"/>
  <c r="L13" i="25"/>
  <c r="K13" i="25"/>
  <c r="J13" i="25"/>
  <c r="I13" i="25"/>
  <c r="H13" i="25"/>
  <c r="T12" i="25"/>
  <c r="U12" i="25"/>
  <c r="T10" i="25"/>
  <c r="T9" i="25"/>
  <c r="T28" i="25" l="1"/>
  <c r="T31" i="25"/>
  <c r="T34" i="25"/>
  <c r="T37" i="25"/>
  <c r="U28" i="25"/>
  <c r="U41" i="25"/>
  <c r="U45" i="25" s="1"/>
  <c r="I16" i="25"/>
  <c r="T45" i="25"/>
  <c r="T16" i="25"/>
  <c r="T13" i="25"/>
  <c r="U10" i="25"/>
  <c r="U9" i="25"/>
  <c r="U13" i="25" l="1"/>
  <c r="J60" i="21" l="1"/>
  <c r="J59" i="21"/>
  <c r="W50" i="21"/>
  <c r="W51" i="21"/>
  <c r="J57" i="21"/>
  <c r="J56" i="21"/>
  <c r="J55" i="21"/>
  <c r="J51" i="21"/>
  <c r="J50" i="21"/>
  <c r="K61" i="21"/>
  <c r="W46" i="21"/>
  <c r="J48" i="21"/>
  <c r="J47" i="21"/>
  <c r="J46" i="21"/>
  <c r="J45" i="21"/>
  <c r="W47" i="20"/>
  <c r="W48" i="20"/>
  <c r="J61" i="19"/>
  <c r="J60" i="19"/>
  <c r="J59" i="19"/>
  <c r="J58" i="19"/>
  <c r="J57" i="19"/>
  <c r="J56" i="19"/>
  <c r="J62" i="19" s="1"/>
  <c r="W46" i="19"/>
  <c r="W47" i="19"/>
  <c r="W48" i="19"/>
  <c r="J50" i="19"/>
  <c r="J49" i="19"/>
  <c r="J48" i="19"/>
  <c r="J47" i="19"/>
  <c r="J46" i="19"/>
  <c r="J45" i="19"/>
  <c r="J57" i="18"/>
  <c r="J56" i="18"/>
  <c r="J54" i="18"/>
  <c r="J53" i="18"/>
  <c r="J52" i="18"/>
  <c r="J51" i="18"/>
  <c r="W45" i="18"/>
  <c r="W46" i="18"/>
  <c r="W47" i="18"/>
  <c r="J47" i="18"/>
  <c r="J46" i="18"/>
  <c r="J45" i="18"/>
  <c r="S69" i="21"/>
  <c r="O69" i="21"/>
  <c r="K69" i="21"/>
  <c r="W68" i="21"/>
  <c r="W67" i="21"/>
  <c r="AA68" i="21" s="1"/>
  <c r="Y64" i="21"/>
  <c r="W64" i="21"/>
  <c r="Y61" i="21"/>
  <c r="Y63" i="21" s="1"/>
  <c r="U61" i="21"/>
  <c r="S61" i="21"/>
  <c r="Q61" i="21"/>
  <c r="O61" i="21"/>
  <c r="M61" i="21"/>
  <c r="I61" i="21"/>
  <c r="I63" i="21" s="1"/>
  <c r="H61" i="21"/>
  <c r="W59" i="21"/>
  <c r="W58" i="21"/>
  <c r="W57" i="21"/>
  <c r="W56" i="21"/>
  <c r="W55" i="21"/>
  <c r="W54" i="21"/>
  <c r="W53" i="21"/>
  <c r="W52" i="21"/>
  <c r="W49" i="21"/>
  <c r="W48" i="21"/>
  <c r="W47" i="21"/>
  <c r="W45" i="21"/>
  <c r="W44" i="21"/>
  <c r="W43" i="21"/>
  <c r="W42" i="21"/>
  <c r="W41" i="21"/>
  <c r="W40" i="21"/>
  <c r="Y39" i="21"/>
  <c r="U39" i="21"/>
  <c r="S39" i="21"/>
  <c r="Q39" i="21"/>
  <c r="O39" i="21"/>
  <c r="M39" i="21"/>
  <c r="K39" i="21"/>
  <c r="H39" i="21"/>
  <c r="W38" i="21"/>
  <c r="W37" i="21"/>
  <c r="W36" i="21"/>
  <c r="W35" i="21"/>
  <c r="W34" i="21"/>
  <c r="W33" i="21"/>
  <c r="X33" i="21" s="1"/>
  <c r="W32" i="21"/>
  <c r="W31" i="21"/>
  <c r="W30" i="21"/>
  <c r="J30" i="21"/>
  <c r="W29" i="21"/>
  <c r="J29" i="21"/>
  <c r="J39" i="21" s="1"/>
  <c r="W28" i="21"/>
  <c r="W27" i="21"/>
  <c r="W26" i="21"/>
  <c r="W25" i="21"/>
  <c r="W24" i="21"/>
  <c r="W23" i="21"/>
  <c r="X23" i="21" s="1"/>
  <c r="W22" i="21"/>
  <c r="W21" i="21"/>
  <c r="W20" i="21"/>
  <c r="W19" i="21"/>
  <c r="W18" i="21"/>
  <c r="W17" i="21"/>
  <c r="W16" i="21"/>
  <c r="W15" i="21"/>
  <c r="W14" i="21"/>
  <c r="W13" i="21"/>
  <c r="W12" i="21"/>
  <c r="W11" i="21"/>
  <c r="W10" i="21"/>
  <c r="W9" i="21"/>
  <c r="S63" i="20"/>
  <c r="O63" i="20"/>
  <c r="K63" i="20"/>
  <c r="W62" i="20"/>
  <c r="W61" i="20"/>
  <c r="AA62" i="20" s="1"/>
  <c r="Y58" i="20"/>
  <c r="W58" i="20"/>
  <c r="Y55" i="20"/>
  <c r="U55" i="20"/>
  <c r="S55" i="20"/>
  <c r="Q55" i="20"/>
  <c r="O55" i="20"/>
  <c r="M55" i="20"/>
  <c r="K55" i="20"/>
  <c r="J55" i="20"/>
  <c r="I55" i="20"/>
  <c r="I57" i="20" s="1"/>
  <c r="H55" i="20"/>
  <c r="W54" i="20"/>
  <c r="W53" i="20"/>
  <c r="W52" i="20"/>
  <c r="W51" i="20"/>
  <c r="W50" i="20"/>
  <c r="W49" i="20"/>
  <c r="W46" i="20"/>
  <c r="W45" i="20"/>
  <c r="W44" i="20"/>
  <c r="W43" i="20"/>
  <c r="W42" i="20"/>
  <c r="W41" i="20"/>
  <c r="W40" i="20"/>
  <c r="Y39" i="20"/>
  <c r="U39" i="20"/>
  <c r="S39" i="20"/>
  <c r="Q39" i="20"/>
  <c r="O39" i="20"/>
  <c r="M39" i="20"/>
  <c r="K39" i="20"/>
  <c r="H39" i="20"/>
  <c r="W38" i="20"/>
  <c r="W37" i="20"/>
  <c r="W36" i="20"/>
  <c r="W35" i="20"/>
  <c r="W34" i="20"/>
  <c r="W33" i="20"/>
  <c r="X33" i="20" s="1"/>
  <c r="W32" i="20"/>
  <c r="W31" i="20"/>
  <c r="W30" i="20"/>
  <c r="J30" i="20"/>
  <c r="W29" i="20"/>
  <c r="J29" i="20"/>
  <c r="W28" i="20"/>
  <c r="W27" i="20"/>
  <c r="X27" i="20" s="1"/>
  <c r="W26" i="20"/>
  <c r="W25" i="20"/>
  <c r="W24" i="20"/>
  <c r="W23" i="20"/>
  <c r="X23" i="20" s="1"/>
  <c r="W22" i="20"/>
  <c r="W21" i="20"/>
  <c r="W20" i="20"/>
  <c r="W19" i="20"/>
  <c r="W18" i="20"/>
  <c r="W17" i="20"/>
  <c r="W16" i="20"/>
  <c r="W15" i="20"/>
  <c r="W14" i="20"/>
  <c r="X14" i="20" s="1"/>
  <c r="W13" i="20"/>
  <c r="W12" i="20"/>
  <c r="W11" i="20"/>
  <c r="W10" i="20"/>
  <c r="W9" i="20"/>
  <c r="S70" i="19"/>
  <c r="O70" i="19"/>
  <c r="K70" i="19"/>
  <c r="W69" i="19"/>
  <c r="W68" i="19"/>
  <c r="AA69" i="19" s="1"/>
  <c r="Y65" i="19"/>
  <c r="W65" i="19"/>
  <c r="Y62" i="19"/>
  <c r="U62" i="19"/>
  <c r="S62" i="19"/>
  <c r="Q62" i="19"/>
  <c r="O62" i="19"/>
  <c r="M62" i="19"/>
  <c r="K62" i="19"/>
  <c r="I62" i="19"/>
  <c r="I64" i="19" s="1"/>
  <c r="H62" i="19"/>
  <c r="W56" i="19"/>
  <c r="W55" i="19"/>
  <c r="W54" i="19"/>
  <c r="W53" i="19"/>
  <c r="W52" i="19"/>
  <c r="W51" i="19"/>
  <c r="W50" i="19"/>
  <c r="W49" i="19"/>
  <c r="W45" i="19"/>
  <c r="W44" i="19"/>
  <c r="W43" i="19"/>
  <c r="W42" i="19"/>
  <c r="W41" i="19"/>
  <c r="W40" i="19"/>
  <c r="Y39" i="19"/>
  <c r="U39" i="19"/>
  <c r="S39" i="19"/>
  <c r="Q39" i="19"/>
  <c r="O39" i="19"/>
  <c r="M39" i="19"/>
  <c r="K39" i="19"/>
  <c r="H39" i="19"/>
  <c r="W38" i="19"/>
  <c r="W37" i="19"/>
  <c r="W36" i="19"/>
  <c r="W35" i="19"/>
  <c r="W34" i="19"/>
  <c r="W33" i="19"/>
  <c r="W32" i="19"/>
  <c r="W31" i="19"/>
  <c r="W30" i="19"/>
  <c r="J30" i="19"/>
  <c r="W29" i="19"/>
  <c r="J29" i="19"/>
  <c r="W28" i="19"/>
  <c r="W27" i="19"/>
  <c r="W26" i="19"/>
  <c r="W25" i="19"/>
  <c r="W24" i="19"/>
  <c r="W23" i="19"/>
  <c r="W22" i="19"/>
  <c r="W21" i="19"/>
  <c r="W20" i="19"/>
  <c r="W19" i="19"/>
  <c r="W18" i="19"/>
  <c r="W17" i="19"/>
  <c r="W16" i="19"/>
  <c r="W15" i="19"/>
  <c r="W14" i="19"/>
  <c r="W13" i="19"/>
  <c r="W12" i="19"/>
  <c r="W11" i="19"/>
  <c r="W10" i="19"/>
  <c r="W9" i="19"/>
  <c r="S66" i="18"/>
  <c r="O66" i="18"/>
  <c r="K66" i="18"/>
  <c r="Y65" i="18"/>
  <c r="AA67" i="18" s="1"/>
  <c r="W65" i="18"/>
  <c r="W64" i="18"/>
  <c r="AA65" i="18" s="1"/>
  <c r="Y61" i="18"/>
  <c r="W61" i="18"/>
  <c r="Y58" i="18"/>
  <c r="U58" i="18"/>
  <c r="S58" i="18"/>
  <c r="Q58" i="18"/>
  <c r="O58" i="18"/>
  <c r="M58" i="18"/>
  <c r="K58" i="18"/>
  <c r="I58" i="18"/>
  <c r="I60" i="18" s="1"/>
  <c r="H58" i="18"/>
  <c r="W56" i="18"/>
  <c r="W55" i="18"/>
  <c r="W54" i="18"/>
  <c r="W53" i="18"/>
  <c r="W52" i="18"/>
  <c r="W51" i="18"/>
  <c r="W50" i="18"/>
  <c r="W49" i="18"/>
  <c r="W48" i="18"/>
  <c r="W44" i="18"/>
  <c r="W43" i="18"/>
  <c r="W42" i="18"/>
  <c r="W41" i="18"/>
  <c r="W40" i="18"/>
  <c r="Y39" i="18"/>
  <c r="Y60" i="18" s="1"/>
  <c r="U39" i="18"/>
  <c r="S39" i="18"/>
  <c r="Q39" i="18"/>
  <c r="O39" i="18"/>
  <c r="M39" i="18"/>
  <c r="K39" i="18"/>
  <c r="H39" i="18"/>
  <c r="W38" i="18"/>
  <c r="W37" i="18"/>
  <c r="W36" i="18"/>
  <c r="W35" i="18"/>
  <c r="W34" i="18"/>
  <c r="W33" i="18"/>
  <c r="X33" i="18" s="1"/>
  <c r="W32" i="18"/>
  <c r="W31" i="18"/>
  <c r="W30" i="18"/>
  <c r="J30" i="18"/>
  <c r="W29" i="18"/>
  <c r="J29" i="18"/>
  <c r="J39" i="18" s="1"/>
  <c r="W28" i="18"/>
  <c r="W27" i="18"/>
  <c r="W26" i="18"/>
  <c r="W25" i="18"/>
  <c r="X25" i="18" s="1"/>
  <c r="W24" i="18"/>
  <c r="W23" i="18"/>
  <c r="W22" i="18"/>
  <c r="W21" i="18"/>
  <c r="W20" i="18"/>
  <c r="W19" i="18"/>
  <c r="W18" i="18"/>
  <c r="W17" i="18"/>
  <c r="W16" i="18"/>
  <c r="W15" i="18"/>
  <c r="W14" i="18"/>
  <c r="W13" i="18"/>
  <c r="W12" i="18"/>
  <c r="W11" i="18"/>
  <c r="W10" i="18"/>
  <c r="W9" i="18"/>
  <c r="X35" i="21" l="1"/>
  <c r="W69" i="21"/>
  <c r="X25" i="21"/>
  <c r="X29" i="21"/>
  <c r="J61" i="21"/>
  <c r="J63" i="21" s="1"/>
  <c r="X14" i="21"/>
  <c r="X27" i="21"/>
  <c r="K63" i="21"/>
  <c r="M63" i="21"/>
  <c r="O63" i="21"/>
  <c r="X18" i="21"/>
  <c r="X9" i="21"/>
  <c r="Q63" i="21"/>
  <c r="W61" i="21"/>
  <c r="S63" i="21"/>
  <c r="U63" i="21"/>
  <c r="H63" i="21"/>
  <c r="J39" i="20"/>
  <c r="W39" i="20"/>
  <c r="AA39" i="20" s="1"/>
  <c r="X9" i="20"/>
  <c r="X29" i="20"/>
  <c r="H57" i="20"/>
  <c r="W63" i="20"/>
  <c r="X35" i="20"/>
  <c r="Y57" i="20"/>
  <c r="K57" i="20"/>
  <c r="Q57" i="20"/>
  <c r="U57" i="20"/>
  <c r="X25" i="20"/>
  <c r="X18" i="20"/>
  <c r="M57" i="20"/>
  <c r="O57" i="20"/>
  <c r="J57" i="20"/>
  <c r="S57" i="20"/>
  <c r="W55" i="20"/>
  <c r="X33" i="19"/>
  <c r="J39" i="19"/>
  <c r="J64" i="19" s="1"/>
  <c r="X35" i="19"/>
  <c r="W70" i="19"/>
  <c r="X14" i="19"/>
  <c r="X27" i="19"/>
  <c r="K64" i="19"/>
  <c r="Q64" i="19"/>
  <c r="O64" i="19"/>
  <c r="M64" i="19"/>
  <c r="X9" i="19"/>
  <c r="X25" i="19"/>
  <c r="X29" i="19"/>
  <c r="H64" i="19"/>
  <c r="Y64" i="19"/>
  <c r="X18" i="19"/>
  <c r="W62" i="19"/>
  <c r="W39" i="19"/>
  <c r="AA39" i="19" s="1"/>
  <c r="X23" i="19"/>
  <c r="U64" i="19"/>
  <c r="X9" i="18"/>
  <c r="W39" i="18"/>
  <c r="AA39" i="18" s="1"/>
  <c r="X14" i="18"/>
  <c r="X23" i="18"/>
  <c r="W66" i="18"/>
  <c r="X27" i="18"/>
  <c r="X29" i="18"/>
  <c r="X35" i="18"/>
  <c r="X18" i="18"/>
  <c r="J58" i="18"/>
  <c r="J60" i="18" s="1"/>
  <c r="U60" i="18"/>
  <c r="K60" i="18"/>
  <c r="H60" i="18"/>
  <c r="M60" i="18"/>
  <c r="Q60" i="18"/>
  <c r="S60" i="18"/>
  <c r="W58" i="18"/>
  <c r="O60" i="18"/>
  <c r="Y68" i="21"/>
  <c r="AA70" i="21" s="1"/>
  <c r="W39" i="21"/>
  <c r="AA39" i="21" s="1"/>
  <c r="Y62" i="20"/>
  <c r="AA64" i="20" s="1"/>
  <c r="Y69" i="19"/>
  <c r="AA71" i="19" s="1"/>
  <c r="S64" i="19"/>
  <c r="W63" i="21" l="1"/>
  <c r="AA65" i="21" s="1"/>
  <c r="W57" i="20"/>
  <c r="AA59" i="20" s="1"/>
  <c r="W64" i="19"/>
  <c r="AA66" i="19" s="1"/>
  <c r="W60" i="18"/>
  <c r="AA62" i="18" s="1"/>
  <c r="J60" i="17" l="1"/>
  <c r="H39" i="17"/>
  <c r="J39" i="17"/>
  <c r="S60" i="17"/>
  <c r="U60" i="17"/>
  <c r="W56" i="17" l="1"/>
  <c r="S68" i="17"/>
  <c r="O68" i="17"/>
  <c r="W68" i="17" s="1"/>
  <c r="K68" i="17"/>
  <c r="W67" i="17"/>
  <c r="W66" i="17"/>
  <c r="AA67" i="17" s="1"/>
  <c r="Y63" i="17"/>
  <c r="W63" i="17"/>
  <c r="Y60" i="17"/>
  <c r="Q60" i="17"/>
  <c r="O60" i="17"/>
  <c r="M60" i="17"/>
  <c r="K60" i="17"/>
  <c r="I60" i="17"/>
  <c r="I62" i="17" s="1"/>
  <c r="H60" i="17"/>
  <c r="W55" i="17"/>
  <c r="W54" i="17"/>
  <c r="W53" i="17"/>
  <c r="W52" i="17"/>
  <c r="W51" i="17"/>
  <c r="W50" i="17"/>
  <c r="W49" i="17"/>
  <c r="W48" i="17"/>
  <c r="W47" i="17"/>
  <c r="W46" i="17"/>
  <c r="W45" i="17"/>
  <c r="W44" i="17"/>
  <c r="W43" i="17"/>
  <c r="W42" i="17"/>
  <c r="W41" i="17"/>
  <c r="W40" i="17"/>
  <c r="Y39" i="17"/>
  <c r="U39" i="17"/>
  <c r="S39" i="17"/>
  <c r="Q39" i="17"/>
  <c r="O39" i="17"/>
  <c r="M39" i="17"/>
  <c r="K39" i="17"/>
  <c r="H62" i="17"/>
  <c r="W38" i="17"/>
  <c r="W37" i="17"/>
  <c r="W36" i="17"/>
  <c r="W35" i="17"/>
  <c r="W34" i="17"/>
  <c r="W33" i="17"/>
  <c r="X33" i="17" s="1"/>
  <c r="W32" i="17"/>
  <c r="W31" i="17"/>
  <c r="X29" i="17" s="1"/>
  <c r="W30" i="17"/>
  <c r="J30" i="17"/>
  <c r="W29" i="17"/>
  <c r="J29" i="17"/>
  <c r="W28" i="17"/>
  <c r="W27" i="17"/>
  <c r="X27" i="17" s="1"/>
  <c r="W26" i="17"/>
  <c r="W25" i="17"/>
  <c r="W24" i="17"/>
  <c r="W23" i="17"/>
  <c r="W22" i="17"/>
  <c r="W21" i="17"/>
  <c r="W20" i="17"/>
  <c r="W19" i="17"/>
  <c r="W18" i="17"/>
  <c r="W17" i="17"/>
  <c r="W16" i="17"/>
  <c r="W15" i="17"/>
  <c r="W14" i="17"/>
  <c r="W13" i="17"/>
  <c r="W12" i="17"/>
  <c r="W11" i="17"/>
  <c r="W10" i="17"/>
  <c r="W9" i="17"/>
  <c r="O62" i="17" l="1"/>
  <c r="X14" i="17"/>
  <c r="X23" i="17"/>
  <c r="X18" i="17"/>
  <c r="W39" i="17"/>
  <c r="Q62" i="17"/>
  <c r="S62" i="17"/>
  <c r="AA39" i="17"/>
  <c r="J62" i="17"/>
  <c r="W60" i="17"/>
  <c r="M62" i="17"/>
  <c r="X9" i="17"/>
  <c r="X35" i="17"/>
  <c r="X25" i="17"/>
  <c r="U62" i="17"/>
  <c r="Y62" i="17"/>
  <c r="Y67" i="17"/>
  <c r="AA69" i="17" s="1"/>
  <c r="K62" i="17"/>
  <c r="W62" i="17" l="1"/>
  <c r="AA64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60" authorId="0" shapeId="0" xr:uid="{87BBB300-0CBB-446E-B693-09273DE46D78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58" authorId="0" shapeId="0" xr:uid="{CEDE9356-64DA-432F-B4ED-B3413808C2FF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62" authorId="0" shapeId="0" xr:uid="{64488D8F-9A87-43C6-ADDD-9A7FA8A015D9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55" authorId="0" shapeId="0" xr:uid="{C885F2E6-3219-4EA2-B9F4-BE4CD5B5F649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61" authorId="0" shapeId="0" xr:uid="{C1562BCC-926F-4D36-BA0E-8D63C836D86B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<sst xmlns="http://schemas.openxmlformats.org/spreadsheetml/2006/main" count="2826" uniqueCount="830">
  <si>
    <t>1학기</t>
  </si>
  <si>
    <t>구분</t>
    <phoneticPr fontId="6" type="noConversion"/>
  </si>
  <si>
    <t>교과영역</t>
    <phoneticPr fontId="6" type="noConversion"/>
  </si>
  <si>
    <t>교과군</t>
    <phoneticPr fontId="6" type="noConversion"/>
  </si>
  <si>
    <t>문학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</si>
  <si>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</si>
  <si>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</si>
  <si>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</si>
  <si>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체육</t>
    <phoneticPr fontId="9" type="noConversion"/>
  </si>
  <si>
    <t>음악</t>
    <phoneticPr fontId="9" type="noConversion"/>
  </si>
  <si>
    <t>기술·가정</t>
    <phoneticPr fontId="9" type="noConversion"/>
  </si>
  <si>
    <t>진로활동</t>
    <phoneticPr fontId="9" type="noConversion"/>
  </si>
  <si>
    <t>공통</t>
    <phoneticPr fontId="9" type="noConversion"/>
  </si>
  <si>
    <t>실무과목</t>
    <phoneticPr fontId="9" type="noConversion"/>
  </si>
  <si>
    <t>내용영역(능력단위)</t>
  </si>
  <si>
    <t>능력단위코드</t>
  </si>
  <si>
    <t>내용영역 합계</t>
    <phoneticPr fontId="9" type="noConversion"/>
  </si>
  <si>
    <t>보통교과</t>
    <phoneticPr fontId="9" type="noConversion"/>
  </si>
  <si>
    <t>구분</t>
    <phoneticPr fontId="9" type="noConversion"/>
  </si>
  <si>
    <t>과목명</t>
    <phoneticPr fontId="9" type="noConversion"/>
  </si>
  <si>
    <t>운영가능단위</t>
    <phoneticPr fontId="9" type="noConversion"/>
  </si>
  <si>
    <t>국어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</si>
  <si>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</si>
  <si>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</si>
  <si>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</si>
  <si>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사회</t>
    <phoneticPr fontId="9" type="noConversion"/>
  </si>
  <si>
    <t>과학</t>
    <phoneticPr fontId="9" type="noConversion"/>
  </si>
  <si>
    <t>체육</t>
    <phoneticPr fontId="9" type="noConversion"/>
  </si>
  <si>
    <t>예술</t>
    <phoneticPr fontId="9" type="noConversion"/>
  </si>
  <si>
    <t>기술·가정</t>
    <phoneticPr fontId="9" type="noConversion"/>
  </si>
  <si>
    <t>제2외국어</t>
    <phoneticPr fontId="9" type="noConversion"/>
  </si>
  <si>
    <t>한문</t>
    <phoneticPr fontId="9" type="noConversion"/>
  </si>
  <si>
    <t>교양</t>
    <phoneticPr fontId="9" type="noConversion"/>
  </si>
  <si>
    <t>공통</t>
    <phoneticPr fontId="9" type="noConversion"/>
  </si>
  <si>
    <t>일반</t>
    <phoneticPr fontId="9" type="noConversion"/>
  </si>
  <si>
    <t>진로</t>
    <phoneticPr fontId="9" type="noConversion"/>
  </si>
  <si>
    <t>확률과 통계</t>
    <phoneticPr fontId="9" type="noConversion"/>
  </si>
  <si>
    <t>기하</t>
    <phoneticPr fontId="9" type="noConversion"/>
  </si>
  <si>
    <t>영어Ⅰ</t>
    <phoneticPr fontId="9" type="noConversion"/>
  </si>
  <si>
    <t>영어 독해와 작문</t>
    <phoneticPr fontId="9" type="noConversion"/>
  </si>
  <si>
    <t>영어Ⅱ</t>
    <phoneticPr fontId="9" type="noConversion"/>
  </si>
  <si>
    <t>영미 문학 읽기</t>
    <phoneticPr fontId="9" type="noConversion"/>
  </si>
  <si>
    <t>경제</t>
    <phoneticPr fontId="9" type="noConversion"/>
  </si>
  <si>
    <t>윤리와 사상</t>
    <phoneticPr fontId="9" type="noConversion"/>
  </si>
  <si>
    <t>여행지리</t>
    <phoneticPr fontId="9" type="noConversion"/>
  </si>
  <si>
    <t>사회문제 탐구</t>
    <phoneticPr fontId="9" type="noConversion"/>
  </si>
  <si>
    <t>체육 탐구</t>
    <phoneticPr fontId="9" type="noConversion"/>
  </si>
  <si>
    <t>미술</t>
    <phoneticPr fontId="9" type="noConversion"/>
  </si>
  <si>
    <t>연극</t>
    <phoneticPr fontId="9" type="noConversion"/>
  </si>
  <si>
    <t>정보</t>
    <phoneticPr fontId="9" type="noConversion"/>
  </si>
  <si>
    <t>진로와 직업</t>
    <phoneticPr fontId="9" type="noConversion"/>
  </si>
  <si>
    <t>보건</t>
    <phoneticPr fontId="9" type="noConversion"/>
  </si>
  <si>
    <t>논술</t>
    <phoneticPr fontId="9" type="noConversion"/>
  </si>
  <si>
    <t>학교명</t>
    <phoneticPr fontId="5" type="noConversion"/>
  </si>
  <si>
    <t>기준학과1</t>
    <phoneticPr fontId="5" type="noConversion"/>
  </si>
  <si>
    <t>기준학과2</t>
    <phoneticPr fontId="9" type="noConversion"/>
  </si>
  <si>
    <t>학과</t>
    <phoneticPr fontId="5" type="noConversion"/>
  </si>
  <si>
    <t>과목</t>
    <phoneticPr fontId="9" type="noConversion"/>
  </si>
  <si>
    <t>1학년</t>
    <phoneticPr fontId="9" type="noConversion"/>
  </si>
  <si>
    <t>2학년</t>
    <phoneticPr fontId="9" type="noConversion"/>
  </si>
  <si>
    <t>3학년</t>
    <phoneticPr fontId="9" type="noConversion"/>
  </si>
  <si>
    <t>과정</t>
    <phoneticPr fontId="9" type="noConversion"/>
  </si>
  <si>
    <t>2학기</t>
    <phoneticPr fontId="9" type="noConversion"/>
  </si>
  <si>
    <t>동아리활동</t>
    <phoneticPr fontId="9" type="noConversion"/>
  </si>
  <si>
    <t>교과군</t>
    <phoneticPr fontId="5" type="noConversion"/>
  </si>
  <si>
    <t>교과군</t>
    <phoneticPr fontId="9" type="noConversion"/>
  </si>
  <si>
    <t>경영·금융</t>
    <phoneticPr fontId="9" type="noConversion"/>
  </si>
  <si>
    <t>보건·복지</t>
    <phoneticPr fontId="9" type="noConversion"/>
  </si>
  <si>
    <t>기계</t>
    <phoneticPr fontId="9" type="noConversion"/>
  </si>
  <si>
    <t>재료</t>
    <phoneticPr fontId="9" type="noConversion"/>
  </si>
  <si>
    <t>화학공업</t>
    <phoneticPr fontId="9" type="noConversion"/>
  </si>
  <si>
    <t>전기·전자</t>
    <phoneticPr fontId="9" type="noConversion"/>
  </si>
  <si>
    <t>정보·통신</t>
    <phoneticPr fontId="9" type="noConversion"/>
  </si>
  <si>
    <t>시·도</t>
    <phoneticPr fontId="9" type="noConversion"/>
  </si>
  <si>
    <t>서울</t>
    <phoneticPr fontId="9" type="noConversion"/>
  </si>
  <si>
    <t>부산</t>
    <phoneticPr fontId="9" type="noConversion"/>
  </si>
  <si>
    <t>대구</t>
    <phoneticPr fontId="9" type="noConversion"/>
  </si>
  <si>
    <t>인천</t>
    <phoneticPr fontId="9" type="noConversion"/>
  </si>
  <si>
    <t>광주</t>
    <phoneticPr fontId="9" type="noConversion"/>
  </si>
  <si>
    <t>대전</t>
    <phoneticPr fontId="9" type="noConversion"/>
  </si>
  <si>
    <t>울산</t>
    <phoneticPr fontId="9" type="noConversion"/>
  </si>
  <si>
    <t>세종</t>
    <phoneticPr fontId="9" type="noConversion"/>
  </si>
  <si>
    <t>경기</t>
    <phoneticPr fontId="9" type="noConversion"/>
  </si>
  <si>
    <t>강원</t>
    <phoneticPr fontId="9" type="noConversion"/>
  </si>
  <si>
    <t>충북</t>
    <phoneticPr fontId="9" type="noConversion"/>
  </si>
  <si>
    <t>충남</t>
    <phoneticPr fontId="9" type="noConversion"/>
  </si>
  <si>
    <t>전북</t>
    <phoneticPr fontId="9" type="noConversion"/>
  </si>
  <si>
    <t>전남</t>
    <phoneticPr fontId="9" type="noConversion"/>
  </si>
  <si>
    <t>경북</t>
    <phoneticPr fontId="9" type="noConversion"/>
  </si>
  <si>
    <t>경남</t>
    <phoneticPr fontId="9" type="noConversion"/>
  </si>
  <si>
    <t>제주</t>
    <phoneticPr fontId="9" type="noConversion"/>
  </si>
  <si>
    <t>기준학과1</t>
    <phoneticPr fontId="9" type="noConversion"/>
  </si>
  <si>
    <t>기준학과2</t>
    <phoneticPr fontId="9" type="noConversion"/>
  </si>
  <si>
    <t>유통과</t>
    <phoneticPr fontId="9" type="noConversion"/>
  </si>
  <si>
    <t>보육과</t>
    <phoneticPr fontId="9" type="noConversion"/>
  </si>
  <si>
    <t>디자인과</t>
    <phoneticPr fontId="9" type="noConversion"/>
  </si>
  <si>
    <t>문화콘텐츠과</t>
    <phoneticPr fontId="9" type="noConversion"/>
  </si>
  <si>
    <t>미용과</t>
    <phoneticPr fontId="9" type="noConversion"/>
  </si>
  <si>
    <t>토목과</t>
    <phoneticPr fontId="9" type="noConversion"/>
  </si>
  <si>
    <t>기계과</t>
    <phoneticPr fontId="9" type="noConversion"/>
  </si>
  <si>
    <t>자동차과</t>
    <phoneticPr fontId="9" type="noConversion"/>
  </si>
  <si>
    <t>조선과</t>
    <phoneticPr fontId="9" type="noConversion"/>
  </si>
  <si>
    <t>항공과</t>
    <phoneticPr fontId="9" type="noConversion"/>
  </si>
  <si>
    <t>금속재료과</t>
    <phoneticPr fontId="9" type="noConversion"/>
  </si>
  <si>
    <t>세라믹과</t>
    <phoneticPr fontId="9" type="noConversion"/>
  </si>
  <si>
    <t>화학공업과</t>
    <phoneticPr fontId="9" type="noConversion"/>
  </si>
  <si>
    <t>섬유과</t>
    <phoneticPr fontId="9" type="noConversion"/>
  </si>
  <si>
    <t>의류과</t>
    <phoneticPr fontId="9" type="noConversion"/>
  </si>
  <si>
    <t>전기과</t>
    <phoneticPr fontId="9" type="noConversion"/>
  </si>
  <si>
    <t>전자과</t>
    <phoneticPr fontId="9" type="noConversion"/>
  </si>
  <si>
    <t>정보컴퓨터과</t>
    <phoneticPr fontId="9" type="noConversion"/>
  </si>
  <si>
    <t>식품가공과</t>
    <phoneticPr fontId="9" type="noConversion"/>
  </si>
  <si>
    <t>공예과</t>
    <phoneticPr fontId="9" type="noConversion"/>
  </si>
  <si>
    <t>산업안전과</t>
    <phoneticPr fontId="9" type="noConversion"/>
  </si>
  <si>
    <t>농업과</t>
    <phoneticPr fontId="9" type="noConversion"/>
  </si>
  <si>
    <t>원예과</t>
    <phoneticPr fontId="9" type="noConversion"/>
  </si>
  <si>
    <t>산림자원과</t>
    <phoneticPr fontId="9" type="noConversion"/>
  </si>
  <si>
    <t>과정</t>
    <phoneticPr fontId="9" type="noConversion"/>
  </si>
  <si>
    <t>도제</t>
    <phoneticPr fontId="9" type="noConversion"/>
  </si>
  <si>
    <t>과정평가형</t>
    <phoneticPr fontId="9" type="noConversion"/>
  </si>
  <si>
    <t>교과(군)</t>
    <phoneticPr fontId="6" type="noConversion"/>
  </si>
  <si>
    <t>경제수학</t>
    <phoneticPr fontId="9" type="noConversion"/>
  </si>
  <si>
    <t>기준 단위</t>
    <phoneticPr fontId="6" type="noConversion"/>
  </si>
  <si>
    <t>일반</t>
    <phoneticPr fontId="9" type="noConversion"/>
  </si>
  <si>
    <t>1학기</t>
    <phoneticPr fontId="9" type="noConversion"/>
  </si>
  <si>
    <t>이수시간</t>
    <phoneticPr fontId="9" type="noConversion"/>
  </si>
  <si>
    <t>이수시간 
합계</t>
    <phoneticPr fontId="9" type="noConversion"/>
  </si>
  <si>
    <t>학과명</t>
    <phoneticPr fontId="9" type="noConversion"/>
  </si>
  <si>
    <t>인력양성유형</t>
    <phoneticPr fontId="9" type="noConversion"/>
  </si>
  <si>
    <t>학교명</t>
    <phoneticPr fontId="9" type="noConversion"/>
  </si>
  <si>
    <t>입학년도</t>
    <phoneticPr fontId="9" type="noConversion"/>
  </si>
  <si>
    <t>유의사항</t>
    <phoneticPr fontId="9" type="noConversion"/>
  </si>
  <si>
    <t>1. 능력단위명과 능력단위 코드는 정확하게 입력해주시기 바랍니다.</t>
    <phoneticPr fontId="9" type="noConversion"/>
  </si>
  <si>
    <t>정보·통신</t>
  </si>
  <si>
    <t>기준 
학점</t>
    <phoneticPr fontId="6" type="noConversion"/>
  </si>
  <si>
    <t>운영
가능
학점</t>
    <phoneticPr fontId="9" type="noConversion"/>
  </si>
  <si>
    <t>운영
학점</t>
    <phoneticPr fontId="6" type="noConversion"/>
  </si>
  <si>
    <t>이수
학점</t>
    <phoneticPr fontId="6" type="noConversion"/>
  </si>
  <si>
    <t>필수
이수
학점</t>
    <phoneticPr fontId="6" type="noConversion"/>
  </si>
  <si>
    <t>이수학점</t>
    <phoneticPr fontId="9" type="noConversion"/>
  </si>
  <si>
    <t>이수학점 
합계</t>
    <phoneticPr fontId="9" type="noConversion"/>
  </si>
  <si>
    <t>운영
학점</t>
    <phoneticPr fontId="9" type="noConversion"/>
  </si>
  <si>
    <t>훈련시간</t>
    <phoneticPr fontId="9" type="noConversion"/>
  </si>
  <si>
    <t>능력단위 수준</t>
    <phoneticPr fontId="9" type="noConversion"/>
  </si>
  <si>
    <t>담당자
연락처</t>
    <phoneticPr fontId="9" type="noConversion"/>
  </si>
  <si>
    <t>직</t>
    <phoneticPr fontId="9" type="noConversion"/>
  </si>
  <si>
    <t>내선번호</t>
    <phoneticPr fontId="9" type="noConversion"/>
  </si>
  <si>
    <t>교감</t>
    <phoneticPr fontId="9" type="noConversion"/>
  </si>
  <si>
    <t>교육과정부장</t>
    <phoneticPr fontId="9" type="noConversion"/>
  </si>
  <si>
    <t>교육과정담당</t>
    <phoneticPr fontId="9" type="noConversion"/>
  </si>
  <si>
    <t>학기별 이수학점</t>
    <phoneticPr fontId="9" type="noConversion"/>
  </si>
  <si>
    <t>실무과목 능력단위 편성표</t>
    <phoneticPr fontId="9" type="noConversion"/>
  </si>
  <si>
    <t>성명</t>
    <phoneticPr fontId="9" type="noConversion"/>
  </si>
  <si>
    <t>최소학점수</t>
    <phoneticPr fontId="9" type="noConversion"/>
  </si>
  <si>
    <t>전공
선택
(택1)</t>
    <phoneticPr fontId="9" type="noConversion"/>
  </si>
  <si>
    <t>교과최소학점</t>
  </si>
  <si>
    <t>창체최소학점</t>
  </si>
  <si>
    <t>문화예술디자인방송</t>
    <phoneticPr fontId="9" type="noConversion"/>
  </si>
  <si>
    <t>미용</t>
    <phoneticPr fontId="9" type="noConversion"/>
  </si>
  <si>
    <t>관광레저</t>
    <phoneticPr fontId="9" type="noConversion"/>
  </si>
  <si>
    <t>건축토목</t>
    <phoneticPr fontId="9" type="noConversion"/>
  </si>
  <si>
    <t>섬유의류</t>
    <phoneticPr fontId="9" type="noConversion"/>
  </si>
  <si>
    <t>환경안전소방</t>
    <phoneticPr fontId="9" type="noConversion"/>
  </si>
  <si>
    <t>농림수산</t>
    <phoneticPr fontId="9" type="noConversion"/>
  </si>
  <si>
    <t>수산해운</t>
    <phoneticPr fontId="9" type="noConversion"/>
  </si>
  <si>
    <t>식품조리</t>
    <phoneticPr fontId="9" type="noConversion"/>
  </si>
  <si>
    <t>융복합지식재산</t>
    <phoneticPr fontId="9" type="noConversion"/>
  </si>
  <si>
    <t>경영사무과</t>
    <phoneticPr fontId="9" type="noConversion"/>
  </si>
  <si>
    <t>세무회계과</t>
    <phoneticPr fontId="9" type="noConversion"/>
  </si>
  <si>
    <t>금융정보화</t>
    <phoneticPr fontId="9" type="noConversion"/>
  </si>
  <si>
    <t>마케팅과</t>
    <phoneticPr fontId="9" type="noConversion"/>
  </si>
  <si>
    <t>복지과</t>
    <phoneticPr fontId="9" type="noConversion"/>
  </si>
  <si>
    <t>간호과</t>
    <phoneticPr fontId="9" type="noConversion"/>
  </si>
  <si>
    <t>방송과</t>
    <phoneticPr fontId="9" type="noConversion"/>
  </si>
  <si>
    <t>관광과</t>
    <phoneticPr fontId="9" type="noConversion"/>
  </si>
  <si>
    <t>레저산업과</t>
    <phoneticPr fontId="9" type="noConversion"/>
  </si>
  <si>
    <t>조리과</t>
    <phoneticPr fontId="9" type="noConversion"/>
  </si>
  <si>
    <t>식음료과</t>
    <phoneticPr fontId="9" type="noConversion"/>
  </si>
  <si>
    <t>제과제빵과</t>
    <phoneticPr fontId="9" type="noConversion"/>
  </si>
  <si>
    <t>공간정보과</t>
    <phoneticPr fontId="9" type="noConversion"/>
  </si>
  <si>
    <t>건축과</t>
    <phoneticPr fontId="9" type="noConversion"/>
  </si>
  <si>
    <t>건축인테리어과</t>
    <phoneticPr fontId="9" type="noConversion"/>
  </si>
  <si>
    <t>스마트시트과</t>
    <phoneticPr fontId="9" type="noConversion"/>
  </si>
  <si>
    <t>공조산업설비과</t>
    <phoneticPr fontId="9" type="noConversion"/>
  </si>
  <si>
    <t>바이오화학공업과</t>
    <phoneticPr fontId="9" type="noConversion"/>
  </si>
  <si>
    <t>에너지화학공업과</t>
    <phoneticPr fontId="9" type="noConversion"/>
  </si>
  <si>
    <t>통신과</t>
    <phoneticPr fontId="9" type="noConversion"/>
  </si>
  <si>
    <t>소프트웨어과</t>
    <phoneticPr fontId="9" type="noConversion"/>
  </si>
  <si>
    <t>환경과</t>
    <phoneticPr fontId="9" type="noConversion"/>
  </si>
  <si>
    <t>소방과</t>
    <phoneticPr fontId="9" type="noConversion"/>
  </si>
  <si>
    <t>동물자원과</t>
    <phoneticPr fontId="9" type="noConversion"/>
  </si>
  <si>
    <t>농업기계과</t>
    <phoneticPr fontId="9" type="noConversion"/>
  </si>
  <si>
    <t>농업토목과</t>
    <phoneticPr fontId="9" type="noConversion"/>
  </si>
  <si>
    <t>족경과</t>
    <phoneticPr fontId="9" type="noConversion"/>
  </si>
  <si>
    <t>해양생산과</t>
    <phoneticPr fontId="9" type="noConversion"/>
  </si>
  <si>
    <t>수산양식과</t>
    <phoneticPr fontId="9" type="noConversion"/>
  </si>
  <si>
    <t>항해과</t>
    <phoneticPr fontId="9" type="noConversion"/>
  </si>
  <si>
    <t>해양레저과</t>
    <phoneticPr fontId="9" type="noConversion"/>
  </si>
  <si>
    <t>기관과</t>
    <phoneticPr fontId="9" type="noConversion"/>
  </si>
  <si>
    <t>스마트공장과</t>
    <phoneticPr fontId="9" type="noConversion"/>
  </si>
  <si>
    <t>발명특허과</t>
    <phoneticPr fontId="9" type="noConversion"/>
  </si>
  <si>
    <t>공통국어1</t>
  </si>
  <si>
    <t>공통국어1</t>
    <phoneticPr fontId="9" type="noConversion"/>
  </si>
  <si>
    <t>공통국어2</t>
    <phoneticPr fontId="9" type="noConversion"/>
  </si>
  <si>
    <t>화법과 언어</t>
  </si>
  <si>
    <t>화법과 언어</t>
    <phoneticPr fontId="9" type="noConversion"/>
  </si>
  <si>
    <t>독서와 작문</t>
    <phoneticPr fontId="9" type="noConversion"/>
  </si>
  <si>
    <t>주제탐구독서</t>
    <phoneticPr fontId="9" type="noConversion"/>
  </si>
  <si>
    <t>문학과 영상</t>
    <phoneticPr fontId="9" type="noConversion"/>
  </si>
  <si>
    <t>직무의사소통</t>
    <phoneticPr fontId="9" type="noConversion"/>
  </si>
  <si>
    <t>독서 토론과 글쓰기</t>
    <phoneticPr fontId="9" type="noConversion"/>
  </si>
  <si>
    <t>매체 의사소통</t>
    <phoneticPr fontId="9" type="noConversion"/>
  </si>
  <si>
    <t>언어생활 탐구</t>
    <phoneticPr fontId="9" type="noConversion"/>
  </si>
  <si>
    <t>융합</t>
    <phoneticPr fontId="9" type="noConversion"/>
  </si>
  <si>
    <t>공통수학1</t>
    <phoneticPr fontId="9" type="noConversion"/>
  </si>
  <si>
    <t>공통수학2</t>
  </si>
  <si>
    <t>공통수학2</t>
    <phoneticPr fontId="9" type="noConversion"/>
  </si>
  <si>
    <t>대수</t>
    <phoneticPr fontId="9" type="noConversion"/>
  </si>
  <si>
    <t>미적분 Ⅰ</t>
    <phoneticPr fontId="9" type="noConversion"/>
  </si>
  <si>
    <t>미적분 Ⅱ</t>
    <phoneticPr fontId="9" type="noConversion"/>
  </si>
  <si>
    <t>인공지능 수학</t>
    <phoneticPr fontId="9" type="noConversion"/>
  </si>
  <si>
    <t>공통영어1</t>
    <phoneticPr fontId="9" type="noConversion"/>
  </si>
  <si>
    <t>직무수학</t>
    <phoneticPr fontId="9" type="noConversion"/>
  </si>
  <si>
    <t>진로</t>
    <phoneticPr fontId="9" type="noConversion"/>
  </si>
  <si>
    <t>수학과 문화</t>
    <phoneticPr fontId="9" type="noConversion"/>
  </si>
  <si>
    <t>실용 통계</t>
    <phoneticPr fontId="9" type="noConversion"/>
  </si>
  <si>
    <t>수학과제 탐구</t>
    <phoneticPr fontId="9" type="noConversion"/>
  </si>
  <si>
    <t>공통영어2</t>
    <phoneticPr fontId="9" type="noConversion"/>
  </si>
  <si>
    <t>영어 발표와 토론</t>
    <phoneticPr fontId="9" type="noConversion"/>
  </si>
  <si>
    <t>직무영어</t>
    <phoneticPr fontId="9" type="noConversion"/>
  </si>
  <si>
    <t>심화영어</t>
    <phoneticPr fontId="9" type="noConversion"/>
  </si>
  <si>
    <t>심화 영어 독해와 작문</t>
    <phoneticPr fontId="9" type="noConversion"/>
  </si>
  <si>
    <t>실생활 영어 회화</t>
    <phoneticPr fontId="9" type="noConversion"/>
  </si>
  <si>
    <t>미디어 영어</t>
    <phoneticPr fontId="9" type="noConversion"/>
  </si>
  <si>
    <t>세계 문화와 영어</t>
    <phoneticPr fontId="9" type="noConversion"/>
  </si>
  <si>
    <t>한국사1</t>
    <phoneticPr fontId="9" type="noConversion"/>
  </si>
  <si>
    <t>한국사2</t>
    <phoneticPr fontId="9" type="noConversion"/>
  </si>
  <si>
    <t>공통</t>
    <phoneticPr fontId="9" type="noConversion"/>
  </si>
  <si>
    <t>통합사회1</t>
    <phoneticPr fontId="9" type="noConversion"/>
  </si>
  <si>
    <t>통합사회2</t>
    <phoneticPr fontId="9" type="noConversion"/>
  </si>
  <si>
    <t>한국지리 탐구</t>
    <phoneticPr fontId="9" type="noConversion"/>
  </si>
  <si>
    <t>도시의 미래 탐구</t>
    <phoneticPr fontId="9" type="noConversion"/>
  </si>
  <si>
    <t>동아시아 주제 탐구</t>
    <phoneticPr fontId="9" type="noConversion"/>
  </si>
  <si>
    <t>정치</t>
    <phoneticPr fontId="9" type="noConversion"/>
  </si>
  <si>
    <t>법과 사회</t>
    <phoneticPr fontId="9" type="noConversion"/>
  </si>
  <si>
    <t>인문학과 윤리</t>
    <phoneticPr fontId="9" type="noConversion"/>
  </si>
  <si>
    <t>국제 관계의 이해</t>
    <phoneticPr fontId="9" type="noConversion"/>
  </si>
  <si>
    <t>역사로 탐구하는 현대세계</t>
    <phoneticPr fontId="9" type="noConversion"/>
  </si>
  <si>
    <t>금융과 경제생활</t>
    <phoneticPr fontId="9" type="noConversion"/>
  </si>
  <si>
    <t>윤리문제 탐구</t>
    <phoneticPr fontId="9" type="noConversion"/>
  </si>
  <si>
    <t>기후 변화와 지속가능한 세계</t>
    <phoneticPr fontId="9" type="noConversion"/>
  </si>
  <si>
    <t>세계시민과 지리</t>
    <phoneticPr fontId="9" type="noConversion"/>
  </si>
  <si>
    <t>세계사</t>
    <phoneticPr fontId="9" type="noConversion"/>
  </si>
  <si>
    <t>사회와 문화</t>
    <phoneticPr fontId="9" type="noConversion"/>
  </si>
  <si>
    <t>현대사회와 윤리</t>
    <phoneticPr fontId="9" type="noConversion"/>
  </si>
  <si>
    <t>일반</t>
    <phoneticPr fontId="9" type="noConversion"/>
  </si>
  <si>
    <t>통합과학1</t>
    <phoneticPr fontId="9" type="noConversion"/>
  </si>
  <si>
    <t>통합과학2</t>
    <phoneticPr fontId="9" type="noConversion"/>
  </si>
  <si>
    <t>과학탐구실험1</t>
    <phoneticPr fontId="9" type="noConversion"/>
  </si>
  <si>
    <t>과학탐구실험2</t>
    <phoneticPr fontId="9" type="noConversion"/>
  </si>
  <si>
    <t>물리학</t>
    <phoneticPr fontId="9" type="noConversion"/>
  </si>
  <si>
    <t>화학</t>
    <phoneticPr fontId="9" type="noConversion"/>
  </si>
  <si>
    <t>생명과학</t>
    <phoneticPr fontId="9" type="noConversion"/>
  </si>
  <si>
    <t>지구과학</t>
    <phoneticPr fontId="9" type="noConversion"/>
  </si>
  <si>
    <t>역학과 에너지</t>
    <phoneticPr fontId="9" type="noConversion"/>
  </si>
  <si>
    <t>전자기와 빛</t>
    <phoneticPr fontId="9" type="noConversion"/>
  </si>
  <si>
    <t>물질과 에너지</t>
    <phoneticPr fontId="9" type="noConversion"/>
  </si>
  <si>
    <t>화학반응의 세계</t>
    <phoneticPr fontId="9" type="noConversion"/>
  </si>
  <si>
    <t>세포와 물질대사</t>
    <phoneticPr fontId="9" type="noConversion"/>
  </si>
  <si>
    <t>생물의 유전</t>
    <phoneticPr fontId="9" type="noConversion"/>
  </si>
  <si>
    <t>지구시스템과학</t>
    <phoneticPr fontId="9" type="noConversion"/>
  </si>
  <si>
    <t>행성우주과학</t>
    <phoneticPr fontId="9" type="noConversion"/>
  </si>
  <si>
    <t>과학의 역사와 문화</t>
    <phoneticPr fontId="9" type="noConversion"/>
  </si>
  <si>
    <t>기후 변화와 환경생태</t>
    <phoneticPr fontId="9" type="noConversion"/>
  </si>
  <si>
    <t>융합과학 탐구</t>
    <phoneticPr fontId="9" type="noConversion"/>
  </si>
  <si>
    <t>융합</t>
    <phoneticPr fontId="9" type="noConversion"/>
  </si>
  <si>
    <t>체육 Ⅰ</t>
    <phoneticPr fontId="9" type="noConversion"/>
  </si>
  <si>
    <t>운동과 건강 Ⅰ</t>
    <phoneticPr fontId="9" type="noConversion"/>
  </si>
  <si>
    <t>체육Ⅱ</t>
    <phoneticPr fontId="9" type="noConversion"/>
  </si>
  <si>
    <t>운동과 건강Ⅱ</t>
    <phoneticPr fontId="9" type="noConversion"/>
  </si>
  <si>
    <t>스프츠생활</t>
    <phoneticPr fontId="9" type="noConversion"/>
  </si>
  <si>
    <t>스포츠 활동과 분석</t>
    <phoneticPr fontId="9" type="noConversion"/>
  </si>
  <si>
    <t>음악 연주와 창작</t>
    <phoneticPr fontId="9" type="noConversion"/>
  </si>
  <si>
    <t>음악 감상과 비평</t>
    <phoneticPr fontId="9" type="noConversion"/>
  </si>
  <si>
    <t>미술 창작</t>
    <phoneticPr fontId="9" type="noConversion"/>
  </si>
  <si>
    <t>미술 감상과 비평</t>
    <phoneticPr fontId="9" type="noConversion"/>
  </si>
  <si>
    <t>음악과 미디어</t>
    <phoneticPr fontId="9" type="noConversion"/>
  </si>
  <si>
    <t>미술과 매체</t>
    <phoneticPr fontId="9" type="noConversion"/>
  </si>
  <si>
    <t>로봇과 공학세계</t>
    <phoneticPr fontId="9" type="noConversion"/>
  </si>
  <si>
    <t>가족과 가정생활</t>
    <phoneticPr fontId="9" type="noConversion"/>
  </si>
  <si>
    <t>인공지능 기초</t>
    <phoneticPr fontId="9" type="noConversion"/>
  </si>
  <si>
    <t>데이터 과학</t>
    <phoneticPr fontId="9" type="noConversion"/>
  </si>
  <si>
    <t>창의 공학 설계</t>
    <phoneticPr fontId="9" type="noConversion"/>
  </si>
  <si>
    <t>지식 재산 일반</t>
    <phoneticPr fontId="9" type="noConversion"/>
  </si>
  <si>
    <t>생애 설계와 자립</t>
    <phoneticPr fontId="9" type="noConversion"/>
  </si>
  <si>
    <t>아동발달과 부모</t>
    <phoneticPr fontId="9" type="noConversion"/>
  </si>
  <si>
    <t>소프트웨워와 생활</t>
    <phoneticPr fontId="9" type="noConversion"/>
  </si>
  <si>
    <t>독일어</t>
    <phoneticPr fontId="9" type="noConversion"/>
  </si>
  <si>
    <t>프랑스어</t>
    <phoneticPr fontId="9" type="noConversion"/>
  </si>
  <si>
    <t>스페인어</t>
    <phoneticPr fontId="9" type="noConversion"/>
  </si>
  <si>
    <t>중국어</t>
    <phoneticPr fontId="9" type="noConversion"/>
  </si>
  <si>
    <t>일본어</t>
    <phoneticPr fontId="9" type="noConversion"/>
  </si>
  <si>
    <t>러시아어</t>
    <phoneticPr fontId="9" type="noConversion"/>
  </si>
  <si>
    <t>아랍어</t>
    <phoneticPr fontId="9" type="noConversion"/>
  </si>
  <si>
    <t>베트남어</t>
    <phoneticPr fontId="9" type="noConversion"/>
  </si>
  <si>
    <t>독일어 회화</t>
    <phoneticPr fontId="9" type="noConversion"/>
  </si>
  <si>
    <t>프랑스어 회화</t>
    <phoneticPr fontId="9" type="noConversion"/>
  </si>
  <si>
    <t>스페인어 회화</t>
    <phoneticPr fontId="9" type="noConversion"/>
  </si>
  <si>
    <t>중국어 회화</t>
    <phoneticPr fontId="9" type="noConversion"/>
  </si>
  <si>
    <t>일본어 회화</t>
    <phoneticPr fontId="9" type="noConversion"/>
  </si>
  <si>
    <t>러시아어 회화</t>
    <phoneticPr fontId="9" type="noConversion"/>
  </si>
  <si>
    <t>아랍어 회화</t>
    <phoneticPr fontId="9" type="noConversion"/>
  </si>
  <si>
    <t>베트남어 회화</t>
    <phoneticPr fontId="9" type="noConversion"/>
  </si>
  <si>
    <t>심화 독일어</t>
    <phoneticPr fontId="9" type="noConversion"/>
  </si>
  <si>
    <t>심화 프랑스어</t>
    <phoneticPr fontId="9" type="noConversion"/>
  </si>
  <si>
    <t>심화 일본어</t>
    <phoneticPr fontId="9" type="noConversion"/>
  </si>
  <si>
    <t>심화 중국어</t>
    <phoneticPr fontId="9" type="noConversion"/>
  </si>
  <si>
    <t>심화 러시아어</t>
    <phoneticPr fontId="9" type="noConversion"/>
  </si>
  <si>
    <t>심화 아랍어</t>
    <phoneticPr fontId="9" type="noConversion"/>
  </si>
  <si>
    <t>심화 베트남어</t>
    <phoneticPr fontId="9" type="noConversion"/>
  </si>
  <si>
    <t>심화 한문</t>
    <phoneticPr fontId="9" type="noConversion"/>
  </si>
  <si>
    <t>한문</t>
    <phoneticPr fontId="9" type="noConversion"/>
  </si>
  <si>
    <t>보통교과</t>
  </si>
  <si>
    <t>독일어권 문화</t>
    <phoneticPr fontId="9" type="noConversion"/>
  </si>
  <si>
    <t>프랑스어권 문화</t>
    <phoneticPr fontId="9" type="noConversion"/>
  </si>
  <si>
    <t>스페인어권 문화</t>
    <phoneticPr fontId="9" type="noConversion"/>
  </si>
  <si>
    <t>중국 문화</t>
    <phoneticPr fontId="9" type="noConversion"/>
  </si>
  <si>
    <t>일본 문화</t>
    <phoneticPr fontId="9" type="noConversion"/>
  </si>
  <si>
    <t>러시아 문화</t>
    <phoneticPr fontId="9" type="noConversion"/>
  </si>
  <si>
    <t>아랍 문화</t>
    <phoneticPr fontId="9" type="noConversion"/>
  </si>
  <si>
    <t>베트남 문화</t>
    <phoneticPr fontId="9" type="noConversion"/>
  </si>
  <si>
    <t>생태와 환경</t>
    <phoneticPr fontId="9" type="noConversion"/>
  </si>
  <si>
    <t>인간과 철학</t>
    <phoneticPr fontId="9" type="noConversion"/>
  </si>
  <si>
    <t>논리와 사고</t>
    <phoneticPr fontId="9" type="noConversion"/>
  </si>
  <si>
    <t>인간과 심리</t>
    <phoneticPr fontId="9" type="noConversion"/>
  </si>
  <si>
    <t>교육의 이해</t>
    <phoneticPr fontId="9" type="noConversion"/>
  </si>
  <si>
    <t>삶과 종료</t>
    <phoneticPr fontId="9" type="noConversion"/>
  </si>
  <si>
    <t>인간과 경제활동</t>
    <phoneticPr fontId="9" type="noConversion"/>
  </si>
  <si>
    <t>보통</t>
    <phoneticPr fontId="6" type="noConversion"/>
  </si>
  <si>
    <t>3~4</t>
    <phoneticPr fontId="9" type="noConversion"/>
  </si>
  <si>
    <t>진로선택</t>
    <phoneticPr fontId="9" type="noConversion"/>
  </si>
  <si>
    <t>직무 의사소통</t>
    <phoneticPr fontId="9" type="noConversion"/>
  </si>
  <si>
    <t>3~5</t>
    <phoneticPr fontId="9" type="noConversion"/>
  </si>
  <si>
    <t>직무 수학</t>
    <phoneticPr fontId="9" type="noConversion"/>
  </si>
  <si>
    <t>직무 영어</t>
    <phoneticPr fontId="9" type="noConversion"/>
  </si>
  <si>
    <t>사회(역사/도덕 포함)</t>
    <phoneticPr fontId="9" type="noConversion"/>
  </si>
  <si>
    <t>융합선택</t>
    <phoneticPr fontId="9" type="noConversion"/>
  </si>
  <si>
    <t>일반선택</t>
    <phoneticPr fontId="9" type="noConversion"/>
  </si>
  <si>
    <t>체육1</t>
    <phoneticPr fontId="9" type="noConversion"/>
  </si>
  <si>
    <t>2~4</t>
    <phoneticPr fontId="9" type="noConversion"/>
  </si>
  <si>
    <t>체육2</t>
    <phoneticPr fontId="9" type="noConversion"/>
  </si>
  <si>
    <t>스포츠 생활1</t>
    <phoneticPr fontId="9" type="noConversion"/>
  </si>
  <si>
    <t>1~2</t>
    <phoneticPr fontId="9" type="noConversion"/>
  </si>
  <si>
    <t>기술·가정/정보/제2외국어/한문/교양</t>
    <phoneticPr fontId="9" type="noConversion"/>
  </si>
  <si>
    <t>전문</t>
    <phoneticPr fontId="9" type="noConversion"/>
  </si>
  <si>
    <t>전문공통</t>
    <phoneticPr fontId="9" type="noConversion"/>
  </si>
  <si>
    <t>전공일반</t>
    <phoneticPr fontId="9" type="noConversion"/>
  </si>
  <si>
    <t>전공실무</t>
    <phoneticPr fontId="9" type="noConversion"/>
  </si>
  <si>
    <t>디자인 일반</t>
    <phoneticPr fontId="9" type="noConversion"/>
  </si>
  <si>
    <r>
      <t>자율</t>
    </r>
    <r>
      <rPr>
        <sz val="10"/>
        <rFont val="맑은 고딕"/>
        <family val="3"/>
        <charset val="129"/>
      </rPr>
      <t>〮</t>
    </r>
    <r>
      <rPr>
        <sz val="10"/>
        <rFont val="맑은 고딕"/>
        <family val="3"/>
        <charset val="129"/>
        <scheme val="minor"/>
      </rPr>
      <t>자치활동</t>
    </r>
    <phoneticPr fontId="9" type="noConversion"/>
  </si>
  <si>
    <t>시도명</t>
    <phoneticPr fontId="9" type="noConversion"/>
  </si>
  <si>
    <t>합계</t>
    <phoneticPr fontId="9" type="noConversion"/>
  </si>
  <si>
    <t>총이수 합계</t>
    <phoneticPr fontId="9" type="noConversion"/>
  </si>
  <si>
    <t>창의적체험활동</t>
    <phoneticPr fontId="9" type="noConversion"/>
  </si>
  <si>
    <t>3~4</t>
  </si>
  <si>
    <t>3↑</t>
    <phoneticPr fontId="9" type="noConversion"/>
  </si>
  <si>
    <t>3~5</t>
  </si>
  <si>
    <t>2~4</t>
  </si>
  <si>
    <r>
      <t xml:space="preserve">  2022 개정 직업계고 교육과정 편성</t>
    </r>
    <r>
      <rPr>
        <b/>
        <sz val="24"/>
        <color theme="4" tint="-0.249977111117893"/>
        <rFont val="Arial"/>
        <family val="2"/>
      </rPr>
      <t>‧</t>
    </r>
    <r>
      <rPr>
        <b/>
        <sz val="24"/>
        <color theme="4" tint="-0.249977111117893"/>
        <rFont val="맑은 고딕"/>
        <family val="3"/>
        <charset val="129"/>
      </rPr>
      <t xml:space="preserve">운영 기준 비교 </t>
    </r>
  </si>
  <si>
    <t>구분</t>
  </si>
  <si>
    <t>2015 개정 교육과정</t>
  </si>
  <si>
    <t>2022 개정 교육과정</t>
  </si>
  <si>
    <t>3년간
이수 학점</t>
    <phoneticPr fontId="9" type="noConversion"/>
  </si>
  <si>
    <t xml:space="preserve"> • 192학점[창체 18학점(288시간) 포함]</t>
    <phoneticPr fontId="9" type="noConversion"/>
  </si>
  <si>
    <t>보통교과 필수 이수 학점</t>
  </si>
  <si>
    <t>66학점</t>
  </si>
  <si>
    <t>64학점</t>
  </si>
  <si>
    <t>전문교과 필수 이수 학점</t>
  </si>
  <si>
    <t>86학점</t>
  </si>
  <si>
    <t>80학점</t>
  </si>
  <si>
    <t>자율 이수 학점</t>
  </si>
  <si>
    <t>22학점</t>
  </si>
  <si>
    <t>30학점</t>
  </si>
  <si>
    <t>창의적 체험활동</t>
  </si>
  <si>
    <t>18학점</t>
  </si>
  <si>
    <t>교과분류</t>
    <phoneticPr fontId="9" type="noConversion"/>
  </si>
  <si>
    <t>공통 과목, 선택 과목(일반, 진로)</t>
    <phoneticPr fontId="9" type="noConversion"/>
  </si>
  <si>
    <t>공통 과목
선택 과목(일반, 진로, 융합)</t>
    <phoneticPr fontId="9" type="noConversion"/>
  </si>
  <si>
    <t>전문교과 Ⅰ</t>
  </si>
  <si>
    <t>과학, 체육, 예술, 외국어, 국제 계열</t>
    <phoneticPr fontId="9" type="noConversion"/>
  </si>
  <si>
    <t>전문교과 Ⅱ</t>
  </si>
  <si>
    <t>NCS 기반 17개 교과(군)</t>
  </si>
  <si>
    <t>전문교과</t>
  </si>
  <si>
    <t>과목군 재구조화</t>
    <phoneticPr fontId="9" type="noConversion"/>
  </si>
  <si>
    <t>전문 공통 과목</t>
  </si>
  <si>
    <t>3 (+2)</t>
  </si>
  <si>
    <t>기초 과목</t>
  </si>
  <si>
    <t>전공 일반 과목</t>
  </si>
  <si>
    <t>216 (+37)</t>
  </si>
  <si>
    <t>실무 과목</t>
  </si>
  <si>
    <t>전공 실무 과목</t>
  </si>
  <si>
    <t>309 (-59)</t>
  </si>
  <si>
    <t>소계</t>
  </si>
  <si>
    <t>528 (-20)</t>
  </si>
  <si>
    <t>학점
배당
기준</t>
    <phoneticPr fontId="9" type="noConversion"/>
  </si>
  <si>
    <t>교과 영역</t>
  </si>
  <si>
    <t>교과
(군)</t>
  </si>
  <si>
    <t>공통 과목
(학점)</t>
  </si>
  <si>
    <t>필수 이수 학점</t>
  </si>
  <si>
    <t>공통 과목</t>
  </si>
  <si>
    <t>보통
교과</t>
  </si>
  <si>
    <t>기초</t>
  </si>
  <si>
    <t>국어</t>
  </si>
  <si>
    <t>국어(8)</t>
  </si>
  <si>
    <t>보통 교과</t>
  </si>
  <si>
    <t>공통국어1, 2</t>
  </si>
  <si>
    <t>수학</t>
  </si>
  <si>
    <t>수학(8)</t>
  </si>
  <si>
    <t>공통수학1, 2</t>
  </si>
  <si>
    <t>영어</t>
  </si>
  <si>
    <t>영어(8)</t>
  </si>
  <si>
    <t>공통영어1, 2</t>
  </si>
  <si>
    <t>한국사</t>
  </si>
  <si>
    <t>한국사(6)</t>
  </si>
  <si>
    <t>사회
(역사/도덕 포함)</t>
  </si>
  <si>
    <t>한국사1, 2</t>
  </si>
  <si>
    <t>탐구</t>
  </si>
  <si>
    <t>통합사회(8)</t>
  </si>
  <si>
    <t>통합사회1, 2</t>
  </si>
  <si>
    <t>과학</t>
  </si>
  <si>
    <t>통합과학(8)</t>
  </si>
  <si>
    <t>통합과학1, 2</t>
  </si>
  <si>
    <r>
      <t>체육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예술</t>
    </r>
  </si>
  <si>
    <t>체육</t>
  </si>
  <si>
    <t>예술</t>
  </si>
  <si>
    <r>
      <t>생활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</si>
  <si>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
제2외국어/
한문/교양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</si>
  <si>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가정/정보/
 제2외국어/
 한문/교양</t>
    </r>
  </si>
  <si>
    <t>전문
교과Ⅱ</t>
  </si>
  <si>
    <t>17개 교과(군) 등</t>
  </si>
  <si>
    <t>전문
교과</t>
  </si>
  <si>
    <t>17개 교과(군)</t>
  </si>
  <si>
    <t>총 이수 학점</t>
  </si>
  <si>
    <t>선택
과목</t>
  </si>
  <si>
    <t>• 일반 선택, 진로 선택</t>
  </si>
  <si>
    <t>• 일반 선택, 진로 선택, 융합 선택</t>
  </si>
  <si>
    <t>※ 진로 선택: 실용 국어, 실용 영어, 실용 수학</t>
  </si>
  <si>
    <t>※ 진로 선택: 직무 의사소통, 직무 수학, 직무 영어</t>
  </si>
  <si>
    <t>전문
교과</t>
    <phoneticPr fontId="9" type="noConversion"/>
  </si>
  <si>
    <t>• 전문교과 Ⅰ(특목고) - 내용 생략</t>
  </si>
  <si>
    <t>• 전문교과(직업계고)</t>
  </si>
  <si>
    <t>• 전문교과 Ⅱ(직업계고)</t>
  </si>
  <si>
    <t>내용</t>
  </si>
  <si>
    <t>필수이수학점</t>
    <phoneticPr fontId="9" type="noConversion"/>
  </si>
  <si>
    <t>필수이수학점</t>
  </si>
  <si>
    <t>전문공통과목</t>
  </si>
  <si>
    <t>성공적인직업생활</t>
    <phoneticPr fontId="9" type="noConversion"/>
  </si>
  <si>
    <t>성공적인직업생활
노동인권과산업안전보건
디지털과직업생활</t>
  </si>
  <si>
    <t>기초과목</t>
  </si>
  <si>
    <t>전공일반과목</t>
  </si>
  <si>
    <t>실무과목</t>
  </si>
  <si>
    <t>전공실무과목</t>
  </si>
  <si>
    <t>이수
학점
증감
범위</t>
    <phoneticPr fontId="9" type="noConversion"/>
  </si>
  <si>
    <t>기준학점</t>
  </si>
  <si>
    <t>증감</t>
  </si>
  <si>
    <t>편성가능
학점</t>
    <phoneticPr fontId="9" type="noConversion"/>
  </si>
  <si>
    <t>편성가능
학점</t>
  </si>
  <si>
    <t>공통과목</t>
  </si>
  <si>
    <t>6~8</t>
  </si>
  <si>
    <t>한국사
(2학기 이상 편성)</t>
  </si>
  <si>
    <t>6이상</t>
  </si>
  <si>
    <t>한국사 1, 2</t>
  </si>
  <si>
    <t>일반선택과목</t>
  </si>
  <si>
    <t>±2</t>
  </si>
  <si>
    <t>3~7</t>
  </si>
  <si>
    <t>선택과목</t>
  </si>
  <si>
    <t>±1</t>
  </si>
  <si>
    <t>진로선택과목</t>
  </si>
  <si>
    <t>±3</t>
  </si>
  <si>
    <t>2~8</t>
  </si>
  <si>
    <t>체육, 예술, 교양 교과(군)</t>
  </si>
  <si>
    <t>교양 교과목</t>
  </si>
  <si>
    <t>2학점 이상</t>
  </si>
  <si>
    <t>※ 체육교과: 매학기 편성(단, 직업계의 경우, 현장실습이 있는 학년에는 탄력적으로 운영)</t>
  </si>
  <si>
    <t>"※ 체육교과: 매학기 편성(단, 직업계의 경우, 현장실습이 있는 학년에는 탄력적으로 운영)"</t>
    <phoneticPr fontId="9" type="noConversion"/>
  </si>
  <si>
    <t>학기별
이수
과목
편성</t>
    <phoneticPr fontId="9" type="noConversion"/>
  </si>
  <si>
    <t>모든 과목은 학기 단위로 이수</t>
  </si>
  <si>
    <t>&lt;보통교과&gt;</t>
  </si>
  <si>
    <t>편성 불가</t>
  </si>
  <si>
    <t>편성 가능</t>
  </si>
  <si>
    <t>2학기</t>
  </si>
  <si>
    <t>&lt;전문교과&gt;</t>
  </si>
  <si>
    <t>전공실무과목</t>
    <phoneticPr fontId="9" type="noConversion"/>
  </si>
  <si>
    <t>-</t>
  </si>
  <si>
    <t>※  단, 전공실무과목은 하나의 능력 단위가 다음 학기에 이어서 평가하지 않는다는 전제하에 2개 학기 편성·운영 가능</t>
    <phoneticPr fontId="9" type="noConversion"/>
  </si>
  <si>
    <t>창의적
체험
활동</t>
    <phoneticPr fontId="9" type="noConversion"/>
  </si>
  <si>
    <t>• 4개 영역: 자율활동, 동아리 활동, 봉사활동, 진로 활동</t>
  </si>
  <si>
    <r>
      <t xml:space="preserve"> • 3개 영역: 자율</t>
    </r>
    <r>
      <rPr>
        <sz val="10"/>
        <color theme="1"/>
        <rFont val="Arial"/>
        <family val="2"/>
      </rPr>
      <t>・</t>
    </r>
    <r>
      <rPr>
        <sz val="10"/>
        <color theme="1"/>
        <rFont val="맑은 고딕"/>
        <family val="3"/>
        <charset val="129"/>
      </rPr>
      <t>자치활동, 동아리활동, 진로활동</t>
    </r>
  </si>
  <si>
    <t>※ 봉사활동은 동아리활동 영역에 편성되어 있으며, 모든 활동과 연계 가능</t>
  </si>
  <si>
    <t>이수학점 편성 범위</t>
    <phoneticPr fontId="9" type="noConversion"/>
  </si>
  <si>
    <t>공통과목</t>
    <phoneticPr fontId="9" type="noConversion"/>
  </si>
  <si>
    <t>한국사 1,2</t>
    <phoneticPr fontId="9" type="noConversion"/>
  </si>
  <si>
    <t>선택과목</t>
    <phoneticPr fontId="9" type="noConversion"/>
  </si>
  <si>
    <t>체육, 예술, 교양 교과군</t>
    <phoneticPr fontId="9" type="noConversion"/>
  </si>
  <si>
    <t>전문교과</t>
    <phoneticPr fontId="9" type="noConversion"/>
  </si>
  <si>
    <t>기준학점</t>
    <phoneticPr fontId="9" type="noConversion"/>
  </si>
  <si>
    <t>증감</t>
    <phoneticPr fontId="9" type="noConversion"/>
  </si>
  <si>
    <t>편성가능 학점</t>
    <phoneticPr fontId="9" type="noConversion"/>
  </si>
  <si>
    <t>±1</t>
    <phoneticPr fontId="9" type="noConversion"/>
  </si>
  <si>
    <t>충남</t>
  </si>
  <si>
    <t>학교장</t>
    <phoneticPr fontId="9" type="noConversion"/>
  </si>
  <si>
    <t>2027학년도 교육과정 편제 및 학점배당표(마이스터고/특성화고)</t>
    <phoneticPr fontId="9" type="noConversion"/>
  </si>
  <si>
    <t>천안상업고등학교</t>
    <phoneticPr fontId="9" type="noConversion"/>
  </si>
  <si>
    <t>경영·금융</t>
  </si>
  <si>
    <t>유통과</t>
  </si>
  <si>
    <t>경영사무과</t>
  </si>
  <si>
    <t>스마트경영</t>
    <phoneticPr fontId="9" type="noConversion"/>
  </si>
  <si>
    <r>
      <t xml:space="preserve">경영지원사무원
</t>
    </r>
    <r>
      <rPr>
        <sz val="6.5"/>
        <color theme="1"/>
        <rFont val="맑은 고딕"/>
        <family val="3"/>
        <charset val="129"/>
        <scheme val="minor"/>
      </rPr>
      <t>생산·물류관리사무원</t>
    </r>
    <phoneticPr fontId="9" type="noConversion"/>
  </si>
  <si>
    <t>이태우</t>
  </si>
  <si>
    <t>041-413-6501</t>
    <phoneticPr fontId="9" type="noConversion"/>
  </si>
  <si>
    <t>이홍우</t>
  </si>
  <si>
    <t>041-413-6504</t>
  </si>
  <si>
    <t>김보람</t>
  </si>
  <si>
    <t>041-413-6505</t>
  </si>
  <si>
    <t>일반선택</t>
  </si>
  <si>
    <t>일반선택</t>
    <phoneticPr fontId="9" type="noConversion"/>
  </si>
  <si>
    <t>진로선택</t>
    <phoneticPr fontId="9" type="noConversion"/>
  </si>
  <si>
    <t>운동과 건강</t>
    <phoneticPr fontId="9" type="noConversion"/>
  </si>
  <si>
    <t>1, 2학기교차</t>
    <phoneticPr fontId="9" type="noConversion"/>
  </si>
  <si>
    <t xml:space="preserve"> </t>
    <phoneticPr fontId="9" type="noConversion"/>
  </si>
  <si>
    <t>삶과 종교</t>
    <phoneticPr fontId="9" type="noConversion"/>
  </si>
  <si>
    <t>디지털과 직업 생활</t>
    <phoneticPr fontId="9" type="noConversion"/>
  </si>
  <si>
    <t>성공적인 직업 생활</t>
    <phoneticPr fontId="9" type="noConversion"/>
  </si>
  <si>
    <t>상업 경제</t>
    <phoneticPr fontId="5" type="noConversion"/>
  </si>
  <si>
    <t>사무 관리</t>
    <phoneticPr fontId="5" type="noConversion"/>
  </si>
  <si>
    <t>회계 원리</t>
    <phoneticPr fontId="9" type="noConversion"/>
  </si>
  <si>
    <t>기업과 경영</t>
    <phoneticPr fontId="9" type="noConversion"/>
  </si>
  <si>
    <t>마케팅과 광고</t>
    <phoneticPr fontId="9" type="noConversion"/>
  </si>
  <si>
    <t>유통 관리</t>
    <phoneticPr fontId="9" type="noConversion"/>
  </si>
  <si>
    <t>사무 행정</t>
    <phoneticPr fontId="9" type="noConversion"/>
  </si>
  <si>
    <t>전공일반</t>
    <phoneticPr fontId="9" type="noConversion"/>
  </si>
  <si>
    <t>창업일반</t>
    <phoneticPr fontId="9" type="noConversion"/>
  </si>
  <si>
    <t>비즈니스 커뮤니케이션</t>
    <phoneticPr fontId="9" type="noConversion"/>
  </si>
  <si>
    <t>무역 영어</t>
    <phoneticPr fontId="9" type="noConversion"/>
  </si>
  <si>
    <t>★IT마케팅</t>
    <phoneticPr fontId="9" type="noConversion"/>
  </si>
  <si>
    <t>경영·금융</t>
    <phoneticPr fontId="5" type="noConversion"/>
  </si>
  <si>
    <t>전공실무</t>
    <phoneticPr fontId="5" type="noConversion"/>
  </si>
  <si>
    <t>인사</t>
    <phoneticPr fontId="5" type="noConversion"/>
  </si>
  <si>
    <t>자재 관리</t>
    <phoneticPr fontId="9" type="noConversion"/>
  </si>
  <si>
    <r>
      <t>★지게차 운용ㆍ</t>
    </r>
    <r>
      <rPr>
        <sz val="10"/>
        <color theme="1"/>
        <rFont val="Tahoma"/>
        <family val="3"/>
        <charset val="1"/>
      </rPr>
      <t>․</t>
    </r>
    <r>
      <rPr>
        <sz val="10"/>
        <color theme="1"/>
        <rFont val="맑은 고딕"/>
        <family val="3"/>
        <charset val="129"/>
        <scheme val="minor"/>
      </rPr>
      <t>조종</t>
    </r>
    <phoneticPr fontId="9" type="noConversion"/>
  </si>
  <si>
    <t>경영지원사무원</t>
    <phoneticPr fontId="9" type="noConversion"/>
  </si>
  <si>
    <t>생산·물류관리사무원</t>
    <phoneticPr fontId="9" type="noConversion"/>
  </si>
  <si>
    <t>고객 관리</t>
    <phoneticPr fontId="9" type="noConversion"/>
  </si>
  <si>
    <t>매장 판매</t>
    <phoneticPr fontId="9" type="noConversion"/>
  </si>
  <si>
    <t>물류 관리</t>
    <phoneticPr fontId="9" type="noConversion"/>
  </si>
  <si>
    <t>★스마트물류 통합관리</t>
    <phoneticPr fontId="9" type="noConversion"/>
  </si>
  <si>
    <t>소프트웨어과</t>
  </si>
  <si>
    <t>정보컴퓨터과</t>
  </si>
  <si>
    <t>소프트웨어개발</t>
    <phoneticPr fontId="9" type="noConversion"/>
  </si>
  <si>
    <t>소프트웨어개발자
웹프로그래머</t>
    <phoneticPr fontId="9" type="noConversion"/>
  </si>
  <si>
    <t>프로그래밍</t>
    <phoneticPr fontId="9" type="noConversion"/>
  </si>
  <si>
    <t>자료 구조</t>
    <phoneticPr fontId="9" type="noConversion"/>
  </si>
  <si>
    <t>정보 통신</t>
    <phoneticPr fontId="9" type="noConversion"/>
  </si>
  <si>
    <t>시스템 프로그래밍</t>
    <phoneticPr fontId="9" type="noConversion"/>
  </si>
  <si>
    <t>네트워크 프로그래밍</t>
    <phoneticPr fontId="9" type="noConversion"/>
  </si>
  <si>
    <t>데이터베이스 프로그래밍</t>
    <phoneticPr fontId="9" type="noConversion"/>
  </si>
  <si>
    <t>응용 프로그래밍 개발</t>
    <phoneticPr fontId="9" type="noConversion"/>
  </si>
  <si>
    <t>응용 프로그래밍 화면 구현</t>
    <phoneticPr fontId="9" type="noConversion"/>
  </si>
  <si>
    <t>소프트웨어개발자</t>
    <phoneticPr fontId="9" type="noConversion"/>
  </si>
  <si>
    <t>웹프로그래머</t>
    <phoneticPr fontId="9" type="noConversion"/>
  </si>
  <si>
    <t>문화예술디자인방송</t>
  </si>
  <si>
    <t>디자인과</t>
  </si>
  <si>
    <t>문화콘텐츠과</t>
  </si>
  <si>
    <t>광고미디어디자인</t>
    <phoneticPr fontId="9" type="noConversion"/>
  </si>
  <si>
    <t>영상컨텐츠제작자
시각정보디자이너</t>
    <phoneticPr fontId="9" type="noConversion"/>
  </si>
  <si>
    <t>조형</t>
    <phoneticPr fontId="9" type="noConversion"/>
  </si>
  <si>
    <t>컴퓨터 그래픽</t>
    <phoneticPr fontId="9" type="noConversion"/>
  </si>
  <si>
    <t>색채 디자인</t>
    <phoneticPr fontId="9" type="noConversion"/>
  </si>
  <si>
    <t>영상 제작 기초</t>
    <phoneticPr fontId="9" type="noConversion"/>
  </si>
  <si>
    <t>스마트 문화 앱 콘텐츠 제작</t>
    <phoneticPr fontId="9" type="noConversion"/>
  </si>
  <si>
    <t>광고 콘텐츠 제작</t>
    <phoneticPr fontId="9" type="noConversion"/>
  </si>
  <si>
    <t>방송 콘텐츠 제작</t>
    <phoneticPr fontId="9" type="noConversion"/>
  </si>
  <si>
    <t>애니메이션 콘텐츠 제작</t>
    <phoneticPr fontId="9" type="noConversion"/>
  </si>
  <si>
    <t>캐릭터 제작</t>
    <phoneticPr fontId="9" type="noConversion"/>
  </si>
  <si>
    <t>편집 디자인</t>
    <phoneticPr fontId="9" type="noConversion"/>
  </si>
  <si>
    <t>시각 디자인</t>
    <phoneticPr fontId="9" type="noConversion"/>
  </si>
  <si>
    <t>영상컨텐츠제작자</t>
    <phoneticPr fontId="9" type="noConversion"/>
  </si>
  <si>
    <t>시각정보디자이너</t>
    <phoneticPr fontId="9" type="noConversion"/>
  </si>
  <si>
    <t>세무회계과</t>
  </si>
  <si>
    <t>사무회계</t>
    <phoneticPr fontId="9" type="noConversion"/>
  </si>
  <si>
    <t>도제</t>
  </si>
  <si>
    <t>세무·회계정보관리_L2</t>
    <phoneticPr fontId="9" type="noConversion"/>
  </si>
  <si>
    <t>세무 일반</t>
    <phoneticPr fontId="9" type="noConversion"/>
  </si>
  <si>
    <t>회계 정보 처리 시스템</t>
    <phoneticPr fontId="9" type="noConversion"/>
  </si>
  <si>
    <t>회계 실무</t>
    <phoneticPr fontId="9" type="noConversion"/>
  </si>
  <si>
    <t>세무 실무</t>
    <phoneticPr fontId="9" type="noConversion"/>
  </si>
  <si>
    <t>총무</t>
    <phoneticPr fontId="9" type="noConversion"/>
  </si>
  <si>
    <t>기업 자원 통합 관리</t>
    <phoneticPr fontId="9" type="noConversion"/>
  </si>
  <si>
    <t>회계사무원
세무사무원</t>
    <phoneticPr fontId="9" type="noConversion"/>
  </si>
  <si>
    <t>★회계 원리 기본 실습</t>
    <phoneticPr fontId="9" type="noConversion"/>
  </si>
  <si>
    <t>금융 일반</t>
    <phoneticPr fontId="9" type="noConversion"/>
  </si>
  <si>
    <t>인사</t>
    <phoneticPr fontId="9" type="noConversion"/>
  </si>
  <si>
    <t>회계사무원</t>
    <phoneticPr fontId="9" type="noConversion"/>
  </si>
  <si>
    <t>세무사무원</t>
    <phoneticPr fontId="9" type="noConversion"/>
  </si>
  <si>
    <t>천안상업고등학교</t>
    <phoneticPr fontId="9" type="noConversion"/>
  </si>
  <si>
    <t>스마트경영</t>
    <phoneticPr fontId="9" type="noConversion"/>
  </si>
  <si>
    <t>유통 관리</t>
    <phoneticPr fontId="5" type="noConversion"/>
  </si>
  <si>
    <t>매장관리</t>
    <phoneticPr fontId="5" type="noConversion"/>
  </si>
  <si>
    <t>0201030403_21v2</t>
    <phoneticPr fontId="5" type="noConversion"/>
  </si>
  <si>
    <t>판매촉진관리</t>
    <phoneticPr fontId="5" type="noConversion"/>
  </si>
  <si>
    <t>0201030404_21v2</t>
    <phoneticPr fontId="5" type="noConversion"/>
  </si>
  <si>
    <t>고객관리</t>
    <phoneticPr fontId="5" type="noConversion"/>
  </si>
  <si>
    <t>0201030406_21v2</t>
    <phoneticPr fontId="5" type="noConversion"/>
  </si>
  <si>
    <t>유통물류관리</t>
    <phoneticPr fontId="5" type="noConversion"/>
  </si>
  <si>
    <t>0201030408_21v2</t>
    <phoneticPr fontId="5" type="noConversion"/>
  </si>
  <si>
    <t>경영정보시각화</t>
    <phoneticPr fontId="5" type="noConversion"/>
  </si>
  <si>
    <t>0202030211_22v1</t>
    <phoneticPr fontId="5" type="noConversion"/>
  </si>
  <si>
    <t xml:space="preserve"> 사무자동화 프로그램 활용</t>
    <phoneticPr fontId="5" type="noConversion"/>
  </si>
  <si>
    <t>0202030209_22v2</t>
    <phoneticPr fontId="5" type="noConversion"/>
  </si>
  <si>
    <r>
      <t>★지게차 운용</t>
    </r>
    <r>
      <rPr>
        <b/>
        <sz val="11"/>
        <color theme="1"/>
        <rFont val="Tahoma"/>
        <family val="3"/>
        <charset val="1"/>
      </rPr>
      <t>ㆍ</t>
    </r>
    <r>
      <rPr>
        <b/>
        <sz val="11"/>
        <color theme="1"/>
        <rFont val="맑은 고딕"/>
        <family val="3"/>
        <charset val="129"/>
      </rPr>
      <t>조종</t>
    </r>
    <phoneticPr fontId="9" type="noConversion"/>
  </si>
  <si>
    <t>장비구조</t>
    <phoneticPr fontId="9" type="noConversion"/>
  </si>
  <si>
    <t xml:space="preserve">	1407040101_13v1</t>
    <phoneticPr fontId="9" type="noConversion"/>
  </si>
  <si>
    <t>안전관리</t>
    <phoneticPr fontId="9" type="noConversion"/>
  </si>
  <si>
    <t>1407040104_13v1</t>
    <phoneticPr fontId="9" type="noConversion"/>
  </si>
  <si>
    <t>작업 전 점검</t>
    <phoneticPr fontId="9" type="noConversion"/>
  </si>
  <si>
    <t>1407040106_13v1</t>
    <phoneticPr fontId="9" type="noConversion"/>
  </si>
  <si>
    <t xml:space="preserve">작업장 확인 </t>
    <phoneticPr fontId="9" type="noConversion"/>
  </si>
  <si>
    <t xml:space="preserve">	1407040105_13v1</t>
    <phoneticPr fontId="9" type="noConversion"/>
  </si>
  <si>
    <t xml:space="preserve"> IT마케팅 STP 전략 수립 </t>
    <phoneticPr fontId="9" type="noConversion"/>
  </si>
  <si>
    <t xml:space="preserve"> 2001050203_14v2</t>
  </si>
  <si>
    <t>IT마케팅 4P 전략 수립</t>
  </si>
  <si>
    <t>2001050204_14v2</t>
  </si>
  <si>
    <t>IT마케팅 제품(Product)관리</t>
  </si>
  <si>
    <t>2001050205_14v2</t>
  </si>
  <si>
    <t>IT마케팅 가격(Price)관리</t>
  </si>
  <si>
    <t>2001050206_14v2</t>
  </si>
  <si>
    <t>IT마케팅 유통(Place)관리</t>
  </si>
  <si>
    <t>2001050207_14v2</t>
  </si>
  <si>
    <t>IT마케팅 프로모션(Promotion)관리</t>
  </si>
  <si>
    <t>2001050208_14v2</t>
  </si>
  <si>
    <t>급여지급</t>
    <phoneticPr fontId="5" type="noConversion"/>
  </si>
  <si>
    <t>0202020109_19v4</t>
    <phoneticPr fontId="5" type="noConversion"/>
  </si>
  <si>
    <t>퇴직업무지원</t>
    <phoneticPr fontId="5" type="noConversion"/>
  </si>
  <si>
    <t>0202020114_19v4</t>
    <phoneticPr fontId="5" type="noConversion"/>
  </si>
  <si>
    <t>자재 관리</t>
    <phoneticPr fontId="5" type="noConversion"/>
  </si>
  <si>
    <t>자재 입고관리</t>
    <phoneticPr fontId="5" type="noConversion"/>
  </si>
  <si>
    <t>0204010203_20v2</t>
    <phoneticPr fontId="5" type="noConversion"/>
  </si>
  <si>
    <t>자재 출고관리</t>
    <phoneticPr fontId="5" type="noConversion"/>
  </si>
  <si>
    <t>0204010206_20v2</t>
    <phoneticPr fontId="5" type="noConversion"/>
  </si>
  <si>
    <t>고객 관리</t>
    <phoneticPr fontId="5" type="noConversion"/>
  </si>
  <si>
    <t>고객 필요정보 제공</t>
    <phoneticPr fontId="5" type="noConversion"/>
  </si>
  <si>
    <t>0201030206_21v3</t>
    <phoneticPr fontId="5" type="noConversion"/>
  </si>
  <si>
    <t>고객 관계 관리</t>
    <phoneticPr fontId="5" type="noConversion"/>
  </si>
  <si>
    <t xml:space="preserve">0201030210_21v4	</t>
    <phoneticPr fontId="5" type="noConversion"/>
  </si>
  <si>
    <t>매장 판매</t>
    <phoneticPr fontId="5" type="noConversion"/>
  </si>
  <si>
    <t>매장판매상담</t>
    <phoneticPr fontId="5" type="noConversion"/>
  </si>
  <si>
    <t>1003020112_16v2</t>
    <phoneticPr fontId="5" type="noConversion"/>
  </si>
  <si>
    <t>고객요구 관리</t>
    <phoneticPr fontId="5" type="noConversion"/>
  </si>
  <si>
    <t>1003020115_16v2</t>
    <phoneticPr fontId="5" type="noConversion"/>
  </si>
  <si>
    <t>보관하역관리 기획</t>
    <phoneticPr fontId="9" type="noConversion"/>
  </si>
  <si>
    <t>0204030506_22v1</t>
  </si>
  <si>
    <t>육상운송관리</t>
  </si>
  <si>
    <t>0204030601_23v4</t>
  </si>
  <si>
    <t>해상운송관리</t>
  </si>
  <si>
    <t>0204030602_23v4</t>
  </si>
  <si>
    <t>복합운송관리</t>
    <phoneticPr fontId="9" type="noConversion"/>
  </si>
  <si>
    <t>0204030604_23v4</t>
  </si>
  <si>
    <t>스마트물류 지능형창고 관리</t>
    <phoneticPr fontId="5" type="noConversion"/>
  </si>
  <si>
    <t>2001090305_20v1</t>
    <phoneticPr fontId="5" type="noConversion"/>
  </si>
  <si>
    <t>스마트물류 자율주행로봇 관리</t>
    <phoneticPr fontId="5" type="noConversion"/>
  </si>
  <si>
    <t>2001090306_20v1</t>
    <phoneticPr fontId="5" type="noConversion"/>
  </si>
  <si>
    <t>`</t>
    <phoneticPr fontId="9" type="noConversion"/>
  </si>
  <si>
    <t>소프트웨어개발</t>
    <phoneticPr fontId="9" type="noConversion"/>
  </si>
  <si>
    <t>하드웨어 분석</t>
    <phoneticPr fontId="9" type="noConversion"/>
  </si>
  <si>
    <t>2001020301_19v3</t>
    <phoneticPr fontId="9" type="noConversion"/>
  </si>
  <si>
    <t>임베디드 애플리케이션 구현 환경 구축</t>
    <phoneticPr fontId="9" type="noConversion"/>
  </si>
  <si>
    <t>2001020323_19v5</t>
    <phoneticPr fontId="9" type="noConversion"/>
  </si>
  <si>
    <t>임베디드 애플리케이션 구현</t>
    <phoneticPr fontId="9" type="noConversion"/>
  </si>
  <si>
    <t>2001020324_19v6</t>
    <phoneticPr fontId="9" type="noConversion"/>
  </si>
  <si>
    <t>네트워크 프로그래밍 구현</t>
    <phoneticPr fontId="9" type="noConversion"/>
  </si>
  <si>
    <t>2001020508_19v3</t>
    <phoneticPr fontId="9" type="noConversion"/>
  </si>
  <si>
    <t>네트워크 프로그램 최적화</t>
    <phoneticPr fontId="9" type="noConversion"/>
  </si>
  <si>
    <t>2001020515_19v3</t>
    <phoneticPr fontId="9" type="noConversion"/>
  </si>
  <si>
    <t>데이터베이스 구현</t>
    <phoneticPr fontId="9" type="noConversion"/>
  </si>
  <si>
    <t>2001020405_19v4</t>
    <phoneticPr fontId="9" type="noConversion"/>
  </si>
  <si>
    <t>SQL작성</t>
    <phoneticPr fontId="9" type="noConversion"/>
  </si>
  <si>
    <t>2001020415_19v1</t>
    <phoneticPr fontId="9" type="noConversion"/>
  </si>
  <si>
    <t>SQL활용</t>
    <phoneticPr fontId="9" type="noConversion"/>
  </si>
  <si>
    <t>2001020413_19v4</t>
    <phoneticPr fontId="9" type="noConversion"/>
  </si>
  <si>
    <t>자재 입고 관리</t>
    <phoneticPr fontId="5" type="noConversion"/>
  </si>
  <si>
    <t>자재 출고 관리</t>
    <phoneticPr fontId="5" type="noConversion"/>
  </si>
  <si>
    <t>애플리케이션 배포</t>
    <phoneticPr fontId="9" type="noConversion"/>
  </si>
  <si>
    <t>2001020214_19v5</t>
    <phoneticPr fontId="9" type="noConversion"/>
  </si>
  <si>
    <t>애플리케이션 테스트 수행</t>
    <phoneticPr fontId="9" type="noConversion"/>
  </si>
  <si>
    <t>2001020227_19v5</t>
    <phoneticPr fontId="9" type="noConversion"/>
  </si>
  <si>
    <t>프로그래밍 언어 활용</t>
    <phoneticPr fontId="9" type="noConversion"/>
  </si>
  <si>
    <t>2001020231_19v4</t>
    <phoneticPr fontId="9" type="noConversion"/>
  </si>
  <si>
    <t>응용SW 기초 기술 활용</t>
    <phoneticPr fontId="9" type="noConversion"/>
  </si>
  <si>
    <t>2001020232_19v4</t>
    <phoneticPr fontId="9" type="noConversion"/>
  </si>
  <si>
    <t>화면 설계</t>
    <phoneticPr fontId="9" type="noConversion"/>
  </si>
  <si>
    <t>화면 구현</t>
    <phoneticPr fontId="9" type="noConversion"/>
  </si>
  <si>
    <t>2001020225_19v5</t>
    <phoneticPr fontId="9" type="noConversion"/>
  </si>
  <si>
    <t>UI 디자인</t>
    <phoneticPr fontId="9" type="noConversion"/>
  </si>
  <si>
    <t>2001020707_19v3</t>
    <phoneticPr fontId="9" type="noConversion"/>
  </si>
  <si>
    <t>GUI 상세 디자인</t>
    <phoneticPr fontId="9" type="noConversion"/>
  </si>
  <si>
    <t>2001020711_19v3</t>
    <phoneticPr fontId="9" type="noConversion"/>
  </si>
  <si>
    <t>프로그래밍 언어 응용</t>
    <phoneticPr fontId="9" type="noConversion"/>
  </si>
  <si>
    <t>2001020230_23v5</t>
    <phoneticPr fontId="9" type="noConversion"/>
  </si>
  <si>
    <t>UI 구현</t>
    <phoneticPr fontId="9" type="noConversion"/>
  </si>
  <si>
    <t>2001020708_19v3</t>
    <phoneticPr fontId="9" type="noConversion"/>
  </si>
  <si>
    <t>UI 제작</t>
    <phoneticPr fontId="9" type="noConversion"/>
  </si>
  <si>
    <t>2001020712_19v3</t>
    <phoneticPr fontId="9" type="noConversion"/>
  </si>
  <si>
    <t>UI 테스트</t>
    <phoneticPr fontId="9" type="noConversion"/>
  </si>
  <si>
    <t>2001020709_19v3</t>
    <phoneticPr fontId="9" type="noConversion"/>
  </si>
  <si>
    <t>2001020224_23v6</t>
    <phoneticPr fontId="9" type="noConversion"/>
  </si>
  <si>
    <t>광고미디어디자인</t>
    <phoneticPr fontId="9" type="noConversion"/>
  </si>
  <si>
    <t>조색</t>
  </si>
  <si>
    <t>0802010804_15v1</t>
  </si>
  <si>
    <t>배색</t>
  </si>
  <si>
    <t>0802010806_15v1</t>
  </si>
  <si>
    <t>스마트문화앱 UX설계</t>
    <phoneticPr fontId="9" type="noConversion"/>
  </si>
  <si>
    <t>0803020911_18v3</t>
    <phoneticPr fontId="9" type="noConversion"/>
  </si>
  <si>
    <t>스마트문화앱 UI 디자인</t>
    <phoneticPr fontId="9" type="noConversion"/>
  </si>
  <si>
    <t>0803020912_18v3</t>
    <phoneticPr fontId="9" type="noConversion"/>
  </si>
  <si>
    <t>제작 기획</t>
  </si>
  <si>
    <t>0803020412_16v2</t>
  </si>
  <si>
    <t>촬영 제작</t>
  </si>
  <si>
    <t>0803020414_16v2</t>
  </si>
  <si>
    <t>일러스트레이션</t>
  </si>
  <si>
    <t>0803020415_16v2</t>
  </si>
  <si>
    <t>2D 그래픽제작</t>
  </si>
  <si>
    <t>0803020416_16v2</t>
  </si>
  <si>
    <t>3D 그래픽제작</t>
  </si>
  <si>
    <t>0803020417_16v2</t>
  </si>
  <si>
    <t>인쇄편집</t>
  </si>
  <si>
    <t>0803020418_16v2</t>
  </si>
  <si>
    <t>제작계획</t>
  </si>
  <si>
    <t>0803020114_16v3</t>
  </si>
  <si>
    <t>방송미술준비</t>
  </si>
  <si>
    <t>0803020115_16v2</t>
  </si>
  <si>
    <t>제작편집</t>
  </si>
  <si>
    <t>0803020120_16v3</t>
  </si>
  <si>
    <t>편집후반작업</t>
  </si>
  <si>
    <t>0803020121_16v2</t>
  </si>
  <si>
    <t xml:space="preserve"> 방송CG작업</t>
  </si>
  <si>
    <t>0803020122_16v2</t>
  </si>
  <si>
    <t>종합편집</t>
  </si>
  <si>
    <t>0803020123_16v2</t>
  </si>
  <si>
    <t>시놉시스 구성</t>
  </si>
  <si>
    <t>0803020611_16v2</t>
  </si>
  <si>
    <t>스토리보드 제작</t>
  </si>
  <si>
    <t>0803020616_16v2</t>
  </si>
  <si>
    <t>스톱모션 애니메이션 제작</t>
  </si>
  <si>
    <t>0803020607_16v2</t>
  </si>
  <si>
    <t>캐릭터 디자인</t>
  </si>
  <si>
    <t>0803020613_16v2</t>
  </si>
  <si>
    <t>배경ㆍ소품 디자인</t>
  </si>
  <si>
    <t>0803020614_16v2</t>
  </si>
  <si>
    <t>2D 애니메이션 레이아웃</t>
  </si>
  <si>
    <t>0803020618_16v2</t>
  </si>
  <si>
    <t>캐릭터 콘셉트 설정</t>
  </si>
  <si>
    <t>0803020811_18v3</t>
  </si>
  <si>
    <t>캐릭터 그래픽 요소 제작</t>
  </si>
  <si>
    <t>0803020815_18v3</t>
  </si>
  <si>
    <t>2D 캐릭터 제작</t>
  </si>
  <si>
    <t>0803020817_18v3</t>
  </si>
  <si>
    <t>캐릭터콘텐츠 제작 기획</t>
  </si>
  <si>
    <t>0803020816_18v2</t>
  </si>
  <si>
    <t>캐릭터 응용콘텐츠 적용</t>
  </si>
  <si>
    <t>0803020819_18v1</t>
  </si>
  <si>
    <t>캐릭터 시제품 제작</t>
  </si>
  <si>
    <t>0803020820_18v1</t>
  </si>
  <si>
    <t>편집디자인 고객 요구 분석</t>
    <phoneticPr fontId="9" type="noConversion"/>
  </si>
  <si>
    <t>2201010201_16v3</t>
    <phoneticPr fontId="9" type="noConversion"/>
  </si>
  <si>
    <t>편집디자인 계획 수립</t>
    <phoneticPr fontId="9" type="noConversion"/>
  </si>
  <si>
    <t>2201010202_16v3</t>
    <phoneticPr fontId="9" type="noConversion"/>
  </si>
  <si>
    <t>편집디자인 시안제작</t>
    <phoneticPr fontId="9" type="noConversion"/>
  </si>
  <si>
    <t>2201010211_16v3</t>
    <phoneticPr fontId="9" type="noConversion"/>
  </si>
  <si>
    <t>편집디자인 작업실행</t>
    <phoneticPr fontId="9" type="noConversion"/>
  </si>
  <si>
    <t>2201010212_16v3</t>
    <phoneticPr fontId="9" type="noConversion"/>
  </si>
  <si>
    <t>편집디자인 소프트웨어 활용</t>
    <phoneticPr fontId="9" type="noConversion"/>
  </si>
  <si>
    <t>2201010213_16v3</t>
    <phoneticPr fontId="9" type="noConversion"/>
  </si>
  <si>
    <t>시각디자인 리서치 분석</t>
  </si>
  <si>
    <t>0802010113_20v4</t>
  </si>
  <si>
    <t>비주얼 아이데이션 구상</t>
  </si>
  <si>
    <t>0802010116_20v4</t>
  </si>
  <si>
    <t>비주얼 아이데이션 전개</t>
  </si>
  <si>
    <t>0802010117_20v4</t>
  </si>
  <si>
    <t>비주얼 아이데이션 적용</t>
  </si>
  <si>
    <t>0802010118_20v4</t>
  </si>
  <si>
    <t>시안 디자인 개발 응용</t>
  </si>
  <si>
    <t>0802010120_20v3</t>
  </si>
  <si>
    <t>시안 디자인 개발 심화</t>
  </si>
  <si>
    <t>0802010121_20v3</t>
  </si>
  <si>
    <t>사무회계과(도제)</t>
    <phoneticPr fontId="9" type="noConversion"/>
  </si>
  <si>
    <t>전표관리</t>
  </si>
  <si>
    <t>0203020101_20v4</t>
  </si>
  <si>
    <t>회계정보시스템운용</t>
  </si>
  <si>
    <t>0203020105_20v4</t>
  </si>
  <si>
    <t>자금관리</t>
  </si>
  <si>
    <t>0203020102_20v4</t>
  </si>
  <si>
    <t>결산처리</t>
  </si>
  <si>
    <t>0203020104_20v4</t>
  </si>
  <si>
    <t>적격증빙관리</t>
    <phoneticPr fontId="9" type="noConversion"/>
  </si>
  <si>
    <t>0203020201_23v6</t>
    <phoneticPr fontId="9" type="noConversion"/>
  </si>
  <si>
    <t>부가가치세신고</t>
  </si>
  <si>
    <t>0203020205_20v5</t>
  </si>
  <si>
    <t>원천징수</t>
  </si>
  <si>
    <t>0203020204_20v5</t>
  </si>
  <si>
    <t>비품관리</t>
  </si>
  <si>
    <t>0202010104_19v2</t>
  </si>
  <si>
    <t>업무지원</t>
  </si>
  <si>
    <t>0202010107_19v2</t>
  </si>
  <si>
    <t>학생선택</t>
  </si>
  <si>
    <t>0000000000_16v1</t>
  </si>
  <si>
    <t>사무자동화프로그램활용</t>
  </si>
  <si>
    <t>0202030209_22v2</t>
  </si>
  <si>
    <t xml:space="preserve"> IT마케팅 STP 전략 수립 </t>
  </si>
  <si>
    <t>총무</t>
    <phoneticPr fontId="5" type="noConversion"/>
  </si>
  <si>
    <t>비품관리</t>
    <phoneticPr fontId="9" type="noConversion"/>
  </si>
  <si>
    <t>0202010104_19v2</t>
    <phoneticPr fontId="9" type="noConversion"/>
  </si>
  <si>
    <t>총무문서관리</t>
    <phoneticPr fontId="9" type="noConversion"/>
  </si>
  <si>
    <t>0202010108_19v2</t>
    <phoneticPr fontId="9" type="noConversion"/>
  </si>
  <si>
    <t>재무제표 작성</t>
  </si>
  <si>
    <t>0203020111_20v2</t>
    <phoneticPr fontId="9" type="noConversion"/>
  </si>
  <si>
    <t>부가가치세 신고</t>
  </si>
  <si>
    <t>종합소득세 신고</t>
  </si>
  <si>
    <t>0203020206_20v5</t>
  </si>
  <si>
    <t>0203020213_20v5</t>
  </si>
  <si>
    <t>법인세 신고 준비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</si>
</sst>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&quot;0&quot;&quot;;&quot;&quot;;&quot;&quot;"/>
    <numFmt numFmtId="177" formatCode="mm&quot;월&quot;\ dd&quot;일&quot;"/>
  </numFmts>
  <fonts count="67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i/>
      <sz val="10"/>
      <color rgb="FF0070C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color indexed="81"/>
      <name val="Tahoma"/>
      <family val="2"/>
    </font>
    <font>
      <sz val="10"/>
      <color rgb="FF000000"/>
      <name val="맑은 고딕"/>
      <family val="2"/>
      <scheme val="minor"/>
    </font>
    <font>
      <b/>
      <sz val="24"/>
      <color theme="4" tint="-0.249977111117893"/>
      <name val="맑은 고딕"/>
      <family val="3"/>
      <charset val="129"/>
    </font>
    <font>
      <b/>
      <sz val="24"/>
      <color theme="4" tint="-0.249977111117893"/>
      <name val="Arial"/>
      <family val="2"/>
    </font>
    <font>
      <sz val="24"/>
      <color theme="4" tint="-0.24997711111789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292929"/>
      <name val="맑은 고딕"/>
      <family val="3"/>
      <charset val="129"/>
    </font>
    <font>
      <sz val="10"/>
      <color rgb="FF292929"/>
      <name val="맑은 고딕"/>
      <family val="3"/>
      <charset val="129"/>
    </font>
    <font>
      <sz val="10"/>
      <color rgb="FF292929"/>
      <name val="&quot;맑은 고딕&quot;"/>
      <family val="3"/>
      <charset val="129"/>
    </font>
    <font>
      <b/>
      <u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Arial"/>
      <family val="2"/>
    </font>
    <font>
      <sz val="9"/>
      <color theme="1"/>
      <name val="맑은 고딕"/>
      <family val="3"/>
      <charset val="129"/>
      <scheme val="minor"/>
    </font>
    <font>
      <sz val="6.5"/>
      <color theme="1"/>
      <name val="맑은 고딕"/>
      <family val="3"/>
      <charset val="129"/>
      <scheme val="minor"/>
    </font>
    <font>
      <sz val="10"/>
      <color theme="1"/>
      <name val="Tahoma"/>
      <family val="3"/>
      <charset val="1"/>
    </font>
    <font>
      <sz val="6"/>
      <name val="맑은 고딕"/>
      <family val="3"/>
      <charset val="129"/>
      <scheme val="minor"/>
    </font>
    <font>
      <sz val="10"/>
      <color rgb="FF0070C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theme="1"/>
      <name val="Tahoma"/>
      <family val="3"/>
      <charset val="1"/>
    </font>
    <font>
      <i/>
      <sz val="11"/>
      <color theme="1"/>
      <name val="맑은 고딕"/>
      <family val="3"/>
      <charset val="129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27"/>
      </patternFill>
    </fill>
    <fill>
      <patternFill patternType="solid">
        <fgColor indexed="41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8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7">
    <xf numFmtId="0" fontId="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7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2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3" fillId="14" borderId="2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2" fillId="0" borderId="0"/>
  </cellStyleXfs>
  <cellXfs count="74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4" fillId="12" borderId="34" xfId="3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21" fillId="0" borderId="0" xfId="0" applyFont="1">
      <alignment vertical="center"/>
    </xf>
    <xf numFmtId="0" fontId="14" fillId="12" borderId="77" xfId="3" applyFont="1" applyFill="1" applyBorder="1" applyAlignment="1">
      <alignment horizontal="center" vertical="center" wrapText="1"/>
    </xf>
    <xf numFmtId="177" fontId="21" fillId="0" borderId="0" xfId="0" applyNumberFormat="1" applyFont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5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3" fillId="6" borderId="29" xfId="4" applyFont="1" applyFill="1" applyBorder="1" applyAlignment="1" applyProtection="1">
      <alignment horizontal="center" vertical="center" wrapText="1"/>
    </xf>
    <xf numFmtId="0" fontId="31" fillId="0" borderId="6" xfId="0" applyFont="1" applyBorder="1" applyAlignment="1">
      <alignment vertical="center"/>
    </xf>
    <xf numFmtId="0" fontId="31" fillId="0" borderId="0" xfId="0" applyFont="1" applyBorder="1" applyAlignment="1">
      <alignment vertical="center"/>
    </xf>
    <xf numFmtId="0" fontId="31" fillId="0" borderId="6" xfId="0" applyFont="1" applyBorder="1" applyAlignment="1">
      <alignment horizontal="left" vertical="center"/>
    </xf>
    <xf numFmtId="0" fontId="31" fillId="0" borderId="0" xfId="0" applyFont="1" applyBorder="1" applyAlignment="1">
      <alignment horizontal="left" vertical="center"/>
    </xf>
    <xf numFmtId="0" fontId="31" fillId="0" borderId="21" xfId="0" applyFont="1" applyBorder="1" applyAlignment="1">
      <alignment horizontal="left" vertical="center"/>
    </xf>
    <xf numFmtId="0" fontId="31" fillId="0" borderId="21" xfId="0" applyFont="1" applyBorder="1" applyAlignment="1">
      <alignment vertical="center"/>
    </xf>
    <xf numFmtId="0" fontId="13" fillId="10" borderId="96" xfId="6" applyFont="1" applyFill="1" applyBorder="1" applyAlignment="1" applyProtection="1">
      <alignment horizontal="center" vertical="center" wrapText="1"/>
    </xf>
    <xf numFmtId="0" fontId="12" fillId="12" borderId="97" xfId="0" applyFont="1" applyFill="1" applyBorder="1" applyAlignment="1" applyProtection="1">
      <alignment horizontal="center" vertical="center"/>
      <protection locked="0"/>
    </xf>
    <xf numFmtId="0" fontId="12" fillId="12" borderId="30" xfId="0" applyFont="1" applyFill="1" applyBorder="1" applyAlignment="1" applyProtection="1">
      <alignment horizontal="center" vertical="center"/>
      <protection locked="0"/>
    </xf>
    <xf numFmtId="0" fontId="12" fillId="12" borderId="15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12" fillId="12" borderId="15" xfId="0" applyFont="1" applyFill="1" applyBorder="1" applyAlignment="1" applyProtection="1">
      <alignment horizontal="center" vertical="center" shrinkToFit="1"/>
      <protection locked="0"/>
    </xf>
    <xf numFmtId="0" fontId="32" fillId="12" borderId="98" xfId="0" applyFont="1" applyFill="1" applyBorder="1" applyAlignment="1" applyProtection="1">
      <alignment horizontal="center" vertical="center"/>
      <protection locked="0"/>
    </xf>
    <xf numFmtId="0" fontId="24" fillId="3" borderId="56" xfId="3" applyFont="1" applyBorder="1" applyAlignment="1" applyProtection="1">
      <alignment horizontal="center" vertical="center"/>
      <protection locked="0"/>
    </xf>
    <xf numFmtId="0" fontId="27" fillId="11" borderId="98" xfId="7" applyFont="1" applyFill="1" applyBorder="1" applyAlignment="1" applyProtection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9" borderId="0" xfId="7" applyNumberFormat="1" applyFont="1" applyFill="1" applyBorder="1" applyAlignment="1" applyProtection="1">
      <alignment horizontal="center" vertical="center" shrinkToFit="1"/>
    </xf>
    <xf numFmtId="0" fontId="12" fillId="12" borderId="112" xfId="0" applyFont="1" applyFill="1" applyBorder="1" applyAlignment="1" applyProtection="1">
      <alignment horizontal="center" vertical="center"/>
      <protection locked="0"/>
    </xf>
    <xf numFmtId="0" fontId="28" fillId="15" borderId="41" xfId="4" applyFont="1" applyFill="1" applyBorder="1" applyAlignment="1" applyProtection="1">
      <alignment horizontal="center" vertical="center" wrapText="1"/>
    </xf>
    <xf numFmtId="0" fontId="28" fillId="15" borderId="74" xfId="4" applyFont="1" applyFill="1" applyBorder="1" applyAlignment="1" applyProtection="1">
      <alignment horizontal="center" vertical="center" wrapText="1"/>
    </xf>
    <xf numFmtId="0" fontId="28" fillId="0" borderId="102" xfId="4" applyFont="1" applyFill="1" applyBorder="1" applyAlignment="1" applyProtection="1">
      <alignment horizontal="center" vertical="center" wrapText="1"/>
    </xf>
    <xf numFmtId="0" fontId="28" fillId="15" borderId="69" xfId="4" applyFont="1" applyFill="1" applyBorder="1" applyAlignment="1" applyProtection="1">
      <alignment horizontal="center" vertical="center" wrapText="1"/>
    </xf>
    <xf numFmtId="0" fontId="28" fillId="15" borderId="46" xfId="4" applyFont="1" applyFill="1" applyBorder="1" applyAlignment="1" applyProtection="1">
      <alignment horizontal="center" vertical="center" wrapText="1"/>
    </xf>
    <xf numFmtId="0" fontId="13" fillId="6" borderId="25" xfId="4" applyFont="1" applyFill="1" applyBorder="1" applyAlignment="1" applyProtection="1">
      <alignment horizontal="center" vertical="center" wrapText="1"/>
    </xf>
    <xf numFmtId="0" fontId="12" fillId="0" borderId="108" xfId="0" applyFont="1" applyBorder="1" applyAlignment="1" applyProtection="1">
      <alignment horizontal="center" vertical="center"/>
      <protection locked="0"/>
    </xf>
    <xf numFmtId="0" fontId="12" fillId="0" borderId="108" xfId="0" applyFont="1" applyBorder="1" applyAlignment="1" applyProtection="1">
      <alignment horizontal="center" vertical="center" shrinkToFit="1"/>
      <protection locked="0"/>
    </xf>
    <xf numFmtId="176" fontId="13" fillId="15" borderId="38" xfId="0" applyNumberFormat="1" applyFont="1" applyFill="1" applyBorder="1" applyAlignment="1">
      <alignment horizontal="center" vertical="center" wrapText="1"/>
    </xf>
    <xf numFmtId="0" fontId="13" fillId="15" borderId="41" xfId="4" applyFont="1" applyFill="1" applyBorder="1" applyAlignment="1" applyProtection="1">
      <alignment horizontal="center" vertical="center" wrapText="1"/>
    </xf>
    <xf numFmtId="0" fontId="13" fillId="15" borderId="66" xfId="4" applyFont="1" applyFill="1" applyBorder="1" applyAlignment="1" applyProtection="1">
      <alignment horizontal="center" vertical="center" wrapText="1"/>
    </xf>
    <xf numFmtId="0" fontId="13" fillId="15" borderId="43" xfId="4" applyFont="1" applyFill="1" applyBorder="1" applyAlignment="1" applyProtection="1">
      <alignment horizontal="center" vertical="center" wrapText="1"/>
    </xf>
    <xf numFmtId="0" fontId="13" fillId="15" borderId="41" xfId="5" applyFont="1" applyFill="1" applyBorder="1" applyAlignment="1" applyProtection="1">
      <alignment horizontal="center" vertical="center" wrapText="1"/>
    </xf>
    <xf numFmtId="176" fontId="13" fillId="15" borderId="39" xfId="0" applyNumberFormat="1" applyFont="1" applyFill="1" applyBorder="1" applyAlignment="1">
      <alignment horizontal="center" vertical="center" wrapText="1"/>
    </xf>
    <xf numFmtId="0" fontId="13" fillId="15" borderId="44" xfId="4" applyFont="1" applyFill="1" applyBorder="1" applyAlignment="1" applyProtection="1">
      <alignment horizontal="center" vertical="center" wrapText="1"/>
    </xf>
    <xf numFmtId="0" fontId="13" fillId="15" borderId="34" xfId="4" applyFont="1" applyFill="1" applyBorder="1" applyAlignment="1" applyProtection="1">
      <alignment horizontal="center" vertical="center" wrapText="1"/>
    </xf>
    <xf numFmtId="0" fontId="13" fillId="15" borderId="45" xfId="4" applyFont="1" applyFill="1" applyBorder="1" applyAlignment="1" applyProtection="1">
      <alignment horizontal="center" vertical="center" wrapText="1"/>
    </xf>
    <xf numFmtId="0" fontId="13" fillId="15" borderId="44" xfId="5" applyFont="1" applyFill="1" applyBorder="1" applyAlignment="1" applyProtection="1">
      <alignment horizontal="center" vertical="center" wrapText="1"/>
    </xf>
    <xf numFmtId="176" fontId="13" fillId="15" borderId="100" xfId="0" applyNumberFormat="1" applyFont="1" applyFill="1" applyBorder="1" applyAlignment="1">
      <alignment horizontal="center" vertical="center" wrapText="1"/>
    </xf>
    <xf numFmtId="0" fontId="13" fillId="15" borderId="46" xfId="4" applyFont="1" applyFill="1" applyBorder="1" applyAlignment="1" applyProtection="1">
      <alignment horizontal="center" vertical="center" wrapText="1"/>
    </xf>
    <xf numFmtId="0" fontId="13" fillId="15" borderId="47" xfId="4" applyFont="1" applyFill="1" applyBorder="1" applyAlignment="1" applyProtection="1">
      <alignment horizontal="center" vertical="center" wrapText="1"/>
    </xf>
    <xf numFmtId="0" fontId="13" fillId="15" borderId="48" xfId="4" applyFont="1" applyFill="1" applyBorder="1" applyAlignment="1" applyProtection="1">
      <alignment horizontal="center" vertical="center" wrapText="1"/>
    </xf>
    <xf numFmtId="176" fontId="13" fillId="15" borderId="40" xfId="0" applyNumberFormat="1" applyFont="1" applyFill="1" applyBorder="1" applyAlignment="1">
      <alignment horizontal="center" vertical="center" wrapText="1"/>
    </xf>
    <xf numFmtId="0" fontId="13" fillId="15" borderId="42" xfId="4" applyFont="1" applyFill="1" applyBorder="1" applyAlignment="1" applyProtection="1">
      <alignment horizontal="center" vertical="center" wrapText="1"/>
    </xf>
    <xf numFmtId="176" fontId="13" fillId="15" borderId="80" xfId="0" applyNumberFormat="1" applyFont="1" applyFill="1" applyBorder="1" applyAlignment="1">
      <alignment horizontal="center" vertical="center" wrapText="1"/>
    </xf>
    <xf numFmtId="0" fontId="13" fillId="15" borderId="74" xfId="4" applyFont="1" applyFill="1" applyBorder="1" applyAlignment="1" applyProtection="1">
      <alignment horizontal="center" vertical="center" wrapText="1"/>
    </xf>
    <xf numFmtId="0" fontId="13" fillId="15" borderId="55" xfId="4" applyFont="1" applyFill="1" applyBorder="1" applyAlignment="1" applyProtection="1">
      <alignment horizontal="center" vertical="center" wrapText="1"/>
    </xf>
    <xf numFmtId="0" fontId="13" fillId="15" borderId="46" xfId="5" applyFont="1" applyFill="1" applyBorder="1" applyAlignment="1" applyProtection="1">
      <alignment horizontal="center" vertical="center" wrapText="1"/>
    </xf>
    <xf numFmtId="0" fontId="13" fillId="15" borderId="95" xfId="4" applyFont="1" applyFill="1" applyBorder="1" applyAlignment="1" applyProtection="1">
      <alignment horizontal="center" vertical="center" wrapText="1"/>
    </xf>
    <xf numFmtId="0" fontId="13" fillId="15" borderId="101" xfId="4" applyFont="1" applyFill="1" applyBorder="1" applyAlignment="1" applyProtection="1">
      <alignment horizontal="center" vertical="center" shrinkToFit="1"/>
    </xf>
    <xf numFmtId="0" fontId="13" fillId="15" borderId="39" xfId="4" applyFont="1" applyFill="1" applyBorder="1" applyAlignment="1" applyProtection="1">
      <alignment horizontal="center" vertical="center" wrapText="1"/>
    </xf>
    <xf numFmtId="0" fontId="13" fillId="15" borderId="39" xfId="4" applyFont="1" applyFill="1" applyBorder="1" applyAlignment="1" applyProtection="1">
      <alignment horizontal="center" vertical="center" shrinkToFit="1"/>
    </xf>
    <xf numFmtId="0" fontId="13" fillId="15" borderId="17" xfId="4" applyFont="1" applyFill="1" applyBorder="1" applyAlignment="1" applyProtection="1">
      <alignment horizontal="center" vertical="center" shrinkToFit="1"/>
    </xf>
    <xf numFmtId="0" fontId="13" fillId="15" borderId="38" xfId="4" applyFont="1" applyFill="1" applyBorder="1" applyAlignment="1" applyProtection="1">
      <alignment horizontal="center" vertical="center" shrinkToFit="1"/>
    </xf>
    <xf numFmtId="0" fontId="13" fillId="15" borderId="38" xfId="4" applyFont="1" applyFill="1" applyBorder="1" applyAlignment="1" applyProtection="1">
      <alignment horizontal="center" vertical="center" wrapText="1"/>
    </xf>
    <xf numFmtId="0" fontId="13" fillId="15" borderId="100" xfId="4" applyFont="1" applyFill="1" applyBorder="1" applyAlignment="1" applyProtection="1">
      <alignment horizontal="center" vertical="center" wrapText="1"/>
    </xf>
    <xf numFmtId="0" fontId="22" fillId="0" borderId="0" xfId="0" applyFont="1" applyAlignment="1" applyProtection="1">
      <alignment horizontal="center" vertical="center"/>
      <protection locked="0"/>
    </xf>
    <xf numFmtId="0" fontId="13" fillId="15" borderId="100" xfId="4" applyFont="1" applyFill="1" applyBorder="1" applyAlignment="1" applyProtection="1">
      <alignment horizontal="center" vertical="center" shrinkToFit="1"/>
    </xf>
    <xf numFmtId="0" fontId="13" fillId="6" borderId="73" xfId="4" applyFont="1" applyFill="1" applyBorder="1" applyAlignment="1" applyProtection="1">
      <alignment horizontal="center" vertical="center" wrapText="1"/>
    </xf>
    <xf numFmtId="0" fontId="21" fillId="0" borderId="122" xfId="0" applyFont="1" applyBorder="1" applyAlignment="1" applyProtection="1">
      <alignment horizontal="center" vertical="center"/>
      <protection locked="0"/>
    </xf>
    <xf numFmtId="0" fontId="35" fillId="0" borderId="0" xfId="16" applyFont="1" applyAlignment="1">
      <alignment vertical="center"/>
    </xf>
    <xf numFmtId="0" fontId="16" fillId="0" borderId="0" xfId="16" applyFont="1" applyAlignment="1"/>
    <xf numFmtId="0" fontId="35" fillId="18" borderId="123" xfId="16" applyFont="1" applyFill="1" applyBorder="1" applyAlignment="1">
      <alignment horizontal="center" vertical="center"/>
    </xf>
    <xf numFmtId="0" fontId="35" fillId="0" borderId="124" xfId="16" applyFont="1" applyBorder="1" applyAlignment="1">
      <alignment vertical="center"/>
    </xf>
    <xf numFmtId="0" fontId="35" fillId="0" borderId="28" xfId="16" applyFont="1" applyBorder="1" applyAlignment="1">
      <alignment vertical="center"/>
    </xf>
    <xf numFmtId="0" fontId="35" fillId="0" borderId="25" xfId="16" applyFont="1" applyBorder="1" applyAlignment="1">
      <alignment vertical="center"/>
    </xf>
    <xf numFmtId="0" fontId="35" fillId="0" borderId="4" xfId="16" applyFont="1" applyBorder="1" applyAlignment="1">
      <alignment vertical="center"/>
    </xf>
    <xf numFmtId="0" fontId="35" fillId="0" borderId="126" xfId="16" applyFont="1" applyBorder="1" applyAlignment="1">
      <alignment vertical="center"/>
    </xf>
    <xf numFmtId="0" fontId="35" fillId="0" borderId="21" xfId="16" applyFont="1" applyBorder="1" applyAlignment="1">
      <alignment vertical="center"/>
    </xf>
    <xf numFmtId="0" fontId="35" fillId="0" borderId="6" xfId="16" applyFont="1" applyBorder="1" applyAlignment="1">
      <alignment vertical="center"/>
    </xf>
    <xf numFmtId="0" fontId="35" fillId="0" borderId="131" xfId="16" applyFont="1" applyBorder="1" applyAlignment="1">
      <alignment vertical="center"/>
    </xf>
    <xf numFmtId="0" fontId="35" fillId="0" borderId="3" xfId="16" applyFont="1" applyBorder="1" applyAlignment="1">
      <alignment vertical="center"/>
    </xf>
    <xf numFmtId="0" fontId="35" fillId="0" borderId="22" xfId="16" applyFont="1" applyBorder="1" applyAlignment="1">
      <alignment vertical="center"/>
    </xf>
    <xf numFmtId="0" fontId="35" fillId="0" borderId="19" xfId="16" applyFont="1" applyBorder="1" applyAlignment="1">
      <alignment vertical="center"/>
    </xf>
    <xf numFmtId="0" fontId="35" fillId="20" borderId="137" xfId="16" applyFont="1" applyFill="1" applyBorder="1" applyAlignment="1">
      <alignment horizontal="center" vertical="center" wrapText="1"/>
    </xf>
    <xf numFmtId="0" fontId="35" fillId="20" borderId="138" xfId="16" applyFont="1" applyFill="1" applyBorder="1" applyAlignment="1">
      <alignment horizontal="center" vertical="center" wrapText="1"/>
    </xf>
    <xf numFmtId="0" fontId="48" fillId="20" borderId="138" xfId="16" applyFont="1" applyFill="1" applyBorder="1" applyAlignment="1">
      <alignment horizontal="center" vertical="center" wrapText="1"/>
    </xf>
    <xf numFmtId="0" fontId="48" fillId="20" borderId="139" xfId="16" applyFont="1" applyFill="1" applyBorder="1" applyAlignment="1">
      <alignment horizontal="center" vertical="center" wrapText="1"/>
    </xf>
    <xf numFmtId="0" fontId="35" fillId="0" borderId="21" xfId="16" applyFont="1" applyBorder="1" applyAlignment="1">
      <alignment vertical="center" wrapText="1"/>
    </xf>
    <xf numFmtId="0" fontId="35" fillId="0" borderId="6" xfId="16" applyFont="1" applyBorder="1" applyAlignment="1">
      <alignment vertical="center" wrapText="1"/>
    </xf>
    <xf numFmtId="0" fontId="49" fillId="0" borderId="143" xfId="16" applyFont="1" applyBorder="1" applyAlignment="1">
      <alignment horizontal="center" vertical="center" wrapText="1"/>
    </xf>
    <xf numFmtId="0" fontId="49" fillId="0" borderId="145" xfId="16" applyFont="1" applyBorder="1" applyAlignment="1">
      <alignment horizontal="center" vertical="center" wrapText="1"/>
    </xf>
    <xf numFmtId="0" fontId="49" fillId="0" borderId="149" xfId="16" applyFont="1" applyBorder="1" applyAlignment="1">
      <alignment horizontal="center" vertical="center" wrapText="1"/>
    </xf>
    <xf numFmtId="0" fontId="49" fillId="0" borderId="150" xfId="16" applyFont="1" applyBorder="1" applyAlignment="1">
      <alignment horizontal="center" vertical="center" wrapText="1"/>
    </xf>
    <xf numFmtId="0" fontId="49" fillId="0" borderId="153" xfId="16" applyFont="1" applyBorder="1" applyAlignment="1">
      <alignment horizontal="center" vertical="center" wrapText="1"/>
    </xf>
    <xf numFmtId="0" fontId="49" fillId="0" borderId="154" xfId="16" applyFont="1" applyBorder="1" applyAlignment="1">
      <alignment horizontal="center" vertical="center" wrapText="1"/>
    </xf>
    <xf numFmtId="0" fontId="49" fillId="0" borderId="156" xfId="16" applyFont="1" applyBorder="1" applyAlignment="1">
      <alignment horizontal="center" vertical="center" wrapText="1"/>
    </xf>
    <xf numFmtId="0" fontId="35" fillId="0" borderId="156" xfId="16" applyFont="1" applyBorder="1" applyAlignment="1">
      <alignment horizontal="center" vertical="center" wrapText="1"/>
    </xf>
    <xf numFmtId="0" fontId="49" fillId="0" borderId="157" xfId="16" applyFont="1" applyBorder="1" applyAlignment="1">
      <alignment horizontal="center" vertical="center" wrapText="1"/>
    </xf>
    <xf numFmtId="0" fontId="35" fillId="0" borderId="150" xfId="16" applyFont="1" applyBorder="1" applyAlignment="1">
      <alignment horizontal="center" vertical="center" wrapText="1"/>
    </xf>
    <xf numFmtId="0" fontId="35" fillId="0" borderId="153" xfId="16" applyFont="1" applyBorder="1" applyAlignment="1">
      <alignment horizontal="center" vertical="center" wrapText="1"/>
    </xf>
    <xf numFmtId="0" fontId="49" fillId="0" borderId="129" xfId="16" applyFont="1" applyBorder="1" applyAlignment="1">
      <alignment horizontal="center" vertical="center" wrapText="1"/>
    </xf>
    <xf numFmtId="0" fontId="51" fillId="20" borderId="129" xfId="16" applyFont="1" applyFill="1" applyBorder="1" applyAlignment="1">
      <alignment horizontal="center" vertical="center" wrapText="1"/>
    </xf>
    <xf numFmtId="0" fontId="52" fillId="0" borderId="150" xfId="16" applyFont="1" applyBorder="1" applyAlignment="1">
      <alignment horizontal="center" vertical="center" wrapText="1"/>
    </xf>
    <xf numFmtId="0" fontId="52" fillId="0" borderId="128" xfId="16" applyFont="1" applyBorder="1" applyAlignment="1">
      <alignment horizontal="center" vertical="center" wrapText="1"/>
    </xf>
    <xf numFmtId="0" fontId="51" fillId="0" borderId="129" xfId="16" applyFont="1" applyBorder="1" applyAlignment="1">
      <alignment horizontal="center" vertical="center" wrapText="1"/>
    </xf>
    <xf numFmtId="0" fontId="35" fillId="0" borderId="0" xfId="16" applyFont="1" applyBorder="1" applyAlignment="1">
      <alignment vertical="center"/>
    </xf>
    <xf numFmtId="0" fontId="53" fillId="0" borderId="0" xfId="16" applyFont="1" applyBorder="1" applyAlignment="1">
      <alignment horizontal="center" vertical="center"/>
    </xf>
    <xf numFmtId="0" fontId="47" fillId="0" borderId="129" xfId="16" applyFont="1" applyBorder="1" applyAlignment="1">
      <alignment horizontal="center" vertical="center"/>
    </xf>
    <xf numFmtId="0" fontId="47" fillId="19" borderId="150" xfId="16" applyFont="1" applyFill="1" applyBorder="1" applyAlignment="1">
      <alignment horizontal="center" vertical="center"/>
    </xf>
    <xf numFmtId="0" fontId="47" fillId="19" borderId="128" xfId="16" applyFont="1" applyFill="1" applyBorder="1" applyAlignment="1">
      <alignment horizontal="center" vertical="center" wrapText="1"/>
    </xf>
    <xf numFmtId="0" fontId="53" fillId="0" borderId="150" xfId="16" applyFont="1" applyBorder="1" applyAlignment="1">
      <alignment horizontal="center" vertical="center" wrapText="1"/>
    </xf>
    <xf numFmtId="0" fontId="53" fillId="0" borderId="129" xfId="16" applyFont="1" applyBorder="1" applyAlignment="1">
      <alignment horizontal="center" vertical="center" wrapText="1"/>
    </xf>
    <xf numFmtId="0" fontId="47" fillId="0" borderId="150" xfId="16" applyFont="1" applyBorder="1" applyAlignment="1">
      <alignment horizontal="center" vertical="center" wrapText="1"/>
    </xf>
    <xf numFmtId="0" fontId="47" fillId="0" borderId="129" xfId="16" applyFont="1" applyBorder="1" applyAlignment="1">
      <alignment horizontal="center" vertical="center" wrapText="1"/>
    </xf>
    <xf numFmtId="0" fontId="35" fillId="0" borderId="150" xfId="16" applyFont="1" applyBorder="1" applyAlignment="1">
      <alignment vertical="center" wrapText="1"/>
    </xf>
    <xf numFmtId="0" fontId="35" fillId="0" borderId="0" xfId="16" applyFont="1" applyBorder="1" applyAlignment="1">
      <alignment vertical="center" wrapText="1"/>
    </xf>
    <xf numFmtId="0" fontId="47" fillId="19" borderId="129" xfId="16" applyFont="1" applyFill="1" applyBorder="1" applyAlignment="1">
      <alignment horizontal="center" vertical="center"/>
    </xf>
    <xf numFmtId="0" fontId="47" fillId="0" borderId="128" xfId="16" applyFont="1" applyBorder="1" applyAlignment="1">
      <alignment horizontal="center" vertical="center"/>
    </xf>
    <xf numFmtId="0" fontId="47" fillId="0" borderId="150" xfId="16" applyFont="1" applyBorder="1" applyAlignment="1">
      <alignment horizontal="center" vertical="center"/>
    </xf>
    <xf numFmtId="0" fontId="54" fillId="0" borderId="150" xfId="16" applyFont="1" applyBorder="1" applyAlignment="1">
      <alignment horizontal="center" vertical="center"/>
    </xf>
    <xf numFmtId="0" fontId="54" fillId="0" borderId="129" xfId="16" applyFont="1" applyBorder="1" applyAlignment="1">
      <alignment horizontal="center" vertical="center"/>
    </xf>
    <xf numFmtId="0" fontId="35" fillId="0" borderId="136" xfId="16" applyFont="1" applyBorder="1" applyAlignment="1">
      <alignment vertical="center"/>
    </xf>
    <xf numFmtId="0" fontId="35" fillId="0" borderId="134" xfId="16" applyFont="1" applyBorder="1" applyAlignment="1">
      <alignment vertical="center"/>
    </xf>
    <xf numFmtId="0" fontId="35" fillId="0" borderId="161" xfId="16" applyFont="1" applyBorder="1" applyAlignment="1">
      <alignment vertical="center"/>
    </xf>
    <xf numFmtId="0" fontId="35" fillId="0" borderId="162" xfId="16" applyFont="1" applyBorder="1" applyAlignment="1">
      <alignment vertical="center"/>
    </xf>
    <xf numFmtId="0" fontId="35" fillId="0" borderId="111" xfId="16" applyFont="1" applyBorder="1" applyAlignment="1">
      <alignment vertical="center"/>
    </xf>
    <xf numFmtId="0" fontId="35" fillId="0" borderId="132" xfId="16" applyFont="1" applyBorder="1" applyAlignment="1">
      <alignment vertical="center"/>
    </xf>
    <xf numFmtId="0" fontId="35" fillId="0" borderId="164" xfId="16" applyFont="1" applyBorder="1" applyAlignment="1">
      <alignment vertical="center"/>
    </xf>
    <xf numFmtId="0" fontId="35" fillId="0" borderId="165" xfId="16" applyFont="1" applyBorder="1" applyAlignment="1">
      <alignment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97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3" fillId="10" borderId="65" xfId="6" applyFont="1" applyFill="1" applyBorder="1" applyAlignment="1" applyProtection="1">
      <alignment horizontal="center" vertical="center" wrapText="1"/>
    </xf>
    <xf numFmtId="0" fontId="13" fillId="15" borderId="17" xfId="4" applyFont="1" applyFill="1" applyBorder="1" applyAlignment="1" applyProtection="1">
      <alignment horizontal="center" vertical="center" wrapText="1"/>
    </xf>
    <xf numFmtId="0" fontId="28" fillId="0" borderId="34" xfId="4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15" borderId="62" xfId="4" applyFont="1" applyFill="1" applyBorder="1" applyAlignment="1" applyProtection="1">
      <alignment horizontal="center" vertical="center" wrapText="1"/>
    </xf>
    <xf numFmtId="0" fontId="13" fillId="10" borderId="59" xfId="6" applyFont="1" applyFill="1" applyBorder="1" applyAlignment="1" applyProtection="1">
      <alignment horizontal="center" vertical="center" wrapText="1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10" borderId="59" xfId="6" applyFont="1" applyFill="1" applyBorder="1" applyAlignment="1" applyProtection="1">
      <alignment horizontal="center" vertical="center" wrapText="1"/>
    </xf>
    <xf numFmtId="0" fontId="13" fillId="10" borderId="65" xfId="6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15" borderId="62" xfId="4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5" borderId="14" xfId="4" applyFont="1" applyFill="1" applyBorder="1" applyAlignment="1" applyProtection="1">
      <alignment horizontal="center" vertical="center" wrapText="1"/>
    </xf>
    <xf numFmtId="0" fontId="0" fillId="0" borderId="31" xfId="0" applyBorder="1" applyAlignment="1" applyProtection="1">
      <alignment horizontal="center" vertical="center"/>
      <protection locked="0"/>
    </xf>
    <xf numFmtId="0" fontId="18" fillId="0" borderId="0" xfId="0" applyFont="1" applyAlignment="1">
      <alignment horizontal="center" vertical="center"/>
    </xf>
    <xf numFmtId="0" fontId="25" fillId="0" borderId="8" xfId="0" applyFont="1" applyBorder="1" applyAlignment="1" applyProtection="1">
      <alignment horizontal="center" vertical="center"/>
      <protection locked="0"/>
    </xf>
    <xf numFmtId="0" fontId="13" fillId="15" borderId="69" xfId="4" applyFont="1" applyFill="1" applyBorder="1" applyAlignment="1" applyProtection="1">
      <alignment horizontal="center" vertical="center" wrapText="1"/>
    </xf>
    <xf numFmtId="0" fontId="13" fillId="15" borderId="103" xfId="4" applyFont="1" applyFill="1" applyBorder="1" applyAlignment="1" applyProtection="1">
      <alignment horizontal="center" vertical="center" wrapText="1"/>
    </xf>
    <xf numFmtId="0" fontId="13" fillId="15" borderId="69" xfId="5" applyFont="1" applyFill="1" applyBorder="1" applyAlignment="1" applyProtection="1">
      <alignment horizontal="center" vertical="center" wrapText="1"/>
    </xf>
    <xf numFmtId="0" fontId="13" fillId="15" borderId="105" xfId="4" applyFont="1" applyFill="1" applyBorder="1" applyAlignment="1" applyProtection="1">
      <alignment horizontal="center" vertical="center" wrapText="1"/>
    </xf>
    <xf numFmtId="0" fontId="13" fillId="15" borderId="102" xfId="4" applyFont="1" applyFill="1" applyBorder="1" applyAlignment="1" applyProtection="1">
      <alignment horizontal="center" vertical="center" wrapText="1"/>
    </xf>
    <xf numFmtId="0" fontId="21" fillId="0" borderId="13" xfId="0" applyFont="1" applyBorder="1" applyAlignment="1" applyProtection="1">
      <alignment horizontal="center" vertical="center"/>
      <protection locked="0"/>
    </xf>
    <xf numFmtId="0" fontId="13" fillId="0" borderId="41" xfId="4" applyFont="1" applyFill="1" applyBorder="1" applyAlignment="1" applyProtection="1">
      <alignment horizontal="center" vertical="center" wrapText="1"/>
      <protection locked="0"/>
    </xf>
    <xf numFmtId="0" fontId="13" fillId="0" borderId="46" xfId="4" applyFont="1" applyFill="1" applyBorder="1" applyAlignment="1" applyProtection="1">
      <alignment horizontal="center" vertical="center" wrapText="1"/>
      <protection locked="0"/>
    </xf>
    <xf numFmtId="0" fontId="21" fillId="0" borderId="50" xfId="4" applyFont="1" applyFill="1" applyBorder="1" applyAlignment="1" applyProtection="1">
      <alignment horizontal="center" vertical="center" wrapText="1"/>
      <protection locked="0"/>
    </xf>
    <xf numFmtId="0" fontId="21" fillId="0" borderId="56" xfId="4" applyFont="1" applyFill="1" applyBorder="1" applyAlignment="1" applyProtection="1">
      <alignment horizontal="center" vertical="center" wrapText="1"/>
      <protection locked="0"/>
    </xf>
    <xf numFmtId="0" fontId="13" fillId="6" borderId="25" xfId="4" applyFont="1" applyFill="1" applyBorder="1" applyAlignment="1" applyProtection="1">
      <alignment horizontal="center" vertical="center" wrapText="1"/>
    </xf>
    <xf numFmtId="0" fontId="21" fillId="15" borderId="68" xfId="4" applyFont="1" applyFill="1" applyBorder="1" applyAlignment="1" applyProtection="1">
      <alignment horizontal="center" vertical="center" wrapText="1"/>
    </xf>
    <xf numFmtId="0" fontId="21" fillId="0" borderId="66" xfId="4" applyFont="1" applyFill="1" applyBorder="1" applyAlignment="1" applyProtection="1">
      <alignment horizontal="center" vertical="center" wrapText="1"/>
    </xf>
    <xf numFmtId="0" fontId="21" fillId="15" borderId="75" xfId="4" applyFont="1" applyFill="1" applyBorder="1" applyAlignment="1" applyProtection="1">
      <alignment horizontal="center" vertical="center" wrapText="1"/>
    </xf>
    <xf numFmtId="0" fontId="21" fillId="15" borderId="52" xfId="4" applyFont="1" applyFill="1" applyBorder="1" applyAlignment="1" applyProtection="1">
      <alignment horizontal="center" vertical="center" wrapText="1"/>
    </xf>
    <xf numFmtId="0" fontId="21" fillId="0" borderId="47" xfId="4" applyFont="1" applyFill="1" applyBorder="1" applyAlignment="1" applyProtection="1">
      <alignment horizontal="center" vertical="center" wrapText="1"/>
    </xf>
    <xf numFmtId="0" fontId="21" fillId="15" borderId="48" xfId="4" applyFont="1" applyFill="1" applyBorder="1" applyAlignment="1" applyProtection="1">
      <alignment horizontal="center" vertical="center" wrapText="1"/>
    </xf>
    <xf numFmtId="0" fontId="21" fillId="15" borderId="69" xfId="4" applyFont="1" applyFill="1" applyBorder="1" applyAlignment="1" applyProtection="1">
      <alignment horizontal="center" vertical="center" wrapText="1"/>
    </xf>
    <xf numFmtId="0" fontId="21" fillId="0" borderId="102" xfId="4" applyFont="1" applyFill="1" applyBorder="1" applyAlignment="1" applyProtection="1">
      <alignment horizontal="center" vertical="center" wrapText="1"/>
    </xf>
    <xf numFmtId="0" fontId="21" fillId="15" borderId="103" xfId="4" applyFont="1" applyFill="1" applyBorder="1" applyAlignment="1" applyProtection="1">
      <alignment horizontal="center" vertical="center" wrapText="1"/>
    </xf>
    <xf numFmtId="0" fontId="21" fillId="0" borderId="34" xfId="4" applyFont="1" applyFill="1" applyBorder="1" applyAlignment="1" applyProtection="1">
      <alignment horizontal="center" vertical="center" wrapText="1"/>
    </xf>
    <xf numFmtId="0" fontId="21" fillId="15" borderId="45" xfId="4" applyFont="1" applyFill="1" applyBorder="1" applyAlignment="1" applyProtection="1">
      <alignment horizontal="center" vertical="center" wrapText="1"/>
    </xf>
    <xf numFmtId="0" fontId="21" fillId="15" borderId="44" xfId="4" applyFont="1" applyFill="1" applyBorder="1" applyAlignment="1" applyProtection="1">
      <alignment horizontal="center" vertical="center" wrapText="1"/>
    </xf>
    <xf numFmtId="0" fontId="21" fillId="0" borderId="66" xfId="4" applyFont="1" applyFill="1" applyBorder="1" applyAlignment="1" applyProtection="1">
      <alignment horizontal="center" vertical="center" wrapText="1"/>
    </xf>
    <xf numFmtId="0" fontId="21" fillId="15" borderId="75" xfId="4" applyFont="1" applyFill="1" applyBorder="1" applyAlignment="1" applyProtection="1">
      <alignment horizontal="center" vertical="center" wrapText="1"/>
    </xf>
    <xf numFmtId="0" fontId="21" fillId="15" borderId="62" xfId="4" applyFont="1" applyFill="1" applyBorder="1" applyAlignment="1" applyProtection="1">
      <alignment horizontal="center" vertical="center" wrapText="1"/>
    </xf>
    <xf numFmtId="0" fontId="21" fillId="0" borderId="56" xfId="4" applyFont="1" applyFill="1" applyBorder="1" applyAlignment="1" applyProtection="1">
      <alignment horizontal="center" vertical="center" wrapText="1"/>
      <protection locked="0"/>
    </xf>
    <xf numFmtId="0" fontId="21" fillId="0" borderId="34" xfId="4" applyFont="1" applyFill="1" applyBorder="1" applyAlignment="1" applyProtection="1">
      <alignment horizontal="center" vertical="center" wrapText="1"/>
    </xf>
    <xf numFmtId="0" fontId="21" fillId="0" borderId="47" xfId="4" applyFont="1" applyFill="1" applyBorder="1" applyAlignment="1" applyProtection="1">
      <alignment horizontal="center" vertical="center" wrapText="1"/>
    </xf>
    <xf numFmtId="0" fontId="21" fillId="15" borderId="101" xfId="4" applyFont="1" applyFill="1" applyBorder="1" applyAlignment="1" applyProtection="1">
      <alignment horizontal="center" vertical="center" shrinkToFit="1"/>
    </xf>
    <xf numFmtId="0" fontId="21" fillId="15" borderId="39" xfId="4" applyFont="1" applyFill="1" applyBorder="1" applyAlignment="1" applyProtection="1">
      <alignment horizontal="center" vertical="center" wrapText="1"/>
    </xf>
    <xf numFmtId="0" fontId="13" fillId="15" borderId="80" xfId="4" applyFont="1" applyFill="1" applyBorder="1" applyAlignment="1" applyProtection="1">
      <alignment horizontal="center" vertical="center" wrapText="1"/>
    </xf>
    <xf numFmtId="0" fontId="28" fillId="0" borderId="66" xfId="4" applyFont="1" applyFill="1" applyBorder="1" applyAlignment="1" applyProtection="1">
      <alignment vertical="center" wrapText="1"/>
    </xf>
    <xf numFmtId="0" fontId="28" fillId="0" borderId="55" xfId="4" applyFont="1" applyFill="1" applyBorder="1" applyAlignment="1" applyProtection="1">
      <alignment vertical="center" wrapText="1"/>
    </xf>
    <xf numFmtId="0" fontId="21" fillId="15" borderId="171" xfId="4" applyFont="1" applyFill="1" applyBorder="1" applyAlignment="1" applyProtection="1">
      <alignment horizontal="center" vertical="center" wrapText="1"/>
    </xf>
    <xf numFmtId="0" fontId="21" fillId="0" borderId="172" xfId="4" applyFont="1" applyFill="1" applyBorder="1" applyAlignment="1" applyProtection="1">
      <alignment horizontal="center" vertical="center" wrapText="1"/>
    </xf>
    <xf numFmtId="0" fontId="21" fillId="15" borderId="173" xfId="4" applyFont="1" applyFill="1" applyBorder="1" applyAlignment="1" applyProtection="1">
      <alignment horizontal="center" vertical="center" wrapText="1"/>
    </xf>
    <xf numFmtId="0" fontId="21" fillId="15" borderId="43" xfId="4" applyFont="1" applyFill="1" applyBorder="1" applyAlignment="1" applyProtection="1">
      <alignment horizontal="center" vertical="center" wrapText="1"/>
    </xf>
    <xf numFmtId="0" fontId="21" fillId="15" borderId="80" xfId="4" applyFont="1" applyFill="1" applyBorder="1" applyAlignment="1" applyProtection="1">
      <alignment horizontal="center" vertical="center" shrinkToFit="1"/>
    </xf>
    <xf numFmtId="0" fontId="21" fillId="15" borderId="60" xfId="4" applyFont="1" applyFill="1" applyBorder="1" applyAlignment="1" applyProtection="1">
      <alignment horizontal="center" vertical="center" wrapText="1"/>
    </xf>
    <xf numFmtId="0" fontId="21" fillId="15" borderId="22" xfId="4" applyFont="1" applyFill="1" applyBorder="1" applyAlignment="1" applyProtection="1">
      <alignment horizontal="center" vertical="center" wrapText="1"/>
    </xf>
    <xf numFmtId="0" fontId="28" fillId="0" borderId="42" xfId="4" applyFont="1" applyFill="1" applyBorder="1" applyAlignment="1" applyProtection="1">
      <alignment vertical="center" wrapText="1"/>
    </xf>
    <xf numFmtId="0" fontId="13" fillId="15" borderId="14" xfId="4" applyFont="1" applyFill="1" applyBorder="1" applyAlignment="1" applyProtection="1">
      <alignment horizontal="center" vertical="center" shrinkToFit="1"/>
    </xf>
    <xf numFmtId="0" fontId="21" fillId="15" borderId="59" xfId="4" applyFont="1" applyFill="1" applyBorder="1" applyAlignment="1" applyProtection="1">
      <alignment horizontal="center" vertical="center" wrapText="1"/>
    </xf>
    <xf numFmtId="0" fontId="28" fillId="15" borderId="76" xfId="4" applyFont="1" applyFill="1" applyBorder="1" applyAlignment="1" applyProtection="1">
      <alignment horizontal="center" vertical="center" wrapText="1"/>
    </xf>
    <xf numFmtId="0" fontId="28" fillId="15" borderId="175" xfId="4" applyFont="1" applyFill="1" applyBorder="1" applyAlignment="1" applyProtection="1">
      <alignment horizontal="center" vertical="center" wrapText="1"/>
    </xf>
    <xf numFmtId="0" fontId="28" fillId="0" borderId="95" xfId="4" applyFont="1" applyFill="1" applyBorder="1" applyAlignment="1" applyProtection="1">
      <alignment vertical="center" wrapText="1"/>
    </xf>
    <xf numFmtId="0" fontId="13" fillId="15" borderId="80" xfId="4" applyFont="1" applyFill="1" applyBorder="1" applyAlignment="1" applyProtection="1">
      <alignment horizontal="center" vertical="center" shrinkToFit="1"/>
    </xf>
    <xf numFmtId="0" fontId="28" fillId="15" borderId="171" xfId="4" applyFont="1" applyFill="1" applyBorder="1" applyAlignment="1" applyProtection="1">
      <alignment horizontal="center" vertical="center" wrapText="1"/>
    </xf>
    <xf numFmtId="0" fontId="28" fillId="15" borderId="44" xfId="4" applyFont="1" applyFill="1" applyBorder="1" applyAlignment="1" applyProtection="1">
      <alignment horizontal="center" vertical="center" wrapText="1"/>
    </xf>
    <xf numFmtId="0" fontId="13" fillId="15" borderId="101" xfId="4" applyFont="1" applyFill="1" applyBorder="1" applyAlignment="1" applyProtection="1">
      <alignment horizontal="center" vertical="center" wrapText="1"/>
    </xf>
    <xf numFmtId="0" fontId="39" fillId="15" borderId="33" xfId="4" applyFont="1" applyFill="1" applyBorder="1" applyAlignment="1" applyProtection="1">
      <alignment horizontal="center" vertical="center" wrapText="1"/>
    </xf>
    <xf numFmtId="0" fontId="39" fillId="15" borderId="80" xfId="4" applyFont="1" applyFill="1" applyBorder="1" applyAlignment="1" applyProtection="1">
      <alignment horizontal="center" vertical="center" wrapText="1"/>
    </xf>
    <xf numFmtId="0" fontId="28" fillId="15" borderId="57" xfId="4" applyFont="1" applyFill="1" applyBorder="1" applyAlignment="1" applyProtection="1">
      <alignment horizontal="center" vertical="center" wrapText="1"/>
    </xf>
    <xf numFmtId="0" fontId="28" fillId="0" borderId="58" xfId="4" applyFont="1" applyFill="1" applyBorder="1" applyAlignment="1" applyProtection="1">
      <alignment vertical="center" wrapText="1"/>
    </xf>
    <xf numFmtId="0" fontId="37" fillId="9" borderId="97" xfId="7" applyFont="1" applyFill="1" applyBorder="1" applyAlignment="1">
      <alignment horizontal="center" vertical="center" shrinkToFit="1"/>
    </xf>
    <xf numFmtId="176" fontId="37" fillId="9" borderId="97" xfId="7" applyNumberFormat="1" applyFont="1" applyFill="1" applyBorder="1" applyAlignment="1">
      <alignment horizontal="center" vertical="center" shrinkToFit="1"/>
    </xf>
    <xf numFmtId="0" fontId="37" fillId="9" borderId="15" xfId="7" applyFont="1" applyFill="1" applyBorder="1" applyAlignment="1">
      <alignment horizontal="center" vertical="center" shrinkToFit="1"/>
    </xf>
    <xf numFmtId="0" fontId="37" fillId="9" borderId="12" xfId="7" applyFont="1" applyFill="1" applyBorder="1" applyAlignment="1">
      <alignment horizontal="center" vertical="center" shrinkToFit="1"/>
    </xf>
    <xf numFmtId="176" fontId="37" fillId="9" borderId="15" xfId="7" applyNumberFormat="1" applyFont="1" applyFill="1" applyBorder="1" applyAlignment="1">
      <alignment horizontal="center" vertical="center" shrinkToFit="1"/>
    </xf>
    <xf numFmtId="176" fontId="37" fillId="9" borderId="12" xfId="7" applyNumberFormat="1" applyFont="1" applyFill="1" applyBorder="1" applyAlignment="1">
      <alignment horizontal="center" vertical="center" shrinkToFit="1"/>
    </xf>
    <xf numFmtId="0" fontId="64" fillId="16" borderId="98" xfId="7" applyFont="1" applyFill="1" applyBorder="1" applyAlignment="1">
      <alignment horizontal="center" vertical="center" shrinkToFit="1"/>
    </xf>
    <xf numFmtId="176" fontId="36" fillId="16" borderId="98" xfId="7" applyNumberFormat="1" applyFont="1" applyFill="1" applyBorder="1" applyAlignment="1">
      <alignment horizontal="center" vertical="center" shrinkToFit="1"/>
    </xf>
    <xf numFmtId="176" fontId="0" fillId="0" borderId="97" xfId="0" applyNumberFormat="1" applyBorder="1">
      <alignment vertical="center"/>
    </xf>
    <xf numFmtId="176" fontId="0" fillId="0" borderId="30" xfId="0" applyNumberFormat="1" applyBorder="1">
      <alignment vertical="center"/>
    </xf>
    <xf numFmtId="176" fontId="0" fillId="0" borderId="15" xfId="0" applyNumberFormat="1" applyBorder="1">
      <alignment vertical="center"/>
    </xf>
    <xf numFmtId="176" fontId="0" fillId="0" borderId="11" xfId="0" applyNumberFormat="1" applyBorder="1">
      <alignment vertical="center"/>
    </xf>
    <xf numFmtId="176" fontId="36" fillId="16" borderId="98" xfId="7" applyNumberFormat="1" applyFont="1" applyFill="1" applyBorder="1" applyAlignment="1">
      <alignment horizontal="right" vertical="center" shrinkToFit="1"/>
    </xf>
    <xf numFmtId="0" fontId="37" fillId="0" borderId="97" xfId="7" applyFont="1" applyFill="1" applyBorder="1" applyAlignment="1">
      <alignment horizontal="center" vertical="center" shrinkToFit="1"/>
    </xf>
    <xf numFmtId="0" fontId="37" fillId="0" borderId="15" xfId="7" applyFont="1" applyFill="1" applyBorder="1" applyAlignment="1">
      <alignment horizontal="center" vertical="center" shrinkToFit="1"/>
    </xf>
    <xf numFmtId="0" fontId="37" fillId="0" borderId="12" xfId="7" applyFont="1" applyFill="1" applyBorder="1" applyAlignment="1">
      <alignment horizontal="center" vertical="center" shrinkToFit="1"/>
    </xf>
    <xf numFmtId="176" fontId="0" fillId="0" borderId="12" xfId="0" applyNumberFormat="1" applyBorder="1">
      <alignment vertical="center"/>
    </xf>
    <xf numFmtId="176" fontId="0" fillId="0" borderId="106" xfId="0" applyNumberFormat="1" applyBorder="1">
      <alignment vertical="center"/>
    </xf>
    <xf numFmtId="176" fontId="36" fillId="16" borderId="32" xfId="7" applyNumberFormat="1" applyFont="1" applyFill="1" applyBorder="1" applyAlignment="1">
      <alignment horizontal="center" vertical="center" shrinkToFit="1"/>
    </xf>
    <xf numFmtId="176" fontId="36" fillId="16" borderId="32" xfId="7" applyNumberFormat="1" applyFont="1" applyFill="1" applyBorder="1" applyAlignment="1">
      <alignment horizontal="right" vertical="center" shrinkToFit="1"/>
    </xf>
    <xf numFmtId="176" fontId="63" fillId="9" borderId="97" xfId="7" applyNumberFormat="1" applyFont="1" applyFill="1" applyBorder="1" applyAlignment="1">
      <alignment horizontal="center" vertical="center" shrinkToFit="1"/>
    </xf>
    <xf numFmtId="176" fontId="63" fillId="9" borderId="15" xfId="7" applyNumberFormat="1" applyFont="1" applyFill="1" applyBorder="1" applyAlignment="1">
      <alignment horizontal="center" vertical="center" shrinkToFit="1"/>
    </xf>
    <xf numFmtId="176" fontId="36" fillId="16" borderId="110" xfId="7" applyNumberFormat="1" applyFont="1" applyFill="1" applyBorder="1" applyAlignment="1">
      <alignment horizontal="center" vertical="center" shrinkToFit="1"/>
    </xf>
    <xf numFmtId="176" fontId="36" fillId="16" borderId="110" xfId="7" applyNumberFormat="1" applyFont="1" applyFill="1" applyBorder="1" applyAlignment="1">
      <alignment horizontal="right" vertical="center" shrinkToFit="1"/>
    </xf>
    <xf numFmtId="176" fontId="0" fillId="0" borderId="109" xfId="0" applyNumberFormat="1" applyBorder="1">
      <alignment vertical="center"/>
    </xf>
    <xf numFmtId="176" fontId="0" fillId="0" borderId="180" xfId="0" applyNumberFormat="1" applyBorder="1">
      <alignment vertical="center"/>
    </xf>
    <xf numFmtId="176" fontId="66" fillId="0" borderId="97" xfId="0" applyNumberFormat="1" applyFont="1" applyBorder="1">
      <alignment vertical="center"/>
    </xf>
    <xf numFmtId="176" fontId="66" fillId="0" borderId="30" xfId="0" applyNumberFormat="1" applyFont="1" applyBorder="1">
      <alignment vertical="center"/>
    </xf>
    <xf numFmtId="176" fontId="66" fillId="0" borderId="15" xfId="0" applyNumberFormat="1" applyFont="1" applyBorder="1">
      <alignment vertical="center"/>
    </xf>
    <xf numFmtId="176" fontId="66" fillId="0" borderId="11" xfId="0" applyNumberFormat="1" applyFont="1" applyBorder="1">
      <alignment vertical="center"/>
    </xf>
    <xf numFmtId="176" fontId="66" fillId="0" borderId="12" xfId="0" applyNumberFormat="1" applyFont="1" applyBorder="1">
      <alignment vertical="center"/>
    </xf>
    <xf numFmtId="176" fontId="36" fillId="16" borderId="98" xfId="7" applyNumberFormat="1" applyFont="1" applyFill="1" applyBorder="1" applyAlignment="1" applyProtection="1">
      <alignment horizontal="right" vertical="center" shrinkToFit="1"/>
    </xf>
    <xf numFmtId="0" fontId="37" fillId="0" borderId="12" xfId="7" applyFont="1" applyBorder="1" applyAlignment="1">
      <alignment horizontal="center" vertical="center" shrinkToFit="1"/>
    </xf>
    <xf numFmtId="0" fontId="20" fillId="9" borderId="97" xfId="7" applyFont="1" applyFill="1" applyBorder="1" applyAlignment="1">
      <alignment horizontal="center" vertical="center"/>
    </xf>
    <xf numFmtId="0" fontId="20" fillId="9" borderId="15" xfId="7" applyFont="1" applyFill="1" applyBorder="1" applyAlignment="1">
      <alignment horizontal="center" vertical="center"/>
    </xf>
    <xf numFmtId="0" fontId="0" fillId="0" borderId="150" xfId="0" applyFont="1" applyFill="1" applyBorder="1" applyAlignment="1">
      <alignment horizontal="center" vertical="center" wrapText="1"/>
    </xf>
    <xf numFmtId="0" fontId="0" fillId="0" borderId="128" xfId="0" applyFont="1" applyFill="1" applyBorder="1" applyAlignment="1">
      <alignment horizontal="center" vertical="center" wrapText="1"/>
    </xf>
    <xf numFmtId="0" fontId="0" fillId="0" borderId="152" xfId="0" applyFont="1" applyFill="1" applyBorder="1" applyAlignment="1">
      <alignment horizontal="center" vertical="center" wrapText="1"/>
    </xf>
    <xf numFmtId="0" fontId="0" fillId="0" borderId="134" xfId="0" applyFont="1" applyFill="1" applyBorder="1" applyAlignment="1">
      <alignment horizontal="center" vertical="center" wrapText="1"/>
    </xf>
    <xf numFmtId="0" fontId="0" fillId="0" borderId="135" xfId="0" applyFont="1" applyFill="1" applyBorder="1" applyAlignment="1">
      <alignment horizontal="center" vertical="center" wrapText="1"/>
    </xf>
    <xf numFmtId="0" fontId="0" fillId="0" borderId="129" xfId="0" applyFont="1" applyFill="1" applyBorder="1" applyAlignment="1">
      <alignment horizontal="center" vertical="center" wrapText="1"/>
    </xf>
    <xf numFmtId="0" fontId="0" fillId="0" borderId="127" xfId="0" applyFont="1" applyFill="1" applyBorder="1" applyAlignment="1">
      <alignment horizontal="center" vertical="center" wrapText="1"/>
    </xf>
    <xf numFmtId="0" fontId="36" fillId="16" borderId="98" xfId="7" applyFont="1" applyFill="1" applyBorder="1" applyAlignment="1">
      <alignment horizontal="center" vertical="center" shrinkToFit="1"/>
    </xf>
    <xf numFmtId="176" fontId="37" fillId="0" borderId="12" xfId="7" applyNumberFormat="1" applyFont="1" applyBorder="1" applyAlignment="1">
      <alignment horizontal="center" vertical="center" shrinkToFit="1"/>
    </xf>
    <xf numFmtId="176" fontId="37" fillId="0" borderId="97" xfId="7" applyNumberFormat="1" applyFont="1" applyFill="1" applyBorder="1" applyAlignment="1">
      <alignment horizontal="center" vertical="center" shrinkToFit="1"/>
    </xf>
    <xf numFmtId="0" fontId="7" fillId="0" borderId="128" xfId="0" applyFont="1" applyFill="1" applyBorder="1" applyAlignment="1">
      <alignment horizontal="center" vertical="center" wrapText="1"/>
    </xf>
    <xf numFmtId="0" fontId="7" fillId="0" borderId="128" xfId="0" applyFont="1" applyFill="1" applyBorder="1" applyAlignment="1">
      <alignment horizontal="left" vertical="center" wrapText="1"/>
    </xf>
    <xf numFmtId="176" fontId="37" fillId="0" borderId="12" xfId="7" applyNumberFormat="1" applyFont="1" applyFill="1" applyBorder="1" applyAlignment="1">
      <alignment horizontal="center" vertical="center" shrinkToFit="1"/>
    </xf>
    <xf numFmtId="0" fontId="7" fillId="0" borderId="135" xfId="0" applyFont="1" applyFill="1" applyBorder="1" applyAlignment="1">
      <alignment horizontal="center" vertical="center" wrapText="1"/>
    </xf>
    <xf numFmtId="176" fontId="37" fillId="0" borderId="15" xfId="7" applyNumberFormat="1" applyFont="1" applyFill="1" applyBorder="1" applyAlignment="1">
      <alignment horizontal="center" vertical="center" shrinkToFit="1"/>
    </xf>
    <xf numFmtId="0" fontId="7" fillId="0" borderId="150" xfId="0" applyFont="1" applyFill="1" applyBorder="1" applyAlignment="1">
      <alignment horizontal="center" vertical="center" wrapText="1"/>
    </xf>
    <xf numFmtId="176" fontId="0" fillId="9" borderId="97" xfId="0" applyNumberFormat="1" applyFill="1" applyBorder="1">
      <alignment vertical="center"/>
    </xf>
    <xf numFmtId="176" fontId="0" fillId="9" borderId="30" xfId="0" applyNumberFormat="1" applyFill="1" applyBorder="1">
      <alignment vertical="center"/>
    </xf>
    <xf numFmtId="176" fontId="0" fillId="9" borderId="15" xfId="0" applyNumberFormat="1" applyFill="1" applyBorder="1">
      <alignment vertical="center"/>
    </xf>
    <xf numFmtId="176" fontId="0" fillId="9" borderId="11" xfId="0" applyNumberFormat="1" applyFill="1" applyBorder="1">
      <alignment vertical="center"/>
    </xf>
    <xf numFmtId="0" fontId="0" fillId="13" borderId="150" xfId="0" applyFont="1" applyFill="1" applyBorder="1" applyAlignment="1">
      <alignment horizontal="center" vertical="center" wrapText="1"/>
    </xf>
    <xf numFmtId="0" fontId="0" fillId="13" borderId="129" xfId="0" applyFont="1" applyFill="1" applyBorder="1" applyAlignment="1">
      <alignment horizontal="center" vertical="center" wrapText="1"/>
    </xf>
    <xf numFmtId="0" fontId="37" fillId="13" borderId="15" xfId="7" applyFont="1" applyFill="1" applyBorder="1" applyAlignment="1">
      <alignment horizontal="center" vertical="center" shrinkToFit="1"/>
    </xf>
    <xf numFmtId="0" fontId="37" fillId="9" borderId="109" xfId="7" applyFont="1" applyFill="1" applyBorder="1" applyAlignment="1">
      <alignment horizontal="center" vertical="center" shrinkToFit="1"/>
    </xf>
    <xf numFmtId="0" fontId="0" fillId="0" borderId="97" xfId="0" applyBorder="1">
      <alignment vertical="center"/>
    </xf>
    <xf numFmtId="0" fontId="36" fillId="16" borderId="32" xfId="7" applyFont="1" applyFill="1" applyBorder="1" applyAlignment="1">
      <alignment horizontal="center" vertical="center" shrinkToFit="1"/>
    </xf>
    <xf numFmtId="176" fontId="7" fillId="0" borderId="97" xfId="0" applyNumberFormat="1" applyFont="1" applyBorder="1">
      <alignment vertical="center"/>
    </xf>
    <xf numFmtId="176" fontId="7" fillId="0" borderId="30" xfId="0" applyNumberFormat="1" applyFont="1" applyBorder="1">
      <alignment vertical="center"/>
    </xf>
    <xf numFmtId="176" fontId="7" fillId="0" borderId="15" xfId="0" applyNumberFormat="1" applyFont="1" applyBorder="1">
      <alignment vertical="center"/>
    </xf>
    <xf numFmtId="176" fontId="7" fillId="0" borderId="11" xfId="0" applyNumberFormat="1" applyFont="1" applyBorder="1">
      <alignment vertical="center"/>
    </xf>
    <xf numFmtId="176" fontId="36" fillId="16" borderId="31" xfId="7" applyNumberFormat="1" applyFont="1" applyFill="1" applyBorder="1" applyAlignment="1">
      <alignment horizontal="right" vertical="center" shrinkToFit="1"/>
    </xf>
    <xf numFmtId="0" fontId="29" fillId="0" borderId="3" xfId="0" applyFont="1" applyBorder="1" applyAlignment="1" applyProtection="1">
      <alignment horizontal="center" vertical="center"/>
      <protection locked="0"/>
    </xf>
    <xf numFmtId="0" fontId="29" fillId="0" borderId="22" xfId="0" applyFont="1" applyBorder="1" applyAlignment="1" applyProtection="1">
      <alignment horizontal="center" vertical="center"/>
      <protection locked="0"/>
    </xf>
    <xf numFmtId="0" fontId="15" fillId="17" borderId="24" xfId="0" applyFont="1" applyFill="1" applyBorder="1" applyAlignment="1" applyProtection="1">
      <alignment horizontal="center" vertical="center"/>
      <protection locked="0"/>
    </xf>
    <xf numFmtId="0" fontId="15" fillId="17" borderId="65" xfId="0" applyFont="1" applyFill="1" applyBorder="1" applyAlignment="1" applyProtection="1">
      <alignment horizontal="center" vertical="center"/>
      <protection locked="0"/>
    </xf>
    <xf numFmtId="0" fontId="15" fillId="17" borderId="23" xfId="0" applyFont="1" applyFill="1" applyBorder="1" applyAlignment="1" applyProtection="1">
      <alignment horizontal="center" vertical="center"/>
      <protection locked="0"/>
    </xf>
    <xf numFmtId="0" fontId="15" fillId="17" borderId="29" xfId="0" applyFont="1" applyFill="1" applyBorder="1" applyAlignment="1" applyProtection="1">
      <alignment horizontal="center" vertical="center"/>
      <protection locked="0"/>
    </xf>
    <xf numFmtId="0" fontId="12" fillId="8" borderId="99" xfId="0" applyFont="1" applyFill="1" applyBorder="1" applyAlignment="1" applyProtection="1">
      <alignment horizontal="center" vertical="center" wrapText="1"/>
      <protection locked="0"/>
    </xf>
    <xf numFmtId="0" fontId="12" fillId="8" borderId="26" xfId="0" applyFont="1" applyFill="1" applyBorder="1" applyAlignment="1" applyProtection="1">
      <alignment horizontal="center" vertical="center" wrapText="1"/>
      <protection locked="0"/>
    </xf>
    <xf numFmtId="0" fontId="12" fillId="8" borderId="27" xfId="0" applyFont="1" applyFill="1" applyBorder="1" applyAlignment="1" applyProtection="1">
      <alignment horizontal="center" vertical="center" wrapText="1"/>
      <protection locked="0"/>
    </xf>
    <xf numFmtId="0" fontId="15" fillId="8" borderId="14" xfId="0" applyFont="1" applyFill="1" applyBorder="1" applyAlignment="1" applyProtection="1">
      <alignment horizontal="center" vertical="center"/>
      <protection locked="0"/>
    </xf>
    <xf numFmtId="0" fontId="15" fillId="8" borderId="80" xfId="0" applyFont="1" applyFill="1" applyBorder="1" applyAlignment="1" applyProtection="1">
      <alignment horizontal="center" vertical="center"/>
      <protection locked="0"/>
    </xf>
    <xf numFmtId="0" fontId="15" fillId="8" borderId="4" xfId="0" applyFont="1" applyFill="1" applyBorder="1" applyAlignment="1" applyProtection="1">
      <alignment horizontal="center" vertical="center"/>
      <protection locked="0"/>
    </xf>
    <xf numFmtId="0" fontId="15" fillId="8" borderId="28" xfId="0" applyFont="1" applyFill="1" applyBorder="1" applyAlignment="1" applyProtection="1">
      <alignment horizontal="center" vertical="center"/>
      <protection locked="0"/>
    </xf>
    <xf numFmtId="0" fontId="15" fillId="8" borderId="19" xfId="0" applyFont="1" applyFill="1" applyBorder="1" applyAlignment="1" applyProtection="1">
      <alignment horizontal="center" vertical="center"/>
      <protection locked="0"/>
    </xf>
    <xf numFmtId="0" fontId="15" fillId="8" borderId="3" xfId="0" applyFont="1" applyFill="1" applyBorder="1" applyAlignment="1" applyProtection="1">
      <alignment horizontal="center" vertical="center"/>
      <protection locked="0"/>
    </xf>
    <xf numFmtId="0" fontId="15" fillId="8" borderId="25" xfId="0" applyFont="1" applyFill="1" applyBorder="1" applyAlignment="1" applyProtection="1">
      <alignment horizontal="center" vertical="center"/>
      <protection locked="0"/>
    </xf>
    <xf numFmtId="0" fontId="15" fillId="8" borderId="22" xfId="0" applyFont="1" applyFill="1" applyBorder="1" applyAlignment="1" applyProtection="1">
      <alignment horizontal="center" vertical="center"/>
      <protection locked="0"/>
    </xf>
    <xf numFmtId="0" fontId="15" fillId="8" borderId="24" xfId="0" applyFont="1" applyFill="1" applyBorder="1" applyAlignment="1" applyProtection="1">
      <alignment horizontal="center" vertical="center"/>
      <protection locked="0"/>
    </xf>
    <xf numFmtId="0" fontId="15" fillId="8" borderId="23" xfId="0" applyFont="1" applyFill="1" applyBorder="1" applyAlignment="1" applyProtection="1">
      <alignment horizontal="center" vertical="center"/>
      <protection locked="0"/>
    </xf>
    <xf numFmtId="0" fontId="15" fillId="8" borderId="29" xfId="0" applyFont="1" applyFill="1" applyBorder="1" applyAlignment="1" applyProtection="1">
      <alignment horizontal="center" vertical="center"/>
      <protection locked="0"/>
    </xf>
    <xf numFmtId="0" fontId="21" fillId="0" borderId="16" xfId="0" applyFont="1" applyBorder="1" applyAlignment="1" applyProtection="1">
      <alignment horizontal="center" vertical="center"/>
      <protection locked="0"/>
    </xf>
    <xf numFmtId="0" fontId="21" fillId="0" borderId="23" xfId="0" applyFont="1" applyBorder="1" applyAlignment="1" applyProtection="1">
      <alignment horizontal="center" vertical="center"/>
      <protection locked="0"/>
    </xf>
    <xf numFmtId="0" fontId="21" fillId="0" borderId="107" xfId="0" applyFont="1" applyBorder="1" applyAlignment="1" applyProtection="1">
      <alignment horizontal="center" vertical="center"/>
      <protection locked="0"/>
    </xf>
    <xf numFmtId="0" fontId="21" fillId="0" borderId="29" xfId="0" applyFont="1" applyBorder="1" applyAlignment="1" applyProtection="1">
      <alignment horizontal="center" vertical="center"/>
      <protection locked="0"/>
    </xf>
    <xf numFmtId="0" fontId="21" fillId="0" borderId="24" xfId="0" applyFont="1" applyBorder="1" applyAlignment="1" applyProtection="1">
      <alignment horizontal="center" vertical="center"/>
      <protection locked="0"/>
    </xf>
    <xf numFmtId="0" fontId="58" fillId="0" borderId="16" xfId="0" applyFont="1" applyBorder="1" applyAlignment="1" applyProtection="1">
      <alignment horizontal="center" vertical="center" wrapText="1"/>
      <protection locked="0"/>
    </xf>
    <xf numFmtId="0" fontId="58" fillId="0" borderId="23" xfId="0" applyFont="1" applyBorder="1" applyAlignment="1" applyProtection="1">
      <alignment horizontal="center" vertical="center" wrapText="1"/>
      <protection locked="0"/>
    </xf>
    <xf numFmtId="0" fontId="58" fillId="0" borderId="29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14" fillId="4" borderId="4" xfId="3" applyFont="1" applyFill="1" applyBorder="1" applyAlignment="1" applyProtection="1">
      <alignment horizontal="center" vertical="center" wrapText="1"/>
      <protection locked="0"/>
    </xf>
    <xf numFmtId="0" fontId="14" fillId="4" borderId="25" xfId="3" applyFont="1" applyFill="1" applyBorder="1" applyAlignment="1" applyProtection="1">
      <alignment horizontal="center" vertical="center" wrapText="1"/>
      <protection locked="0"/>
    </xf>
    <xf numFmtId="0" fontId="14" fillId="4" borderId="19" xfId="3" applyFont="1" applyFill="1" applyBorder="1" applyAlignment="1" applyProtection="1">
      <alignment horizontal="center" vertical="center" wrapText="1"/>
      <protection locked="0"/>
    </xf>
    <xf numFmtId="0" fontId="14" fillId="4" borderId="22" xfId="3" applyFont="1" applyFill="1" applyBorder="1" applyAlignment="1" applyProtection="1">
      <alignment horizontal="center" vertical="center" wrapText="1"/>
      <protection locked="0"/>
    </xf>
    <xf numFmtId="0" fontId="14" fillId="4" borderId="38" xfId="3" applyFont="1" applyFill="1" applyBorder="1" applyAlignment="1" applyProtection="1">
      <alignment horizontal="center" vertical="center" wrapText="1"/>
      <protection locked="0"/>
    </xf>
    <xf numFmtId="0" fontId="14" fillId="4" borderId="39" xfId="3" applyFont="1" applyFill="1" applyBorder="1" applyAlignment="1" applyProtection="1">
      <alignment horizontal="center" vertical="center" wrapText="1"/>
      <protection locked="0"/>
    </xf>
    <xf numFmtId="0" fontId="14" fillId="4" borderId="49" xfId="3" applyFont="1" applyFill="1" applyBorder="1" applyAlignment="1" applyProtection="1">
      <alignment horizontal="center" vertical="center" wrapText="1"/>
      <protection locked="0"/>
    </xf>
    <xf numFmtId="0" fontId="14" fillId="4" borderId="79" xfId="3" applyFont="1" applyFill="1" applyBorder="1" applyAlignment="1" applyProtection="1">
      <alignment horizontal="center" vertical="center" wrapText="1"/>
      <protection locked="0"/>
    </xf>
    <xf numFmtId="0" fontId="14" fillId="4" borderId="60" xfId="3" applyFont="1" applyFill="1" applyBorder="1" applyAlignment="1" applyProtection="1">
      <alignment horizontal="center" vertical="center" wrapText="1"/>
      <protection locked="0"/>
    </xf>
    <xf numFmtId="0" fontId="14" fillId="4" borderId="41" xfId="3" applyFont="1" applyFill="1" applyBorder="1" applyAlignment="1" applyProtection="1">
      <alignment horizontal="center" vertical="center" wrapText="1"/>
      <protection locked="0"/>
    </xf>
    <xf numFmtId="0" fontId="14" fillId="4" borderId="44" xfId="3" applyFont="1" applyFill="1" applyBorder="1" applyAlignment="1" applyProtection="1">
      <alignment horizontal="center" vertical="center" wrapText="1"/>
      <protection locked="0"/>
    </xf>
    <xf numFmtId="0" fontId="14" fillId="4" borderId="42" xfId="3" applyFont="1" applyFill="1" applyBorder="1" applyAlignment="1" applyProtection="1">
      <alignment horizontal="center" vertical="center" wrapText="1"/>
      <protection locked="0"/>
    </xf>
    <xf numFmtId="0" fontId="14" fillId="4" borderId="34" xfId="3" applyFont="1" applyFill="1" applyBorder="1" applyAlignment="1" applyProtection="1">
      <alignment horizontal="center" vertical="center" wrapText="1"/>
      <protection locked="0"/>
    </xf>
    <xf numFmtId="0" fontId="14" fillId="4" borderId="43" xfId="3" applyFont="1" applyFill="1" applyBorder="1" applyAlignment="1" applyProtection="1">
      <alignment horizontal="center" vertical="center" wrapText="1"/>
      <protection locked="0"/>
    </xf>
    <xf numFmtId="0" fontId="14" fillId="4" borderId="45" xfId="3" applyFont="1" applyFill="1" applyBorder="1" applyAlignment="1" applyProtection="1">
      <alignment horizontal="center" vertical="center" wrapText="1"/>
      <protection locked="0"/>
    </xf>
    <xf numFmtId="0" fontId="14" fillId="4" borderId="51" xfId="3" applyFont="1" applyFill="1" applyBorder="1" applyAlignment="1" applyProtection="1">
      <alignment horizontal="center" vertical="center" wrapText="1"/>
      <protection locked="0"/>
    </xf>
    <xf numFmtId="0" fontId="14" fillId="4" borderId="85" xfId="3" applyFont="1" applyFill="1" applyBorder="1" applyAlignment="1" applyProtection="1">
      <alignment horizontal="center" vertical="center" wrapText="1"/>
      <protection locked="0"/>
    </xf>
    <xf numFmtId="0" fontId="14" fillId="4" borderId="88" xfId="3" applyFont="1" applyFill="1" applyBorder="1" applyAlignment="1" applyProtection="1">
      <alignment horizontal="center" vertical="center" wrapText="1"/>
      <protection locked="0"/>
    </xf>
    <xf numFmtId="0" fontId="14" fillId="4" borderId="71" xfId="3" applyFont="1" applyFill="1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3" fillId="15" borderId="4" xfId="4" applyFont="1" applyFill="1" applyBorder="1" applyAlignment="1" applyProtection="1">
      <alignment horizontal="center" vertical="center" wrapText="1"/>
    </xf>
    <xf numFmtId="0" fontId="13" fillId="15" borderId="25" xfId="4" applyFont="1" applyFill="1" applyBorder="1" applyAlignment="1" applyProtection="1">
      <alignment horizontal="center" vertical="center" wrapText="1"/>
    </xf>
    <xf numFmtId="0" fontId="13" fillId="15" borderId="6" xfId="4" applyFont="1" applyFill="1" applyBorder="1" applyAlignment="1" applyProtection="1">
      <alignment horizontal="center" vertical="center" wrapText="1"/>
    </xf>
    <xf numFmtId="0" fontId="13" fillId="15" borderId="21" xfId="4" applyFont="1" applyFill="1" applyBorder="1" applyAlignment="1" applyProtection="1">
      <alignment horizontal="center" vertical="center" wrapText="1"/>
    </xf>
    <xf numFmtId="0" fontId="13" fillId="15" borderId="19" xfId="4" applyFont="1" applyFill="1" applyBorder="1" applyAlignment="1" applyProtection="1">
      <alignment horizontal="center" vertical="center" wrapText="1"/>
    </xf>
    <xf numFmtId="0" fontId="13" fillId="15" borderId="22" xfId="4" applyFont="1" applyFill="1" applyBorder="1" applyAlignment="1" applyProtection="1">
      <alignment horizontal="center" vertical="center" wrapText="1"/>
    </xf>
    <xf numFmtId="0" fontId="13" fillId="15" borderId="14" xfId="0" applyFont="1" applyFill="1" applyBorder="1" applyAlignment="1">
      <alignment horizontal="center" vertical="center" wrapText="1"/>
    </xf>
    <xf numFmtId="0" fontId="13" fillId="15" borderId="17" xfId="0" applyFont="1" applyFill="1" applyBorder="1" applyAlignment="1">
      <alignment horizontal="center" vertical="center" wrapText="1"/>
    </xf>
    <xf numFmtId="0" fontId="13" fillId="15" borderId="80" xfId="0" applyFont="1" applyFill="1" applyBorder="1" applyAlignment="1">
      <alignment horizontal="center" vertical="center" wrapText="1"/>
    </xf>
    <xf numFmtId="0" fontId="13" fillId="0" borderId="49" xfId="4" applyFont="1" applyFill="1" applyBorder="1" applyAlignment="1" applyProtection="1">
      <alignment horizontal="center" vertical="center" wrapText="1"/>
      <protection locked="0"/>
    </xf>
    <xf numFmtId="0" fontId="13" fillId="0" borderId="60" xfId="4" applyFont="1" applyFill="1" applyBorder="1" applyAlignment="1" applyProtection="1">
      <alignment horizontal="center" vertical="center" wrapText="1"/>
      <protection locked="0"/>
    </xf>
    <xf numFmtId="0" fontId="13" fillId="0" borderId="51" xfId="4" applyFont="1" applyFill="1" applyBorder="1" applyAlignment="1" applyProtection="1">
      <alignment horizontal="center" vertical="center" wrapText="1"/>
      <protection locked="0"/>
    </xf>
    <xf numFmtId="0" fontId="13" fillId="0" borderId="71" xfId="4" applyFont="1" applyFill="1" applyBorder="1" applyAlignment="1" applyProtection="1">
      <alignment horizontal="center" vertical="center" wrapText="1"/>
      <protection locked="0"/>
    </xf>
    <xf numFmtId="0" fontId="13" fillId="0" borderId="113" xfId="4" applyFont="1" applyFill="1" applyBorder="1" applyAlignment="1" applyProtection="1">
      <alignment horizontal="center" vertical="center" wrapText="1"/>
      <protection locked="0"/>
    </xf>
    <xf numFmtId="0" fontId="13" fillId="0" borderId="114" xfId="4" applyFont="1" applyFill="1" applyBorder="1" applyAlignment="1" applyProtection="1">
      <alignment horizontal="center" vertical="center" wrapText="1"/>
      <protection locked="0"/>
    </xf>
    <xf numFmtId="0" fontId="14" fillId="4" borderId="54" xfId="3" applyFont="1" applyFill="1" applyBorder="1" applyAlignment="1" applyProtection="1">
      <alignment horizontal="center" vertical="center" wrapText="1"/>
      <protection locked="0"/>
    </xf>
    <xf numFmtId="0" fontId="24" fillId="3" borderId="37" xfId="3" applyFont="1" applyBorder="1" applyAlignment="1" applyProtection="1">
      <alignment horizontal="center" vertical="center"/>
      <protection locked="0"/>
    </xf>
    <xf numFmtId="0" fontId="24" fillId="3" borderId="73" xfId="3" applyFont="1" applyBorder="1" applyAlignment="1" applyProtection="1">
      <alignment horizontal="center" vertical="center"/>
      <protection locked="0"/>
    </xf>
    <xf numFmtId="0" fontId="14" fillId="4" borderId="36" xfId="3" applyFont="1" applyFill="1" applyBorder="1" applyAlignment="1" applyProtection="1">
      <alignment horizontal="center" vertical="center" wrapText="1"/>
      <protection locked="0"/>
    </xf>
    <xf numFmtId="0" fontId="14" fillId="4" borderId="86" xfId="3" applyFont="1" applyFill="1" applyBorder="1" applyAlignment="1" applyProtection="1">
      <alignment horizontal="center" vertical="center" wrapText="1"/>
      <protection locked="0"/>
    </xf>
    <xf numFmtId="0" fontId="14" fillId="4" borderId="89" xfId="3" applyFont="1" applyFill="1" applyBorder="1" applyAlignment="1" applyProtection="1">
      <alignment horizontal="center" vertical="center" wrapText="1"/>
      <protection locked="0"/>
    </xf>
    <xf numFmtId="0" fontId="14" fillId="4" borderId="35" xfId="3" applyFont="1" applyFill="1" applyBorder="1" applyAlignment="1" applyProtection="1">
      <alignment horizontal="center" vertical="center" wrapText="1"/>
      <protection locked="0"/>
    </xf>
    <xf numFmtId="0" fontId="13" fillId="0" borderId="50" xfId="4" applyFont="1" applyFill="1" applyBorder="1" applyAlignment="1" applyProtection="1">
      <alignment horizontal="center" vertical="center" wrapText="1"/>
      <protection locked="0"/>
    </xf>
    <xf numFmtId="0" fontId="13" fillId="0" borderId="36" xfId="4" applyFont="1" applyFill="1" applyBorder="1" applyAlignment="1" applyProtection="1">
      <alignment horizontal="center" vertical="center" wrapText="1"/>
      <protection locked="0"/>
    </xf>
    <xf numFmtId="0" fontId="13" fillId="0" borderId="35" xfId="4" applyFont="1" applyFill="1" applyBorder="1" applyAlignment="1" applyProtection="1">
      <alignment horizontal="center" vertical="center" wrapText="1"/>
      <protection locked="0"/>
    </xf>
    <xf numFmtId="0" fontId="13" fillId="0" borderId="115" xfId="4" applyFont="1" applyFill="1" applyBorder="1" applyAlignment="1" applyProtection="1">
      <alignment horizontal="center" vertical="center" wrapText="1"/>
      <protection locked="0"/>
    </xf>
    <xf numFmtId="0" fontId="13" fillId="0" borderId="116" xfId="4" applyFont="1" applyFill="1" applyBorder="1" applyAlignment="1" applyProtection="1">
      <alignment horizontal="center" vertical="center" wrapText="1"/>
      <protection locked="0"/>
    </xf>
    <xf numFmtId="0" fontId="13" fillId="0" borderId="54" xfId="4" applyFont="1" applyFill="1" applyBorder="1" applyAlignment="1" applyProtection="1">
      <alignment horizontal="center" vertical="center" wrapText="1"/>
      <protection locked="0"/>
    </xf>
    <xf numFmtId="0" fontId="13" fillId="15" borderId="75" xfId="4" applyFont="1" applyFill="1" applyBorder="1" applyAlignment="1" applyProtection="1">
      <alignment horizontal="center" vertical="center" wrapText="1"/>
    </xf>
    <xf numFmtId="0" fontId="13" fillId="15" borderId="78" xfId="4" applyFont="1" applyFill="1" applyBorder="1" applyAlignment="1" applyProtection="1">
      <alignment horizontal="center" vertical="center" wrapText="1"/>
    </xf>
    <xf numFmtId="0" fontId="13" fillId="6" borderId="33" xfId="4" applyFont="1" applyFill="1" applyBorder="1" applyAlignment="1" applyProtection="1">
      <alignment horizontal="center" vertical="center" wrapText="1"/>
    </xf>
    <xf numFmtId="0" fontId="21" fillId="9" borderId="56" xfId="4" applyFont="1" applyFill="1" applyBorder="1" applyAlignment="1" applyProtection="1">
      <alignment horizontal="center" vertical="center" wrapText="1"/>
      <protection locked="0"/>
    </xf>
    <xf numFmtId="0" fontId="21" fillId="9" borderId="53" xfId="4" applyFont="1" applyFill="1" applyBorder="1" applyAlignment="1" applyProtection="1">
      <alignment horizontal="center" vertical="center" wrapText="1"/>
      <protection locked="0"/>
    </xf>
    <xf numFmtId="0" fontId="13" fillId="0" borderId="56" xfId="4" applyFont="1" applyFill="1" applyBorder="1" applyAlignment="1" applyProtection="1">
      <alignment horizontal="center" vertical="center" wrapText="1"/>
      <protection locked="0"/>
    </xf>
    <xf numFmtId="0" fontId="13" fillId="0" borderId="52" xfId="4" applyFont="1" applyFill="1" applyBorder="1" applyAlignment="1" applyProtection="1">
      <alignment horizontal="center" vertical="center" wrapText="1"/>
      <protection locked="0"/>
    </xf>
    <xf numFmtId="0" fontId="13" fillId="0" borderId="117" xfId="4" applyFont="1" applyFill="1" applyBorder="1" applyAlignment="1" applyProtection="1">
      <alignment horizontal="center" vertical="center" wrapText="1"/>
      <protection locked="0"/>
    </xf>
    <xf numFmtId="0" fontId="13" fillId="0" borderId="118" xfId="4" applyFont="1" applyFill="1" applyBorder="1" applyAlignment="1" applyProtection="1">
      <alignment horizontal="center" vertical="center" wrapText="1"/>
      <protection locked="0"/>
    </xf>
    <xf numFmtId="0" fontId="13" fillId="0" borderId="119" xfId="4" applyFont="1" applyFill="1" applyBorder="1" applyAlignment="1" applyProtection="1">
      <alignment horizontal="center" vertical="center" wrapText="1"/>
      <protection locked="0"/>
    </xf>
    <xf numFmtId="0" fontId="13" fillId="0" borderId="53" xfId="4" applyFont="1" applyFill="1" applyBorder="1" applyAlignment="1" applyProtection="1">
      <alignment horizontal="center" vertical="center" wrapText="1"/>
      <protection locked="0"/>
    </xf>
    <xf numFmtId="0" fontId="0" fillId="0" borderId="98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21" fillId="9" borderId="50" xfId="4" applyFont="1" applyFill="1" applyBorder="1" applyAlignment="1" applyProtection="1">
      <alignment horizontal="center" vertical="center" wrapText="1"/>
      <protection locked="0"/>
    </xf>
    <xf numFmtId="0" fontId="21" fillId="9" borderId="54" xfId="4" applyFont="1" applyFill="1" applyBorder="1" applyAlignment="1" applyProtection="1">
      <alignment horizontal="center" vertical="center" wrapText="1"/>
      <protection locked="0"/>
    </xf>
    <xf numFmtId="0" fontId="21" fillId="9" borderId="49" xfId="4" applyFont="1" applyFill="1" applyBorder="1" applyAlignment="1" applyProtection="1">
      <alignment horizontal="center" vertical="center" wrapText="1"/>
      <protection locked="0"/>
    </xf>
    <xf numFmtId="0" fontId="21" fillId="9" borderId="60" xfId="4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21" fillId="0" borderId="50" xfId="4" applyFont="1" applyFill="1" applyBorder="1" applyAlignment="1" applyProtection="1">
      <alignment horizontal="center" vertical="center" wrapText="1"/>
      <protection locked="0"/>
    </xf>
    <xf numFmtId="0" fontId="21" fillId="0" borderId="54" xfId="4" applyFont="1" applyFill="1" applyBorder="1" applyAlignment="1" applyProtection="1">
      <alignment horizontal="center" vertical="center" wrapText="1"/>
      <protection locked="0"/>
    </xf>
    <xf numFmtId="0" fontId="13" fillId="0" borderId="4" xfId="4" applyFont="1" applyFill="1" applyBorder="1" applyAlignment="1" applyProtection="1">
      <alignment horizontal="center" vertical="center" wrapText="1"/>
      <protection locked="0"/>
    </xf>
    <xf numFmtId="0" fontId="13" fillId="0" borderId="68" xfId="4" applyFont="1" applyFill="1" applyBorder="1" applyAlignment="1" applyProtection="1">
      <alignment horizontal="center" vertical="center" wrapText="1"/>
      <protection locked="0"/>
    </xf>
    <xf numFmtId="0" fontId="13" fillId="0" borderId="67" xfId="4" applyFont="1" applyFill="1" applyBorder="1" applyAlignment="1" applyProtection="1">
      <alignment horizontal="center" vertical="center" wrapText="1"/>
      <protection locked="0"/>
    </xf>
    <xf numFmtId="0" fontId="13" fillId="0" borderId="120" xfId="4" applyFont="1" applyFill="1" applyBorder="1" applyAlignment="1" applyProtection="1">
      <alignment horizontal="center" vertical="center" wrapText="1"/>
      <protection locked="0"/>
    </xf>
    <xf numFmtId="0" fontId="13" fillId="0" borderId="121" xfId="4" applyFont="1" applyFill="1" applyBorder="1" applyAlignment="1" applyProtection="1">
      <alignment horizontal="center" vertical="center" wrapText="1"/>
      <protection locked="0"/>
    </xf>
    <xf numFmtId="0" fontId="13" fillId="0" borderId="25" xfId="4" applyFont="1" applyFill="1" applyBorder="1" applyAlignment="1" applyProtection="1">
      <alignment horizontal="center" vertical="center" wrapText="1"/>
      <protection locked="0"/>
    </xf>
    <xf numFmtId="0" fontId="13" fillId="15" borderId="62" xfId="4" applyFont="1" applyFill="1" applyBorder="1" applyAlignment="1" applyProtection="1">
      <alignment horizontal="center" vertical="center" wrapText="1"/>
    </xf>
    <xf numFmtId="0" fontId="13" fillId="0" borderId="19" xfId="4" applyFont="1" applyFill="1" applyBorder="1" applyAlignment="1" applyProtection="1">
      <alignment horizontal="center" vertical="center" wrapText="1"/>
      <protection locked="0"/>
    </xf>
    <xf numFmtId="0" fontId="13" fillId="0" borderId="22" xfId="4" applyFont="1" applyFill="1" applyBorder="1" applyAlignment="1" applyProtection="1">
      <alignment horizontal="center" vertical="center" wrapText="1"/>
      <protection locked="0"/>
    </xf>
    <xf numFmtId="0" fontId="13" fillId="15" borderId="75" xfId="5" applyFont="1" applyFill="1" applyBorder="1" applyAlignment="1" applyProtection="1">
      <alignment horizontal="center" vertical="center" wrapText="1"/>
    </xf>
    <xf numFmtId="0" fontId="13" fillId="15" borderId="78" xfId="5" applyFont="1" applyFill="1" applyBorder="1" applyAlignment="1" applyProtection="1">
      <alignment horizontal="center" vertical="center" wrapText="1"/>
    </xf>
    <xf numFmtId="0" fontId="13" fillId="15" borderId="62" xfId="5" applyFont="1" applyFill="1" applyBorder="1" applyAlignment="1" applyProtection="1">
      <alignment horizontal="center" vertical="center" wrapText="1"/>
    </xf>
    <xf numFmtId="0" fontId="9" fillId="0" borderId="75" xfId="4" applyFont="1" applyFill="1" applyBorder="1" applyAlignment="1" applyProtection="1">
      <alignment horizontal="center" vertical="center" wrapText="1"/>
      <protection locked="0"/>
    </xf>
    <xf numFmtId="0" fontId="9" fillId="0" borderId="62" xfId="4" applyFont="1" applyFill="1" applyBorder="1" applyAlignment="1" applyProtection="1">
      <alignment horizontal="center" vertical="center" wrapText="1"/>
      <protection locked="0"/>
    </xf>
    <xf numFmtId="0" fontId="13" fillId="0" borderId="167" xfId="4" applyFont="1" applyFill="1" applyBorder="1" applyAlignment="1" applyProtection="1">
      <alignment horizontal="center" vertical="center" wrapText="1"/>
      <protection locked="0"/>
    </xf>
    <xf numFmtId="0" fontId="13" fillId="0" borderId="105" xfId="4" applyFont="1" applyFill="1" applyBorder="1" applyAlignment="1" applyProtection="1">
      <alignment horizontal="center" vertical="center" wrapText="1"/>
      <protection locked="0"/>
    </xf>
    <xf numFmtId="0" fontId="13" fillId="0" borderId="63" xfId="4" applyFont="1" applyFill="1" applyBorder="1" applyAlignment="1" applyProtection="1">
      <alignment horizontal="center" vertical="center" wrapText="1"/>
      <protection locked="0"/>
    </xf>
    <xf numFmtId="0" fontId="21" fillId="0" borderId="73" xfId="4" applyFont="1" applyFill="1" applyBorder="1" applyAlignment="1" applyProtection="1">
      <alignment horizontal="center" vertical="center" wrapText="1"/>
      <protection locked="0"/>
    </xf>
    <xf numFmtId="0" fontId="21" fillId="0" borderId="49" xfId="4" applyFont="1" applyFill="1" applyBorder="1" applyAlignment="1" applyProtection="1">
      <alignment horizontal="center" vertical="center" wrapText="1"/>
      <protection locked="0"/>
    </xf>
    <xf numFmtId="0" fontId="21" fillId="0" borderId="60" xfId="4" applyFont="1" applyFill="1" applyBorder="1" applyAlignment="1" applyProtection="1">
      <alignment horizontal="center" vertical="center" wrapText="1"/>
      <protection locked="0"/>
    </xf>
    <xf numFmtId="0" fontId="9" fillId="0" borderId="173" xfId="4" applyFont="1" applyFill="1" applyBorder="1" applyAlignment="1" applyProtection="1">
      <alignment horizontal="center" vertical="center" wrapText="1"/>
      <protection locked="0"/>
    </xf>
    <xf numFmtId="0" fontId="13" fillId="10" borderId="24" xfId="6" applyFont="1" applyFill="1" applyBorder="1" applyAlignment="1" applyProtection="1">
      <alignment horizontal="center" vertical="center" wrapText="1"/>
    </xf>
    <xf numFmtId="0" fontId="13" fillId="10" borderId="23" xfId="6" applyFont="1" applyFill="1" applyBorder="1" applyAlignment="1" applyProtection="1">
      <alignment horizontal="center" vertical="center" wrapText="1"/>
    </xf>
    <xf numFmtId="0" fontId="13" fillId="10" borderId="29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10" borderId="64" xfId="6" applyFont="1" applyFill="1" applyBorder="1" applyAlignment="1" applyProtection="1">
      <alignment horizontal="center" vertical="center" wrapText="1"/>
    </xf>
    <xf numFmtId="0" fontId="13" fillId="10" borderId="83" xfId="6" applyFont="1" applyFill="1" applyBorder="1" applyAlignment="1" applyProtection="1">
      <alignment horizontal="center" vertical="center" wrapText="1"/>
    </xf>
    <xf numFmtId="0" fontId="13" fillId="10" borderId="87" xfId="6" applyFont="1" applyFill="1" applyBorder="1" applyAlignment="1" applyProtection="1">
      <alignment horizontal="center" vertical="center" wrapText="1"/>
    </xf>
    <xf numFmtId="0" fontId="13" fillId="10" borderId="65" xfId="6" applyFont="1" applyFill="1" applyBorder="1" applyAlignment="1" applyProtection="1">
      <alignment horizontal="center" vertical="center" wrapText="1"/>
    </xf>
    <xf numFmtId="0" fontId="13" fillId="10" borderId="59" xfId="6" applyFont="1" applyFill="1" applyBorder="1" applyAlignment="1" applyProtection="1">
      <alignment horizontal="center" vertical="center" wrapText="1"/>
    </xf>
    <xf numFmtId="0" fontId="39" fillId="15" borderId="14" xfId="0" applyFont="1" applyFill="1" applyBorder="1" applyAlignment="1">
      <alignment horizontal="center" vertical="center" wrapText="1"/>
    </xf>
    <xf numFmtId="0" fontId="39" fillId="15" borderId="17" xfId="0" applyFont="1" applyFill="1" applyBorder="1" applyAlignment="1">
      <alignment horizontal="center" vertical="center" wrapText="1"/>
    </xf>
    <xf numFmtId="0" fontId="22" fillId="13" borderId="24" xfId="0" applyFont="1" applyFill="1" applyBorder="1" applyAlignment="1" applyProtection="1">
      <alignment horizontal="center" vertical="center"/>
      <protection locked="0"/>
    </xf>
    <xf numFmtId="0" fontId="22" fillId="13" borderId="29" xfId="0" applyFont="1" applyFill="1" applyBorder="1" applyAlignment="1" applyProtection="1">
      <alignment horizontal="center" vertical="center"/>
      <protection locked="0"/>
    </xf>
    <xf numFmtId="0" fontId="21" fillId="15" borderId="4" xfId="4" applyFont="1" applyFill="1" applyBorder="1" applyAlignment="1" applyProtection="1">
      <alignment horizontal="center" vertical="center" wrapText="1"/>
    </xf>
    <xf numFmtId="0" fontId="21" fillId="15" borderId="25" xfId="4" applyFont="1" applyFill="1" applyBorder="1" applyAlignment="1" applyProtection="1">
      <alignment horizontal="center" vertical="center" wrapText="1"/>
    </xf>
    <xf numFmtId="0" fontId="21" fillId="15" borderId="6" xfId="4" applyFont="1" applyFill="1" applyBorder="1" applyAlignment="1" applyProtection="1">
      <alignment horizontal="center" vertical="center" wrapText="1"/>
    </xf>
    <xf numFmtId="0" fontId="21" fillId="15" borderId="21" xfId="4" applyFont="1" applyFill="1" applyBorder="1" applyAlignment="1" applyProtection="1">
      <alignment horizontal="center" vertical="center" wrapText="1"/>
    </xf>
    <xf numFmtId="176" fontId="13" fillId="15" borderId="4" xfId="0" applyNumberFormat="1" applyFont="1" applyFill="1" applyBorder="1" applyAlignment="1">
      <alignment horizontal="center" vertical="center" wrapText="1"/>
    </xf>
    <xf numFmtId="176" fontId="13" fillId="15" borderId="25" xfId="0" applyNumberFormat="1" applyFont="1" applyFill="1" applyBorder="1" applyAlignment="1">
      <alignment horizontal="center" vertical="center" wrapText="1"/>
    </xf>
    <xf numFmtId="176" fontId="13" fillId="15" borderId="19" xfId="0" applyNumberFormat="1" applyFont="1" applyFill="1" applyBorder="1" applyAlignment="1">
      <alignment horizontal="center" vertical="center" wrapText="1"/>
    </xf>
    <xf numFmtId="176" fontId="13" fillId="15" borderId="22" xfId="0" applyNumberFormat="1" applyFont="1" applyFill="1" applyBorder="1" applyAlignment="1">
      <alignment horizontal="center" vertical="center" wrapText="1"/>
    </xf>
    <xf numFmtId="0" fontId="21" fillId="0" borderId="49" xfId="0" applyFont="1" applyBorder="1" applyAlignment="1" applyProtection="1">
      <alignment horizontal="center" vertical="center" wrapText="1"/>
      <protection locked="0"/>
    </xf>
    <xf numFmtId="0" fontId="21" fillId="0" borderId="60" xfId="0" applyFont="1" applyBorder="1" applyAlignment="1" applyProtection="1">
      <alignment horizontal="center" vertical="center" wrapText="1"/>
      <protection locked="0"/>
    </xf>
    <xf numFmtId="0" fontId="21" fillId="0" borderId="28" xfId="4" applyFont="1" applyFill="1" applyBorder="1" applyAlignment="1" applyProtection="1">
      <alignment horizontal="center" vertical="center" wrapText="1"/>
      <protection locked="0"/>
    </xf>
    <xf numFmtId="0" fontId="21" fillId="0" borderId="68" xfId="4" applyFont="1" applyFill="1" applyBorder="1" applyAlignment="1" applyProtection="1">
      <alignment horizontal="center" vertical="center" wrapText="1"/>
      <protection locked="0"/>
    </xf>
    <xf numFmtId="0" fontId="21" fillId="0" borderId="67" xfId="4" applyFont="1" applyFill="1" applyBorder="1" applyAlignment="1" applyProtection="1">
      <alignment horizontal="center" vertical="center" wrapText="1"/>
      <protection locked="0"/>
    </xf>
    <xf numFmtId="0" fontId="21" fillId="0" borderId="120" xfId="4" applyFont="1" applyFill="1" applyBorder="1" applyAlignment="1" applyProtection="1">
      <alignment horizontal="center" vertical="center" wrapText="1"/>
      <protection locked="0"/>
    </xf>
    <xf numFmtId="0" fontId="21" fillId="0" borderId="25" xfId="4" applyFont="1" applyFill="1" applyBorder="1" applyAlignment="1" applyProtection="1">
      <alignment horizontal="center" vertical="center" wrapText="1"/>
      <protection locked="0"/>
    </xf>
    <xf numFmtId="0" fontId="13" fillId="15" borderId="49" xfId="5" applyFont="1" applyFill="1" applyBorder="1" applyAlignment="1" applyProtection="1">
      <alignment horizontal="center" vertical="center" wrapText="1"/>
    </xf>
    <xf numFmtId="0" fontId="13" fillId="15" borderId="60" xfId="5" applyFont="1" applyFill="1" applyBorder="1" applyAlignment="1" applyProtection="1">
      <alignment horizontal="center" vertical="center" wrapText="1"/>
    </xf>
    <xf numFmtId="0" fontId="13" fillId="6" borderId="25" xfId="4" applyFont="1" applyFill="1" applyBorder="1" applyAlignment="1" applyProtection="1">
      <alignment horizontal="center" vertical="center" wrapText="1"/>
    </xf>
    <xf numFmtId="0" fontId="13" fillId="6" borderId="21" xfId="4" applyFont="1" applyFill="1" applyBorder="1" applyAlignment="1" applyProtection="1">
      <alignment horizontal="center" vertical="center" wrapText="1"/>
    </xf>
    <xf numFmtId="0" fontId="13" fillId="6" borderId="17" xfId="4" applyFont="1" applyFill="1" applyBorder="1" applyAlignment="1" applyProtection="1">
      <alignment horizontal="center" vertical="center" wrapText="1"/>
    </xf>
    <xf numFmtId="0" fontId="21" fillId="0" borderId="56" xfId="0" applyFont="1" applyBorder="1" applyAlignment="1" applyProtection="1">
      <alignment horizontal="center" vertical="center" wrapText="1"/>
      <protection locked="0"/>
    </xf>
    <xf numFmtId="0" fontId="21" fillId="0" borderId="53" xfId="0" applyFont="1" applyBorder="1" applyAlignment="1" applyProtection="1">
      <alignment horizontal="center" vertical="center" wrapText="1"/>
      <protection locked="0"/>
    </xf>
    <xf numFmtId="0" fontId="21" fillId="0" borderId="72" xfId="4" applyFont="1" applyFill="1" applyBorder="1" applyAlignment="1" applyProtection="1">
      <alignment horizontal="center" vertical="center" wrapText="1"/>
      <protection locked="0"/>
    </xf>
    <xf numFmtId="0" fontId="21" fillId="0" borderId="52" xfId="4" applyFont="1" applyFill="1" applyBorder="1" applyAlignment="1" applyProtection="1">
      <alignment horizontal="center" vertical="center" wrapText="1"/>
      <protection locked="0"/>
    </xf>
    <xf numFmtId="0" fontId="21" fillId="0" borderId="117" xfId="4" applyFont="1" applyFill="1" applyBorder="1" applyAlignment="1" applyProtection="1">
      <alignment horizontal="center" vertical="center" wrapText="1"/>
      <protection locked="0"/>
    </xf>
    <xf numFmtId="0" fontId="21" fillId="0" borderId="118" xfId="4" applyFont="1" applyFill="1" applyBorder="1" applyAlignment="1" applyProtection="1">
      <alignment horizontal="center" vertical="center" wrapText="1"/>
      <protection locked="0"/>
    </xf>
    <xf numFmtId="0" fontId="21" fillId="0" borderId="53" xfId="4" applyFont="1" applyFill="1" applyBorder="1" applyAlignment="1" applyProtection="1">
      <alignment horizontal="center" vertical="center" wrapText="1"/>
      <protection locked="0"/>
    </xf>
    <xf numFmtId="0" fontId="13" fillId="15" borderId="72" xfId="5" applyFont="1" applyFill="1" applyBorder="1" applyAlignment="1" applyProtection="1">
      <alignment horizontal="center" vertical="center" wrapText="1"/>
    </xf>
    <xf numFmtId="0" fontId="13" fillId="15" borderId="53" xfId="5" applyFont="1" applyFill="1" applyBorder="1" applyAlignment="1" applyProtection="1">
      <alignment horizontal="center" vertical="center" wrapText="1"/>
    </xf>
    <xf numFmtId="0" fontId="21" fillId="0" borderId="104" xfId="2" applyFont="1" applyBorder="1" applyAlignment="1" applyProtection="1">
      <alignment horizontal="center" vertical="center" wrapText="1"/>
      <protection locked="0"/>
    </xf>
    <xf numFmtId="0" fontId="21" fillId="0" borderId="105" xfId="2" applyFont="1" applyBorder="1" applyAlignment="1" applyProtection="1">
      <alignment horizontal="center" vertical="center" wrapText="1"/>
      <protection locked="0"/>
    </xf>
    <xf numFmtId="0" fontId="21" fillId="0" borderId="104" xfId="4" applyFont="1" applyFill="1" applyBorder="1" applyAlignment="1" applyProtection="1">
      <alignment horizontal="center" vertical="center" wrapText="1"/>
      <protection locked="0"/>
    </xf>
    <xf numFmtId="0" fontId="21" fillId="0" borderId="166" xfId="4" applyFont="1" applyFill="1" applyBorder="1" applyAlignment="1" applyProtection="1">
      <alignment horizontal="center" vertical="center" wrapText="1"/>
      <protection locked="0"/>
    </xf>
    <xf numFmtId="0" fontId="21" fillId="0" borderId="167" xfId="4" applyFont="1" applyFill="1" applyBorder="1" applyAlignment="1" applyProtection="1">
      <alignment horizontal="center" vertical="center" wrapText="1"/>
      <protection locked="0"/>
    </xf>
    <xf numFmtId="0" fontId="21" fillId="0" borderId="174" xfId="4" applyFont="1" applyFill="1" applyBorder="1" applyAlignment="1" applyProtection="1">
      <alignment horizontal="center" vertical="center" wrapText="1"/>
      <protection locked="0"/>
    </xf>
    <xf numFmtId="0" fontId="21" fillId="0" borderId="169" xfId="4" applyFont="1" applyFill="1" applyBorder="1" applyAlignment="1" applyProtection="1">
      <alignment horizontal="center" vertical="center" wrapText="1"/>
      <protection locked="0"/>
    </xf>
    <xf numFmtId="0" fontId="21" fillId="0" borderId="168" xfId="4" applyFont="1" applyFill="1" applyBorder="1" applyAlignment="1" applyProtection="1">
      <alignment horizontal="center" vertical="center" wrapText="1"/>
      <protection locked="0"/>
    </xf>
    <xf numFmtId="0" fontId="21" fillId="0" borderId="105" xfId="4" applyFont="1" applyFill="1" applyBorder="1" applyAlignment="1" applyProtection="1">
      <alignment horizontal="center" vertical="center" wrapText="1"/>
      <protection locked="0"/>
    </xf>
    <xf numFmtId="0" fontId="13" fillId="15" borderId="104" xfId="5" applyFont="1" applyFill="1" applyBorder="1" applyAlignment="1" applyProtection="1">
      <alignment horizontal="center" vertical="center" wrapText="1"/>
    </xf>
    <xf numFmtId="0" fontId="13" fillId="15" borderId="105" xfId="5" applyFont="1" applyFill="1" applyBorder="1" applyAlignment="1" applyProtection="1">
      <alignment horizontal="center" vertical="center" wrapText="1"/>
    </xf>
    <xf numFmtId="0" fontId="21" fillId="0" borderId="35" xfId="4" applyFont="1" applyFill="1" applyBorder="1" applyAlignment="1" applyProtection="1">
      <alignment horizontal="center" vertical="center" wrapText="1"/>
      <protection locked="0"/>
    </xf>
    <xf numFmtId="0" fontId="13" fillId="15" borderId="50" xfId="5" applyFont="1" applyFill="1" applyBorder="1" applyAlignment="1" applyProtection="1">
      <alignment horizontal="center" vertical="center" wrapText="1"/>
    </xf>
    <xf numFmtId="0" fontId="13" fillId="15" borderId="54" xfId="5" applyFont="1" applyFill="1" applyBorder="1" applyAlignment="1" applyProtection="1">
      <alignment horizontal="center" vertical="center" wrapText="1"/>
    </xf>
    <xf numFmtId="0" fontId="21" fillId="0" borderId="50" xfId="2" applyFont="1" applyBorder="1" applyAlignment="1" applyProtection="1">
      <alignment horizontal="center" vertical="center" wrapText="1"/>
      <protection locked="0"/>
    </xf>
    <xf numFmtId="0" fontId="21" fillId="0" borderId="54" xfId="2" applyFont="1" applyBorder="1" applyAlignment="1" applyProtection="1">
      <alignment horizontal="center" vertical="center" wrapText="1"/>
      <protection locked="0"/>
    </xf>
    <xf numFmtId="0" fontId="21" fillId="0" borderId="36" xfId="4" applyFont="1" applyFill="1" applyBorder="1" applyAlignment="1" applyProtection="1">
      <alignment horizontal="center" vertical="center" wrapText="1"/>
      <protection locked="0"/>
    </xf>
    <xf numFmtId="0" fontId="21" fillId="0" borderId="115" xfId="4" applyFont="1" applyFill="1" applyBorder="1" applyAlignment="1" applyProtection="1">
      <alignment horizontal="center" vertical="center" wrapText="1"/>
      <protection locked="0"/>
    </xf>
    <xf numFmtId="0" fontId="21" fillId="0" borderId="116" xfId="4" applyFont="1" applyFill="1" applyBorder="1" applyAlignment="1" applyProtection="1">
      <alignment horizontal="center" vertical="center" wrapText="1"/>
      <protection locked="0"/>
    </xf>
    <xf numFmtId="0" fontId="28" fillId="0" borderId="35" xfId="4" applyFont="1" applyFill="1" applyBorder="1" applyAlignment="1" applyProtection="1">
      <alignment horizontal="center" vertical="center" wrapText="1"/>
      <protection locked="0"/>
    </xf>
    <xf numFmtId="0" fontId="28" fillId="0" borderId="54" xfId="4" applyFont="1" applyFill="1" applyBorder="1" applyAlignment="1" applyProtection="1">
      <alignment horizontal="center" vertical="center" wrapText="1"/>
      <protection locked="0"/>
    </xf>
    <xf numFmtId="0" fontId="21" fillId="0" borderId="50" xfId="0" applyFont="1" applyBorder="1" applyAlignment="1" applyProtection="1">
      <alignment horizontal="center" vertical="center" shrinkToFit="1"/>
      <protection locked="0"/>
    </xf>
    <xf numFmtId="0" fontId="21" fillId="0" borderId="54" xfId="0" applyFont="1" applyBorder="1" applyAlignment="1" applyProtection="1">
      <alignment horizontal="center" vertical="center" shrinkToFit="1"/>
      <protection locked="0"/>
    </xf>
    <xf numFmtId="0" fontId="28" fillId="0" borderId="50" xfId="4" applyFont="1" applyFill="1" applyBorder="1" applyAlignment="1" applyProtection="1">
      <alignment horizontal="center" vertical="center" wrapText="1"/>
      <protection locked="0"/>
    </xf>
    <xf numFmtId="0" fontId="28" fillId="0" borderId="36" xfId="4" applyFont="1" applyFill="1" applyBorder="1" applyAlignment="1" applyProtection="1">
      <alignment horizontal="center" vertical="center" wrapText="1"/>
      <protection locked="0"/>
    </xf>
    <xf numFmtId="0" fontId="28" fillId="0" borderId="115" xfId="4" applyFont="1" applyFill="1" applyBorder="1" applyAlignment="1" applyProtection="1">
      <alignment horizontal="center" vertical="center" wrapText="1"/>
      <protection locked="0"/>
    </xf>
    <xf numFmtId="0" fontId="28" fillId="0" borderId="116" xfId="4" applyFont="1" applyFill="1" applyBorder="1" applyAlignment="1" applyProtection="1">
      <alignment horizontal="center" vertical="center" wrapText="1"/>
      <protection locked="0"/>
    </xf>
    <xf numFmtId="0" fontId="28" fillId="0" borderId="70" xfId="4" applyFont="1" applyFill="1" applyBorder="1" applyAlignment="1" applyProtection="1">
      <alignment horizontal="center" vertical="center" wrapText="1"/>
      <protection locked="0"/>
    </xf>
    <xf numFmtId="0" fontId="21" fillId="0" borderId="50" xfId="0" applyFont="1" applyFill="1" applyBorder="1" applyAlignment="1" applyProtection="1">
      <alignment horizontal="center" vertical="center" shrinkToFit="1"/>
      <protection locked="0"/>
    </xf>
    <xf numFmtId="0" fontId="21" fillId="0" borderId="54" xfId="0" applyFont="1" applyFill="1" applyBorder="1" applyAlignment="1" applyProtection="1">
      <alignment horizontal="center" vertical="center" shrinkToFit="1"/>
      <protection locked="0"/>
    </xf>
    <xf numFmtId="0" fontId="21" fillId="0" borderId="50" xfId="2" applyFont="1" applyFill="1" applyBorder="1" applyAlignment="1" applyProtection="1">
      <alignment horizontal="center" vertical="center" wrapText="1"/>
      <protection locked="0"/>
    </xf>
    <xf numFmtId="0" fontId="21" fillId="0" borderId="54" xfId="2" applyFont="1" applyFill="1" applyBorder="1" applyAlignment="1" applyProtection="1">
      <alignment horizontal="center" vertical="center" wrapText="1"/>
      <protection locked="0"/>
    </xf>
    <xf numFmtId="0" fontId="21" fillId="0" borderId="70" xfId="4" applyFont="1" applyFill="1" applyBorder="1" applyAlignment="1" applyProtection="1">
      <alignment horizontal="center" vertical="center" wrapText="1"/>
      <protection locked="0"/>
    </xf>
    <xf numFmtId="0" fontId="21" fillId="0" borderId="49" xfId="0" applyFont="1" applyBorder="1" applyAlignment="1" applyProtection="1">
      <alignment horizontal="center" vertical="center" shrinkToFit="1"/>
      <protection locked="0"/>
    </xf>
    <xf numFmtId="0" fontId="21" fillId="0" borderId="60" xfId="0" applyFont="1" applyBorder="1" applyAlignment="1" applyProtection="1">
      <alignment horizontal="center" vertical="center" shrinkToFit="1"/>
      <protection locked="0"/>
    </xf>
    <xf numFmtId="0" fontId="21" fillId="0" borderId="51" xfId="4" applyFont="1" applyFill="1" applyBorder="1" applyAlignment="1" applyProtection="1">
      <alignment horizontal="center" vertical="center" wrapText="1"/>
      <protection locked="0"/>
    </xf>
    <xf numFmtId="0" fontId="21" fillId="0" borderId="71" xfId="4" applyFont="1" applyFill="1" applyBorder="1" applyAlignment="1" applyProtection="1">
      <alignment horizontal="center" vertical="center" wrapText="1"/>
      <protection locked="0"/>
    </xf>
    <xf numFmtId="0" fontId="21" fillId="0" borderId="79" xfId="4" applyFont="1" applyFill="1" applyBorder="1" applyAlignment="1" applyProtection="1">
      <alignment horizontal="center" vertical="center" wrapText="1"/>
      <protection locked="0"/>
    </xf>
    <xf numFmtId="0" fontId="21" fillId="0" borderId="114" xfId="4" applyFont="1" applyFill="1" applyBorder="1" applyAlignment="1" applyProtection="1">
      <alignment horizontal="center" vertical="center" wrapText="1"/>
      <protection locked="0"/>
    </xf>
    <xf numFmtId="0" fontId="21" fillId="0" borderId="113" xfId="4" applyFont="1" applyFill="1" applyBorder="1" applyAlignment="1" applyProtection="1">
      <alignment horizontal="center" vertical="center" wrapText="1"/>
      <protection locked="0"/>
    </xf>
    <xf numFmtId="0" fontId="13" fillId="10" borderId="121" xfId="6" applyFont="1" applyFill="1" applyBorder="1" applyAlignment="1" applyProtection="1">
      <alignment horizontal="center" vertical="center" wrapText="1"/>
    </xf>
    <xf numFmtId="0" fontId="13" fillId="10" borderId="68" xfId="6" applyFont="1" applyFill="1" applyBorder="1" applyAlignment="1" applyProtection="1">
      <alignment horizontal="center" vertical="center" wrapText="1"/>
    </xf>
    <xf numFmtId="0" fontId="13" fillId="10" borderId="81" xfId="6" applyFont="1" applyFill="1" applyBorder="1" applyAlignment="1" applyProtection="1">
      <alignment horizontal="center" vertical="center" wrapText="1"/>
    </xf>
    <xf numFmtId="0" fontId="13" fillId="10" borderId="61" xfId="6" applyFont="1" applyFill="1" applyBorder="1" applyAlignment="1" applyProtection="1">
      <alignment horizontal="center" vertical="center" wrapText="1"/>
    </xf>
    <xf numFmtId="0" fontId="13" fillId="10" borderId="67" xfId="6" applyFont="1" applyFill="1" applyBorder="1" applyAlignment="1" applyProtection="1">
      <alignment horizontal="center" vertical="center" wrapText="1"/>
    </xf>
    <xf numFmtId="0" fontId="13" fillId="10" borderId="120" xfId="6" applyFont="1" applyFill="1" applyBorder="1" applyAlignment="1" applyProtection="1">
      <alignment horizontal="center" vertical="center" wrapText="1"/>
    </xf>
    <xf numFmtId="0" fontId="13" fillId="10" borderId="63" xfId="6" applyFont="1" applyFill="1" applyBorder="1" applyAlignment="1" applyProtection="1">
      <alignment horizontal="center" vertical="center" wrapText="1"/>
    </xf>
    <xf numFmtId="0" fontId="13" fillId="10" borderId="90" xfId="6" applyFont="1" applyFill="1" applyBorder="1" applyAlignment="1" applyProtection="1">
      <alignment horizontal="center" vertical="center" wrapText="1"/>
    </xf>
    <xf numFmtId="0" fontId="13" fillId="10" borderId="28" xfId="6" applyFont="1" applyFill="1" applyBorder="1" applyAlignment="1" applyProtection="1">
      <alignment horizontal="center" vertical="center" wrapText="1"/>
    </xf>
    <xf numFmtId="0" fontId="13" fillId="10" borderId="3" xfId="6" applyFont="1" applyFill="1" applyBorder="1" applyAlignment="1" applyProtection="1">
      <alignment horizontal="center" vertical="center" wrapText="1"/>
    </xf>
    <xf numFmtId="0" fontId="13" fillId="10" borderId="25" xfId="6" applyFont="1" applyFill="1" applyBorder="1" applyAlignment="1" applyProtection="1">
      <alignment horizontal="center" vertical="center" wrapText="1"/>
    </xf>
    <xf numFmtId="0" fontId="13" fillId="10" borderId="22" xfId="6" applyFont="1" applyFill="1" applyBorder="1" applyAlignment="1" applyProtection="1">
      <alignment horizontal="center" vertical="center" wrapText="1"/>
    </xf>
    <xf numFmtId="0" fontId="13" fillId="10" borderId="4" xfId="6" applyFont="1" applyFill="1" applyBorder="1" applyAlignment="1" applyProtection="1">
      <alignment horizontal="center" vertical="center" wrapText="1"/>
    </xf>
    <xf numFmtId="0" fontId="13" fillId="10" borderId="19" xfId="6" applyFont="1" applyFill="1" applyBorder="1" applyAlignment="1" applyProtection="1">
      <alignment horizontal="center" vertical="center" wrapText="1"/>
    </xf>
    <xf numFmtId="0" fontId="13" fillId="6" borderId="14" xfId="4" applyFont="1" applyFill="1" applyBorder="1" applyAlignment="1" applyProtection="1">
      <alignment horizontal="center" vertical="center" wrapText="1"/>
    </xf>
    <xf numFmtId="0" fontId="13" fillId="6" borderId="80" xfId="4" applyFont="1" applyFill="1" applyBorder="1" applyAlignment="1" applyProtection="1">
      <alignment horizontal="center" vertical="center" wrapText="1"/>
    </xf>
    <xf numFmtId="0" fontId="13" fillId="10" borderId="76" xfId="6" applyFont="1" applyFill="1" applyBorder="1" applyAlignment="1" applyProtection="1">
      <alignment horizontal="center" vertical="center" wrapText="1"/>
    </xf>
    <xf numFmtId="0" fontId="13" fillId="10" borderId="74" xfId="6" applyFont="1" applyFill="1" applyBorder="1" applyAlignment="1" applyProtection="1">
      <alignment horizontal="center" vertical="center" wrapText="1"/>
    </xf>
    <xf numFmtId="0" fontId="13" fillId="10" borderId="66" xfId="6" applyFont="1" applyFill="1" applyBorder="1" applyAlignment="1" applyProtection="1">
      <alignment horizontal="center" vertical="center" wrapText="1"/>
    </xf>
    <xf numFmtId="0" fontId="13" fillId="10" borderId="55" xfId="6" applyFont="1" applyFill="1" applyBorder="1" applyAlignment="1" applyProtection="1">
      <alignment horizontal="center" vertical="center" wrapText="1"/>
    </xf>
    <xf numFmtId="0" fontId="13" fillId="10" borderId="75" xfId="6" applyFont="1" applyFill="1" applyBorder="1" applyAlignment="1" applyProtection="1">
      <alignment horizontal="center" vertical="center" wrapText="1"/>
    </xf>
    <xf numFmtId="0" fontId="13" fillId="10" borderId="62" xfId="6" applyFont="1" applyFill="1" applyBorder="1" applyAlignment="1" applyProtection="1">
      <alignment horizontal="center" vertical="center" wrapText="1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15" borderId="4" xfId="6" applyFont="1" applyFill="1" applyBorder="1" applyAlignment="1" applyProtection="1">
      <alignment horizontal="center" vertical="center" wrapText="1"/>
    </xf>
    <xf numFmtId="0" fontId="13" fillId="15" borderId="28" xfId="6" applyFont="1" applyFill="1" applyBorder="1" applyAlignment="1" applyProtection="1">
      <alignment horizontal="center" vertical="center" wrapText="1"/>
    </xf>
    <xf numFmtId="0" fontId="13" fillId="15" borderId="25" xfId="6" applyFont="1" applyFill="1" applyBorder="1" applyAlignment="1" applyProtection="1">
      <alignment horizontal="center" vertical="center" wrapText="1"/>
    </xf>
    <xf numFmtId="0" fontId="13" fillId="15" borderId="6" xfId="6" applyFont="1" applyFill="1" applyBorder="1" applyAlignment="1" applyProtection="1">
      <alignment horizontal="center" vertical="center" wrapText="1"/>
    </xf>
    <xf numFmtId="0" fontId="13" fillId="15" borderId="0" xfId="6" applyFont="1" applyFill="1" applyBorder="1" applyAlignment="1" applyProtection="1">
      <alignment horizontal="center" vertical="center" wrapText="1"/>
    </xf>
    <xf numFmtId="0" fontId="13" fillId="15" borderId="21" xfId="6" applyFont="1" applyFill="1" applyBorder="1" applyAlignment="1" applyProtection="1">
      <alignment horizontal="center" vertical="center" wrapText="1"/>
    </xf>
    <xf numFmtId="0" fontId="13" fillId="15" borderId="19" xfId="6" applyFont="1" applyFill="1" applyBorder="1" applyAlignment="1" applyProtection="1">
      <alignment horizontal="center" vertical="center" wrapText="1"/>
    </xf>
    <xf numFmtId="0" fontId="13" fillId="15" borderId="3" xfId="6" applyFont="1" applyFill="1" applyBorder="1" applyAlignment="1" applyProtection="1">
      <alignment horizontal="center" vertical="center" wrapText="1"/>
    </xf>
    <xf numFmtId="0" fontId="13" fillId="15" borderId="22" xfId="6" applyFont="1" applyFill="1" applyBorder="1" applyAlignment="1" applyProtection="1">
      <alignment horizontal="center" vertical="center" wrapText="1"/>
    </xf>
    <xf numFmtId="0" fontId="13" fillId="15" borderId="49" xfId="6" applyFont="1" applyFill="1" applyBorder="1" applyAlignment="1" applyProtection="1">
      <alignment horizontal="center" vertical="center" wrapText="1"/>
    </xf>
    <xf numFmtId="0" fontId="13" fillId="15" borderId="79" xfId="6" applyFont="1" applyFill="1" applyBorder="1" applyAlignment="1" applyProtection="1">
      <alignment horizontal="center" vertical="center" wrapText="1"/>
    </xf>
    <xf numFmtId="0" fontId="13" fillId="15" borderId="60" xfId="6" applyFont="1" applyFill="1" applyBorder="1" applyAlignment="1" applyProtection="1">
      <alignment horizontal="center" vertical="center" wrapText="1"/>
    </xf>
    <xf numFmtId="0" fontId="13" fillId="10" borderId="107" xfId="6" applyFont="1" applyFill="1" applyBorder="1" applyAlignment="1" applyProtection="1">
      <alignment horizontal="center" vertical="center" wrapText="1"/>
    </xf>
    <xf numFmtId="0" fontId="13" fillId="10" borderId="16" xfId="6" applyFont="1" applyFill="1" applyBorder="1" applyAlignment="1" applyProtection="1">
      <alignment horizontal="center" vertical="center" wrapText="1"/>
    </xf>
    <xf numFmtId="0" fontId="13" fillId="15" borderId="50" xfId="6" applyFont="1" applyFill="1" applyBorder="1" applyAlignment="1" applyProtection="1">
      <alignment horizontal="center" vertical="center" wrapText="1"/>
    </xf>
    <xf numFmtId="0" fontId="13" fillId="15" borderId="70" xfId="6" applyFont="1" applyFill="1" applyBorder="1" applyAlignment="1" applyProtection="1">
      <alignment horizontal="center" vertical="center" wrapText="1"/>
    </xf>
    <xf numFmtId="0" fontId="13" fillId="15" borderId="54" xfId="6" applyFont="1" applyFill="1" applyBorder="1" applyAlignment="1" applyProtection="1">
      <alignment horizontal="center" vertical="center" wrapText="1"/>
    </xf>
    <xf numFmtId="0" fontId="13" fillId="15" borderId="104" xfId="6" applyFont="1" applyFill="1" applyBorder="1" applyAlignment="1" applyProtection="1">
      <alignment horizontal="center" vertical="center" wrapText="1"/>
    </xf>
    <xf numFmtId="0" fontId="13" fillId="15" borderId="105" xfId="6" applyFont="1" applyFill="1" applyBorder="1" applyAlignment="1" applyProtection="1">
      <alignment horizontal="center" vertical="center" wrapText="1"/>
    </xf>
    <xf numFmtId="0" fontId="13" fillId="6" borderId="100" xfId="4" applyFont="1" applyFill="1" applyBorder="1" applyAlignment="1" applyProtection="1">
      <alignment horizontal="center" vertical="center" wrapText="1"/>
    </xf>
    <xf numFmtId="0" fontId="13" fillId="15" borderId="56" xfId="6" applyFont="1" applyFill="1" applyBorder="1" applyAlignment="1" applyProtection="1">
      <alignment horizontal="center" vertical="center" wrapText="1"/>
    </xf>
    <xf numFmtId="0" fontId="13" fillId="15" borderId="72" xfId="6" applyFont="1" applyFill="1" applyBorder="1" applyAlignment="1" applyProtection="1">
      <alignment horizontal="center" vertical="center" wrapText="1"/>
    </xf>
    <xf numFmtId="0" fontId="13" fillId="15" borderId="53" xfId="6" applyFont="1" applyFill="1" applyBorder="1" applyAlignment="1" applyProtection="1">
      <alignment horizontal="center" vertical="center" wrapText="1"/>
    </xf>
    <xf numFmtId="0" fontId="13" fillId="15" borderId="56" xfId="4" applyFont="1" applyFill="1" applyBorder="1" applyAlignment="1" applyProtection="1">
      <alignment horizontal="center" vertical="center" wrapText="1"/>
    </xf>
    <xf numFmtId="0" fontId="13" fillId="15" borderId="52" xfId="4" applyFont="1" applyFill="1" applyBorder="1" applyAlignment="1" applyProtection="1">
      <alignment horizontal="center" vertical="center" wrapText="1"/>
    </xf>
    <xf numFmtId="0" fontId="13" fillId="15" borderId="117" xfId="4" applyFont="1" applyFill="1" applyBorder="1" applyAlignment="1" applyProtection="1">
      <alignment horizontal="center" vertical="center" wrapText="1"/>
    </xf>
    <xf numFmtId="0" fontId="13" fillId="15" borderId="118" xfId="4" applyFont="1" applyFill="1" applyBorder="1" applyAlignment="1" applyProtection="1">
      <alignment horizontal="center" vertical="center" wrapText="1"/>
    </xf>
    <xf numFmtId="0" fontId="13" fillId="15" borderId="119" xfId="4" applyFont="1" applyFill="1" applyBorder="1" applyAlignment="1" applyProtection="1">
      <alignment horizontal="center" vertical="center" wrapText="1"/>
    </xf>
    <xf numFmtId="0" fontId="61" fillId="15" borderId="14" xfId="4" applyFont="1" applyFill="1" applyBorder="1" applyAlignment="1" applyProtection="1">
      <alignment horizontal="center" vertical="center" wrapText="1"/>
    </xf>
    <xf numFmtId="0" fontId="61" fillId="15" borderId="100" xfId="4" applyFont="1" applyFill="1" applyBorder="1" applyAlignment="1" applyProtection="1">
      <alignment horizontal="center" vertical="center" wrapText="1"/>
    </xf>
    <xf numFmtId="0" fontId="61" fillId="15" borderId="170" xfId="4" applyFont="1" applyFill="1" applyBorder="1" applyAlignment="1" applyProtection="1">
      <alignment horizontal="center" vertical="center" wrapText="1"/>
    </xf>
    <xf numFmtId="0" fontId="38" fillId="15" borderId="14" xfId="4" applyFont="1" applyFill="1" applyBorder="1" applyAlignment="1" applyProtection="1">
      <alignment horizontal="center" vertical="center" wrapText="1"/>
    </xf>
    <xf numFmtId="0" fontId="38" fillId="15" borderId="17" xfId="4" applyFont="1" applyFill="1" applyBorder="1" applyAlignment="1" applyProtection="1">
      <alignment horizontal="center" vertical="center" wrapText="1"/>
    </xf>
    <xf numFmtId="0" fontId="38" fillId="15" borderId="80" xfId="4" applyFont="1" applyFill="1" applyBorder="1" applyAlignment="1" applyProtection="1">
      <alignment horizontal="center" vertical="center" wrapText="1"/>
    </xf>
    <xf numFmtId="0" fontId="21" fillId="0" borderId="77" xfId="4" applyFont="1" applyFill="1" applyBorder="1" applyAlignment="1" applyProtection="1">
      <alignment horizontal="center" vertical="center" wrapText="1"/>
      <protection locked="0"/>
    </xf>
    <xf numFmtId="0" fontId="21" fillId="0" borderId="21" xfId="4" applyFont="1" applyFill="1" applyBorder="1" applyAlignment="1" applyProtection="1">
      <alignment horizontal="center" vertical="center" wrapText="1"/>
      <protection locked="0"/>
    </xf>
    <xf numFmtId="0" fontId="21" fillId="0" borderId="20" xfId="4" applyFont="1" applyFill="1" applyBorder="1" applyAlignment="1" applyProtection="1">
      <alignment horizontal="center" vertical="center" wrapText="1"/>
      <protection locked="0"/>
    </xf>
    <xf numFmtId="0" fontId="21" fillId="0" borderId="91" xfId="4" applyFont="1" applyFill="1" applyBorder="1" applyAlignment="1" applyProtection="1">
      <alignment horizontal="center" vertical="center" wrapText="1"/>
      <protection locked="0"/>
    </xf>
    <xf numFmtId="0" fontId="21" fillId="0" borderId="63" xfId="4" applyFont="1" applyFill="1" applyBorder="1" applyAlignment="1" applyProtection="1">
      <alignment horizontal="center" vertical="center" wrapText="1"/>
      <protection locked="0"/>
    </xf>
    <xf numFmtId="0" fontId="21" fillId="0" borderId="90" xfId="4" applyFont="1" applyFill="1" applyBorder="1" applyAlignment="1" applyProtection="1">
      <alignment horizontal="center" vertical="center" wrapText="1"/>
      <protection locked="0"/>
    </xf>
    <xf numFmtId="0" fontId="21" fillId="0" borderId="81" xfId="4" applyFont="1" applyFill="1" applyBorder="1" applyAlignment="1" applyProtection="1">
      <alignment horizontal="center" vertical="center" wrapText="1"/>
      <protection locked="0"/>
    </xf>
    <xf numFmtId="0" fontId="21" fillId="0" borderId="61" xfId="4" applyFont="1" applyFill="1" applyBorder="1" applyAlignment="1" applyProtection="1">
      <alignment horizontal="center" vertical="center" wrapText="1"/>
      <protection locked="0"/>
    </xf>
    <xf numFmtId="0" fontId="13" fillId="15" borderId="53" xfId="4" applyFont="1" applyFill="1" applyBorder="1" applyAlignment="1" applyProtection="1">
      <alignment horizontal="center" vertical="center" wrapText="1"/>
    </xf>
    <xf numFmtId="0" fontId="21" fillId="0" borderId="22" xfId="4" applyFont="1" applyFill="1" applyBorder="1" applyAlignment="1" applyProtection="1">
      <alignment horizontal="center" vertical="center" wrapText="1"/>
      <protection locked="0"/>
    </xf>
    <xf numFmtId="0" fontId="21" fillId="0" borderId="170" xfId="0" applyFont="1" applyBorder="1" applyAlignment="1" applyProtection="1">
      <alignment horizontal="center" vertical="center" shrinkToFit="1"/>
      <protection locked="0"/>
    </xf>
    <xf numFmtId="0" fontId="21" fillId="0" borderId="73" xfId="0" applyFont="1" applyBorder="1" applyAlignment="1" applyProtection="1">
      <alignment horizontal="center" vertical="center" shrinkToFit="1"/>
      <protection locked="0"/>
    </xf>
    <xf numFmtId="0" fontId="21" fillId="0" borderId="80" xfId="0" applyFont="1" applyBorder="1" applyAlignment="1" applyProtection="1">
      <alignment horizontal="center" vertical="center" shrinkToFit="1"/>
      <protection locked="0"/>
    </xf>
    <xf numFmtId="0" fontId="13" fillId="15" borderId="4" xfId="5" applyFont="1" applyFill="1" applyBorder="1" applyAlignment="1" applyProtection="1">
      <alignment horizontal="center" vertical="center" wrapText="1"/>
    </xf>
    <xf numFmtId="0" fontId="13" fillId="15" borderId="25" xfId="5" applyFont="1" applyFill="1" applyBorder="1" applyAlignment="1" applyProtection="1">
      <alignment horizontal="center" vertical="center" wrapText="1"/>
    </xf>
    <xf numFmtId="0" fontId="13" fillId="15" borderId="6" xfId="5" applyFont="1" applyFill="1" applyBorder="1" applyAlignment="1" applyProtection="1">
      <alignment horizontal="center" vertical="center" wrapText="1"/>
    </xf>
    <xf numFmtId="0" fontId="13" fillId="15" borderId="21" xfId="5" applyFont="1" applyFill="1" applyBorder="1" applyAlignment="1" applyProtection="1">
      <alignment horizontal="center" vertical="center" wrapText="1"/>
    </xf>
    <xf numFmtId="0" fontId="13" fillId="15" borderId="19" xfId="5" applyFont="1" applyFill="1" applyBorder="1" applyAlignment="1" applyProtection="1">
      <alignment horizontal="center" vertical="center" wrapText="1"/>
    </xf>
    <xf numFmtId="0" fontId="13" fillId="15" borderId="22" xfId="5" applyFont="1" applyFill="1" applyBorder="1" applyAlignment="1" applyProtection="1">
      <alignment horizontal="center" vertical="center" wrapText="1"/>
    </xf>
    <xf numFmtId="0" fontId="21" fillId="0" borderId="19" xfId="4" applyFont="1" applyFill="1" applyBorder="1" applyAlignment="1" applyProtection="1">
      <alignment horizontal="center" vertical="center" wrapText="1"/>
      <protection locked="0"/>
    </xf>
    <xf numFmtId="0" fontId="21" fillId="0" borderId="119" xfId="4" applyFont="1" applyFill="1" applyBorder="1" applyAlignment="1" applyProtection="1">
      <alignment horizontal="center" vertical="center" wrapText="1"/>
      <protection locked="0"/>
    </xf>
    <xf numFmtId="0" fontId="21" fillId="0" borderId="56" xfId="4" applyFont="1" applyFill="1" applyBorder="1" applyAlignment="1" applyProtection="1">
      <alignment horizontal="center" vertical="center" wrapText="1"/>
      <protection locked="0"/>
    </xf>
    <xf numFmtId="0" fontId="21" fillId="0" borderId="38" xfId="0" applyFont="1" applyBorder="1" applyAlignment="1" applyProtection="1">
      <alignment horizontal="center" vertical="center" shrinkToFit="1"/>
      <protection locked="0"/>
    </xf>
    <xf numFmtId="0" fontId="21" fillId="9" borderId="67" xfId="4" applyFont="1" applyFill="1" applyBorder="1" applyAlignment="1" applyProtection="1">
      <alignment horizontal="center" vertical="center" wrapText="1"/>
      <protection locked="0"/>
    </xf>
    <xf numFmtId="0" fontId="21" fillId="9" borderId="25" xfId="4" applyFont="1" applyFill="1" applyBorder="1" applyAlignment="1" applyProtection="1">
      <alignment horizontal="center" vertical="center" wrapText="1"/>
      <protection locked="0"/>
    </xf>
    <xf numFmtId="0" fontId="21" fillId="9" borderId="4" xfId="0" applyFont="1" applyFill="1" applyBorder="1" applyAlignment="1" applyProtection="1">
      <alignment horizontal="center" vertical="center" shrinkToFit="1"/>
      <protection locked="0"/>
    </xf>
    <xf numFmtId="0" fontId="21" fillId="9" borderId="25" xfId="0" applyFont="1" applyFill="1" applyBorder="1" applyAlignment="1" applyProtection="1">
      <alignment horizontal="center" vertical="center" shrinkToFit="1"/>
      <protection locked="0"/>
    </xf>
    <xf numFmtId="0" fontId="21" fillId="9" borderId="121" xfId="4" applyFont="1" applyFill="1" applyBorder="1" applyAlignment="1" applyProtection="1">
      <alignment horizontal="center" vertical="center" wrapText="1"/>
      <protection locked="0"/>
    </xf>
    <xf numFmtId="0" fontId="21" fillId="9" borderId="68" xfId="4" applyFont="1" applyFill="1" applyBorder="1" applyAlignment="1" applyProtection="1">
      <alignment horizontal="center" vertical="center" wrapText="1"/>
      <protection locked="0"/>
    </xf>
    <xf numFmtId="0" fontId="21" fillId="9" borderId="49" xfId="0" applyFont="1" applyFill="1" applyBorder="1" applyAlignment="1" applyProtection="1">
      <alignment horizontal="center" vertical="center" shrinkToFit="1"/>
      <protection locked="0"/>
    </xf>
    <xf numFmtId="0" fontId="21" fillId="9" borderId="60" xfId="0" applyFont="1" applyFill="1" applyBorder="1" applyAlignment="1" applyProtection="1">
      <alignment horizontal="center" vertical="center" shrinkToFit="1"/>
      <protection locked="0"/>
    </xf>
    <xf numFmtId="0" fontId="21" fillId="9" borderId="35" xfId="4" applyFont="1" applyFill="1" applyBorder="1" applyAlignment="1" applyProtection="1">
      <alignment horizontal="center" vertical="center" wrapText="1"/>
      <protection locked="0"/>
    </xf>
    <xf numFmtId="0" fontId="21" fillId="9" borderId="50" xfId="0" applyFont="1" applyFill="1" applyBorder="1" applyAlignment="1" applyProtection="1">
      <alignment horizontal="center" vertical="center" shrinkToFit="1"/>
      <protection locked="0"/>
    </xf>
    <xf numFmtId="0" fontId="21" fillId="9" borderId="54" xfId="0" applyFont="1" applyFill="1" applyBorder="1" applyAlignment="1" applyProtection="1">
      <alignment horizontal="center" vertical="center" shrinkToFit="1"/>
      <protection locked="0"/>
    </xf>
    <xf numFmtId="0" fontId="21" fillId="9" borderId="116" xfId="4" applyFont="1" applyFill="1" applyBorder="1" applyAlignment="1" applyProtection="1">
      <alignment horizontal="center" vertical="center" wrapText="1"/>
      <protection locked="0"/>
    </xf>
    <xf numFmtId="0" fontId="21" fillId="9" borderId="36" xfId="4" applyFont="1" applyFill="1" applyBorder="1" applyAlignment="1" applyProtection="1">
      <alignment horizontal="center" vertical="center" wrapText="1"/>
      <protection locked="0"/>
    </xf>
    <xf numFmtId="0" fontId="62" fillId="9" borderId="116" xfId="4" applyFont="1" applyFill="1" applyBorder="1" applyAlignment="1" applyProtection="1">
      <alignment horizontal="center" vertical="center" wrapText="1"/>
      <protection locked="0"/>
    </xf>
    <xf numFmtId="0" fontId="62" fillId="9" borderId="36" xfId="4" applyFont="1" applyFill="1" applyBorder="1" applyAlignment="1" applyProtection="1">
      <alignment horizontal="center" vertical="center" wrapText="1"/>
      <protection locked="0"/>
    </xf>
    <xf numFmtId="0" fontId="21" fillId="9" borderId="115" xfId="4" applyFont="1" applyFill="1" applyBorder="1" applyAlignment="1" applyProtection="1">
      <alignment horizontal="center" vertical="center" wrapText="1"/>
      <protection locked="0"/>
    </xf>
    <xf numFmtId="0" fontId="21" fillId="0" borderId="104" xfId="0" applyFont="1" applyBorder="1" applyAlignment="1" applyProtection="1">
      <alignment horizontal="center" vertical="center" shrinkToFit="1"/>
      <protection locked="0"/>
    </xf>
    <xf numFmtId="0" fontId="21" fillId="0" borderId="105" xfId="0" applyFont="1" applyBorder="1" applyAlignment="1" applyProtection="1">
      <alignment horizontal="center" vertical="center" shrinkToFit="1"/>
      <protection locked="0"/>
    </xf>
    <xf numFmtId="0" fontId="21" fillId="0" borderId="6" xfId="0" applyFont="1" applyBorder="1" applyAlignment="1" applyProtection="1">
      <alignment horizontal="center" vertical="center" shrinkToFit="1"/>
      <protection locked="0"/>
    </xf>
    <xf numFmtId="0" fontId="21" fillId="0" borderId="21" xfId="0" applyFont="1" applyBorder="1" applyAlignment="1" applyProtection="1">
      <alignment horizontal="center" vertical="center" shrinkToFit="1"/>
      <protection locked="0"/>
    </xf>
    <xf numFmtId="0" fontId="21" fillId="0" borderId="0" xfId="4" applyFont="1" applyFill="1" applyBorder="1" applyAlignment="1" applyProtection="1">
      <alignment horizontal="center" vertical="center" wrapText="1"/>
      <protection locked="0"/>
    </xf>
    <xf numFmtId="0" fontId="61" fillId="15" borderId="6" xfId="4" applyFont="1" applyFill="1" applyBorder="1" applyAlignment="1" applyProtection="1">
      <alignment horizontal="center" vertical="center" wrapText="1"/>
    </xf>
    <xf numFmtId="0" fontId="21" fillId="0" borderId="4" xfId="0" applyFont="1" applyBorder="1" applyAlignment="1" applyProtection="1">
      <alignment horizontal="center" vertical="center" shrinkToFit="1"/>
      <protection locked="0"/>
    </xf>
    <xf numFmtId="0" fontId="21" fillId="0" borderId="25" xfId="0" applyFont="1" applyBorder="1" applyAlignment="1" applyProtection="1">
      <alignment horizontal="center" vertical="center" shrinkToFit="1"/>
      <protection locked="0"/>
    </xf>
    <xf numFmtId="0" fontId="21" fillId="0" borderId="56" xfId="0" applyFont="1" applyBorder="1" applyAlignment="1" applyProtection="1">
      <alignment horizontal="center" vertical="center" shrinkToFit="1"/>
      <protection locked="0"/>
    </xf>
    <xf numFmtId="0" fontId="21" fillId="0" borderId="53" xfId="0" applyFont="1" applyBorder="1" applyAlignment="1" applyProtection="1">
      <alignment horizontal="center" vertical="center" shrinkToFit="1"/>
      <protection locked="0"/>
    </xf>
    <xf numFmtId="0" fontId="21" fillId="0" borderId="37" xfId="4" applyFont="1" applyFill="1" applyBorder="1" applyAlignment="1" applyProtection="1">
      <alignment horizontal="center" vertical="center" wrapText="1"/>
      <protection locked="0"/>
    </xf>
    <xf numFmtId="0" fontId="21" fillId="0" borderId="178" xfId="4" applyFont="1" applyFill="1" applyBorder="1" applyAlignment="1" applyProtection="1">
      <alignment horizontal="center" vertical="center" wrapText="1"/>
      <protection locked="0"/>
    </xf>
    <xf numFmtId="0" fontId="21" fillId="0" borderId="179" xfId="4" applyFont="1" applyFill="1" applyBorder="1" applyAlignment="1" applyProtection="1">
      <alignment horizontal="center" vertical="center" wrapText="1"/>
      <protection locked="0"/>
    </xf>
    <xf numFmtId="0" fontId="21" fillId="0" borderId="176" xfId="4" applyFont="1" applyFill="1" applyBorder="1" applyAlignment="1" applyProtection="1">
      <alignment horizontal="center" vertical="center" wrapText="1"/>
      <protection locked="0"/>
    </xf>
    <xf numFmtId="0" fontId="61" fillId="15" borderId="17" xfId="4" applyFont="1" applyFill="1" applyBorder="1" applyAlignment="1" applyProtection="1">
      <alignment horizontal="center" vertical="center" wrapText="1"/>
    </xf>
    <xf numFmtId="0" fontId="0" fillId="0" borderId="169" xfId="0" applyBorder="1" applyAlignment="1" applyProtection="1">
      <alignment horizontal="center" vertical="center"/>
      <protection locked="0"/>
    </xf>
    <xf numFmtId="0" fontId="0" fillId="0" borderId="166" xfId="0" applyBorder="1" applyAlignment="1" applyProtection="1">
      <alignment horizontal="center" vertical="center"/>
      <protection locked="0"/>
    </xf>
    <xf numFmtId="0" fontId="13" fillId="10" borderId="20" xfId="6" applyFont="1" applyFill="1" applyBorder="1" applyAlignment="1" applyProtection="1">
      <alignment horizontal="center" vertical="center" wrapText="1"/>
    </xf>
    <xf numFmtId="0" fontId="13" fillId="10" borderId="91" xfId="6" applyFont="1" applyFill="1" applyBorder="1" applyAlignment="1" applyProtection="1">
      <alignment horizontal="center" vertical="center" wrapText="1"/>
    </xf>
    <xf numFmtId="0" fontId="13" fillId="10" borderId="77" xfId="6" applyFont="1" applyFill="1" applyBorder="1" applyAlignment="1" applyProtection="1">
      <alignment horizontal="center" vertical="center" wrapText="1"/>
    </xf>
    <xf numFmtId="0" fontId="13" fillId="10" borderId="7" xfId="6" applyFont="1" applyFill="1" applyBorder="1" applyAlignment="1" applyProtection="1">
      <alignment horizontal="center" vertical="center" wrapText="1"/>
    </xf>
    <xf numFmtId="0" fontId="21" fillId="0" borderId="19" xfId="0" applyFont="1" applyBorder="1" applyAlignment="1" applyProtection="1">
      <alignment horizontal="center" vertical="center" shrinkToFit="1"/>
      <protection locked="0"/>
    </xf>
    <xf numFmtId="0" fontId="21" fillId="0" borderId="22" xfId="0" applyFont="1" applyBorder="1" applyAlignment="1" applyProtection="1">
      <alignment horizontal="center" vertical="center" shrinkToFit="1"/>
      <protection locked="0"/>
    </xf>
    <xf numFmtId="0" fontId="21" fillId="0" borderId="3" xfId="4" applyFont="1" applyFill="1" applyBorder="1" applyAlignment="1" applyProtection="1">
      <alignment horizontal="center" vertical="center" wrapText="1"/>
      <protection locked="0"/>
    </xf>
    <xf numFmtId="0" fontId="21" fillId="0" borderId="64" xfId="4" applyFont="1" applyFill="1" applyBorder="1" applyAlignment="1" applyProtection="1">
      <alignment horizontal="center" vertical="center" wrapText="1"/>
      <protection locked="0"/>
    </xf>
    <xf numFmtId="0" fontId="21" fillId="0" borderId="29" xfId="4" applyFont="1" applyFill="1" applyBorder="1" applyAlignment="1" applyProtection="1">
      <alignment horizontal="center" vertical="center" wrapText="1"/>
      <protection locked="0"/>
    </xf>
    <xf numFmtId="0" fontId="21" fillId="0" borderId="24" xfId="0" applyFont="1" applyBorder="1" applyAlignment="1" applyProtection="1">
      <alignment horizontal="center" vertical="center" shrinkToFit="1"/>
      <protection locked="0"/>
    </xf>
    <xf numFmtId="0" fontId="21" fillId="0" borderId="29" xfId="0" applyFont="1" applyBorder="1" applyAlignment="1" applyProtection="1">
      <alignment horizontal="center" vertical="center" shrinkToFit="1"/>
      <protection locked="0"/>
    </xf>
    <xf numFmtId="0" fontId="21" fillId="0" borderId="24" xfId="4" applyFont="1" applyFill="1" applyBorder="1" applyAlignment="1" applyProtection="1">
      <alignment horizontal="center" vertical="center" wrapText="1"/>
      <protection locked="0"/>
    </xf>
    <xf numFmtId="0" fontId="21" fillId="0" borderId="65" xfId="4" applyFont="1" applyFill="1" applyBorder="1" applyAlignment="1" applyProtection="1">
      <alignment horizontal="center" vertical="center" wrapText="1"/>
      <protection locked="0"/>
    </xf>
    <xf numFmtId="0" fontId="21" fillId="0" borderId="107" xfId="4" applyFont="1" applyFill="1" applyBorder="1" applyAlignment="1" applyProtection="1">
      <alignment horizontal="center" vertical="center" wrapText="1"/>
      <protection locked="0"/>
    </xf>
    <xf numFmtId="0" fontId="21" fillId="0" borderId="16" xfId="4" applyFont="1" applyFill="1" applyBorder="1" applyAlignment="1" applyProtection="1">
      <alignment horizontal="center" vertical="center" wrapText="1"/>
      <protection locked="0"/>
    </xf>
    <xf numFmtId="0" fontId="21" fillId="9" borderId="170" xfId="4" applyFont="1" applyFill="1" applyBorder="1" applyAlignment="1" applyProtection="1">
      <alignment horizontal="center" vertical="center" wrapText="1"/>
      <protection locked="0"/>
    </xf>
    <xf numFmtId="0" fontId="21" fillId="9" borderId="176" xfId="4" applyFont="1" applyFill="1" applyBorder="1" applyAlignment="1" applyProtection="1">
      <alignment horizontal="center" vertical="center" wrapText="1"/>
      <protection locked="0"/>
    </xf>
    <xf numFmtId="0" fontId="21" fillId="0" borderId="177" xfId="4" applyFont="1" applyFill="1" applyBorder="1" applyAlignment="1" applyProtection="1">
      <alignment horizontal="center" vertical="center" wrapText="1"/>
      <protection locked="0"/>
    </xf>
    <xf numFmtId="176" fontId="36" fillId="9" borderId="109" xfId="7" applyNumberFormat="1" applyFont="1" applyFill="1" applyBorder="1" applyAlignment="1">
      <alignment horizontal="center" vertical="center" wrapText="1"/>
    </xf>
    <xf numFmtId="176" fontId="36" fillId="9" borderId="10" xfId="7" applyNumberFormat="1" applyFont="1" applyFill="1" applyBorder="1" applyAlignment="1">
      <alignment horizontal="center" vertical="center" wrapText="1"/>
    </xf>
    <xf numFmtId="176" fontId="36" fillId="9" borderId="110" xfId="7" applyNumberFormat="1" applyFont="1" applyFill="1" applyBorder="1" applyAlignment="1">
      <alignment horizontal="center" vertical="center" wrapText="1"/>
    </xf>
    <xf numFmtId="0" fontId="36" fillId="9" borderId="99" xfId="7" applyFont="1" applyFill="1" applyBorder="1" applyAlignment="1">
      <alignment horizontal="center" vertical="center" wrapText="1"/>
    </xf>
    <xf numFmtId="0" fontId="36" fillId="9" borderId="26" xfId="7" applyFont="1" applyFill="1" applyBorder="1" applyAlignment="1">
      <alignment horizontal="center" vertical="center" wrapText="1"/>
    </xf>
    <xf numFmtId="0" fontId="36" fillId="9" borderId="27" xfId="7" applyFont="1" applyFill="1" applyBorder="1" applyAlignment="1">
      <alignment horizontal="center" vertical="center" wrapText="1"/>
    </xf>
    <xf numFmtId="0" fontId="36" fillId="16" borderId="98" xfId="7" applyFont="1" applyFill="1" applyBorder="1" applyAlignment="1">
      <alignment horizontal="center" vertical="center" shrinkToFit="1"/>
    </xf>
    <xf numFmtId="0" fontId="36" fillId="0" borderId="99" xfId="7" applyFont="1" applyFill="1" applyBorder="1" applyAlignment="1">
      <alignment horizontal="center" vertical="center" wrapText="1"/>
    </xf>
    <xf numFmtId="0" fontId="36" fillId="0" borderId="26" xfId="7" applyFont="1" applyFill="1" applyBorder="1" applyAlignment="1">
      <alignment horizontal="center" vertical="center" wrapText="1"/>
    </xf>
    <xf numFmtId="0" fontId="36" fillId="0" borderId="27" xfId="7" applyFont="1" applyFill="1" applyBorder="1" applyAlignment="1">
      <alignment horizontal="center" vertical="center" wrapText="1"/>
    </xf>
    <xf numFmtId="176" fontId="36" fillId="0" borderId="109" xfId="7" applyNumberFormat="1" applyFont="1" applyFill="1" applyBorder="1" applyAlignment="1">
      <alignment horizontal="center" vertical="center" wrapText="1"/>
    </xf>
    <xf numFmtId="176" fontId="36" fillId="0" borderId="10" xfId="7" applyNumberFormat="1" applyFont="1" applyFill="1" applyBorder="1" applyAlignment="1">
      <alignment horizontal="center" vertical="center" wrapText="1"/>
    </xf>
    <xf numFmtId="176" fontId="36" fillId="0" borderId="110" xfId="7" applyNumberFormat="1" applyFont="1" applyFill="1" applyBorder="1" applyAlignment="1">
      <alignment horizontal="center" vertical="center" wrapText="1"/>
    </xf>
    <xf numFmtId="0" fontId="17" fillId="9" borderId="99" xfId="7" applyFont="1" applyFill="1" applyBorder="1" applyAlignment="1">
      <alignment horizontal="center" vertical="center" wrapText="1"/>
    </xf>
    <xf numFmtId="0" fontId="17" fillId="9" borderId="26" xfId="7" applyFont="1" applyFill="1" applyBorder="1" applyAlignment="1">
      <alignment horizontal="center" vertical="center" wrapText="1"/>
    </xf>
    <xf numFmtId="0" fontId="17" fillId="9" borderId="27" xfId="7" applyFont="1" applyFill="1" applyBorder="1" applyAlignment="1">
      <alignment horizontal="center" vertical="center" wrapText="1"/>
    </xf>
    <xf numFmtId="176" fontId="17" fillId="9" borderId="109" xfId="7" applyNumberFormat="1" applyFont="1" applyFill="1" applyBorder="1" applyAlignment="1">
      <alignment horizontal="center" vertical="center" wrapText="1"/>
    </xf>
    <xf numFmtId="176" fontId="17" fillId="9" borderId="10" xfId="7" applyNumberFormat="1" applyFont="1" applyFill="1" applyBorder="1" applyAlignment="1">
      <alignment horizontal="center" vertical="center" wrapText="1"/>
    </xf>
    <xf numFmtId="176" fontId="17" fillId="9" borderId="110" xfId="7" applyNumberFormat="1" applyFont="1" applyFill="1" applyBorder="1" applyAlignment="1">
      <alignment horizontal="center" vertical="center" wrapText="1"/>
    </xf>
    <xf numFmtId="0" fontId="36" fillId="16" borderId="8" xfId="7" applyFont="1" applyFill="1" applyBorder="1" applyAlignment="1">
      <alignment horizontal="center" vertical="center" shrinkToFit="1"/>
    </xf>
    <xf numFmtId="0" fontId="36" fillId="16" borderId="18" xfId="7" applyFont="1" applyFill="1" applyBorder="1" applyAlignment="1">
      <alignment horizontal="center" vertical="center" shrinkToFit="1"/>
    </xf>
    <xf numFmtId="176" fontId="36" fillId="0" borderId="121" xfId="7" applyNumberFormat="1" applyFont="1" applyFill="1" applyBorder="1" applyAlignment="1">
      <alignment horizontal="center" vertical="center" wrapText="1"/>
    </xf>
    <xf numFmtId="176" fontId="36" fillId="0" borderId="20" xfId="7" applyNumberFormat="1" applyFont="1" applyFill="1" applyBorder="1" applyAlignment="1">
      <alignment horizontal="center" vertical="center" wrapText="1"/>
    </xf>
    <xf numFmtId="0" fontId="31" fillId="0" borderId="4" xfId="0" applyFont="1" applyBorder="1" applyAlignment="1">
      <alignment horizontal="left" vertical="center"/>
    </xf>
    <xf numFmtId="0" fontId="31" fillId="0" borderId="28" xfId="0" applyFont="1" applyBorder="1" applyAlignment="1">
      <alignment horizontal="left" vertical="center"/>
    </xf>
    <xf numFmtId="0" fontId="31" fillId="0" borderId="25" xfId="0" applyFont="1" applyBorder="1" applyAlignment="1">
      <alignment horizontal="left" vertical="center"/>
    </xf>
    <xf numFmtId="0" fontId="17" fillId="11" borderId="15" xfId="7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17" fillId="11" borderId="97" xfId="7" applyNumberFormat="1" applyFont="1" applyFill="1" applyBorder="1" applyAlignment="1" applyProtection="1">
      <alignment horizontal="center" vertical="center" shrinkToFit="1"/>
    </xf>
    <xf numFmtId="0" fontId="17" fillId="11" borderId="15" xfId="7" applyNumberFormat="1" applyFont="1" applyFill="1" applyBorder="1" applyAlignment="1" applyProtection="1">
      <alignment horizontal="center" vertical="center" shrinkToFit="1"/>
    </xf>
    <xf numFmtId="0" fontId="17" fillId="11" borderId="98" xfId="7" applyNumberFormat="1" applyFont="1" applyFill="1" applyBorder="1" applyAlignment="1" applyProtection="1">
      <alignment horizontal="center" vertical="center" shrinkToFit="1"/>
    </xf>
    <xf numFmtId="0" fontId="17" fillId="11" borderId="97" xfId="7" applyFont="1" applyFill="1" applyBorder="1" applyAlignment="1">
      <alignment horizontal="center" vertical="center"/>
    </xf>
    <xf numFmtId="0" fontId="26" fillId="11" borderId="97" xfId="7" applyFont="1" applyFill="1" applyBorder="1" applyAlignment="1">
      <alignment horizontal="center" vertical="center" wrapText="1"/>
    </xf>
    <xf numFmtId="0" fontId="26" fillId="11" borderId="15" xfId="7" applyFont="1" applyFill="1" applyBorder="1" applyAlignment="1">
      <alignment horizontal="center" vertical="center"/>
    </xf>
    <xf numFmtId="0" fontId="26" fillId="11" borderId="98" xfId="7" applyFont="1" applyFill="1" applyBorder="1" applyAlignment="1">
      <alignment horizontal="center" vertical="center"/>
    </xf>
    <xf numFmtId="0" fontId="26" fillId="11" borderId="30" xfId="7" applyFont="1" applyFill="1" applyBorder="1" applyAlignment="1">
      <alignment horizontal="center" vertical="center" wrapText="1"/>
    </xf>
    <xf numFmtId="0" fontId="26" fillId="11" borderId="11" xfId="7" applyFont="1" applyFill="1" applyBorder="1" applyAlignment="1">
      <alignment horizontal="center" vertical="center"/>
    </xf>
    <xf numFmtId="0" fontId="26" fillId="11" borderId="31" xfId="7" applyFont="1" applyFill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7" fillId="11" borderId="5" xfId="7" applyFont="1" applyFill="1" applyBorder="1" applyAlignment="1" applyProtection="1">
      <alignment horizontal="center" vertical="center" wrapText="1"/>
    </xf>
    <xf numFmtId="0" fontId="17" fillId="11" borderId="13" xfId="7" applyFont="1" applyFill="1" applyBorder="1" applyAlignment="1" applyProtection="1">
      <alignment horizontal="center" vertical="center" wrapText="1"/>
    </xf>
    <xf numFmtId="0" fontId="17" fillId="11" borderId="9" xfId="7" applyFont="1" applyFill="1" applyBorder="1" applyAlignment="1" applyProtection="1">
      <alignment horizontal="center" vertical="center" wrapText="1"/>
    </xf>
    <xf numFmtId="0" fontId="17" fillId="11" borderId="97" xfId="7" applyFont="1" applyFill="1" applyBorder="1" applyAlignment="1" applyProtection="1">
      <alignment horizontal="center" vertical="center" wrapText="1"/>
    </xf>
    <xf numFmtId="0" fontId="17" fillId="11" borderId="15" xfId="7" applyFont="1" applyFill="1" applyBorder="1" applyAlignment="1" applyProtection="1">
      <alignment horizontal="center" vertical="center" wrapText="1"/>
    </xf>
    <xf numFmtId="0" fontId="17" fillId="11" borderId="98" xfId="7" applyFont="1" applyFill="1" applyBorder="1" applyAlignment="1" applyProtection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25" fillId="8" borderId="84" xfId="0" applyFont="1" applyFill="1" applyBorder="1" applyAlignment="1">
      <alignment horizontal="center" vertical="center"/>
    </xf>
    <xf numFmtId="0" fontId="25" fillId="8" borderId="92" xfId="0" applyFont="1" applyFill="1" applyBorder="1" applyAlignment="1">
      <alignment horizontal="center" vertical="center"/>
    </xf>
    <xf numFmtId="0" fontId="25" fillId="8" borderId="93" xfId="0" applyFont="1" applyFill="1" applyBorder="1" applyAlignment="1">
      <alignment horizontal="center" vertical="center"/>
    </xf>
    <xf numFmtId="0" fontId="25" fillId="8" borderId="57" xfId="0" applyFont="1" applyFill="1" applyBorder="1" applyAlignment="1">
      <alignment horizontal="center" vertical="center"/>
    </xf>
    <xf numFmtId="0" fontId="25" fillId="8" borderId="59" xfId="0" applyFont="1" applyFill="1" applyBorder="1" applyAlignment="1">
      <alignment horizontal="center" vertical="center"/>
    </xf>
    <xf numFmtId="0" fontId="0" fillId="0" borderId="94" xfId="0" applyFont="1" applyBorder="1" applyAlignment="1">
      <alignment horizontal="center" vertical="center"/>
    </xf>
    <xf numFmtId="0" fontId="0" fillId="0" borderId="82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30" fillId="0" borderId="82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0" fontId="36" fillId="9" borderId="99" xfId="7" applyFont="1" applyFill="1" applyBorder="1" applyAlignment="1" applyProtection="1">
      <alignment horizontal="center" vertical="center" wrapText="1"/>
    </xf>
    <xf numFmtId="0" fontId="36" fillId="9" borderId="26" xfId="7" applyFont="1" applyFill="1" applyBorder="1" applyAlignment="1" applyProtection="1">
      <alignment horizontal="center" vertical="center" wrapText="1"/>
    </xf>
    <xf numFmtId="176" fontId="36" fillId="9" borderId="109" xfId="7" applyNumberFormat="1" applyFont="1" applyFill="1" applyBorder="1" applyAlignment="1" applyProtection="1">
      <alignment horizontal="center" vertical="center" wrapText="1"/>
    </xf>
    <xf numFmtId="176" fontId="36" fillId="9" borderId="10" xfId="7" applyNumberFormat="1" applyFont="1" applyFill="1" applyBorder="1" applyAlignment="1" applyProtection="1">
      <alignment horizontal="center" vertical="center" wrapText="1"/>
    </xf>
    <xf numFmtId="0" fontId="36" fillId="16" borderId="32" xfId="7" applyFont="1" applyFill="1" applyBorder="1" applyAlignment="1">
      <alignment horizontal="center" vertical="center" shrinkToFit="1"/>
    </xf>
    <xf numFmtId="0" fontId="36" fillId="9" borderId="5" xfId="7" applyFont="1" applyFill="1" applyBorder="1" applyAlignment="1">
      <alignment horizontal="center" vertical="center" wrapText="1"/>
    </xf>
    <xf numFmtId="0" fontId="36" fillId="9" borderId="13" xfId="7" applyFont="1" applyFill="1" applyBorder="1" applyAlignment="1">
      <alignment horizontal="center" vertical="center" wrapText="1"/>
    </xf>
    <xf numFmtId="0" fontId="36" fillId="9" borderId="9" xfId="7" applyFont="1" applyFill="1" applyBorder="1" applyAlignment="1">
      <alignment horizontal="center" vertical="center" wrapText="1"/>
    </xf>
    <xf numFmtId="176" fontId="36" fillId="9" borderId="97" xfId="7" applyNumberFormat="1" applyFont="1" applyFill="1" applyBorder="1" applyAlignment="1">
      <alignment horizontal="center" vertical="center" wrapText="1"/>
    </xf>
    <xf numFmtId="176" fontId="36" fillId="9" borderId="15" xfId="7" applyNumberFormat="1" applyFont="1" applyFill="1" applyBorder="1" applyAlignment="1">
      <alignment horizontal="center" vertical="center" wrapText="1"/>
    </xf>
    <xf numFmtId="176" fontId="36" fillId="9" borderId="98" xfId="7" applyNumberFormat="1" applyFont="1" applyFill="1" applyBorder="1" applyAlignment="1">
      <alignment horizontal="center" vertical="center" wrapText="1"/>
    </xf>
    <xf numFmtId="0" fontId="47" fillId="19" borderId="127" xfId="16" applyFont="1" applyFill="1" applyBorder="1" applyAlignment="1">
      <alignment horizontal="center" vertical="center"/>
    </xf>
    <xf numFmtId="0" fontId="40" fillId="0" borderId="127" xfId="16" applyFont="1" applyBorder="1"/>
    <xf numFmtId="0" fontId="40" fillId="0" borderId="128" xfId="16" applyFont="1" applyBorder="1"/>
    <xf numFmtId="0" fontId="47" fillId="0" borderId="129" xfId="16" applyFont="1" applyBorder="1" applyAlignment="1">
      <alignment horizontal="center" vertical="center"/>
    </xf>
    <xf numFmtId="0" fontId="43" fillId="0" borderId="0" xfId="16" applyFont="1" applyAlignment="1">
      <alignment horizontal="center" vertical="center"/>
    </xf>
    <xf numFmtId="0" fontId="45" fillId="0" borderId="0" xfId="16" applyFont="1" applyAlignment="1"/>
    <xf numFmtId="0" fontId="46" fillId="0" borderId="124" xfId="16" applyFont="1" applyBorder="1" applyAlignment="1">
      <alignment horizontal="center" vertical="center"/>
    </xf>
    <xf numFmtId="0" fontId="40" fillId="0" borderId="28" xfId="16" applyFont="1" applyBorder="1"/>
    <xf numFmtId="0" fontId="40" fillId="0" borderId="25" xfId="16" applyFont="1" applyBorder="1"/>
    <xf numFmtId="0" fontId="46" fillId="8" borderId="4" xfId="16" applyFont="1" applyFill="1" applyBorder="1" applyAlignment="1">
      <alignment horizontal="center" vertical="center"/>
    </xf>
    <xf numFmtId="0" fontId="40" fillId="8" borderId="28" xfId="16" applyFont="1" applyFill="1" applyBorder="1"/>
    <xf numFmtId="0" fontId="40" fillId="8" borderId="25" xfId="16" applyFont="1" applyFill="1" applyBorder="1"/>
    <xf numFmtId="0" fontId="35" fillId="18" borderId="123" xfId="16" applyFont="1" applyFill="1" applyBorder="1" applyAlignment="1">
      <alignment horizontal="center" vertical="center" wrapText="1"/>
    </xf>
    <xf numFmtId="0" fontId="40" fillId="0" borderId="125" xfId="16" applyFont="1" applyBorder="1"/>
    <xf numFmtId="0" fontId="40" fillId="0" borderId="130" xfId="16" applyFont="1" applyBorder="1"/>
    <xf numFmtId="0" fontId="47" fillId="19" borderId="132" xfId="16" applyFont="1" applyFill="1" applyBorder="1" applyAlignment="1">
      <alignment horizontal="center" vertical="center"/>
    </xf>
    <xf numFmtId="0" fontId="40" fillId="0" borderId="133" xfId="16" applyFont="1" applyBorder="1"/>
    <xf numFmtId="0" fontId="40" fillId="0" borderId="134" xfId="16" applyFont="1" applyBorder="1"/>
    <xf numFmtId="0" fontId="40" fillId="0" borderId="135" xfId="16" applyFont="1" applyBorder="1"/>
    <xf numFmtId="0" fontId="47" fillId="0" borderId="111" xfId="16" applyFont="1" applyBorder="1" applyAlignment="1">
      <alignment horizontal="center" vertical="center" wrapText="1"/>
    </xf>
    <xf numFmtId="0" fontId="40" fillId="0" borderId="132" xfId="16" applyFont="1" applyBorder="1"/>
    <xf numFmtId="0" fontId="40" fillId="0" borderId="136" xfId="16" applyFont="1" applyBorder="1"/>
    <xf numFmtId="0" fontId="48" fillId="20" borderId="139" xfId="16" applyFont="1" applyFill="1" applyBorder="1" applyAlignment="1">
      <alignment horizontal="center" vertical="center" wrapText="1"/>
    </xf>
    <xf numFmtId="0" fontId="40" fillId="0" borderId="140" xfId="16" applyFont="1" applyBorder="1"/>
    <xf numFmtId="0" fontId="49" fillId="0" borderId="141" xfId="16" applyFont="1" applyBorder="1" applyAlignment="1">
      <alignment horizontal="center" vertical="center" wrapText="1"/>
    </xf>
    <xf numFmtId="0" fontId="40" fillId="0" borderId="147" xfId="16" applyFont="1" applyBorder="1"/>
    <xf numFmtId="0" fontId="49" fillId="0" borderId="142" xfId="16" applyFont="1" applyBorder="1" applyAlignment="1">
      <alignment horizontal="center" vertical="center" wrapText="1"/>
    </xf>
    <xf numFmtId="0" fontId="40" fillId="0" borderId="148" xfId="16" applyFont="1" applyBorder="1"/>
    <xf numFmtId="0" fontId="40" fillId="0" borderId="152" xfId="16" applyFont="1" applyBorder="1"/>
    <xf numFmtId="0" fontId="49" fillId="0" borderId="144" xfId="16" applyFont="1" applyBorder="1" applyAlignment="1">
      <alignment horizontal="center" vertical="center" wrapText="1"/>
    </xf>
    <xf numFmtId="0" fontId="40" fillId="0" borderId="126" xfId="16" applyFont="1" applyBorder="1"/>
    <xf numFmtId="0" fontId="40" fillId="0" borderId="151" xfId="16" applyFont="1" applyBorder="1"/>
    <xf numFmtId="0" fontId="49" fillId="0" borderId="127" xfId="16" applyFont="1" applyBorder="1" applyAlignment="1">
      <alignment horizontal="center" vertical="center" wrapText="1"/>
    </xf>
    <xf numFmtId="0" fontId="51" fillId="0" borderId="129" xfId="16" applyFont="1" applyBorder="1" applyAlignment="1">
      <alignment horizontal="center" vertical="center" wrapText="1"/>
    </xf>
    <xf numFmtId="0" fontId="49" fillId="0" borderId="129" xfId="16" applyFont="1" applyBorder="1" applyAlignment="1">
      <alignment horizontal="center" vertical="center" wrapText="1"/>
    </xf>
    <xf numFmtId="0" fontId="49" fillId="20" borderId="129" xfId="16" applyFont="1" applyFill="1" applyBorder="1" applyAlignment="1">
      <alignment horizontal="center" vertical="center" wrapText="1"/>
    </xf>
    <xf numFmtId="0" fontId="51" fillId="20" borderId="129" xfId="16" applyFont="1" applyFill="1" applyBorder="1" applyAlignment="1">
      <alignment horizontal="center" vertical="center" wrapText="1"/>
    </xf>
    <xf numFmtId="0" fontId="40" fillId="0" borderId="146" xfId="16" applyFont="1" applyBorder="1"/>
    <xf numFmtId="0" fontId="16" fillId="0" borderId="0" xfId="16" applyFont="1" applyBorder="1" applyAlignment="1"/>
    <xf numFmtId="0" fontId="49" fillId="0" borderId="155" xfId="16" applyFont="1" applyBorder="1" applyAlignment="1">
      <alignment horizontal="center" vertical="center" wrapText="1"/>
    </xf>
    <xf numFmtId="0" fontId="49" fillId="0" borderId="157" xfId="16" applyFont="1" applyBorder="1" applyAlignment="1">
      <alignment horizontal="center" vertical="center" wrapText="1"/>
    </xf>
    <xf numFmtId="0" fontId="40" fillId="0" borderId="158" xfId="16" applyFont="1" applyBorder="1"/>
    <xf numFmtId="0" fontId="49" fillId="0" borderId="111" xfId="16" applyFont="1" applyBorder="1" applyAlignment="1">
      <alignment horizontal="center" vertical="center" wrapText="1"/>
    </xf>
    <xf numFmtId="0" fontId="49" fillId="0" borderId="159" xfId="16" applyFont="1" applyBorder="1" applyAlignment="1">
      <alignment horizontal="center" vertical="center" wrapText="1"/>
    </xf>
    <xf numFmtId="0" fontId="40" fillId="0" borderId="160" xfId="16" applyFont="1" applyBorder="1"/>
    <xf numFmtId="0" fontId="49" fillId="20" borderId="127" xfId="16" applyFont="1" applyFill="1" applyBorder="1" applyAlignment="1">
      <alignment horizontal="center" vertical="center" wrapText="1"/>
    </xf>
    <xf numFmtId="0" fontId="53" fillId="19" borderId="127" xfId="16" applyFont="1" applyFill="1" applyBorder="1" applyAlignment="1">
      <alignment horizontal="center" vertical="center"/>
    </xf>
    <xf numFmtId="0" fontId="53" fillId="0" borderId="129" xfId="16" applyFont="1" applyBorder="1" applyAlignment="1">
      <alignment horizontal="center" vertical="center"/>
    </xf>
    <xf numFmtId="0" fontId="47" fillId="0" borderId="129" xfId="16" applyFont="1" applyBorder="1" applyAlignment="1">
      <alignment horizontal="center" vertical="center" wrapText="1"/>
    </xf>
    <xf numFmtId="0" fontId="47" fillId="0" borderId="111" xfId="16" applyFont="1" applyBorder="1" applyAlignment="1">
      <alignment horizontal="center" vertical="center"/>
    </xf>
    <xf numFmtId="0" fontId="47" fillId="19" borderId="127" xfId="16" applyFont="1" applyFill="1" applyBorder="1" applyAlignment="1">
      <alignment horizontal="center" vertical="center" wrapText="1"/>
    </xf>
    <xf numFmtId="0" fontId="53" fillId="19" borderId="127" xfId="16" applyFont="1" applyFill="1" applyBorder="1" applyAlignment="1">
      <alignment horizontal="center" vertical="center" wrapText="1"/>
    </xf>
    <xf numFmtId="0" fontId="55" fillId="0" borderId="155" xfId="16" applyFont="1" applyBorder="1" applyAlignment="1">
      <alignment horizontal="center" vertical="center"/>
    </xf>
    <xf numFmtId="0" fontId="35" fillId="0" borderId="0" xfId="16" applyFont="1" applyBorder="1" applyAlignment="1">
      <alignment vertical="center" wrapText="1"/>
    </xf>
    <xf numFmtId="0" fontId="35" fillId="18" borderId="163" xfId="16" applyFont="1" applyFill="1" applyBorder="1" applyAlignment="1">
      <alignment horizontal="center" vertical="center" wrapText="1"/>
    </xf>
    <xf numFmtId="0" fontId="35" fillId="18" borderId="6" xfId="16" applyFont="1" applyFill="1" applyBorder="1" applyAlignment="1">
      <alignment horizontal="center" vertical="center" wrapText="1"/>
    </xf>
    <xf numFmtId="0" fontId="16" fillId="0" borderId="6" xfId="16" applyFont="1" applyBorder="1" applyAlignment="1"/>
    <xf numFmtId="0" fontId="53" fillId="19" borderId="133" xfId="16" applyFont="1" applyFill="1" applyBorder="1" applyAlignment="1">
      <alignment horizontal="center" vertical="center"/>
    </xf>
    <xf numFmtId="0" fontId="53" fillId="19" borderId="129" xfId="16" applyFont="1" applyFill="1" applyBorder="1" applyAlignment="1">
      <alignment horizontal="center" vertical="center"/>
    </xf>
    <xf numFmtId="0" fontId="54" fillId="0" borderId="133" xfId="16" applyFont="1" applyBorder="1" applyAlignment="1">
      <alignment horizontal="center" vertical="center"/>
    </xf>
    <xf numFmtId="0" fontId="56" fillId="0" borderId="135" xfId="16" applyFont="1" applyBorder="1"/>
    <xf numFmtId="0" fontId="36" fillId="16" borderId="110" xfId="7" applyFont="1" applyFill="1" applyBorder="1" applyAlignment="1">
      <alignment horizontal="center" vertical="center" shrinkToFit="1"/>
    </xf>
    <xf numFmtId="0" fontId="28" fillId="0" borderId="34" xfId="4" applyFont="1" applyFill="1" applyBorder="1" applyAlignment="1" applyProtection="1">
      <alignment vertical="center" wrapText="1"/>
    </xf>
    <xf numFmtId="0" fontId="61" fillId="15" borderId="80" xfId="4" applyFont="1" applyFill="1" applyBorder="1" applyAlignment="1" applyProtection="1">
      <alignment horizontal="center" vertical="center" wrapText="1"/>
    </xf>
  </cellXfs>
  <cellStyles count="17">
    <cellStyle name="20% - 강조색2_교육과정 편제표 양식v3 2" xfId="4" xr:uid="{00000000-0005-0000-0000-000000000000}"/>
    <cellStyle name="20% - 강조색5_교육과정 편제표 양식v3 2" xfId="3" xr:uid="{00000000-0005-0000-0000-000002000000}"/>
    <cellStyle name="40% - 강조색4_교육과정 편제표 양식v3 2" xfId="6" xr:uid="{00000000-0005-0000-0000-000003000000}"/>
    <cellStyle name="제목 1 2" xfId="1" xr:uid="{00000000-0005-0000-0000-000005000000}"/>
    <cellStyle name="출력 2" xfId="5" xr:uid="{00000000-0005-0000-0000-000006000000}"/>
    <cellStyle name="출력 2 2" xfId="13" xr:uid="{00000000-0005-0000-0000-000007000000}"/>
    <cellStyle name="표준" xfId="0" builtinId="0"/>
    <cellStyle name="표준 2" xfId="2" xr:uid="{00000000-0005-0000-0000-000009000000}"/>
    <cellStyle name="표준 2 2" xfId="9" xr:uid="{00000000-0005-0000-0000-00000A000000}"/>
    <cellStyle name="표준 3" xfId="7" xr:uid="{00000000-0005-0000-0000-00000B000000}"/>
    <cellStyle name="표준 3 2" xfId="10" xr:uid="{00000000-0005-0000-0000-00000C000000}"/>
    <cellStyle name="표준 4" xfId="8" xr:uid="{00000000-0005-0000-0000-00000D000000}"/>
    <cellStyle name="표준 4 2" xfId="12" xr:uid="{00000000-0005-0000-0000-00000E000000}"/>
    <cellStyle name="표준 4 3" xfId="11" xr:uid="{00000000-0005-0000-0000-00000F000000}"/>
    <cellStyle name="표준 4 4" xfId="14" xr:uid="{00000000-0005-0000-0000-000010000000}"/>
    <cellStyle name="표준 5" xfId="15" xr:uid="{00000000-0005-0000-0000-000011000000}"/>
    <cellStyle name="표준 6" xfId="16" xr:uid="{2A8DBBCE-BEB3-4528-99EE-FEB5AAFE43C5}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4A0030BF-DA59-4541-949C-F9E680057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75180" y="2247900"/>
          <a:ext cx="6494930" cy="110548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AC408708-EBCC-4404-A150-44A50DB6F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75180" y="2247900"/>
          <a:ext cx="6494930" cy="110548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DA593BE9-36A5-4B66-8E8A-331459412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75180" y="2247900"/>
          <a:ext cx="6494930" cy="1105488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DE94402E-7320-4CB7-BA20-13907A7BB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75180" y="2247900"/>
          <a:ext cx="6494930" cy="1105488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AD146DBF-76E6-4904-AE3C-26C5F5518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1543050"/>
          <a:ext cx="6494930" cy="11054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광장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6BB58-4366-4604-88C1-417B949BBFD6}">
  <sheetPr>
    <pageSetUpPr fitToPage="1"/>
  </sheetPr>
  <dimension ref="B1:AD101"/>
  <sheetViews>
    <sheetView tabSelected="1" view="pageBreakPreview" zoomScaleNormal="100" zoomScaleSheetLayoutView="100" workbookViewId="0">
      <pane ySplit="8" topLeftCell="A9" activePane="bottomLeft" state="frozen"/>
      <selection pane="bottomLeft" activeCell="J74" sqref="J74"/>
    </sheetView>
  </sheetViews>
  <sheetFormatPr defaultColWidth="8.69921875" defaultRowHeight="17.399999999999999"/>
  <cols>
    <col min="1" max="1" width="2" style="4" customWidth="1"/>
    <col min="2" max="2" width="6.59765625" style="4" customWidth="1"/>
    <col min="3" max="3" width="9.3984375" style="4" customWidth="1"/>
    <col min="4" max="4" width="8.69921875" style="4"/>
    <col min="5" max="5" width="8.5" style="4" customWidth="1"/>
    <col min="6" max="6" width="16.5" style="4" customWidth="1"/>
    <col min="7" max="7" width="6.19921875" style="4" customWidth="1"/>
    <col min="8" max="8" width="5.59765625" style="4" customWidth="1"/>
    <col min="9" max="9" width="7.8984375" style="4" bestFit="1" customWidth="1"/>
    <col min="10" max="10" width="5.59765625" style="4" customWidth="1"/>
    <col min="11" max="22" width="3.8984375" style="4" customWidth="1"/>
    <col min="23" max="24" width="3.3984375" style="4" customWidth="1"/>
    <col min="25" max="25" width="6.3984375" style="4" customWidth="1"/>
    <col min="26" max="26" width="8.69921875" style="4"/>
    <col min="27" max="27" width="16.3984375" style="4" customWidth="1"/>
    <col min="28" max="29" width="12.8984375" style="4" customWidth="1"/>
    <col min="30" max="30" width="13.8984375" style="4" customWidth="1"/>
    <col min="31" max="16384" width="8.69921875" style="4"/>
  </cols>
  <sheetData>
    <row r="1" spans="2:30" ht="18" thickBot="1"/>
    <row r="2" spans="2:30" ht="30.75" customHeight="1" thickBot="1">
      <c r="B2" s="276" t="s">
        <v>511</v>
      </c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7"/>
      <c r="V2" s="278" t="s">
        <v>130</v>
      </c>
      <c r="W2" s="279"/>
      <c r="X2" s="280">
        <v>2027</v>
      </c>
      <c r="Y2" s="281"/>
      <c r="AA2" s="282" t="s">
        <v>144</v>
      </c>
      <c r="AB2" s="19" t="s">
        <v>145</v>
      </c>
      <c r="AC2" s="29" t="s">
        <v>152</v>
      </c>
      <c r="AD2" s="20" t="s">
        <v>146</v>
      </c>
    </row>
    <row r="3" spans="2:30" ht="18" thickBot="1">
      <c r="B3" s="285" t="s">
        <v>360</v>
      </c>
      <c r="C3" s="287" t="s">
        <v>53</v>
      </c>
      <c r="D3" s="288"/>
      <c r="E3" s="288"/>
      <c r="F3" s="287" t="s">
        <v>64</v>
      </c>
      <c r="G3" s="291"/>
      <c r="H3" s="287" t="s">
        <v>54</v>
      </c>
      <c r="I3" s="288"/>
      <c r="J3" s="288"/>
      <c r="K3" s="287" t="s">
        <v>55</v>
      </c>
      <c r="L3" s="288"/>
      <c r="M3" s="288"/>
      <c r="N3" s="288"/>
      <c r="O3" s="291"/>
      <c r="P3" s="293" t="s">
        <v>56</v>
      </c>
      <c r="Q3" s="294"/>
      <c r="R3" s="294"/>
      <c r="S3" s="294"/>
      <c r="T3" s="294"/>
      <c r="U3" s="294"/>
      <c r="V3" s="294"/>
      <c r="W3" s="294"/>
      <c r="X3" s="294"/>
      <c r="Y3" s="295"/>
      <c r="AA3" s="283"/>
      <c r="AB3" s="21" t="s">
        <v>147</v>
      </c>
      <c r="AC3" s="36" t="s">
        <v>518</v>
      </c>
      <c r="AD3" s="22" t="s">
        <v>519</v>
      </c>
    </row>
    <row r="4" spans="2:30" ht="18" thickBot="1">
      <c r="B4" s="286"/>
      <c r="C4" s="289"/>
      <c r="D4" s="290"/>
      <c r="E4" s="290"/>
      <c r="F4" s="289"/>
      <c r="G4" s="292"/>
      <c r="H4" s="289"/>
      <c r="I4" s="290"/>
      <c r="J4" s="290"/>
      <c r="K4" s="289"/>
      <c r="L4" s="290"/>
      <c r="M4" s="290"/>
      <c r="N4" s="290"/>
      <c r="O4" s="292"/>
      <c r="P4" s="293" t="s">
        <v>127</v>
      </c>
      <c r="Q4" s="294"/>
      <c r="R4" s="294"/>
      <c r="S4" s="294"/>
      <c r="T4" s="293" t="s">
        <v>61</v>
      </c>
      <c r="U4" s="294"/>
      <c r="V4" s="295"/>
      <c r="W4" s="294" t="s">
        <v>128</v>
      </c>
      <c r="X4" s="294"/>
      <c r="Y4" s="295"/>
      <c r="AA4" s="283"/>
      <c r="AB4" s="23" t="s">
        <v>148</v>
      </c>
      <c r="AC4" s="37" t="s">
        <v>520</v>
      </c>
      <c r="AD4" s="22" t="s">
        <v>521</v>
      </c>
    </row>
    <row r="5" spans="2:30" ht="26.25" customHeight="1" thickBot="1">
      <c r="B5" s="69" t="s">
        <v>509</v>
      </c>
      <c r="C5" s="296" t="s">
        <v>512</v>
      </c>
      <c r="D5" s="297"/>
      <c r="E5" s="298"/>
      <c r="F5" s="296" t="s">
        <v>513</v>
      </c>
      <c r="G5" s="299"/>
      <c r="H5" s="300" t="s">
        <v>514</v>
      </c>
      <c r="I5" s="297"/>
      <c r="J5" s="298"/>
      <c r="K5" s="296" t="s">
        <v>515</v>
      </c>
      <c r="L5" s="297"/>
      <c r="M5" s="297"/>
      <c r="N5" s="297"/>
      <c r="O5" s="299"/>
      <c r="P5" s="300" t="s">
        <v>516</v>
      </c>
      <c r="Q5" s="297"/>
      <c r="R5" s="297"/>
      <c r="S5" s="298"/>
      <c r="T5" s="296" t="s">
        <v>34</v>
      </c>
      <c r="U5" s="297"/>
      <c r="V5" s="298"/>
      <c r="W5" s="301" t="s">
        <v>517</v>
      </c>
      <c r="X5" s="302"/>
      <c r="Y5" s="303"/>
      <c r="AA5" s="284"/>
      <c r="AB5" s="24" t="s">
        <v>149</v>
      </c>
      <c r="AC5" s="154" t="s">
        <v>522</v>
      </c>
      <c r="AD5" s="136" t="s">
        <v>523</v>
      </c>
    </row>
    <row r="6" spans="2:30" ht="15.75" customHeight="1" thickBot="1">
      <c r="U6" s="304"/>
      <c r="V6" s="304"/>
      <c r="W6" s="304"/>
      <c r="X6" s="304"/>
      <c r="Y6" s="304"/>
    </row>
    <row r="7" spans="2:30" s="10" customFormat="1" ht="22.5" customHeight="1">
      <c r="B7" s="305" t="s">
        <v>2</v>
      </c>
      <c r="C7" s="306"/>
      <c r="D7" s="309" t="s">
        <v>120</v>
      </c>
      <c r="E7" s="311" t="s">
        <v>57</v>
      </c>
      <c r="F7" s="312"/>
      <c r="G7" s="313"/>
      <c r="H7" s="314" t="s">
        <v>134</v>
      </c>
      <c r="I7" s="316" t="s">
        <v>135</v>
      </c>
      <c r="J7" s="318" t="s">
        <v>136</v>
      </c>
      <c r="K7" s="320" t="s">
        <v>58</v>
      </c>
      <c r="L7" s="316"/>
      <c r="M7" s="316"/>
      <c r="N7" s="321"/>
      <c r="O7" s="322" t="s">
        <v>59</v>
      </c>
      <c r="P7" s="316"/>
      <c r="Q7" s="316"/>
      <c r="R7" s="321"/>
      <c r="S7" s="320" t="s">
        <v>60</v>
      </c>
      <c r="T7" s="316"/>
      <c r="U7" s="316"/>
      <c r="V7" s="323"/>
      <c r="W7" s="314" t="s">
        <v>137</v>
      </c>
      <c r="X7" s="318"/>
      <c r="Y7" s="313" t="s">
        <v>138</v>
      </c>
      <c r="Z7" s="9"/>
    </row>
    <row r="8" spans="2:30" s="10" customFormat="1" ht="22.5" customHeight="1" thickBot="1">
      <c r="B8" s="307"/>
      <c r="C8" s="308"/>
      <c r="D8" s="310"/>
      <c r="E8" s="25" t="s">
        <v>18</v>
      </c>
      <c r="F8" s="341" t="s">
        <v>19</v>
      </c>
      <c r="G8" s="342"/>
      <c r="H8" s="315"/>
      <c r="I8" s="317"/>
      <c r="J8" s="319"/>
      <c r="K8" s="343" t="s">
        <v>0</v>
      </c>
      <c r="L8" s="317"/>
      <c r="M8" s="317" t="s">
        <v>62</v>
      </c>
      <c r="N8" s="344"/>
      <c r="O8" s="345" t="s">
        <v>0</v>
      </c>
      <c r="P8" s="317"/>
      <c r="Q8" s="317" t="s">
        <v>62</v>
      </c>
      <c r="R8" s="344"/>
      <c r="S8" s="343" t="s">
        <v>0</v>
      </c>
      <c r="T8" s="317"/>
      <c r="U8" s="317" t="s">
        <v>62</v>
      </c>
      <c r="V8" s="346"/>
      <c r="W8" s="315"/>
      <c r="X8" s="319"/>
      <c r="Y8" s="340"/>
      <c r="AA8" s="324" t="s">
        <v>499</v>
      </c>
      <c r="AB8" s="324"/>
      <c r="AC8" s="324"/>
      <c r="AD8" s="324"/>
    </row>
    <row r="9" spans="2:30" ht="16.5" customHeight="1" thickBot="1">
      <c r="B9" s="325" t="s">
        <v>338</v>
      </c>
      <c r="C9" s="326"/>
      <c r="D9" s="331" t="s">
        <v>21</v>
      </c>
      <c r="E9" s="38" t="s">
        <v>12</v>
      </c>
      <c r="F9" s="334" t="s">
        <v>202</v>
      </c>
      <c r="G9" s="335"/>
      <c r="H9" s="39">
        <v>4</v>
      </c>
      <c r="I9" s="40" t="s">
        <v>339</v>
      </c>
      <c r="J9" s="41">
        <v>3</v>
      </c>
      <c r="K9" s="334">
        <v>3</v>
      </c>
      <c r="L9" s="336"/>
      <c r="M9" s="337"/>
      <c r="N9" s="338"/>
      <c r="O9" s="339"/>
      <c r="P9" s="336"/>
      <c r="Q9" s="337"/>
      <c r="R9" s="338"/>
      <c r="S9" s="339"/>
      <c r="T9" s="336"/>
      <c r="U9" s="337"/>
      <c r="V9" s="335"/>
      <c r="W9" s="42">
        <f>SUM(K9:V9)</f>
        <v>3</v>
      </c>
      <c r="X9" s="353">
        <f>SUM(W9:W13)</f>
        <v>15</v>
      </c>
      <c r="Y9" s="355">
        <v>24</v>
      </c>
      <c r="AA9" s="130" t="s">
        <v>18</v>
      </c>
      <c r="AB9" s="131" t="s">
        <v>505</v>
      </c>
      <c r="AC9" s="131" t="s">
        <v>506</v>
      </c>
      <c r="AD9" s="132" t="s">
        <v>507</v>
      </c>
    </row>
    <row r="10" spans="2:30" ht="18" thickBot="1">
      <c r="B10" s="327"/>
      <c r="C10" s="328"/>
      <c r="D10" s="332"/>
      <c r="E10" s="43" t="s">
        <v>12</v>
      </c>
      <c r="F10" s="347" t="s">
        <v>203</v>
      </c>
      <c r="G10" s="352"/>
      <c r="H10" s="44">
        <v>4</v>
      </c>
      <c r="I10" s="45" t="s">
        <v>339</v>
      </c>
      <c r="J10" s="46">
        <v>3</v>
      </c>
      <c r="K10" s="347"/>
      <c r="L10" s="348"/>
      <c r="M10" s="349">
        <v>3</v>
      </c>
      <c r="N10" s="350"/>
      <c r="O10" s="351"/>
      <c r="P10" s="348"/>
      <c r="Q10" s="349"/>
      <c r="R10" s="350"/>
      <c r="S10" s="351"/>
      <c r="T10" s="348"/>
      <c r="U10" s="349"/>
      <c r="V10" s="352"/>
      <c r="W10" s="47">
        <f t="shared" ref="W10:W28" si="0">SUM(K10:V10)</f>
        <v>3</v>
      </c>
      <c r="X10" s="354"/>
      <c r="Y10" s="355"/>
      <c r="AA10" s="133" t="s">
        <v>500</v>
      </c>
      <c r="AB10" s="134">
        <v>4</v>
      </c>
      <c r="AC10" s="134">
        <v>-1</v>
      </c>
      <c r="AD10" s="22" t="s">
        <v>339</v>
      </c>
    </row>
    <row r="11" spans="2:30" ht="18" thickBot="1">
      <c r="B11" s="327"/>
      <c r="C11" s="328"/>
      <c r="D11" s="332"/>
      <c r="E11" s="48" t="s">
        <v>526</v>
      </c>
      <c r="F11" s="347" t="s">
        <v>208</v>
      </c>
      <c r="G11" s="352"/>
      <c r="H11" s="44">
        <v>4</v>
      </c>
      <c r="I11" s="45" t="s">
        <v>342</v>
      </c>
      <c r="J11" s="46">
        <v>3</v>
      </c>
      <c r="K11" s="347"/>
      <c r="L11" s="348"/>
      <c r="M11" s="349"/>
      <c r="N11" s="350"/>
      <c r="O11" s="351">
        <v>3</v>
      </c>
      <c r="P11" s="348"/>
      <c r="Q11" s="349"/>
      <c r="R11" s="350"/>
      <c r="S11" s="351"/>
      <c r="T11" s="348"/>
      <c r="U11" s="349"/>
      <c r="V11" s="352"/>
      <c r="W11" s="47">
        <f t="shared" si="0"/>
        <v>3</v>
      </c>
      <c r="X11" s="354"/>
      <c r="Y11" s="355"/>
      <c r="AA11" s="133" t="s">
        <v>501</v>
      </c>
      <c r="AB11" s="134">
        <v>3</v>
      </c>
      <c r="AC11" s="134"/>
      <c r="AD11" s="22">
        <v>3</v>
      </c>
    </row>
    <row r="12" spans="2:30" ht="18" thickBot="1">
      <c r="B12" s="327"/>
      <c r="C12" s="328"/>
      <c r="D12" s="332"/>
      <c r="E12" s="48" t="s">
        <v>525</v>
      </c>
      <c r="F12" s="347" t="s">
        <v>4</v>
      </c>
      <c r="G12" s="352"/>
      <c r="H12" s="44">
        <v>4</v>
      </c>
      <c r="I12" s="45" t="s">
        <v>342</v>
      </c>
      <c r="J12" s="46">
        <v>3</v>
      </c>
      <c r="K12" s="347"/>
      <c r="L12" s="348"/>
      <c r="M12" s="349"/>
      <c r="N12" s="350"/>
      <c r="O12" s="351"/>
      <c r="P12" s="348"/>
      <c r="Q12" s="349">
        <v>3</v>
      </c>
      <c r="R12" s="350"/>
      <c r="S12" s="351"/>
      <c r="T12" s="348"/>
      <c r="U12" s="349"/>
      <c r="V12" s="352"/>
      <c r="W12" s="47">
        <f t="shared" si="0"/>
        <v>3</v>
      </c>
      <c r="X12" s="354"/>
      <c r="Y12" s="355"/>
      <c r="AA12" s="133" t="s">
        <v>502</v>
      </c>
      <c r="AB12" s="134">
        <v>4</v>
      </c>
      <c r="AC12" s="134" t="s">
        <v>508</v>
      </c>
      <c r="AD12" s="22" t="s">
        <v>342</v>
      </c>
    </row>
    <row r="13" spans="2:30" ht="18" thickBot="1">
      <c r="B13" s="327"/>
      <c r="C13" s="328"/>
      <c r="D13" s="333"/>
      <c r="E13" s="48" t="s">
        <v>340</v>
      </c>
      <c r="F13" s="356" t="s">
        <v>341</v>
      </c>
      <c r="G13" s="357"/>
      <c r="H13" s="49">
        <v>4</v>
      </c>
      <c r="I13" s="50" t="s">
        <v>342</v>
      </c>
      <c r="J13" s="51">
        <v>3</v>
      </c>
      <c r="K13" s="358"/>
      <c r="L13" s="359"/>
      <c r="M13" s="360"/>
      <c r="N13" s="361"/>
      <c r="O13" s="362"/>
      <c r="P13" s="359"/>
      <c r="Q13" s="360"/>
      <c r="R13" s="361"/>
      <c r="S13" s="362">
        <v>3</v>
      </c>
      <c r="T13" s="359"/>
      <c r="U13" s="360"/>
      <c r="V13" s="363"/>
      <c r="W13" s="47">
        <f t="shared" si="0"/>
        <v>3</v>
      </c>
      <c r="X13" s="354"/>
      <c r="Y13" s="355"/>
      <c r="AA13" s="160" t="s">
        <v>503</v>
      </c>
      <c r="AB13" s="134">
        <v>3</v>
      </c>
      <c r="AC13" s="134" t="s">
        <v>508</v>
      </c>
      <c r="AD13" s="22" t="s">
        <v>349</v>
      </c>
    </row>
    <row r="14" spans="2:30" ht="18" thickBot="1">
      <c r="B14" s="327"/>
      <c r="C14" s="328"/>
      <c r="D14" s="331" t="s">
        <v>5</v>
      </c>
      <c r="E14" s="38" t="s">
        <v>12</v>
      </c>
      <c r="F14" s="368" t="s">
        <v>214</v>
      </c>
      <c r="G14" s="369"/>
      <c r="H14" s="39">
        <v>4</v>
      </c>
      <c r="I14" s="53" t="s">
        <v>339</v>
      </c>
      <c r="J14" s="41">
        <v>3</v>
      </c>
      <c r="K14" s="334">
        <v>3</v>
      </c>
      <c r="L14" s="336"/>
      <c r="M14" s="337"/>
      <c r="N14" s="338"/>
      <c r="O14" s="339"/>
      <c r="P14" s="336"/>
      <c r="Q14" s="337"/>
      <c r="R14" s="338"/>
      <c r="S14" s="339"/>
      <c r="T14" s="336"/>
      <c r="U14" s="337"/>
      <c r="V14" s="335"/>
      <c r="W14" s="42">
        <f t="shared" si="0"/>
        <v>3</v>
      </c>
      <c r="X14" s="353">
        <f t="shared" ref="X14" si="1">SUM(W14:W17)</f>
        <v>12</v>
      </c>
      <c r="Y14" s="355"/>
      <c r="AA14" s="135" t="s">
        <v>504</v>
      </c>
      <c r="AB14" s="364" t="s">
        <v>510</v>
      </c>
      <c r="AC14" s="364"/>
      <c r="AD14" s="365"/>
    </row>
    <row r="15" spans="2:30" ht="18" thickBot="1">
      <c r="B15" s="327"/>
      <c r="C15" s="328"/>
      <c r="D15" s="332"/>
      <c r="E15" s="43" t="s">
        <v>12</v>
      </c>
      <c r="F15" s="366" t="s">
        <v>216</v>
      </c>
      <c r="G15" s="367"/>
      <c r="H15" s="44">
        <v>4</v>
      </c>
      <c r="I15" s="159" t="s">
        <v>339</v>
      </c>
      <c r="J15" s="158">
        <v>3</v>
      </c>
      <c r="K15" s="347"/>
      <c r="L15" s="348"/>
      <c r="M15" s="349">
        <v>3</v>
      </c>
      <c r="N15" s="350"/>
      <c r="O15" s="351"/>
      <c r="P15" s="348"/>
      <c r="Q15" s="349"/>
      <c r="R15" s="350"/>
      <c r="S15" s="351"/>
      <c r="T15" s="348"/>
      <c r="U15" s="349"/>
      <c r="V15" s="352"/>
      <c r="W15" s="47">
        <f t="shared" si="0"/>
        <v>3</v>
      </c>
      <c r="X15" s="354"/>
      <c r="Y15" s="355"/>
    </row>
    <row r="16" spans="2:30" ht="18" thickBot="1">
      <c r="B16" s="327"/>
      <c r="C16" s="328"/>
      <c r="D16" s="332"/>
      <c r="E16" s="48" t="s">
        <v>525</v>
      </c>
      <c r="F16" s="366" t="s">
        <v>217</v>
      </c>
      <c r="G16" s="367"/>
      <c r="H16" s="44">
        <v>4</v>
      </c>
      <c r="I16" s="159" t="s">
        <v>339</v>
      </c>
      <c r="J16" s="46">
        <v>3</v>
      </c>
      <c r="K16" s="347"/>
      <c r="L16" s="348"/>
      <c r="M16" s="349"/>
      <c r="N16" s="350"/>
      <c r="O16" s="351">
        <v>3</v>
      </c>
      <c r="P16" s="348"/>
      <c r="Q16" s="349"/>
      <c r="R16" s="350"/>
      <c r="S16" s="351"/>
      <c r="T16" s="348"/>
      <c r="U16" s="349"/>
      <c r="V16" s="352"/>
      <c r="W16" s="47">
        <f t="shared" si="0"/>
        <v>3</v>
      </c>
      <c r="X16" s="354"/>
      <c r="Y16" s="355"/>
    </row>
    <row r="17" spans="2:29" ht="18" thickBot="1">
      <c r="B17" s="327"/>
      <c r="C17" s="328"/>
      <c r="D17" s="333"/>
      <c r="E17" s="48" t="s">
        <v>340</v>
      </c>
      <c r="F17" s="356" t="s">
        <v>343</v>
      </c>
      <c r="G17" s="357"/>
      <c r="H17" s="49">
        <v>4</v>
      </c>
      <c r="I17" s="50" t="s">
        <v>342</v>
      </c>
      <c r="J17" s="51">
        <v>3</v>
      </c>
      <c r="K17" s="358"/>
      <c r="L17" s="359"/>
      <c r="M17" s="360"/>
      <c r="N17" s="361"/>
      <c r="O17" s="362"/>
      <c r="P17" s="359"/>
      <c r="Q17" s="360">
        <v>3</v>
      </c>
      <c r="R17" s="361"/>
      <c r="S17" s="362"/>
      <c r="T17" s="359"/>
      <c r="U17" s="360"/>
      <c r="V17" s="363"/>
      <c r="W17" s="47">
        <f t="shared" si="0"/>
        <v>3</v>
      </c>
      <c r="X17" s="354"/>
      <c r="Y17" s="355"/>
    </row>
    <row r="18" spans="2:29" ht="18" thickBot="1">
      <c r="B18" s="327"/>
      <c r="C18" s="328"/>
      <c r="D18" s="331" t="s">
        <v>6</v>
      </c>
      <c r="E18" s="38" t="s">
        <v>12</v>
      </c>
      <c r="F18" s="334" t="s">
        <v>221</v>
      </c>
      <c r="G18" s="335"/>
      <c r="H18" s="39">
        <v>4</v>
      </c>
      <c r="I18" s="53" t="s">
        <v>339</v>
      </c>
      <c r="J18" s="41">
        <v>3</v>
      </c>
      <c r="K18" s="334">
        <v>3</v>
      </c>
      <c r="L18" s="336"/>
      <c r="M18" s="349"/>
      <c r="N18" s="350"/>
      <c r="O18" s="339"/>
      <c r="P18" s="336"/>
      <c r="Q18" s="337"/>
      <c r="R18" s="338"/>
      <c r="S18" s="339"/>
      <c r="T18" s="336"/>
      <c r="U18" s="337"/>
      <c r="V18" s="335"/>
      <c r="W18" s="42">
        <f t="shared" si="0"/>
        <v>3</v>
      </c>
      <c r="X18" s="353">
        <f t="shared" ref="X18" si="2">SUM(W18:W22)</f>
        <v>15</v>
      </c>
      <c r="Y18" s="355"/>
      <c r="AA18" s="370"/>
      <c r="AB18" s="370"/>
      <c r="AC18" s="137"/>
    </row>
    <row r="19" spans="2:29" ht="18" thickBot="1">
      <c r="B19" s="327"/>
      <c r="C19" s="328"/>
      <c r="D19" s="332"/>
      <c r="E19" s="43" t="s">
        <v>12</v>
      </c>
      <c r="F19" s="347" t="s">
        <v>227</v>
      </c>
      <c r="G19" s="352"/>
      <c r="H19" s="44">
        <v>4</v>
      </c>
      <c r="I19" s="45" t="s">
        <v>339</v>
      </c>
      <c r="J19" s="46">
        <v>3</v>
      </c>
      <c r="K19" s="347"/>
      <c r="L19" s="348"/>
      <c r="M19" s="349">
        <v>3</v>
      </c>
      <c r="N19" s="350"/>
      <c r="O19" s="351"/>
      <c r="P19" s="348"/>
      <c r="Q19" s="349"/>
      <c r="R19" s="350"/>
      <c r="S19" s="351"/>
      <c r="T19" s="348"/>
      <c r="U19" s="349"/>
      <c r="V19" s="352"/>
      <c r="W19" s="47">
        <f t="shared" si="0"/>
        <v>3</v>
      </c>
      <c r="X19" s="354"/>
      <c r="Y19" s="355"/>
    </row>
    <row r="20" spans="2:29" ht="18" thickBot="1">
      <c r="B20" s="327"/>
      <c r="C20" s="328"/>
      <c r="D20" s="332"/>
      <c r="E20" s="43" t="s">
        <v>347</v>
      </c>
      <c r="F20" s="371" t="s">
        <v>38</v>
      </c>
      <c r="G20" s="372"/>
      <c r="H20" s="44">
        <v>4</v>
      </c>
      <c r="I20" s="45" t="s">
        <v>342</v>
      </c>
      <c r="J20" s="156">
        <v>3</v>
      </c>
      <c r="K20" s="347"/>
      <c r="L20" s="348"/>
      <c r="M20" s="349"/>
      <c r="N20" s="350"/>
      <c r="O20" s="351">
        <v>3</v>
      </c>
      <c r="P20" s="348"/>
      <c r="Q20" s="349"/>
      <c r="R20" s="350"/>
      <c r="S20" s="351"/>
      <c r="T20" s="348"/>
      <c r="U20" s="349"/>
      <c r="V20" s="352"/>
      <c r="W20" s="47">
        <f t="shared" si="0"/>
        <v>3</v>
      </c>
      <c r="X20" s="354"/>
      <c r="Y20" s="355"/>
    </row>
    <row r="21" spans="2:29" ht="18" thickBot="1">
      <c r="B21" s="327"/>
      <c r="C21" s="328"/>
      <c r="D21" s="332"/>
      <c r="E21" s="43" t="s">
        <v>347</v>
      </c>
      <c r="F21" s="371" t="s">
        <v>40</v>
      </c>
      <c r="G21" s="372"/>
      <c r="H21" s="44">
        <v>4</v>
      </c>
      <c r="I21" s="45" t="s">
        <v>342</v>
      </c>
      <c r="J21" s="156">
        <v>3</v>
      </c>
      <c r="K21" s="347"/>
      <c r="L21" s="348"/>
      <c r="M21" s="349"/>
      <c r="N21" s="350"/>
      <c r="O21" s="351"/>
      <c r="P21" s="348"/>
      <c r="Q21" s="349">
        <v>3</v>
      </c>
      <c r="R21" s="350"/>
      <c r="S21" s="351"/>
      <c r="T21" s="348"/>
      <c r="U21" s="349"/>
      <c r="V21" s="352"/>
      <c r="W21" s="47">
        <f t="shared" si="0"/>
        <v>3</v>
      </c>
      <c r="X21" s="354"/>
      <c r="Y21" s="355"/>
    </row>
    <row r="22" spans="2:29" ht="18" thickBot="1">
      <c r="B22" s="327"/>
      <c r="C22" s="328"/>
      <c r="D22" s="333"/>
      <c r="E22" s="52" t="s">
        <v>340</v>
      </c>
      <c r="F22" s="358" t="s">
        <v>344</v>
      </c>
      <c r="G22" s="363"/>
      <c r="H22" s="49">
        <v>4</v>
      </c>
      <c r="I22" s="50" t="s">
        <v>342</v>
      </c>
      <c r="J22" s="51">
        <v>3</v>
      </c>
      <c r="K22" s="358"/>
      <c r="L22" s="359"/>
      <c r="M22" s="360"/>
      <c r="N22" s="361"/>
      <c r="O22" s="362"/>
      <c r="P22" s="359"/>
      <c r="Q22" s="360"/>
      <c r="R22" s="361"/>
      <c r="S22" s="362">
        <v>3</v>
      </c>
      <c r="T22" s="359"/>
      <c r="U22" s="360"/>
      <c r="V22" s="363"/>
      <c r="W22" s="47">
        <f t="shared" si="0"/>
        <v>3</v>
      </c>
      <c r="X22" s="354"/>
      <c r="Y22" s="355"/>
    </row>
    <row r="23" spans="2:29" ht="18" thickBot="1">
      <c r="B23" s="327"/>
      <c r="C23" s="328"/>
      <c r="D23" s="331" t="s">
        <v>345</v>
      </c>
      <c r="E23" s="38" t="s">
        <v>12</v>
      </c>
      <c r="F23" s="334" t="s">
        <v>235</v>
      </c>
      <c r="G23" s="335"/>
      <c r="H23" s="39">
        <v>3</v>
      </c>
      <c r="I23" s="53">
        <v>3</v>
      </c>
      <c r="J23" s="41">
        <v>3</v>
      </c>
      <c r="K23" s="373">
        <v>3</v>
      </c>
      <c r="L23" s="374"/>
      <c r="M23" s="375"/>
      <c r="N23" s="376"/>
      <c r="O23" s="377"/>
      <c r="P23" s="374"/>
      <c r="Q23" s="375"/>
      <c r="R23" s="376"/>
      <c r="S23" s="377"/>
      <c r="T23" s="374"/>
      <c r="U23" s="375"/>
      <c r="V23" s="378"/>
      <c r="W23" s="42">
        <f t="shared" si="0"/>
        <v>3</v>
      </c>
      <c r="X23" s="353">
        <f>SUM(W23:W24)</f>
        <v>6</v>
      </c>
      <c r="Y23" s="355">
        <v>6</v>
      </c>
    </row>
    <row r="24" spans="2:29" ht="18" thickBot="1">
      <c r="B24" s="327"/>
      <c r="C24" s="328"/>
      <c r="D24" s="332"/>
      <c r="E24" s="54" t="s">
        <v>12</v>
      </c>
      <c r="F24" s="380" t="s">
        <v>236</v>
      </c>
      <c r="G24" s="381"/>
      <c r="H24" s="55">
        <v>3</v>
      </c>
      <c r="I24" s="56">
        <v>3</v>
      </c>
      <c r="J24" s="143">
        <v>3</v>
      </c>
      <c r="K24" s="358"/>
      <c r="L24" s="359"/>
      <c r="M24" s="360">
        <v>3</v>
      </c>
      <c r="N24" s="361"/>
      <c r="O24" s="362"/>
      <c r="P24" s="359"/>
      <c r="Q24" s="360"/>
      <c r="R24" s="361"/>
      <c r="S24" s="362"/>
      <c r="T24" s="359"/>
      <c r="U24" s="360"/>
      <c r="V24" s="363"/>
      <c r="W24" s="57">
        <f t="shared" si="0"/>
        <v>3</v>
      </c>
      <c r="X24" s="379"/>
      <c r="Y24" s="355"/>
      <c r="AA24" s="370"/>
      <c r="AB24" s="370"/>
      <c r="AC24" s="137"/>
    </row>
    <row r="25" spans="2:29" ht="18" thickBot="1">
      <c r="B25" s="327"/>
      <c r="C25" s="328"/>
      <c r="D25" s="332"/>
      <c r="E25" s="38" t="s">
        <v>12</v>
      </c>
      <c r="F25" s="334" t="s">
        <v>238</v>
      </c>
      <c r="G25" s="335"/>
      <c r="H25" s="39">
        <v>4</v>
      </c>
      <c r="I25" s="53" t="s">
        <v>339</v>
      </c>
      <c r="J25" s="41">
        <v>3</v>
      </c>
      <c r="K25" s="334"/>
      <c r="L25" s="336"/>
      <c r="M25" s="337"/>
      <c r="N25" s="338"/>
      <c r="O25" s="339">
        <v>3</v>
      </c>
      <c r="P25" s="336"/>
      <c r="Q25" s="337"/>
      <c r="R25" s="338"/>
      <c r="S25" s="339"/>
      <c r="T25" s="336"/>
      <c r="U25" s="337"/>
      <c r="V25" s="335"/>
      <c r="W25" s="42">
        <f t="shared" si="0"/>
        <v>3</v>
      </c>
      <c r="X25" s="353">
        <f>SUM(W25:W26)</f>
        <v>6</v>
      </c>
      <c r="Y25" s="355">
        <v>12</v>
      </c>
    </row>
    <row r="26" spans="2:29" ht="18" thickBot="1">
      <c r="B26" s="327"/>
      <c r="C26" s="328"/>
      <c r="D26" s="333"/>
      <c r="E26" s="52" t="s">
        <v>12</v>
      </c>
      <c r="F26" s="358" t="s">
        <v>239</v>
      </c>
      <c r="G26" s="363"/>
      <c r="H26" s="49">
        <v>4</v>
      </c>
      <c r="I26" s="50" t="s">
        <v>339</v>
      </c>
      <c r="J26" s="51">
        <v>3</v>
      </c>
      <c r="K26" s="358"/>
      <c r="L26" s="359"/>
      <c r="M26" s="360"/>
      <c r="N26" s="361"/>
      <c r="O26" s="362"/>
      <c r="P26" s="359"/>
      <c r="Q26" s="360">
        <v>3</v>
      </c>
      <c r="R26" s="361"/>
      <c r="S26" s="362"/>
      <c r="T26" s="359"/>
      <c r="U26" s="360"/>
      <c r="V26" s="363"/>
      <c r="W26" s="57">
        <f t="shared" si="0"/>
        <v>3</v>
      </c>
      <c r="X26" s="379"/>
      <c r="Y26" s="355"/>
    </row>
    <row r="27" spans="2:29" ht="18" thickBot="1">
      <c r="B27" s="327"/>
      <c r="C27" s="328"/>
      <c r="D27" s="331" t="s">
        <v>26</v>
      </c>
      <c r="E27" s="38" t="s">
        <v>12</v>
      </c>
      <c r="F27" s="334" t="s">
        <v>256</v>
      </c>
      <c r="G27" s="335"/>
      <c r="H27" s="39">
        <v>4</v>
      </c>
      <c r="I27" s="53" t="s">
        <v>339</v>
      </c>
      <c r="J27" s="41">
        <v>3</v>
      </c>
      <c r="K27" s="334">
        <v>3</v>
      </c>
      <c r="L27" s="336"/>
      <c r="M27" s="337"/>
      <c r="N27" s="338"/>
      <c r="O27" s="339"/>
      <c r="P27" s="336"/>
      <c r="Q27" s="337"/>
      <c r="R27" s="338"/>
      <c r="S27" s="339"/>
      <c r="T27" s="336"/>
      <c r="U27" s="337"/>
      <c r="V27" s="335"/>
      <c r="W27" s="42">
        <f t="shared" si="0"/>
        <v>3</v>
      </c>
      <c r="X27" s="326">
        <f>SUM(W27:W28)</f>
        <v>6</v>
      </c>
      <c r="Y27" s="355"/>
    </row>
    <row r="28" spans="2:29" ht="18" thickBot="1">
      <c r="B28" s="327"/>
      <c r="C28" s="328"/>
      <c r="D28" s="332"/>
      <c r="E28" s="43" t="s">
        <v>12</v>
      </c>
      <c r="F28" s="347" t="s">
        <v>257</v>
      </c>
      <c r="G28" s="352"/>
      <c r="H28" s="44">
        <v>4</v>
      </c>
      <c r="I28" s="45" t="s">
        <v>339</v>
      </c>
      <c r="J28" s="46">
        <v>3</v>
      </c>
      <c r="K28" s="347"/>
      <c r="L28" s="348"/>
      <c r="M28" s="349">
        <v>3</v>
      </c>
      <c r="N28" s="350"/>
      <c r="O28" s="351"/>
      <c r="P28" s="348"/>
      <c r="Q28" s="349"/>
      <c r="R28" s="350"/>
      <c r="S28" s="351"/>
      <c r="T28" s="348"/>
      <c r="U28" s="349"/>
      <c r="V28" s="352"/>
      <c r="W28" s="47">
        <f t="shared" si="0"/>
        <v>3</v>
      </c>
      <c r="X28" s="328"/>
      <c r="Y28" s="355"/>
    </row>
    <row r="29" spans="2:29" ht="16.5" customHeight="1" thickBot="1">
      <c r="B29" s="327"/>
      <c r="C29" s="328"/>
      <c r="D29" s="331" t="s">
        <v>8</v>
      </c>
      <c r="E29" s="38" t="s">
        <v>347</v>
      </c>
      <c r="F29" s="334" t="s">
        <v>348</v>
      </c>
      <c r="G29" s="335"/>
      <c r="H29" s="39">
        <v>3</v>
      </c>
      <c r="I29" s="53" t="s">
        <v>349</v>
      </c>
      <c r="J29" s="41">
        <f t="shared" ref="J29:J30" si="3">SUM(K29:V29)</f>
        <v>2</v>
      </c>
      <c r="K29" s="334">
        <v>2</v>
      </c>
      <c r="L29" s="336"/>
      <c r="M29" s="337"/>
      <c r="N29" s="338"/>
      <c r="O29" s="339"/>
      <c r="P29" s="336"/>
      <c r="Q29" s="337"/>
      <c r="R29" s="338"/>
      <c r="S29" s="339"/>
      <c r="T29" s="336"/>
      <c r="U29" s="337"/>
      <c r="V29" s="335"/>
      <c r="W29" s="42">
        <f>SUM(K29:V29)</f>
        <v>2</v>
      </c>
      <c r="X29" s="382">
        <f>SUM(W29:W32)</f>
        <v>8</v>
      </c>
      <c r="Y29" s="355">
        <v>8</v>
      </c>
    </row>
    <row r="30" spans="2:29" ht="18" thickBot="1">
      <c r="B30" s="327"/>
      <c r="C30" s="328"/>
      <c r="D30" s="332"/>
      <c r="E30" s="43" t="s">
        <v>347</v>
      </c>
      <c r="F30" s="347" t="s">
        <v>350</v>
      </c>
      <c r="G30" s="352"/>
      <c r="H30" s="44">
        <v>3</v>
      </c>
      <c r="I30" s="45" t="s">
        <v>349</v>
      </c>
      <c r="J30" s="46">
        <f t="shared" si="3"/>
        <v>2</v>
      </c>
      <c r="K30" s="347"/>
      <c r="L30" s="348"/>
      <c r="M30" s="349">
        <v>2</v>
      </c>
      <c r="N30" s="350"/>
      <c r="O30" s="351"/>
      <c r="P30" s="348"/>
      <c r="Q30" s="349"/>
      <c r="R30" s="350"/>
      <c r="S30" s="351"/>
      <c r="T30" s="348"/>
      <c r="U30" s="349"/>
      <c r="V30" s="352"/>
      <c r="W30" s="47">
        <f t="shared" ref="W30:W38" si="4">SUM(K30:V30)</f>
        <v>2</v>
      </c>
      <c r="X30" s="383"/>
      <c r="Y30" s="355"/>
    </row>
    <row r="31" spans="2:29" ht="18" thickBot="1">
      <c r="B31" s="327"/>
      <c r="C31" s="328"/>
      <c r="D31" s="332"/>
      <c r="E31" s="43" t="s">
        <v>340</v>
      </c>
      <c r="F31" s="371" t="s">
        <v>527</v>
      </c>
      <c r="G31" s="372"/>
      <c r="H31" s="44">
        <v>3</v>
      </c>
      <c r="I31" s="45" t="s">
        <v>349</v>
      </c>
      <c r="J31" s="46">
        <v>2</v>
      </c>
      <c r="K31" s="347"/>
      <c r="L31" s="348"/>
      <c r="M31" s="349"/>
      <c r="N31" s="350"/>
      <c r="O31" s="351">
        <v>2</v>
      </c>
      <c r="P31" s="348"/>
      <c r="Q31" s="349"/>
      <c r="R31" s="350"/>
      <c r="S31" s="351"/>
      <c r="T31" s="348"/>
      <c r="U31" s="349"/>
      <c r="V31" s="352"/>
      <c r="W31" s="47">
        <f t="shared" si="4"/>
        <v>2</v>
      </c>
      <c r="X31" s="383"/>
      <c r="Y31" s="355"/>
    </row>
    <row r="32" spans="2:29" ht="18" thickBot="1">
      <c r="B32" s="327"/>
      <c r="C32" s="328"/>
      <c r="D32" s="332"/>
      <c r="E32" s="43" t="s">
        <v>346</v>
      </c>
      <c r="F32" s="371" t="s">
        <v>351</v>
      </c>
      <c r="G32" s="372"/>
      <c r="H32" s="49">
        <v>3</v>
      </c>
      <c r="I32" s="50" t="s">
        <v>349</v>
      </c>
      <c r="J32" s="46">
        <v>2</v>
      </c>
      <c r="K32" s="347"/>
      <c r="L32" s="348"/>
      <c r="M32" s="349"/>
      <c r="N32" s="350"/>
      <c r="O32" s="351"/>
      <c r="P32" s="348"/>
      <c r="Q32" s="349">
        <v>2</v>
      </c>
      <c r="R32" s="350"/>
      <c r="S32" s="351"/>
      <c r="T32" s="348"/>
      <c r="U32" s="360"/>
      <c r="V32" s="363"/>
      <c r="W32" s="57">
        <f t="shared" si="4"/>
        <v>2</v>
      </c>
      <c r="X32" s="384"/>
      <c r="Y32" s="355"/>
    </row>
    <row r="33" spans="2:28" ht="18" thickBot="1">
      <c r="B33" s="327"/>
      <c r="C33" s="328"/>
      <c r="D33" s="331" t="s">
        <v>28</v>
      </c>
      <c r="E33" s="38" t="s">
        <v>347</v>
      </c>
      <c r="F33" s="161" t="s">
        <v>47</v>
      </c>
      <c r="G33" s="385" t="s">
        <v>528</v>
      </c>
      <c r="H33" s="155">
        <v>3</v>
      </c>
      <c r="I33" s="58" t="s">
        <v>349</v>
      </c>
      <c r="J33" s="41">
        <v>3</v>
      </c>
      <c r="K33" s="334">
        <v>3</v>
      </c>
      <c r="L33" s="336"/>
      <c r="M33" s="337"/>
      <c r="N33" s="338"/>
      <c r="O33" s="339"/>
      <c r="P33" s="336"/>
      <c r="Q33" s="337"/>
      <c r="R33" s="338"/>
      <c r="S33" s="339"/>
      <c r="T33" s="336"/>
      <c r="U33" s="387"/>
      <c r="V33" s="388"/>
      <c r="W33" s="157">
        <f t="shared" si="4"/>
        <v>3</v>
      </c>
      <c r="X33" s="383">
        <f>SUM(W33:W34)</f>
        <v>6</v>
      </c>
      <c r="Y33" s="355">
        <v>6</v>
      </c>
    </row>
    <row r="34" spans="2:28" ht="18" thickBot="1">
      <c r="B34" s="327"/>
      <c r="C34" s="328"/>
      <c r="D34" s="332"/>
      <c r="E34" s="48" t="s">
        <v>347</v>
      </c>
      <c r="F34" s="162" t="s">
        <v>9</v>
      </c>
      <c r="G34" s="386"/>
      <c r="H34" s="44">
        <v>3</v>
      </c>
      <c r="I34" s="45" t="s">
        <v>349</v>
      </c>
      <c r="J34" s="46">
        <v>3</v>
      </c>
      <c r="K34" s="347"/>
      <c r="L34" s="348"/>
      <c r="M34" s="349">
        <v>3</v>
      </c>
      <c r="N34" s="350"/>
      <c r="O34" s="351"/>
      <c r="P34" s="348"/>
      <c r="Q34" s="349"/>
      <c r="R34" s="350"/>
      <c r="S34" s="351"/>
      <c r="T34" s="348"/>
      <c r="U34" s="389"/>
      <c r="V34" s="381"/>
      <c r="W34" s="57">
        <f t="shared" si="4"/>
        <v>3</v>
      </c>
      <c r="X34" s="384"/>
      <c r="Y34" s="355"/>
    </row>
    <row r="35" spans="2:28" ht="16.2" customHeight="1" thickBot="1">
      <c r="B35" s="327"/>
      <c r="C35" s="328"/>
      <c r="D35" s="404" t="s">
        <v>353</v>
      </c>
      <c r="E35" s="38" t="s">
        <v>524</v>
      </c>
      <c r="F35" s="391" t="s">
        <v>301</v>
      </c>
      <c r="G35" s="392"/>
      <c r="H35" s="39">
        <v>4</v>
      </c>
      <c r="I35" s="53" t="s">
        <v>342</v>
      </c>
      <c r="J35" s="41">
        <v>3</v>
      </c>
      <c r="K35" s="334" t="s">
        <v>529</v>
      </c>
      <c r="L35" s="336"/>
      <c r="M35" s="337"/>
      <c r="N35" s="338"/>
      <c r="O35" s="339">
        <v>3</v>
      </c>
      <c r="P35" s="336"/>
      <c r="Q35" s="337"/>
      <c r="R35" s="338"/>
      <c r="S35" s="339"/>
      <c r="T35" s="336"/>
      <c r="U35" s="387"/>
      <c r="V35" s="388"/>
      <c r="W35" s="157">
        <f t="shared" si="4"/>
        <v>3</v>
      </c>
      <c r="X35" s="382">
        <f>SUM(W35:W38)</f>
        <v>10</v>
      </c>
      <c r="Y35" s="355">
        <v>8</v>
      </c>
    </row>
    <row r="36" spans="2:28" ht="16.2" customHeight="1" thickBot="1">
      <c r="B36" s="327"/>
      <c r="C36" s="328"/>
      <c r="D36" s="405"/>
      <c r="E36" s="43" t="s">
        <v>340</v>
      </c>
      <c r="F36" s="371" t="s">
        <v>309</v>
      </c>
      <c r="G36" s="390"/>
      <c r="H36" s="155">
        <v>4</v>
      </c>
      <c r="I36" s="159" t="s">
        <v>342</v>
      </c>
      <c r="J36" s="156">
        <v>3</v>
      </c>
      <c r="K36" s="347"/>
      <c r="L36" s="348"/>
      <c r="M36" s="349"/>
      <c r="N36" s="350"/>
      <c r="O36" s="351"/>
      <c r="P36" s="348"/>
      <c r="Q36" s="349">
        <v>3</v>
      </c>
      <c r="R36" s="350"/>
      <c r="S36" s="351"/>
      <c r="T36" s="348"/>
      <c r="U36" s="349"/>
      <c r="V36" s="352"/>
      <c r="W36" s="47">
        <f t="shared" si="4"/>
        <v>3</v>
      </c>
      <c r="X36" s="383"/>
      <c r="Y36" s="355"/>
    </row>
    <row r="37" spans="2:28" ht="16.5" customHeight="1" thickBot="1">
      <c r="B37" s="327"/>
      <c r="C37" s="328"/>
      <c r="D37" s="405"/>
      <c r="E37" s="43" t="s">
        <v>340</v>
      </c>
      <c r="F37" s="163" t="s">
        <v>530</v>
      </c>
      <c r="G37" s="393" t="s">
        <v>528</v>
      </c>
      <c r="H37" s="44">
        <v>3</v>
      </c>
      <c r="I37" s="45" t="s">
        <v>349</v>
      </c>
      <c r="J37" s="46">
        <v>2</v>
      </c>
      <c r="K37" s="347">
        <v>2</v>
      </c>
      <c r="L37" s="348"/>
      <c r="M37" s="349"/>
      <c r="N37" s="350"/>
      <c r="O37" s="351" t="s">
        <v>529</v>
      </c>
      <c r="P37" s="348"/>
      <c r="Q37" s="349"/>
      <c r="R37" s="350"/>
      <c r="S37" s="351"/>
      <c r="T37" s="348"/>
      <c r="U37" s="349"/>
      <c r="V37" s="352"/>
      <c r="W37" s="47">
        <f t="shared" si="4"/>
        <v>2</v>
      </c>
      <c r="X37" s="383"/>
      <c r="Y37" s="355"/>
    </row>
    <row r="38" spans="2:28" ht="18" thickBot="1">
      <c r="B38" s="329"/>
      <c r="C38" s="330"/>
      <c r="D38" s="405"/>
      <c r="E38" s="48" t="s">
        <v>347</v>
      </c>
      <c r="F38" s="164" t="s">
        <v>50</v>
      </c>
      <c r="G38" s="386"/>
      <c r="H38" s="49">
        <v>3</v>
      </c>
      <c r="I38" s="50" t="s">
        <v>349</v>
      </c>
      <c r="J38" s="51">
        <v>2</v>
      </c>
      <c r="K38" s="358" t="s">
        <v>529</v>
      </c>
      <c r="L38" s="359"/>
      <c r="M38" s="360">
        <v>2</v>
      </c>
      <c r="N38" s="361"/>
      <c r="O38" s="351"/>
      <c r="P38" s="348"/>
      <c r="Q38" s="349" t="s">
        <v>529</v>
      </c>
      <c r="R38" s="350"/>
      <c r="S38" s="351"/>
      <c r="T38" s="348"/>
      <c r="U38" s="349"/>
      <c r="V38" s="352"/>
      <c r="W38" s="47">
        <f t="shared" si="4"/>
        <v>2</v>
      </c>
      <c r="X38" s="384"/>
      <c r="Y38" s="355"/>
    </row>
    <row r="39" spans="2:28" ht="24.75" customHeight="1" thickBot="1">
      <c r="B39" s="394" t="s">
        <v>361</v>
      </c>
      <c r="C39" s="395"/>
      <c r="D39" s="395"/>
      <c r="E39" s="395"/>
      <c r="F39" s="395"/>
      <c r="G39" s="396"/>
      <c r="H39" s="138">
        <f>SUM(H9:H38)</f>
        <v>110</v>
      </c>
      <c r="I39" s="18"/>
      <c r="J39" s="144">
        <f>SUM(J9:J38)</f>
        <v>84</v>
      </c>
      <c r="K39" s="397">
        <f>SUM(K9:L38)</f>
        <v>22</v>
      </c>
      <c r="L39" s="398"/>
      <c r="M39" s="398">
        <f>SUM(M9:N38)</f>
        <v>22</v>
      </c>
      <c r="N39" s="399"/>
      <c r="O39" s="400">
        <f>SUM(O9:P38)</f>
        <v>17</v>
      </c>
      <c r="P39" s="398"/>
      <c r="Q39" s="398">
        <f>SUM(Q9:R38)</f>
        <v>17</v>
      </c>
      <c r="R39" s="401"/>
      <c r="S39" s="402">
        <f>SUM(S9:T38)</f>
        <v>6</v>
      </c>
      <c r="T39" s="398"/>
      <c r="U39" s="398">
        <f>SUM(U9:V38)</f>
        <v>0</v>
      </c>
      <c r="V39" s="403"/>
      <c r="W39" s="394">
        <f>SUM(K39:V39)</f>
        <v>84</v>
      </c>
      <c r="X39" s="402"/>
      <c r="Y39" s="144">
        <f>SUM(Y9:Y38)</f>
        <v>64</v>
      </c>
      <c r="AA39" s="406" t="b">
        <f>W39&gt;=Y39</f>
        <v>1</v>
      </c>
      <c r="AB39" s="407"/>
    </row>
    <row r="40" spans="2:28" ht="17.25" customHeight="1">
      <c r="B40" s="408" t="s">
        <v>354</v>
      </c>
      <c r="C40" s="409"/>
      <c r="D40" s="412" t="s">
        <v>355</v>
      </c>
      <c r="E40" s="413"/>
      <c r="F40" s="416" t="s">
        <v>531</v>
      </c>
      <c r="G40" s="417"/>
      <c r="H40" s="166"/>
      <c r="I40" s="167"/>
      <c r="J40" s="168">
        <v>2</v>
      </c>
      <c r="K40" s="418"/>
      <c r="L40" s="419"/>
      <c r="M40" s="420">
        <v>2</v>
      </c>
      <c r="N40" s="421"/>
      <c r="O40" s="418"/>
      <c r="P40" s="419"/>
      <c r="Q40" s="420"/>
      <c r="R40" s="421"/>
      <c r="S40" s="418"/>
      <c r="T40" s="419"/>
      <c r="U40" s="420" t="s">
        <v>529</v>
      </c>
      <c r="V40" s="422"/>
      <c r="W40" s="423">
        <f>SUM(K40:V40)</f>
        <v>2</v>
      </c>
      <c r="X40" s="424"/>
      <c r="Y40" s="425">
        <v>80</v>
      </c>
    </row>
    <row r="41" spans="2:28" ht="17.25" customHeight="1" thickBot="1">
      <c r="B41" s="410"/>
      <c r="C41" s="411"/>
      <c r="D41" s="414"/>
      <c r="E41" s="415"/>
      <c r="F41" s="428" t="s">
        <v>532</v>
      </c>
      <c r="G41" s="429"/>
      <c r="H41" s="169"/>
      <c r="I41" s="170"/>
      <c r="J41" s="171">
        <v>2</v>
      </c>
      <c r="K41" s="430"/>
      <c r="L41" s="431"/>
      <c r="M41" s="432"/>
      <c r="N41" s="433"/>
      <c r="O41" s="430"/>
      <c r="P41" s="431"/>
      <c r="Q41" s="432"/>
      <c r="R41" s="433"/>
      <c r="S41" s="430">
        <v>2</v>
      </c>
      <c r="T41" s="431"/>
      <c r="U41" s="432"/>
      <c r="V41" s="434"/>
      <c r="W41" s="435">
        <f>SUM(K41:V41)</f>
        <v>2</v>
      </c>
      <c r="X41" s="436"/>
      <c r="Y41" s="426"/>
    </row>
    <row r="42" spans="2:28" ht="17.25" customHeight="1">
      <c r="B42" s="410"/>
      <c r="C42" s="411"/>
      <c r="D42" s="62" t="s">
        <v>66</v>
      </c>
      <c r="E42" s="65" t="s">
        <v>356</v>
      </c>
      <c r="F42" s="437" t="s">
        <v>533</v>
      </c>
      <c r="G42" s="438"/>
      <c r="H42" s="33"/>
      <c r="I42" s="32"/>
      <c r="J42" s="174">
        <v>5</v>
      </c>
      <c r="K42" s="439">
        <v>5</v>
      </c>
      <c r="L42" s="440"/>
      <c r="M42" s="441"/>
      <c r="N42" s="442"/>
      <c r="O42" s="443"/>
      <c r="P42" s="440"/>
      <c r="Q42" s="441"/>
      <c r="R42" s="444"/>
      <c r="S42" s="442"/>
      <c r="T42" s="440"/>
      <c r="U42" s="441"/>
      <c r="V42" s="445"/>
      <c r="W42" s="446">
        <f t="shared" ref="W42:W55" si="5">SUM(K42:V42)</f>
        <v>5</v>
      </c>
      <c r="X42" s="447"/>
      <c r="Y42" s="427"/>
    </row>
    <row r="43" spans="2:28" ht="17.25" customHeight="1">
      <c r="B43" s="410"/>
      <c r="C43" s="411"/>
      <c r="D43" s="59" t="s">
        <v>66</v>
      </c>
      <c r="E43" s="60" t="s">
        <v>356</v>
      </c>
      <c r="F43" s="451" t="s">
        <v>534</v>
      </c>
      <c r="G43" s="452"/>
      <c r="H43" s="33"/>
      <c r="I43" s="32"/>
      <c r="J43" s="174">
        <v>2</v>
      </c>
      <c r="K43" s="371">
        <v>2</v>
      </c>
      <c r="L43" s="453"/>
      <c r="M43" s="448"/>
      <c r="N43" s="454"/>
      <c r="O43" s="455"/>
      <c r="P43" s="453"/>
      <c r="Q43" s="448"/>
      <c r="R43" s="454"/>
      <c r="S43" s="455"/>
      <c r="T43" s="453"/>
      <c r="U43" s="448"/>
      <c r="V43" s="372"/>
      <c r="W43" s="449">
        <f t="shared" si="5"/>
        <v>2</v>
      </c>
      <c r="X43" s="450"/>
      <c r="Y43" s="427"/>
    </row>
    <row r="44" spans="2:28" ht="17.25" customHeight="1">
      <c r="B44" s="410"/>
      <c r="C44" s="411"/>
      <c r="D44" s="59" t="s">
        <v>66</v>
      </c>
      <c r="E44" s="60" t="s">
        <v>356</v>
      </c>
      <c r="F44" s="451" t="s">
        <v>535</v>
      </c>
      <c r="G44" s="452"/>
      <c r="H44" s="33"/>
      <c r="I44" s="32"/>
      <c r="J44" s="174">
        <v>5</v>
      </c>
      <c r="K44" s="371"/>
      <c r="L44" s="453"/>
      <c r="M44" s="448">
        <v>5</v>
      </c>
      <c r="N44" s="454"/>
      <c r="O44" s="455"/>
      <c r="P44" s="453"/>
      <c r="Q44" s="448"/>
      <c r="R44" s="454"/>
      <c r="S44" s="455"/>
      <c r="T44" s="453"/>
      <c r="U44" s="448"/>
      <c r="V44" s="372"/>
      <c r="W44" s="449">
        <f t="shared" si="5"/>
        <v>5</v>
      </c>
      <c r="X44" s="450"/>
      <c r="Y44" s="427"/>
    </row>
    <row r="45" spans="2:28" ht="17.25" customHeight="1">
      <c r="B45" s="410"/>
      <c r="C45" s="411"/>
      <c r="D45" s="59" t="s">
        <v>66</v>
      </c>
      <c r="E45" s="60" t="s">
        <v>356</v>
      </c>
      <c r="F45" s="458" t="s">
        <v>536</v>
      </c>
      <c r="G45" s="459"/>
      <c r="H45" s="33"/>
      <c r="I45" s="140"/>
      <c r="J45" s="174">
        <v>4</v>
      </c>
      <c r="K45" s="460"/>
      <c r="L45" s="461"/>
      <c r="M45" s="456"/>
      <c r="N45" s="462"/>
      <c r="O45" s="455">
        <v>4</v>
      </c>
      <c r="P45" s="453"/>
      <c r="Q45" s="448"/>
      <c r="R45" s="454"/>
      <c r="S45" s="463"/>
      <c r="T45" s="461"/>
      <c r="U45" s="456"/>
      <c r="V45" s="457"/>
      <c r="W45" s="449">
        <f t="shared" si="5"/>
        <v>4</v>
      </c>
      <c r="X45" s="450"/>
      <c r="Y45" s="427"/>
    </row>
    <row r="46" spans="2:28" ht="17.25" customHeight="1">
      <c r="B46" s="410"/>
      <c r="C46" s="411"/>
      <c r="D46" s="59" t="s">
        <v>66</v>
      </c>
      <c r="E46" s="60" t="s">
        <v>356</v>
      </c>
      <c r="F46" s="458" t="s">
        <v>537</v>
      </c>
      <c r="G46" s="459"/>
      <c r="H46" s="172"/>
      <c r="I46" s="175"/>
      <c r="J46" s="174">
        <v>4</v>
      </c>
      <c r="K46" s="371"/>
      <c r="L46" s="453"/>
      <c r="M46" s="448"/>
      <c r="N46" s="454"/>
      <c r="O46" s="455"/>
      <c r="P46" s="453"/>
      <c r="Q46" s="448">
        <v>4</v>
      </c>
      <c r="R46" s="454"/>
      <c r="S46" s="455"/>
      <c r="T46" s="453"/>
      <c r="U46" s="448"/>
      <c r="V46" s="372"/>
      <c r="W46" s="449">
        <f t="shared" si="5"/>
        <v>4</v>
      </c>
      <c r="X46" s="450"/>
      <c r="Y46" s="427"/>
    </row>
    <row r="47" spans="2:28" ht="17.25" customHeight="1">
      <c r="B47" s="410"/>
      <c r="C47" s="411"/>
      <c r="D47" s="59" t="s">
        <v>66</v>
      </c>
      <c r="E47" s="60" t="s">
        <v>357</v>
      </c>
      <c r="F47" s="458" t="s">
        <v>538</v>
      </c>
      <c r="G47" s="459"/>
      <c r="H47" s="33"/>
      <c r="I47" s="140"/>
      <c r="J47" s="174">
        <v>10</v>
      </c>
      <c r="K47" s="460"/>
      <c r="L47" s="461"/>
      <c r="M47" s="456"/>
      <c r="N47" s="464"/>
      <c r="O47" s="455">
        <v>5</v>
      </c>
      <c r="P47" s="453"/>
      <c r="Q47" s="448">
        <v>5</v>
      </c>
      <c r="R47" s="454"/>
      <c r="S47" s="464"/>
      <c r="T47" s="461"/>
      <c r="U47" s="456"/>
      <c r="V47" s="457"/>
      <c r="W47" s="449">
        <f t="shared" si="5"/>
        <v>10</v>
      </c>
      <c r="X47" s="450"/>
      <c r="Y47" s="427"/>
    </row>
    <row r="48" spans="2:28" ht="17.25" customHeight="1">
      <c r="B48" s="410"/>
      <c r="C48" s="411"/>
      <c r="D48" s="59" t="s">
        <v>66</v>
      </c>
      <c r="E48" s="60" t="s">
        <v>357</v>
      </c>
      <c r="F48" s="458" t="s">
        <v>539</v>
      </c>
      <c r="G48" s="459"/>
      <c r="H48" s="33"/>
      <c r="I48" s="32"/>
      <c r="J48" s="174">
        <v>6</v>
      </c>
      <c r="K48" s="460"/>
      <c r="L48" s="461"/>
      <c r="M48" s="456"/>
      <c r="N48" s="462"/>
      <c r="O48" s="455">
        <v>3</v>
      </c>
      <c r="P48" s="453"/>
      <c r="Q48" s="448">
        <v>3</v>
      </c>
      <c r="R48" s="454"/>
      <c r="S48" s="463"/>
      <c r="T48" s="461"/>
      <c r="U48" s="456"/>
      <c r="V48" s="457"/>
      <c r="W48" s="449">
        <f t="shared" si="5"/>
        <v>6</v>
      </c>
      <c r="X48" s="450"/>
      <c r="Y48" s="427"/>
    </row>
    <row r="49" spans="2:29" ht="17.25" customHeight="1">
      <c r="B49" s="410"/>
      <c r="C49" s="411"/>
      <c r="D49" s="184" t="s">
        <v>66</v>
      </c>
      <c r="E49" s="185" t="s">
        <v>540</v>
      </c>
      <c r="F49" s="467" t="s">
        <v>541</v>
      </c>
      <c r="G49" s="468"/>
      <c r="H49" s="172"/>
      <c r="I49" s="173"/>
      <c r="J49" s="174">
        <v>2</v>
      </c>
      <c r="K49" s="371"/>
      <c r="L49" s="453"/>
      <c r="M49" s="448"/>
      <c r="N49" s="454"/>
      <c r="O49" s="455"/>
      <c r="P49" s="453"/>
      <c r="Q49" s="448"/>
      <c r="R49" s="454"/>
      <c r="S49" s="455"/>
      <c r="T49" s="453"/>
      <c r="U49" s="448">
        <v>2</v>
      </c>
      <c r="V49" s="372"/>
      <c r="W49" s="449">
        <f t="shared" si="5"/>
        <v>2</v>
      </c>
      <c r="X49" s="450"/>
      <c r="Y49" s="427"/>
    </row>
    <row r="50" spans="2:29" ht="17.25" customHeight="1">
      <c r="B50" s="410"/>
      <c r="C50" s="411"/>
      <c r="D50" s="184" t="s">
        <v>66</v>
      </c>
      <c r="E50" s="185" t="s">
        <v>356</v>
      </c>
      <c r="F50" s="465" t="s">
        <v>542</v>
      </c>
      <c r="G50" s="466"/>
      <c r="H50" s="172"/>
      <c r="I50" s="173"/>
      <c r="J50" s="174">
        <v>3</v>
      </c>
      <c r="K50" s="371"/>
      <c r="L50" s="453"/>
      <c r="M50" s="448"/>
      <c r="N50" s="454"/>
      <c r="O50" s="455"/>
      <c r="P50" s="453"/>
      <c r="Q50" s="448"/>
      <c r="R50" s="454"/>
      <c r="S50" s="464"/>
      <c r="T50" s="461"/>
      <c r="U50" s="448">
        <v>3</v>
      </c>
      <c r="V50" s="372"/>
      <c r="W50" s="449">
        <f t="shared" si="5"/>
        <v>3</v>
      </c>
      <c r="X50" s="450"/>
      <c r="Y50" s="427"/>
    </row>
    <row r="51" spans="2:29" ht="17.25" customHeight="1">
      <c r="B51" s="410"/>
      <c r="C51" s="411"/>
      <c r="D51" s="184" t="s">
        <v>66</v>
      </c>
      <c r="E51" s="185" t="s">
        <v>356</v>
      </c>
      <c r="F51" s="465" t="s">
        <v>543</v>
      </c>
      <c r="G51" s="466"/>
      <c r="H51" s="172"/>
      <c r="I51" s="173"/>
      <c r="J51" s="174">
        <v>3</v>
      </c>
      <c r="K51" s="371"/>
      <c r="L51" s="453"/>
      <c r="M51" s="448"/>
      <c r="N51" s="454"/>
      <c r="O51" s="455"/>
      <c r="P51" s="453"/>
      <c r="Q51" s="448"/>
      <c r="R51" s="454"/>
      <c r="S51" s="463"/>
      <c r="T51" s="461"/>
      <c r="U51" s="448">
        <v>3</v>
      </c>
      <c r="V51" s="372"/>
      <c r="W51" s="449">
        <f t="shared" si="5"/>
        <v>3</v>
      </c>
      <c r="X51" s="450"/>
      <c r="Y51" s="427"/>
    </row>
    <row r="52" spans="2:29" ht="17.25" customHeight="1">
      <c r="B52" s="410"/>
      <c r="C52" s="411"/>
      <c r="D52" s="184" t="s">
        <v>68</v>
      </c>
      <c r="E52" s="185" t="s">
        <v>357</v>
      </c>
      <c r="F52" s="465" t="s">
        <v>549</v>
      </c>
      <c r="G52" s="466"/>
      <c r="H52" s="172"/>
      <c r="I52" s="173"/>
      <c r="J52" s="174">
        <v>10</v>
      </c>
      <c r="K52" s="371"/>
      <c r="L52" s="453"/>
      <c r="M52" s="448"/>
      <c r="N52" s="469"/>
      <c r="O52" s="455"/>
      <c r="P52" s="453"/>
      <c r="Q52" s="448"/>
      <c r="R52" s="454"/>
      <c r="S52" s="455">
        <v>5</v>
      </c>
      <c r="T52" s="453"/>
      <c r="U52" s="448">
        <v>5</v>
      </c>
      <c r="V52" s="372"/>
      <c r="W52" s="449">
        <f t="shared" si="5"/>
        <v>10</v>
      </c>
      <c r="X52" s="450"/>
      <c r="Y52" s="427"/>
    </row>
    <row r="53" spans="2:29" ht="17.25" customHeight="1">
      <c r="B53" s="410"/>
      <c r="C53" s="411"/>
      <c r="D53" s="184" t="s">
        <v>72</v>
      </c>
      <c r="E53" s="185" t="s">
        <v>357</v>
      </c>
      <c r="F53" s="465" t="s">
        <v>544</v>
      </c>
      <c r="G53" s="466"/>
      <c r="H53" s="172"/>
      <c r="I53" s="175"/>
      <c r="J53" s="176">
        <v>8</v>
      </c>
      <c r="K53" s="371"/>
      <c r="L53" s="453"/>
      <c r="M53" s="448"/>
      <c r="N53" s="469"/>
      <c r="O53" s="455"/>
      <c r="P53" s="453"/>
      <c r="Q53" s="448"/>
      <c r="R53" s="454"/>
      <c r="S53" s="469">
        <v>4</v>
      </c>
      <c r="T53" s="453"/>
      <c r="U53" s="448">
        <v>4</v>
      </c>
      <c r="V53" s="372"/>
      <c r="W53" s="449">
        <f t="shared" si="5"/>
        <v>8</v>
      </c>
      <c r="X53" s="450"/>
      <c r="Y53" s="427"/>
    </row>
    <row r="54" spans="2:29" ht="16.5" customHeight="1">
      <c r="B54" s="410"/>
      <c r="C54" s="411"/>
      <c r="D54" s="59" t="s">
        <v>545</v>
      </c>
      <c r="E54" s="60" t="s">
        <v>546</v>
      </c>
      <c r="F54" s="458" t="s">
        <v>547</v>
      </c>
      <c r="G54" s="459"/>
      <c r="H54" s="177"/>
      <c r="I54" s="175"/>
      <c r="J54" s="176">
        <v>6</v>
      </c>
      <c r="K54" s="371"/>
      <c r="L54" s="453"/>
      <c r="M54" s="448"/>
      <c r="N54" s="469"/>
      <c r="O54" s="455"/>
      <c r="P54" s="453"/>
      <c r="Q54" s="448"/>
      <c r="R54" s="454"/>
      <c r="S54" s="469">
        <v>3</v>
      </c>
      <c r="T54" s="453"/>
      <c r="U54" s="448">
        <v>3</v>
      </c>
      <c r="V54" s="372"/>
      <c r="W54" s="449">
        <f t="shared" si="5"/>
        <v>6</v>
      </c>
      <c r="X54" s="450"/>
      <c r="Y54" s="427"/>
    </row>
    <row r="55" spans="2:29" ht="16.5" customHeight="1" thickBot="1">
      <c r="B55" s="410"/>
      <c r="C55" s="411"/>
      <c r="D55" s="59" t="s">
        <v>66</v>
      </c>
      <c r="E55" s="60" t="s">
        <v>357</v>
      </c>
      <c r="F55" s="458" t="s">
        <v>548</v>
      </c>
      <c r="G55" s="459"/>
      <c r="H55" s="189"/>
      <c r="I55" s="190"/>
      <c r="J55" s="191">
        <v>4</v>
      </c>
      <c r="K55" s="371"/>
      <c r="L55" s="453"/>
      <c r="M55" s="448"/>
      <c r="N55" s="469"/>
      <c r="O55" s="455"/>
      <c r="P55" s="453"/>
      <c r="Q55" s="448"/>
      <c r="R55" s="454"/>
      <c r="S55" s="469">
        <v>2</v>
      </c>
      <c r="T55" s="453"/>
      <c r="U55" s="448">
        <v>2</v>
      </c>
      <c r="V55" s="372"/>
      <c r="W55" s="449">
        <f t="shared" si="5"/>
        <v>4</v>
      </c>
      <c r="X55" s="450"/>
      <c r="Y55" s="427"/>
    </row>
    <row r="56" spans="2:29" ht="20.25" customHeight="1">
      <c r="B56" s="531" t="s">
        <v>154</v>
      </c>
      <c r="C56" s="528" t="s">
        <v>550</v>
      </c>
      <c r="D56" s="63" t="s">
        <v>66</v>
      </c>
      <c r="E56" s="64" t="s">
        <v>357</v>
      </c>
      <c r="F56" s="470" t="s">
        <v>552</v>
      </c>
      <c r="G56" s="471"/>
      <c r="H56" s="30"/>
      <c r="I56" s="187"/>
      <c r="J56" s="192">
        <v>8</v>
      </c>
      <c r="K56" s="391"/>
      <c r="L56" s="472"/>
      <c r="M56" s="473"/>
      <c r="N56" s="474"/>
      <c r="O56" s="475"/>
      <c r="P56" s="472"/>
      <c r="Q56" s="473"/>
      <c r="R56" s="476"/>
      <c r="S56" s="474">
        <v>4</v>
      </c>
      <c r="T56" s="472"/>
      <c r="U56" s="473">
        <v>4</v>
      </c>
      <c r="V56" s="392"/>
      <c r="W56" s="547">
        <f>SUM(K56:V57)</f>
        <v>14</v>
      </c>
      <c r="X56" s="548"/>
      <c r="Y56" s="427"/>
    </row>
    <row r="57" spans="2:29" ht="20.25" customHeight="1" thickBot="1">
      <c r="B57" s="532"/>
      <c r="C57" s="529"/>
      <c r="D57" s="59" t="s">
        <v>66</v>
      </c>
      <c r="E57" s="139" t="s">
        <v>357</v>
      </c>
      <c r="F57" s="544" t="s">
        <v>553</v>
      </c>
      <c r="G57" s="545"/>
      <c r="H57" s="34"/>
      <c r="I57" s="188"/>
      <c r="J57" s="171">
        <v>6</v>
      </c>
      <c r="K57" s="555"/>
      <c r="L57" s="431"/>
      <c r="M57" s="432"/>
      <c r="N57" s="433"/>
      <c r="O57" s="554"/>
      <c r="P57" s="431"/>
      <c r="Q57" s="432"/>
      <c r="R57" s="433"/>
      <c r="S57" s="540">
        <v>3</v>
      </c>
      <c r="T57" s="541"/>
      <c r="U57" s="538">
        <v>3</v>
      </c>
      <c r="V57" s="543"/>
      <c r="W57" s="549"/>
      <c r="X57" s="550"/>
      <c r="Y57" s="427"/>
    </row>
    <row r="58" spans="2:29" ht="20.25" customHeight="1">
      <c r="B58" s="532"/>
      <c r="C58" s="530" t="s">
        <v>551</v>
      </c>
      <c r="D58" s="63" t="s">
        <v>66</v>
      </c>
      <c r="E58" s="64" t="s">
        <v>357</v>
      </c>
      <c r="F58" s="556" t="s">
        <v>554</v>
      </c>
      <c r="G58" s="556"/>
      <c r="H58" s="30"/>
      <c r="I58" s="196"/>
      <c r="J58" s="194">
        <v>8</v>
      </c>
      <c r="K58" s="439"/>
      <c r="L58" s="440"/>
      <c r="M58" s="473"/>
      <c r="N58" s="476"/>
      <c r="O58" s="442"/>
      <c r="P58" s="440"/>
      <c r="Q58" s="441"/>
      <c r="R58" s="444"/>
      <c r="S58" s="475">
        <v>4</v>
      </c>
      <c r="T58" s="472"/>
      <c r="U58" s="473">
        <v>4</v>
      </c>
      <c r="V58" s="392"/>
      <c r="W58" s="549"/>
      <c r="X58" s="550"/>
      <c r="Y58" s="427"/>
    </row>
    <row r="59" spans="2:29" ht="20.25" customHeight="1" thickBot="1">
      <c r="B59" s="533"/>
      <c r="C59" s="329"/>
      <c r="D59" s="193" t="s">
        <v>72</v>
      </c>
      <c r="E59" s="186" t="s">
        <v>357</v>
      </c>
      <c r="F59" s="546" t="s">
        <v>555</v>
      </c>
      <c r="G59" s="546"/>
      <c r="H59" s="31"/>
      <c r="I59" s="188"/>
      <c r="J59" s="195">
        <v>6</v>
      </c>
      <c r="K59" s="553"/>
      <c r="L59" s="541"/>
      <c r="M59" s="538"/>
      <c r="N59" s="539"/>
      <c r="O59" s="596"/>
      <c r="P59" s="541"/>
      <c r="Q59" s="538"/>
      <c r="R59" s="539"/>
      <c r="S59" s="536">
        <v>3</v>
      </c>
      <c r="T59" s="537"/>
      <c r="U59" s="534">
        <v>3</v>
      </c>
      <c r="V59" s="535"/>
      <c r="W59" s="551"/>
      <c r="X59" s="552"/>
      <c r="Y59" s="427"/>
    </row>
    <row r="60" spans="2:29" ht="24.75" customHeight="1">
      <c r="B60" s="489" t="s">
        <v>362</v>
      </c>
      <c r="C60" s="485"/>
      <c r="D60" s="485"/>
      <c r="E60" s="485"/>
      <c r="F60" s="485"/>
      <c r="G60" s="487"/>
      <c r="H60" s="493">
        <f>SUM(H40:H55)</f>
        <v>0</v>
      </c>
      <c r="I60" s="495">
        <f>SUM(I40:I55)</f>
        <v>0</v>
      </c>
      <c r="J60" s="497">
        <f>SUM(J40:J57)</f>
        <v>90</v>
      </c>
      <c r="K60" s="489">
        <f>SUM(K40:L59)</f>
        <v>7</v>
      </c>
      <c r="L60" s="478"/>
      <c r="M60" s="481">
        <f>SUM(M40:N59)</f>
        <v>7</v>
      </c>
      <c r="N60" s="485"/>
      <c r="O60" s="477">
        <f>SUM(O40:P59)</f>
        <v>12</v>
      </c>
      <c r="P60" s="478"/>
      <c r="Q60" s="481">
        <f>SUM(Q40:R59)</f>
        <v>12</v>
      </c>
      <c r="R60" s="482"/>
      <c r="S60" s="485">
        <f>SUM(S40:T57)</f>
        <v>23</v>
      </c>
      <c r="T60" s="478"/>
      <c r="U60" s="481">
        <f>SUM(U40:V57)</f>
        <v>29</v>
      </c>
      <c r="V60" s="487"/>
      <c r="W60" s="489">
        <f>SUM(K60:V61)</f>
        <v>90</v>
      </c>
      <c r="X60" s="487"/>
      <c r="Y60" s="491">
        <f>SUM(Y40:Y59)</f>
        <v>80</v>
      </c>
      <c r="AC60" s="137"/>
    </row>
    <row r="61" spans="2:29" ht="18" thickBot="1">
      <c r="B61" s="490"/>
      <c r="C61" s="486"/>
      <c r="D61" s="486"/>
      <c r="E61" s="486"/>
      <c r="F61" s="486"/>
      <c r="G61" s="488"/>
      <c r="H61" s="494"/>
      <c r="I61" s="496"/>
      <c r="J61" s="498"/>
      <c r="K61" s="490"/>
      <c r="L61" s="480"/>
      <c r="M61" s="483"/>
      <c r="N61" s="486"/>
      <c r="O61" s="479"/>
      <c r="P61" s="480"/>
      <c r="Q61" s="483"/>
      <c r="R61" s="484"/>
      <c r="S61" s="486"/>
      <c r="T61" s="480"/>
      <c r="U61" s="483"/>
      <c r="V61" s="488"/>
      <c r="W61" s="490"/>
      <c r="X61" s="488"/>
      <c r="Y61" s="492"/>
      <c r="AC61" s="66"/>
    </row>
    <row r="62" spans="2:29" ht="17.25" customHeight="1" thickBot="1">
      <c r="B62" s="394"/>
      <c r="C62" s="395"/>
      <c r="D62" s="395"/>
      <c r="E62" s="395"/>
      <c r="F62" s="395"/>
      <c r="G62" s="396"/>
      <c r="H62" s="141">
        <f>SUM(H39,H60)</f>
        <v>110</v>
      </c>
      <c r="I62" s="142">
        <f>SUM(I39,I60)</f>
        <v>0</v>
      </c>
      <c r="J62" s="144">
        <f>SUM(J39,J60)</f>
        <v>174</v>
      </c>
      <c r="K62" s="394">
        <f>SUM(K39,K60)</f>
        <v>29</v>
      </c>
      <c r="L62" s="402"/>
      <c r="M62" s="399">
        <f>SUM(M39,M60)</f>
        <v>29</v>
      </c>
      <c r="N62" s="512"/>
      <c r="O62" s="513">
        <f>SUM(O39,O60)</f>
        <v>29</v>
      </c>
      <c r="P62" s="402"/>
      <c r="Q62" s="399">
        <f>SUM(Q39,Q60)</f>
        <v>29</v>
      </c>
      <c r="R62" s="512"/>
      <c r="S62" s="513">
        <f>SUM(S39,S60)</f>
        <v>29</v>
      </c>
      <c r="T62" s="402"/>
      <c r="U62" s="399">
        <f>SUM(U39,U60)</f>
        <v>29</v>
      </c>
      <c r="V62" s="396"/>
      <c r="W62" s="394">
        <f>SUM(K62:V62)</f>
        <v>174</v>
      </c>
      <c r="X62" s="396"/>
      <c r="Y62" s="11">
        <f>Y60+Y39</f>
        <v>144</v>
      </c>
      <c r="AA62" s="370" t="s">
        <v>155</v>
      </c>
      <c r="AB62" s="370"/>
    </row>
    <row r="63" spans="2:29" ht="18.75" customHeight="1" thickBot="1">
      <c r="B63" s="500" t="s">
        <v>363</v>
      </c>
      <c r="C63" s="501"/>
      <c r="D63" s="501"/>
      <c r="E63" s="502"/>
      <c r="F63" s="509" t="s">
        <v>359</v>
      </c>
      <c r="G63" s="510"/>
      <c r="H63" s="510"/>
      <c r="I63" s="510"/>
      <c r="J63" s="511"/>
      <c r="K63" s="334">
        <v>16</v>
      </c>
      <c r="L63" s="336"/>
      <c r="M63" s="337">
        <v>16</v>
      </c>
      <c r="N63" s="338"/>
      <c r="O63" s="339">
        <v>16</v>
      </c>
      <c r="P63" s="336"/>
      <c r="Q63" s="337">
        <v>16</v>
      </c>
      <c r="R63" s="338"/>
      <c r="S63" s="339">
        <v>16</v>
      </c>
      <c r="T63" s="336"/>
      <c r="U63" s="337">
        <v>16</v>
      </c>
      <c r="V63" s="335"/>
      <c r="W63" s="500">
        <f>SUM(K63:V65)</f>
        <v>288</v>
      </c>
      <c r="X63" s="502"/>
      <c r="Y63" s="491">
        <f>Y66*16</f>
        <v>288</v>
      </c>
      <c r="AA63" s="499"/>
      <c r="AB63" s="499"/>
    </row>
    <row r="64" spans="2:29" ht="17.25" customHeight="1" thickBot="1">
      <c r="B64" s="503"/>
      <c r="C64" s="504"/>
      <c r="D64" s="504"/>
      <c r="E64" s="505"/>
      <c r="F64" s="514" t="s">
        <v>63</v>
      </c>
      <c r="G64" s="515"/>
      <c r="H64" s="515"/>
      <c r="I64" s="515"/>
      <c r="J64" s="516"/>
      <c r="K64" s="347">
        <v>16</v>
      </c>
      <c r="L64" s="348"/>
      <c r="M64" s="349">
        <v>16</v>
      </c>
      <c r="N64" s="350"/>
      <c r="O64" s="351">
        <v>16</v>
      </c>
      <c r="P64" s="348"/>
      <c r="Q64" s="349">
        <v>16</v>
      </c>
      <c r="R64" s="350"/>
      <c r="S64" s="351">
        <v>16</v>
      </c>
      <c r="T64" s="348"/>
      <c r="U64" s="349">
        <v>16</v>
      </c>
      <c r="V64" s="352"/>
      <c r="W64" s="503"/>
      <c r="X64" s="505"/>
      <c r="Y64" s="427"/>
      <c r="AA64" s="406" t="b">
        <f>W62&gt;=Y62</f>
        <v>1</v>
      </c>
      <c r="AB64" s="407"/>
    </row>
    <row r="65" spans="2:28" ht="17.25" customHeight="1">
      <c r="B65" s="503"/>
      <c r="C65" s="504"/>
      <c r="D65" s="504"/>
      <c r="E65" s="505"/>
      <c r="F65" s="514" t="s">
        <v>11</v>
      </c>
      <c r="G65" s="515"/>
      <c r="H65" s="515"/>
      <c r="I65" s="515"/>
      <c r="J65" s="516"/>
      <c r="K65" s="347">
        <v>16</v>
      </c>
      <c r="L65" s="348"/>
      <c r="M65" s="349">
        <v>16</v>
      </c>
      <c r="N65" s="350"/>
      <c r="O65" s="351">
        <v>16</v>
      </c>
      <c r="P65" s="348"/>
      <c r="Q65" s="349">
        <v>16</v>
      </c>
      <c r="R65" s="350"/>
      <c r="S65" s="351">
        <v>16</v>
      </c>
      <c r="T65" s="348"/>
      <c r="U65" s="349">
        <v>16</v>
      </c>
      <c r="V65" s="352"/>
      <c r="W65" s="517"/>
      <c r="X65" s="518"/>
      <c r="Y65" s="519"/>
    </row>
    <row r="66" spans="2:28" ht="17.25" customHeight="1" thickBot="1">
      <c r="B66" s="506"/>
      <c r="C66" s="507"/>
      <c r="D66" s="507"/>
      <c r="E66" s="508"/>
      <c r="F66" s="520" t="s">
        <v>150</v>
      </c>
      <c r="G66" s="521"/>
      <c r="H66" s="521"/>
      <c r="I66" s="521"/>
      <c r="J66" s="522"/>
      <c r="K66" s="523">
        <v>3</v>
      </c>
      <c r="L66" s="524"/>
      <c r="M66" s="525">
        <v>3</v>
      </c>
      <c r="N66" s="526"/>
      <c r="O66" s="527">
        <v>3</v>
      </c>
      <c r="P66" s="524"/>
      <c r="Q66" s="525">
        <v>3</v>
      </c>
      <c r="R66" s="526"/>
      <c r="S66" s="527">
        <v>3</v>
      </c>
      <c r="T66" s="524"/>
      <c r="U66" s="525">
        <v>3</v>
      </c>
      <c r="V66" s="542"/>
      <c r="W66" s="520">
        <f>SUM(K66:V66)</f>
        <v>18</v>
      </c>
      <c r="X66" s="522"/>
      <c r="Y66" s="68">
        <v>18</v>
      </c>
      <c r="AA66" s="370" t="s">
        <v>156</v>
      </c>
      <c r="AB66" s="370"/>
    </row>
    <row r="67" spans="2:28" ht="17.25" customHeight="1" thickBot="1">
      <c r="B67" s="394"/>
      <c r="C67" s="395"/>
      <c r="D67" s="395"/>
      <c r="E67" s="395"/>
      <c r="F67" s="395"/>
      <c r="G67" s="395"/>
      <c r="H67" s="395"/>
      <c r="I67" s="395"/>
      <c r="J67" s="396"/>
      <c r="K67" s="394">
        <v>32</v>
      </c>
      <c r="L67" s="402"/>
      <c r="M67" s="399">
        <v>32</v>
      </c>
      <c r="N67" s="512"/>
      <c r="O67" s="513">
        <v>32</v>
      </c>
      <c r="P67" s="402"/>
      <c r="Q67" s="399">
        <v>32</v>
      </c>
      <c r="R67" s="512"/>
      <c r="S67" s="513">
        <v>32</v>
      </c>
      <c r="T67" s="402"/>
      <c r="U67" s="399">
        <v>32</v>
      </c>
      <c r="V67" s="396"/>
      <c r="W67" s="394">
        <f>SUM(K67:V67)</f>
        <v>192</v>
      </c>
      <c r="X67" s="396"/>
      <c r="Y67" s="35">
        <f>W67</f>
        <v>192</v>
      </c>
      <c r="AA67" s="406" t="b">
        <f>W66&gt;=Y66</f>
        <v>1</v>
      </c>
      <c r="AB67" s="407"/>
    </row>
    <row r="68" spans="2:28" ht="17.25" customHeight="1" thickBot="1">
      <c r="B68" s="394"/>
      <c r="C68" s="395"/>
      <c r="D68" s="395"/>
      <c r="E68" s="395"/>
      <c r="F68" s="395"/>
      <c r="G68" s="395"/>
      <c r="H68" s="395"/>
      <c r="I68" s="395"/>
      <c r="J68" s="396"/>
      <c r="K68" s="394">
        <f>SUM(K67:N67)</f>
        <v>64</v>
      </c>
      <c r="L68" s="395"/>
      <c r="M68" s="395"/>
      <c r="N68" s="512"/>
      <c r="O68" s="513">
        <f>SUM(O67:R67)</f>
        <v>64</v>
      </c>
      <c r="P68" s="395"/>
      <c r="Q68" s="395"/>
      <c r="R68" s="512"/>
      <c r="S68" s="513">
        <f>SUM(S67:V67)</f>
        <v>64</v>
      </c>
      <c r="T68" s="395"/>
      <c r="U68" s="395"/>
      <c r="V68" s="396"/>
      <c r="W68" s="394">
        <f>SUM(K68:V68)</f>
        <v>192</v>
      </c>
      <c r="X68" s="396"/>
      <c r="Y68" s="11"/>
      <c r="AA68" s="370" t="s">
        <v>153</v>
      </c>
      <c r="AB68" s="370"/>
    </row>
    <row r="69" spans="2:28" ht="17.25" customHeight="1" thickBot="1">
      <c r="AA69" s="406" t="b">
        <f>W67&gt;=Y67</f>
        <v>1</v>
      </c>
      <c r="AB69" s="407"/>
    </row>
    <row r="70" spans="2:28" ht="17.25" customHeight="1"/>
    <row r="71" spans="2:28" ht="17.25" customHeight="1"/>
    <row r="72" spans="2:28" ht="17.25" customHeight="1"/>
    <row r="74" spans="2:28" ht="24.9" customHeight="1"/>
    <row r="75" spans="2:28" ht="24.9" customHeight="1"/>
    <row r="76" spans="2:28" ht="32.25" customHeight="1"/>
    <row r="77" spans="2:28" ht="24.9" customHeight="1"/>
    <row r="79" spans="2:28" ht="16.5" customHeight="1"/>
    <row r="80" spans="2:28" ht="17.2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244.5" customHeight="1"/>
  </sheetData>
  <mergeCells count="518">
    <mergeCell ref="U57:V57"/>
    <mergeCell ref="U58:V58"/>
    <mergeCell ref="F57:G57"/>
    <mergeCell ref="F59:G59"/>
    <mergeCell ref="W56:X59"/>
    <mergeCell ref="K59:L59"/>
    <mergeCell ref="S57:T57"/>
    <mergeCell ref="Q57:R57"/>
    <mergeCell ref="O57:P57"/>
    <mergeCell ref="M57:N57"/>
    <mergeCell ref="K57:L57"/>
    <mergeCell ref="S56:T56"/>
    <mergeCell ref="F58:G58"/>
    <mergeCell ref="K58:L58"/>
    <mergeCell ref="M58:N58"/>
    <mergeCell ref="O58:P58"/>
    <mergeCell ref="Q58:R58"/>
    <mergeCell ref="S58:T58"/>
    <mergeCell ref="U56:V56"/>
    <mergeCell ref="AA69:AB69"/>
    <mergeCell ref="C56:C57"/>
    <mergeCell ref="C58:C59"/>
    <mergeCell ref="B56:B59"/>
    <mergeCell ref="U59:V59"/>
    <mergeCell ref="S59:T59"/>
    <mergeCell ref="Q59:R59"/>
    <mergeCell ref="O59:P59"/>
    <mergeCell ref="M59:N59"/>
    <mergeCell ref="W67:X67"/>
    <mergeCell ref="AA67:AB67"/>
    <mergeCell ref="B68:J68"/>
    <mergeCell ref="K68:N68"/>
    <mergeCell ref="O68:R68"/>
    <mergeCell ref="S68:V68"/>
    <mergeCell ref="W68:X68"/>
    <mergeCell ref="AA68:AB68"/>
    <mergeCell ref="U66:V66"/>
    <mergeCell ref="W66:X66"/>
    <mergeCell ref="AA66:AB66"/>
    <mergeCell ref="B67:J67"/>
    <mergeCell ref="K67:L67"/>
    <mergeCell ref="M67:N67"/>
    <mergeCell ref="O67:P67"/>
    <mergeCell ref="Q67:R67"/>
    <mergeCell ref="S67:T67"/>
    <mergeCell ref="U67:V67"/>
    <mergeCell ref="F66:J66"/>
    <mergeCell ref="K66:L66"/>
    <mergeCell ref="M66:N66"/>
    <mergeCell ref="O66:P66"/>
    <mergeCell ref="Q66:R66"/>
    <mergeCell ref="S66:T66"/>
    <mergeCell ref="U63:V63"/>
    <mergeCell ref="W63:X65"/>
    <mergeCell ref="Y63:Y65"/>
    <mergeCell ref="F64:J64"/>
    <mergeCell ref="K64:L64"/>
    <mergeCell ref="M64:N64"/>
    <mergeCell ref="O64:P64"/>
    <mergeCell ref="Q64:R64"/>
    <mergeCell ref="S64:T64"/>
    <mergeCell ref="U64:V64"/>
    <mergeCell ref="U62:V62"/>
    <mergeCell ref="W62:X62"/>
    <mergeCell ref="AA62:AB63"/>
    <mergeCell ref="B63:E66"/>
    <mergeCell ref="F63:J63"/>
    <mergeCell ref="K63:L63"/>
    <mergeCell ref="M63:N63"/>
    <mergeCell ref="O63:P63"/>
    <mergeCell ref="Q63:R63"/>
    <mergeCell ref="S63:T63"/>
    <mergeCell ref="B62:G62"/>
    <mergeCell ref="K62:L62"/>
    <mergeCell ref="M62:N62"/>
    <mergeCell ref="O62:P62"/>
    <mergeCell ref="Q62:R62"/>
    <mergeCell ref="S62:T62"/>
    <mergeCell ref="AA64:AB64"/>
    <mergeCell ref="F65:J65"/>
    <mergeCell ref="K65:L65"/>
    <mergeCell ref="M65:N65"/>
    <mergeCell ref="O65:P65"/>
    <mergeCell ref="Q65:R65"/>
    <mergeCell ref="S65:T65"/>
    <mergeCell ref="U65:V65"/>
    <mergeCell ref="O60:P61"/>
    <mergeCell ref="Q60:R61"/>
    <mergeCell ref="S60:T61"/>
    <mergeCell ref="U60:V61"/>
    <mergeCell ref="W60:X61"/>
    <mergeCell ref="Y60:Y61"/>
    <mergeCell ref="B60:G61"/>
    <mergeCell ref="H60:H61"/>
    <mergeCell ref="I60:I61"/>
    <mergeCell ref="J60:J61"/>
    <mergeCell ref="K60:L61"/>
    <mergeCell ref="M60:N61"/>
    <mergeCell ref="U55:V55"/>
    <mergeCell ref="W55:X55"/>
    <mergeCell ref="F56:G56"/>
    <mergeCell ref="K56:L56"/>
    <mergeCell ref="M56:N56"/>
    <mergeCell ref="O56:P56"/>
    <mergeCell ref="Q56:R56"/>
    <mergeCell ref="F55:G55"/>
    <mergeCell ref="K55:L55"/>
    <mergeCell ref="M55:N55"/>
    <mergeCell ref="O55:P55"/>
    <mergeCell ref="Q55:R55"/>
    <mergeCell ref="S55:T55"/>
    <mergeCell ref="U53:V53"/>
    <mergeCell ref="W53:X53"/>
    <mergeCell ref="F54:G54"/>
    <mergeCell ref="K54:L54"/>
    <mergeCell ref="M54:N54"/>
    <mergeCell ref="O54:P54"/>
    <mergeCell ref="Q54:R54"/>
    <mergeCell ref="S54:T54"/>
    <mergeCell ref="U54:V54"/>
    <mergeCell ref="W54:X54"/>
    <mergeCell ref="F53:G53"/>
    <mergeCell ref="K53:L53"/>
    <mergeCell ref="M53:N53"/>
    <mergeCell ref="O53:P53"/>
    <mergeCell ref="Q53:R53"/>
    <mergeCell ref="S53:T53"/>
    <mergeCell ref="U51:V51"/>
    <mergeCell ref="W51:X51"/>
    <mergeCell ref="F52:G52"/>
    <mergeCell ref="K52:L52"/>
    <mergeCell ref="M52:N52"/>
    <mergeCell ref="O52:P52"/>
    <mergeCell ref="Q52:R52"/>
    <mergeCell ref="S52:T52"/>
    <mergeCell ref="U52:V52"/>
    <mergeCell ref="W52:X52"/>
    <mergeCell ref="F51:G51"/>
    <mergeCell ref="K51:L51"/>
    <mergeCell ref="M51:N51"/>
    <mergeCell ref="O51:P51"/>
    <mergeCell ref="Q51:R51"/>
    <mergeCell ref="S51:T51"/>
    <mergeCell ref="U49:V49"/>
    <mergeCell ref="W49:X49"/>
    <mergeCell ref="F50:G50"/>
    <mergeCell ref="K50:L50"/>
    <mergeCell ref="M50:N50"/>
    <mergeCell ref="O50:P50"/>
    <mergeCell ref="Q50:R50"/>
    <mergeCell ref="S50:T50"/>
    <mergeCell ref="U50:V50"/>
    <mergeCell ref="W50:X50"/>
    <mergeCell ref="F49:G49"/>
    <mergeCell ref="K49:L49"/>
    <mergeCell ref="M49:N49"/>
    <mergeCell ref="O49:P49"/>
    <mergeCell ref="Q49:R49"/>
    <mergeCell ref="S49:T49"/>
    <mergeCell ref="U47:V47"/>
    <mergeCell ref="W47:X47"/>
    <mergeCell ref="F48:G48"/>
    <mergeCell ref="K48:L48"/>
    <mergeCell ref="M48:N48"/>
    <mergeCell ref="O48:P48"/>
    <mergeCell ref="Q48:R48"/>
    <mergeCell ref="S48:T48"/>
    <mergeCell ref="U48:V48"/>
    <mergeCell ref="W48:X48"/>
    <mergeCell ref="F47:G47"/>
    <mergeCell ref="K47:L47"/>
    <mergeCell ref="M47:N47"/>
    <mergeCell ref="O47:P47"/>
    <mergeCell ref="Q47:R47"/>
    <mergeCell ref="S47:T47"/>
    <mergeCell ref="U45:V45"/>
    <mergeCell ref="W45:X45"/>
    <mergeCell ref="F46:G46"/>
    <mergeCell ref="K46:L46"/>
    <mergeCell ref="M46:N46"/>
    <mergeCell ref="O46:P46"/>
    <mergeCell ref="Q46:R46"/>
    <mergeCell ref="S46:T46"/>
    <mergeCell ref="U46:V46"/>
    <mergeCell ref="W46:X46"/>
    <mergeCell ref="F45:G45"/>
    <mergeCell ref="K45:L45"/>
    <mergeCell ref="M45:N45"/>
    <mergeCell ref="O45:P45"/>
    <mergeCell ref="Q45:R45"/>
    <mergeCell ref="S45:T45"/>
    <mergeCell ref="Q42:R42"/>
    <mergeCell ref="S42:T42"/>
    <mergeCell ref="U42:V42"/>
    <mergeCell ref="W42:X42"/>
    <mergeCell ref="U43:V43"/>
    <mergeCell ref="W43:X43"/>
    <mergeCell ref="F44:G44"/>
    <mergeCell ref="K44:L44"/>
    <mergeCell ref="M44:N44"/>
    <mergeCell ref="O44:P44"/>
    <mergeCell ref="Q44:R44"/>
    <mergeCell ref="S44:T44"/>
    <mergeCell ref="U44:V44"/>
    <mergeCell ref="W44:X44"/>
    <mergeCell ref="F43:G43"/>
    <mergeCell ref="K43:L43"/>
    <mergeCell ref="M43:N43"/>
    <mergeCell ref="O43:P43"/>
    <mergeCell ref="Q43:R43"/>
    <mergeCell ref="S43:T43"/>
    <mergeCell ref="AA39:AB39"/>
    <mergeCell ref="B40:C55"/>
    <mergeCell ref="D40:E41"/>
    <mergeCell ref="F40:G40"/>
    <mergeCell ref="K40:L40"/>
    <mergeCell ref="M40:N40"/>
    <mergeCell ref="O40:P40"/>
    <mergeCell ref="Q40:R40"/>
    <mergeCell ref="S40:T40"/>
    <mergeCell ref="U40:V40"/>
    <mergeCell ref="W40:X40"/>
    <mergeCell ref="Y40:Y59"/>
    <mergeCell ref="F41:G41"/>
    <mergeCell ref="K41:L41"/>
    <mergeCell ref="M41:N41"/>
    <mergeCell ref="O41:P41"/>
    <mergeCell ref="Q41:R41"/>
    <mergeCell ref="S41:T41"/>
    <mergeCell ref="U41:V41"/>
    <mergeCell ref="W41:X41"/>
    <mergeCell ref="F42:G42"/>
    <mergeCell ref="K42:L42"/>
    <mergeCell ref="M42:N42"/>
    <mergeCell ref="O42:P42"/>
    <mergeCell ref="B39:G39"/>
    <mergeCell ref="K39:L39"/>
    <mergeCell ref="M39:N39"/>
    <mergeCell ref="O39:P39"/>
    <mergeCell ref="Q39:R39"/>
    <mergeCell ref="S39:T39"/>
    <mergeCell ref="U39:V39"/>
    <mergeCell ref="D35:D38"/>
    <mergeCell ref="W39:X39"/>
    <mergeCell ref="G37:G38"/>
    <mergeCell ref="K37:L37"/>
    <mergeCell ref="M37:N37"/>
    <mergeCell ref="O37:P37"/>
    <mergeCell ref="Q37:R37"/>
    <mergeCell ref="S37:T37"/>
    <mergeCell ref="U37:V37"/>
    <mergeCell ref="K38:L38"/>
    <mergeCell ref="M38:N38"/>
    <mergeCell ref="S38:T38"/>
    <mergeCell ref="U38:V38"/>
    <mergeCell ref="F36:G36"/>
    <mergeCell ref="K36:L36"/>
    <mergeCell ref="M36:N36"/>
    <mergeCell ref="O36:P36"/>
    <mergeCell ref="Q36:R36"/>
    <mergeCell ref="S36:T36"/>
    <mergeCell ref="F35:G35"/>
    <mergeCell ref="K35:L35"/>
    <mergeCell ref="M35:N35"/>
    <mergeCell ref="O35:P35"/>
    <mergeCell ref="Q35:R35"/>
    <mergeCell ref="X33:X34"/>
    <mergeCell ref="Y33:Y34"/>
    <mergeCell ref="K34:L34"/>
    <mergeCell ref="M34:N34"/>
    <mergeCell ref="O34:P34"/>
    <mergeCell ref="Q34:R34"/>
    <mergeCell ref="S34:T34"/>
    <mergeCell ref="U34:V34"/>
    <mergeCell ref="S35:T35"/>
    <mergeCell ref="U35:V35"/>
    <mergeCell ref="X35:X38"/>
    <mergeCell ref="Y35:Y38"/>
    <mergeCell ref="O38:P38"/>
    <mergeCell ref="Q38:R38"/>
    <mergeCell ref="U36:V36"/>
    <mergeCell ref="S31:T31"/>
    <mergeCell ref="U31:V31"/>
    <mergeCell ref="S29:T29"/>
    <mergeCell ref="U29:V29"/>
    <mergeCell ref="Q32:R32"/>
    <mergeCell ref="S32:T32"/>
    <mergeCell ref="U32:V32"/>
    <mergeCell ref="D33:D34"/>
    <mergeCell ref="G33:G34"/>
    <mergeCell ref="K33:L33"/>
    <mergeCell ref="M33:N33"/>
    <mergeCell ref="O33:P33"/>
    <mergeCell ref="Q33:R33"/>
    <mergeCell ref="S33:T33"/>
    <mergeCell ref="U33:V33"/>
    <mergeCell ref="X29:X32"/>
    <mergeCell ref="Y29:Y32"/>
    <mergeCell ref="F30:G30"/>
    <mergeCell ref="K30:L30"/>
    <mergeCell ref="M30:N30"/>
    <mergeCell ref="O30:P30"/>
    <mergeCell ref="Q30:R30"/>
    <mergeCell ref="S30:T30"/>
    <mergeCell ref="D29:D32"/>
    <mergeCell ref="F29:G29"/>
    <mergeCell ref="K29:L29"/>
    <mergeCell ref="M29:N29"/>
    <mergeCell ref="O29:P29"/>
    <mergeCell ref="Q29:R29"/>
    <mergeCell ref="F32:G32"/>
    <mergeCell ref="K32:L32"/>
    <mergeCell ref="M32:N32"/>
    <mergeCell ref="O32:P32"/>
    <mergeCell ref="U30:V30"/>
    <mergeCell ref="F31:G31"/>
    <mergeCell ref="K31:L31"/>
    <mergeCell ref="M31:N31"/>
    <mergeCell ref="O31:P31"/>
    <mergeCell ref="Q31:R31"/>
    <mergeCell ref="D27:D28"/>
    <mergeCell ref="F27:G27"/>
    <mergeCell ref="K27:L27"/>
    <mergeCell ref="M27:N27"/>
    <mergeCell ref="O27:P27"/>
    <mergeCell ref="Q27:R27"/>
    <mergeCell ref="K26:L26"/>
    <mergeCell ref="M26:N26"/>
    <mergeCell ref="O26:P26"/>
    <mergeCell ref="Q26:R26"/>
    <mergeCell ref="F28:G28"/>
    <mergeCell ref="K28:L28"/>
    <mergeCell ref="M28:N28"/>
    <mergeCell ref="O28:P28"/>
    <mergeCell ref="Q28:R28"/>
    <mergeCell ref="AA24:AB24"/>
    <mergeCell ref="F25:G25"/>
    <mergeCell ref="K25:L25"/>
    <mergeCell ref="M25:N25"/>
    <mergeCell ref="O25:P25"/>
    <mergeCell ref="Q25:R25"/>
    <mergeCell ref="S25:T25"/>
    <mergeCell ref="U25:V25"/>
    <mergeCell ref="X25:X26"/>
    <mergeCell ref="Y25:Y28"/>
    <mergeCell ref="X23:X24"/>
    <mergeCell ref="Y23:Y24"/>
    <mergeCell ref="F24:G24"/>
    <mergeCell ref="K24:L24"/>
    <mergeCell ref="M24:N24"/>
    <mergeCell ref="O24:P24"/>
    <mergeCell ref="Q24:R24"/>
    <mergeCell ref="S24:T24"/>
    <mergeCell ref="U24:V24"/>
    <mergeCell ref="S27:T27"/>
    <mergeCell ref="U27:V27"/>
    <mergeCell ref="X27:X28"/>
    <mergeCell ref="S28:T28"/>
    <mergeCell ref="U28:V28"/>
    <mergeCell ref="D23:D26"/>
    <mergeCell ref="F23:G23"/>
    <mergeCell ref="K23:L23"/>
    <mergeCell ref="M23:N23"/>
    <mergeCell ref="O23:P23"/>
    <mergeCell ref="Q23:R23"/>
    <mergeCell ref="S23:T23"/>
    <mergeCell ref="U23:V23"/>
    <mergeCell ref="F26:G26"/>
    <mergeCell ref="S26:T26"/>
    <mergeCell ref="U26:V26"/>
    <mergeCell ref="AA18:AB18"/>
    <mergeCell ref="F19:G19"/>
    <mergeCell ref="K19:L19"/>
    <mergeCell ref="M19:N19"/>
    <mergeCell ref="O19:P19"/>
    <mergeCell ref="Q19:R19"/>
    <mergeCell ref="S19:T19"/>
    <mergeCell ref="U19:V19"/>
    <mergeCell ref="U20:V20"/>
    <mergeCell ref="F20:G20"/>
    <mergeCell ref="K20:L20"/>
    <mergeCell ref="M20:N20"/>
    <mergeCell ref="O20:P20"/>
    <mergeCell ref="Q20:R20"/>
    <mergeCell ref="S20:T20"/>
    <mergeCell ref="D18:D22"/>
    <mergeCell ref="F18:G18"/>
    <mergeCell ref="K18:L18"/>
    <mergeCell ref="M18:N18"/>
    <mergeCell ref="O18:P18"/>
    <mergeCell ref="Q18:R18"/>
    <mergeCell ref="S18:T18"/>
    <mergeCell ref="U18:V18"/>
    <mergeCell ref="X18:X22"/>
    <mergeCell ref="F21:G21"/>
    <mergeCell ref="K21:L21"/>
    <mergeCell ref="M21:N21"/>
    <mergeCell ref="O21:P21"/>
    <mergeCell ref="Q21:R21"/>
    <mergeCell ref="S21:T21"/>
    <mergeCell ref="U21:V21"/>
    <mergeCell ref="U22:V22"/>
    <mergeCell ref="F22:G22"/>
    <mergeCell ref="K22:L22"/>
    <mergeCell ref="M22:N22"/>
    <mergeCell ref="O22:P22"/>
    <mergeCell ref="Q22:R22"/>
    <mergeCell ref="S22:T22"/>
    <mergeCell ref="D14:D17"/>
    <mergeCell ref="F14:G14"/>
    <mergeCell ref="K14:L14"/>
    <mergeCell ref="M14:N14"/>
    <mergeCell ref="O14:P14"/>
    <mergeCell ref="Q14:R14"/>
    <mergeCell ref="F17:G17"/>
    <mergeCell ref="K17:L17"/>
    <mergeCell ref="M17:N17"/>
    <mergeCell ref="O17:P17"/>
    <mergeCell ref="F16:G16"/>
    <mergeCell ref="K16:L16"/>
    <mergeCell ref="M16:N16"/>
    <mergeCell ref="O16:P16"/>
    <mergeCell ref="Q16:R16"/>
    <mergeCell ref="Q17:R17"/>
    <mergeCell ref="S12:T12"/>
    <mergeCell ref="X14:X17"/>
    <mergeCell ref="AB14:AD14"/>
    <mergeCell ref="F15:G15"/>
    <mergeCell ref="K15:L15"/>
    <mergeCell ref="M15:N15"/>
    <mergeCell ref="O15:P15"/>
    <mergeCell ref="Q15:R15"/>
    <mergeCell ref="S15:T15"/>
    <mergeCell ref="U15:V15"/>
    <mergeCell ref="S16:T16"/>
    <mergeCell ref="U16:V16"/>
    <mergeCell ref="S14:T14"/>
    <mergeCell ref="U14:V14"/>
    <mergeCell ref="S17:T17"/>
    <mergeCell ref="U17:V17"/>
    <mergeCell ref="U11:V11"/>
    <mergeCell ref="X9:X13"/>
    <mergeCell ref="Y9:Y22"/>
    <mergeCell ref="F10:G10"/>
    <mergeCell ref="K10:L10"/>
    <mergeCell ref="M10:N10"/>
    <mergeCell ref="O10:P10"/>
    <mergeCell ref="Q10:R10"/>
    <mergeCell ref="S10:T10"/>
    <mergeCell ref="U10:V10"/>
    <mergeCell ref="F11:G11"/>
    <mergeCell ref="U12:V12"/>
    <mergeCell ref="F13:G13"/>
    <mergeCell ref="K13:L13"/>
    <mergeCell ref="M13:N13"/>
    <mergeCell ref="O13:P13"/>
    <mergeCell ref="Q13:R13"/>
    <mergeCell ref="S13:T13"/>
    <mergeCell ref="U13:V13"/>
    <mergeCell ref="F12:G12"/>
    <mergeCell ref="K12:L12"/>
    <mergeCell ref="M12:N12"/>
    <mergeCell ref="O12:P12"/>
    <mergeCell ref="Q12:R12"/>
    <mergeCell ref="AA8:AD8"/>
    <mergeCell ref="B9:C38"/>
    <mergeCell ref="D9:D13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K11:L11"/>
    <mergeCell ref="M11:N11"/>
    <mergeCell ref="O11:P11"/>
    <mergeCell ref="Q11:R11"/>
    <mergeCell ref="S11:T11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</mergeCells>
  <phoneticPr fontId="9" type="noConversion"/>
  <conditionalFormatting sqref="AA39:AB39 AC61 AA64:AB64 AA67:AB67 AA69:AB69">
    <cfRule type="containsText" dxfId="4" priority="1" operator="containsText" text="FALSE">
      <formula>NOT(ISERROR(SEARCH("FALSE",AA39)))</formula>
    </cfRule>
  </conditionalFormatting>
  <printOptions horizontalCentered="1" verticalCentered="1"/>
  <pageMargins left="0.25" right="0.25" top="0.75" bottom="0.75" header="0.3" footer="0.3"/>
  <pageSetup paperSize="8" scale="62" orientation="portrait" cellComments="asDisplayed" r:id="rId1"/>
  <rowBreaks count="1" manualBreakCount="1">
    <brk id="60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5F90DB3-B75D-4410-B98D-9C2F6C87503C}">
          <x14:formula1>
            <xm:f>삭제금지!$J$2:$J$59</xm:f>
          </x14:formula1>
          <xm:sqref>H5:J5</xm:sqref>
        </x14:dataValidation>
        <x14:dataValidation type="list" allowBlank="1" showInputMessage="1" showErrorMessage="1" xr:uid="{F885840E-F3BD-471F-892A-3CF59E86953B}">
          <x14:formula1>
            <xm:f>삭제금지!$I$2:$I$18</xm:f>
          </x14:formula1>
          <xm:sqref>F5:G5</xm:sqref>
        </x14:dataValidation>
        <x14:dataValidation type="list" allowBlank="1" showInputMessage="1" showErrorMessage="1" xr:uid="{D068291E-4FE0-4A34-9C6C-3E756658A528}">
          <x14:formula1>
            <xm:f>삭제금지!$K$2:$K$59</xm:f>
          </x14:formula1>
          <xm:sqref>K5:O5</xm:sqref>
        </x14:dataValidation>
        <x14:dataValidation type="list" allowBlank="1" showInputMessage="1" showErrorMessage="1" xr:uid="{2EDBFD4D-E922-41F3-9602-676A5A9941CA}">
          <x14:formula1>
            <xm:f>삭제금지!$L$2:$L$4</xm:f>
          </x14:formula1>
          <xm:sqref>T5:V5</xm:sqref>
        </x14:dataValidation>
        <x14:dataValidation type="list" allowBlank="1" showInputMessage="1" showErrorMessage="1" xr:uid="{905184E0-7F88-4993-9728-048A44E2A5D3}">
          <x14:formula1>
            <xm:f>삭제금지!$H$2:$H$18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AB058-63B5-4E65-A165-FA40D0033E74}">
  <sheetPr>
    <pageSetUpPr fitToPage="1"/>
  </sheetPr>
  <dimension ref="B2:AG48"/>
  <sheetViews>
    <sheetView showGridLines="0" view="pageBreakPreview" topLeftCell="A6" zoomScale="85" zoomScaleNormal="85" zoomScaleSheetLayoutView="85" workbookViewId="0">
      <selection activeCell="G15" sqref="G15"/>
    </sheetView>
  </sheetViews>
  <sheetFormatPr defaultRowHeight="17.399999999999999"/>
  <cols>
    <col min="1" max="1" width="3" customWidth="1"/>
    <col min="2" max="2" width="11.69921875" customWidth="1"/>
    <col min="3" max="3" width="5.59765625" customWidth="1"/>
    <col min="4" max="4" width="18.8984375" bestFit="1" customWidth="1"/>
    <col min="5" max="5" width="19" style="1" bestFit="1" customWidth="1"/>
    <col min="6" max="6" width="9.09765625" style="1" customWidth="1"/>
    <col min="7" max="7" width="10.69921875" customWidth="1"/>
    <col min="8" max="19" width="7.69921875" bestFit="1" customWidth="1"/>
    <col min="20" max="20" width="6.59765625" bestFit="1" customWidth="1"/>
    <col min="21" max="21" width="7.09765625" customWidth="1"/>
  </cols>
  <sheetData>
    <row r="2" spans="2:33" ht="39.75" customHeight="1" thickBot="1">
      <c r="B2" s="655" t="s">
        <v>151</v>
      </c>
      <c r="C2" s="655"/>
      <c r="D2" s="655"/>
      <c r="E2" s="655"/>
      <c r="F2" s="655"/>
      <c r="G2" s="655"/>
      <c r="H2" s="655"/>
      <c r="I2" s="655"/>
      <c r="J2" s="655"/>
      <c r="K2" s="655"/>
      <c r="L2" s="655"/>
      <c r="M2" s="655"/>
      <c r="N2" s="655"/>
      <c r="O2" s="655"/>
      <c r="P2" s="655"/>
      <c r="Q2" s="655"/>
      <c r="R2" s="655"/>
      <c r="S2" s="655"/>
      <c r="T2" s="655"/>
      <c r="U2" s="655"/>
    </row>
    <row r="3" spans="2:33" ht="27" customHeight="1" thickBot="1"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656" t="s">
        <v>129</v>
      </c>
      <c r="O3" s="657"/>
      <c r="P3" s="658"/>
      <c r="Q3" s="656" t="s">
        <v>127</v>
      </c>
      <c r="R3" s="657"/>
      <c r="S3" s="658"/>
      <c r="T3" s="659" t="s">
        <v>130</v>
      </c>
      <c r="U3" s="660"/>
    </row>
    <row r="4" spans="2:33" ht="27" customHeight="1" thickBot="1"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661" t="s">
        <v>604</v>
      </c>
      <c r="O4" s="662"/>
      <c r="P4" s="663"/>
      <c r="Q4" s="664" t="s">
        <v>605</v>
      </c>
      <c r="R4" s="665"/>
      <c r="S4" s="666"/>
      <c r="T4" s="667">
        <v>2027</v>
      </c>
      <c r="U4" s="668"/>
    </row>
    <row r="5" spans="2:33" ht="24" customHeight="1" thickBot="1">
      <c r="B5" s="648"/>
      <c r="C5" s="648"/>
    </row>
    <row r="6" spans="2:33" ht="20.25" customHeight="1">
      <c r="B6" s="649" t="s">
        <v>13</v>
      </c>
      <c r="C6" s="652" t="s">
        <v>141</v>
      </c>
      <c r="D6" s="638" t="s">
        <v>14</v>
      </c>
      <c r="E6" s="638" t="s">
        <v>15</v>
      </c>
      <c r="F6" s="638" t="s">
        <v>142</v>
      </c>
      <c r="G6" s="638" t="s">
        <v>143</v>
      </c>
      <c r="H6" s="641" t="s">
        <v>58</v>
      </c>
      <c r="I6" s="641"/>
      <c r="J6" s="641"/>
      <c r="K6" s="641"/>
      <c r="L6" s="641" t="s">
        <v>59</v>
      </c>
      <c r="M6" s="641"/>
      <c r="N6" s="641"/>
      <c r="O6" s="641"/>
      <c r="P6" s="641" t="s">
        <v>60</v>
      </c>
      <c r="Q6" s="641"/>
      <c r="R6" s="641"/>
      <c r="S6" s="641"/>
      <c r="T6" s="642" t="s">
        <v>140</v>
      </c>
      <c r="U6" s="645" t="s">
        <v>126</v>
      </c>
      <c r="W6" s="631" t="s">
        <v>131</v>
      </c>
      <c r="X6" s="632"/>
      <c r="Y6" s="632"/>
      <c r="Z6" s="632"/>
      <c r="AA6" s="632"/>
      <c r="AB6" s="632"/>
      <c r="AC6" s="632"/>
      <c r="AD6" s="632"/>
      <c r="AE6" s="632"/>
      <c r="AF6" s="633"/>
      <c r="AG6" s="13"/>
    </row>
    <row r="7" spans="2:33" ht="16.5" customHeight="1">
      <c r="B7" s="650"/>
      <c r="C7" s="653"/>
      <c r="D7" s="639"/>
      <c r="E7" s="639"/>
      <c r="F7" s="639"/>
      <c r="G7" s="639"/>
      <c r="H7" s="634" t="s">
        <v>124</v>
      </c>
      <c r="I7" s="634"/>
      <c r="J7" s="634" t="s">
        <v>62</v>
      </c>
      <c r="K7" s="634"/>
      <c r="L7" s="634" t="s">
        <v>124</v>
      </c>
      <c r="M7" s="634"/>
      <c r="N7" s="634" t="s">
        <v>62</v>
      </c>
      <c r="O7" s="634"/>
      <c r="P7" s="634" t="s">
        <v>124</v>
      </c>
      <c r="Q7" s="634"/>
      <c r="R7" s="634" t="s">
        <v>62</v>
      </c>
      <c r="S7" s="634"/>
      <c r="T7" s="643"/>
      <c r="U7" s="646"/>
      <c r="W7" s="635" t="s">
        <v>132</v>
      </c>
      <c r="X7" s="636"/>
      <c r="Y7" s="636"/>
      <c r="Z7" s="636"/>
      <c r="AA7" s="636"/>
      <c r="AB7" s="636"/>
      <c r="AC7" s="636"/>
      <c r="AD7" s="636"/>
      <c r="AE7" s="636"/>
      <c r="AF7" s="637"/>
      <c r="AG7" s="13"/>
    </row>
    <row r="8" spans="2:33" ht="17.25" customHeight="1" thickBot="1">
      <c r="B8" s="651"/>
      <c r="C8" s="654"/>
      <c r="D8" s="640"/>
      <c r="E8" s="640"/>
      <c r="F8" s="640"/>
      <c r="G8" s="640"/>
      <c r="H8" s="26" t="s">
        <v>139</v>
      </c>
      <c r="I8" s="26" t="s">
        <v>125</v>
      </c>
      <c r="J8" s="26" t="s">
        <v>139</v>
      </c>
      <c r="K8" s="26" t="s">
        <v>125</v>
      </c>
      <c r="L8" s="26" t="s">
        <v>139</v>
      </c>
      <c r="M8" s="26" t="s">
        <v>125</v>
      </c>
      <c r="N8" s="26" t="s">
        <v>139</v>
      </c>
      <c r="O8" s="26" t="s">
        <v>125</v>
      </c>
      <c r="P8" s="26" t="s">
        <v>139</v>
      </c>
      <c r="Q8" s="26" t="s">
        <v>125</v>
      </c>
      <c r="R8" s="26" t="s">
        <v>139</v>
      </c>
      <c r="S8" s="26" t="s">
        <v>125</v>
      </c>
      <c r="T8" s="644"/>
      <c r="U8" s="647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>
      <c r="B9" s="611" t="s">
        <v>606</v>
      </c>
      <c r="C9" s="608">
        <v>10</v>
      </c>
      <c r="D9" s="210" t="s">
        <v>607</v>
      </c>
      <c r="E9" s="210" t="s">
        <v>608</v>
      </c>
      <c r="F9" s="210">
        <v>30</v>
      </c>
      <c r="G9" s="210">
        <v>3</v>
      </c>
      <c r="H9" s="211"/>
      <c r="I9" s="211"/>
      <c r="J9" s="211"/>
      <c r="K9" s="211"/>
      <c r="L9" s="211">
        <v>2</v>
      </c>
      <c r="M9" s="211">
        <v>32</v>
      </c>
      <c r="N9" s="211"/>
      <c r="O9" s="211"/>
      <c r="P9" s="211"/>
      <c r="Q9" s="211"/>
      <c r="R9" s="211"/>
      <c r="S9" s="211"/>
      <c r="T9" s="236">
        <f>SUM(H9,J9,L9,N9,P9,R9)</f>
        <v>2</v>
      </c>
      <c r="U9" s="237">
        <f>SUM(I9,K9,M9,O9,Q9,S9)</f>
        <v>32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612"/>
      <c r="C10" s="609"/>
      <c r="D10" s="212" t="s">
        <v>609</v>
      </c>
      <c r="E10" s="213" t="s">
        <v>610</v>
      </c>
      <c r="F10" s="212">
        <v>30</v>
      </c>
      <c r="G10" s="212">
        <v>4</v>
      </c>
      <c r="H10" s="214"/>
      <c r="I10" s="214"/>
      <c r="J10" s="214"/>
      <c r="K10" s="214"/>
      <c r="L10" s="214">
        <v>3</v>
      </c>
      <c r="M10" s="214">
        <v>48</v>
      </c>
      <c r="N10" s="214"/>
      <c r="O10" s="214"/>
      <c r="P10" s="214"/>
      <c r="Q10" s="214"/>
      <c r="R10" s="214"/>
      <c r="S10" s="214"/>
      <c r="T10" s="238">
        <f t="shared" ref="T10:U11" si="0">SUM(H10,J10,L10,N10,P10,R10)</f>
        <v>3</v>
      </c>
      <c r="U10" s="239">
        <f t="shared" si="0"/>
        <v>48</v>
      </c>
      <c r="W10" s="12"/>
      <c r="X10" s="13"/>
      <c r="Y10" s="13"/>
      <c r="Z10" s="13"/>
      <c r="AA10" s="13"/>
      <c r="AB10" s="13"/>
      <c r="AC10" s="13"/>
      <c r="AD10" s="13"/>
      <c r="AE10" s="13"/>
      <c r="AF10" s="17"/>
      <c r="AG10" s="13"/>
    </row>
    <row r="11" spans="2:33">
      <c r="B11" s="612"/>
      <c r="C11" s="609"/>
      <c r="D11" s="213" t="s">
        <v>611</v>
      </c>
      <c r="E11" s="212" t="s">
        <v>612</v>
      </c>
      <c r="F11" s="213">
        <v>20</v>
      </c>
      <c r="G11" s="213">
        <v>3</v>
      </c>
      <c r="H11" s="215"/>
      <c r="I11" s="215"/>
      <c r="J11" s="215"/>
      <c r="K11" s="215"/>
      <c r="L11" s="215"/>
      <c r="M11" s="215"/>
      <c r="N11" s="215">
        <v>2</v>
      </c>
      <c r="O11" s="215">
        <v>32</v>
      </c>
      <c r="P11" s="215"/>
      <c r="Q11" s="215"/>
      <c r="R11" s="215"/>
      <c r="S11" s="215"/>
      <c r="T11" s="240">
        <v>2</v>
      </c>
      <c r="U11" s="239">
        <f t="shared" si="0"/>
        <v>32</v>
      </c>
    </row>
    <row r="12" spans="2:33">
      <c r="B12" s="612"/>
      <c r="C12" s="609"/>
      <c r="D12" s="213" t="s">
        <v>613</v>
      </c>
      <c r="E12" s="213" t="s">
        <v>614</v>
      </c>
      <c r="F12" s="213">
        <v>20</v>
      </c>
      <c r="G12" s="213">
        <v>3</v>
      </c>
      <c r="H12" s="215"/>
      <c r="I12" s="215"/>
      <c r="J12" s="215"/>
      <c r="K12" s="215"/>
      <c r="L12" s="215"/>
      <c r="M12" s="215"/>
      <c r="N12" s="215">
        <v>3</v>
      </c>
      <c r="O12" s="215">
        <v>48</v>
      </c>
      <c r="P12" s="215"/>
      <c r="Q12" s="215"/>
      <c r="R12" s="215"/>
      <c r="S12" s="215"/>
      <c r="T12" s="238">
        <f t="shared" ref="T12:U12" si="1">SUM(H12,J12,L12,N12,P12,R12)</f>
        <v>3</v>
      </c>
      <c r="U12" s="239">
        <f t="shared" si="1"/>
        <v>48</v>
      </c>
    </row>
    <row r="13" spans="2:33" ht="18" thickBot="1">
      <c r="B13" s="613"/>
      <c r="C13" s="610"/>
      <c r="D13" s="614" t="s">
        <v>16</v>
      </c>
      <c r="E13" s="614"/>
      <c r="F13" s="252"/>
      <c r="G13" s="252"/>
      <c r="H13" s="217">
        <f>SUM(H11:H12)</f>
        <v>0</v>
      </c>
      <c r="I13" s="217">
        <f>SUM(I11:I12)</f>
        <v>0</v>
      </c>
      <c r="J13" s="217">
        <f>SUM(J11:J12)</f>
        <v>0</v>
      </c>
      <c r="K13" s="217">
        <f>SUM(K11:K12)</f>
        <v>0</v>
      </c>
      <c r="L13" s="217">
        <f t="shared" ref="L13:S13" si="2">SUM(L9:L12)</f>
        <v>5</v>
      </c>
      <c r="M13" s="217">
        <f t="shared" si="2"/>
        <v>80</v>
      </c>
      <c r="N13" s="217">
        <f t="shared" si="2"/>
        <v>5</v>
      </c>
      <c r="O13" s="217">
        <f t="shared" si="2"/>
        <v>80</v>
      </c>
      <c r="P13" s="217">
        <f t="shared" si="2"/>
        <v>0</v>
      </c>
      <c r="Q13" s="217">
        <f t="shared" si="2"/>
        <v>0</v>
      </c>
      <c r="R13" s="217">
        <f t="shared" si="2"/>
        <v>0</v>
      </c>
      <c r="S13" s="217">
        <f t="shared" si="2"/>
        <v>0</v>
      </c>
      <c r="T13" s="241">
        <f>SUM(T9:T12)</f>
        <v>10</v>
      </c>
      <c r="U13" s="241">
        <f>SUM(U9:U12)</f>
        <v>160</v>
      </c>
    </row>
    <row r="14" spans="2:33">
      <c r="B14" s="611" t="s">
        <v>539</v>
      </c>
      <c r="C14" s="608">
        <v>6</v>
      </c>
      <c r="D14" s="210" t="s">
        <v>615</v>
      </c>
      <c r="E14" s="210" t="s">
        <v>616</v>
      </c>
      <c r="F14" s="210">
        <v>40</v>
      </c>
      <c r="G14" s="210">
        <v>4</v>
      </c>
      <c r="H14" s="211"/>
      <c r="I14" s="211">
        <f>H14*16</f>
        <v>0</v>
      </c>
      <c r="J14" s="211"/>
      <c r="K14" s="211">
        <f>J14*16</f>
        <v>0</v>
      </c>
      <c r="L14" s="211">
        <v>3</v>
      </c>
      <c r="M14" s="211">
        <v>48</v>
      </c>
      <c r="N14" s="211"/>
      <c r="O14" s="211"/>
      <c r="P14" s="211"/>
      <c r="Q14" s="211"/>
      <c r="R14" s="211"/>
      <c r="S14" s="211"/>
      <c r="T14" s="218">
        <f>SUM(H14,J14,L14,N14,P14,R14)</f>
        <v>3</v>
      </c>
      <c r="U14" s="219">
        <f>SUM(I14,K14,M14,O14,Q14,S14)</f>
        <v>48</v>
      </c>
      <c r="W14" s="28"/>
    </row>
    <row r="15" spans="2:33">
      <c r="B15" s="612"/>
      <c r="C15" s="609"/>
      <c r="D15" s="212" t="s">
        <v>617</v>
      </c>
      <c r="E15" s="213" t="s">
        <v>618</v>
      </c>
      <c r="F15" s="212">
        <v>80</v>
      </c>
      <c r="G15" s="212">
        <v>3</v>
      </c>
      <c r="H15" s="214"/>
      <c r="I15" s="214"/>
      <c r="J15" s="214"/>
      <c r="K15" s="214"/>
      <c r="L15" s="214"/>
      <c r="M15" s="214"/>
      <c r="N15" s="214">
        <v>3</v>
      </c>
      <c r="O15" s="214">
        <v>48</v>
      </c>
      <c r="P15" s="214"/>
      <c r="Q15" s="214"/>
      <c r="R15" s="214"/>
      <c r="S15" s="214"/>
      <c r="T15" s="220">
        <f t="shared" ref="T15:U15" si="3">SUM(H15,J15,L15,N15,P15,R15)</f>
        <v>3</v>
      </c>
      <c r="U15" s="221">
        <f t="shared" si="3"/>
        <v>48</v>
      </c>
    </row>
    <row r="16" spans="2:33" ht="18" thickBot="1">
      <c r="B16" s="613"/>
      <c r="C16" s="610"/>
      <c r="D16" s="614" t="s">
        <v>16</v>
      </c>
      <c r="E16" s="614"/>
      <c r="F16" s="252"/>
      <c r="G16" s="252"/>
      <c r="H16" s="217">
        <f>SUM(H14:H15)</f>
        <v>0</v>
      </c>
      <c r="I16" s="217">
        <f t="shared" ref="I16:U16" si="4">SUM(I14:I15)</f>
        <v>0</v>
      </c>
      <c r="J16" s="217">
        <f t="shared" si="4"/>
        <v>0</v>
      </c>
      <c r="K16" s="217">
        <f t="shared" si="4"/>
        <v>0</v>
      </c>
      <c r="L16" s="217">
        <f t="shared" si="4"/>
        <v>3</v>
      </c>
      <c r="M16" s="217">
        <f t="shared" si="4"/>
        <v>48</v>
      </c>
      <c r="N16" s="217">
        <f t="shared" si="4"/>
        <v>3</v>
      </c>
      <c r="O16" s="217">
        <f t="shared" si="4"/>
        <v>48</v>
      </c>
      <c r="P16" s="217">
        <f t="shared" si="4"/>
        <v>0</v>
      </c>
      <c r="Q16" s="217">
        <f t="shared" si="4"/>
        <v>0</v>
      </c>
      <c r="R16" s="217">
        <f t="shared" si="4"/>
        <v>0</v>
      </c>
      <c r="S16" s="217">
        <f t="shared" si="4"/>
        <v>0</v>
      </c>
      <c r="T16" s="222">
        <f t="shared" si="4"/>
        <v>6</v>
      </c>
      <c r="U16" s="222">
        <f t="shared" si="4"/>
        <v>96</v>
      </c>
    </row>
    <row r="17" spans="2:23" ht="17.399999999999999" customHeight="1">
      <c r="B17" s="615" t="s">
        <v>619</v>
      </c>
      <c r="C17" s="618">
        <v>10</v>
      </c>
      <c r="D17" s="223" t="s">
        <v>620</v>
      </c>
      <c r="E17" s="223" t="s">
        <v>621</v>
      </c>
      <c r="F17" s="210">
        <v>24</v>
      </c>
      <c r="G17" s="210">
        <v>2</v>
      </c>
      <c r="H17" s="211"/>
      <c r="I17" s="211"/>
      <c r="J17" s="211"/>
      <c r="K17" s="211"/>
      <c r="L17" s="211"/>
      <c r="M17" s="211"/>
      <c r="N17" s="211"/>
      <c r="O17" s="211"/>
      <c r="P17" s="211">
        <v>3</v>
      </c>
      <c r="Q17" s="211">
        <v>48</v>
      </c>
      <c r="R17" s="211"/>
      <c r="S17" s="211"/>
      <c r="T17" s="218">
        <f>SUM(H17,J17,L17,N17,P17,R17)</f>
        <v>3</v>
      </c>
      <c r="U17" s="219">
        <f>SUM(I17,K17,M17,O17,Q17,S17)</f>
        <v>48</v>
      </c>
      <c r="W17" s="28"/>
    </row>
    <row r="18" spans="2:23">
      <c r="B18" s="616"/>
      <c r="C18" s="619"/>
      <c r="D18" s="224" t="s">
        <v>622</v>
      </c>
      <c r="E18" s="225" t="s">
        <v>623</v>
      </c>
      <c r="F18" s="212">
        <v>20</v>
      </c>
      <c r="G18" s="212">
        <v>2</v>
      </c>
      <c r="H18" s="214"/>
      <c r="I18" s="214"/>
      <c r="J18" s="214"/>
      <c r="K18" s="214"/>
      <c r="L18" s="214"/>
      <c r="M18" s="214"/>
      <c r="N18" s="214"/>
      <c r="O18" s="214"/>
      <c r="P18" s="214">
        <v>2</v>
      </c>
      <c r="Q18" s="214">
        <v>32</v>
      </c>
      <c r="R18" s="215"/>
      <c r="S18" s="215"/>
      <c r="T18" s="226">
        <f t="shared" ref="T18:U20" si="5">SUM(H18,J18,L18,N18,P18,R18)</f>
        <v>2</v>
      </c>
      <c r="U18" s="227">
        <f t="shared" si="5"/>
        <v>32</v>
      </c>
    </row>
    <row r="19" spans="2:23">
      <c r="B19" s="616"/>
      <c r="C19" s="619"/>
      <c r="D19" s="225" t="s">
        <v>624</v>
      </c>
      <c r="E19" s="225" t="s">
        <v>625</v>
      </c>
      <c r="F19" s="213">
        <v>20</v>
      </c>
      <c r="G19" s="213">
        <v>2</v>
      </c>
      <c r="H19" s="215"/>
      <c r="I19" s="215"/>
      <c r="J19" s="215"/>
      <c r="K19" s="215"/>
      <c r="L19" s="215"/>
      <c r="M19" s="215"/>
      <c r="N19" s="215"/>
      <c r="O19" s="215"/>
      <c r="P19" s="215"/>
      <c r="Q19" s="215"/>
      <c r="R19" s="215">
        <v>3</v>
      </c>
      <c r="S19" s="215">
        <v>48</v>
      </c>
      <c r="T19" s="220">
        <f t="shared" si="5"/>
        <v>3</v>
      </c>
      <c r="U19" s="221">
        <f t="shared" si="5"/>
        <v>48</v>
      </c>
    </row>
    <row r="20" spans="2:23">
      <c r="B20" s="616"/>
      <c r="C20" s="619"/>
      <c r="D20" s="225" t="s">
        <v>626</v>
      </c>
      <c r="E20" s="225" t="s">
        <v>627</v>
      </c>
      <c r="F20" s="213">
        <v>20</v>
      </c>
      <c r="G20" s="213">
        <v>2</v>
      </c>
      <c r="H20" s="215"/>
      <c r="I20" s="215"/>
      <c r="J20" s="215"/>
      <c r="K20" s="215"/>
      <c r="L20" s="215"/>
      <c r="M20" s="215"/>
      <c r="N20" s="215"/>
      <c r="O20" s="215"/>
      <c r="P20" s="215"/>
      <c r="Q20" s="215"/>
      <c r="R20" s="215">
        <v>2</v>
      </c>
      <c r="S20" s="215">
        <v>32</v>
      </c>
      <c r="T20" s="220">
        <f t="shared" si="5"/>
        <v>2</v>
      </c>
      <c r="U20" s="227">
        <f t="shared" si="5"/>
        <v>32</v>
      </c>
    </row>
    <row r="21" spans="2:23" ht="18" thickBot="1">
      <c r="B21" s="617"/>
      <c r="C21" s="620"/>
      <c r="D21" s="614" t="s">
        <v>16</v>
      </c>
      <c r="E21" s="614"/>
      <c r="F21" s="270"/>
      <c r="G21" s="270"/>
      <c r="H21" s="228">
        <f>SUM(H20:H20)</f>
        <v>0</v>
      </c>
      <c r="I21" s="228">
        <f>SUM(I20:I20)</f>
        <v>0</v>
      </c>
      <c r="J21" s="228">
        <f>SUM(J20:J20)</f>
        <v>0</v>
      </c>
      <c r="K21" s="228">
        <f>SUM(K20:K20)</f>
        <v>0</v>
      </c>
      <c r="L21" s="228">
        <f t="shared" ref="L21:U21" si="6">SUM(L17:L20)</f>
        <v>0</v>
      </c>
      <c r="M21" s="228">
        <f t="shared" si="6"/>
        <v>0</v>
      </c>
      <c r="N21" s="228">
        <f t="shared" si="6"/>
        <v>0</v>
      </c>
      <c r="O21" s="228">
        <f t="shared" si="6"/>
        <v>0</v>
      </c>
      <c r="P21" s="228">
        <f t="shared" si="6"/>
        <v>5</v>
      </c>
      <c r="Q21" s="228">
        <f t="shared" si="6"/>
        <v>80</v>
      </c>
      <c r="R21" s="228">
        <f t="shared" si="6"/>
        <v>5</v>
      </c>
      <c r="S21" s="228">
        <f t="shared" si="6"/>
        <v>80</v>
      </c>
      <c r="T21" s="229">
        <f t="shared" si="6"/>
        <v>10</v>
      </c>
      <c r="U21" s="229">
        <f t="shared" si="6"/>
        <v>160</v>
      </c>
    </row>
    <row r="22" spans="2:23">
      <c r="B22" s="615" t="s">
        <v>544</v>
      </c>
      <c r="C22" s="629">
        <v>8</v>
      </c>
      <c r="D22" s="223" t="s">
        <v>628</v>
      </c>
      <c r="E22" s="223" t="s">
        <v>629</v>
      </c>
      <c r="F22" s="210">
        <v>60</v>
      </c>
      <c r="G22" s="210">
        <v>6</v>
      </c>
      <c r="H22" s="230"/>
      <c r="I22" s="230"/>
      <c r="J22" s="230"/>
      <c r="K22" s="230"/>
      <c r="L22" s="230"/>
      <c r="M22" s="230"/>
      <c r="N22" s="230"/>
      <c r="O22" s="230"/>
      <c r="P22" s="211">
        <v>2</v>
      </c>
      <c r="Q22" s="211">
        <v>32</v>
      </c>
      <c r="R22" s="211"/>
      <c r="S22" s="211"/>
      <c r="T22" s="218">
        <f>SUM(H22,J22,L22,N22,P22,R22)</f>
        <v>2</v>
      </c>
      <c r="U22" s="219">
        <f>SUM(I22,K22,M22,O22,Q22,S22)</f>
        <v>32</v>
      </c>
      <c r="W22" s="28"/>
    </row>
    <row r="23" spans="2:23">
      <c r="B23" s="616"/>
      <c r="C23" s="630"/>
      <c r="D23" s="224" t="s">
        <v>630</v>
      </c>
      <c r="E23" s="224" t="s">
        <v>631</v>
      </c>
      <c r="F23" s="212">
        <v>60</v>
      </c>
      <c r="G23" s="212">
        <v>6</v>
      </c>
      <c r="H23" s="231"/>
      <c r="I23" s="231"/>
      <c r="J23" s="231"/>
      <c r="K23" s="231"/>
      <c r="L23" s="231"/>
      <c r="M23" s="231"/>
      <c r="N23" s="231"/>
      <c r="O23" s="231"/>
      <c r="P23" s="214">
        <v>2</v>
      </c>
      <c r="Q23" s="214">
        <v>32</v>
      </c>
      <c r="R23" s="214"/>
      <c r="S23" s="214"/>
      <c r="T23" s="220">
        <f t="shared" ref="T23:U24" si="7">SUM(H23,J23,L23,N23,P23,R23)</f>
        <v>2</v>
      </c>
      <c r="U23" s="221">
        <f t="shared" si="7"/>
        <v>32</v>
      </c>
    </row>
    <row r="24" spans="2:23">
      <c r="B24" s="616"/>
      <c r="C24" s="630"/>
      <c r="D24" s="224" t="s">
        <v>632</v>
      </c>
      <c r="E24" s="224" t="s">
        <v>633</v>
      </c>
      <c r="F24" s="212">
        <v>40</v>
      </c>
      <c r="G24" s="212">
        <v>5</v>
      </c>
      <c r="H24" s="231"/>
      <c r="I24" s="231"/>
      <c r="J24" s="231"/>
      <c r="K24" s="231"/>
      <c r="L24" s="231"/>
      <c r="M24" s="231"/>
      <c r="N24" s="231"/>
      <c r="O24" s="231"/>
      <c r="P24" s="214"/>
      <c r="Q24" s="214"/>
      <c r="R24" s="214">
        <v>1</v>
      </c>
      <c r="S24" s="214">
        <v>16</v>
      </c>
      <c r="T24" s="220">
        <f t="shared" si="7"/>
        <v>1</v>
      </c>
      <c r="U24" s="221">
        <f t="shared" si="7"/>
        <v>16</v>
      </c>
    </row>
    <row r="25" spans="2:23">
      <c r="B25" s="616"/>
      <c r="C25" s="630"/>
      <c r="D25" s="224" t="s">
        <v>634</v>
      </c>
      <c r="E25" s="224" t="s">
        <v>635</v>
      </c>
      <c r="F25" s="212">
        <v>40</v>
      </c>
      <c r="G25" s="212">
        <v>5</v>
      </c>
      <c r="H25" s="231"/>
      <c r="I25" s="231"/>
      <c r="J25" s="231"/>
      <c r="K25" s="231"/>
      <c r="L25" s="231"/>
      <c r="M25" s="231"/>
      <c r="N25" s="231"/>
      <c r="O25" s="231"/>
      <c r="P25" s="214"/>
      <c r="Q25" s="214"/>
      <c r="R25" s="214">
        <v>1</v>
      </c>
      <c r="S25" s="214">
        <v>16</v>
      </c>
      <c r="T25" s="220">
        <f>SUM(H25,J25,L25,N25,P25,R25)</f>
        <v>1</v>
      </c>
      <c r="U25" s="221">
        <f>SUM(I25,K25,M25,O25,Q25,S25)</f>
        <v>16</v>
      </c>
    </row>
    <row r="26" spans="2:23">
      <c r="B26" s="616"/>
      <c r="C26" s="630"/>
      <c r="D26" s="224" t="s">
        <v>636</v>
      </c>
      <c r="E26" s="224" t="s">
        <v>637</v>
      </c>
      <c r="F26" s="212">
        <v>40</v>
      </c>
      <c r="G26" s="212">
        <v>5</v>
      </c>
      <c r="H26" s="231"/>
      <c r="I26" s="231"/>
      <c r="J26" s="231"/>
      <c r="K26" s="231"/>
      <c r="L26" s="231"/>
      <c r="M26" s="231"/>
      <c r="N26" s="231"/>
      <c r="O26" s="231"/>
      <c r="P26" s="214"/>
      <c r="Q26" s="214"/>
      <c r="R26" s="214">
        <v>1</v>
      </c>
      <c r="S26" s="214">
        <v>16</v>
      </c>
      <c r="T26" s="220">
        <f t="shared" ref="T26:U27" si="8">SUM(H26,J26,L26,N26,P26,R26)</f>
        <v>1</v>
      </c>
      <c r="U26" s="221">
        <f t="shared" si="8"/>
        <v>16</v>
      </c>
    </row>
    <row r="27" spans="2:23">
      <c r="B27" s="616"/>
      <c r="C27" s="630"/>
      <c r="D27" s="224" t="s">
        <v>638</v>
      </c>
      <c r="E27" s="224" t="s">
        <v>639</v>
      </c>
      <c r="F27" s="212">
        <v>40</v>
      </c>
      <c r="G27" s="212">
        <v>5</v>
      </c>
      <c r="H27" s="231"/>
      <c r="I27" s="231"/>
      <c r="J27" s="231"/>
      <c r="K27" s="231"/>
      <c r="L27" s="231"/>
      <c r="M27" s="231"/>
      <c r="N27" s="231"/>
      <c r="O27" s="231"/>
      <c r="P27" s="214"/>
      <c r="Q27" s="214"/>
      <c r="R27" s="214">
        <v>1</v>
      </c>
      <c r="S27" s="214">
        <v>16</v>
      </c>
      <c r="T27" s="220">
        <f t="shared" si="8"/>
        <v>1</v>
      </c>
      <c r="U27" s="221">
        <f t="shared" si="8"/>
        <v>16</v>
      </c>
    </row>
    <row r="28" spans="2:23" ht="18" thickBot="1">
      <c r="B28" s="617"/>
      <c r="C28" s="620"/>
      <c r="D28" s="614" t="s">
        <v>16</v>
      </c>
      <c r="E28" s="614"/>
      <c r="F28" s="741"/>
      <c r="G28" s="741"/>
      <c r="H28" s="232">
        <f>SUM(H27:H27)</f>
        <v>0</v>
      </c>
      <c r="I28" s="232">
        <f>SUM(I27:I27)</f>
        <v>0</v>
      </c>
      <c r="J28" s="232">
        <f>SUM(J27:J27)</f>
        <v>0</v>
      </c>
      <c r="K28" s="232">
        <f>SUM(K27:K27)</f>
        <v>0</v>
      </c>
      <c r="L28" s="232">
        <f t="shared" ref="L28:U28" si="9">SUM(L22:L27)</f>
        <v>0</v>
      </c>
      <c r="M28" s="232">
        <f t="shared" si="9"/>
        <v>0</v>
      </c>
      <c r="N28" s="232">
        <f t="shared" si="9"/>
        <v>0</v>
      </c>
      <c r="O28" s="232">
        <f t="shared" si="9"/>
        <v>0</v>
      </c>
      <c r="P28" s="232">
        <f t="shared" si="9"/>
        <v>4</v>
      </c>
      <c r="Q28" s="232">
        <f t="shared" si="9"/>
        <v>64</v>
      </c>
      <c r="R28" s="232">
        <f t="shared" si="9"/>
        <v>4</v>
      </c>
      <c r="S28" s="232">
        <f t="shared" si="9"/>
        <v>64</v>
      </c>
      <c r="T28" s="233">
        <f t="shared" si="9"/>
        <v>8</v>
      </c>
      <c r="U28" s="233">
        <f t="shared" si="9"/>
        <v>128</v>
      </c>
    </row>
    <row r="29" spans="2:23">
      <c r="B29" s="611" t="s">
        <v>547</v>
      </c>
      <c r="C29" s="608">
        <v>6</v>
      </c>
      <c r="D29" s="210" t="s">
        <v>640</v>
      </c>
      <c r="E29" s="210" t="s">
        <v>641</v>
      </c>
      <c r="F29" s="210">
        <v>20</v>
      </c>
      <c r="G29" s="210">
        <v>3</v>
      </c>
      <c r="H29" s="211"/>
      <c r="I29" s="211"/>
      <c r="J29" s="211"/>
      <c r="K29" s="211"/>
      <c r="L29" s="211"/>
      <c r="M29" s="211"/>
      <c r="N29" s="211"/>
      <c r="O29" s="211"/>
      <c r="P29" s="211">
        <v>3</v>
      </c>
      <c r="Q29" s="211">
        <v>48</v>
      </c>
      <c r="R29" s="211"/>
      <c r="S29" s="211"/>
      <c r="T29" s="218">
        <f>SUM(H29,J29,L29,N29,P29,R29)</f>
        <v>3</v>
      </c>
      <c r="U29" s="219">
        <f>SUM(I29,K29,M29,O29,Q29,S29)</f>
        <v>48</v>
      </c>
    </row>
    <row r="30" spans="2:23">
      <c r="B30" s="612"/>
      <c r="C30" s="609"/>
      <c r="D30" s="212" t="s">
        <v>642</v>
      </c>
      <c r="E30" s="213" t="s">
        <v>643</v>
      </c>
      <c r="F30" s="212">
        <v>20</v>
      </c>
      <c r="G30" s="212">
        <v>3</v>
      </c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214">
        <v>3</v>
      </c>
      <c r="S30" s="214">
        <v>48</v>
      </c>
      <c r="T30" s="220">
        <f t="shared" ref="T30:U30" si="10">SUM(H30,J30,L30,N30,P30,R30)</f>
        <v>3</v>
      </c>
      <c r="U30" s="221">
        <f t="shared" si="10"/>
        <v>48</v>
      </c>
    </row>
    <row r="31" spans="2:23" ht="18" thickBot="1">
      <c r="B31" s="613"/>
      <c r="C31" s="610"/>
      <c r="D31" s="614" t="s">
        <v>16</v>
      </c>
      <c r="E31" s="614"/>
      <c r="F31" s="252"/>
      <c r="G31" s="252"/>
      <c r="H31" s="217">
        <f>SUM(H29:H30)</f>
        <v>0</v>
      </c>
      <c r="I31" s="217">
        <f t="shared" ref="I31:U31" si="11">SUM(I29:I30)</f>
        <v>0</v>
      </c>
      <c r="J31" s="217">
        <f t="shared" si="11"/>
        <v>0</v>
      </c>
      <c r="K31" s="217">
        <f t="shared" si="11"/>
        <v>0</v>
      </c>
      <c r="L31" s="217">
        <f t="shared" si="11"/>
        <v>0</v>
      </c>
      <c r="M31" s="217">
        <f t="shared" si="11"/>
        <v>0</v>
      </c>
      <c r="N31" s="217">
        <f t="shared" si="11"/>
        <v>0</v>
      </c>
      <c r="O31" s="217">
        <f t="shared" si="11"/>
        <v>0</v>
      </c>
      <c r="P31" s="217">
        <f t="shared" si="11"/>
        <v>3</v>
      </c>
      <c r="Q31" s="217">
        <f t="shared" si="11"/>
        <v>48</v>
      </c>
      <c r="R31" s="217">
        <f t="shared" si="11"/>
        <v>3</v>
      </c>
      <c r="S31" s="217">
        <f t="shared" si="11"/>
        <v>48</v>
      </c>
      <c r="T31" s="222">
        <f t="shared" si="11"/>
        <v>6</v>
      </c>
      <c r="U31" s="222">
        <f t="shared" si="11"/>
        <v>96</v>
      </c>
    </row>
    <row r="32" spans="2:23">
      <c r="B32" s="611" t="s">
        <v>644</v>
      </c>
      <c r="C32" s="608">
        <v>4</v>
      </c>
      <c r="D32" s="210" t="s">
        <v>645</v>
      </c>
      <c r="E32" s="210" t="s">
        <v>646</v>
      </c>
      <c r="F32" s="210">
        <v>20</v>
      </c>
      <c r="G32" s="210">
        <v>3</v>
      </c>
      <c r="H32" s="211"/>
      <c r="I32" s="211"/>
      <c r="J32" s="211"/>
      <c r="K32" s="211"/>
      <c r="L32" s="211"/>
      <c r="M32" s="211"/>
      <c r="N32" s="211"/>
      <c r="O32" s="211"/>
      <c r="P32" s="211">
        <v>2</v>
      </c>
      <c r="Q32" s="211">
        <v>32</v>
      </c>
      <c r="R32" s="211"/>
      <c r="S32" s="211"/>
      <c r="T32" s="218">
        <f>SUM(H32,J32,L32,N32,P32,R32)</f>
        <v>2</v>
      </c>
      <c r="U32" s="219">
        <f>SUM(I32,K32,M32,O32,Q32,S32)</f>
        <v>32</v>
      </c>
    </row>
    <row r="33" spans="2:21">
      <c r="B33" s="612"/>
      <c r="C33" s="609"/>
      <c r="D33" s="212" t="s">
        <v>647</v>
      </c>
      <c r="E33" s="213" t="s">
        <v>648</v>
      </c>
      <c r="F33" s="212">
        <v>20</v>
      </c>
      <c r="G33" s="212">
        <v>3</v>
      </c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214">
        <v>2</v>
      </c>
      <c r="S33" s="214">
        <v>32</v>
      </c>
      <c r="T33" s="220">
        <f t="shared" ref="T33:U33" si="12">SUM(H33,J33,L33,N33,P33,R33)</f>
        <v>2</v>
      </c>
      <c r="U33" s="221">
        <f t="shared" si="12"/>
        <v>32</v>
      </c>
    </row>
    <row r="34" spans="2:21" ht="18" thickBot="1">
      <c r="B34" s="613"/>
      <c r="C34" s="610"/>
      <c r="D34" s="614" t="s">
        <v>16</v>
      </c>
      <c r="E34" s="614"/>
      <c r="F34" s="252"/>
      <c r="G34" s="252"/>
      <c r="H34" s="217">
        <f>SUM(H32:H33)</f>
        <v>0</v>
      </c>
      <c r="I34" s="217">
        <f t="shared" ref="I34:U34" si="13">SUM(I32:I33)</f>
        <v>0</v>
      </c>
      <c r="J34" s="217">
        <f t="shared" si="13"/>
        <v>0</v>
      </c>
      <c r="K34" s="217">
        <f t="shared" si="13"/>
        <v>0</v>
      </c>
      <c r="L34" s="217">
        <f t="shared" si="13"/>
        <v>0</v>
      </c>
      <c r="M34" s="217">
        <f t="shared" si="13"/>
        <v>0</v>
      </c>
      <c r="N34" s="217">
        <f t="shared" si="13"/>
        <v>0</v>
      </c>
      <c r="O34" s="217">
        <f t="shared" si="13"/>
        <v>0</v>
      </c>
      <c r="P34" s="217">
        <f t="shared" si="13"/>
        <v>2</v>
      </c>
      <c r="Q34" s="217">
        <f t="shared" si="13"/>
        <v>32</v>
      </c>
      <c r="R34" s="217">
        <f t="shared" si="13"/>
        <v>2</v>
      </c>
      <c r="S34" s="217">
        <f t="shared" si="13"/>
        <v>32</v>
      </c>
      <c r="T34" s="222">
        <f t="shared" si="13"/>
        <v>4</v>
      </c>
      <c r="U34" s="222">
        <f t="shared" si="13"/>
        <v>64</v>
      </c>
    </row>
    <row r="35" spans="2:21">
      <c r="B35" s="611" t="s">
        <v>649</v>
      </c>
      <c r="C35" s="608">
        <v>8</v>
      </c>
      <c r="D35" s="210" t="s">
        <v>650</v>
      </c>
      <c r="E35" s="210" t="s">
        <v>651</v>
      </c>
      <c r="F35" s="210">
        <v>16</v>
      </c>
      <c r="G35" s="210">
        <v>3</v>
      </c>
      <c r="H35" s="211"/>
      <c r="I35" s="211"/>
      <c r="J35" s="211"/>
      <c r="K35" s="211"/>
      <c r="L35" s="211"/>
      <c r="M35" s="211"/>
      <c r="N35" s="211"/>
      <c r="O35" s="211"/>
      <c r="P35" s="211">
        <v>4</v>
      </c>
      <c r="Q35" s="211">
        <v>64</v>
      </c>
      <c r="R35" s="211"/>
      <c r="S35" s="211"/>
      <c r="T35" s="218">
        <f>SUM(H35,J35,L35,N35,P35,R35)</f>
        <v>4</v>
      </c>
      <c r="U35" s="219">
        <f>SUM(I35,K35,M35,O35,Q35,S35)</f>
        <v>64</v>
      </c>
    </row>
    <row r="36" spans="2:21">
      <c r="B36" s="612"/>
      <c r="C36" s="609"/>
      <c r="D36" s="212" t="s">
        <v>652</v>
      </c>
      <c r="E36" s="213" t="s">
        <v>653</v>
      </c>
      <c r="F36" s="212">
        <v>24</v>
      </c>
      <c r="G36" s="212">
        <v>4</v>
      </c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214">
        <v>4</v>
      </c>
      <c r="S36" s="214">
        <v>64</v>
      </c>
      <c r="T36" s="220">
        <f t="shared" ref="T36:U36" si="14">SUM(H36,J36,L36,N36,P36,R36)</f>
        <v>4</v>
      </c>
      <c r="U36" s="221">
        <f t="shared" si="14"/>
        <v>64</v>
      </c>
    </row>
    <row r="37" spans="2:21" ht="18" thickBot="1">
      <c r="B37" s="613"/>
      <c r="C37" s="610"/>
      <c r="D37" s="614" t="s">
        <v>16</v>
      </c>
      <c r="E37" s="614"/>
      <c r="F37" s="252"/>
      <c r="G37" s="252"/>
      <c r="H37" s="217">
        <f>SUM(H35:H36)</f>
        <v>0</v>
      </c>
      <c r="I37" s="217">
        <f t="shared" ref="I37:U37" si="15">SUM(I35:I36)</f>
        <v>0</v>
      </c>
      <c r="J37" s="217">
        <f t="shared" si="15"/>
        <v>0</v>
      </c>
      <c r="K37" s="217">
        <f t="shared" si="15"/>
        <v>0</v>
      </c>
      <c r="L37" s="217">
        <f t="shared" si="15"/>
        <v>0</v>
      </c>
      <c r="M37" s="217">
        <f t="shared" si="15"/>
        <v>0</v>
      </c>
      <c r="N37" s="217">
        <f t="shared" si="15"/>
        <v>0</v>
      </c>
      <c r="O37" s="217">
        <f t="shared" si="15"/>
        <v>0</v>
      </c>
      <c r="P37" s="217">
        <f t="shared" si="15"/>
        <v>4</v>
      </c>
      <c r="Q37" s="217">
        <f t="shared" si="15"/>
        <v>64</v>
      </c>
      <c r="R37" s="217">
        <f t="shared" si="15"/>
        <v>4</v>
      </c>
      <c r="S37" s="217">
        <f t="shared" si="15"/>
        <v>64</v>
      </c>
      <c r="T37" s="222">
        <f t="shared" si="15"/>
        <v>8</v>
      </c>
      <c r="U37" s="222">
        <f t="shared" si="15"/>
        <v>128</v>
      </c>
    </row>
    <row r="38" spans="2:21">
      <c r="B38" s="611" t="s">
        <v>654</v>
      </c>
      <c r="C38" s="608">
        <v>6</v>
      </c>
      <c r="D38" s="212" t="s">
        <v>655</v>
      </c>
      <c r="E38" s="213" t="s">
        <v>656</v>
      </c>
      <c r="F38" s="212">
        <v>50</v>
      </c>
      <c r="G38" s="212">
        <v>3</v>
      </c>
      <c r="H38" s="214"/>
      <c r="I38" s="214"/>
      <c r="J38" s="214"/>
      <c r="K38" s="214"/>
      <c r="L38" s="214"/>
      <c r="M38" s="214"/>
      <c r="N38" s="214"/>
      <c r="O38" s="214"/>
      <c r="P38" s="214">
        <v>3</v>
      </c>
      <c r="Q38" s="214">
        <v>48</v>
      </c>
      <c r="R38" s="211"/>
      <c r="S38" s="211"/>
      <c r="T38" s="218">
        <f>SUM(H38,J38,L38,N38,P38,R38)</f>
        <v>3</v>
      </c>
      <c r="U38" s="219">
        <f>SUM(I38,K38,M38,O38,Q38,S38)</f>
        <v>48</v>
      </c>
    </row>
    <row r="39" spans="2:21">
      <c r="B39" s="612"/>
      <c r="C39" s="609"/>
      <c r="D39" s="213" t="s">
        <v>657</v>
      </c>
      <c r="E39" s="213" t="s">
        <v>658</v>
      </c>
      <c r="F39" s="213">
        <v>50</v>
      </c>
      <c r="G39" s="213">
        <v>3</v>
      </c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>
        <v>3</v>
      </c>
      <c r="S39" s="215">
        <v>48</v>
      </c>
      <c r="T39" s="220">
        <f t="shared" ref="T39:U39" si="16">SUM(H39,J39,L39,N39,P39,R39)</f>
        <v>3</v>
      </c>
      <c r="U39" s="221">
        <f t="shared" si="16"/>
        <v>48</v>
      </c>
    </row>
    <row r="40" spans="2:21" ht="18" thickBot="1">
      <c r="B40" s="613"/>
      <c r="C40" s="610"/>
      <c r="D40" s="614" t="s">
        <v>16</v>
      </c>
      <c r="E40" s="614"/>
      <c r="F40" s="252"/>
      <c r="G40" s="252"/>
      <c r="H40" s="216"/>
      <c r="I40" s="217">
        <f t="shared" ref="I40:N40" si="17">SUM(I38:I39)</f>
        <v>0</v>
      </c>
      <c r="J40" s="217">
        <f t="shared" si="17"/>
        <v>0</v>
      </c>
      <c r="K40" s="217">
        <f t="shared" si="17"/>
        <v>0</v>
      </c>
      <c r="L40" s="217">
        <f t="shared" si="17"/>
        <v>0</v>
      </c>
      <c r="M40" s="217">
        <f t="shared" si="17"/>
        <v>0</v>
      </c>
      <c r="N40" s="217">
        <f t="shared" si="17"/>
        <v>0</v>
      </c>
      <c r="O40" s="217">
        <f t="shared" ref="O40:U40" si="18">SUM(O38:O39)</f>
        <v>0</v>
      </c>
      <c r="P40" s="217">
        <f t="shared" si="18"/>
        <v>3</v>
      </c>
      <c r="Q40" s="217">
        <f t="shared" si="18"/>
        <v>48</v>
      </c>
      <c r="R40" s="217">
        <f t="shared" si="18"/>
        <v>3</v>
      </c>
      <c r="S40" s="217">
        <f t="shared" si="18"/>
        <v>48</v>
      </c>
      <c r="T40" s="222">
        <f t="shared" si="18"/>
        <v>6</v>
      </c>
      <c r="U40" s="222">
        <f t="shared" si="18"/>
        <v>96</v>
      </c>
    </row>
    <row r="41" spans="2:21">
      <c r="B41" s="621" t="s">
        <v>554</v>
      </c>
      <c r="C41" s="624">
        <v>8</v>
      </c>
      <c r="D41" s="210" t="s">
        <v>659</v>
      </c>
      <c r="E41" s="210" t="s">
        <v>660</v>
      </c>
      <c r="F41" s="210">
        <v>40</v>
      </c>
      <c r="G41" s="210">
        <v>4</v>
      </c>
      <c r="H41" s="211"/>
      <c r="I41" s="211">
        <f>H41*16</f>
        <v>0</v>
      </c>
      <c r="J41" s="211"/>
      <c r="K41" s="211">
        <f>J41*16</f>
        <v>0</v>
      </c>
      <c r="L41" s="211"/>
      <c r="M41" s="211"/>
      <c r="N41" s="211"/>
      <c r="O41" s="211"/>
      <c r="P41" s="211">
        <v>2</v>
      </c>
      <c r="Q41" s="211">
        <v>32</v>
      </c>
      <c r="R41" s="211"/>
      <c r="S41" s="211"/>
      <c r="T41" s="218">
        <f>SUM(H41,J41,L41,N41,P41,R41)</f>
        <v>2</v>
      </c>
      <c r="U41" s="219">
        <f>SUM(I41,K41,M41,O41,Q41,S41)</f>
        <v>32</v>
      </c>
    </row>
    <row r="42" spans="2:21">
      <c r="B42" s="622"/>
      <c r="C42" s="625"/>
      <c r="D42" s="212" t="s">
        <v>661</v>
      </c>
      <c r="E42" s="213" t="s">
        <v>662</v>
      </c>
      <c r="F42" s="212">
        <v>30</v>
      </c>
      <c r="G42" s="212">
        <v>3</v>
      </c>
      <c r="H42" s="214"/>
      <c r="I42" s="214">
        <f t="shared" ref="I42" si="19">H42*16</f>
        <v>0</v>
      </c>
      <c r="J42" s="214"/>
      <c r="K42" s="214">
        <f t="shared" ref="K42" si="20">J42*16</f>
        <v>0</v>
      </c>
      <c r="L42" s="214"/>
      <c r="M42" s="214"/>
      <c r="N42" s="214"/>
      <c r="O42" s="214"/>
      <c r="P42" s="214">
        <v>2</v>
      </c>
      <c r="Q42" s="214">
        <v>32</v>
      </c>
      <c r="R42" s="214"/>
      <c r="S42" s="214"/>
      <c r="T42" s="220">
        <f t="shared" ref="T42:U44" si="21">SUM(H42,J42,L42,N42,P42,R42)</f>
        <v>2</v>
      </c>
      <c r="U42" s="221">
        <f t="shared" si="21"/>
        <v>32</v>
      </c>
    </row>
    <row r="43" spans="2:21">
      <c r="B43" s="622"/>
      <c r="C43" s="625"/>
      <c r="D43" s="213" t="s">
        <v>663</v>
      </c>
      <c r="E43" s="212" t="s">
        <v>664</v>
      </c>
      <c r="F43" s="213">
        <v>30</v>
      </c>
      <c r="G43" s="213">
        <v>3</v>
      </c>
      <c r="H43" s="215"/>
      <c r="I43" s="215"/>
      <c r="J43" s="215"/>
      <c r="K43" s="215"/>
      <c r="L43" s="215"/>
      <c r="M43" s="215"/>
      <c r="N43" s="215"/>
      <c r="O43" s="215"/>
      <c r="P43" s="215"/>
      <c r="Q43" s="215"/>
      <c r="R43" s="215">
        <v>2</v>
      </c>
      <c r="S43" s="215">
        <v>32</v>
      </c>
      <c r="T43" s="220">
        <f t="shared" si="21"/>
        <v>2</v>
      </c>
      <c r="U43" s="221">
        <f t="shared" si="21"/>
        <v>32</v>
      </c>
    </row>
    <row r="44" spans="2:21">
      <c r="B44" s="622"/>
      <c r="C44" s="625"/>
      <c r="D44" s="213" t="s">
        <v>665</v>
      </c>
      <c r="E44" s="213" t="s">
        <v>666</v>
      </c>
      <c r="F44" s="213">
        <v>30</v>
      </c>
      <c r="G44" s="213">
        <v>3</v>
      </c>
      <c r="H44" s="215"/>
      <c r="I44" s="215"/>
      <c r="J44" s="215"/>
      <c r="K44" s="215"/>
      <c r="L44" s="215"/>
      <c r="M44" s="215"/>
      <c r="N44" s="215"/>
      <c r="O44" s="215"/>
      <c r="P44" s="215"/>
      <c r="Q44" s="215"/>
      <c r="R44" s="215">
        <v>2</v>
      </c>
      <c r="S44" s="215">
        <v>32</v>
      </c>
      <c r="T44" s="226">
        <f t="shared" si="21"/>
        <v>2</v>
      </c>
      <c r="U44" s="227">
        <f t="shared" si="21"/>
        <v>32</v>
      </c>
    </row>
    <row r="45" spans="2:21" ht="18" thickBot="1">
      <c r="B45" s="623"/>
      <c r="C45" s="626"/>
      <c r="D45" s="627" t="s">
        <v>16</v>
      </c>
      <c r="E45" s="628"/>
      <c r="F45" s="252"/>
      <c r="G45" s="252"/>
      <c r="H45" s="217">
        <f t="shared" ref="H45:N45" si="22">SUM(H41:H44)</f>
        <v>0</v>
      </c>
      <c r="I45" s="217">
        <f t="shared" si="22"/>
        <v>0</v>
      </c>
      <c r="J45" s="217">
        <f t="shared" si="22"/>
        <v>0</v>
      </c>
      <c r="K45" s="217">
        <f t="shared" si="22"/>
        <v>0</v>
      </c>
      <c r="L45" s="217">
        <f t="shared" si="22"/>
        <v>0</v>
      </c>
      <c r="M45" s="217">
        <f t="shared" si="22"/>
        <v>0</v>
      </c>
      <c r="N45" s="217">
        <f t="shared" si="22"/>
        <v>0</v>
      </c>
      <c r="O45" s="217">
        <f t="shared" ref="O45:U45" si="23">SUM(O41:O44)</f>
        <v>0</v>
      </c>
      <c r="P45" s="217">
        <f t="shared" si="23"/>
        <v>4</v>
      </c>
      <c r="Q45" s="217">
        <f t="shared" si="23"/>
        <v>64</v>
      </c>
      <c r="R45" s="217">
        <f t="shared" si="23"/>
        <v>4</v>
      </c>
      <c r="S45" s="217">
        <f t="shared" si="23"/>
        <v>64</v>
      </c>
      <c r="T45" s="222">
        <f t="shared" si="23"/>
        <v>8</v>
      </c>
      <c r="U45" s="222">
        <f t="shared" si="23"/>
        <v>128</v>
      </c>
    </row>
    <row r="46" spans="2:21">
      <c r="B46" s="611" t="s">
        <v>555</v>
      </c>
      <c r="C46" s="608">
        <v>6</v>
      </c>
      <c r="D46" s="213" t="s">
        <v>667</v>
      </c>
      <c r="E46" s="213" t="s">
        <v>668</v>
      </c>
      <c r="F46" s="213">
        <v>45</v>
      </c>
      <c r="G46" s="213">
        <v>3</v>
      </c>
      <c r="H46" s="215"/>
      <c r="I46" s="215"/>
      <c r="J46" s="215"/>
      <c r="K46" s="215"/>
      <c r="L46" s="215"/>
      <c r="M46" s="215"/>
      <c r="N46" s="215"/>
      <c r="O46" s="215"/>
      <c r="P46" s="214">
        <v>3</v>
      </c>
      <c r="Q46" s="214">
        <v>48</v>
      </c>
      <c r="R46" s="214"/>
      <c r="S46" s="214"/>
      <c r="T46" s="234">
        <f>SUM(H46,J46,L46,N46,P46,R46)</f>
        <v>3</v>
      </c>
      <c r="U46" s="235">
        <f>SUM(I46,K46,M46,O46,Q46,S46)</f>
        <v>48</v>
      </c>
    </row>
    <row r="47" spans="2:21">
      <c r="B47" s="612"/>
      <c r="C47" s="609"/>
      <c r="D47" s="213" t="s">
        <v>669</v>
      </c>
      <c r="E47" s="213" t="s">
        <v>670</v>
      </c>
      <c r="F47" s="213">
        <v>45</v>
      </c>
      <c r="G47" s="213">
        <v>3</v>
      </c>
      <c r="H47" s="215"/>
      <c r="I47" s="215"/>
      <c r="J47" s="215"/>
      <c r="K47" s="215"/>
      <c r="L47" s="215"/>
      <c r="M47" s="215"/>
      <c r="N47" s="215"/>
      <c r="O47" s="215"/>
      <c r="P47" s="215"/>
      <c r="Q47" s="215"/>
      <c r="R47" s="215">
        <v>3</v>
      </c>
      <c r="S47" s="215">
        <v>48</v>
      </c>
      <c r="T47" s="220">
        <f t="shared" ref="T47:U47" si="24">SUM(H47,J47,L47,N47,P47,R47)</f>
        <v>3</v>
      </c>
      <c r="U47" s="221">
        <f t="shared" si="24"/>
        <v>48</v>
      </c>
    </row>
    <row r="48" spans="2:21" ht="18" thickBot="1">
      <c r="B48" s="613"/>
      <c r="C48" s="610"/>
      <c r="D48" s="614" t="s">
        <v>16</v>
      </c>
      <c r="E48" s="614"/>
      <c r="F48" s="216"/>
      <c r="G48" s="216"/>
      <c r="H48" s="217" t="s">
        <v>671</v>
      </c>
      <c r="I48" s="217">
        <f t="shared" ref="I48:N48" si="25">SUM(I46:I47)</f>
        <v>0</v>
      </c>
      <c r="J48" s="217">
        <f t="shared" si="25"/>
        <v>0</v>
      </c>
      <c r="K48" s="217">
        <f t="shared" si="25"/>
        <v>0</v>
      </c>
      <c r="L48" s="217">
        <f t="shared" si="25"/>
        <v>0</v>
      </c>
      <c r="M48" s="217">
        <f t="shared" si="25"/>
        <v>0</v>
      </c>
      <c r="N48" s="217">
        <f t="shared" si="25"/>
        <v>0</v>
      </c>
      <c r="O48" s="217">
        <f t="shared" ref="O48:U48" si="26">SUM(O46:O47)</f>
        <v>0</v>
      </c>
      <c r="P48" s="217">
        <f t="shared" si="26"/>
        <v>3</v>
      </c>
      <c r="Q48" s="217">
        <f t="shared" si="26"/>
        <v>48</v>
      </c>
      <c r="R48" s="217">
        <f t="shared" si="26"/>
        <v>3</v>
      </c>
      <c r="S48" s="217">
        <f t="shared" si="26"/>
        <v>48</v>
      </c>
      <c r="T48" s="222">
        <f t="shared" si="26"/>
        <v>6</v>
      </c>
      <c r="U48" s="222">
        <f t="shared" si="26"/>
        <v>96</v>
      </c>
    </row>
  </sheetData>
  <mergeCells count="57"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B9:B13"/>
    <mergeCell ref="C9:C13"/>
    <mergeCell ref="D13:E13"/>
    <mergeCell ref="B41:B45"/>
    <mergeCell ref="C41:C45"/>
    <mergeCell ref="D45:E45"/>
    <mergeCell ref="D21:E21"/>
    <mergeCell ref="C22:C28"/>
    <mergeCell ref="B22:B28"/>
    <mergeCell ref="B46:B48"/>
    <mergeCell ref="C46:C48"/>
    <mergeCell ref="D48:E48"/>
    <mergeCell ref="C14:C16"/>
    <mergeCell ref="B14:B16"/>
    <mergeCell ref="D16:E16"/>
    <mergeCell ref="B17:B21"/>
    <mergeCell ref="C17:C21"/>
    <mergeCell ref="D28:E28"/>
    <mergeCell ref="B29:B31"/>
    <mergeCell ref="C29:C31"/>
    <mergeCell ref="D31:E31"/>
    <mergeCell ref="C32:C34"/>
    <mergeCell ref="B32:B34"/>
    <mergeCell ref="D34:E34"/>
    <mergeCell ref="C35:C37"/>
    <mergeCell ref="B35:B37"/>
    <mergeCell ref="D37:E37"/>
    <mergeCell ref="C38:C40"/>
    <mergeCell ref="B38:B40"/>
    <mergeCell ref="D40:E40"/>
  </mergeCells>
  <phoneticPr fontId="9" type="noConversion"/>
  <pageMargins left="0.25" right="0.25" top="0.75" bottom="0.75" header="0.3" footer="0.3"/>
  <pageSetup paperSize="9" scale="32" orientation="portrait" cellComments="asDisplayed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BC82-9D13-41C8-AAB7-D2CEF9FEBF40}">
  <sheetPr>
    <pageSetUpPr fitToPage="1"/>
  </sheetPr>
  <dimension ref="B1:AD99"/>
  <sheetViews>
    <sheetView view="pageBreakPreview" zoomScale="85" zoomScaleNormal="100" zoomScaleSheetLayoutView="85" workbookViewId="0">
      <pane ySplit="8" topLeftCell="A42" activePane="bottomLeft" state="frozen"/>
      <selection pane="bottomLeft" activeCell="D54" sqref="D54"/>
    </sheetView>
  </sheetViews>
  <sheetFormatPr defaultColWidth="8.69921875" defaultRowHeight="17.399999999999999"/>
  <cols>
    <col min="1" max="1" width="2" style="4" customWidth="1"/>
    <col min="2" max="2" width="6.59765625" style="4" customWidth="1"/>
    <col min="3" max="3" width="9.3984375" style="4" customWidth="1"/>
    <col min="4" max="4" width="8.69921875" style="4"/>
    <col min="5" max="5" width="8.5" style="4" customWidth="1"/>
    <col min="6" max="6" width="16.5" style="4" customWidth="1"/>
    <col min="7" max="7" width="6.19921875" style="4" customWidth="1"/>
    <col min="8" max="8" width="5.59765625" style="4" customWidth="1"/>
    <col min="9" max="9" width="7.8984375" style="4" bestFit="1" customWidth="1"/>
    <col min="10" max="10" width="5.59765625" style="4" customWidth="1"/>
    <col min="11" max="22" width="3.8984375" style="4" customWidth="1"/>
    <col min="23" max="24" width="3.3984375" style="4" customWidth="1"/>
    <col min="25" max="25" width="6.3984375" style="4" customWidth="1"/>
    <col min="26" max="26" width="8.69921875" style="4"/>
    <col min="27" max="27" width="16.3984375" style="4" customWidth="1"/>
    <col min="28" max="29" width="12.8984375" style="4" customWidth="1"/>
    <col min="30" max="30" width="13.8984375" style="4" customWidth="1"/>
    <col min="31" max="16384" width="8.69921875" style="4"/>
  </cols>
  <sheetData>
    <row r="1" spans="2:30" ht="18" thickBot="1"/>
    <row r="2" spans="2:30" ht="30.75" customHeight="1" thickBot="1">
      <c r="B2" s="276" t="s">
        <v>511</v>
      </c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7"/>
      <c r="V2" s="278" t="s">
        <v>130</v>
      </c>
      <c r="W2" s="279"/>
      <c r="X2" s="280">
        <v>2027</v>
      </c>
      <c r="Y2" s="281"/>
      <c r="AA2" s="282" t="s">
        <v>144</v>
      </c>
      <c r="AB2" s="19" t="s">
        <v>145</v>
      </c>
      <c r="AC2" s="29" t="s">
        <v>152</v>
      </c>
      <c r="AD2" s="20" t="s">
        <v>146</v>
      </c>
    </row>
    <row r="3" spans="2:30" ht="18" thickBot="1">
      <c r="B3" s="285" t="s">
        <v>360</v>
      </c>
      <c r="C3" s="287" t="s">
        <v>53</v>
      </c>
      <c r="D3" s="288"/>
      <c r="E3" s="288"/>
      <c r="F3" s="287" t="s">
        <v>64</v>
      </c>
      <c r="G3" s="291"/>
      <c r="H3" s="287" t="s">
        <v>54</v>
      </c>
      <c r="I3" s="288"/>
      <c r="J3" s="288"/>
      <c r="K3" s="287" t="s">
        <v>55</v>
      </c>
      <c r="L3" s="288"/>
      <c r="M3" s="288"/>
      <c r="N3" s="288"/>
      <c r="O3" s="291"/>
      <c r="P3" s="293" t="s">
        <v>56</v>
      </c>
      <c r="Q3" s="294"/>
      <c r="R3" s="294"/>
      <c r="S3" s="294"/>
      <c r="T3" s="294"/>
      <c r="U3" s="294"/>
      <c r="V3" s="294"/>
      <c r="W3" s="294"/>
      <c r="X3" s="294"/>
      <c r="Y3" s="295"/>
      <c r="AA3" s="283"/>
      <c r="AB3" s="21" t="s">
        <v>147</v>
      </c>
      <c r="AC3" s="36" t="s">
        <v>518</v>
      </c>
      <c r="AD3" s="22" t="s">
        <v>519</v>
      </c>
    </row>
    <row r="4" spans="2:30" ht="18" thickBot="1">
      <c r="B4" s="286"/>
      <c r="C4" s="289"/>
      <c r="D4" s="290"/>
      <c r="E4" s="290"/>
      <c r="F4" s="289"/>
      <c r="G4" s="292"/>
      <c r="H4" s="289"/>
      <c r="I4" s="290"/>
      <c r="J4" s="290"/>
      <c r="K4" s="289"/>
      <c r="L4" s="290"/>
      <c r="M4" s="290"/>
      <c r="N4" s="290"/>
      <c r="O4" s="292"/>
      <c r="P4" s="293" t="s">
        <v>127</v>
      </c>
      <c r="Q4" s="294"/>
      <c r="R4" s="294"/>
      <c r="S4" s="294"/>
      <c r="T4" s="293" t="s">
        <v>61</v>
      </c>
      <c r="U4" s="294"/>
      <c r="V4" s="295"/>
      <c r="W4" s="294" t="s">
        <v>128</v>
      </c>
      <c r="X4" s="294"/>
      <c r="Y4" s="295"/>
      <c r="AA4" s="283"/>
      <c r="AB4" s="23" t="s">
        <v>148</v>
      </c>
      <c r="AC4" s="37" t="s">
        <v>520</v>
      </c>
      <c r="AD4" s="22" t="s">
        <v>521</v>
      </c>
    </row>
    <row r="5" spans="2:30" ht="26.25" customHeight="1" thickBot="1">
      <c r="B5" s="69" t="s">
        <v>509</v>
      </c>
      <c r="C5" s="296" t="s">
        <v>512</v>
      </c>
      <c r="D5" s="297"/>
      <c r="E5" s="298"/>
      <c r="F5" s="296" t="s">
        <v>133</v>
      </c>
      <c r="G5" s="299"/>
      <c r="H5" s="300" t="s">
        <v>556</v>
      </c>
      <c r="I5" s="297"/>
      <c r="J5" s="298"/>
      <c r="K5" s="296" t="s">
        <v>557</v>
      </c>
      <c r="L5" s="297"/>
      <c r="M5" s="297"/>
      <c r="N5" s="297"/>
      <c r="O5" s="299"/>
      <c r="P5" s="300" t="s">
        <v>558</v>
      </c>
      <c r="Q5" s="297"/>
      <c r="R5" s="297"/>
      <c r="S5" s="298"/>
      <c r="T5" s="296" t="s">
        <v>34</v>
      </c>
      <c r="U5" s="297"/>
      <c r="V5" s="298"/>
      <c r="W5" s="301" t="s">
        <v>559</v>
      </c>
      <c r="X5" s="302"/>
      <c r="Y5" s="303"/>
      <c r="AA5" s="284"/>
      <c r="AB5" s="24" t="s">
        <v>149</v>
      </c>
      <c r="AC5" s="154" t="s">
        <v>522</v>
      </c>
      <c r="AD5" s="152" t="s">
        <v>523</v>
      </c>
    </row>
    <row r="6" spans="2:30" ht="15.75" customHeight="1" thickBot="1">
      <c r="U6" s="304"/>
      <c r="V6" s="304"/>
      <c r="W6" s="304"/>
      <c r="X6" s="304"/>
      <c r="Y6" s="304"/>
    </row>
    <row r="7" spans="2:30" s="10" customFormat="1" ht="22.5" customHeight="1">
      <c r="B7" s="305" t="s">
        <v>2</v>
      </c>
      <c r="C7" s="306"/>
      <c r="D7" s="309" t="s">
        <v>120</v>
      </c>
      <c r="E7" s="311" t="s">
        <v>57</v>
      </c>
      <c r="F7" s="312"/>
      <c r="G7" s="313"/>
      <c r="H7" s="314" t="s">
        <v>134</v>
      </c>
      <c r="I7" s="316" t="s">
        <v>135</v>
      </c>
      <c r="J7" s="318" t="s">
        <v>136</v>
      </c>
      <c r="K7" s="320" t="s">
        <v>58</v>
      </c>
      <c r="L7" s="316"/>
      <c r="M7" s="316"/>
      <c r="N7" s="321"/>
      <c r="O7" s="322" t="s">
        <v>59</v>
      </c>
      <c r="P7" s="316"/>
      <c r="Q7" s="316"/>
      <c r="R7" s="321"/>
      <c r="S7" s="320" t="s">
        <v>60</v>
      </c>
      <c r="T7" s="316"/>
      <c r="U7" s="316"/>
      <c r="V7" s="323"/>
      <c r="W7" s="314" t="s">
        <v>137</v>
      </c>
      <c r="X7" s="318"/>
      <c r="Y7" s="313" t="s">
        <v>138</v>
      </c>
      <c r="Z7" s="9"/>
    </row>
    <row r="8" spans="2:30" s="10" customFormat="1" ht="22.5" customHeight="1" thickBot="1">
      <c r="B8" s="307"/>
      <c r="C8" s="308"/>
      <c r="D8" s="310"/>
      <c r="E8" s="25" t="s">
        <v>18</v>
      </c>
      <c r="F8" s="341" t="s">
        <v>19</v>
      </c>
      <c r="G8" s="342"/>
      <c r="H8" s="315"/>
      <c r="I8" s="317"/>
      <c r="J8" s="319"/>
      <c r="K8" s="343" t="s">
        <v>0</v>
      </c>
      <c r="L8" s="317"/>
      <c r="M8" s="317" t="s">
        <v>62</v>
      </c>
      <c r="N8" s="344"/>
      <c r="O8" s="345" t="s">
        <v>0</v>
      </c>
      <c r="P8" s="317"/>
      <c r="Q8" s="317" t="s">
        <v>62</v>
      </c>
      <c r="R8" s="344"/>
      <c r="S8" s="343" t="s">
        <v>0</v>
      </c>
      <c r="T8" s="317"/>
      <c r="U8" s="317" t="s">
        <v>62</v>
      </c>
      <c r="V8" s="346"/>
      <c r="W8" s="315"/>
      <c r="X8" s="319"/>
      <c r="Y8" s="340"/>
      <c r="AA8" s="324" t="s">
        <v>499</v>
      </c>
      <c r="AB8" s="324"/>
      <c r="AC8" s="324"/>
      <c r="AD8" s="324"/>
    </row>
    <row r="9" spans="2:30" ht="16.5" customHeight="1" thickBot="1">
      <c r="B9" s="325" t="s">
        <v>338</v>
      </c>
      <c r="C9" s="326"/>
      <c r="D9" s="331" t="s">
        <v>21</v>
      </c>
      <c r="E9" s="38" t="s">
        <v>12</v>
      </c>
      <c r="F9" s="334" t="s">
        <v>202</v>
      </c>
      <c r="G9" s="335"/>
      <c r="H9" s="39">
        <v>4</v>
      </c>
      <c r="I9" s="40" t="s">
        <v>339</v>
      </c>
      <c r="J9" s="41">
        <v>3</v>
      </c>
      <c r="K9" s="334">
        <v>3</v>
      </c>
      <c r="L9" s="336"/>
      <c r="M9" s="337"/>
      <c r="N9" s="338"/>
      <c r="O9" s="339"/>
      <c r="P9" s="336"/>
      <c r="Q9" s="337"/>
      <c r="R9" s="338"/>
      <c r="S9" s="339"/>
      <c r="T9" s="336"/>
      <c r="U9" s="337"/>
      <c r="V9" s="335"/>
      <c r="W9" s="42">
        <f>SUM(K9:V9)</f>
        <v>3</v>
      </c>
      <c r="X9" s="353">
        <f>SUM(W9:W13)</f>
        <v>15</v>
      </c>
      <c r="Y9" s="355">
        <v>24</v>
      </c>
      <c r="AA9" s="130" t="s">
        <v>18</v>
      </c>
      <c r="AB9" s="131" t="s">
        <v>505</v>
      </c>
      <c r="AC9" s="131" t="s">
        <v>506</v>
      </c>
      <c r="AD9" s="132" t="s">
        <v>507</v>
      </c>
    </row>
    <row r="10" spans="2:30" ht="18" thickBot="1">
      <c r="B10" s="327"/>
      <c r="C10" s="328"/>
      <c r="D10" s="332"/>
      <c r="E10" s="43" t="s">
        <v>12</v>
      </c>
      <c r="F10" s="347" t="s">
        <v>203</v>
      </c>
      <c r="G10" s="352"/>
      <c r="H10" s="44">
        <v>4</v>
      </c>
      <c r="I10" s="45" t="s">
        <v>339</v>
      </c>
      <c r="J10" s="46">
        <v>3</v>
      </c>
      <c r="K10" s="347"/>
      <c r="L10" s="348"/>
      <c r="M10" s="349">
        <v>3</v>
      </c>
      <c r="N10" s="350"/>
      <c r="O10" s="351"/>
      <c r="P10" s="348"/>
      <c r="Q10" s="349"/>
      <c r="R10" s="350"/>
      <c r="S10" s="351"/>
      <c r="T10" s="348"/>
      <c r="U10" s="349"/>
      <c r="V10" s="352"/>
      <c r="W10" s="47">
        <f t="shared" ref="W10:W28" si="0">SUM(K10:V10)</f>
        <v>3</v>
      </c>
      <c r="X10" s="354"/>
      <c r="Y10" s="355"/>
      <c r="AA10" s="133" t="s">
        <v>500</v>
      </c>
      <c r="AB10" s="134">
        <v>4</v>
      </c>
      <c r="AC10" s="134">
        <v>-1</v>
      </c>
      <c r="AD10" s="22" t="s">
        <v>339</v>
      </c>
    </row>
    <row r="11" spans="2:30" ht="18" thickBot="1">
      <c r="B11" s="327"/>
      <c r="C11" s="328"/>
      <c r="D11" s="332"/>
      <c r="E11" s="48" t="s">
        <v>340</v>
      </c>
      <c r="F11" s="347" t="s">
        <v>208</v>
      </c>
      <c r="G11" s="352"/>
      <c r="H11" s="44">
        <v>4</v>
      </c>
      <c r="I11" s="45" t="s">
        <v>342</v>
      </c>
      <c r="J11" s="46">
        <v>3</v>
      </c>
      <c r="K11" s="347"/>
      <c r="L11" s="348"/>
      <c r="M11" s="349"/>
      <c r="N11" s="350"/>
      <c r="O11" s="351">
        <v>3</v>
      </c>
      <c r="P11" s="348"/>
      <c r="Q11" s="349"/>
      <c r="R11" s="350"/>
      <c r="S11" s="351"/>
      <c r="T11" s="348"/>
      <c r="U11" s="349"/>
      <c r="V11" s="352"/>
      <c r="W11" s="47">
        <f t="shared" si="0"/>
        <v>3</v>
      </c>
      <c r="X11" s="354"/>
      <c r="Y11" s="355"/>
      <c r="AA11" s="133" t="s">
        <v>501</v>
      </c>
      <c r="AB11" s="134">
        <v>3</v>
      </c>
      <c r="AC11" s="134"/>
      <c r="AD11" s="22">
        <v>3</v>
      </c>
    </row>
    <row r="12" spans="2:30" ht="18" thickBot="1">
      <c r="B12" s="327"/>
      <c r="C12" s="328"/>
      <c r="D12" s="332"/>
      <c r="E12" s="48" t="s">
        <v>347</v>
      </c>
      <c r="F12" s="347" t="s">
        <v>4</v>
      </c>
      <c r="G12" s="352"/>
      <c r="H12" s="44">
        <v>4</v>
      </c>
      <c r="I12" s="45" t="s">
        <v>342</v>
      </c>
      <c r="J12" s="46">
        <v>3</v>
      </c>
      <c r="K12" s="347"/>
      <c r="L12" s="348"/>
      <c r="M12" s="349"/>
      <c r="N12" s="350"/>
      <c r="O12" s="351"/>
      <c r="P12" s="348"/>
      <c r="Q12" s="349">
        <v>3</v>
      </c>
      <c r="R12" s="350"/>
      <c r="S12" s="351"/>
      <c r="T12" s="348"/>
      <c r="U12" s="349"/>
      <c r="V12" s="352"/>
      <c r="W12" s="47">
        <f t="shared" si="0"/>
        <v>3</v>
      </c>
      <c r="X12" s="354"/>
      <c r="Y12" s="355"/>
      <c r="AA12" s="133" t="s">
        <v>502</v>
      </c>
      <c r="AB12" s="134">
        <v>4</v>
      </c>
      <c r="AC12" s="134" t="s">
        <v>508</v>
      </c>
      <c r="AD12" s="22" t="s">
        <v>342</v>
      </c>
    </row>
    <row r="13" spans="2:30" ht="18" thickBot="1">
      <c r="B13" s="327"/>
      <c r="C13" s="328"/>
      <c r="D13" s="333"/>
      <c r="E13" s="48" t="s">
        <v>340</v>
      </c>
      <c r="F13" s="356" t="s">
        <v>341</v>
      </c>
      <c r="G13" s="357"/>
      <c r="H13" s="49">
        <v>4</v>
      </c>
      <c r="I13" s="50" t="s">
        <v>342</v>
      </c>
      <c r="J13" s="51">
        <v>3</v>
      </c>
      <c r="K13" s="358"/>
      <c r="L13" s="359"/>
      <c r="M13" s="360"/>
      <c r="N13" s="361"/>
      <c r="O13" s="362"/>
      <c r="P13" s="359"/>
      <c r="Q13" s="360"/>
      <c r="R13" s="361"/>
      <c r="S13" s="362">
        <v>3</v>
      </c>
      <c r="T13" s="359"/>
      <c r="U13" s="360"/>
      <c r="V13" s="363"/>
      <c r="W13" s="47">
        <f t="shared" si="0"/>
        <v>3</v>
      </c>
      <c r="X13" s="354"/>
      <c r="Y13" s="355"/>
      <c r="AA13" s="160" t="s">
        <v>503</v>
      </c>
      <c r="AB13" s="134">
        <v>3</v>
      </c>
      <c r="AC13" s="134" t="s">
        <v>508</v>
      </c>
      <c r="AD13" s="22" t="s">
        <v>349</v>
      </c>
    </row>
    <row r="14" spans="2:30" ht="18" thickBot="1">
      <c r="B14" s="327"/>
      <c r="C14" s="328"/>
      <c r="D14" s="331" t="s">
        <v>5</v>
      </c>
      <c r="E14" s="38" t="s">
        <v>12</v>
      </c>
      <c r="F14" s="368" t="s">
        <v>214</v>
      </c>
      <c r="G14" s="369"/>
      <c r="H14" s="39">
        <v>4</v>
      </c>
      <c r="I14" s="53" t="s">
        <v>339</v>
      </c>
      <c r="J14" s="41">
        <v>3</v>
      </c>
      <c r="K14" s="334">
        <v>3</v>
      </c>
      <c r="L14" s="336"/>
      <c r="M14" s="337"/>
      <c r="N14" s="338"/>
      <c r="O14" s="339"/>
      <c r="P14" s="336"/>
      <c r="Q14" s="337"/>
      <c r="R14" s="338"/>
      <c r="S14" s="339"/>
      <c r="T14" s="336"/>
      <c r="U14" s="337"/>
      <c r="V14" s="335"/>
      <c r="W14" s="42">
        <f t="shared" si="0"/>
        <v>3</v>
      </c>
      <c r="X14" s="353">
        <f t="shared" ref="X14" si="1">SUM(W14:W17)</f>
        <v>12</v>
      </c>
      <c r="Y14" s="355"/>
      <c r="AA14" s="135" t="s">
        <v>504</v>
      </c>
      <c r="AB14" s="364" t="s">
        <v>510</v>
      </c>
      <c r="AC14" s="364"/>
      <c r="AD14" s="365"/>
    </row>
    <row r="15" spans="2:30" ht="18" thickBot="1">
      <c r="B15" s="327"/>
      <c r="C15" s="328"/>
      <c r="D15" s="332"/>
      <c r="E15" s="43" t="s">
        <v>12</v>
      </c>
      <c r="F15" s="366" t="s">
        <v>216</v>
      </c>
      <c r="G15" s="367"/>
      <c r="H15" s="44">
        <v>4</v>
      </c>
      <c r="I15" s="159" t="s">
        <v>339</v>
      </c>
      <c r="J15" s="158">
        <v>3</v>
      </c>
      <c r="K15" s="347"/>
      <c r="L15" s="348"/>
      <c r="M15" s="349">
        <v>3</v>
      </c>
      <c r="N15" s="350"/>
      <c r="O15" s="351"/>
      <c r="P15" s="348"/>
      <c r="Q15" s="349"/>
      <c r="R15" s="350"/>
      <c r="S15" s="351"/>
      <c r="T15" s="348"/>
      <c r="U15" s="349"/>
      <c r="V15" s="352"/>
      <c r="W15" s="47">
        <f t="shared" si="0"/>
        <v>3</v>
      </c>
      <c r="X15" s="354"/>
      <c r="Y15" s="355"/>
    </row>
    <row r="16" spans="2:30" ht="18" thickBot="1">
      <c r="B16" s="327"/>
      <c r="C16" s="328"/>
      <c r="D16" s="332"/>
      <c r="E16" s="48" t="s">
        <v>347</v>
      </c>
      <c r="F16" s="366" t="s">
        <v>217</v>
      </c>
      <c r="G16" s="367"/>
      <c r="H16" s="44">
        <v>4</v>
      </c>
      <c r="I16" s="159" t="s">
        <v>339</v>
      </c>
      <c r="J16" s="46">
        <v>3</v>
      </c>
      <c r="K16" s="347"/>
      <c r="L16" s="348"/>
      <c r="M16" s="349"/>
      <c r="N16" s="350"/>
      <c r="O16" s="351">
        <v>3</v>
      </c>
      <c r="P16" s="348"/>
      <c r="Q16" s="349"/>
      <c r="R16" s="350"/>
      <c r="S16" s="351"/>
      <c r="T16" s="348"/>
      <c r="U16" s="349"/>
      <c r="V16" s="352"/>
      <c r="W16" s="47">
        <f t="shared" si="0"/>
        <v>3</v>
      </c>
      <c r="X16" s="354"/>
      <c r="Y16" s="355"/>
    </row>
    <row r="17" spans="2:29" ht="18" thickBot="1">
      <c r="B17" s="327"/>
      <c r="C17" s="328"/>
      <c r="D17" s="333"/>
      <c r="E17" s="48" t="s">
        <v>340</v>
      </c>
      <c r="F17" s="356" t="s">
        <v>343</v>
      </c>
      <c r="G17" s="357"/>
      <c r="H17" s="49">
        <v>4</v>
      </c>
      <c r="I17" s="50" t="s">
        <v>342</v>
      </c>
      <c r="J17" s="51">
        <v>3</v>
      </c>
      <c r="K17" s="358"/>
      <c r="L17" s="359"/>
      <c r="M17" s="360"/>
      <c r="N17" s="361"/>
      <c r="O17" s="362"/>
      <c r="P17" s="359"/>
      <c r="Q17" s="360">
        <v>3</v>
      </c>
      <c r="R17" s="361"/>
      <c r="S17" s="362"/>
      <c r="T17" s="359"/>
      <c r="U17" s="360"/>
      <c r="V17" s="363"/>
      <c r="W17" s="47">
        <f t="shared" si="0"/>
        <v>3</v>
      </c>
      <c r="X17" s="354"/>
      <c r="Y17" s="355"/>
    </row>
    <row r="18" spans="2:29" ht="18" thickBot="1">
      <c r="B18" s="327"/>
      <c r="C18" s="328"/>
      <c r="D18" s="331" t="s">
        <v>6</v>
      </c>
      <c r="E18" s="38" t="s">
        <v>12</v>
      </c>
      <c r="F18" s="334" t="s">
        <v>221</v>
      </c>
      <c r="G18" s="335"/>
      <c r="H18" s="39">
        <v>4</v>
      </c>
      <c r="I18" s="53" t="s">
        <v>339</v>
      </c>
      <c r="J18" s="41">
        <v>3</v>
      </c>
      <c r="K18" s="334">
        <v>3</v>
      </c>
      <c r="L18" s="336"/>
      <c r="M18" s="349"/>
      <c r="N18" s="350"/>
      <c r="O18" s="339"/>
      <c r="P18" s="336"/>
      <c r="Q18" s="337"/>
      <c r="R18" s="338"/>
      <c r="S18" s="339"/>
      <c r="T18" s="336"/>
      <c r="U18" s="337"/>
      <c r="V18" s="335"/>
      <c r="W18" s="42">
        <f t="shared" si="0"/>
        <v>3</v>
      </c>
      <c r="X18" s="353">
        <f t="shared" ref="X18" si="2">SUM(W18:W22)</f>
        <v>15</v>
      </c>
      <c r="Y18" s="355"/>
      <c r="AA18" s="370"/>
      <c r="AB18" s="370"/>
      <c r="AC18" s="148"/>
    </row>
    <row r="19" spans="2:29" ht="18" thickBot="1">
      <c r="B19" s="327"/>
      <c r="C19" s="328"/>
      <c r="D19" s="332"/>
      <c r="E19" s="43" t="s">
        <v>12</v>
      </c>
      <c r="F19" s="347" t="s">
        <v>227</v>
      </c>
      <c r="G19" s="352"/>
      <c r="H19" s="44">
        <v>4</v>
      </c>
      <c r="I19" s="45" t="s">
        <v>339</v>
      </c>
      <c r="J19" s="46">
        <v>3</v>
      </c>
      <c r="K19" s="347"/>
      <c r="L19" s="348"/>
      <c r="M19" s="349">
        <v>3</v>
      </c>
      <c r="N19" s="350"/>
      <c r="O19" s="351"/>
      <c r="P19" s="348"/>
      <c r="Q19" s="349"/>
      <c r="R19" s="350"/>
      <c r="S19" s="351"/>
      <c r="T19" s="348"/>
      <c r="U19" s="349"/>
      <c r="V19" s="352"/>
      <c r="W19" s="47">
        <f t="shared" si="0"/>
        <v>3</v>
      </c>
      <c r="X19" s="354"/>
      <c r="Y19" s="355"/>
    </row>
    <row r="20" spans="2:29" ht="18" thickBot="1">
      <c r="B20" s="327"/>
      <c r="C20" s="328"/>
      <c r="D20" s="332"/>
      <c r="E20" s="43" t="s">
        <v>347</v>
      </c>
      <c r="F20" s="371" t="s">
        <v>38</v>
      </c>
      <c r="G20" s="372"/>
      <c r="H20" s="44">
        <v>4</v>
      </c>
      <c r="I20" s="45" t="s">
        <v>342</v>
      </c>
      <c r="J20" s="156">
        <v>3</v>
      </c>
      <c r="K20" s="347"/>
      <c r="L20" s="348"/>
      <c r="M20" s="349"/>
      <c r="N20" s="350"/>
      <c r="O20" s="351">
        <v>3</v>
      </c>
      <c r="P20" s="348"/>
      <c r="Q20" s="349"/>
      <c r="R20" s="350"/>
      <c r="S20" s="351"/>
      <c r="T20" s="348"/>
      <c r="U20" s="349"/>
      <c r="V20" s="352"/>
      <c r="W20" s="47">
        <f t="shared" si="0"/>
        <v>3</v>
      </c>
      <c r="X20" s="354"/>
      <c r="Y20" s="355"/>
    </row>
    <row r="21" spans="2:29" ht="18" thickBot="1">
      <c r="B21" s="327"/>
      <c r="C21" s="328"/>
      <c r="D21" s="332"/>
      <c r="E21" s="43" t="s">
        <v>347</v>
      </c>
      <c r="F21" s="371" t="s">
        <v>40</v>
      </c>
      <c r="G21" s="372"/>
      <c r="H21" s="44">
        <v>4</v>
      </c>
      <c r="I21" s="45" t="s">
        <v>342</v>
      </c>
      <c r="J21" s="156">
        <v>3</v>
      </c>
      <c r="K21" s="347"/>
      <c r="L21" s="348"/>
      <c r="M21" s="349"/>
      <c r="N21" s="350"/>
      <c r="O21" s="351"/>
      <c r="P21" s="348"/>
      <c r="Q21" s="349">
        <v>3</v>
      </c>
      <c r="R21" s="350"/>
      <c r="S21" s="351"/>
      <c r="T21" s="348"/>
      <c r="U21" s="349"/>
      <c r="V21" s="352"/>
      <c r="W21" s="47">
        <f t="shared" si="0"/>
        <v>3</v>
      </c>
      <c r="X21" s="354"/>
      <c r="Y21" s="355"/>
    </row>
    <row r="22" spans="2:29" ht="18" thickBot="1">
      <c r="B22" s="327"/>
      <c r="C22" s="328"/>
      <c r="D22" s="333"/>
      <c r="E22" s="52" t="s">
        <v>340</v>
      </c>
      <c r="F22" s="358" t="s">
        <v>344</v>
      </c>
      <c r="G22" s="363"/>
      <c r="H22" s="49">
        <v>4</v>
      </c>
      <c r="I22" s="50" t="s">
        <v>342</v>
      </c>
      <c r="J22" s="51">
        <v>3</v>
      </c>
      <c r="K22" s="358"/>
      <c r="L22" s="359"/>
      <c r="M22" s="360"/>
      <c r="N22" s="361"/>
      <c r="O22" s="362"/>
      <c r="P22" s="359"/>
      <c r="Q22" s="360"/>
      <c r="R22" s="361"/>
      <c r="S22" s="362">
        <v>3</v>
      </c>
      <c r="T22" s="359"/>
      <c r="U22" s="360"/>
      <c r="V22" s="363"/>
      <c r="W22" s="47">
        <f t="shared" si="0"/>
        <v>3</v>
      </c>
      <c r="X22" s="354"/>
      <c r="Y22" s="355"/>
    </row>
    <row r="23" spans="2:29" ht="18" thickBot="1">
      <c r="B23" s="327"/>
      <c r="C23" s="328"/>
      <c r="D23" s="331" t="s">
        <v>345</v>
      </c>
      <c r="E23" s="38" t="s">
        <v>12</v>
      </c>
      <c r="F23" s="334" t="s">
        <v>235</v>
      </c>
      <c r="G23" s="335"/>
      <c r="H23" s="39">
        <v>3</v>
      </c>
      <c r="I23" s="53">
        <v>3</v>
      </c>
      <c r="J23" s="41">
        <v>3</v>
      </c>
      <c r="K23" s="373">
        <v>3</v>
      </c>
      <c r="L23" s="374"/>
      <c r="M23" s="375"/>
      <c r="N23" s="376"/>
      <c r="O23" s="377"/>
      <c r="P23" s="374"/>
      <c r="Q23" s="375"/>
      <c r="R23" s="376"/>
      <c r="S23" s="377"/>
      <c r="T23" s="374"/>
      <c r="U23" s="375"/>
      <c r="V23" s="378"/>
      <c r="W23" s="42">
        <f t="shared" si="0"/>
        <v>3</v>
      </c>
      <c r="X23" s="353">
        <f>SUM(W23:W24)</f>
        <v>6</v>
      </c>
      <c r="Y23" s="355">
        <v>6</v>
      </c>
    </row>
    <row r="24" spans="2:29" ht="18" thickBot="1">
      <c r="B24" s="327"/>
      <c r="C24" s="328"/>
      <c r="D24" s="332"/>
      <c r="E24" s="54" t="s">
        <v>12</v>
      </c>
      <c r="F24" s="380" t="s">
        <v>236</v>
      </c>
      <c r="G24" s="381"/>
      <c r="H24" s="55">
        <v>3</v>
      </c>
      <c r="I24" s="56">
        <v>3</v>
      </c>
      <c r="J24" s="149">
        <v>3</v>
      </c>
      <c r="K24" s="358"/>
      <c r="L24" s="359"/>
      <c r="M24" s="360">
        <v>3</v>
      </c>
      <c r="N24" s="361"/>
      <c r="O24" s="362"/>
      <c r="P24" s="359"/>
      <c r="Q24" s="360"/>
      <c r="R24" s="361"/>
      <c r="S24" s="362"/>
      <c r="T24" s="359"/>
      <c r="U24" s="360"/>
      <c r="V24" s="363"/>
      <c r="W24" s="57">
        <f t="shared" si="0"/>
        <v>3</v>
      </c>
      <c r="X24" s="379"/>
      <c r="Y24" s="355"/>
      <c r="AA24" s="370"/>
      <c r="AB24" s="370"/>
      <c r="AC24" s="148"/>
    </row>
    <row r="25" spans="2:29" ht="18" thickBot="1">
      <c r="B25" s="327"/>
      <c r="C25" s="328"/>
      <c r="D25" s="332"/>
      <c r="E25" s="38" t="s">
        <v>12</v>
      </c>
      <c r="F25" s="334" t="s">
        <v>238</v>
      </c>
      <c r="G25" s="335"/>
      <c r="H25" s="39">
        <v>4</v>
      </c>
      <c r="I25" s="53" t="s">
        <v>339</v>
      </c>
      <c r="J25" s="41">
        <v>3</v>
      </c>
      <c r="K25" s="334"/>
      <c r="L25" s="336"/>
      <c r="M25" s="337"/>
      <c r="N25" s="338"/>
      <c r="O25" s="339">
        <v>3</v>
      </c>
      <c r="P25" s="336"/>
      <c r="Q25" s="337"/>
      <c r="R25" s="338"/>
      <c r="S25" s="339"/>
      <c r="T25" s="336"/>
      <c r="U25" s="337"/>
      <c r="V25" s="335"/>
      <c r="W25" s="42">
        <f t="shared" si="0"/>
        <v>3</v>
      </c>
      <c r="X25" s="353">
        <f>SUM(W25:W26)</f>
        <v>6</v>
      </c>
      <c r="Y25" s="355">
        <v>12</v>
      </c>
    </row>
    <row r="26" spans="2:29" ht="18" thickBot="1">
      <c r="B26" s="327"/>
      <c r="C26" s="328"/>
      <c r="D26" s="333"/>
      <c r="E26" s="52" t="s">
        <v>12</v>
      </c>
      <c r="F26" s="358" t="s">
        <v>239</v>
      </c>
      <c r="G26" s="363"/>
      <c r="H26" s="49">
        <v>4</v>
      </c>
      <c r="I26" s="50" t="s">
        <v>339</v>
      </c>
      <c r="J26" s="51">
        <v>3</v>
      </c>
      <c r="K26" s="358"/>
      <c r="L26" s="359"/>
      <c r="M26" s="360"/>
      <c r="N26" s="361"/>
      <c r="O26" s="362"/>
      <c r="P26" s="359"/>
      <c r="Q26" s="360">
        <v>3</v>
      </c>
      <c r="R26" s="361"/>
      <c r="S26" s="362"/>
      <c r="T26" s="359"/>
      <c r="U26" s="360"/>
      <c r="V26" s="363"/>
      <c r="W26" s="57">
        <f t="shared" si="0"/>
        <v>3</v>
      </c>
      <c r="X26" s="379"/>
      <c r="Y26" s="355"/>
    </row>
    <row r="27" spans="2:29" ht="18" thickBot="1">
      <c r="B27" s="327"/>
      <c r="C27" s="328"/>
      <c r="D27" s="331" t="s">
        <v>26</v>
      </c>
      <c r="E27" s="38" t="s">
        <v>12</v>
      </c>
      <c r="F27" s="334" t="s">
        <v>256</v>
      </c>
      <c r="G27" s="335"/>
      <c r="H27" s="39">
        <v>4</v>
      </c>
      <c r="I27" s="53" t="s">
        <v>339</v>
      </c>
      <c r="J27" s="41">
        <v>3</v>
      </c>
      <c r="K27" s="334">
        <v>3</v>
      </c>
      <c r="L27" s="336"/>
      <c r="M27" s="337"/>
      <c r="N27" s="338"/>
      <c r="O27" s="339"/>
      <c r="P27" s="336"/>
      <c r="Q27" s="337"/>
      <c r="R27" s="338"/>
      <c r="S27" s="339"/>
      <c r="T27" s="336"/>
      <c r="U27" s="337"/>
      <c r="V27" s="335"/>
      <c r="W27" s="42">
        <f t="shared" si="0"/>
        <v>3</v>
      </c>
      <c r="X27" s="326">
        <f>SUM(W27:W28)</f>
        <v>6</v>
      </c>
      <c r="Y27" s="355"/>
    </row>
    <row r="28" spans="2:29" ht="18" thickBot="1">
      <c r="B28" s="327"/>
      <c r="C28" s="328"/>
      <c r="D28" s="332"/>
      <c r="E28" s="43" t="s">
        <v>12</v>
      </c>
      <c r="F28" s="347" t="s">
        <v>257</v>
      </c>
      <c r="G28" s="352"/>
      <c r="H28" s="44">
        <v>4</v>
      </c>
      <c r="I28" s="45" t="s">
        <v>339</v>
      </c>
      <c r="J28" s="46">
        <v>3</v>
      </c>
      <c r="K28" s="347"/>
      <c r="L28" s="348"/>
      <c r="M28" s="349">
        <v>3</v>
      </c>
      <c r="N28" s="350"/>
      <c r="O28" s="351"/>
      <c r="P28" s="348"/>
      <c r="Q28" s="349"/>
      <c r="R28" s="350"/>
      <c r="S28" s="351"/>
      <c r="T28" s="348"/>
      <c r="U28" s="349"/>
      <c r="V28" s="352"/>
      <c r="W28" s="47">
        <f t="shared" si="0"/>
        <v>3</v>
      </c>
      <c r="X28" s="328"/>
      <c r="Y28" s="355"/>
    </row>
    <row r="29" spans="2:29" ht="16.5" customHeight="1" thickBot="1">
      <c r="B29" s="327"/>
      <c r="C29" s="328"/>
      <c r="D29" s="331" t="s">
        <v>8</v>
      </c>
      <c r="E29" s="38" t="s">
        <v>347</v>
      </c>
      <c r="F29" s="334" t="s">
        <v>348</v>
      </c>
      <c r="G29" s="335"/>
      <c r="H29" s="39">
        <v>3</v>
      </c>
      <c r="I29" s="53" t="s">
        <v>349</v>
      </c>
      <c r="J29" s="41">
        <f t="shared" ref="J29:J30" si="3">SUM(K29:V29)</f>
        <v>2</v>
      </c>
      <c r="K29" s="334">
        <v>2</v>
      </c>
      <c r="L29" s="336"/>
      <c r="M29" s="337"/>
      <c r="N29" s="338"/>
      <c r="O29" s="339"/>
      <c r="P29" s="336"/>
      <c r="Q29" s="337"/>
      <c r="R29" s="338"/>
      <c r="S29" s="339"/>
      <c r="T29" s="336"/>
      <c r="U29" s="337"/>
      <c r="V29" s="335"/>
      <c r="W29" s="42">
        <f>SUM(K29:V29)</f>
        <v>2</v>
      </c>
      <c r="X29" s="382">
        <f>SUM(W29:W32)</f>
        <v>8</v>
      </c>
      <c r="Y29" s="355">
        <v>8</v>
      </c>
    </row>
    <row r="30" spans="2:29" ht="18" thickBot="1">
      <c r="B30" s="327"/>
      <c r="C30" s="328"/>
      <c r="D30" s="332"/>
      <c r="E30" s="43" t="s">
        <v>347</v>
      </c>
      <c r="F30" s="347" t="s">
        <v>350</v>
      </c>
      <c r="G30" s="352"/>
      <c r="H30" s="44">
        <v>3</v>
      </c>
      <c r="I30" s="45" t="s">
        <v>349</v>
      </c>
      <c r="J30" s="46">
        <f t="shared" si="3"/>
        <v>2</v>
      </c>
      <c r="K30" s="347"/>
      <c r="L30" s="348"/>
      <c r="M30" s="349">
        <v>2</v>
      </c>
      <c r="N30" s="350"/>
      <c r="O30" s="351"/>
      <c r="P30" s="348"/>
      <c r="Q30" s="349"/>
      <c r="R30" s="350"/>
      <c r="S30" s="351"/>
      <c r="T30" s="348"/>
      <c r="U30" s="349"/>
      <c r="V30" s="352"/>
      <c r="W30" s="47">
        <f t="shared" ref="W30:W38" si="4">SUM(K30:V30)</f>
        <v>2</v>
      </c>
      <c r="X30" s="383"/>
      <c r="Y30" s="355"/>
    </row>
    <row r="31" spans="2:29" ht="18" thickBot="1">
      <c r="B31" s="327"/>
      <c r="C31" s="328"/>
      <c r="D31" s="332"/>
      <c r="E31" s="43" t="s">
        <v>340</v>
      </c>
      <c r="F31" s="371" t="s">
        <v>527</v>
      </c>
      <c r="G31" s="372"/>
      <c r="H31" s="44">
        <v>3</v>
      </c>
      <c r="I31" s="45" t="s">
        <v>349</v>
      </c>
      <c r="J31" s="46">
        <v>2</v>
      </c>
      <c r="K31" s="347"/>
      <c r="L31" s="348"/>
      <c r="M31" s="349"/>
      <c r="N31" s="350"/>
      <c r="O31" s="351">
        <v>2</v>
      </c>
      <c r="P31" s="348"/>
      <c r="Q31" s="349"/>
      <c r="R31" s="350"/>
      <c r="S31" s="351"/>
      <c r="T31" s="348"/>
      <c r="U31" s="349"/>
      <c r="V31" s="352"/>
      <c r="W31" s="47">
        <f t="shared" si="4"/>
        <v>2</v>
      </c>
      <c r="X31" s="383"/>
      <c r="Y31" s="355"/>
    </row>
    <row r="32" spans="2:29" ht="18" thickBot="1">
      <c r="B32" s="327"/>
      <c r="C32" s="328"/>
      <c r="D32" s="332"/>
      <c r="E32" s="43" t="s">
        <v>346</v>
      </c>
      <c r="F32" s="371" t="s">
        <v>351</v>
      </c>
      <c r="G32" s="372"/>
      <c r="H32" s="49">
        <v>3</v>
      </c>
      <c r="I32" s="50" t="s">
        <v>349</v>
      </c>
      <c r="J32" s="46">
        <v>2</v>
      </c>
      <c r="K32" s="347"/>
      <c r="L32" s="348"/>
      <c r="M32" s="349"/>
      <c r="N32" s="350"/>
      <c r="O32" s="351"/>
      <c r="P32" s="348"/>
      <c r="Q32" s="349">
        <v>2</v>
      </c>
      <c r="R32" s="350"/>
      <c r="S32" s="351"/>
      <c r="T32" s="348"/>
      <c r="U32" s="360"/>
      <c r="V32" s="363"/>
      <c r="W32" s="57">
        <f t="shared" si="4"/>
        <v>2</v>
      </c>
      <c r="X32" s="384"/>
      <c r="Y32" s="355"/>
    </row>
    <row r="33" spans="2:28" ht="18" thickBot="1">
      <c r="B33" s="327"/>
      <c r="C33" s="328"/>
      <c r="D33" s="331" t="s">
        <v>28</v>
      </c>
      <c r="E33" s="38" t="s">
        <v>347</v>
      </c>
      <c r="F33" s="161" t="s">
        <v>47</v>
      </c>
      <c r="G33" s="385" t="s">
        <v>528</v>
      </c>
      <c r="H33" s="155">
        <v>3</v>
      </c>
      <c r="I33" s="58" t="s">
        <v>349</v>
      </c>
      <c r="J33" s="41">
        <v>3</v>
      </c>
      <c r="K33" s="334">
        <v>3</v>
      </c>
      <c r="L33" s="336"/>
      <c r="M33" s="337"/>
      <c r="N33" s="338"/>
      <c r="O33" s="339"/>
      <c r="P33" s="336"/>
      <c r="Q33" s="337"/>
      <c r="R33" s="338"/>
      <c r="S33" s="339"/>
      <c r="T33" s="336"/>
      <c r="U33" s="387"/>
      <c r="V33" s="388"/>
      <c r="W33" s="157">
        <f t="shared" si="4"/>
        <v>3</v>
      </c>
      <c r="X33" s="383">
        <f>SUM(W33:W34)</f>
        <v>6</v>
      </c>
      <c r="Y33" s="355">
        <v>6</v>
      </c>
    </row>
    <row r="34" spans="2:28" ht="18" thickBot="1">
      <c r="B34" s="327"/>
      <c r="C34" s="328"/>
      <c r="D34" s="332"/>
      <c r="E34" s="48" t="s">
        <v>347</v>
      </c>
      <c r="F34" s="162" t="s">
        <v>9</v>
      </c>
      <c r="G34" s="386"/>
      <c r="H34" s="44">
        <v>3</v>
      </c>
      <c r="I34" s="45" t="s">
        <v>349</v>
      </c>
      <c r="J34" s="46">
        <v>3</v>
      </c>
      <c r="K34" s="347"/>
      <c r="L34" s="348"/>
      <c r="M34" s="349">
        <v>3</v>
      </c>
      <c r="N34" s="350"/>
      <c r="O34" s="351"/>
      <c r="P34" s="348"/>
      <c r="Q34" s="349"/>
      <c r="R34" s="350"/>
      <c r="S34" s="351"/>
      <c r="T34" s="348"/>
      <c r="U34" s="389"/>
      <c r="V34" s="381"/>
      <c r="W34" s="57">
        <f t="shared" si="4"/>
        <v>3</v>
      </c>
      <c r="X34" s="384"/>
      <c r="Y34" s="355"/>
    </row>
    <row r="35" spans="2:28" ht="16.2" customHeight="1" thickBot="1">
      <c r="B35" s="327"/>
      <c r="C35" s="328"/>
      <c r="D35" s="404" t="s">
        <v>353</v>
      </c>
      <c r="E35" s="38" t="s">
        <v>524</v>
      </c>
      <c r="F35" s="391" t="s">
        <v>301</v>
      </c>
      <c r="G35" s="392"/>
      <c r="H35" s="39">
        <v>4</v>
      </c>
      <c r="I35" s="53" t="s">
        <v>342</v>
      </c>
      <c r="J35" s="41">
        <v>3</v>
      </c>
      <c r="K35" s="334" t="s">
        <v>529</v>
      </c>
      <c r="L35" s="336"/>
      <c r="M35" s="337"/>
      <c r="N35" s="338"/>
      <c r="O35" s="339">
        <v>3</v>
      </c>
      <c r="P35" s="336"/>
      <c r="Q35" s="337"/>
      <c r="R35" s="338"/>
      <c r="S35" s="339"/>
      <c r="T35" s="336"/>
      <c r="U35" s="387"/>
      <c r="V35" s="388"/>
      <c r="W35" s="157">
        <f t="shared" si="4"/>
        <v>3</v>
      </c>
      <c r="X35" s="382">
        <f>SUM(W35:W38)</f>
        <v>10</v>
      </c>
      <c r="Y35" s="355">
        <v>8</v>
      </c>
    </row>
    <row r="36" spans="2:28" ht="16.2" customHeight="1" thickBot="1">
      <c r="B36" s="327"/>
      <c r="C36" s="328"/>
      <c r="D36" s="405"/>
      <c r="E36" s="43" t="s">
        <v>340</v>
      </c>
      <c r="F36" s="371" t="s">
        <v>309</v>
      </c>
      <c r="G36" s="390"/>
      <c r="H36" s="155">
        <v>4</v>
      </c>
      <c r="I36" s="159" t="s">
        <v>342</v>
      </c>
      <c r="J36" s="156">
        <v>3</v>
      </c>
      <c r="K36" s="347"/>
      <c r="L36" s="348"/>
      <c r="M36" s="349"/>
      <c r="N36" s="350"/>
      <c r="O36" s="351"/>
      <c r="P36" s="348"/>
      <c r="Q36" s="349">
        <v>3</v>
      </c>
      <c r="R36" s="350"/>
      <c r="S36" s="351"/>
      <c r="T36" s="348"/>
      <c r="U36" s="349"/>
      <c r="V36" s="352"/>
      <c r="W36" s="47">
        <f t="shared" si="4"/>
        <v>3</v>
      </c>
      <c r="X36" s="383"/>
      <c r="Y36" s="355"/>
    </row>
    <row r="37" spans="2:28" ht="16.5" customHeight="1" thickBot="1">
      <c r="B37" s="327"/>
      <c r="C37" s="328"/>
      <c r="D37" s="405"/>
      <c r="E37" s="43" t="s">
        <v>340</v>
      </c>
      <c r="F37" s="163" t="s">
        <v>530</v>
      </c>
      <c r="G37" s="393" t="s">
        <v>528</v>
      </c>
      <c r="H37" s="44">
        <v>3</v>
      </c>
      <c r="I37" s="45" t="s">
        <v>349</v>
      </c>
      <c r="J37" s="46">
        <v>2</v>
      </c>
      <c r="K37" s="347">
        <v>2</v>
      </c>
      <c r="L37" s="348"/>
      <c r="M37" s="349"/>
      <c r="N37" s="350"/>
      <c r="O37" s="351" t="s">
        <v>529</v>
      </c>
      <c r="P37" s="348"/>
      <c r="Q37" s="349"/>
      <c r="R37" s="350"/>
      <c r="S37" s="351"/>
      <c r="T37" s="348"/>
      <c r="U37" s="349"/>
      <c r="V37" s="352"/>
      <c r="W37" s="47">
        <f t="shared" si="4"/>
        <v>2</v>
      </c>
      <c r="X37" s="383"/>
      <c r="Y37" s="355"/>
    </row>
    <row r="38" spans="2:28" ht="18" thickBot="1">
      <c r="B38" s="329"/>
      <c r="C38" s="330"/>
      <c r="D38" s="405"/>
      <c r="E38" s="48" t="s">
        <v>347</v>
      </c>
      <c r="F38" s="181" t="s">
        <v>50</v>
      </c>
      <c r="G38" s="386"/>
      <c r="H38" s="49">
        <v>3</v>
      </c>
      <c r="I38" s="50" t="s">
        <v>349</v>
      </c>
      <c r="J38" s="51">
        <v>2</v>
      </c>
      <c r="K38" s="358" t="s">
        <v>529</v>
      </c>
      <c r="L38" s="359"/>
      <c r="M38" s="360">
        <v>2</v>
      </c>
      <c r="N38" s="361"/>
      <c r="O38" s="351"/>
      <c r="P38" s="348"/>
      <c r="Q38" s="349" t="s">
        <v>529</v>
      </c>
      <c r="R38" s="350"/>
      <c r="S38" s="351"/>
      <c r="T38" s="348"/>
      <c r="U38" s="349"/>
      <c r="V38" s="352"/>
      <c r="W38" s="47">
        <f t="shared" si="4"/>
        <v>2</v>
      </c>
      <c r="X38" s="384"/>
      <c r="Y38" s="355"/>
    </row>
    <row r="39" spans="2:28" ht="24.75" customHeight="1" thickBot="1">
      <c r="B39" s="394" t="s">
        <v>361</v>
      </c>
      <c r="C39" s="395"/>
      <c r="D39" s="395"/>
      <c r="E39" s="395"/>
      <c r="F39" s="395"/>
      <c r="G39" s="396"/>
      <c r="H39" s="147">
        <f>SUM(H9:H38)</f>
        <v>110</v>
      </c>
      <c r="I39" s="18"/>
      <c r="J39" s="146">
        <f>SUM(J9:J38)</f>
        <v>84</v>
      </c>
      <c r="K39" s="397">
        <f>SUM(K9:L38)</f>
        <v>22</v>
      </c>
      <c r="L39" s="398"/>
      <c r="M39" s="398">
        <f>SUM(M9:N38)</f>
        <v>22</v>
      </c>
      <c r="N39" s="399"/>
      <c r="O39" s="400">
        <f>SUM(O9:P38)</f>
        <v>17</v>
      </c>
      <c r="P39" s="398"/>
      <c r="Q39" s="398">
        <f>SUM(Q9:R38)</f>
        <v>17</v>
      </c>
      <c r="R39" s="401"/>
      <c r="S39" s="402">
        <f>SUM(S9:T38)</f>
        <v>6</v>
      </c>
      <c r="T39" s="398"/>
      <c r="U39" s="398">
        <f>SUM(U9:V38)</f>
        <v>0</v>
      </c>
      <c r="V39" s="403"/>
      <c r="W39" s="394">
        <f>SUM(K39:V39)</f>
        <v>84</v>
      </c>
      <c r="X39" s="402"/>
      <c r="Y39" s="146">
        <f>SUM(Y9:Y38)</f>
        <v>64</v>
      </c>
      <c r="AA39" s="406" t="b">
        <f>W39&gt;=Y39</f>
        <v>1</v>
      </c>
      <c r="AB39" s="407"/>
    </row>
    <row r="40" spans="2:28" ht="17.25" customHeight="1">
      <c r="B40" s="408" t="s">
        <v>354</v>
      </c>
      <c r="C40" s="409"/>
      <c r="D40" s="412" t="s">
        <v>355</v>
      </c>
      <c r="E40" s="413"/>
      <c r="F40" s="416" t="s">
        <v>531</v>
      </c>
      <c r="G40" s="417"/>
      <c r="H40" s="166"/>
      <c r="I40" s="178"/>
      <c r="J40" s="179">
        <v>2</v>
      </c>
      <c r="K40" s="418"/>
      <c r="L40" s="419"/>
      <c r="M40" s="420">
        <v>2</v>
      </c>
      <c r="N40" s="421"/>
      <c r="O40" s="418"/>
      <c r="P40" s="419"/>
      <c r="Q40" s="420"/>
      <c r="R40" s="421"/>
      <c r="S40" s="418"/>
      <c r="T40" s="419"/>
      <c r="U40" s="420" t="s">
        <v>529</v>
      </c>
      <c r="V40" s="422"/>
      <c r="W40" s="423">
        <f>SUM(K40:V40)</f>
        <v>2</v>
      </c>
      <c r="X40" s="424"/>
      <c r="Y40" s="425">
        <v>80</v>
      </c>
    </row>
    <row r="41" spans="2:28" ht="17.25" customHeight="1" thickBot="1">
      <c r="B41" s="410"/>
      <c r="C41" s="411"/>
      <c r="D41" s="414"/>
      <c r="E41" s="415"/>
      <c r="F41" s="428" t="s">
        <v>532</v>
      </c>
      <c r="G41" s="429"/>
      <c r="H41" s="169"/>
      <c r="I41" s="183"/>
      <c r="J41" s="171">
        <v>2</v>
      </c>
      <c r="K41" s="430"/>
      <c r="L41" s="431"/>
      <c r="M41" s="432"/>
      <c r="N41" s="433"/>
      <c r="O41" s="430"/>
      <c r="P41" s="431"/>
      <c r="Q41" s="432"/>
      <c r="R41" s="433"/>
      <c r="S41" s="430">
        <v>2</v>
      </c>
      <c r="T41" s="431"/>
      <c r="U41" s="432"/>
      <c r="V41" s="434"/>
      <c r="W41" s="435">
        <f>SUM(K41:V41)</f>
        <v>2</v>
      </c>
      <c r="X41" s="436"/>
      <c r="Y41" s="426"/>
    </row>
    <row r="42" spans="2:28" ht="17.25" customHeight="1">
      <c r="B42" s="410"/>
      <c r="C42" s="411"/>
      <c r="D42" s="62" t="s">
        <v>66</v>
      </c>
      <c r="E42" s="65" t="s">
        <v>356</v>
      </c>
      <c r="F42" s="437" t="s">
        <v>533</v>
      </c>
      <c r="G42" s="438"/>
      <c r="H42" s="33"/>
      <c r="I42" s="32"/>
      <c r="J42" s="174">
        <v>5</v>
      </c>
      <c r="K42" s="439">
        <v>5</v>
      </c>
      <c r="L42" s="440"/>
      <c r="M42" s="441"/>
      <c r="N42" s="442"/>
      <c r="O42" s="443"/>
      <c r="P42" s="440"/>
      <c r="Q42" s="441"/>
      <c r="R42" s="444"/>
      <c r="S42" s="442"/>
      <c r="T42" s="440"/>
      <c r="U42" s="441"/>
      <c r="V42" s="445"/>
      <c r="W42" s="446">
        <f t="shared" ref="W42:W55" si="5">SUM(K42:V42)</f>
        <v>5</v>
      </c>
      <c r="X42" s="447"/>
      <c r="Y42" s="427"/>
    </row>
    <row r="43" spans="2:28" ht="17.25" customHeight="1">
      <c r="B43" s="410"/>
      <c r="C43" s="411"/>
      <c r="D43" s="59" t="s">
        <v>66</v>
      </c>
      <c r="E43" s="60" t="s">
        <v>356</v>
      </c>
      <c r="F43" s="451" t="s">
        <v>534</v>
      </c>
      <c r="G43" s="452"/>
      <c r="H43" s="33"/>
      <c r="I43" s="32"/>
      <c r="J43" s="174">
        <v>2</v>
      </c>
      <c r="K43" s="371">
        <v>2</v>
      </c>
      <c r="L43" s="453"/>
      <c r="M43" s="448"/>
      <c r="N43" s="454"/>
      <c r="O43" s="455"/>
      <c r="P43" s="453"/>
      <c r="Q43" s="448"/>
      <c r="R43" s="454"/>
      <c r="S43" s="455"/>
      <c r="T43" s="453"/>
      <c r="U43" s="448"/>
      <c r="V43" s="372"/>
      <c r="W43" s="449">
        <f t="shared" si="5"/>
        <v>2</v>
      </c>
      <c r="X43" s="450"/>
      <c r="Y43" s="427"/>
    </row>
    <row r="44" spans="2:28" ht="17.25" customHeight="1">
      <c r="B44" s="410"/>
      <c r="C44" s="411"/>
      <c r="D44" s="59" t="s">
        <v>66</v>
      </c>
      <c r="E44" s="60" t="s">
        <v>356</v>
      </c>
      <c r="F44" s="451" t="s">
        <v>535</v>
      </c>
      <c r="G44" s="452"/>
      <c r="H44" s="33"/>
      <c r="I44" s="32"/>
      <c r="J44" s="174">
        <v>5</v>
      </c>
      <c r="K44" s="371"/>
      <c r="L44" s="453"/>
      <c r="M44" s="448">
        <v>5</v>
      </c>
      <c r="N44" s="454"/>
      <c r="O44" s="455"/>
      <c r="P44" s="453"/>
      <c r="Q44" s="448"/>
      <c r="R44" s="454"/>
      <c r="S44" s="455"/>
      <c r="T44" s="453"/>
      <c r="U44" s="448"/>
      <c r="V44" s="372"/>
      <c r="W44" s="449">
        <f t="shared" si="5"/>
        <v>5</v>
      </c>
      <c r="X44" s="450"/>
      <c r="Y44" s="427"/>
    </row>
    <row r="45" spans="2:28" ht="17.25" customHeight="1">
      <c r="B45" s="410"/>
      <c r="C45" s="411"/>
      <c r="D45" s="59" t="s">
        <v>72</v>
      </c>
      <c r="E45" s="60" t="s">
        <v>356</v>
      </c>
      <c r="F45" s="566" t="s">
        <v>560</v>
      </c>
      <c r="G45" s="567"/>
      <c r="H45" s="33"/>
      <c r="I45" s="140"/>
      <c r="J45" s="174">
        <f t="shared" ref="J45:J47" si="6">SUM(K45:V45)</f>
        <v>9</v>
      </c>
      <c r="K45" s="460"/>
      <c r="L45" s="461"/>
      <c r="M45" s="456"/>
      <c r="N45" s="464"/>
      <c r="O45" s="568">
        <v>9</v>
      </c>
      <c r="P45" s="569"/>
      <c r="Q45" s="565"/>
      <c r="R45" s="572"/>
      <c r="S45" s="464"/>
      <c r="T45" s="461"/>
      <c r="U45" s="456"/>
      <c r="V45" s="457"/>
      <c r="W45" s="449">
        <f t="shared" ref="W45:W47" si="7">SUM(K45:V45)</f>
        <v>9</v>
      </c>
      <c r="X45" s="450"/>
      <c r="Y45" s="427"/>
    </row>
    <row r="46" spans="2:28" ht="17.25" customHeight="1">
      <c r="B46" s="410"/>
      <c r="C46" s="411"/>
      <c r="D46" s="59" t="s">
        <v>72</v>
      </c>
      <c r="E46" s="60" t="s">
        <v>356</v>
      </c>
      <c r="F46" s="566" t="s">
        <v>561</v>
      </c>
      <c r="G46" s="567"/>
      <c r="H46" s="33"/>
      <c r="I46" s="140"/>
      <c r="J46" s="174">
        <f t="shared" si="6"/>
        <v>5</v>
      </c>
      <c r="K46" s="460"/>
      <c r="L46" s="461"/>
      <c r="M46" s="456"/>
      <c r="N46" s="462"/>
      <c r="O46" s="568"/>
      <c r="P46" s="569"/>
      <c r="Q46" s="565">
        <v>5</v>
      </c>
      <c r="R46" s="572"/>
      <c r="S46" s="463"/>
      <c r="T46" s="461"/>
      <c r="U46" s="456"/>
      <c r="V46" s="457"/>
      <c r="W46" s="449">
        <f t="shared" si="7"/>
        <v>5</v>
      </c>
      <c r="X46" s="450"/>
      <c r="Y46" s="427"/>
    </row>
    <row r="47" spans="2:28" ht="17.25" customHeight="1">
      <c r="B47" s="410"/>
      <c r="C47" s="411"/>
      <c r="D47" s="59" t="s">
        <v>72</v>
      </c>
      <c r="E47" s="60" t="s">
        <v>356</v>
      </c>
      <c r="F47" s="566" t="s">
        <v>562</v>
      </c>
      <c r="G47" s="567"/>
      <c r="H47" s="172"/>
      <c r="I47" s="182"/>
      <c r="J47" s="174">
        <f t="shared" si="6"/>
        <v>4</v>
      </c>
      <c r="K47" s="371"/>
      <c r="L47" s="453"/>
      <c r="M47" s="448"/>
      <c r="N47" s="454"/>
      <c r="O47" s="568"/>
      <c r="P47" s="569"/>
      <c r="Q47" s="565">
        <v>4</v>
      </c>
      <c r="R47" s="572"/>
      <c r="S47" s="455"/>
      <c r="T47" s="453"/>
      <c r="U47" s="448"/>
      <c r="V47" s="372"/>
      <c r="W47" s="449">
        <f t="shared" si="7"/>
        <v>4</v>
      </c>
      <c r="X47" s="450"/>
      <c r="Y47" s="427"/>
    </row>
    <row r="48" spans="2:28" ht="17.25" customHeight="1">
      <c r="B48" s="410"/>
      <c r="C48" s="411"/>
      <c r="D48" s="59" t="s">
        <v>66</v>
      </c>
      <c r="E48" s="60" t="s">
        <v>357</v>
      </c>
      <c r="F48" s="458" t="s">
        <v>539</v>
      </c>
      <c r="G48" s="459"/>
      <c r="H48" s="33"/>
      <c r="I48" s="32"/>
      <c r="J48" s="174">
        <v>6</v>
      </c>
      <c r="K48" s="460"/>
      <c r="L48" s="461"/>
      <c r="M48" s="456"/>
      <c r="N48" s="462"/>
      <c r="O48" s="455">
        <v>3</v>
      </c>
      <c r="P48" s="453"/>
      <c r="Q48" s="448">
        <v>3</v>
      </c>
      <c r="R48" s="454"/>
      <c r="S48" s="463"/>
      <c r="T48" s="461"/>
      <c r="U48" s="456"/>
      <c r="V48" s="457"/>
      <c r="W48" s="449">
        <f t="shared" si="5"/>
        <v>6</v>
      </c>
      <c r="X48" s="450"/>
      <c r="Y48" s="427"/>
    </row>
    <row r="49" spans="2:29" ht="17.25" customHeight="1">
      <c r="B49" s="410"/>
      <c r="C49" s="411"/>
      <c r="D49" s="184" t="s">
        <v>66</v>
      </c>
      <c r="E49" s="185" t="s">
        <v>356</v>
      </c>
      <c r="F49" s="467" t="s">
        <v>541</v>
      </c>
      <c r="G49" s="468"/>
      <c r="H49" s="172"/>
      <c r="I49" s="173"/>
      <c r="J49" s="174">
        <v>2</v>
      </c>
      <c r="K49" s="371"/>
      <c r="L49" s="453"/>
      <c r="M49" s="448"/>
      <c r="N49" s="454"/>
      <c r="O49" s="455"/>
      <c r="P49" s="453"/>
      <c r="Q49" s="448"/>
      <c r="R49" s="454"/>
      <c r="S49" s="455"/>
      <c r="T49" s="453"/>
      <c r="U49" s="448">
        <v>2</v>
      </c>
      <c r="V49" s="372"/>
      <c r="W49" s="449">
        <f t="shared" si="5"/>
        <v>2</v>
      </c>
      <c r="X49" s="450"/>
      <c r="Y49" s="427"/>
    </row>
    <row r="50" spans="2:29" ht="17.25" customHeight="1">
      <c r="B50" s="410"/>
      <c r="C50" s="411"/>
      <c r="D50" s="184" t="s">
        <v>66</v>
      </c>
      <c r="E50" s="185" t="s">
        <v>356</v>
      </c>
      <c r="F50" s="465" t="s">
        <v>542</v>
      </c>
      <c r="G50" s="466"/>
      <c r="H50" s="172"/>
      <c r="I50" s="173"/>
      <c r="J50" s="174">
        <v>3</v>
      </c>
      <c r="K50" s="371"/>
      <c r="L50" s="453"/>
      <c r="M50" s="448"/>
      <c r="N50" s="454"/>
      <c r="O50" s="455"/>
      <c r="P50" s="453"/>
      <c r="Q50" s="448"/>
      <c r="R50" s="454"/>
      <c r="S50" s="464"/>
      <c r="T50" s="461"/>
      <c r="U50" s="448">
        <v>3</v>
      </c>
      <c r="V50" s="372"/>
      <c r="W50" s="449">
        <f t="shared" si="5"/>
        <v>3</v>
      </c>
      <c r="X50" s="450"/>
      <c r="Y50" s="427"/>
    </row>
    <row r="51" spans="2:29" ht="17.25" customHeight="1">
      <c r="B51" s="410"/>
      <c r="C51" s="411"/>
      <c r="D51" s="184" t="s">
        <v>66</v>
      </c>
      <c r="E51" s="185" t="s">
        <v>356</v>
      </c>
      <c r="F51" s="566" t="s">
        <v>543</v>
      </c>
      <c r="G51" s="567"/>
      <c r="H51" s="33"/>
      <c r="I51" s="140"/>
      <c r="J51" s="174">
        <f t="shared" ref="J51:J54" si="8">SUM(K51:V51)</f>
        <v>3</v>
      </c>
      <c r="K51" s="460"/>
      <c r="L51" s="461"/>
      <c r="M51" s="456"/>
      <c r="N51" s="462"/>
      <c r="O51" s="455"/>
      <c r="P51" s="453"/>
      <c r="Q51" s="448"/>
      <c r="R51" s="454"/>
      <c r="S51" s="568"/>
      <c r="T51" s="569"/>
      <c r="U51" s="565">
        <v>3</v>
      </c>
      <c r="V51" s="367"/>
      <c r="W51" s="449">
        <f t="shared" si="5"/>
        <v>3</v>
      </c>
      <c r="X51" s="450"/>
      <c r="Y51" s="427"/>
    </row>
    <row r="52" spans="2:29" ht="17.25" customHeight="1">
      <c r="B52" s="410"/>
      <c r="C52" s="411"/>
      <c r="D52" s="59" t="s">
        <v>72</v>
      </c>
      <c r="E52" s="60" t="s">
        <v>357</v>
      </c>
      <c r="F52" s="566" t="s">
        <v>563</v>
      </c>
      <c r="G52" s="567"/>
      <c r="H52" s="33"/>
      <c r="I52" s="140"/>
      <c r="J52" s="174">
        <f t="shared" si="8"/>
        <v>5</v>
      </c>
      <c r="K52" s="460"/>
      <c r="L52" s="461"/>
      <c r="M52" s="456"/>
      <c r="N52" s="462"/>
      <c r="O52" s="455"/>
      <c r="P52" s="453"/>
      <c r="Q52" s="448"/>
      <c r="R52" s="454"/>
      <c r="S52" s="570"/>
      <c r="T52" s="571"/>
      <c r="U52" s="565">
        <v>5</v>
      </c>
      <c r="V52" s="367"/>
      <c r="W52" s="449">
        <f t="shared" si="5"/>
        <v>5</v>
      </c>
      <c r="X52" s="450"/>
      <c r="Y52" s="427"/>
    </row>
    <row r="53" spans="2:29" ht="17.25" customHeight="1">
      <c r="B53" s="410"/>
      <c r="C53" s="411"/>
      <c r="D53" s="59" t="s">
        <v>72</v>
      </c>
      <c r="E53" s="60" t="s">
        <v>357</v>
      </c>
      <c r="F53" s="566" t="s">
        <v>564</v>
      </c>
      <c r="G53" s="567"/>
      <c r="H53" s="172"/>
      <c r="I53" s="182"/>
      <c r="J53" s="174">
        <f t="shared" si="8"/>
        <v>10</v>
      </c>
      <c r="K53" s="371"/>
      <c r="L53" s="453"/>
      <c r="M53" s="448"/>
      <c r="N53" s="454"/>
      <c r="O53" s="455"/>
      <c r="P53" s="453"/>
      <c r="Q53" s="448"/>
      <c r="R53" s="454"/>
      <c r="S53" s="568">
        <v>5</v>
      </c>
      <c r="T53" s="569"/>
      <c r="U53" s="565">
        <v>5</v>
      </c>
      <c r="V53" s="367"/>
      <c r="W53" s="449">
        <f t="shared" si="5"/>
        <v>10</v>
      </c>
      <c r="X53" s="450"/>
      <c r="Y53" s="427"/>
    </row>
    <row r="54" spans="2:29" ht="16.5" customHeight="1">
      <c r="B54" s="410"/>
      <c r="C54" s="411"/>
      <c r="D54" s="59" t="s">
        <v>72</v>
      </c>
      <c r="E54" s="60" t="s">
        <v>357</v>
      </c>
      <c r="F54" s="566" t="s">
        <v>565</v>
      </c>
      <c r="G54" s="567"/>
      <c r="H54" s="172"/>
      <c r="I54" s="182"/>
      <c r="J54" s="174">
        <f t="shared" si="8"/>
        <v>8</v>
      </c>
      <c r="K54" s="371"/>
      <c r="L54" s="453"/>
      <c r="M54" s="448"/>
      <c r="N54" s="454"/>
      <c r="O54" s="455"/>
      <c r="P54" s="453"/>
      <c r="Q54" s="448"/>
      <c r="R54" s="454"/>
      <c r="S54" s="568">
        <v>4</v>
      </c>
      <c r="T54" s="569"/>
      <c r="U54" s="565">
        <v>4</v>
      </c>
      <c r="V54" s="367"/>
      <c r="W54" s="449">
        <f t="shared" si="5"/>
        <v>8</v>
      </c>
      <c r="X54" s="450"/>
      <c r="Y54" s="427"/>
    </row>
    <row r="55" spans="2:29" ht="16.5" customHeight="1" thickBot="1">
      <c r="B55" s="410"/>
      <c r="C55" s="411"/>
      <c r="D55" s="59" t="s">
        <v>66</v>
      </c>
      <c r="E55" s="60" t="s">
        <v>357</v>
      </c>
      <c r="F55" s="458" t="s">
        <v>548</v>
      </c>
      <c r="G55" s="459"/>
      <c r="H55" s="189"/>
      <c r="I55" s="190"/>
      <c r="J55" s="191">
        <v>4</v>
      </c>
      <c r="K55" s="371"/>
      <c r="L55" s="453"/>
      <c r="M55" s="448"/>
      <c r="N55" s="469"/>
      <c r="O55" s="455"/>
      <c r="P55" s="453"/>
      <c r="Q55" s="448"/>
      <c r="R55" s="454"/>
      <c r="S55" s="469">
        <v>2</v>
      </c>
      <c r="T55" s="453"/>
      <c r="U55" s="448">
        <v>2</v>
      </c>
      <c r="V55" s="372"/>
      <c r="W55" s="449">
        <f t="shared" si="5"/>
        <v>4</v>
      </c>
      <c r="X55" s="450"/>
      <c r="Y55" s="427"/>
    </row>
    <row r="56" spans="2:29" ht="20.25" customHeight="1" thickBot="1">
      <c r="B56" s="531" t="s">
        <v>154</v>
      </c>
      <c r="C56" s="197" t="s">
        <v>568</v>
      </c>
      <c r="D56" s="197" t="s">
        <v>72</v>
      </c>
      <c r="E56" s="64" t="s">
        <v>357</v>
      </c>
      <c r="F56" s="563" t="s">
        <v>566</v>
      </c>
      <c r="G56" s="564"/>
      <c r="H56" s="30"/>
      <c r="I56" s="187"/>
      <c r="J56" s="198">
        <f t="shared" ref="J56:J57" si="9">SUM(K56:V56)</f>
        <v>15</v>
      </c>
      <c r="K56" s="391"/>
      <c r="L56" s="472"/>
      <c r="M56" s="473"/>
      <c r="N56" s="474"/>
      <c r="O56" s="475"/>
      <c r="P56" s="472"/>
      <c r="Q56" s="473"/>
      <c r="R56" s="476"/>
      <c r="S56" s="561">
        <v>10</v>
      </c>
      <c r="T56" s="562"/>
      <c r="U56" s="557">
        <v>5</v>
      </c>
      <c r="V56" s="558"/>
      <c r="W56" s="547">
        <f>SUM(K56:V56)</f>
        <v>15</v>
      </c>
      <c r="X56" s="548"/>
      <c r="Y56" s="427"/>
    </row>
    <row r="57" spans="2:29" ht="20.25" customHeight="1" thickBot="1">
      <c r="B57" s="532"/>
      <c r="C57" s="197" t="s">
        <v>569</v>
      </c>
      <c r="D57" s="63" t="s">
        <v>72</v>
      </c>
      <c r="E57" s="64" t="s">
        <v>357</v>
      </c>
      <c r="F57" s="559" t="s">
        <v>567</v>
      </c>
      <c r="G57" s="560"/>
      <c r="H57" s="199"/>
      <c r="I57" s="187"/>
      <c r="J57" s="174">
        <f t="shared" si="9"/>
        <v>15</v>
      </c>
      <c r="K57" s="391"/>
      <c r="L57" s="472"/>
      <c r="M57" s="473"/>
      <c r="N57" s="476"/>
      <c r="O57" s="475"/>
      <c r="P57" s="472"/>
      <c r="Q57" s="473"/>
      <c r="R57" s="476"/>
      <c r="S57" s="561">
        <v>10</v>
      </c>
      <c r="T57" s="562"/>
      <c r="U57" s="557">
        <v>5</v>
      </c>
      <c r="V57" s="558"/>
      <c r="W57" s="549"/>
      <c r="X57" s="550"/>
      <c r="Y57" s="427"/>
    </row>
    <row r="58" spans="2:29" ht="24.75" customHeight="1">
      <c r="B58" s="489" t="s">
        <v>362</v>
      </c>
      <c r="C58" s="485"/>
      <c r="D58" s="485"/>
      <c r="E58" s="485"/>
      <c r="F58" s="485"/>
      <c r="G58" s="487"/>
      <c r="H58" s="493">
        <f>SUM(H40:H55)</f>
        <v>0</v>
      </c>
      <c r="I58" s="495">
        <f>SUM(I40:I55)</f>
        <v>0</v>
      </c>
      <c r="J58" s="497">
        <f>SUM(J40:J56)</f>
        <v>90</v>
      </c>
      <c r="K58" s="489">
        <f>SUM(K40:L57)</f>
        <v>7</v>
      </c>
      <c r="L58" s="478"/>
      <c r="M58" s="481">
        <f>SUM(M40:N57)</f>
        <v>7</v>
      </c>
      <c r="N58" s="485"/>
      <c r="O58" s="477">
        <f>SUM(O40:P57)</f>
        <v>12</v>
      </c>
      <c r="P58" s="478"/>
      <c r="Q58" s="481">
        <f>SUM(Q40:R57)</f>
        <v>12</v>
      </c>
      <c r="R58" s="482"/>
      <c r="S58" s="485">
        <f>SUM(S40:T56)</f>
        <v>23</v>
      </c>
      <c r="T58" s="478"/>
      <c r="U58" s="481">
        <f>SUM(U40:V56)</f>
        <v>29</v>
      </c>
      <c r="V58" s="487"/>
      <c r="W58" s="489">
        <f>SUM(K58:V59)</f>
        <v>90</v>
      </c>
      <c r="X58" s="487"/>
      <c r="Y58" s="491">
        <f>SUM(Y40:Y57)</f>
        <v>80</v>
      </c>
      <c r="AC58" s="148"/>
    </row>
    <row r="59" spans="2:29" ht="18" thickBot="1">
      <c r="B59" s="490"/>
      <c r="C59" s="486"/>
      <c r="D59" s="486"/>
      <c r="E59" s="486"/>
      <c r="F59" s="486"/>
      <c r="G59" s="488"/>
      <c r="H59" s="494"/>
      <c r="I59" s="496"/>
      <c r="J59" s="498"/>
      <c r="K59" s="490"/>
      <c r="L59" s="480"/>
      <c r="M59" s="483"/>
      <c r="N59" s="486"/>
      <c r="O59" s="479"/>
      <c r="P59" s="480"/>
      <c r="Q59" s="483"/>
      <c r="R59" s="484"/>
      <c r="S59" s="486"/>
      <c r="T59" s="480"/>
      <c r="U59" s="483"/>
      <c r="V59" s="488"/>
      <c r="W59" s="490"/>
      <c r="X59" s="488"/>
      <c r="Y59" s="492"/>
      <c r="AC59" s="66"/>
    </row>
    <row r="60" spans="2:29" ht="17.25" customHeight="1" thickBot="1">
      <c r="B60" s="394"/>
      <c r="C60" s="395"/>
      <c r="D60" s="395"/>
      <c r="E60" s="395"/>
      <c r="F60" s="395"/>
      <c r="G60" s="396"/>
      <c r="H60" s="150">
        <f>SUM(H39,H58)</f>
        <v>110</v>
      </c>
      <c r="I60" s="145">
        <f>SUM(I39,I58)</f>
        <v>0</v>
      </c>
      <c r="J60" s="146">
        <f>SUM(J39,J58)</f>
        <v>174</v>
      </c>
      <c r="K60" s="394">
        <f>SUM(K39,K58)</f>
        <v>29</v>
      </c>
      <c r="L60" s="402"/>
      <c r="M60" s="399">
        <f>SUM(M39,M58)</f>
        <v>29</v>
      </c>
      <c r="N60" s="512"/>
      <c r="O60" s="513">
        <f>SUM(O39,O58)</f>
        <v>29</v>
      </c>
      <c r="P60" s="402"/>
      <c r="Q60" s="399">
        <f>SUM(Q39,Q58)</f>
        <v>29</v>
      </c>
      <c r="R60" s="512"/>
      <c r="S60" s="513">
        <f>SUM(S39,S58)</f>
        <v>29</v>
      </c>
      <c r="T60" s="402"/>
      <c r="U60" s="399">
        <f>SUM(U39,U58)</f>
        <v>29</v>
      </c>
      <c r="V60" s="396"/>
      <c r="W60" s="394">
        <f>SUM(K60:V60)</f>
        <v>174</v>
      </c>
      <c r="X60" s="396"/>
      <c r="Y60" s="11">
        <f>Y58+Y39</f>
        <v>144</v>
      </c>
      <c r="AA60" s="370" t="s">
        <v>155</v>
      </c>
      <c r="AB60" s="370"/>
    </row>
    <row r="61" spans="2:29" ht="18.75" customHeight="1" thickBot="1">
      <c r="B61" s="500" t="s">
        <v>363</v>
      </c>
      <c r="C61" s="501"/>
      <c r="D61" s="501"/>
      <c r="E61" s="502"/>
      <c r="F61" s="509" t="s">
        <v>359</v>
      </c>
      <c r="G61" s="510"/>
      <c r="H61" s="510"/>
      <c r="I61" s="510"/>
      <c r="J61" s="511"/>
      <c r="K61" s="334">
        <v>16</v>
      </c>
      <c r="L61" s="336"/>
      <c r="M61" s="337">
        <v>16</v>
      </c>
      <c r="N61" s="338"/>
      <c r="O61" s="339">
        <v>16</v>
      </c>
      <c r="P61" s="336"/>
      <c r="Q61" s="337">
        <v>16</v>
      </c>
      <c r="R61" s="338"/>
      <c r="S61" s="339">
        <v>16</v>
      </c>
      <c r="T61" s="336"/>
      <c r="U61" s="337">
        <v>16</v>
      </c>
      <c r="V61" s="335"/>
      <c r="W61" s="500">
        <f>SUM(K61:V63)</f>
        <v>288</v>
      </c>
      <c r="X61" s="502"/>
      <c r="Y61" s="491">
        <f>Y64*16</f>
        <v>288</v>
      </c>
      <c r="AA61" s="499"/>
      <c r="AB61" s="499"/>
    </row>
    <row r="62" spans="2:29" ht="17.25" customHeight="1" thickBot="1">
      <c r="B62" s="503"/>
      <c r="C62" s="504"/>
      <c r="D62" s="504"/>
      <c r="E62" s="505"/>
      <c r="F62" s="514" t="s">
        <v>63</v>
      </c>
      <c r="G62" s="515"/>
      <c r="H62" s="515"/>
      <c r="I62" s="515"/>
      <c r="J62" s="516"/>
      <c r="K62" s="347">
        <v>16</v>
      </c>
      <c r="L62" s="348"/>
      <c r="M62" s="349">
        <v>16</v>
      </c>
      <c r="N62" s="350"/>
      <c r="O62" s="351">
        <v>16</v>
      </c>
      <c r="P62" s="348"/>
      <c r="Q62" s="349">
        <v>16</v>
      </c>
      <c r="R62" s="350"/>
      <c r="S62" s="351">
        <v>16</v>
      </c>
      <c r="T62" s="348"/>
      <c r="U62" s="349">
        <v>16</v>
      </c>
      <c r="V62" s="352"/>
      <c r="W62" s="503"/>
      <c r="X62" s="505"/>
      <c r="Y62" s="427"/>
      <c r="AA62" s="406" t="b">
        <f>W60&gt;=Y60</f>
        <v>1</v>
      </c>
      <c r="AB62" s="407"/>
    </row>
    <row r="63" spans="2:29" ht="17.25" customHeight="1">
      <c r="B63" s="503"/>
      <c r="C63" s="504"/>
      <c r="D63" s="504"/>
      <c r="E63" s="505"/>
      <c r="F63" s="514" t="s">
        <v>11</v>
      </c>
      <c r="G63" s="515"/>
      <c r="H63" s="515"/>
      <c r="I63" s="515"/>
      <c r="J63" s="516"/>
      <c r="K63" s="347">
        <v>16</v>
      </c>
      <c r="L63" s="348"/>
      <c r="M63" s="349">
        <v>16</v>
      </c>
      <c r="N63" s="350"/>
      <c r="O63" s="351">
        <v>16</v>
      </c>
      <c r="P63" s="348"/>
      <c r="Q63" s="349">
        <v>16</v>
      </c>
      <c r="R63" s="350"/>
      <c r="S63" s="351">
        <v>16</v>
      </c>
      <c r="T63" s="348"/>
      <c r="U63" s="349">
        <v>16</v>
      </c>
      <c r="V63" s="352"/>
      <c r="W63" s="517"/>
      <c r="X63" s="518"/>
      <c r="Y63" s="519"/>
    </row>
    <row r="64" spans="2:29" ht="17.25" customHeight="1" thickBot="1">
      <c r="B64" s="506"/>
      <c r="C64" s="507"/>
      <c r="D64" s="507"/>
      <c r="E64" s="508"/>
      <c r="F64" s="520" t="s">
        <v>150</v>
      </c>
      <c r="G64" s="521"/>
      <c r="H64" s="521"/>
      <c r="I64" s="521"/>
      <c r="J64" s="522"/>
      <c r="K64" s="523">
        <v>3</v>
      </c>
      <c r="L64" s="524"/>
      <c r="M64" s="525">
        <v>3</v>
      </c>
      <c r="N64" s="526"/>
      <c r="O64" s="527">
        <v>3</v>
      </c>
      <c r="P64" s="524"/>
      <c r="Q64" s="525">
        <v>3</v>
      </c>
      <c r="R64" s="526"/>
      <c r="S64" s="527">
        <v>3</v>
      </c>
      <c r="T64" s="524"/>
      <c r="U64" s="525">
        <v>3</v>
      </c>
      <c r="V64" s="542"/>
      <c r="W64" s="520">
        <f>SUM(K64:V64)</f>
        <v>18</v>
      </c>
      <c r="X64" s="522"/>
      <c r="Y64" s="68">
        <v>18</v>
      </c>
      <c r="AA64" s="370" t="s">
        <v>156</v>
      </c>
      <c r="AB64" s="370"/>
    </row>
    <row r="65" spans="2:28" ht="17.25" customHeight="1" thickBot="1">
      <c r="B65" s="394"/>
      <c r="C65" s="395"/>
      <c r="D65" s="395"/>
      <c r="E65" s="395"/>
      <c r="F65" s="395"/>
      <c r="G65" s="395"/>
      <c r="H65" s="395"/>
      <c r="I65" s="395"/>
      <c r="J65" s="396"/>
      <c r="K65" s="394">
        <v>32</v>
      </c>
      <c r="L65" s="402"/>
      <c r="M65" s="399">
        <v>32</v>
      </c>
      <c r="N65" s="512"/>
      <c r="O65" s="513">
        <v>32</v>
      </c>
      <c r="P65" s="402"/>
      <c r="Q65" s="399">
        <v>32</v>
      </c>
      <c r="R65" s="512"/>
      <c r="S65" s="513">
        <v>32</v>
      </c>
      <c r="T65" s="402"/>
      <c r="U65" s="399">
        <v>32</v>
      </c>
      <c r="V65" s="396"/>
      <c r="W65" s="394">
        <f>SUM(K65:V65)</f>
        <v>192</v>
      </c>
      <c r="X65" s="396"/>
      <c r="Y65" s="165">
        <f>W65</f>
        <v>192</v>
      </c>
      <c r="AA65" s="406" t="b">
        <f>W64&gt;=Y64</f>
        <v>1</v>
      </c>
      <c r="AB65" s="407"/>
    </row>
    <row r="66" spans="2:28" ht="17.25" customHeight="1" thickBot="1">
      <c r="B66" s="394"/>
      <c r="C66" s="395"/>
      <c r="D66" s="395"/>
      <c r="E66" s="395"/>
      <c r="F66" s="395"/>
      <c r="G66" s="395"/>
      <c r="H66" s="395"/>
      <c r="I66" s="395"/>
      <c r="J66" s="396"/>
      <c r="K66" s="394">
        <f>SUM(K65:N65)</f>
        <v>64</v>
      </c>
      <c r="L66" s="395"/>
      <c r="M66" s="395"/>
      <c r="N66" s="512"/>
      <c r="O66" s="513">
        <f>SUM(O65:R65)</f>
        <v>64</v>
      </c>
      <c r="P66" s="395"/>
      <c r="Q66" s="395"/>
      <c r="R66" s="512"/>
      <c r="S66" s="513">
        <f>SUM(S65:V65)</f>
        <v>64</v>
      </c>
      <c r="T66" s="395"/>
      <c r="U66" s="395"/>
      <c r="V66" s="396"/>
      <c r="W66" s="394">
        <f>SUM(K66:V66)</f>
        <v>192</v>
      </c>
      <c r="X66" s="396"/>
      <c r="Y66" s="11"/>
      <c r="AA66" s="370" t="s">
        <v>153</v>
      </c>
      <c r="AB66" s="370"/>
    </row>
    <row r="67" spans="2:28" ht="17.25" customHeight="1" thickBot="1">
      <c r="AA67" s="406" t="b">
        <f>W65&gt;=Y65</f>
        <v>1</v>
      </c>
      <c r="AB67" s="407"/>
    </row>
    <row r="68" spans="2:28" ht="17.25" customHeight="1"/>
    <row r="69" spans="2:28" ht="17.25" customHeight="1"/>
    <row r="70" spans="2:28" ht="17.25" customHeight="1"/>
    <row r="72" spans="2:28" ht="24.9" customHeight="1"/>
    <row r="73" spans="2:28" ht="24.9" customHeight="1"/>
    <row r="74" spans="2:28" ht="32.25" customHeight="1"/>
    <row r="75" spans="2:28" ht="24.9" customHeight="1"/>
    <row r="77" spans="2:28" ht="16.5" customHeight="1"/>
    <row r="78" spans="2:28" ht="17.25" customHeight="1"/>
    <row r="79" spans="2:28" ht="16.5" customHeight="1"/>
    <row r="80" spans="2:28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244.5" customHeight="1"/>
  </sheetData>
  <mergeCells count="502"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AA8:AD8"/>
    <mergeCell ref="B9:C38"/>
    <mergeCell ref="D9:D13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K11:L11"/>
    <mergeCell ref="M11:N11"/>
    <mergeCell ref="O11:P11"/>
    <mergeCell ref="Q11:R11"/>
    <mergeCell ref="S11:T11"/>
    <mergeCell ref="U11:V11"/>
    <mergeCell ref="X9:X13"/>
    <mergeCell ref="Y9:Y22"/>
    <mergeCell ref="F10:G10"/>
    <mergeCell ref="K10:L10"/>
    <mergeCell ref="M10:N10"/>
    <mergeCell ref="O10:P10"/>
    <mergeCell ref="Q10:R10"/>
    <mergeCell ref="S10:T10"/>
    <mergeCell ref="U10:V10"/>
    <mergeCell ref="F11:G11"/>
    <mergeCell ref="U12:V12"/>
    <mergeCell ref="F13:G13"/>
    <mergeCell ref="K13:L13"/>
    <mergeCell ref="M13:N13"/>
    <mergeCell ref="O13:P13"/>
    <mergeCell ref="Q13:R13"/>
    <mergeCell ref="S13:T13"/>
    <mergeCell ref="U13:V13"/>
    <mergeCell ref="F12:G12"/>
    <mergeCell ref="K12:L12"/>
    <mergeCell ref="M12:N12"/>
    <mergeCell ref="O12:P12"/>
    <mergeCell ref="Q12:R12"/>
    <mergeCell ref="S12:T12"/>
    <mergeCell ref="X14:X17"/>
    <mergeCell ref="AB14:AD14"/>
    <mergeCell ref="F15:G15"/>
    <mergeCell ref="K15:L15"/>
    <mergeCell ref="M15:N15"/>
    <mergeCell ref="O15:P15"/>
    <mergeCell ref="Q15:R15"/>
    <mergeCell ref="S15:T15"/>
    <mergeCell ref="D14:D17"/>
    <mergeCell ref="F14:G14"/>
    <mergeCell ref="K14:L14"/>
    <mergeCell ref="M14:N14"/>
    <mergeCell ref="O14:P14"/>
    <mergeCell ref="Q14:R14"/>
    <mergeCell ref="F17:G17"/>
    <mergeCell ref="K17:L17"/>
    <mergeCell ref="M17:N17"/>
    <mergeCell ref="O17:P17"/>
    <mergeCell ref="U15:V15"/>
    <mergeCell ref="F16:G16"/>
    <mergeCell ref="K16:L16"/>
    <mergeCell ref="M16:N16"/>
    <mergeCell ref="O16:P16"/>
    <mergeCell ref="Q16:R16"/>
    <mergeCell ref="S16:T16"/>
    <mergeCell ref="U16:V16"/>
    <mergeCell ref="S14:T14"/>
    <mergeCell ref="U14:V14"/>
    <mergeCell ref="Q17:R17"/>
    <mergeCell ref="S17:T17"/>
    <mergeCell ref="U17:V17"/>
    <mergeCell ref="D18:D22"/>
    <mergeCell ref="F18:G18"/>
    <mergeCell ref="K18:L18"/>
    <mergeCell ref="M18:N18"/>
    <mergeCell ref="O18:P18"/>
    <mergeCell ref="Q18:R18"/>
    <mergeCell ref="S18:T18"/>
    <mergeCell ref="U18:V18"/>
    <mergeCell ref="X18:X22"/>
    <mergeCell ref="AA18:AB18"/>
    <mergeCell ref="F19:G19"/>
    <mergeCell ref="K19:L19"/>
    <mergeCell ref="M19:N19"/>
    <mergeCell ref="O19:P19"/>
    <mergeCell ref="Q19:R19"/>
    <mergeCell ref="S19:T19"/>
    <mergeCell ref="U19:V19"/>
    <mergeCell ref="U20:V20"/>
    <mergeCell ref="F21:G21"/>
    <mergeCell ref="K21:L21"/>
    <mergeCell ref="M21:N21"/>
    <mergeCell ref="O21:P21"/>
    <mergeCell ref="Q21:R21"/>
    <mergeCell ref="S21:T21"/>
    <mergeCell ref="U21:V21"/>
    <mergeCell ref="F20:G20"/>
    <mergeCell ref="K20:L20"/>
    <mergeCell ref="M20:N20"/>
    <mergeCell ref="O20:P20"/>
    <mergeCell ref="Q20:R20"/>
    <mergeCell ref="S20:T20"/>
    <mergeCell ref="U22:V22"/>
    <mergeCell ref="D23:D26"/>
    <mergeCell ref="F23:G23"/>
    <mergeCell ref="K23:L23"/>
    <mergeCell ref="M23:N23"/>
    <mergeCell ref="O23:P23"/>
    <mergeCell ref="Q23:R23"/>
    <mergeCell ref="S23:T23"/>
    <mergeCell ref="U23:V23"/>
    <mergeCell ref="F26:G26"/>
    <mergeCell ref="F22:G22"/>
    <mergeCell ref="K22:L22"/>
    <mergeCell ref="M22:N22"/>
    <mergeCell ref="O22:P22"/>
    <mergeCell ref="Q22:R22"/>
    <mergeCell ref="S22:T22"/>
    <mergeCell ref="S26:T26"/>
    <mergeCell ref="U26:V26"/>
    <mergeCell ref="AA24:AB24"/>
    <mergeCell ref="F25:G25"/>
    <mergeCell ref="K25:L25"/>
    <mergeCell ref="M25:N25"/>
    <mergeCell ref="O25:P25"/>
    <mergeCell ref="Q25:R25"/>
    <mergeCell ref="S25:T25"/>
    <mergeCell ref="U25:V25"/>
    <mergeCell ref="X25:X26"/>
    <mergeCell ref="Y25:Y28"/>
    <mergeCell ref="X23:X24"/>
    <mergeCell ref="Y23:Y24"/>
    <mergeCell ref="F24:G24"/>
    <mergeCell ref="K24:L24"/>
    <mergeCell ref="M24:N24"/>
    <mergeCell ref="O24:P24"/>
    <mergeCell ref="Q24:R24"/>
    <mergeCell ref="S24:T24"/>
    <mergeCell ref="U24:V24"/>
    <mergeCell ref="D27:D28"/>
    <mergeCell ref="F27:G27"/>
    <mergeCell ref="K27:L27"/>
    <mergeCell ref="M27:N27"/>
    <mergeCell ref="O27:P27"/>
    <mergeCell ref="Q27:R27"/>
    <mergeCell ref="K26:L26"/>
    <mergeCell ref="M26:N26"/>
    <mergeCell ref="O26:P26"/>
    <mergeCell ref="Q26:R26"/>
    <mergeCell ref="S27:T27"/>
    <mergeCell ref="U27:V27"/>
    <mergeCell ref="X27:X28"/>
    <mergeCell ref="F28:G28"/>
    <mergeCell ref="K28:L28"/>
    <mergeCell ref="M28:N28"/>
    <mergeCell ref="O28:P28"/>
    <mergeCell ref="Q28:R28"/>
    <mergeCell ref="S28:T28"/>
    <mergeCell ref="U28:V28"/>
    <mergeCell ref="X29:X32"/>
    <mergeCell ref="Y29:Y32"/>
    <mergeCell ref="F30:G30"/>
    <mergeCell ref="K30:L30"/>
    <mergeCell ref="M30:N30"/>
    <mergeCell ref="O30:P30"/>
    <mergeCell ref="Q30:R30"/>
    <mergeCell ref="S30:T30"/>
    <mergeCell ref="D29:D32"/>
    <mergeCell ref="F29:G29"/>
    <mergeCell ref="K29:L29"/>
    <mergeCell ref="M29:N29"/>
    <mergeCell ref="O29:P29"/>
    <mergeCell ref="Q29:R29"/>
    <mergeCell ref="F32:G32"/>
    <mergeCell ref="K32:L32"/>
    <mergeCell ref="M32:N32"/>
    <mergeCell ref="O32:P32"/>
    <mergeCell ref="U30:V30"/>
    <mergeCell ref="F31:G31"/>
    <mergeCell ref="K31:L31"/>
    <mergeCell ref="M31:N31"/>
    <mergeCell ref="O31:P31"/>
    <mergeCell ref="Q31:R31"/>
    <mergeCell ref="S31:T31"/>
    <mergeCell ref="U31:V31"/>
    <mergeCell ref="S29:T29"/>
    <mergeCell ref="U29:V29"/>
    <mergeCell ref="Q32:R32"/>
    <mergeCell ref="S32:T32"/>
    <mergeCell ref="U32:V32"/>
    <mergeCell ref="D33:D34"/>
    <mergeCell ref="G33:G34"/>
    <mergeCell ref="K33:L33"/>
    <mergeCell ref="M33:N33"/>
    <mergeCell ref="O33:P33"/>
    <mergeCell ref="Q33:R33"/>
    <mergeCell ref="S33:T33"/>
    <mergeCell ref="U33:V33"/>
    <mergeCell ref="X33:X34"/>
    <mergeCell ref="Y33:Y34"/>
    <mergeCell ref="K34:L34"/>
    <mergeCell ref="M34:N34"/>
    <mergeCell ref="O34:P34"/>
    <mergeCell ref="Q34:R34"/>
    <mergeCell ref="S34:T34"/>
    <mergeCell ref="U34:V34"/>
    <mergeCell ref="S35:T35"/>
    <mergeCell ref="U35:V35"/>
    <mergeCell ref="X35:X38"/>
    <mergeCell ref="Y35:Y38"/>
    <mergeCell ref="F36:G36"/>
    <mergeCell ref="K36:L36"/>
    <mergeCell ref="M36:N36"/>
    <mergeCell ref="O36:P36"/>
    <mergeCell ref="Q36:R36"/>
    <mergeCell ref="S36:T36"/>
    <mergeCell ref="F35:G35"/>
    <mergeCell ref="K35:L35"/>
    <mergeCell ref="M35:N35"/>
    <mergeCell ref="O35:P35"/>
    <mergeCell ref="Q35:R35"/>
    <mergeCell ref="O38:P38"/>
    <mergeCell ref="Q38:R38"/>
    <mergeCell ref="U36:V36"/>
    <mergeCell ref="G37:G38"/>
    <mergeCell ref="K37:L37"/>
    <mergeCell ref="M37:N37"/>
    <mergeCell ref="O37:P37"/>
    <mergeCell ref="Q37:R37"/>
    <mergeCell ref="S37:T37"/>
    <mergeCell ref="U37:V37"/>
    <mergeCell ref="K38:L38"/>
    <mergeCell ref="M38:N38"/>
    <mergeCell ref="S38:T38"/>
    <mergeCell ref="U38:V38"/>
    <mergeCell ref="B39:G39"/>
    <mergeCell ref="K39:L39"/>
    <mergeCell ref="M39:N39"/>
    <mergeCell ref="O39:P39"/>
    <mergeCell ref="Q39:R39"/>
    <mergeCell ref="S39:T39"/>
    <mergeCell ref="U39:V39"/>
    <mergeCell ref="D35:D38"/>
    <mergeCell ref="W39:X39"/>
    <mergeCell ref="AA39:AB39"/>
    <mergeCell ref="B40:C55"/>
    <mergeCell ref="D40:E41"/>
    <mergeCell ref="F40:G40"/>
    <mergeCell ref="K40:L40"/>
    <mergeCell ref="M40:N40"/>
    <mergeCell ref="O40:P40"/>
    <mergeCell ref="Q40:R40"/>
    <mergeCell ref="S40:T40"/>
    <mergeCell ref="U40:V40"/>
    <mergeCell ref="W40:X40"/>
    <mergeCell ref="Y40:Y57"/>
    <mergeCell ref="F41:G41"/>
    <mergeCell ref="K41:L41"/>
    <mergeCell ref="M41:N41"/>
    <mergeCell ref="O41:P41"/>
    <mergeCell ref="Q41:R41"/>
    <mergeCell ref="S41:T41"/>
    <mergeCell ref="U41:V41"/>
    <mergeCell ref="W41:X41"/>
    <mergeCell ref="F42:G42"/>
    <mergeCell ref="K42:L42"/>
    <mergeCell ref="M42:N42"/>
    <mergeCell ref="O42:P42"/>
    <mergeCell ref="Q42:R42"/>
    <mergeCell ref="S42:T42"/>
    <mergeCell ref="U42:V42"/>
    <mergeCell ref="W42:X42"/>
    <mergeCell ref="U43:V43"/>
    <mergeCell ref="W43:X43"/>
    <mergeCell ref="F44:G44"/>
    <mergeCell ref="K44:L44"/>
    <mergeCell ref="M44:N44"/>
    <mergeCell ref="O44:P44"/>
    <mergeCell ref="Q44:R44"/>
    <mergeCell ref="S44:T44"/>
    <mergeCell ref="U44:V44"/>
    <mergeCell ref="W44:X44"/>
    <mergeCell ref="F43:G43"/>
    <mergeCell ref="K43:L43"/>
    <mergeCell ref="M43:N43"/>
    <mergeCell ref="O43:P43"/>
    <mergeCell ref="Q43:R43"/>
    <mergeCell ref="S43:T43"/>
    <mergeCell ref="U45:V45"/>
    <mergeCell ref="W45:X45"/>
    <mergeCell ref="F46:G46"/>
    <mergeCell ref="K46:L46"/>
    <mergeCell ref="M46:N46"/>
    <mergeCell ref="O46:P46"/>
    <mergeCell ref="Q46:R46"/>
    <mergeCell ref="S46:T46"/>
    <mergeCell ref="U46:V46"/>
    <mergeCell ref="W46:X46"/>
    <mergeCell ref="F45:G45"/>
    <mergeCell ref="K45:L45"/>
    <mergeCell ref="M45:N45"/>
    <mergeCell ref="O45:P45"/>
    <mergeCell ref="Q45:R45"/>
    <mergeCell ref="S45:T45"/>
    <mergeCell ref="U47:V47"/>
    <mergeCell ref="W47:X47"/>
    <mergeCell ref="F48:G48"/>
    <mergeCell ref="K48:L48"/>
    <mergeCell ref="M48:N48"/>
    <mergeCell ref="O48:P48"/>
    <mergeCell ref="Q48:R48"/>
    <mergeCell ref="S48:T48"/>
    <mergeCell ref="U48:V48"/>
    <mergeCell ref="W48:X48"/>
    <mergeCell ref="F47:G47"/>
    <mergeCell ref="K47:L47"/>
    <mergeCell ref="M47:N47"/>
    <mergeCell ref="O47:P47"/>
    <mergeCell ref="Q47:R47"/>
    <mergeCell ref="S47:T47"/>
    <mergeCell ref="U49:V49"/>
    <mergeCell ref="W49:X49"/>
    <mergeCell ref="F50:G50"/>
    <mergeCell ref="K50:L50"/>
    <mergeCell ref="M50:N50"/>
    <mergeCell ref="O50:P50"/>
    <mergeCell ref="Q50:R50"/>
    <mergeCell ref="S50:T50"/>
    <mergeCell ref="U50:V50"/>
    <mergeCell ref="W50:X50"/>
    <mergeCell ref="F49:G49"/>
    <mergeCell ref="K49:L49"/>
    <mergeCell ref="M49:N49"/>
    <mergeCell ref="O49:P49"/>
    <mergeCell ref="Q49:R49"/>
    <mergeCell ref="S49:T49"/>
    <mergeCell ref="U51:V51"/>
    <mergeCell ref="W51:X51"/>
    <mergeCell ref="F52:G52"/>
    <mergeCell ref="K52:L52"/>
    <mergeCell ref="M52:N52"/>
    <mergeCell ref="O52:P52"/>
    <mergeCell ref="Q52:R52"/>
    <mergeCell ref="S52:T52"/>
    <mergeCell ref="U52:V52"/>
    <mergeCell ref="W52:X52"/>
    <mergeCell ref="F51:G51"/>
    <mergeCell ref="K51:L51"/>
    <mergeCell ref="M51:N51"/>
    <mergeCell ref="O51:P51"/>
    <mergeCell ref="Q51:R51"/>
    <mergeCell ref="S51:T51"/>
    <mergeCell ref="U53:V53"/>
    <mergeCell ref="W53:X53"/>
    <mergeCell ref="F54:G54"/>
    <mergeCell ref="K54:L54"/>
    <mergeCell ref="M54:N54"/>
    <mergeCell ref="O54:P54"/>
    <mergeCell ref="Q54:R54"/>
    <mergeCell ref="S54:T54"/>
    <mergeCell ref="U54:V54"/>
    <mergeCell ref="W54:X54"/>
    <mergeCell ref="F53:G53"/>
    <mergeCell ref="K53:L53"/>
    <mergeCell ref="M53:N53"/>
    <mergeCell ref="O53:P53"/>
    <mergeCell ref="Q53:R53"/>
    <mergeCell ref="S53:T53"/>
    <mergeCell ref="U55:V55"/>
    <mergeCell ref="W55:X55"/>
    <mergeCell ref="B56:B57"/>
    <mergeCell ref="F56:G56"/>
    <mergeCell ref="K56:L56"/>
    <mergeCell ref="M56:N56"/>
    <mergeCell ref="O56:P56"/>
    <mergeCell ref="Q56:R56"/>
    <mergeCell ref="S56:T56"/>
    <mergeCell ref="F55:G55"/>
    <mergeCell ref="K55:L55"/>
    <mergeCell ref="M55:N55"/>
    <mergeCell ref="O55:P55"/>
    <mergeCell ref="Q55:R55"/>
    <mergeCell ref="S55:T55"/>
    <mergeCell ref="U57:V57"/>
    <mergeCell ref="F57:G57"/>
    <mergeCell ref="K57:L57"/>
    <mergeCell ref="M57:N57"/>
    <mergeCell ref="O57:P57"/>
    <mergeCell ref="Q57:R57"/>
    <mergeCell ref="U56:V56"/>
    <mergeCell ref="W56:X57"/>
    <mergeCell ref="S57:T57"/>
    <mergeCell ref="O58:P59"/>
    <mergeCell ref="Q58:R59"/>
    <mergeCell ref="S58:T59"/>
    <mergeCell ref="U58:V59"/>
    <mergeCell ref="W58:X59"/>
    <mergeCell ref="Y58:Y59"/>
    <mergeCell ref="B58:G59"/>
    <mergeCell ref="H58:H59"/>
    <mergeCell ref="I58:I59"/>
    <mergeCell ref="J58:J59"/>
    <mergeCell ref="K58:L59"/>
    <mergeCell ref="M58:N59"/>
    <mergeCell ref="U60:V60"/>
    <mergeCell ref="W60:X60"/>
    <mergeCell ref="AA60:AB61"/>
    <mergeCell ref="B61:E64"/>
    <mergeCell ref="F61:J61"/>
    <mergeCell ref="K61:L61"/>
    <mergeCell ref="M61:N61"/>
    <mergeCell ref="O61:P61"/>
    <mergeCell ref="Q61:R61"/>
    <mergeCell ref="S61:T61"/>
    <mergeCell ref="B60:G60"/>
    <mergeCell ref="K60:L60"/>
    <mergeCell ref="M60:N60"/>
    <mergeCell ref="O60:P60"/>
    <mergeCell ref="Q60:R60"/>
    <mergeCell ref="S60:T60"/>
    <mergeCell ref="AA62:AB62"/>
    <mergeCell ref="F63:J63"/>
    <mergeCell ref="K63:L63"/>
    <mergeCell ref="M63:N63"/>
    <mergeCell ref="O63:P63"/>
    <mergeCell ref="Q63:R63"/>
    <mergeCell ref="S63:T63"/>
    <mergeCell ref="U63:V63"/>
    <mergeCell ref="U61:V61"/>
    <mergeCell ref="W61:X63"/>
    <mergeCell ref="Y61:Y63"/>
    <mergeCell ref="F62:J62"/>
    <mergeCell ref="K62:L62"/>
    <mergeCell ref="M62:N62"/>
    <mergeCell ref="O62:P62"/>
    <mergeCell ref="Q62:R62"/>
    <mergeCell ref="S62:T62"/>
    <mergeCell ref="U62:V62"/>
    <mergeCell ref="U64:V64"/>
    <mergeCell ref="W64:X64"/>
    <mergeCell ref="AA64:AB64"/>
    <mergeCell ref="B65:J65"/>
    <mergeCell ref="K65:L65"/>
    <mergeCell ref="M65:N65"/>
    <mergeCell ref="O65:P65"/>
    <mergeCell ref="Q65:R65"/>
    <mergeCell ref="S65:T65"/>
    <mergeCell ref="U65:V65"/>
    <mergeCell ref="F64:J64"/>
    <mergeCell ref="K64:L64"/>
    <mergeCell ref="M64:N64"/>
    <mergeCell ref="O64:P64"/>
    <mergeCell ref="Q64:R64"/>
    <mergeCell ref="S64:T64"/>
    <mergeCell ref="AA67:AB67"/>
    <mergeCell ref="W65:X65"/>
    <mergeCell ref="AA65:AB65"/>
    <mergeCell ref="B66:J66"/>
    <mergeCell ref="K66:N66"/>
    <mergeCell ref="O66:R66"/>
    <mergeCell ref="S66:V66"/>
    <mergeCell ref="W66:X66"/>
    <mergeCell ref="AA66:AB66"/>
  </mergeCells>
  <phoneticPr fontId="9" type="noConversion"/>
  <conditionalFormatting sqref="AA39:AB39 AC59 AA62:AB62 AA65:AB65 AA67:AB67">
    <cfRule type="containsText" dxfId="3" priority="1" operator="containsText" text="FALSE">
      <formula>NOT(ISERROR(SEARCH("FALSE",AA39)))</formula>
    </cfRule>
  </conditionalFormatting>
  <printOptions horizontalCentered="1" verticalCentered="1"/>
  <pageMargins left="0.25" right="0.25" top="0.75" bottom="0.75" header="0.3" footer="0.3"/>
  <pageSetup paperSize="8" scale="62" orientation="portrait" cellComments="asDisplayed" r:id="rId1"/>
  <rowBreaks count="1" manualBreakCount="1">
    <brk id="58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FC5C609-D6B0-4B76-A394-1439892CBDED}">
          <x14:formula1>
            <xm:f>삭제금지!$H$2:$H$18</xm:f>
          </x14:formula1>
          <xm:sqref>B5</xm:sqref>
        </x14:dataValidation>
        <x14:dataValidation type="list" allowBlank="1" showInputMessage="1" showErrorMessage="1" xr:uid="{FD02FC6C-06EC-45B8-8DAA-2077C2EDCF3A}">
          <x14:formula1>
            <xm:f>삭제금지!$L$2:$L$4</xm:f>
          </x14:formula1>
          <xm:sqref>T5:V5</xm:sqref>
        </x14:dataValidation>
        <x14:dataValidation type="list" allowBlank="1" showInputMessage="1" showErrorMessage="1" xr:uid="{C2684DDB-4E0D-423A-9C4A-B18CB3295FB3}">
          <x14:formula1>
            <xm:f>삭제금지!$K$2:$K$59</xm:f>
          </x14:formula1>
          <xm:sqref>K5:O5</xm:sqref>
        </x14:dataValidation>
        <x14:dataValidation type="list" allowBlank="1" showInputMessage="1" showErrorMessage="1" xr:uid="{FAD57108-2219-49EE-9AAF-709AF5BD6315}">
          <x14:formula1>
            <xm:f>삭제금지!$I$2:$I$18</xm:f>
          </x14:formula1>
          <xm:sqref>F5:G5</xm:sqref>
        </x14:dataValidation>
        <x14:dataValidation type="list" allowBlank="1" showInputMessage="1" showErrorMessage="1" xr:uid="{2CF9B912-996D-4846-83D9-57440EA4086D}">
          <x14:formula1>
            <xm:f>삭제금지!$J$2:$J$59</xm:f>
          </x14:formula1>
          <xm:sqref>H5:J5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5A200-03C3-4E2B-8AE5-BEB70E7ECFD0}">
  <sheetPr>
    <pageSetUpPr fitToPage="1"/>
  </sheetPr>
  <dimension ref="B2:AG39"/>
  <sheetViews>
    <sheetView showGridLines="0" view="pageBreakPreview" zoomScale="90" zoomScaleNormal="85" zoomScaleSheetLayoutView="90" workbookViewId="0">
      <selection activeCell="B40" sqref="B2:U40"/>
    </sheetView>
  </sheetViews>
  <sheetFormatPr defaultRowHeight="17.399999999999999"/>
  <cols>
    <col min="1" max="1" width="3" customWidth="1"/>
    <col min="2" max="2" width="11.69921875" customWidth="1"/>
    <col min="3" max="3" width="5.59765625" customWidth="1"/>
    <col min="4" max="4" width="18.8984375" bestFit="1" customWidth="1"/>
    <col min="5" max="5" width="19" style="1" bestFit="1" customWidth="1"/>
    <col min="6" max="6" width="9.09765625" style="1" customWidth="1"/>
    <col min="7" max="7" width="10.69921875" customWidth="1"/>
    <col min="8" max="19" width="7.69921875" bestFit="1" customWidth="1"/>
    <col min="20" max="20" width="6.59765625" bestFit="1" customWidth="1"/>
    <col min="21" max="21" width="7.09765625" customWidth="1"/>
  </cols>
  <sheetData>
    <row r="2" spans="2:33" ht="39.75" customHeight="1" thickBot="1">
      <c r="B2" s="655" t="s">
        <v>151</v>
      </c>
      <c r="C2" s="655"/>
      <c r="D2" s="655"/>
      <c r="E2" s="655"/>
      <c r="F2" s="655"/>
      <c r="G2" s="655"/>
      <c r="H2" s="655"/>
      <c r="I2" s="655"/>
      <c r="J2" s="655"/>
      <c r="K2" s="655"/>
      <c r="L2" s="655"/>
      <c r="M2" s="655"/>
      <c r="N2" s="655"/>
      <c r="O2" s="655"/>
      <c r="P2" s="655"/>
      <c r="Q2" s="655"/>
      <c r="R2" s="655"/>
      <c r="S2" s="655"/>
      <c r="T2" s="655"/>
      <c r="U2" s="655"/>
    </row>
    <row r="3" spans="2:33" ht="27" customHeight="1" thickBot="1"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656" t="s">
        <v>129</v>
      </c>
      <c r="O3" s="657"/>
      <c r="P3" s="658"/>
      <c r="Q3" s="656" t="s">
        <v>127</v>
      </c>
      <c r="R3" s="657"/>
      <c r="S3" s="658"/>
      <c r="T3" s="659" t="s">
        <v>130</v>
      </c>
      <c r="U3" s="660"/>
    </row>
    <row r="4" spans="2:33" ht="27" customHeight="1" thickBot="1"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661" t="s">
        <v>604</v>
      </c>
      <c r="O4" s="662"/>
      <c r="P4" s="663"/>
      <c r="Q4" s="664" t="s">
        <v>672</v>
      </c>
      <c r="R4" s="665"/>
      <c r="S4" s="666"/>
      <c r="T4" s="667">
        <v>2027</v>
      </c>
      <c r="U4" s="668"/>
    </row>
    <row r="5" spans="2:33" ht="24" customHeight="1" thickBot="1">
      <c r="B5" s="648"/>
      <c r="C5" s="648"/>
    </row>
    <row r="6" spans="2:33" ht="20.25" customHeight="1">
      <c r="B6" s="649" t="s">
        <v>13</v>
      </c>
      <c r="C6" s="652" t="s">
        <v>141</v>
      </c>
      <c r="D6" s="638" t="s">
        <v>14</v>
      </c>
      <c r="E6" s="638" t="s">
        <v>15</v>
      </c>
      <c r="F6" s="638" t="s">
        <v>142</v>
      </c>
      <c r="G6" s="638" t="s">
        <v>143</v>
      </c>
      <c r="H6" s="641" t="s">
        <v>58</v>
      </c>
      <c r="I6" s="641"/>
      <c r="J6" s="641"/>
      <c r="K6" s="641"/>
      <c r="L6" s="641" t="s">
        <v>59</v>
      </c>
      <c r="M6" s="641"/>
      <c r="N6" s="641"/>
      <c r="O6" s="641"/>
      <c r="P6" s="641" t="s">
        <v>60</v>
      </c>
      <c r="Q6" s="641"/>
      <c r="R6" s="641"/>
      <c r="S6" s="641"/>
      <c r="T6" s="642" t="s">
        <v>140</v>
      </c>
      <c r="U6" s="645" t="s">
        <v>126</v>
      </c>
      <c r="W6" s="631" t="s">
        <v>131</v>
      </c>
      <c r="X6" s="632"/>
      <c r="Y6" s="632"/>
      <c r="Z6" s="632"/>
      <c r="AA6" s="632"/>
      <c r="AB6" s="632"/>
      <c r="AC6" s="632"/>
      <c r="AD6" s="632"/>
      <c r="AE6" s="632"/>
      <c r="AF6" s="633"/>
      <c r="AG6" s="13"/>
    </row>
    <row r="7" spans="2:33" ht="16.5" customHeight="1">
      <c r="B7" s="650"/>
      <c r="C7" s="653"/>
      <c r="D7" s="639"/>
      <c r="E7" s="639"/>
      <c r="F7" s="639"/>
      <c r="G7" s="639"/>
      <c r="H7" s="634" t="s">
        <v>124</v>
      </c>
      <c r="I7" s="634"/>
      <c r="J7" s="634" t="s">
        <v>62</v>
      </c>
      <c r="K7" s="634"/>
      <c r="L7" s="634" t="s">
        <v>124</v>
      </c>
      <c r="M7" s="634"/>
      <c r="N7" s="634" t="s">
        <v>62</v>
      </c>
      <c r="O7" s="634"/>
      <c r="P7" s="634" t="s">
        <v>124</v>
      </c>
      <c r="Q7" s="634"/>
      <c r="R7" s="634" t="s">
        <v>62</v>
      </c>
      <c r="S7" s="634"/>
      <c r="T7" s="643"/>
      <c r="U7" s="646"/>
      <c r="W7" s="635" t="s">
        <v>132</v>
      </c>
      <c r="X7" s="636"/>
      <c r="Y7" s="636"/>
      <c r="Z7" s="636"/>
      <c r="AA7" s="636"/>
      <c r="AB7" s="636"/>
      <c r="AC7" s="636"/>
      <c r="AD7" s="636"/>
      <c r="AE7" s="636"/>
      <c r="AF7" s="637"/>
      <c r="AG7" s="13"/>
    </row>
    <row r="8" spans="2:33" ht="17.25" customHeight="1" thickBot="1">
      <c r="B8" s="651"/>
      <c r="C8" s="654"/>
      <c r="D8" s="640"/>
      <c r="E8" s="640"/>
      <c r="F8" s="640"/>
      <c r="G8" s="640"/>
      <c r="H8" s="26" t="s">
        <v>139</v>
      </c>
      <c r="I8" s="26" t="s">
        <v>125</v>
      </c>
      <c r="J8" s="26" t="s">
        <v>139</v>
      </c>
      <c r="K8" s="26" t="s">
        <v>125</v>
      </c>
      <c r="L8" s="26" t="s">
        <v>139</v>
      </c>
      <c r="M8" s="26" t="s">
        <v>125</v>
      </c>
      <c r="N8" s="26" t="s">
        <v>139</v>
      </c>
      <c r="O8" s="26" t="s">
        <v>125</v>
      </c>
      <c r="P8" s="26" t="s">
        <v>139</v>
      </c>
      <c r="Q8" s="26" t="s">
        <v>125</v>
      </c>
      <c r="R8" s="26" t="s">
        <v>139</v>
      </c>
      <c r="S8" s="26" t="s">
        <v>125</v>
      </c>
      <c r="T8" s="644"/>
      <c r="U8" s="647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>
      <c r="B9" s="611" t="s">
        <v>539</v>
      </c>
      <c r="C9" s="608">
        <v>6</v>
      </c>
      <c r="D9" s="210" t="s">
        <v>615</v>
      </c>
      <c r="E9" s="210" t="s">
        <v>616</v>
      </c>
      <c r="F9" s="210">
        <v>40</v>
      </c>
      <c r="G9" s="210">
        <v>4</v>
      </c>
      <c r="H9" s="211"/>
      <c r="I9" s="211">
        <f>H9*16</f>
        <v>0</v>
      </c>
      <c r="J9" s="211"/>
      <c r="K9" s="211">
        <f>J9*16</f>
        <v>0</v>
      </c>
      <c r="L9" s="211">
        <v>3</v>
      </c>
      <c r="M9" s="211">
        <v>48</v>
      </c>
      <c r="N9" s="211"/>
      <c r="O9" s="211"/>
      <c r="P9" s="211"/>
      <c r="Q9" s="211"/>
      <c r="R9" s="211"/>
      <c r="S9" s="211"/>
      <c r="T9" s="218">
        <f>SUM(H9,J9,L9,N9,P9,R9)</f>
        <v>3</v>
      </c>
      <c r="U9" s="219">
        <f>SUM(I9,K9,M9,O9,Q9,S9)</f>
        <v>48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612"/>
      <c r="C10" s="609"/>
      <c r="D10" s="212" t="s">
        <v>617</v>
      </c>
      <c r="E10" s="213" t="s">
        <v>618</v>
      </c>
      <c r="F10" s="212">
        <v>80</v>
      </c>
      <c r="G10" s="212">
        <v>3</v>
      </c>
      <c r="H10" s="214"/>
      <c r="I10" s="214"/>
      <c r="J10" s="214"/>
      <c r="K10" s="214"/>
      <c r="L10" s="214"/>
      <c r="M10" s="214"/>
      <c r="N10" s="214">
        <v>3</v>
      </c>
      <c r="O10" s="214">
        <v>48</v>
      </c>
      <c r="P10" s="214"/>
      <c r="Q10" s="214"/>
      <c r="R10" s="214"/>
      <c r="S10" s="214"/>
      <c r="T10" s="220">
        <f t="shared" ref="T10:U10" si="0">SUM(H10,J10,L10,N10,P10,R10)</f>
        <v>3</v>
      </c>
      <c r="U10" s="221">
        <f t="shared" si="0"/>
        <v>48</v>
      </c>
      <c r="W10" s="12"/>
      <c r="X10" s="13"/>
      <c r="Y10" s="13"/>
      <c r="Z10" s="13"/>
      <c r="AA10" s="13"/>
      <c r="AB10" s="13"/>
      <c r="AC10" s="13"/>
      <c r="AD10" s="13"/>
      <c r="AE10" s="13"/>
      <c r="AF10" s="17"/>
      <c r="AG10" s="13"/>
    </row>
    <row r="11" spans="2:33" ht="18" thickBot="1">
      <c r="B11" s="613"/>
      <c r="C11" s="610"/>
      <c r="D11" s="614" t="s">
        <v>16</v>
      </c>
      <c r="E11" s="614"/>
      <c r="F11" s="252"/>
      <c r="G11" s="252"/>
      <c r="H11" s="217">
        <f>SUM(H9:H10)</f>
        <v>0</v>
      </c>
      <c r="I11" s="217">
        <f t="shared" ref="I11:U11" si="1">SUM(I9:I10)</f>
        <v>0</v>
      </c>
      <c r="J11" s="217">
        <f t="shared" si="1"/>
        <v>0</v>
      </c>
      <c r="K11" s="217">
        <f t="shared" si="1"/>
        <v>0</v>
      </c>
      <c r="L11" s="217">
        <f t="shared" si="1"/>
        <v>3</v>
      </c>
      <c r="M11" s="217">
        <f t="shared" si="1"/>
        <v>48</v>
      </c>
      <c r="N11" s="217">
        <f t="shared" si="1"/>
        <v>3</v>
      </c>
      <c r="O11" s="217">
        <f t="shared" si="1"/>
        <v>48</v>
      </c>
      <c r="P11" s="217">
        <f t="shared" si="1"/>
        <v>0</v>
      </c>
      <c r="Q11" s="217">
        <f t="shared" si="1"/>
        <v>0</v>
      </c>
      <c r="R11" s="217">
        <f t="shared" si="1"/>
        <v>0</v>
      </c>
      <c r="S11" s="217">
        <f t="shared" si="1"/>
        <v>0</v>
      </c>
      <c r="T11" s="222">
        <f t="shared" si="1"/>
        <v>6</v>
      </c>
      <c r="U11" s="222">
        <f t="shared" si="1"/>
        <v>96</v>
      </c>
    </row>
    <row r="12" spans="2:33">
      <c r="B12" s="621" t="s">
        <v>563</v>
      </c>
      <c r="C12" s="624">
        <v>5</v>
      </c>
      <c r="D12" s="210" t="s">
        <v>673</v>
      </c>
      <c r="E12" s="210" t="s">
        <v>674</v>
      </c>
      <c r="F12" s="210">
        <v>30</v>
      </c>
      <c r="G12" s="210">
        <v>5</v>
      </c>
      <c r="H12" s="211"/>
      <c r="I12" s="211"/>
      <c r="J12" s="211"/>
      <c r="K12" s="211"/>
      <c r="L12" s="211"/>
      <c r="M12" s="211"/>
      <c r="N12" s="211"/>
      <c r="O12" s="211"/>
      <c r="P12" s="211"/>
      <c r="Q12" s="211"/>
      <c r="R12" s="211">
        <v>1</v>
      </c>
      <c r="S12" s="211">
        <v>16</v>
      </c>
      <c r="T12" s="261">
        <f>SUM(H12,J12,L12,N12,P12,R12)</f>
        <v>1</v>
      </c>
      <c r="U12" s="262">
        <f>SUM(I12,K12,M12,O12,Q12,S12)</f>
        <v>16</v>
      </c>
      <c r="W12" s="28"/>
    </row>
    <row r="13" spans="2:33">
      <c r="B13" s="622"/>
      <c r="C13" s="625"/>
      <c r="D13" s="212" t="s">
        <v>675</v>
      </c>
      <c r="E13" s="213" t="s">
        <v>676</v>
      </c>
      <c r="F13" s="212">
        <v>24</v>
      </c>
      <c r="G13" s="212">
        <v>4</v>
      </c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214">
        <v>2</v>
      </c>
      <c r="S13" s="214">
        <v>32</v>
      </c>
      <c r="T13" s="263">
        <f t="shared" ref="T13:U14" si="2">SUM(H13,J13,L13,N13,P13,R13)</f>
        <v>2</v>
      </c>
      <c r="U13" s="264">
        <f t="shared" si="2"/>
        <v>32</v>
      </c>
    </row>
    <row r="14" spans="2:33">
      <c r="B14" s="622"/>
      <c r="C14" s="625"/>
      <c r="D14" s="213" t="s">
        <v>677</v>
      </c>
      <c r="E14" s="212" t="s">
        <v>678</v>
      </c>
      <c r="F14" s="213">
        <v>40</v>
      </c>
      <c r="G14" s="213">
        <v>5</v>
      </c>
      <c r="H14" s="215"/>
      <c r="I14" s="215"/>
      <c r="J14" s="215"/>
      <c r="K14" s="215"/>
      <c r="L14" s="215"/>
      <c r="M14" s="215"/>
      <c r="N14" s="215"/>
      <c r="O14" s="215"/>
      <c r="P14" s="215"/>
      <c r="Q14" s="215"/>
      <c r="R14" s="215">
        <v>2</v>
      </c>
      <c r="S14" s="215">
        <v>32</v>
      </c>
      <c r="T14" s="263">
        <f t="shared" si="2"/>
        <v>2</v>
      </c>
      <c r="U14" s="264">
        <f t="shared" si="2"/>
        <v>32</v>
      </c>
    </row>
    <row r="15" spans="2:33" ht="18" thickBot="1">
      <c r="B15" s="623"/>
      <c r="C15" s="626"/>
      <c r="D15" s="614" t="s">
        <v>16</v>
      </c>
      <c r="E15" s="614"/>
      <c r="F15" s="252"/>
      <c r="G15" s="252"/>
      <c r="H15" s="217">
        <f>SUM(H14:H14)</f>
        <v>0</v>
      </c>
      <c r="I15" s="217">
        <f>SUM(I14:I14)</f>
        <v>0</v>
      </c>
      <c r="J15" s="217">
        <f>SUM(J14:J14)</f>
        <v>0</v>
      </c>
      <c r="K15" s="217">
        <f>SUM(K14:K14)</f>
        <v>0</v>
      </c>
      <c r="L15" s="217">
        <f t="shared" ref="L15:U15" si="3">SUM(L12:L14)</f>
        <v>0</v>
      </c>
      <c r="M15" s="217">
        <f t="shared" si="3"/>
        <v>0</v>
      </c>
      <c r="N15" s="217">
        <f t="shared" si="3"/>
        <v>0</v>
      </c>
      <c r="O15" s="217">
        <f t="shared" si="3"/>
        <v>0</v>
      </c>
      <c r="P15" s="217">
        <f t="shared" si="3"/>
        <v>0</v>
      </c>
      <c r="Q15" s="217">
        <f t="shared" si="3"/>
        <v>0</v>
      </c>
      <c r="R15" s="217">
        <f t="shared" si="3"/>
        <v>5</v>
      </c>
      <c r="S15" s="217">
        <f t="shared" si="3"/>
        <v>80</v>
      </c>
      <c r="T15" s="222">
        <f t="shared" si="3"/>
        <v>5</v>
      </c>
      <c r="U15" s="222">
        <f t="shared" si="3"/>
        <v>80</v>
      </c>
    </row>
    <row r="16" spans="2:33">
      <c r="B16" s="622" t="s">
        <v>564</v>
      </c>
      <c r="C16" s="625">
        <v>10</v>
      </c>
      <c r="D16" s="242" t="s">
        <v>679</v>
      </c>
      <c r="E16" s="242" t="s">
        <v>680</v>
      </c>
      <c r="F16" s="242">
        <v>48</v>
      </c>
      <c r="G16" s="242">
        <v>3</v>
      </c>
      <c r="H16" s="253"/>
      <c r="I16" s="253"/>
      <c r="J16" s="253"/>
      <c r="K16" s="253"/>
      <c r="L16" s="253"/>
      <c r="M16" s="253"/>
      <c r="N16" s="253"/>
      <c r="O16" s="253"/>
      <c r="P16" s="253">
        <v>5</v>
      </c>
      <c r="Q16" s="215">
        <v>80</v>
      </c>
      <c r="R16" s="215"/>
      <c r="S16" s="215"/>
      <c r="T16" s="263">
        <f t="shared" ref="T16:U17" si="4">SUM(H16,J16,L16,N16,P16,R16)</f>
        <v>5</v>
      </c>
      <c r="U16" s="264">
        <f t="shared" si="4"/>
        <v>80</v>
      </c>
      <c r="W16" s="28"/>
    </row>
    <row r="17" spans="2:23">
      <c r="B17" s="622"/>
      <c r="C17" s="625"/>
      <c r="D17" s="212" t="s">
        <v>681</v>
      </c>
      <c r="E17" s="213" t="s">
        <v>682</v>
      </c>
      <c r="F17" s="212">
        <v>48</v>
      </c>
      <c r="G17" s="212">
        <v>4</v>
      </c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214">
        <v>5</v>
      </c>
      <c r="S17" s="214">
        <v>80</v>
      </c>
      <c r="T17" s="263">
        <f t="shared" si="4"/>
        <v>5</v>
      </c>
      <c r="U17" s="264">
        <f t="shared" si="4"/>
        <v>80</v>
      </c>
    </row>
    <row r="18" spans="2:23" ht="18" thickBot="1">
      <c r="B18" s="623"/>
      <c r="C18" s="626"/>
      <c r="D18" s="614" t="s">
        <v>16</v>
      </c>
      <c r="E18" s="614"/>
      <c r="F18" s="252"/>
      <c r="G18" s="252"/>
      <c r="H18" s="217">
        <f t="shared" ref="H18:U18" si="5">SUM(H16:H17)</f>
        <v>0</v>
      </c>
      <c r="I18" s="217">
        <f t="shared" si="5"/>
        <v>0</v>
      </c>
      <c r="J18" s="217">
        <f t="shared" si="5"/>
        <v>0</v>
      </c>
      <c r="K18" s="217">
        <f t="shared" si="5"/>
        <v>0</v>
      </c>
      <c r="L18" s="217">
        <f t="shared" si="5"/>
        <v>0</v>
      </c>
      <c r="M18" s="217">
        <f t="shared" si="5"/>
        <v>0</v>
      </c>
      <c r="N18" s="217">
        <f t="shared" si="5"/>
        <v>0</v>
      </c>
      <c r="O18" s="217">
        <f t="shared" si="5"/>
        <v>0</v>
      </c>
      <c r="P18" s="217">
        <f t="shared" si="5"/>
        <v>5</v>
      </c>
      <c r="Q18" s="217">
        <f t="shared" si="5"/>
        <v>80</v>
      </c>
      <c r="R18" s="217">
        <f t="shared" si="5"/>
        <v>5</v>
      </c>
      <c r="S18" s="217">
        <f t="shared" si="5"/>
        <v>80</v>
      </c>
      <c r="T18" s="222">
        <f t="shared" si="5"/>
        <v>10</v>
      </c>
      <c r="U18" s="222">
        <f t="shared" si="5"/>
        <v>160</v>
      </c>
    </row>
    <row r="19" spans="2:23">
      <c r="B19" s="621" t="s">
        <v>565</v>
      </c>
      <c r="C19" s="624">
        <v>8</v>
      </c>
      <c r="D19" s="210" t="s">
        <v>683</v>
      </c>
      <c r="E19" s="210" t="s">
        <v>684</v>
      </c>
      <c r="F19" s="210">
        <v>30</v>
      </c>
      <c r="G19" s="210">
        <v>4</v>
      </c>
      <c r="H19" s="211"/>
      <c r="I19" s="211"/>
      <c r="J19" s="211"/>
      <c r="K19" s="211"/>
      <c r="L19" s="211"/>
      <c r="M19" s="211"/>
      <c r="N19" s="211"/>
      <c r="O19" s="211"/>
      <c r="P19" s="211">
        <v>4</v>
      </c>
      <c r="Q19" s="211">
        <v>64</v>
      </c>
      <c r="R19" s="211"/>
      <c r="S19" s="211"/>
      <c r="T19" s="218">
        <f>SUM(H19,J19,L19,N19,P19,R19)</f>
        <v>4</v>
      </c>
      <c r="U19" s="219">
        <f>SUM(I19,K19,M19,O19,Q19,S19)</f>
        <v>64</v>
      </c>
      <c r="W19" s="28"/>
    </row>
    <row r="20" spans="2:23">
      <c r="B20" s="622"/>
      <c r="C20" s="625"/>
      <c r="D20" s="212" t="s">
        <v>685</v>
      </c>
      <c r="E20" s="213" t="s">
        <v>686</v>
      </c>
      <c r="F20" s="212">
        <v>30</v>
      </c>
      <c r="G20" s="212">
        <v>2</v>
      </c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214">
        <v>2</v>
      </c>
      <c r="S20" s="214">
        <v>32</v>
      </c>
      <c r="T20" s="220">
        <f t="shared" ref="T20:U21" si="6">SUM(H20,J20,L20,N20,P20,R20)</f>
        <v>2</v>
      </c>
      <c r="U20" s="221">
        <f t="shared" si="6"/>
        <v>32</v>
      </c>
    </row>
    <row r="21" spans="2:23">
      <c r="B21" s="622"/>
      <c r="C21" s="625"/>
      <c r="D21" s="213" t="s">
        <v>687</v>
      </c>
      <c r="E21" s="212" t="s">
        <v>688</v>
      </c>
      <c r="F21" s="213">
        <v>30</v>
      </c>
      <c r="G21" s="213">
        <v>3</v>
      </c>
      <c r="H21" s="215"/>
      <c r="I21" s="215"/>
      <c r="J21" s="215"/>
      <c r="K21" s="215"/>
      <c r="L21" s="215"/>
      <c r="M21" s="215"/>
      <c r="N21" s="215"/>
      <c r="O21" s="215"/>
      <c r="P21" s="215"/>
      <c r="Q21" s="215"/>
      <c r="R21" s="215">
        <v>2</v>
      </c>
      <c r="S21" s="215">
        <v>32</v>
      </c>
      <c r="T21" s="220">
        <f t="shared" si="6"/>
        <v>2</v>
      </c>
      <c r="U21" s="227">
        <f>Q21+S21</f>
        <v>32</v>
      </c>
    </row>
    <row r="22" spans="2:23" ht="18" thickBot="1">
      <c r="B22" s="623"/>
      <c r="C22" s="626"/>
      <c r="D22" s="627" t="s">
        <v>16</v>
      </c>
      <c r="E22" s="628"/>
      <c r="F22" s="252"/>
      <c r="G22" s="252"/>
      <c r="H22" s="217">
        <f>SUM(H21:H21)</f>
        <v>0</v>
      </c>
      <c r="I22" s="217">
        <f>SUM(I21:I21)</f>
        <v>0</v>
      </c>
      <c r="J22" s="217">
        <f>SUM(J21:J21)</f>
        <v>0</v>
      </c>
      <c r="K22" s="217">
        <f>SUM(K21:K21)</f>
        <v>0</v>
      </c>
      <c r="L22" s="217">
        <f t="shared" ref="L22:U22" si="7">SUM(L19:L21)</f>
        <v>0</v>
      </c>
      <c r="M22" s="217">
        <f t="shared" si="7"/>
        <v>0</v>
      </c>
      <c r="N22" s="217">
        <f t="shared" si="7"/>
        <v>0</v>
      </c>
      <c r="O22" s="217">
        <f t="shared" si="7"/>
        <v>0</v>
      </c>
      <c r="P22" s="217">
        <f t="shared" si="7"/>
        <v>4</v>
      </c>
      <c r="Q22" s="217">
        <f t="shared" si="7"/>
        <v>64</v>
      </c>
      <c r="R22" s="217">
        <f t="shared" si="7"/>
        <v>4</v>
      </c>
      <c r="S22" s="217">
        <f t="shared" si="7"/>
        <v>64</v>
      </c>
      <c r="T22" s="222">
        <f t="shared" si="7"/>
        <v>8</v>
      </c>
      <c r="U22" s="222">
        <f t="shared" si="7"/>
        <v>128</v>
      </c>
    </row>
    <row r="23" spans="2:23">
      <c r="B23" s="669" t="s">
        <v>548</v>
      </c>
      <c r="C23" s="671">
        <v>4</v>
      </c>
      <c r="D23" s="210" t="s">
        <v>689</v>
      </c>
      <c r="E23" s="210" t="s">
        <v>646</v>
      </c>
      <c r="F23" s="210">
        <v>20</v>
      </c>
      <c r="G23" s="210">
        <v>3</v>
      </c>
      <c r="H23" s="211"/>
      <c r="I23" s="211"/>
      <c r="J23" s="211"/>
      <c r="K23" s="211"/>
      <c r="L23" s="211"/>
      <c r="M23" s="211"/>
      <c r="N23" s="211"/>
      <c r="O23" s="211"/>
      <c r="P23" s="211">
        <v>2</v>
      </c>
      <c r="Q23" s="211">
        <v>32</v>
      </c>
      <c r="R23" s="211"/>
      <c r="S23" s="211"/>
      <c r="T23" s="218">
        <f>SUM(H23,J23,L23,N23,P23,R23)</f>
        <v>2</v>
      </c>
      <c r="U23" s="219">
        <f>SUM(I23,K23,M23,O23,Q23,S23)</f>
        <v>32</v>
      </c>
    </row>
    <row r="24" spans="2:23">
      <c r="B24" s="670"/>
      <c r="C24" s="672"/>
      <c r="D24" s="212" t="s">
        <v>690</v>
      </c>
      <c r="E24" s="213" t="s">
        <v>648</v>
      </c>
      <c r="F24" s="212">
        <v>20</v>
      </c>
      <c r="G24" s="212">
        <v>3</v>
      </c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214">
        <v>2</v>
      </c>
      <c r="S24" s="214">
        <v>32</v>
      </c>
      <c r="T24" s="220">
        <f t="shared" ref="T24:U24" si="8">SUM(H24,J24,L24,N24,P24,R24)</f>
        <v>2</v>
      </c>
      <c r="U24" s="221">
        <f t="shared" si="8"/>
        <v>32</v>
      </c>
    </row>
    <row r="25" spans="2:23" ht="18" thickBot="1">
      <c r="B25" s="670"/>
      <c r="C25" s="672"/>
      <c r="D25" s="614" t="s">
        <v>16</v>
      </c>
      <c r="E25" s="614"/>
      <c r="F25" s="252"/>
      <c r="G25" s="252"/>
      <c r="H25" s="217">
        <f>SUM(H23:H24)</f>
        <v>0</v>
      </c>
      <c r="I25" s="217">
        <f t="shared" ref="I25:U25" si="9">SUM(I23:I24)</f>
        <v>0</v>
      </c>
      <c r="J25" s="217">
        <f t="shared" si="9"/>
        <v>0</v>
      </c>
      <c r="K25" s="217">
        <f t="shared" si="9"/>
        <v>0</v>
      </c>
      <c r="L25" s="217">
        <f t="shared" si="9"/>
        <v>0</v>
      </c>
      <c r="M25" s="217">
        <f t="shared" si="9"/>
        <v>0</v>
      </c>
      <c r="N25" s="217">
        <f t="shared" si="9"/>
        <v>0</v>
      </c>
      <c r="O25" s="217">
        <f t="shared" si="9"/>
        <v>0</v>
      </c>
      <c r="P25" s="217">
        <f t="shared" si="9"/>
        <v>2</v>
      </c>
      <c r="Q25" s="217">
        <f t="shared" si="9"/>
        <v>32</v>
      </c>
      <c r="R25" s="217">
        <f t="shared" si="9"/>
        <v>2</v>
      </c>
      <c r="S25" s="217">
        <f t="shared" si="9"/>
        <v>32</v>
      </c>
      <c r="T25" s="222">
        <f t="shared" si="9"/>
        <v>4</v>
      </c>
      <c r="U25" s="222">
        <f t="shared" si="9"/>
        <v>64</v>
      </c>
    </row>
    <row r="26" spans="2:23">
      <c r="B26" s="611" t="s">
        <v>566</v>
      </c>
      <c r="C26" s="608">
        <v>15</v>
      </c>
      <c r="D26" s="210" t="s">
        <v>691</v>
      </c>
      <c r="E26" s="243" t="s">
        <v>692</v>
      </c>
      <c r="F26" s="210">
        <v>30</v>
      </c>
      <c r="G26" s="210">
        <v>3</v>
      </c>
      <c r="H26" s="211"/>
      <c r="I26" s="211"/>
      <c r="J26" s="211"/>
      <c r="K26" s="211"/>
      <c r="L26" s="211"/>
      <c r="M26" s="211"/>
      <c r="N26" s="211"/>
      <c r="O26" s="211"/>
      <c r="P26" s="211">
        <v>1</v>
      </c>
      <c r="Q26" s="211">
        <v>16</v>
      </c>
      <c r="R26" s="211"/>
      <c r="S26" s="211"/>
      <c r="T26" s="234">
        <f>SUM(H26,J26,L26,N26,P26,R26)</f>
        <v>1</v>
      </c>
      <c r="U26" s="235">
        <f>SUM(I26,K26,M26,O26,Q26,S26)</f>
        <v>16</v>
      </c>
    </row>
    <row r="27" spans="2:23">
      <c r="B27" s="612"/>
      <c r="C27" s="609"/>
      <c r="D27" s="213" t="s">
        <v>693</v>
      </c>
      <c r="E27" s="244" t="s">
        <v>694</v>
      </c>
      <c r="F27" s="213">
        <v>40</v>
      </c>
      <c r="G27" s="213">
        <v>3</v>
      </c>
      <c r="H27" s="215"/>
      <c r="I27" s="215"/>
      <c r="J27" s="215"/>
      <c r="K27" s="215"/>
      <c r="L27" s="215"/>
      <c r="M27" s="215"/>
      <c r="N27" s="215"/>
      <c r="O27" s="215"/>
      <c r="P27" s="215">
        <v>2</v>
      </c>
      <c r="Q27" s="215">
        <v>32</v>
      </c>
      <c r="R27" s="215"/>
      <c r="S27" s="215"/>
      <c r="T27" s="220">
        <f>SUM(H27,J27,L27,N27,P27,R27)</f>
        <v>2</v>
      </c>
      <c r="U27" s="221">
        <f>SUM(I27,K27,M27,O27,Q27,S27)</f>
        <v>32</v>
      </c>
    </row>
    <row r="28" spans="2:23">
      <c r="B28" s="612"/>
      <c r="C28" s="609"/>
      <c r="D28" s="213" t="s">
        <v>695</v>
      </c>
      <c r="E28" s="244" t="s">
        <v>696</v>
      </c>
      <c r="F28" s="213">
        <v>50</v>
      </c>
      <c r="G28" s="213">
        <v>2</v>
      </c>
      <c r="H28" s="215"/>
      <c r="I28" s="215"/>
      <c r="J28" s="215"/>
      <c r="K28" s="215"/>
      <c r="L28" s="215"/>
      <c r="M28" s="215"/>
      <c r="N28" s="215"/>
      <c r="O28" s="215"/>
      <c r="P28" s="215">
        <v>5</v>
      </c>
      <c r="Q28" s="215">
        <v>80</v>
      </c>
      <c r="R28" s="215"/>
      <c r="S28" s="215"/>
      <c r="T28" s="220">
        <f t="shared" ref="T28:U31" si="10">SUM(H28,J28,L28,N28,P28,R28)</f>
        <v>5</v>
      </c>
      <c r="U28" s="221">
        <f t="shared" si="10"/>
        <v>80</v>
      </c>
    </row>
    <row r="29" spans="2:23">
      <c r="B29" s="612"/>
      <c r="C29" s="609"/>
      <c r="D29" s="213" t="s">
        <v>697</v>
      </c>
      <c r="E29" s="244" t="s">
        <v>698</v>
      </c>
      <c r="F29" s="213">
        <v>40</v>
      </c>
      <c r="G29" s="213">
        <v>3</v>
      </c>
      <c r="H29" s="215"/>
      <c r="I29" s="215"/>
      <c r="J29" s="215"/>
      <c r="K29" s="215"/>
      <c r="L29" s="215"/>
      <c r="M29" s="215"/>
      <c r="N29" s="215"/>
      <c r="O29" s="215"/>
      <c r="P29" s="215">
        <v>2</v>
      </c>
      <c r="Q29" s="215">
        <v>32</v>
      </c>
      <c r="R29" s="215"/>
      <c r="S29" s="215"/>
      <c r="T29" s="220">
        <f t="shared" si="10"/>
        <v>2</v>
      </c>
      <c r="U29" s="221">
        <f t="shared" si="10"/>
        <v>32</v>
      </c>
    </row>
    <row r="30" spans="2:23">
      <c r="B30" s="612"/>
      <c r="C30" s="609"/>
      <c r="D30" s="213" t="s">
        <v>699</v>
      </c>
      <c r="E30" s="244" t="s">
        <v>714</v>
      </c>
      <c r="F30" s="213">
        <v>48</v>
      </c>
      <c r="G30" s="213">
        <v>5</v>
      </c>
      <c r="H30" s="215"/>
      <c r="I30" s="215"/>
      <c r="J30" s="215"/>
      <c r="K30" s="215"/>
      <c r="L30" s="215"/>
      <c r="M30" s="215"/>
      <c r="N30" s="215"/>
      <c r="O30" s="215"/>
      <c r="P30" s="215"/>
      <c r="Q30" s="215"/>
      <c r="R30" s="215">
        <v>2</v>
      </c>
      <c r="S30" s="215">
        <v>32</v>
      </c>
      <c r="T30" s="220">
        <f t="shared" si="10"/>
        <v>2</v>
      </c>
      <c r="U30" s="221">
        <f t="shared" si="10"/>
        <v>32</v>
      </c>
    </row>
    <row r="31" spans="2:23">
      <c r="B31" s="612"/>
      <c r="C31" s="609"/>
      <c r="D31" s="212" t="s">
        <v>700</v>
      </c>
      <c r="E31" s="244" t="s">
        <v>701</v>
      </c>
      <c r="F31" s="212">
        <v>48</v>
      </c>
      <c r="G31" s="212">
        <v>3</v>
      </c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214">
        <v>3</v>
      </c>
      <c r="S31" s="214">
        <v>48</v>
      </c>
      <c r="T31" s="220">
        <f t="shared" si="10"/>
        <v>3</v>
      </c>
      <c r="U31" s="221">
        <f t="shared" si="10"/>
        <v>48</v>
      </c>
    </row>
    <row r="32" spans="2:23" ht="18" thickBot="1">
      <c r="B32" s="613"/>
      <c r="C32" s="610"/>
      <c r="D32" s="627" t="s">
        <v>16</v>
      </c>
      <c r="E32" s="628"/>
      <c r="F32" s="252"/>
      <c r="G32" s="252"/>
      <c r="H32" s="217">
        <f>SUM(H26:H31)</f>
        <v>0</v>
      </c>
      <c r="I32" s="217">
        <f t="shared" ref="I32:U32" si="11">SUM(I26:I31)</f>
        <v>0</v>
      </c>
      <c r="J32" s="217">
        <f t="shared" si="11"/>
        <v>0</v>
      </c>
      <c r="K32" s="217">
        <f t="shared" si="11"/>
        <v>0</v>
      </c>
      <c r="L32" s="217">
        <f t="shared" si="11"/>
        <v>0</v>
      </c>
      <c r="M32" s="217">
        <f t="shared" si="11"/>
        <v>0</v>
      </c>
      <c r="N32" s="217">
        <f t="shared" si="11"/>
        <v>0</v>
      </c>
      <c r="O32" s="217">
        <f t="shared" si="11"/>
        <v>0</v>
      </c>
      <c r="P32" s="217">
        <f t="shared" si="11"/>
        <v>10</v>
      </c>
      <c r="Q32" s="217">
        <f t="shared" si="11"/>
        <v>160</v>
      </c>
      <c r="R32" s="217">
        <f t="shared" si="11"/>
        <v>5</v>
      </c>
      <c r="S32" s="217">
        <f t="shared" si="11"/>
        <v>80</v>
      </c>
      <c r="T32" s="222">
        <f t="shared" si="11"/>
        <v>15</v>
      </c>
      <c r="U32" s="222">
        <f t="shared" si="11"/>
        <v>240</v>
      </c>
    </row>
    <row r="33" spans="2:21">
      <c r="B33" s="615" t="s">
        <v>567</v>
      </c>
      <c r="C33" s="618">
        <v>15</v>
      </c>
      <c r="D33" s="245" t="s">
        <v>702</v>
      </c>
      <c r="E33" s="246" t="s">
        <v>703</v>
      </c>
      <c r="F33" s="210">
        <v>240</v>
      </c>
      <c r="G33" s="210">
        <v>4</v>
      </c>
      <c r="H33" s="254"/>
      <c r="I33" s="254"/>
      <c r="J33" s="254"/>
      <c r="K33" s="254"/>
      <c r="L33" s="254"/>
      <c r="M33" s="254"/>
      <c r="N33" s="254"/>
      <c r="O33" s="254"/>
      <c r="P33" s="255">
        <v>3</v>
      </c>
      <c r="Q33" s="255">
        <v>48</v>
      </c>
      <c r="R33" s="256"/>
      <c r="S33" s="256"/>
      <c r="T33" s="220">
        <f t="shared" ref="T33:U38" si="12">SUM(H33,J33,L33,N33,P33,R33)</f>
        <v>3</v>
      </c>
      <c r="U33" s="221">
        <f t="shared" si="12"/>
        <v>48</v>
      </c>
    </row>
    <row r="34" spans="2:21">
      <c r="B34" s="616"/>
      <c r="C34" s="619"/>
      <c r="D34" s="247" t="s">
        <v>704</v>
      </c>
      <c r="E34" s="248" t="s">
        <v>705</v>
      </c>
      <c r="F34" s="213">
        <v>240</v>
      </c>
      <c r="G34" s="213">
        <v>3</v>
      </c>
      <c r="H34" s="257"/>
      <c r="I34" s="257"/>
      <c r="J34" s="257"/>
      <c r="K34" s="257"/>
      <c r="L34" s="257"/>
      <c r="M34" s="257"/>
      <c r="N34" s="257"/>
      <c r="O34" s="257"/>
      <c r="P34" s="258">
        <v>3</v>
      </c>
      <c r="Q34" s="258">
        <v>48</v>
      </c>
      <c r="R34" s="258"/>
      <c r="S34" s="258"/>
      <c r="T34" s="220">
        <f t="shared" si="12"/>
        <v>3</v>
      </c>
      <c r="U34" s="221">
        <f t="shared" si="12"/>
        <v>48</v>
      </c>
    </row>
    <row r="35" spans="2:21">
      <c r="B35" s="616"/>
      <c r="C35" s="619"/>
      <c r="D35" s="247" t="s">
        <v>706</v>
      </c>
      <c r="E35" s="249" t="s">
        <v>707</v>
      </c>
      <c r="F35" s="213">
        <v>50</v>
      </c>
      <c r="G35" s="213">
        <v>3</v>
      </c>
      <c r="H35" s="257"/>
      <c r="I35" s="257"/>
      <c r="J35" s="257"/>
      <c r="K35" s="257"/>
      <c r="L35" s="257"/>
      <c r="M35" s="257"/>
      <c r="N35" s="257"/>
      <c r="O35" s="257"/>
      <c r="P35" s="258">
        <v>4</v>
      </c>
      <c r="Q35" s="258">
        <v>64</v>
      </c>
      <c r="R35" s="258"/>
      <c r="S35" s="258"/>
      <c r="T35" s="226">
        <f t="shared" si="12"/>
        <v>4</v>
      </c>
      <c r="U35" s="227">
        <f t="shared" si="12"/>
        <v>64</v>
      </c>
    </row>
    <row r="36" spans="2:21">
      <c r="B36" s="616"/>
      <c r="C36" s="619"/>
      <c r="D36" s="265" t="s">
        <v>708</v>
      </c>
      <c r="E36" s="266" t="s">
        <v>709</v>
      </c>
      <c r="F36" s="267">
        <v>240</v>
      </c>
      <c r="G36" s="212">
        <v>3</v>
      </c>
      <c r="H36" s="259"/>
      <c r="I36" s="259"/>
      <c r="J36" s="259"/>
      <c r="K36" s="259"/>
      <c r="L36" s="259"/>
      <c r="M36" s="259"/>
      <c r="N36" s="259"/>
      <c r="O36" s="259"/>
      <c r="P36" s="260"/>
      <c r="Q36" s="260"/>
      <c r="R36" s="260">
        <v>1</v>
      </c>
      <c r="S36" s="260">
        <v>16</v>
      </c>
      <c r="T36" s="220">
        <f t="shared" si="12"/>
        <v>1</v>
      </c>
      <c r="U36" s="221">
        <f t="shared" si="12"/>
        <v>16</v>
      </c>
    </row>
    <row r="37" spans="2:21">
      <c r="B37" s="616"/>
      <c r="C37" s="619"/>
      <c r="D37" s="245" t="s">
        <v>710</v>
      </c>
      <c r="E37" s="250" t="s">
        <v>711</v>
      </c>
      <c r="F37" s="213">
        <v>240</v>
      </c>
      <c r="G37" s="213">
        <v>2</v>
      </c>
      <c r="H37" s="257"/>
      <c r="I37" s="257"/>
      <c r="J37" s="257"/>
      <c r="K37" s="257"/>
      <c r="L37" s="257"/>
      <c r="M37" s="257"/>
      <c r="N37" s="257"/>
      <c r="O37" s="257"/>
      <c r="P37" s="260"/>
      <c r="Q37" s="260"/>
      <c r="R37" s="260">
        <v>2</v>
      </c>
      <c r="S37" s="260">
        <v>32</v>
      </c>
      <c r="T37" s="220">
        <f t="shared" si="12"/>
        <v>2</v>
      </c>
      <c r="U37" s="227">
        <f>Q37+S37</f>
        <v>32</v>
      </c>
    </row>
    <row r="38" spans="2:21">
      <c r="B38" s="616"/>
      <c r="C38" s="619"/>
      <c r="D38" s="245" t="s">
        <v>712</v>
      </c>
      <c r="E38" s="251" t="s">
        <v>713</v>
      </c>
      <c r="F38" s="213">
        <v>40</v>
      </c>
      <c r="G38" s="213">
        <v>3</v>
      </c>
      <c r="H38" s="257"/>
      <c r="I38" s="257"/>
      <c r="J38" s="257"/>
      <c r="K38" s="257"/>
      <c r="L38" s="257"/>
      <c r="M38" s="257"/>
      <c r="N38" s="257"/>
      <c r="O38" s="257"/>
      <c r="P38" s="255"/>
      <c r="Q38" s="255"/>
      <c r="R38" s="255">
        <v>2</v>
      </c>
      <c r="S38" s="255">
        <v>32</v>
      </c>
      <c r="T38" s="226">
        <f t="shared" si="12"/>
        <v>2</v>
      </c>
      <c r="U38" s="227">
        <f t="shared" si="12"/>
        <v>32</v>
      </c>
    </row>
    <row r="39" spans="2:21" ht="18" thickBot="1">
      <c r="B39" s="617"/>
      <c r="C39" s="620"/>
      <c r="D39" s="627" t="s">
        <v>16</v>
      </c>
      <c r="E39" s="628"/>
      <c r="F39" s="252"/>
      <c r="G39" s="252"/>
      <c r="H39" s="217">
        <f>SUM(H33:H38)</f>
        <v>0</v>
      </c>
      <c r="I39" s="217">
        <f t="shared" ref="I39:S39" si="13">SUM(I33:I38)</f>
        <v>0</v>
      </c>
      <c r="J39" s="217">
        <f t="shared" si="13"/>
        <v>0</v>
      </c>
      <c r="K39" s="217">
        <f t="shared" si="13"/>
        <v>0</v>
      </c>
      <c r="L39" s="217">
        <f t="shared" si="13"/>
        <v>0</v>
      </c>
      <c r="M39" s="217">
        <f t="shared" si="13"/>
        <v>0</v>
      </c>
      <c r="N39" s="217">
        <f t="shared" si="13"/>
        <v>0</v>
      </c>
      <c r="O39" s="217">
        <f t="shared" si="13"/>
        <v>0</v>
      </c>
      <c r="P39" s="217">
        <f t="shared" si="13"/>
        <v>10</v>
      </c>
      <c r="Q39" s="217">
        <f t="shared" si="13"/>
        <v>160</v>
      </c>
      <c r="R39" s="217">
        <f t="shared" si="13"/>
        <v>5</v>
      </c>
      <c r="S39" s="217">
        <f t="shared" si="13"/>
        <v>80</v>
      </c>
      <c r="T39" s="222">
        <f t="shared" ref="T39:U39" si="14">SUM(T33:T38)</f>
        <v>15</v>
      </c>
      <c r="U39" s="222">
        <f t="shared" si="14"/>
        <v>240</v>
      </c>
    </row>
  </sheetData>
  <mergeCells count="48"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B9:B11"/>
    <mergeCell ref="C9:C11"/>
    <mergeCell ref="D11:E11"/>
    <mergeCell ref="B33:B39"/>
    <mergeCell ref="C26:C32"/>
    <mergeCell ref="B26:B32"/>
    <mergeCell ref="C23:C25"/>
    <mergeCell ref="D39:E39"/>
    <mergeCell ref="B23:B25"/>
    <mergeCell ref="D15:E15"/>
    <mergeCell ref="D18:E18"/>
    <mergeCell ref="D22:E22"/>
    <mergeCell ref="D25:E25"/>
    <mergeCell ref="D32:E32"/>
    <mergeCell ref="C12:C15"/>
    <mergeCell ref="B12:B15"/>
    <mergeCell ref="C16:C18"/>
    <mergeCell ref="B16:B18"/>
    <mergeCell ref="C19:C22"/>
    <mergeCell ref="B19:B22"/>
    <mergeCell ref="C33:C39"/>
  </mergeCells>
  <phoneticPr fontId="9" type="noConversion"/>
  <pageMargins left="0.25" right="0.25" top="0.75" bottom="0.75" header="0.3" footer="0.3"/>
  <pageSetup paperSize="9" scale="32" orientation="portrait" cellComments="asDisplayed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F22FB-E1D8-48AC-97C9-77E4FD87A8A3}">
  <sheetPr>
    <pageSetUpPr fitToPage="1"/>
  </sheetPr>
  <dimension ref="B1:AD103"/>
  <sheetViews>
    <sheetView view="pageBreakPreview" zoomScaleNormal="100" zoomScaleSheetLayoutView="100" workbookViewId="0">
      <pane ySplit="8" topLeftCell="A40" activePane="bottomLeft" state="frozen"/>
      <selection pane="bottomLeft" activeCell="B40" sqref="B40:C55"/>
    </sheetView>
  </sheetViews>
  <sheetFormatPr defaultColWidth="8.69921875" defaultRowHeight="17.399999999999999"/>
  <cols>
    <col min="1" max="1" width="2" style="4" customWidth="1"/>
    <col min="2" max="2" width="6.59765625" style="4" customWidth="1"/>
    <col min="3" max="3" width="9.3984375" style="4" customWidth="1"/>
    <col min="4" max="4" width="8.69921875" style="4"/>
    <col min="5" max="5" width="8.5" style="4" customWidth="1"/>
    <col min="6" max="6" width="16.5" style="4" customWidth="1"/>
    <col min="7" max="7" width="6.19921875" style="4" customWidth="1"/>
    <col min="8" max="8" width="5.59765625" style="4" customWidth="1"/>
    <col min="9" max="9" width="7.8984375" style="4" bestFit="1" customWidth="1"/>
    <col min="10" max="10" width="5.59765625" style="4" customWidth="1"/>
    <col min="11" max="22" width="3.8984375" style="4" customWidth="1"/>
    <col min="23" max="24" width="3.3984375" style="4" customWidth="1"/>
    <col min="25" max="25" width="6.3984375" style="4" customWidth="1"/>
    <col min="26" max="26" width="8.69921875" style="4"/>
    <col min="27" max="27" width="16.3984375" style="4" customWidth="1"/>
    <col min="28" max="29" width="12.8984375" style="4" customWidth="1"/>
    <col min="30" max="30" width="13.8984375" style="4" customWidth="1"/>
    <col min="31" max="16384" width="8.69921875" style="4"/>
  </cols>
  <sheetData>
    <row r="1" spans="2:30" ht="18" thickBot="1"/>
    <row r="2" spans="2:30" ht="30.75" customHeight="1" thickBot="1">
      <c r="B2" s="276" t="s">
        <v>511</v>
      </c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7"/>
      <c r="V2" s="278" t="s">
        <v>130</v>
      </c>
      <c r="W2" s="279"/>
      <c r="X2" s="280">
        <v>2027</v>
      </c>
      <c r="Y2" s="281"/>
      <c r="AA2" s="282" t="s">
        <v>144</v>
      </c>
      <c r="AB2" s="19" t="s">
        <v>145</v>
      </c>
      <c r="AC2" s="29" t="s">
        <v>152</v>
      </c>
      <c r="AD2" s="20" t="s">
        <v>146</v>
      </c>
    </row>
    <row r="3" spans="2:30" ht="18" thickBot="1">
      <c r="B3" s="285" t="s">
        <v>360</v>
      </c>
      <c r="C3" s="287" t="s">
        <v>53</v>
      </c>
      <c r="D3" s="288"/>
      <c r="E3" s="288"/>
      <c r="F3" s="287" t="s">
        <v>64</v>
      </c>
      <c r="G3" s="291"/>
      <c r="H3" s="287" t="s">
        <v>54</v>
      </c>
      <c r="I3" s="288"/>
      <c r="J3" s="288"/>
      <c r="K3" s="287" t="s">
        <v>55</v>
      </c>
      <c r="L3" s="288"/>
      <c r="M3" s="288"/>
      <c r="N3" s="288"/>
      <c r="O3" s="291"/>
      <c r="P3" s="293" t="s">
        <v>56</v>
      </c>
      <c r="Q3" s="294"/>
      <c r="R3" s="294"/>
      <c r="S3" s="294"/>
      <c r="T3" s="294"/>
      <c r="U3" s="294"/>
      <c r="V3" s="294"/>
      <c r="W3" s="294"/>
      <c r="X3" s="294"/>
      <c r="Y3" s="295"/>
      <c r="AA3" s="283"/>
      <c r="AB3" s="21" t="s">
        <v>147</v>
      </c>
      <c r="AC3" s="36" t="s">
        <v>518</v>
      </c>
      <c r="AD3" s="22" t="s">
        <v>519</v>
      </c>
    </row>
    <row r="4" spans="2:30" ht="18" thickBot="1">
      <c r="B4" s="286"/>
      <c r="C4" s="289"/>
      <c r="D4" s="290"/>
      <c r="E4" s="290"/>
      <c r="F4" s="289"/>
      <c r="G4" s="292"/>
      <c r="H4" s="289"/>
      <c r="I4" s="290"/>
      <c r="J4" s="290"/>
      <c r="K4" s="289"/>
      <c r="L4" s="290"/>
      <c r="M4" s="290"/>
      <c r="N4" s="290"/>
      <c r="O4" s="292"/>
      <c r="P4" s="293" t="s">
        <v>127</v>
      </c>
      <c r="Q4" s="294"/>
      <c r="R4" s="294"/>
      <c r="S4" s="294"/>
      <c r="T4" s="293" t="s">
        <v>61</v>
      </c>
      <c r="U4" s="294"/>
      <c r="V4" s="295"/>
      <c r="W4" s="294" t="s">
        <v>128</v>
      </c>
      <c r="X4" s="294"/>
      <c r="Y4" s="295"/>
      <c r="AA4" s="283"/>
      <c r="AB4" s="23" t="s">
        <v>148</v>
      </c>
      <c r="AC4" s="37" t="s">
        <v>520</v>
      </c>
      <c r="AD4" s="22" t="s">
        <v>521</v>
      </c>
    </row>
    <row r="5" spans="2:30" ht="26.25" customHeight="1" thickBot="1">
      <c r="B5" s="69" t="s">
        <v>509</v>
      </c>
      <c r="C5" s="296" t="s">
        <v>512</v>
      </c>
      <c r="D5" s="297"/>
      <c r="E5" s="298"/>
      <c r="F5" s="296" t="s">
        <v>570</v>
      </c>
      <c r="G5" s="299"/>
      <c r="H5" s="300" t="s">
        <v>571</v>
      </c>
      <c r="I5" s="297"/>
      <c r="J5" s="298"/>
      <c r="K5" s="296" t="s">
        <v>572</v>
      </c>
      <c r="L5" s="297"/>
      <c r="M5" s="297"/>
      <c r="N5" s="297"/>
      <c r="O5" s="299"/>
      <c r="P5" s="300" t="s">
        <v>573</v>
      </c>
      <c r="Q5" s="297"/>
      <c r="R5" s="297"/>
      <c r="S5" s="298"/>
      <c r="T5" s="296" t="s">
        <v>34</v>
      </c>
      <c r="U5" s="297"/>
      <c r="V5" s="298"/>
      <c r="W5" s="301" t="s">
        <v>574</v>
      </c>
      <c r="X5" s="302"/>
      <c r="Y5" s="303"/>
      <c r="AA5" s="284"/>
      <c r="AB5" s="24" t="s">
        <v>149</v>
      </c>
      <c r="AC5" s="154" t="s">
        <v>522</v>
      </c>
      <c r="AD5" s="152" t="s">
        <v>523</v>
      </c>
    </row>
    <row r="6" spans="2:30" ht="15.75" customHeight="1" thickBot="1">
      <c r="U6" s="304"/>
      <c r="V6" s="304"/>
      <c r="W6" s="304"/>
      <c r="X6" s="304"/>
      <c r="Y6" s="304"/>
    </row>
    <row r="7" spans="2:30" s="10" customFormat="1" ht="22.5" customHeight="1">
      <c r="B7" s="305" t="s">
        <v>2</v>
      </c>
      <c r="C7" s="306"/>
      <c r="D7" s="309" t="s">
        <v>120</v>
      </c>
      <c r="E7" s="311" t="s">
        <v>57</v>
      </c>
      <c r="F7" s="312"/>
      <c r="G7" s="313"/>
      <c r="H7" s="314" t="s">
        <v>134</v>
      </c>
      <c r="I7" s="316" t="s">
        <v>135</v>
      </c>
      <c r="J7" s="318" t="s">
        <v>136</v>
      </c>
      <c r="K7" s="320" t="s">
        <v>58</v>
      </c>
      <c r="L7" s="316"/>
      <c r="M7" s="316"/>
      <c r="N7" s="321"/>
      <c r="O7" s="322" t="s">
        <v>59</v>
      </c>
      <c r="P7" s="316"/>
      <c r="Q7" s="316"/>
      <c r="R7" s="321"/>
      <c r="S7" s="320" t="s">
        <v>60</v>
      </c>
      <c r="T7" s="316"/>
      <c r="U7" s="316"/>
      <c r="V7" s="323"/>
      <c r="W7" s="314" t="s">
        <v>137</v>
      </c>
      <c r="X7" s="318"/>
      <c r="Y7" s="313" t="s">
        <v>138</v>
      </c>
      <c r="Z7" s="9"/>
    </row>
    <row r="8" spans="2:30" s="10" customFormat="1" ht="22.5" customHeight="1" thickBot="1">
      <c r="B8" s="307"/>
      <c r="C8" s="308"/>
      <c r="D8" s="310"/>
      <c r="E8" s="25" t="s">
        <v>18</v>
      </c>
      <c r="F8" s="341" t="s">
        <v>19</v>
      </c>
      <c r="G8" s="342"/>
      <c r="H8" s="315"/>
      <c r="I8" s="317"/>
      <c r="J8" s="319"/>
      <c r="K8" s="343" t="s">
        <v>0</v>
      </c>
      <c r="L8" s="317"/>
      <c r="M8" s="317" t="s">
        <v>62</v>
      </c>
      <c r="N8" s="344"/>
      <c r="O8" s="345" t="s">
        <v>0</v>
      </c>
      <c r="P8" s="317"/>
      <c r="Q8" s="317" t="s">
        <v>62</v>
      </c>
      <c r="R8" s="344"/>
      <c r="S8" s="343" t="s">
        <v>0</v>
      </c>
      <c r="T8" s="317"/>
      <c r="U8" s="317" t="s">
        <v>62</v>
      </c>
      <c r="V8" s="346"/>
      <c r="W8" s="315"/>
      <c r="X8" s="319"/>
      <c r="Y8" s="340"/>
      <c r="AA8" s="324" t="s">
        <v>499</v>
      </c>
      <c r="AB8" s="324"/>
      <c r="AC8" s="324"/>
      <c r="AD8" s="324"/>
    </row>
    <row r="9" spans="2:30" ht="16.5" customHeight="1" thickBot="1">
      <c r="B9" s="325" t="s">
        <v>338</v>
      </c>
      <c r="C9" s="326"/>
      <c r="D9" s="331" t="s">
        <v>21</v>
      </c>
      <c r="E9" s="38" t="s">
        <v>12</v>
      </c>
      <c r="F9" s="334" t="s">
        <v>202</v>
      </c>
      <c r="G9" s="335"/>
      <c r="H9" s="39">
        <v>4</v>
      </c>
      <c r="I9" s="40" t="s">
        <v>339</v>
      </c>
      <c r="J9" s="41">
        <v>3</v>
      </c>
      <c r="K9" s="334">
        <v>3</v>
      </c>
      <c r="L9" s="336"/>
      <c r="M9" s="337"/>
      <c r="N9" s="338"/>
      <c r="O9" s="339"/>
      <c r="P9" s="336"/>
      <c r="Q9" s="337"/>
      <c r="R9" s="338"/>
      <c r="S9" s="339"/>
      <c r="T9" s="336"/>
      <c r="U9" s="337"/>
      <c r="V9" s="335"/>
      <c r="W9" s="42">
        <f>SUM(K9:V9)</f>
        <v>3</v>
      </c>
      <c r="X9" s="353">
        <f>SUM(W9:W13)</f>
        <v>15</v>
      </c>
      <c r="Y9" s="355">
        <v>24</v>
      </c>
      <c r="AA9" s="130" t="s">
        <v>18</v>
      </c>
      <c r="AB9" s="131" t="s">
        <v>505</v>
      </c>
      <c r="AC9" s="131" t="s">
        <v>506</v>
      </c>
      <c r="AD9" s="132" t="s">
        <v>507</v>
      </c>
    </row>
    <row r="10" spans="2:30" ht="18" thickBot="1">
      <c r="B10" s="327"/>
      <c r="C10" s="328"/>
      <c r="D10" s="332"/>
      <c r="E10" s="43" t="s">
        <v>12</v>
      </c>
      <c r="F10" s="347" t="s">
        <v>203</v>
      </c>
      <c r="G10" s="352"/>
      <c r="H10" s="44">
        <v>4</v>
      </c>
      <c r="I10" s="45" t="s">
        <v>339</v>
      </c>
      <c r="J10" s="46">
        <v>3</v>
      </c>
      <c r="K10" s="347"/>
      <c r="L10" s="348"/>
      <c r="M10" s="349">
        <v>3</v>
      </c>
      <c r="N10" s="350"/>
      <c r="O10" s="351"/>
      <c r="P10" s="348"/>
      <c r="Q10" s="349"/>
      <c r="R10" s="350"/>
      <c r="S10" s="351"/>
      <c r="T10" s="348"/>
      <c r="U10" s="349"/>
      <c r="V10" s="352"/>
      <c r="W10" s="47">
        <f t="shared" ref="W10:W28" si="0">SUM(K10:V10)</f>
        <v>3</v>
      </c>
      <c r="X10" s="354"/>
      <c r="Y10" s="355"/>
      <c r="AA10" s="133" t="s">
        <v>500</v>
      </c>
      <c r="AB10" s="134">
        <v>4</v>
      </c>
      <c r="AC10" s="134">
        <v>-1</v>
      </c>
      <c r="AD10" s="22" t="s">
        <v>339</v>
      </c>
    </row>
    <row r="11" spans="2:30" ht="18" thickBot="1">
      <c r="B11" s="327"/>
      <c r="C11" s="328"/>
      <c r="D11" s="332"/>
      <c r="E11" s="48" t="s">
        <v>340</v>
      </c>
      <c r="F11" s="347" t="s">
        <v>208</v>
      </c>
      <c r="G11" s="352"/>
      <c r="H11" s="44">
        <v>4</v>
      </c>
      <c r="I11" s="45" t="s">
        <v>342</v>
      </c>
      <c r="J11" s="46">
        <v>3</v>
      </c>
      <c r="K11" s="347"/>
      <c r="L11" s="348"/>
      <c r="M11" s="349"/>
      <c r="N11" s="350"/>
      <c r="O11" s="351">
        <v>3</v>
      </c>
      <c r="P11" s="348"/>
      <c r="Q11" s="349"/>
      <c r="R11" s="350"/>
      <c r="S11" s="351"/>
      <c r="T11" s="348"/>
      <c r="U11" s="349"/>
      <c r="V11" s="352"/>
      <c r="W11" s="47">
        <f t="shared" si="0"/>
        <v>3</v>
      </c>
      <c r="X11" s="354"/>
      <c r="Y11" s="355"/>
      <c r="AA11" s="133" t="s">
        <v>501</v>
      </c>
      <c r="AB11" s="134">
        <v>3</v>
      </c>
      <c r="AC11" s="134"/>
      <c r="AD11" s="22">
        <v>3</v>
      </c>
    </row>
    <row r="12" spans="2:30" ht="18" thickBot="1">
      <c r="B12" s="327"/>
      <c r="C12" s="328"/>
      <c r="D12" s="332"/>
      <c r="E12" s="48" t="s">
        <v>347</v>
      </c>
      <c r="F12" s="347" t="s">
        <v>4</v>
      </c>
      <c r="G12" s="352"/>
      <c r="H12" s="44">
        <v>4</v>
      </c>
      <c r="I12" s="45" t="s">
        <v>342</v>
      </c>
      <c r="J12" s="46">
        <v>3</v>
      </c>
      <c r="K12" s="347"/>
      <c r="L12" s="348"/>
      <c r="M12" s="349"/>
      <c r="N12" s="350"/>
      <c r="O12" s="351"/>
      <c r="P12" s="348"/>
      <c r="Q12" s="349">
        <v>3</v>
      </c>
      <c r="R12" s="350"/>
      <c r="S12" s="351"/>
      <c r="T12" s="348"/>
      <c r="U12" s="349"/>
      <c r="V12" s="352"/>
      <c r="W12" s="47">
        <f t="shared" si="0"/>
        <v>3</v>
      </c>
      <c r="X12" s="354"/>
      <c r="Y12" s="355"/>
      <c r="AA12" s="133" t="s">
        <v>502</v>
      </c>
      <c r="AB12" s="134">
        <v>4</v>
      </c>
      <c r="AC12" s="134" t="s">
        <v>508</v>
      </c>
      <c r="AD12" s="22" t="s">
        <v>342</v>
      </c>
    </row>
    <row r="13" spans="2:30" ht="18" thickBot="1">
      <c r="B13" s="327"/>
      <c r="C13" s="328"/>
      <c r="D13" s="333"/>
      <c r="E13" s="48" t="s">
        <v>340</v>
      </c>
      <c r="F13" s="356" t="s">
        <v>341</v>
      </c>
      <c r="G13" s="357"/>
      <c r="H13" s="49">
        <v>4</v>
      </c>
      <c r="I13" s="50" t="s">
        <v>342</v>
      </c>
      <c r="J13" s="51">
        <v>3</v>
      </c>
      <c r="K13" s="358"/>
      <c r="L13" s="359"/>
      <c r="M13" s="360"/>
      <c r="N13" s="361"/>
      <c r="O13" s="362"/>
      <c r="P13" s="359"/>
      <c r="Q13" s="360"/>
      <c r="R13" s="361"/>
      <c r="S13" s="362">
        <v>3</v>
      </c>
      <c r="T13" s="359"/>
      <c r="U13" s="360"/>
      <c r="V13" s="363"/>
      <c r="W13" s="47">
        <f t="shared" si="0"/>
        <v>3</v>
      </c>
      <c r="X13" s="354"/>
      <c r="Y13" s="355"/>
      <c r="AA13" s="160" t="s">
        <v>503</v>
      </c>
      <c r="AB13" s="134">
        <v>3</v>
      </c>
      <c r="AC13" s="134" t="s">
        <v>508</v>
      </c>
      <c r="AD13" s="22" t="s">
        <v>349</v>
      </c>
    </row>
    <row r="14" spans="2:30" ht="18" thickBot="1">
      <c r="B14" s="327"/>
      <c r="C14" s="328"/>
      <c r="D14" s="331" t="s">
        <v>5</v>
      </c>
      <c r="E14" s="38" t="s">
        <v>12</v>
      </c>
      <c r="F14" s="368" t="s">
        <v>214</v>
      </c>
      <c r="G14" s="369"/>
      <c r="H14" s="39">
        <v>4</v>
      </c>
      <c r="I14" s="53" t="s">
        <v>339</v>
      </c>
      <c r="J14" s="41">
        <v>3</v>
      </c>
      <c r="K14" s="334">
        <v>3</v>
      </c>
      <c r="L14" s="336"/>
      <c r="M14" s="337"/>
      <c r="N14" s="338"/>
      <c r="O14" s="339"/>
      <c r="P14" s="336"/>
      <c r="Q14" s="337"/>
      <c r="R14" s="338"/>
      <c r="S14" s="339"/>
      <c r="T14" s="336"/>
      <c r="U14" s="337"/>
      <c r="V14" s="335"/>
      <c r="W14" s="42">
        <f t="shared" si="0"/>
        <v>3</v>
      </c>
      <c r="X14" s="353">
        <f t="shared" ref="X14" si="1">SUM(W14:W17)</f>
        <v>12</v>
      </c>
      <c r="Y14" s="355"/>
      <c r="AA14" s="135" t="s">
        <v>504</v>
      </c>
      <c r="AB14" s="364" t="s">
        <v>510</v>
      </c>
      <c r="AC14" s="364"/>
      <c r="AD14" s="365"/>
    </row>
    <row r="15" spans="2:30" ht="18" thickBot="1">
      <c r="B15" s="327"/>
      <c r="C15" s="328"/>
      <c r="D15" s="332"/>
      <c r="E15" s="43" t="s">
        <v>12</v>
      </c>
      <c r="F15" s="366" t="s">
        <v>216</v>
      </c>
      <c r="G15" s="367"/>
      <c r="H15" s="44">
        <v>4</v>
      </c>
      <c r="I15" s="159" t="s">
        <v>339</v>
      </c>
      <c r="J15" s="158">
        <v>3</v>
      </c>
      <c r="K15" s="347"/>
      <c r="L15" s="348"/>
      <c r="M15" s="349">
        <v>3</v>
      </c>
      <c r="N15" s="350"/>
      <c r="O15" s="351"/>
      <c r="P15" s="348"/>
      <c r="Q15" s="349"/>
      <c r="R15" s="350"/>
      <c r="S15" s="351"/>
      <c r="T15" s="348"/>
      <c r="U15" s="349"/>
      <c r="V15" s="352"/>
      <c r="W15" s="47">
        <f t="shared" si="0"/>
        <v>3</v>
      </c>
      <c r="X15" s="354"/>
      <c r="Y15" s="355"/>
    </row>
    <row r="16" spans="2:30" ht="18" thickBot="1">
      <c r="B16" s="327"/>
      <c r="C16" s="328"/>
      <c r="D16" s="332"/>
      <c r="E16" s="48" t="s">
        <v>347</v>
      </c>
      <c r="F16" s="366" t="s">
        <v>217</v>
      </c>
      <c r="G16" s="367"/>
      <c r="H16" s="44">
        <v>4</v>
      </c>
      <c r="I16" s="159" t="s">
        <v>339</v>
      </c>
      <c r="J16" s="46">
        <v>3</v>
      </c>
      <c r="K16" s="347"/>
      <c r="L16" s="348"/>
      <c r="M16" s="349"/>
      <c r="N16" s="350"/>
      <c r="O16" s="351">
        <v>3</v>
      </c>
      <c r="P16" s="348"/>
      <c r="Q16" s="349"/>
      <c r="R16" s="350"/>
      <c r="S16" s="351"/>
      <c r="T16" s="348"/>
      <c r="U16" s="349"/>
      <c r="V16" s="352"/>
      <c r="W16" s="47">
        <f t="shared" si="0"/>
        <v>3</v>
      </c>
      <c r="X16" s="354"/>
      <c r="Y16" s="355"/>
    </row>
    <row r="17" spans="2:29" ht="18" thickBot="1">
      <c r="B17" s="327"/>
      <c r="C17" s="328"/>
      <c r="D17" s="333"/>
      <c r="E17" s="48" t="s">
        <v>340</v>
      </c>
      <c r="F17" s="356" t="s">
        <v>343</v>
      </c>
      <c r="G17" s="357"/>
      <c r="H17" s="49">
        <v>4</v>
      </c>
      <c r="I17" s="50" t="s">
        <v>342</v>
      </c>
      <c r="J17" s="51">
        <v>3</v>
      </c>
      <c r="K17" s="358"/>
      <c r="L17" s="359"/>
      <c r="M17" s="360"/>
      <c r="N17" s="361"/>
      <c r="O17" s="362"/>
      <c r="P17" s="359"/>
      <c r="Q17" s="360">
        <v>3</v>
      </c>
      <c r="R17" s="361"/>
      <c r="S17" s="362"/>
      <c r="T17" s="359"/>
      <c r="U17" s="360"/>
      <c r="V17" s="363"/>
      <c r="W17" s="47">
        <f t="shared" si="0"/>
        <v>3</v>
      </c>
      <c r="X17" s="354"/>
      <c r="Y17" s="355"/>
    </row>
    <row r="18" spans="2:29" ht="18" thickBot="1">
      <c r="B18" s="327"/>
      <c r="C18" s="328"/>
      <c r="D18" s="331" t="s">
        <v>6</v>
      </c>
      <c r="E18" s="38" t="s">
        <v>12</v>
      </c>
      <c r="F18" s="334" t="s">
        <v>221</v>
      </c>
      <c r="G18" s="335"/>
      <c r="H18" s="39">
        <v>4</v>
      </c>
      <c r="I18" s="53" t="s">
        <v>339</v>
      </c>
      <c r="J18" s="41">
        <v>3</v>
      </c>
      <c r="K18" s="334">
        <v>3</v>
      </c>
      <c r="L18" s="336"/>
      <c r="M18" s="349"/>
      <c r="N18" s="350"/>
      <c r="O18" s="339"/>
      <c r="P18" s="336"/>
      <c r="Q18" s="337"/>
      <c r="R18" s="338"/>
      <c r="S18" s="339"/>
      <c r="T18" s="336"/>
      <c r="U18" s="337"/>
      <c r="V18" s="335"/>
      <c r="W18" s="42">
        <f t="shared" si="0"/>
        <v>3</v>
      </c>
      <c r="X18" s="353">
        <f t="shared" ref="X18" si="2">SUM(W18:W22)</f>
        <v>15</v>
      </c>
      <c r="Y18" s="355"/>
      <c r="AA18" s="370"/>
      <c r="AB18" s="370"/>
      <c r="AC18" s="148"/>
    </row>
    <row r="19" spans="2:29" ht="18" thickBot="1">
      <c r="B19" s="327"/>
      <c r="C19" s="328"/>
      <c r="D19" s="332"/>
      <c r="E19" s="43" t="s">
        <v>12</v>
      </c>
      <c r="F19" s="347" t="s">
        <v>227</v>
      </c>
      <c r="G19" s="352"/>
      <c r="H19" s="44">
        <v>4</v>
      </c>
      <c r="I19" s="45" t="s">
        <v>339</v>
      </c>
      <c r="J19" s="46">
        <v>3</v>
      </c>
      <c r="K19" s="347"/>
      <c r="L19" s="348"/>
      <c r="M19" s="349">
        <v>3</v>
      </c>
      <c r="N19" s="350"/>
      <c r="O19" s="351"/>
      <c r="P19" s="348"/>
      <c r="Q19" s="349"/>
      <c r="R19" s="350"/>
      <c r="S19" s="351"/>
      <c r="T19" s="348"/>
      <c r="U19" s="349"/>
      <c r="V19" s="352"/>
      <c r="W19" s="47">
        <f t="shared" si="0"/>
        <v>3</v>
      </c>
      <c r="X19" s="354"/>
      <c r="Y19" s="355"/>
    </row>
    <row r="20" spans="2:29" ht="18" thickBot="1">
      <c r="B20" s="327"/>
      <c r="C20" s="328"/>
      <c r="D20" s="332"/>
      <c r="E20" s="43" t="s">
        <v>347</v>
      </c>
      <c r="F20" s="371" t="s">
        <v>38</v>
      </c>
      <c r="G20" s="372"/>
      <c r="H20" s="44">
        <v>4</v>
      </c>
      <c r="I20" s="45" t="s">
        <v>342</v>
      </c>
      <c r="J20" s="156">
        <v>3</v>
      </c>
      <c r="K20" s="347"/>
      <c r="L20" s="348"/>
      <c r="M20" s="349"/>
      <c r="N20" s="350"/>
      <c r="O20" s="351">
        <v>3</v>
      </c>
      <c r="P20" s="348"/>
      <c r="Q20" s="349"/>
      <c r="R20" s="350"/>
      <c r="S20" s="351"/>
      <c r="T20" s="348"/>
      <c r="U20" s="349"/>
      <c r="V20" s="352"/>
      <c r="W20" s="47">
        <f t="shared" si="0"/>
        <v>3</v>
      </c>
      <c r="X20" s="354"/>
      <c r="Y20" s="355"/>
    </row>
    <row r="21" spans="2:29" ht="18" thickBot="1">
      <c r="B21" s="327"/>
      <c r="C21" s="328"/>
      <c r="D21" s="332"/>
      <c r="E21" s="43" t="s">
        <v>347</v>
      </c>
      <c r="F21" s="371" t="s">
        <v>40</v>
      </c>
      <c r="G21" s="372"/>
      <c r="H21" s="44">
        <v>4</v>
      </c>
      <c r="I21" s="45" t="s">
        <v>342</v>
      </c>
      <c r="J21" s="156">
        <v>3</v>
      </c>
      <c r="K21" s="347"/>
      <c r="L21" s="348"/>
      <c r="M21" s="349"/>
      <c r="N21" s="350"/>
      <c r="O21" s="351"/>
      <c r="P21" s="348"/>
      <c r="Q21" s="349">
        <v>3</v>
      </c>
      <c r="R21" s="350"/>
      <c r="S21" s="351"/>
      <c r="T21" s="348"/>
      <c r="U21" s="349"/>
      <c r="V21" s="352"/>
      <c r="W21" s="47">
        <f t="shared" si="0"/>
        <v>3</v>
      </c>
      <c r="X21" s="354"/>
      <c r="Y21" s="355"/>
    </row>
    <row r="22" spans="2:29" ht="18" thickBot="1">
      <c r="B22" s="327"/>
      <c r="C22" s="328"/>
      <c r="D22" s="333"/>
      <c r="E22" s="52" t="s">
        <v>340</v>
      </c>
      <c r="F22" s="358" t="s">
        <v>344</v>
      </c>
      <c r="G22" s="363"/>
      <c r="H22" s="49">
        <v>4</v>
      </c>
      <c r="I22" s="50" t="s">
        <v>342</v>
      </c>
      <c r="J22" s="51">
        <v>3</v>
      </c>
      <c r="K22" s="358"/>
      <c r="L22" s="359"/>
      <c r="M22" s="360"/>
      <c r="N22" s="361"/>
      <c r="O22" s="362"/>
      <c r="P22" s="359"/>
      <c r="Q22" s="360"/>
      <c r="R22" s="361"/>
      <c r="S22" s="362">
        <v>3</v>
      </c>
      <c r="T22" s="359"/>
      <c r="U22" s="360"/>
      <c r="V22" s="363"/>
      <c r="W22" s="47">
        <f t="shared" si="0"/>
        <v>3</v>
      </c>
      <c r="X22" s="354"/>
      <c r="Y22" s="355"/>
    </row>
    <row r="23" spans="2:29" ht="18" thickBot="1">
      <c r="B23" s="327"/>
      <c r="C23" s="328"/>
      <c r="D23" s="331" t="s">
        <v>345</v>
      </c>
      <c r="E23" s="38" t="s">
        <v>12</v>
      </c>
      <c r="F23" s="334" t="s">
        <v>235</v>
      </c>
      <c r="G23" s="335"/>
      <c r="H23" s="39">
        <v>3</v>
      </c>
      <c r="I23" s="53">
        <v>3</v>
      </c>
      <c r="J23" s="41">
        <v>3</v>
      </c>
      <c r="K23" s="373">
        <v>3</v>
      </c>
      <c r="L23" s="374"/>
      <c r="M23" s="375"/>
      <c r="N23" s="376"/>
      <c r="O23" s="377"/>
      <c r="P23" s="374"/>
      <c r="Q23" s="375"/>
      <c r="R23" s="376"/>
      <c r="S23" s="377"/>
      <c r="T23" s="374"/>
      <c r="U23" s="375"/>
      <c r="V23" s="378"/>
      <c r="W23" s="42">
        <f t="shared" si="0"/>
        <v>3</v>
      </c>
      <c r="X23" s="353">
        <f>SUM(W23:W24)</f>
        <v>6</v>
      </c>
      <c r="Y23" s="355">
        <v>6</v>
      </c>
    </row>
    <row r="24" spans="2:29" ht="18" thickBot="1">
      <c r="B24" s="327"/>
      <c r="C24" s="328"/>
      <c r="D24" s="332"/>
      <c r="E24" s="54" t="s">
        <v>12</v>
      </c>
      <c r="F24" s="380" t="s">
        <v>236</v>
      </c>
      <c r="G24" s="381"/>
      <c r="H24" s="55">
        <v>3</v>
      </c>
      <c r="I24" s="56">
        <v>3</v>
      </c>
      <c r="J24" s="149">
        <v>3</v>
      </c>
      <c r="K24" s="358"/>
      <c r="L24" s="359"/>
      <c r="M24" s="360">
        <v>3</v>
      </c>
      <c r="N24" s="361"/>
      <c r="O24" s="362"/>
      <c r="P24" s="359"/>
      <c r="Q24" s="360"/>
      <c r="R24" s="361"/>
      <c r="S24" s="362"/>
      <c r="T24" s="359"/>
      <c r="U24" s="360"/>
      <c r="V24" s="363"/>
      <c r="W24" s="57">
        <f t="shared" si="0"/>
        <v>3</v>
      </c>
      <c r="X24" s="379"/>
      <c r="Y24" s="355"/>
      <c r="AA24" s="370"/>
      <c r="AB24" s="370"/>
      <c r="AC24" s="148"/>
    </row>
    <row r="25" spans="2:29" ht="18" thickBot="1">
      <c r="B25" s="327"/>
      <c r="C25" s="328"/>
      <c r="D25" s="332"/>
      <c r="E25" s="38" t="s">
        <v>12</v>
      </c>
      <c r="F25" s="334" t="s">
        <v>238</v>
      </c>
      <c r="G25" s="335"/>
      <c r="H25" s="39">
        <v>4</v>
      </c>
      <c r="I25" s="53" t="s">
        <v>339</v>
      </c>
      <c r="J25" s="41">
        <v>3</v>
      </c>
      <c r="K25" s="334"/>
      <c r="L25" s="336"/>
      <c r="M25" s="337"/>
      <c r="N25" s="338"/>
      <c r="O25" s="339">
        <v>3</v>
      </c>
      <c r="P25" s="336"/>
      <c r="Q25" s="337"/>
      <c r="R25" s="338"/>
      <c r="S25" s="339"/>
      <c r="T25" s="336"/>
      <c r="U25" s="337"/>
      <c r="V25" s="335"/>
      <c r="W25" s="42">
        <f t="shared" si="0"/>
        <v>3</v>
      </c>
      <c r="X25" s="353">
        <f>SUM(W25:W26)</f>
        <v>6</v>
      </c>
      <c r="Y25" s="355">
        <v>12</v>
      </c>
    </row>
    <row r="26" spans="2:29" ht="18" thickBot="1">
      <c r="B26" s="327"/>
      <c r="C26" s="328"/>
      <c r="D26" s="333"/>
      <c r="E26" s="52" t="s">
        <v>12</v>
      </c>
      <c r="F26" s="358" t="s">
        <v>239</v>
      </c>
      <c r="G26" s="363"/>
      <c r="H26" s="49">
        <v>4</v>
      </c>
      <c r="I26" s="50" t="s">
        <v>339</v>
      </c>
      <c r="J26" s="51">
        <v>3</v>
      </c>
      <c r="K26" s="358"/>
      <c r="L26" s="359"/>
      <c r="M26" s="360"/>
      <c r="N26" s="361"/>
      <c r="O26" s="362"/>
      <c r="P26" s="359"/>
      <c r="Q26" s="360">
        <v>3</v>
      </c>
      <c r="R26" s="361"/>
      <c r="S26" s="362"/>
      <c r="T26" s="359"/>
      <c r="U26" s="360"/>
      <c r="V26" s="363"/>
      <c r="W26" s="57">
        <f t="shared" si="0"/>
        <v>3</v>
      </c>
      <c r="X26" s="379"/>
      <c r="Y26" s="355"/>
    </row>
    <row r="27" spans="2:29" ht="18" thickBot="1">
      <c r="B27" s="327"/>
      <c r="C27" s="328"/>
      <c r="D27" s="331" t="s">
        <v>26</v>
      </c>
      <c r="E27" s="38" t="s">
        <v>12</v>
      </c>
      <c r="F27" s="334" t="s">
        <v>256</v>
      </c>
      <c r="G27" s="335"/>
      <c r="H27" s="39">
        <v>4</v>
      </c>
      <c r="I27" s="53" t="s">
        <v>339</v>
      </c>
      <c r="J27" s="41">
        <v>3</v>
      </c>
      <c r="K27" s="334">
        <v>3</v>
      </c>
      <c r="L27" s="336"/>
      <c r="M27" s="337"/>
      <c r="N27" s="338"/>
      <c r="O27" s="339"/>
      <c r="P27" s="336"/>
      <c r="Q27" s="337"/>
      <c r="R27" s="338"/>
      <c r="S27" s="339"/>
      <c r="T27" s="336"/>
      <c r="U27" s="337"/>
      <c r="V27" s="335"/>
      <c r="W27" s="42">
        <f t="shared" si="0"/>
        <v>3</v>
      </c>
      <c r="X27" s="326">
        <f>SUM(W27:W28)</f>
        <v>6</v>
      </c>
      <c r="Y27" s="355"/>
    </row>
    <row r="28" spans="2:29" ht="18" thickBot="1">
      <c r="B28" s="327"/>
      <c r="C28" s="328"/>
      <c r="D28" s="332"/>
      <c r="E28" s="43" t="s">
        <v>12</v>
      </c>
      <c r="F28" s="347" t="s">
        <v>257</v>
      </c>
      <c r="G28" s="352"/>
      <c r="H28" s="44">
        <v>4</v>
      </c>
      <c r="I28" s="45" t="s">
        <v>339</v>
      </c>
      <c r="J28" s="46">
        <v>3</v>
      </c>
      <c r="K28" s="347"/>
      <c r="L28" s="348"/>
      <c r="M28" s="349">
        <v>3</v>
      </c>
      <c r="N28" s="350"/>
      <c r="O28" s="351"/>
      <c r="P28" s="348"/>
      <c r="Q28" s="349"/>
      <c r="R28" s="350"/>
      <c r="S28" s="351"/>
      <c r="T28" s="348"/>
      <c r="U28" s="349"/>
      <c r="V28" s="352"/>
      <c r="W28" s="47">
        <f t="shared" si="0"/>
        <v>3</v>
      </c>
      <c r="X28" s="328"/>
      <c r="Y28" s="355"/>
    </row>
    <row r="29" spans="2:29" ht="16.5" customHeight="1" thickBot="1">
      <c r="B29" s="327"/>
      <c r="C29" s="328"/>
      <c r="D29" s="331" t="s">
        <v>8</v>
      </c>
      <c r="E29" s="38" t="s">
        <v>347</v>
      </c>
      <c r="F29" s="334" t="s">
        <v>348</v>
      </c>
      <c r="G29" s="335"/>
      <c r="H29" s="39">
        <v>3</v>
      </c>
      <c r="I29" s="53" t="s">
        <v>349</v>
      </c>
      <c r="J29" s="41">
        <f t="shared" ref="J29:J30" si="3">SUM(K29:V29)</f>
        <v>2</v>
      </c>
      <c r="K29" s="334">
        <v>2</v>
      </c>
      <c r="L29" s="336"/>
      <c r="M29" s="337"/>
      <c r="N29" s="338"/>
      <c r="O29" s="339"/>
      <c r="P29" s="336"/>
      <c r="Q29" s="337"/>
      <c r="R29" s="338"/>
      <c r="S29" s="339"/>
      <c r="T29" s="336"/>
      <c r="U29" s="337"/>
      <c r="V29" s="335"/>
      <c r="W29" s="42">
        <f>SUM(K29:V29)</f>
        <v>2</v>
      </c>
      <c r="X29" s="382">
        <f>SUM(W29:W32)</f>
        <v>8</v>
      </c>
      <c r="Y29" s="355">
        <v>8</v>
      </c>
    </row>
    <row r="30" spans="2:29" ht="18" thickBot="1">
      <c r="B30" s="327"/>
      <c r="C30" s="328"/>
      <c r="D30" s="332"/>
      <c r="E30" s="43" t="s">
        <v>347</v>
      </c>
      <c r="F30" s="347" t="s">
        <v>350</v>
      </c>
      <c r="G30" s="352"/>
      <c r="H30" s="44">
        <v>3</v>
      </c>
      <c r="I30" s="45" t="s">
        <v>349</v>
      </c>
      <c r="J30" s="46">
        <f t="shared" si="3"/>
        <v>2</v>
      </c>
      <c r="K30" s="347"/>
      <c r="L30" s="348"/>
      <c r="M30" s="349">
        <v>2</v>
      </c>
      <c r="N30" s="350"/>
      <c r="O30" s="351"/>
      <c r="P30" s="348"/>
      <c r="Q30" s="349"/>
      <c r="R30" s="350"/>
      <c r="S30" s="351"/>
      <c r="T30" s="348"/>
      <c r="U30" s="349"/>
      <c r="V30" s="352"/>
      <c r="W30" s="47">
        <f t="shared" ref="W30:W38" si="4">SUM(K30:V30)</f>
        <v>2</v>
      </c>
      <c r="X30" s="383"/>
      <c r="Y30" s="355"/>
    </row>
    <row r="31" spans="2:29" ht="18" thickBot="1">
      <c r="B31" s="327"/>
      <c r="C31" s="328"/>
      <c r="D31" s="332"/>
      <c r="E31" s="43" t="s">
        <v>340</v>
      </c>
      <c r="F31" s="371" t="s">
        <v>527</v>
      </c>
      <c r="G31" s="372"/>
      <c r="H31" s="44">
        <v>3</v>
      </c>
      <c r="I31" s="45" t="s">
        <v>349</v>
      </c>
      <c r="J31" s="46">
        <v>2</v>
      </c>
      <c r="K31" s="347"/>
      <c r="L31" s="348"/>
      <c r="M31" s="349"/>
      <c r="N31" s="350"/>
      <c r="O31" s="351">
        <v>2</v>
      </c>
      <c r="P31" s="348"/>
      <c r="Q31" s="349"/>
      <c r="R31" s="350"/>
      <c r="S31" s="351"/>
      <c r="T31" s="348"/>
      <c r="U31" s="349"/>
      <c r="V31" s="352"/>
      <c r="W31" s="47">
        <f t="shared" si="4"/>
        <v>2</v>
      </c>
      <c r="X31" s="383"/>
      <c r="Y31" s="355"/>
    </row>
    <row r="32" spans="2:29" ht="18" thickBot="1">
      <c r="B32" s="327"/>
      <c r="C32" s="328"/>
      <c r="D32" s="332"/>
      <c r="E32" s="43" t="s">
        <v>346</v>
      </c>
      <c r="F32" s="371" t="s">
        <v>351</v>
      </c>
      <c r="G32" s="372"/>
      <c r="H32" s="49">
        <v>3</v>
      </c>
      <c r="I32" s="50" t="s">
        <v>349</v>
      </c>
      <c r="J32" s="46">
        <v>2</v>
      </c>
      <c r="K32" s="347"/>
      <c r="L32" s="348"/>
      <c r="M32" s="349"/>
      <c r="N32" s="350"/>
      <c r="O32" s="351"/>
      <c r="P32" s="348"/>
      <c r="Q32" s="349">
        <v>2</v>
      </c>
      <c r="R32" s="350"/>
      <c r="S32" s="351"/>
      <c r="T32" s="348"/>
      <c r="U32" s="360"/>
      <c r="V32" s="363"/>
      <c r="W32" s="57">
        <f t="shared" si="4"/>
        <v>2</v>
      </c>
      <c r="X32" s="384"/>
      <c r="Y32" s="355"/>
    </row>
    <row r="33" spans="2:28" ht="18" thickBot="1">
      <c r="B33" s="327"/>
      <c r="C33" s="328"/>
      <c r="D33" s="331" t="s">
        <v>28</v>
      </c>
      <c r="E33" s="38" t="s">
        <v>347</v>
      </c>
      <c r="F33" s="161" t="s">
        <v>47</v>
      </c>
      <c r="G33" s="385" t="s">
        <v>528</v>
      </c>
      <c r="H33" s="155">
        <v>3</v>
      </c>
      <c r="I33" s="58" t="s">
        <v>349</v>
      </c>
      <c r="J33" s="41">
        <v>3</v>
      </c>
      <c r="K33" s="334">
        <v>3</v>
      </c>
      <c r="L33" s="336"/>
      <c r="M33" s="337"/>
      <c r="N33" s="338"/>
      <c r="O33" s="339"/>
      <c r="P33" s="336"/>
      <c r="Q33" s="337"/>
      <c r="R33" s="338"/>
      <c r="S33" s="339"/>
      <c r="T33" s="336"/>
      <c r="U33" s="387"/>
      <c r="V33" s="388"/>
      <c r="W33" s="157">
        <f t="shared" si="4"/>
        <v>3</v>
      </c>
      <c r="X33" s="383">
        <f>SUM(W33:W34)</f>
        <v>6</v>
      </c>
      <c r="Y33" s="355">
        <v>6</v>
      </c>
    </row>
    <row r="34" spans="2:28" ht="18" thickBot="1">
      <c r="B34" s="327"/>
      <c r="C34" s="328"/>
      <c r="D34" s="332"/>
      <c r="E34" s="48" t="s">
        <v>347</v>
      </c>
      <c r="F34" s="162" t="s">
        <v>9</v>
      </c>
      <c r="G34" s="386"/>
      <c r="H34" s="44">
        <v>3</v>
      </c>
      <c r="I34" s="45" t="s">
        <v>349</v>
      </c>
      <c r="J34" s="46">
        <v>3</v>
      </c>
      <c r="K34" s="347"/>
      <c r="L34" s="348"/>
      <c r="M34" s="349">
        <v>3</v>
      </c>
      <c r="N34" s="350"/>
      <c r="O34" s="351"/>
      <c r="P34" s="348"/>
      <c r="Q34" s="349"/>
      <c r="R34" s="350"/>
      <c r="S34" s="351"/>
      <c r="T34" s="348"/>
      <c r="U34" s="389"/>
      <c r="V34" s="381"/>
      <c r="W34" s="57">
        <f t="shared" si="4"/>
        <v>3</v>
      </c>
      <c r="X34" s="384"/>
      <c r="Y34" s="355"/>
    </row>
    <row r="35" spans="2:28" ht="16.2" customHeight="1" thickBot="1">
      <c r="B35" s="327"/>
      <c r="C35" s="328"/>
      <c r="D35" s="404" t="s">
        <v>353</v>
      </c>
      <c r="E35" s="38" t="s">
        <v>524</v>
      </c>
      <c r="F35" s="391" t="s">
        <v>301</v>
      </c>
      <c r="G35" s="392"/>
      <c r="H35" s="39">
        <v>4</v>
      </c>
      <c r="I35" s="53" t="s">
        <v>342</v>
      </c>
      <c r="J35" s="41">
        <v>3</v>
      </c>
      <c r="K35" s="334" t="s">
        <v>529</v>
      </c>
      <c r="L35" s="336"/>
      <c r="M35" s="337"/>
      <c r="N35" s="338"/>
      <c r="O35" s="339">
        <v>3</v>
      </c>
      <c r="P35" s="336"/>
      <c r="Q35" s="337"/>
      <c r="R35" s="338"/>
      <c r="S35" s="339"/>
      <c r="T35" s="336"/>
      <c r="U35" s="387"/>
      <c r="V35" s="388"/>
      <c r="W35" s="157">
        <f t="shared" si="4"/>
        <v>3</v>
      </c>
      <c r="X35" s="382">
        <f>SUM(W35:W38)</f>
        <v>10</v>
      </c>
      <c r="Y35" s="355">
        <v>8</v>
      </c>
    </row>
    <row r="36" spans="2:28" ht="16.2" customHeight="1" thickBot="1">
      <c r="B36" s="327"/>
      <c r="C36" s="328"/>
      <c r="D36" s="405"/>
      <c r="E36" s="43" t="s">
        <v>340</v>
      </c>
      <c r="F36" s="371" t="s">
        <v>309</v>
      </c>
      <c r="G36" s="390"/>
      <c r="H36" s="155">
        <v>4</v>
      </c>
      <c r="I36" s="159" t="s">
        <v>342</v>
      </c>
      <c r="J36" s="156">
        <v>3</v>
      </c>
      <c r="K36" s="347"/>
      <c r="L36" s="348"/>
      <c r="M36" s="349"/>
      <c r="N36" s="350"/>
      <c r="O36" s="351"/>
      <c r="P36" s="348"/>
      <c r="Q36" s="349">
        <v>3</v>
      </c>
      <c r="R36" s="350"/>
      <c r="S36" s="351"/>
      <c r="T36" s="348"/>
      <c r="U36" s="349"/>
      <c r="V36" s="352"/>
      <c r="W36" s="47">
        <f t="shared" si="4"/>
        <v>3</v>
      </c>
      <c r="X36" s="383"/>
      <c r="Y36" s="355"/>
    </row>
    <row r="37" spans="2:28" ht="16.5" customHeight="1" thickBot="1">
      <c r="B37" s="327"/>
      <c r="C37" s="328"/>
      <c r="D37" s="405"/>
      <c r="E37" s="43" t="s">
        <v>340</v>
      </c>
      <c r="F37" s="163" t="s">
        <v>530</v>
      </c>
      <c r="G37" s="393" t="s">
        <v>528</v>
      </c>
      <c r="H37" s="44">
        <v>3</v>
      </c>
      <c r="I37" s="45" t="s">
        <v>349</v>
      </c>
      <c r="J37" s="46">
        <v>2</v>
      </c>
      <c r="K37" s="347">
        <v>2</v>
      </c>
      <c r="L37" s="348"/>
      <c r="M37" s="349"/>
      <c r="N37" s="350"/>
      <c r="O37" s="351" t="s">
        <v>529</v>
      </c>
      <c r="P37" s="348"/>
      <c r="Q37" s="349"/>
      <c r="R37" s="350"/>
      <c r="S37" s="351"/>
      <c r="T37" s="348"/>
      <c r="U37" s="349"/>
      <c r="V37" s="352"/>
      <c r="W37" s="47">
        <f t="shared" si="4"/>
        <v>2</v>
      </c>
      <c r="X37" s="383"/>
      <c r="Y37" s="355"/>
    </row>
    <row r="38" spans="2:28" ht="18" thickBot="1">
      <c r="B38" s="329"/>
      <c r="C38" s="330"/>
      <c r="D38" s="405"/>
      <c r="E38" s="48" t="s">
        <v>347</v>
      </c>
      <c r="F38" s="181" t="s">
        <v>50</v>
      </c>
      <c r="G38" s="386"/>
      <c r="H38" s="49">
        <v>3</v>
      </c>
      <c r="I38" s="50" t="s">
        <v>349</v>
      </c>
      <c r="J38" s="51">
        <v>2</v>
      </c>
      <c r="K38" s="358" t="s">
        <v>529</v>
      </c>
      <c r="L38" s="359"/>
      <c r="M38" s="360">
        <v>2</v>
      </c>
      <c r="N38" s="361"/>
      <c r="O38" s="351"/>
      <c r="P38" s="348"/>
      <c r="Q38" s="349" t="s">
        <v>529</v>
      </c>
      <c r="R38" s="350"/>
      <c r="S38" s="351"/>
      <c r="T38" s="348"/>
      <c r="U38" s="349"/>
      <c r="V38" s="352"/>
      <c r="W38" s="47">
        <f t="shared" si="4"/>
        <v>2</v>
      </c>
      <c r="X38" s="384"/>
      <c r="Y38" s="355"/>
    </row>
    <row r="39" spans="2:28" ht="24.75" customHeight="1" thickBot="1">
      <c r="B39" s="394" t="s">
        <v>361</v>
      </c>
      <c r="C39" s="395"/>
      <c r="D39" s="395"/>
      <c r="E39" s="395"/>
      <c r="F39" s="395"/>
      <c r="G39" s="396"/>
      <c r="H39" s="147">
        <f>SUM(H9:H38)</f>
        <v>110</v>
      </c>
      <c r="I39" s="18"/>
      <c r="J39" s="146">
        <f>SUM(J9:J38)</f>
        <v>84</v>
      </c>
      <c r="K39" s="397">
        <f>SUM(K9:L38)</f>
        <v>22</v>
      </c>
      <c r="L39" s="398"/>
      <c r="M39" s="398">
        <f>SUM(M9:N38)</f>
        <v>22</v>
      </c>
      <c r="N39" s="399"/>
      <c r="O39" s="400">
        <f>SUM(O9:P38)</f>
        <v>17</v>
      </c>
      <c r="P39" s="398"/>
      <c r="Q39" s="398">
        <f>SUM(Q9:R38)</f>
        <v>17</v>
      </c>
      <c r="R39" s="401"/>
      <c r="S39" s="402">
        <f>SUM(S9:T38)</f>
        <v>6</v>
      </c>
      <c r="T39" s="398"/>
      <c r="U39" s="398">
        <f>SUM(U9:V38)</f>
        <v>0</v>
      </c>
      <c r="V39" s="403"/>
      <c r="W39" s="394">
        <f>SUM(K39:V39)</f>
        <v>84</v>
      </c>
      <c r="X39" s="402"/>
      <c r="Y39" s="146">
        <f>SUM(Y9:Y38)</f>
        <v>64</v>
      </c>
      <c r="AA39" s="406" t="b">
        <f>W39&gt;=Y39</f>
        <v>1</v>
      </c>
      <c r="AB39" s="407"/>
    </row>
    <row r="40" spans="2:28" ht="17.25" customHeight="1">
      <c r="B40" s="408" t="s">
        <v>354</v>
      </c>
      <c r="C40" s="409"/>
      <c r="D40" s="412" t="s">
        <v>355</v>
      </c>
      <c r="E40" s="413"/>
      <c r="F40" s="416" t="s">
        <v>531</v>
      </c>
      <c r="G40" s="417"/>
      <c r="H40" s="166"/>
      <c r="I40" s="178"/>
      <c r="J40" s="179">
        <v>2</v>
      </c>
      <c r="K40" s="418"/>
      <c r="L40" s="419"/>
      <c r="M40" s="420">
        <v>2</v>
      </c>
      <c r="N40" s="421"/>
      <c r="O40" s="418"/>
      <c r="P40" s="419"/>
      <c r="Q40" s="420"/>
      <c r="R40" s="421"/>
      <c r="S40" s="418"/>
      <c r="T40" s="419"/>
      <c r="U40" s="420" t="s">
        <v>529</v>
      </c>
      <c r="V40" s="422"/>
      <c r="W40" s="423">
        <f>SUM(K40:V40)</f>
        <v>2</v>
      </c>
      <c r="X40" s="424"/>
      <c r="Y40" s="425">
        <v>80</v>
      </c>
    </row>
    <row r="41" spans="2:28" ht="17.25" customHeight="1" thickBot="1">
      <c r="B41" s="410"/>
      <c r="C41" s="411"/>
      <c r="D41" s="414"/>
      <c r="E41" s="415"/>
      <c r="F41" s="428" t="s">
        <v>532</v>
      </c>
      <c r="G41" s="429"/>
      <c r="H41" s="169"/>
      <c r="I41" s="183"/>
      <c r="J41" s="171">
        <v>2</v>
      </c>
      <c r="K41" s="430"/>
      <c r="L41" s="431"/>
      <c r="M41" s="432"/>
      <c r="N41" s="433"/>
      <c r="O41" s="430"/>
      <c r="P41" s="431"/>
      <c r="Q41" s="432"/>
      <c r="R41" s="433"/>
      <c r="S41" s="430">
        <v>2</v>
      </c>
      <c r="T41" s="431"/>
      <c r="U41" s="432"/>
      <c r="V41" s="434"/>
      <c r="W41" s="435">
        <f>SUM(K41:V41)</f>
        <v>2</v>
      </c>
      <c r="X41" s="436"/>
      <c r="Y41" s="426"/>
    </row>
    <row r="42" spans="2:28" ht="17.25" customHeight="1">
      <c r="B42" s="410"/>
      <c r="C42" s="411"/>
      <c r="D42" s="62" t="s">
        <v>66</v>
      </c>
      <c r="E42" s="65" t="s">
        <v>356</v>
      </c>
      <c r="F42" s="437" t="s">
        <v>533</v>
      </c>
      <c r="G42" s="438"/>
      <c r="H42" s="33"/>
      <c r="I42" s="32"/>
      <c r="J42" s="174">
        <v>5</v>
      </c>
      <c r="K42" s="439">
        <v>5</v>
      </c>
      <c r="L42" s="440"/>
      <c r="M42" s="441"/>
      <c r="N42" s="442"/>
      <c r="O42" s="443"/>
      <c r="P42" s="440"/>
      <c r="Q42" s="441"/>
      <c r="R42" s="444"/>
      <c r="S42" s="442"/>
      <c r="T42" s="440"/>
      <c r="U42" s="441"/>
      <c r="V42" s="445"/>
      <c r="W42" s="446">
        <f t="shared" ref="W42:W55" si="5">SUM(K42:V42)</f>
        <v>5</v>
      </c>
      <c r="X42" s="447"/>
      <c r="Y42" s="427"/>
    </row>
    <row r="43" spans="2:28" ht="17.25" customHeight="1">
      <c r="B43" s="410"/>
      <c r="C43" s="411"/>
      <c r="D43" s="59" t="s">
        <v>66</v>
      </c>
      <c r="E43" s="60" t="s">
        <v>356</v>
      </c>
      <c r="F43" s="451" t="s">
        <v>534</v>
      </c>
      <c r="G43" s="452"/>
      <c r="H43" s="33"/>
      <c r="I43" s="32"/>
      <c r="J43" s="174">
        <v>2</v>
      </c>
      <c r="K43" s="371">
        <v>2</v>
      </c>
      <c r="L43" s="453"/>
      <c r="M43" s="448"/>
      <c r="N43" s="454"/>
      <c r="O43" s="455"/>
      <c r="P43" s="453"/>
      <c r="Q43" s="448"/>
      <c r="R43" s="454"/>
      <c r="S43" s="455"/>
      <c r="T43" s="453"/>
      <c r="U43" s="448"/>
      <c r="V43" s="372"/>
      <c r="W43" s="449">
        <f t="shared" si="5"/>
        <v>2</v>
      </c>
      <c r="X43" s="450"/>
      <c r="Y43" s="427"/>
    </row>
    <row r="44" spans="2:28" ht="17.25" customHeight="1">
      <c r="B44" s="410"/>
      <c r="C44" s="411"/>
      <c r="D44" s="59" t="s">
        <v>66</v>
      </c>
      <c r="E44" s="60" t="s">
        <v>356</v>
      </c>
      <c r="F44" s="451" t="s">
        <v>535</v>
      </c>
      <c r="G44" s="452"/>
      <c r="H44" s="33"/>
      <c r="I44" s="32"/>
      <c r="J44" s="174">
        <v>5</v>
      </c>
      <c r="K44" s="371"/>
      <c r="L44" s="453"/>
      <c r="M44" s="448">
        <v>5</v>
      </c>
      <c r="N44" s="454"/>
      <c r="O44" s="455"/>
      <c r="P44" s="453"/>
      <c r="Q44" s="448"/>
      <c r="R44" s="454"/>
      <c r="S44" s="455"/>
      <c r="T44" s="453"/>
      <c r="U44" s="448"/>
      <c r="V44" s="372"/>
      <c r="W44" s="449">
        <f t="shared" si="5"/>
        <v>5</v>
      </c>
      <c r="X44" s="450"/>
      <c r="Y44" s="427"/>
    </row>
    <row r="45" spans="2:28" ht="17.25" customHeight="1">
      <c r="B45" s="410"/>
      <c r="C45" s="411"/>
      <c r="D45" s="59" t="s">
        <v>157</v>
      </c>
      <c r="E45" s="60" t="s">
        <v>356</v>
      </c>
      <c r="F45" s="458" t="s">
        <v>358</v>
      </c>
      <c r="G45" s="459"/>
      <c r="H45" s="33"/>
      <c r="I45" s="32"/>
      <c r="J45" s="174">
        <f t="shared" ref="J45:J50" si="6">SUM(K45:V45)</f>
        <v>2</v>
      </c>
      <c r="K45" s="460"/>
      <c r="L45" s="461"/>
      <c r="M45" s="456"/>
      <c r="N45" s="462"/>
      <c r="O45" s="455">
        <v>2</v>
      </c>
      <c r="P45" s="453"/>
      <c r="Q45" s="448"/>
      <c r="R45" s="454"/>
      <c r="S45" s="463"/>
      <c r="T45" s="461"/>
      <c r="U45" s="456"/>
      <c r="V45" s="457"/>
      <c r="W45" s="449">
        <f t="shared" si="5"/>
        <v>2</v>
      </c>
      <c r="X45" s="450"/>
      <c r="Y45" s="427"/>
    </row>
    <row r="46" spans="2:28" ht="17.25" customHeight="1">
      <c r="B46" s="410"/>
      <c r="C46" s="411"/>
      <c r="D46" s="59" t="s">
        <v>157</v>
      </c>
      <c r="E46" s="60" t="s">
        <v>356</v>
      </c>
      <c r="F46" s="458" t="s">
        <v>575</v>
      </c>
      <c r="G46" s="459"/>
      <c r="H46" s="33"/>
      <c r="I46" s="32"/>
      <c r="J46" s="174">
        <f t="shared" si="6"/>
        <v>3</v>
      </c>
      <c r="K46" s="460"/>
      <c r="L46" s="461"/>
      <c r="M46" s="456"/>
      <c r="N46" s="462"/>
      <c r="O46" s="455">
        <v>3</v>
      </c>
      <c r="P46" s="453"/>
      <c r="Q46" s="448"/>
      <c r="R46" s="454"/>
      <c r="S46" s="463"/>
      <c r="T46" s="461"/>
      <c r="U46" s="456"/>
      <c r="V46" s="457"/>
      <c r="W46" s="449">
        <f t="shared" ref="W46:W48" si="7">SUM(K46:V46)</f>
        <v>3</v>
      </c>
      <c r="X46" s="450"/>
      <c r="Y46" s="427"/>
    </row>
    <row r="47" spans="2:28" ht="17.25" customHeight="1">
      <c r="B47" s="410"/>
      <c r="C47" s="411"/>
      <c r="D47" s="59" t="s">
        <v>157</v>
      </c>
      <c r="E47" s="60" t="s">
        <v>356</v>
      </c>
      <c r="F47" s="458" t="s">
        <v>576</v>
      </c>
      <c r="G47" s="459"/>
      <c r="H47" s="33"/>
      <c r="I47" s="140"/>
      <c r="J47" s="174">
        <f t="shared" si="6"/>
        <v>4</v>
      </c>
      <c r="K47" s="460"/>
      <c r="L47" s="461"/>
      <c r="M47" s="456"/>
      <c r="N47" s="462"/>
      <c r="O47" s="455">
        <v>4</v>
      </c>
      <c r="P47" s="453"/>
      <c r="Q47" s="448"/>
      <c r="R47" s="454"/>
      <c r="S47" s="463"/>
      <c r="T47" s="461"/>
      <c r="U47" s="456"/>
      <c r="V47" s="457"/>
      <c r="W47" s="449">
        <f t="shared" si="7"/>
        <v>4</v>
      </c>
      <c r="X47" s="450"/>
      <c r="Y47" s="427"/>
    </row>
    <row r="48" spans="2:28" ht="17.25" customHeight="1">
      <c r="B48" s="410"/>
      <c r="C48" s="411"/>
      <c r="D48" s="59" t="s">
        <v>157</v>
      </c>
      <c r="E48" s="60" t="s">
        <v>357</v>
      </c>
      <c r="F48" s="458" t="s">
        <v>577</v>
      </c>
      <c r="G48" s="459"/>
      <c r="H48" s="33"/>
      <c r="I48" s="140"/>
      <c r="J48" s="174">
        <f t="shared" si="6"/>
        <v>2</v>
      </c>
      <c r="K48" s="460"/>
      <c r="L48" s="461"/>
      <c r="M48" s="456"/>
      <c r="N48" s="462"/>
      <c r="O48" s="455"/>
      <c r="P48" s="453"/>
      <c r="Q48" s="448">
        <v>2</v>
      </c>
      <c r="R48" s="454"/>
      <c r="S48" s="463"/>
      <c r="T48" s="461"/>
      <c r="U48" s="456"/>
      <c r="V48" s="457"/>
      <c r="W48" s="449">
        <f t="shared" si="7"/>
        <v>2</v>
      </c>
      <c r="X48" s="450"/>
      <c r="Y48" s="427"/>
    </row>
    <row r="49" spans="2:29" ht="17.25" customHeight="1">
      <c r="B49" s="410"/>
      <c r="C49" s="411"/>
      <c r="D49" s="61" t="s">
        <v>157</v>
      </c>
      <c r="E49" s="60" t="s">
        <v>356</v>
      </c>
      <c r="F49" s="458" t="s">
        <v>578</v>
      </c>
      <c r="G49" s="459"/>
      <c r="H49" s="33"/>
      <c r="I49" s="140"/>
      <c r="J49" s="174">
        <f t="shared" si="6"/>
        <v>3</v>
      </c>
      <c r="K49" s="460"/>
      <c r="L49" s="461"/>
      <c r="M49" s="456"/>
      <c r="N49" s="462"/>
      <c r="O49" s="455"/>
      <c r="P49" s="453"/>
      <c r="Q49" s="448">
        <v>3</v>
      </c>
      <c r="R49" s="454"/>
      <c r="S49" s="463"/>
      <c r="T49" s="461"/>
      <c r="U49" s="456"/>
      <c r="V49" s="457"/>
      <c r="W49" s="449">
        <f t="shared" si="5"/>
        <v>3</v>
      </c>
      <c r="X49" s="450"/>
      <c r="Y49" s="427"/>
    </row>
    <row r="50" spans="2:29" ht="17.25" customHeight="1">
      <c r="B50" s="410"/>
      <c r="C50" s="411"/>
      <c r="D50" s="62" t="s">
        <v>157</v>
      </c>
      <c r="E50" s="60" t="s">
        <v>357</v>
      </c>
      <c r="F50" s="458" t="s">
        <v>579</v>
      </c>
      <c r="G50" s="459"/>
      <c r="H50" s="177"/>
      <c r="I50" s="182"/>
      <c r="J50" s="176">
        <f t="shared" si="6"/>
        <v>4</v>
      </c>
      <c r="K50" s="366"/>
      <c r="L50" s="569"/>
      <c r="M50" s="448"/>
      <c r="N50" s="469"/>
      <c r="O50" s="455"/>
      <c r="P50" s="453"/>
      <c r="Q50" s="448">
        <v>4</v>
      </c>
      <c r="R50" s="454"/>
      <c r="S50" s="469"/>
      <c r="T50" s="453"/>
      <c r="U50" s="448"/>
      <c r="V50" s="372"/>
      <c r="W50" s="449">
        <f t="shared" si="5"/>
        <v>4</v>
      </c>
      <c r="X50" s="450"/>
      <c r="Y50" s="427"/>
    </row>
    <row r="51" spans="2:29" ht="17.25" customHeight="1">
      <c r="B51" s="410"/>
      <c r="C51" s="411"/>
      <c r="D51" s="59" t="s">
        <v>66</v>
      </c>
      <c r="E51" s="60" t="s">
        <v>357</v>
      </c>
      <c r="F51" s="458" t="s">
        <v>539</v>
      </c>
      <c r="G51" s="459"/>
      <c r="H51" s="33"/>
      <c r="I51" s="32"/>
      <c r="J51" s="174">
        <v>6</v>
      </c>
      <c r="K51" s="460"/>
      <c r="L51" s="461"/>
      <c r="M51" s="456"/>
      <c r="N51" s="462"/>
      <c r="O51" s="455">
        <v>3</v>
      </c>
      <c r="P51" s="453"/>
      <c r="Q51" s="448">
        <v>3</v>
      </c>
      <c r="R51" s="454"/>
      <c r="S51" s="463"/>
      <c r="T51" s="461"/>
      <c r="U51" s="456"/>
      <c r="V51" s="457"/>
      <c r="W51" s="449">
        <f t="shared" si="5"/>
        <v>6</v>
      </c>
      <c r="X51" s="450"/>
      <c r="Y51" s="427"/>
    </row>
    <row r="52" spans="2:29" ht="17.25" customHeight="1">
      <c r="B52" s="410"/>
      <c r="C52" s="411"/>
      <c r="D52" s="184" t="s">
        <v>66</v>
      </c>
      <c r="E52" s="185" t="s">
        <v>356</v>
      </c>
      <c r="F52" s="467" t="s">
        <v>541</v>
      </c>
      <c r="G52" s="468"/>
      <c r="H52" s="172"/>
      <c r="I52" s="173"/>
      <c r="J52" s="174">
        <v>2</v>
      </c>
      <c r="K52" s="371"/>
      <c r="L52" s="453"/>
      <c r="M52" s="448"/>
      <c r="N52" s="454"/>
      <c r="O52" s="455"/>
      <c r="P52" s="453"/>
      <c r="Q52" s="448"/>
      <c r="R52" s="454"/>
      <c r="S52" s="455"/>
      <c r="T52" s="453"/>
      <c r="U52" s="448">
        <v>2</v>
      </c>
      <c r="V52" s="372"/>
      <c r="W52" s="449">
        <f t="shared" si="5"/>
        <v>2</v>
      </c>
      <c r="X52" s="450"/>
      <c r="Y52" s="427"/>
    </row>
    <row r="53" spans="2:29" ht="17.25" customHeight="1">
      <c r="B53" s="410"/>
      <c r="C53" s="411"/>
      <c r="D53" s="184" t="s">
        <v>66</v>
      </c>
      <c r="E53" s="185" t="s">
        <v>356</v>
      </c>
      <c r="F53" s="465" t="s">
        <v>542</v>
      </c>
      <c r="G53" s="466"/>
      <c r="H53" s="172"/>
      <c r="I53" s="173"/>
      <c r="J53" s="174">
        <v>3</v>
      </c>
      <c r="K53" s="371"/>
      <c r="L53" s="453"/>
      <c r="M53" s="448"/>
      <c r="N53" s="454"/>
      <c r="O53" s="455"/>
      <c r="P53" s="453"/>
      <c r="Q53" s="448"/>
      <c r="R53" s="454"/>
      <c r="S53" s="464"/>
      <c r="T53" s="461"/>
      <c r="U53" s="448">
        <v>3</v>
      </c>
      <c r="V53" s="372"/>
      <c r="W53" s="449">
        <f t="shared" si="5"/>
        <v>3</v>
      </c>
      <c r="X53" s="450"/>
      <c r="Y53" s="427"/>
    </row>
    <row r="54" spans="2:29" ht="17.25" customHeight="1">
      <c r="B54" s="410"/>
      <c r="C54" s="411"/>
      <c r="D54" s="184" t="s">
        <v>66</v>
      </c>
      <c r="E54" s="185" t="s">
        <v>356</v>
      </c>
      <c r="F54" s="465" t="s">
        <v>543</v>
      </c>
      <c r="G54" s="466"/>
      <c r="H54" s="172"/>
      <c r="I54" s="173"/>
      <c r="J54" s="174">
        <v>3</v>
      </c>
      <c r="K54" s="371"/>
      <c r="L54" s="453"/>
      <c r="M54" s="448"/>
      <c r="N54" s="454"/>
      <c r="O54" s="455"/>
      <c r="P54" s="453"/>
      <c r="Q54" s="448"/>
      <c r="R54" s="454"/>
      <c r="S54" s="463"/>
      <c r="T54" s="461"/>
      <c r="U54" s="448">
        <v>3</v>
      </c>
      <c r="V54" s="372"/>
      <c r="W54" s="449">
        <f t="shared" si="5"/>
        <v>3</v>
      </c>
      <c r="X54" s="450"/>
      <c r="Y54" s="427"/>
    </row>
    <row r="55" spans="2:29" ht="16.5" customHeight="1" thickBot="1">
      <c r="B55" s="410"/>
      <c r="C55" s="411"/>
      <c r="D55" s="59" t="s">
        <v>66</v>
      </c>
      <c r="E55" s="60" t="s">
        <v>357</v>
      </c>
      <c r="F55" s="458" t="s">
        <v>548</v>
      </c>
      <c r="G55" s="459"/>
      <c r="H55" s="189"/>
      <c r="I55" s="183"/>
      <c r="J55" s="171">
        <v>4</v>
      </c>
      <c r="K55" s="555"/>
      <c r="L55" s="431"/>
      <c r="M55" s="448"/>
      <c r="N55" s="469"/>
      <c r="O55" s="455"/>
      <c r="P55" s="453"/>
      <c r="Q55" s="448"/>
      <c r="R55" s="454"/>
      <c r="S55" s="469">
        <v>2</v>
      </c>
      <c r="T55" s="453"/>
      <c r="U55" s="448">
        <v>2</v>
      </c>
      <c r="V55" s="372"/>
      <c r="W55" s="449">
        <f t="shared" si="5"/>
        <v>4</v>
      </c>
      <c r="X55" s="450"/>
      <c r="Y55" s="427"/>
    </row>
    <row r="56" spans="2:29" ht="20.25" customHeight="1">
      <c r="B56" s="531" t="s">
        <v>154</v>
      </c>
      <c r="C56" s="528" t="s">
        <v>586</v>
      </c>
      <c r="D56" s="197" t="s">
        <v>157</v>
      </c>
      <c r="E56" s="151" t="s">
        <v>357</v>
      </c>
      <c r="F56" s="579" t="s">
        <v>580</v>
      </c>
      <c r="G56" s="580"/>
      <c r="H56" s="30"/>
      <c r="I56" s="201"/>
      <c r="J56" s="174">
        <f t="shared" ref="J56:J61" si="8">SUM(K56:V56)</f>
        <v>12</v>
      </c>
      <c r="K56" s="439"/>
      <c r="L56" s="440"/>
      <c r="M56" s="473"/>
      <c r="N56" s="474"/>
      <c r="O56" s="475"/>
      <c r="P56" s="472"/>
      <c r="Q56" s="473"/>
      <c r="R56" s="476"/>
      <c r="S56" s="420">
        <v>6</v>
      </c>
      <c r="T56" s="418"/>
      <c r="U56" s="420">
        <v>6</v>
      </c>
      <c r="V56" s="418"/>
      <c r="W56" s="547">
        <f>SUM(K56:V58)</f>
        <v>38</v>
      </c>
      <c r="X56" s="548"/>
      <c r="Y56" s="427"/>
    </row>
    <row r="57" spans="2:29" ht="20.25" customHeight="1">
      <c r="B57" s="532"/>
      <c r="C57" s="587"/>
      <c r="D57" s="61" t="s">
        <v>157</v>
      </c>
      <c r="E57" s="60" t="s">
        <v>357</v>
      </c>
      <c r="F57" s="458" t="s">
        <v>581</v>
      </c>
      <c r="G57" s="459"/>
      <c r="H57" s="200"/>
      <c r="I57" s="201"/>
      <c r="J57" s="174">
        <f t="shared" si="8"/>
        <v>12</v>
      </c>
      <c r="K57" s="371"/>
      <c r="L57" s="453"/>
      <c r="M57" s="448"/>
      <c r="N57" s="454"/>
      <c r="O57" s="455"/>
      <c r="P57" s="453"/>
      <c r="Q57" s="448"/>
      <c r="R57" s="454"/>
      <c r="S57" s="448">
        <v>6</v>
      </c>
      <c r="T57" s="469"/>
      <c r="U57" s="448">
        <v>6</v>
      </c>
      <c r="V57" s="469"/>
      <c r="W57" s="549"/>
      <c r="X57" s="550"/>
      <c r="Y57" s="427"/>
    </row>
    <row r="58" spans="2:29" ht="20.25" customHeight="1" thickBot="1">
      <c r="B58" s="532"/>
      <c r="C58" s="743"/>
      <c r="D58" s="202" t="s">
        <v>157</v>
      </c>
      <c r="E58" s="186" t="s">
        <v>357</v>
      </c>
      <c r="F58" s="581" t="s">
        <v>582</v>
      </c>
      <c r="G58" s="582"/>
      <c r="H58" s="203"/>
      <c r="I58" s="201"/>
      <c r="J58" s="171">
        <f t="shared" si="8"/>
        <v>14</v>
      </c>
      <c r="K58" s="555"/>
      <c r="L58" s="431"/>
      <c r="M58" s="583"/>
      <c r="N58" s="584"/>
      <c r="O58" s="585"/>
      <c r="P58" s="586"/>
      <c r="Q58" s="583"/>
      <c r="R58" s="584"/>
      <c r="S58" s="554">
        <v>7</v>
      </c>
      <c r="T58" s="430"/>
      <c r="U58" s="432">
        <v>7</v>
      </c>
      <c r="V58" s="434"/>
      <c r="W58" s="549"/>
      <c r="X58" s="550"/>
      <c r="Y58" s="427"/>
    </row>
    <row r="59" spans="2:29" ht="20.25" customHeight="1">
      <c r="B59" s="532"/>
      <c r="C59" s="578" t="s">
        <v>587</v>
      </c>
      <c r="D59" s="63" t="s">
        <v>157</v>
      </c>
      <c r="E59" s="65" t="s">
        <v>357</v>
      </c>
      <c r="F59" s="470" t="s">
        <v>583</v>
      </c>
      <c r="G59" s="471"/>
      <c r="H59" s="30"/>
      <c r="I59" s="196"/>
      <c r="J59" s="192">
        <f t="shared" si="8"/>
        <v>12</v>
      </c>
      <c r="K59" s="391"/>
      <c r="L59" s="472"/>
      <c r="M59" s="473"/>
      <c r="N59" s="476"/>
      <c r="O59" s="475"/>
      <c r="P59" s="472"/>
      <c r="Q59" s="473"/>
      <c r="R59" s="476"/>
      <c r="S59" s="420">
        <v>6</v>
      </c>
      <c r="T59" s="418"/>
      <c r="U59" s="420">
        <v>6</v>
      </c>
      <c r="V59" s="418"/>
      <c r="W59" s="549"/>
      <c r="X59" s="550"/>
      <c r="Y59" s="427"/>
    </row>
    <row r="60" spans="2:29" ht="20.25" customHeight="1">
      <c r="B60" s="532"/>
      <c r="C60" s="578"/>
      <c r="D60" s="67" t="s">
        <v>157</v>
      </c>
      <c r="E60" s="65" t="s">
        <v>357</v>
      </c>
      <c r="F60" s="573" t="s">
        <v>584</v>
      </c>
      <c r="G60" s="574"/>
      <c r="H60" s="204"/>
      <c r="I60" s="742"/>
      <c r="J60" s="176">
        <f t="shared" si="8"/>
        <v>12</v>
      </c>
      <c r="K60" s="439"/>
      <c r="L60" s="440"/>
      <c r="M60" s="448"/>
      <c r="N60" s="454"/>
      <c r="O60" s="455"/>
      <c r="P60" s="453"/>
      <c r="Q60" s="448"/>
      <c r="R60" s="454"/>
      <c r="S60" s="441">
        <v>6</v>
      </c>
      <c r="T60" s="442"/>
      <c r="U60" s="441">
        <v>6</v>
      </c>
      <c r="V60" s="442"/>
      <c r="W60" s="549"/>
      <c r="X60" s="550"/>
      <c r="Y60" s="427"/>
    </row>
    <row r="61" spans="2:29" ht="20.25" customHeight="1" thickBot="1">
      <c r="B61" s="533"/>
      <c r="C61" s="329"/>
      <c r="D61" s="202" t="s">
        <v>157</v>
      </c>
      <c r="E61" s="65" t="s">
        <v>357</v>
      </c>
      <c r="F61" s="575" t="s">
        <v>585</v>
      </c>
      <c r="G61" s="576"/>
      <c r="H61" s="31"/>
      <c r="I61" s="188"/>
      <c r="J61" s="174">
        <f t="shared" si="8"/>
        <v>14</v>
      </c>
      <c r="K61" s="555"/>
      <c r="L61" s="431"/>
      <c r="M61" s="432"/>
      <c r="N61" s="430"/>
      <c r="O61" s="554"/>
      <c r="P61" s="431"/>
      <c r="Q61" s="432"/>
      <c r="R61" s="433"/>
      <c r="S61" s="534">
        <v>7</v>
      </c>
      <c r="T61" s="577"/>
      <c r="U61" s="534">
        <v>7</v>
      </c>
      <c r="V61" s="577"/>
      <c r="W61" s="551"/>
      <c r="X61" s="552"/>
      <c r="Y61" s="427"/>
    </row>
    <row r="62" spans="2:29" ht="24.75" customHeight="1">
      <c r="B62" s="489" t="s">
        <v>362</v>
      </c>
      <c r="C62" s="485"/>
      <c r="D62" s="485"/>
      <c r="E62" s="485"/>
      <c r="F62" s="485"/>
      <c r="G62" s="487"/>
      <c r="H62" s="493">
        <f>SUM(H40:H55)</f>
        <v>0</v>
      </c>
      <c r="I62" s="495">
        <f>SUM(I40:I55)</f>
        <v>0</v>
      </c>
      <c r="J62" s="497">
        <f>SUM(J40:J58)</f>
        <v>90</v>
      </c>
      <c r="K62" s="489">
        <f>SUM(K40:L61)</f>
        <v>7</v>
      </c>
      <c r="L62" s="478"/>
      <c r="M62" s="481">
        <f>SUM(M40:N61)</f>
        <v>7</v>
      </c>
      <c r="N62" s="485"/>
      <c r="O62" s="477">
        <f>SUM(O40:P61)</f>
        <v>12</v>
      </c>
      <c r="P62" s="478"/>
      <c r="Q62" s="481">
        <f>SUM(Q40:R61)</f>
        <v>12</v>
      </c>
      <c r="R62" s="482"/>
      <c r="S62" s="485">
        <f>SUM(S40:T58)</f>
        <v>23</v>
      </c>
      <c r="T62" s="478"/>
      <c r="U62" s="481">
        <f>SUM(U40:V58)</f>
        <v>29</v>
      </c>
      <c r="V62" s="487"/>
      <c r="W62" s="489">
        <f>SUM(K62:V63)</f>
        <v>90</v>
      </c>
      <c r="X62" s="487"/>
      <c r="Y62" s="491">
        <f>SUM(Y40:Y61)</f>
        <v>80</v>
      </c>
      <c r="AC62" s="148"/>
    </row>
    <row r="63" spans="2:29" ht="18" thickBot="1">
      <c r="B63" s="490"/>
      <c r="C63" s="486"/>
      <c r="D63" s="486"/>
      <c r="E63" s="486"/>
      <c r="F63" s="486"/>
      <c r="G63" s="488"/>
      <c r="H63" s="494"/>
      <c r="I63" s="496"/>
      <c r="J63" s="498"/>
      <c r="K63" s="490"/>
      <c r="L63" s="480"/>
      <c r="M63" s="483"/>
      <c r="N63" s="486"/>
      <c r="O63" s="479"/>
      <c r="P63" s="480"/>
      <c r="Q63" s="483"/>
      <c r="R63" s="484"/>
      <c r="S63" s="486"/>
      <c r="T63" s="480"/>
      <c r="U63" s="483"/>
      <c r="V63" s="488"/>
      <c r="W63" s="490"/>
      <c r="X63" s="488"/>
      <c r="Y63" s="492"/>
      <c r="AC63" s="66"/>
    </row>
    <row r="64" spans="2:29" ht="17.25" customHeight="1" thickBot="1">
      <c r="B64" s="394"/>
      <c r="C64" s="395"/>
      <c r="D64" s="395"/>
      <c r="E64" s="395"/>
      <c r="F64" s="395"/>
      <c r="G64" s="396"/>
      <c r="H64" s="150">
        <f>SUM(H39,H62)</f>
        <v>110</v>
      </c>
      <c r="I64" s="145">
        <f>SUM(I39,I62)</f>
        <v>0</v>
      </c>
      <c r="J64" s="146">
        <f>SUM(J39,J62)</f>
        <v>174</v>
      </c>
      <c r="K64" s="394">
        <f>SUM(K39,K62)</f>
        <v>29</v>
      </c>
      <c r="L64" s="402"/>
      <c r="M64" s="399">
        <f>SUM(M39,M62)</f>
        <v>29</v>
      </c>
      <c r="N64" s="512"/>
      <c r="O64" s="513">
        <f>SUM(O39,O62)</f>
        <v>29</v>
      </c>
      <c r="P64" s="402"/>
      <c r="Q64" s="399">
        <f>SUM(Q39,Q62)</f>
        <v>29</v>
      </c>
      <c r="R64" s="512"/>
      <c r="S64" s="513">
        <f>SUM(S39,S62)</f>
        <v>29</v>
      </c>
      <c r="T64" s="402"/>
      <c r="U64" s="399">
        <f>SUM(U39,U62)</f>
        <v>29</v>
      </c>
      <c r="V64" s="396"/>
      <c r="W64" s="394">
        <f>SUM(K64:V64)</f>
        <v>174</v>
      </c>
      <c r="X64" s="396"/>
      <c r="Y64" s="11">
        <f>Y62+Y39</f>
        <v>144</v>
      </c>
      <c r="AA64" s="370" t="s">
        <v>155</v>
      </c>
      <c r="AB64" s="370"/>
    </row>
    <row r="65" spans="2:28" ht="18.75" customHeight="1" thickBot="1">
      <c r="B65" s="500" t="s">
        <v>363</v>
      </c>
      <c r="C65" s="501"/>
      <c r="D65" s="501"/>
      <c r="E65" s="502"/>
      <c r="F65" s="509" t="s">
        <v>359</v>
      </c>
      <c r="G65" s="510"/>
      <c r="H65" s="510"/>
      <c r="I65" s="510"/>
      <c r="J65" s="511"/>
      <c r="K65" s="334">
        <v>16</v>
      </c>
      <c r="L65" s="336"/>
      <c r="M65" s="337">
        <v>16</v>
      </c>
      <c r="N65" s="338"/>
      <c r="O65" s="339">
        <v>16</v>
      </c>
      <c r="P65" s="336"/>
      <c r="Q65" s="337">
        <v>16</v>
      </c>
      <c r="R65" s="338"/>
      <c r="S65" s="339">
        <v>16</v>
      </c>
      <c r="T65" s="336"/>
      <c r="U65" s="337">
        <v>16</v>
      </c>
      <c r="V65" s="335"/>
      <c r="W65" s="500">
        <f>SUM(K65:V67)</f>
        <v>288</v>
      </c>
      <c r="X65" s="502"/>
      <c r="Y65" s="491">
        <f>Y68*16</f>
        <v>288</v>
      </c>
      <c r="AA65" s="499"/>
      <c r="AB65" s="499"/>
    </row>
    <row r="66" spans="2:28" ht="17.25" customHeight="1" thickBot="1">
      <c r="B66" s="503"/>
      <c r="C66" s="504"/>
      <c r="D66" s="504"/>
      <c r="E66" s="505"/>
      <c r="F66" s="514" t="s">
        <v>63</v>
      </c>
      <c r="G66" s="515"/>
      <c r="H66" s="515"/>
      <c r="I66" s="515"/>
      <c r="J66" s="516"/>
      <c r="K66" s="347">
        <v>16</v>
      </c>
      <c r="L66" s="348"/>
      <c r="M66" s="349">
        <v>16</v>
      </c>
      <c r="N66" s="350"/>
      <c r="O66" s="351">
        <v>16</v>
      </c>
      <c r="P66" s="348"/>
      <c r="Q66" s="349">
        <v>16</v>
      </c>
      <c r="R66" s="350"/>
      <c r="S66" s="351">
        <v>16</v>
      </c>
      <c r="T66" s="348"/>
      <c r="U66" s="349">
        <v>16</v>
      </c>
      <c r="V66" s="352"/>
      <c r="W66" s="503"/>
      <c r="X66" s="505"/>
      <c r="Y66" s="427"/>
      <c r="AA66" s="406" t="b">
        <f>W64&gt;=Y64</f>
        <v>1</v>
      </c>
      <c r="AB66" s="407"/>
    </row>
    <row r="67" spans="2:28" ht="17.25" customHeight="1">
      <c r="B67" s="503"/>
      <c r="C67" s="504"/>
      <c r="D67" s="504"/>
      <c r="E67" s="505"/>
      <c r="F67" s="514" t="s">
        <v>11</v>
      </c>
      <c r="G67" s="515"/>
      <c r="H67" s="515"/>
      <c r="I67" s="515"/>
      <c r="J67" s="516"/>
      <c r="K67" s="347">
        <v>16</v>
      </c>
      <c r="L67" s="348"/>
      <c r="M67" s="349">
        <v>16</v>
      </c>
      <c r="N67" s="350"/>
      <c r="O67" s="351">
        <v>16</v>
      </c>
      <c r="P67" s="348"/>
      <c r="Q67" s="349">
        <v>16</v>
      </c>
      <c r="R67" s="350"/>
      <c r="S67" s="351">
        <v>16</v>
      </c>
      <c r="T67" s="348"/>
      <c r="U67" s="349">
        <v>16</v>
      </c>
      <c r="V67" s="352"/>
      <c r="W67" s="517"/>
      <c r="X67" s="518"/>
      <c r="Y67" s="519"/>
    </row>
    <row r="68" spans="2:28" ht="17.25" customHeight="1" thickBot="1">
      <c r="B68" s="506"/>
      <c r="C68" s="507"/>
      <c r="D68" s="507"/>
      <c r="E68" s="508"/>
      <c r="F68" s="520" t="s">
        <v>150</v>
      </c>
      <c r="G68" s="521"/>
      <c r="H68" s="521"/>
      <c r="I68" s="521"/>
      <c r="J68" s="522"/>
      <c r="K68" s="523">
        <v>3</v>
      </c>
      <c r="L68" s="524"/>
      <c r="M68" s="525">
        <v>3</v>
      </c>
      <c r="N68" s="526"/>
      <c r="O68" s="527">
        <v>3</v>
      </c>
      <c r="P68" s="524"/>
      <c r="Q68" s="525">
        <v>3</v>
      </c>
      <c r="R68" s="526"/>
      <c r="S68" s="527">
        <v>3</v>
      </c>
      <c r="T68" s="524"/>
      <c r="U68" s="525">
        <v>3</v>
      </c>
      <c r="V68" s="542"/>
      <c r="W68" s="520">
        <f>SUM(K68:V68)</f>
        <v>18</v>
      </c>
      <c r="X68" s="522"/>
      <c r="Y68" s="68">
        <v>18</v>
      </c>
      <c r="AA68" s="370" t="s">
        <v>156</v>
      </c>
      <c r="AB68" s="370"/>
    </row>
    <row r="69" spans="2:28" ht="17.25" customHeight="1" thickBot="1">
      <c r="B69" s="394"/>
      <c r="C69" s="395"/>
      <c r="D69" s="395"/>
      <c r="E69" s="395"/>
      <c r="F69" s="395"/>
      <c r="G69" s="395"/>
      <c r="H69" s="395"/>
      <c r="I69" s="395"/>
      <c r="J69" s="396"/>
      <c r="K69" s="394">
        <v>32</v>
      </c>
      <c r="L69" s="402"/>
      <c r="M69" s="399">
        <v>32</v>
      </c>
      <c r="N69" s="512"/>
      <c r="O69" s="513">
        <v>32</v>
      </c>
      <c r="P69" s="402"/>
      <c r="Q69" s="399">
        <v>32</v>
      </c>
      <c r="R69" s="512"/>
      <c r="S69" s="513">
        <v>32</v>
      </c>
      <c r="T69" s="402"/>
      <c r="U69" s="399">
        <v>32</v>
      </c>
      <c r="V69" s="396"/>
      <c r="W69" s="394">
        <f>SUM(K69:V69)</f>
        <v>192</v>
      </c>
      <c r="X69" s="396"/>
      <c r="Y69" s="165">
        <f>W69</f>
        <v>192</v>
      </c>
      <c r="AA69" s="406" t="b">
        <f>W68&gt;=Y68</f>
        <v>1</v>
      </c>
      <c r="AB69" s="407"/>
    </row>
    <row r="70" spans="2:28" ht="17.25" customHeight="1" thickBot="1">
      <c r="B70" s="394"/>
      <c r="C70" s="395"/>
      <c r="D70" s="395"/>
      <c r="E70" s="395"/>
      <c r="F70" s="395"/>
      <c r="G70" s="395"/>
      <c r="H70" s="395"/>
      <c r="I70" s="395"/>
      <c r="J70" s="396"/>
      <c r="K70" s="394">
        <f>SUM(K69:N69)</f>
        <v>64</v>
      </c>
      <c r="L70" s="395"/>
      <c r="M70" s="395"/>
      <c r="N70" s="512"/>
      <c r="O70" s="513">
        <f>SUM(O69:R69)</f>
        <v>64</v>
      </c>
      <c r="P70" s="395"/>
      <c r="Q70" s="395"/>
      <c r="R70" s="512"/>
      <c r="S70" s="513">
        <f>SUM(S69:V69)</f>
        <v>64</v>
      </c>
      <c r="T70" s="395"/>
      <c r="U70" s="395"/>
      <c r="V70" s="396"/>
      <c r="W70" s="394">
        <f>SUM(K70:V70)</f>
        <v>192</v>
      </c>
      <c r="X70" s="396"/>
      <c r="Y70" s="11"/>
      <c r="AA70" s="370" t="s">
        <v>153</v>
      </c>
      <c r="AB70" s="370"/>
    </row>
    <row r="71" spans="2:28" ht="17.25" customHeight="1" thickBot="1">
      <c r="AA71" s="406" t="b">
        <f>W69&gt;=Y69</f>
        <v>1</v>
      </c>
      <c r="AB71" s="407"/>
    </row>
    <row r="72" spans="2:28" ht="17.25" customHeight="1"/>
    <row r="73" spans="2:28" ht="17.25" customHeight="1"/>
    <row r="74" spans="2:28" ht="17.25" customHeight="1"/>
    <row r="76" spans="2:28" ht="24.9" customHeight="1"/>
    <row r="77" spans="2:28" ht="24.9" customHeight="1"/>
    <row r="78" spans="2:28" ht="32.25" customHeight="1"/>
    <row r="79" spans="2:28" ht="24.9" customHeight="1"/>
    <row r="81" ht="16.5" customHeight="1"/>
    <row r="82" ht="17.2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244.5" customHeight="1"/>
  </sheetData>
  <mergeCells count="532"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AA8:AD8"/>
    <mergeCell ref="B9:C38"/>
    <mergeCell ref="D9:D13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K11:L11"/>
    <mergeCell ref="M11:N11"/>
    <mergeCell ref="O11:P11"/>
    <mergeCell ref="Q11:R11"/>
    <mergeCell ref="S11:T11"/>
    <mergeCell ref="U11:V11"/>
    <mergeCell ref="X9:X13"/>
    <mergeCell ref="Y9:Y22"/>
    <mergeCell ref="F10:G10"/>
    <mergeCell ref="K10:L10"/>
    <mergeCell ref="M10:N10"/>
    <mergeCell ref="O10:P10"/>
    <mergeCell ref="Q10:R10"/>
    <mergeCell ref="S10:T10"/>
    <mergeCell ref="U10:V10"/>
    <mergeCell ref="F11:G11"/>
    <mergeCell ref="U12:V12"/>
    <mergeCell ref="F13:G13"/>
    <mergeCell ref="K13:L13"/>
    <mergeCell ref="M13:N13"/>
    <mergeCell ref="O13:P13"/>
    <mergeCell ref="Q13:R13"/>
    <mergeCell ref="S13:T13"/>
    <mergeCell ref="U13:V13"/>
    <mergeCell ref="F12:G12"/>
    <mergeCell ref="K12:L12"/>
    <mergeCell ref="M12:N12"/>
    <mergeCell ref="O12:P12"/>
    <mergeCell ref="Q12:R12"/>
    <mergeCell ref="S12:T12"/>
    <mergeCell ref="X14:X17"/>
    <mergeCell ref="AB14:AD14"/>
    <mergeCell ref="F15:G15"/>
    <mergeCell ref="K15:L15"/>
    <mergeCell ref="M15:N15"/>
    <mergeCell ref="O15:P15"/>
    <mergeCell ref="Q15:R15"/>
    <mergeCell ref="S15:T15"/>
    <mergeCell ref="D14:D17"/>
    <mergeCell ref="F14:G14"/>
    <mergeCell ref="K14:L14"/>
    <mergeCell ref="M14:N14"/>
    <mergeCell ref="O14:P14"/>
    <mergeCell ref="Q14:R14"/>
    <mergeCell ref="F17:G17"/>
    <mergeCell ref="K17:L17"/>
    <mergeCell ref="M17:N17"/>
    <mergeCell ref="O17:P17"/>
    <mergeCell ref="U15:V15"/>
    <mergeCell ref="F16:G16"/>
    <mergeCell ref="K16:L16"/>
    <mergeCell ref="M16:N16"/>
    <mergeCell ref="O16:P16"/>
    <mergeCell ref="Q16:R16"/>
    <mergeCell ref="S16:T16"/>
    <mergeCell ref="U16:V16"/>
    <mergeCell ref="S14:T14"/>
    <mergeCell ref="U14:V14"/>
    <mergeCell ref="Q17:R17"/>
    <mergeCell ref="S17:T17"/>
    <mergeCell ref="U17:V17"/>
    <mergeCell ref="D18:D22"/>
    <mergeCell ref="F18:G18"/>
    <mergeCell ref="K18:L18"/>
    <mergeCell ref="M18:N18"/>
    <mergeCell ref="O18:P18"/>
    <mergeCell ref="Q18:R18"/>
    <mergeCell ref="S18:T18"/>
    <mergeCell ref="U18:V18"/>
    <mergeCell ref="X18:X22"/>
    <mergeCell ref="AA18:AB18"/>
    <mergeCell ref="F19:G19"/>
    <mergeCell ref="K19:L19"/>
    <mergeCell ref="M19:N19"/>
    <mergeCell ref="O19:P19"/>
    <mergeCell ref="Q19:R19"/>
    <mergeCell ref="S19:T19"/>
    <mergeCell ref="U19:V19"/>
    <mergeCell ref="U20:V20"/>
    <mergeCell ref="F21:G21"/>
    <mergeCell ref="K21:L21"/>
    <mergeCell ref="M21:N21"/>
    <mergeCell ref="O21:P21"/>
    <mergeCell ref="Q21:R21"/>
    <mergeCell ref="S21:T21"/>
    <mergeCell ref="U21:V21"/>
    <mergeCell ref="F20:G20"/>
    <mergeCell ref="K20:L20"/>
    <mergeCell ref="M20:N20"/>
    <mergeCell ref="O20:P20"/>
    <mergeCell ref="Q20:R20"/>
    <mergeCell ref="S20:T20"/>
    <mergeCell ref="U22:V22"/>
    <mergeCell ref="D23:D26"/>
    <mergeCell ref="F23:G23"/>
    <mergeCell ref="K23:L23"/>
    <mergeCell ref="M23:N23"/>
    <mergeCell ref="O23:P23"/>
    <mergeCell ref="Q23:R23"/>
    <mergeCell ref="S23:T23"/>
    <mergeCell ref="U23:V23"/>
    <mergeCell ref="F26:G26"/>
    <mergeCell ref="F22:G22"/>
    <mergeCell ref="K22:L22"/>
    <mergeCell ref="M22:N22"/>
    <mergeCell ref="O22:P22"/>
    <mergeCell ref="Q22:R22"/>
    <mergeCell ref="S22:T22"/>
    <mergeCell ref="S26:T26"/>
    <mergeCell ref="U26:V26"/>
    <mergeCell ref="AA24:AB24"/>
    <mergeCell ref="F25:G25"/>
    <mergeCell ref="K25:L25"/>
    <mergeCell ref="M25:N25"/>
    <mergeCell ref="O25:P25"/>
    <mergeCell ref="Q25:R25"/>
    <mergeCell ref="S25:T25"/>
    <mergeCell ref="U25:V25"/>
    <mergeCell ref="X25:X26"/>
    <mergeCell ref="Y25:Y28"/>
    <mergeCell ref="X23:X24"/>
    <mergeCell ref="Y23:Y24"/>
    <mergeCell ref="F24:G24"/>
    <mergeCell ref="K24:L24"/>
    <mergeCell ref="M24:N24"/>
    <mergeCell ref="O24:P24"/>
    <mergeCell ref="Q24:R24"/>
    <mergeCell ref="S24:T24"/>
    <mergeCell ref="U24:V24"/>
    <mergeCell ref="D27:D28"/>
    <mergeCell ref="F27:G27"/>
    <mergeCell ref="K27:L27"/>
    <mergeCell ref="M27:N27"/>
    <mergeCell ref="O27:P27"/>
    <mergeCell ref="Q27:R27"/>
    <mergeCell ref="K26:L26"/>
    <mergeCell ref="M26:N26"/>
    <mergeCell ref="O26:P26"/>
    <mergeCell ref="Q26:R26"/>
    <mergeCell ref="S27:T27"/>
    <mergeCell ref="U27:V27"/>
    <mergeCell ref="X27:X28"/>
    <mergeCell ref="F28:G28"/>
    <mergeCell ref="K28:L28"/>
    <mergeCell ref="M28:N28"/>
    <mergeCell ref="O28:P28"/>
    <mergeCell ref="Q28:R28"/>
    <mergeCell ref="S28:T28"/>
    <mergeCell ref="U28:V28"/>
    <mergeCell ref="X29:X32"/>
    <mergeCell ref="Y29:Y32"/>
    <mergeCell ref="F30:G30"/>
    <mergeCell ref="K30:L30"/>
    <mergeCell ref="M30:N30"/>
    <mergeCell ref="O30:P30"/>
    <mergeCell ref="Q30:R30"/>
    <mergeCell ref="S30:T30"/>
    <mergeCell ref="D29:D32"/>
    <mergeCell ref="F29:G29"/>
    <mergeCell ref="K29:L29"/>
    <mergeCell ref="M29:N29"/>
    <mergeCell ref="O29:P29"/>
    <mergeCell ref="Q29:R29"/>
    <mergeCell ref="F32:G32"/>
    <mergeCell ref="K32:L32"/>
    <mergeCell ref="M32:N32"/>
    <mergeCell ref="O32:P32"/>
    <mergeCell ref="U30:V30"/>
    <mergeCell ref="F31:G31"/>
    <mergeCell ref="K31:L31"/>
    <mergeCell ref="M31:N31"/>
    <mergeCell ref="O31:P31"/>
    <mergeCell ref="Q31:R31"/>
    <mergeCell ref="S31:T31"/>
    <mergeCell ref="U31:V31"/>
    <mergeCell ref="S29:T29"/>
    <mergeCell ref="U29:V29"/>
    <mergeCell ref="Q32:R32"/>
    <mergeCell ref="S32:T32"/>
    <mergeCell ref="U32:V32"/>
    <mergeCell ref="D33:D34"/>
    <mergeCell ref="G33:G34"/>
    <mergeCell ref="K33:L33"/>
    <mergeCell ref="M33:N33"/>
    <mergeCell ref="O33:P33"/>
    <mergeCell ref="Q33:R33"/>
    <mergeCell ref="S33:T33"/>
    <mergeCell ref="U33:V33"/>
    <mergeCell ref="X33:X34"/>
    <mergeCell ref="Y33:Y34"/>
    <mergeCell ref="K34:L34"/>
    <mergeCell ref="M34:N34"/>
    <mergeCell ref="O34:P34"/>
    <mergeCell ref="Q34:R34"/>
    <mergeCell ref="S34:T34"/>
    <mergeCell ref="U34:V34"/>
    <mergeCell ref="S35:T35"/>
    <mergeCell ref="U35:V35"/>
    <mergeCell ref="X35:X38"/>
    <mergeCell ref="Y35:Y38"/>
    <mergeCell ref="F36:G36"/>
    <mergeCell ref="K36:L36"/>
    <mergeCell ref="M36:N36"/>
    <mergeCell ref="O36:P36"/>
    <mergeCell ref="Q36:R36"/>
    <mergeCell ref="S36:T36"/>
    <mergeCell ref="F35:G35"/>
    <mergeCell ref="K35:L35"/>
    <mergeCell ref="M35:N35"/>
    <mergeCell ref="O35:P35"/>
    <mergeCell ref="Q35:R35"/>
    <mergeCell ref="O38:P38"/>
    <mergeCell ref="Q38:R38"/>
    <mergeCell ref="U36:V36"/>
    <mergeCell ref="G37:G38"/>
    <mergeCell ref="K37:L37"/>
    <mergeCell ref="M37:N37"/>
    <mergeCell ref="O37:P37"/>
    <mergeCell ref="Q37:R37"/>
    <mergeCell ref="S37:T37"/>
    <mergeCell ref="U37:V37"/>
    <mergeCell ref="K38:L38"/>
    <mergeCell ref="M38:N38"/>
    <mergeCell ref="S38:T38"/>
    <mergeCell ref="U38:V38"/>
    <mergeCell ref="B39:G39"/>
    <mergeCell ref="K39:L39"/>
    <mergeCell ref="M39:N39"/>
    <mergeCell ref="O39:P39"/>
    <mergeCell ref="Q39:R39"/>
    <mergeCell ref="S39:T39"/>
    <mergeCell ref="U39:V39"/>
    <mergeCell ref="D35:D38"/>
    <mergeCell ref="W39:X39"/>
    <mergeCell ref="AA39:AB39"/>
    <mergeCell ref="B40:C55"/>
    <mergeCell ref="D40:E41"/>
    <mergeCell ref="F40:G40"/>
    <mergeCell ref="K40:L40"/>
    <mergeCell ref="M40:N40"/>
    <mergeCell ref="O40:P40"/>
    <mergeCell ref="Q40:R40"/>
    <mergeCell ref="S40:T40"/>
    <mergeCell ref="U40:V40"/>
    <mergeCell ref="W40:X40"/>
    <mergeCell ref="Y40:Y61"/>
    <mergeCell ref="F41:G41"/>
    <mergeCell ref="K41:L41"/>
    <mergeCell ref="M41:N41"/>
    <mergeCell ref="O41:P41"/>
    <mergeCell ref="Q41:R41"/>
    <mergeCell ref="S41:T41"/>
    <mergeCell ref="U41:V41"/>
    <mergeCell ref="W41:X41"/>
    <mergeCell ref="F42:G42"/>
    <mergeCell ref="K42:L42"/>
    <mergeCell ref="M42:N42"/>
    <mergeCell ref="O42:P42"/>
    <mergeCell ref="Q42:R42"/>
    <mergeCell ref="S42:T42"/>
    <mergeCell ref="U42:V42"/>
    <mergeCell ref="W42:X42"/>
    <mergeCell ref="U43:V43"/>
    <mergeCell ref="W43:X43"/>
    <mergeCell ref="F44:G44"/>
    <mergeCell ref="K44:L44"/>
    <mergeCell ref="M44:N44"/>
    <mergeCell ref="O44:P44"/>
    <mergeCell ref="Q44:R44"/>
    <mergeCell ref="S44:T44"/>
    <mergeCell ref="U44:V44"/>
    <mergeCell ref="W44:X44"/>
    <mergeCell ref="F43:G43"/>
    <mergeCell ref="K43:L43"/>
    <mergeCell ref="M43:N43"/>
    <mergeCell ref="O43:P43"/>
    <mergeCell ref="Q43:R43"/>
    <mergeCell ref="S43:T43"/>
    <mergeCell ref="U45:V45"/>
    <mergeCell ref="W45:X45"/>
    <mergeCell ref="F49:G49"/>
    <mergeCell ref="K49:L49"/>
    <mergeCell ref="M49:N49"/>
    <mergeCell ref="O49:P49"/>
    <mergeCell ref="Q49:R49"/>
    <mergeCell ref="S49:T49"/>
    <mergeCell ref="U49:V49"/>
    <mergeCell ref="W49:X49"/>
    <mergeCell ref="F45:G45"/>
    <mergeCell ref="K45:L45"/>
    <mergeCell ref="M45:N45"/>
    <mergeCell ref="O45:P45"/>
    <mergeCell ref="Q45:R45"/>
    <mergeCell ref="S45:T45"/>
    <mergeCell ref="U50:V50"/>
    <mergeCell ref="W50:X50"/>
    <mergeCell ref="F51:G51"/>
    <mergeCell ref="K51:L51"/>
    <mergeCell ref="M51:N51"/>
    <mergeCell ref="O51:P51"/>
    <mergeCell ref="Q51:R51"/>
    <mergeCell ref="S51:T51"/>
    <mergeCell ref="U51:V51"/>
    <mergeCell ref="W51:X51"/>
    <mergeCell ref="F50:G50"/>
    <mergeCell ref="K50:L50"/>
    <mergeCell ref="M50:N50"/>
    <mergeCell ref="O50:P50"/>
    <mergeCell ref="Q50:R50"/>
    <mergeCell ref="S50:T50"/>
    <mergeCell ref="U54:V54"/>
    <mergeCell ref="W54:X54"/>
    <mergeCell ref="F54:G54"/>
    <mergeCell ref="K54:L54"/>
    <mergeCell ref="M54:N54"/>
    <mergeCell ref="O54:P54"/>
    <mergeCell ref="Q54:R54"/>
    <mergeCell ref="S54:T54"/>
    <mergeCell ref="U52:V52"/>
    <mergeCell ref="W52:X52"/>
    <mergeCell ref="F53:G53"/>
    <mergeCell ref="K53:L53"/>
    <mergeCell ref="M53:N53"/>
    <mergeCell ref="O53:P53"/>
    <mergeCell ref="Q53:R53"/>
    <mergeCell ref="S53:T53"/>
    <mergeCell ref="U53:V53"/>
    <mergeCell ref="W53:X53"/>
    <mergeCell ref="F52:G52"/>
    <mergeCell ref="K52:L52"/>
    <mergeCell ref="M52:N52"/>
    <mergeCell ref="O52:P52"/>
    <mergeCell ref="Q52:R52"/>
    <mergeCell ref="S52:T52"/>
    <mergeCell ref="U55:V55"/>
    <mergeCell ref="W55:X55"/>
    <mergeCell ref="B56:B61"/>
    <mergeCell ref="C56:C58"/>
    <mergeCell ref="F56:G56"/>
    <mergeCell ref="K56:L56"/>
    <mergeCell ref="M56:N56"/>
    <mergeCell ref="O56:P56"/>
    <mergeCell ref="Q56:R56"/>
    <mergeCell ref="S56:T56"/>
    <mergeCell ref="F55:G55"/>
    <mergeCell ref="K55:L55"/>
    <mergeCell ref="M55:N55"/>
    <mergeCell ref="O55:P55"/>
    <mergeCell ref="Q55:R55"/>
    <mergeCell ref="S55:T55"/>
    <mergeCell ref="U56:V56"/>
    <mergeCell ref="W56:X61"/>
    <mergeCell ref="F58:G58"/>
    <mergeCell ref="K58:L58"/>
    <mergeCell ref="M58:N58"/>
    <mergeCell ref="O58:P58"/>
    <mergeCell ref="Q58:R58"/>
    <mergeCell ref="S58:T58"/>
    <mergeCell ref="U58:V58"/>
    <mergeCell ref="S59:T59"/>
    <mergeCell ref="U59:V59"/>
    <mergeCell ref="F61:G61"/>
    <mergeCell ref="K61:L61"/>
    <mergeCell ref="M61:N61"/>
    <mergeCell ref="O61:P61"/>
    <mergeCell ref="Q61:R61"/>
    <mergeCell ref="S61:T61"/>
    <mergeCell ref="U61:V61"/>
    <mergeCell ref="C59:C61"/>
    <mergeCell ref="F59:G59"/>
    <mergeCell ref="K59:L59"/>
    <mergeCell ref="M59:N59"/>
    <mergeCell ref="O59:P59"/>
    <mergeCell ref="Q59:R59"/>
    <mergeCell ref="O62:P63"/>
    <mergeCell ref="Q62:R63"/>
    <mergeCell ref="S62:T63"/>
    <mergeCell ref="U62:V63"/>
    <mergeCell ref="W62:X63"/>
    <mergeCell ref="Y62:Y63"/>
    <mergeCell ref="B62:G63"/>
    <mergeCell ref="H62:H63"/>
    <mergeCell ref="I62:I63"/>
    <mergeCell ref="J62:J63"/>
    <mergeCell ref="K62:L63"/>
    <mergeCell ref="M62:N63"/>
    <mergeCell ref="U64:V64"/>
    <mergeCell ref="W64:X64"/>
    <mergeCell ref="AA64:AB65"/>
    <mergeCell ref="B65:E68"/>
    <mergeCell ref="F65:J65"/>
    <mergeCell ref="K65:L65"/>
    <mergeCell ref="M65:N65"/>
    <mergeCell ref="O65:P65"/>
    <mergeCell ref="Q65:R65"/>
    <mergeCell ref="S65:T65"/>
    <mergeCell ref="B64:G64"/>
    <mergeCell ref="K64:L64"/>
    <mergeCell ref="M64:N64"/>
    <mergeCell ref="O64:P64"/>
    <mergeCell ref="Q64:R64"/>
    <mergeCell ref="S64:T64"/>
    <mergeCell ref="AA66:AB66"/>
    <mergeCell ref="F67:J67"/>
    <mergeCell ref="K67:L67"/>
    <mergeCell ref="M67:N67"/>
    <mergeCell ref="O67:P67"/>
    <mergeCell ref="Q67:R67"/>
    <mergeCell ref="S67:T67"/>
    <mergeCell ref="U67:V67"/>
    <mergeCell ref="U65:V65"/>
    <mergeCell ref="W65:X67"/>
    <mergeCell ref="Y65:Y67"/>
    <mergeCell ref="F66:J66"/>
    <mergeCell ref="K66:L66"/>
    <mergeCell ref="M66:N66"/>
    <mergeCell ref="O66:P66"/>
    <mergeCell ref="Q66:R66"/>
    <mergeCell ref="S66:T66"/>
    <mergeCell ref="U66:V66"/>
    <mergeCell ref="W68:X68"/>
    <mergeCell ref="AA68:AB68"/>
    <mergeCell ref="B69:J69"/>
    <mergeCell ref="K69:L69"/>
    <mergeCell ref="M69:N69"/>
    <mergeCell ref="O69:P69"/>
    <mergeCell ref="Q69:R69"/>
    <mergeCell ref="S69:T69"/>
    <mergeCell ref="U69:V69"/>
    <mergeCell ref="F68:J68"/>
    <mergeCell ref="K68:L68"/>
    <mergeCell ref="M68:N68"/>
    <mergeCell ref="O68:P68"/>
    <mergeCell ref="Q68:R68"/>
    <mergeCell ref="S68:T68"/>
    <mergeCell ref="S57:T57"/>
    <mergeCell ref="Q57:R57"/>
    <mergeCell ref="O57:P57"/>
    <mergeCell ref="M57:N57"/>
    <mergeCell ref="K57:L57"/>
    <mergeCell ref="AA71:AB71"/>
    <mergeCell ref="F60:G60"/>
    <mergeCell ref="F57:G57"/>
    <mergeCell ref="K60:L60"/>
    <mergeCell ref="M60:N60"/>
    <mergeCell ref="O60:P60"/>
    <mergeCell ref="Q60:R60"/>
    <mergeCell ref="S60:T60"/>
    <mergeCell ref="U60:V60"/>
    <mergeCell ref="U57:V57"/>
    <mergeCell ref="W69:X69"/>
    <mergeCell ref="AA69:AB69"/>
    <mergeCell ref="B70:J70"/>
    <mergeCell ref="K70:N70"/>
    <mergeCell ref="O70:R70"/>
    <mergeCell ref="S70:V70"/>
    <mergeCell ref="W70:X70"/>
    <mergeCell ref="AA70:AB70"/>
    <mergeCell ref="U68:V68"/>
    <mergeCell ref="W46:X46"/>
    <mergeCell ref="W47:X47"/>
    <mergeCell ref="W48:X48"/>
    <mergeCell ref="K48:L48"/>
    <mergeCell ref="K47:L47"/>
    <mergeCell ref="K46:L46"/>
    <mergeCell ref="F48:G48"/>
    <mergeCell ref="F47:G47"/>
    <mergeCell ref="F46:G46"/>
    <mergeCell ref="Q47:R47"/>
    <mergeCell ref="O47:P47"/>
    <mergeCell ref="Q46:R46"/>
    <mergeCell ref="O46:P46"/>
    <mergeCell ref="O48:P48"/>
    <mergeCell ref="M48:N48"/>
    <mergeCell ref="M47:N47"/>
    <mergeCell ref="M46:N46"/>
    <mergeCell ref="U48:V48"/>
    <mergeCell ref="U47:V47"/>
    <mergeCell ref="U46:V46"/>
    <mergeCell ref="S46:T46"/>
    <mergeCell ref="S47:T47"/>
    <mergeCell ref="S48:T48"/>
    <mergeCell ref="Q48:R48"/>
  </mergeCells>
  <phoneticPr fontId="9" type="noConversion"/>
  <conditionalFormatting sqref="AA39:AB39 AC63 AA66:AB66 AA69:AB69 AA71:AB71">
    <cfRule type="containsText" dxfId="2" priority="1" operator="containsText" text="FALSE">
      <formula>NOT(ISERROR(SEARCH("FALSE",AA39)))</formula>
    </cfRule>
  </conditionalFormatting>
  <printOptions horizontalCentered="1" verticalCentered="1"/>
  <pageMargins left="0.25" right="0.25" top="0.75" bottom="0.75" header="0.3" footer="0.3"/>
  <pageSetup paperSize="8" scale="62" orientation="portrait" cellComments="asDisplayed" r:id="rId1"/>
  <rowBreaks count="1" manualBreakCount="1">
    <brk id="62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583F83D-4217-40AA-BB07-C05D2484F57A}">
          <x14:formula1>
            <xm:f>삭제금지!$J$2:$J$59</xm:f>
          </x14:formula1>
          <xm:sqref>H5:J5</xm:sqref>
        </x14:dataValidation>
        <x14:dataValidation type="list" allowBlank="1" showInputMessage="1" showErrorMessage="1" xr:uid="{E2438280-4AE2-44F0-92EF-2861357A9084}">
          <x14:formula1>
            <xm:f>삭제금지!$I$2:$I$18</xm:f>
          </x14:formula1>
          <xm:sqref>F5:G5</xm:sqref>
        </x14:dataValidation>
        <x14:dataValidation type="list" allowBlank="1" showInputMessage="1" showErrorMessage="1" xr:uid="{A640541C-0C53-4A46-80F9-354175DF1122}">
          <x14:formula1>
            <xm:f>삭제금지!$K$2:$K$59</xm:f>
          </x14:formula1>
          <xm:sqref>K5:O5</xm:sqref>
        </x14:dataValidation>
        <x14:dataValidation type="list" allowBlank="1" showInputMessage="1" showErrorMessage="1" xr:uid="{EF73948C-98D2-47FE-BCC7-C419124FCA95}">
          <x14:formula1>
            <xm:f>삭제금지!$L$2:$L$4</xm:f>
          </x14:formula1>
          <xm:sqref>T5:V5</xm:sqref>
        </x14:dataValidation>
        <x14:dataValidation type="list" allowBlank="1" showInputMessage="1" showErrorMessage="1" xr:uid="{78FCEB06-1118-4871-B6C3-74A12CE5D737}">
          <x14:formula1>
            <xm:f>삭제금지!$H$2:$H$18</xm:f>
          </x14:formula1>
          <xm:sqref>B5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BE530-BD49-4E7D-A85B-FB339FD7237A}">
  <sheetPr>
    <pageSetUpPr fitToPage="1"/>
  </sheetPr>
  <dimension ref="B2:AG61"/>
  <sheetViews>
    <sheetView showGridLines="0" view="pageBreakPreview" topLeftCell="A29" zoomScale="85" zoomScaleNormal="85" zoomScaleSheetLayoutView="85" workbookViewId="0">
      <selection activeCell="B2" sqref="B2:U62"/>
    </sheetView>
  </sheetViews>
  <sheetFormatPr defaultRowHeight="17.399999999999999"/>
  <cols>
    <col min="1" max="1" width="3" customWidth="1"/>
    <col min="2" max="2" width="11.69921875" customWidth="1"/>
    <col min="3" max="3" width="5.59765625" customWidth="1"/>
    <col min="4" max="4" width="18.8984375" bestFit="1" customWidth="1"/>
    <col min="5" max="5" width="19" style="1" bestFit="1" customWidth="1"/>
    <col min="6" max="6" width="9.09765625" style="1" customWidth="1"/>
    <col min="7" max="7" width="10.69921875" customWidth="1"/>
    <col min="8" max="19" width="7.69921875" bestFit="1" customWidth="1"/>
    <col min="20" max="20" width="6.59765625" bestFit="1" customWidth="1"/>
    <col min="21" max="21" width="7.09765625" customWidth="1"/>
  </cols>
  <sheetData>
    <row r="2" spans="2:33" ht="39.75" customHeight="1" thickBot="1">
      <c r="B2" s="655" t="s">
        <v>151</v>
      </c>
      <c r="C2" s="655"/>
      <c r="D2" s="655"/>
      <c r="E2" s="655"/>
      <c r="F2" s="655"/>
      <c r="G2" s="655"/>
      <c r="H2" s="655"/>
      <c r="I2" s="655"/>
      <c r="J2" s="655"/>
      <c r="K2" s="655"/>
      <c r="L2" s="655"/>
      <c r="M2" s="655"/>
      <c r="N2" s="655"/>
      <c r="O2" s="655"/>
      <c r="P2" s="655"/>
      <c r="Q2" s="655"/>
      <c r="R2" s="655"/>
      <c r="S2" s="655"/>
      <c r="T2" s="655"/>
      <c r="U2" s="655"/>
    </row>
    <row r="3" spans="2:33" ht="27" customHeight="1" thickBot="1"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656" t="s">
        <v>129</v>
      </c>
      <c r="O3" s="657"/>
      <c r="P3" s="658"/>
      <c r="Q3" s="656" t="s">
        <v>127</v>
      </c>
      <c r="R3" s="657"/>
      <c r="S3" s="658"/>
      <c r="T3" s="659" t="s">
        <v>130</v>
      </c>
      <c r="U3" s="660"/>
    </row>
    <row r="4" spans="2:33" ht="27" customHeight="1" thickBot="1"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661" t="s">
        <v>604</v>
      </c>
      <c r="O4" s="662"/>
      <c r="P4" s="663"/>
      <c r="Q4" s="664" t="s">
        <v>715</v>
      </c>
      <c r="R4" s="665"/>
      <c r="S4" s="666"/>
      <c r="T4" s="667">
        <v>2027</v>
      </c>
      <c r="U4" s="668"/>
    </row>
    <row r="5" spans="2:33" ht="24" customHeight="1" thickBot="1">
      <c r="B5" s="648"/>
      <c r="C5" s="648"/>
    </row>
    <row r="6" spans="2:33" ht="20.25" customHeight="1">
      <c r="B6" s="649" t="s">
        <v>13</v>
      </c>
      <c r="C6" s="652" t="s">
        <v>141</v>
      </c>
      <c r="D6" s="638" t="s">
        <v>14</v>
      </c>
      <c r="E6" s="638" t="s">
        <v>15</v>
      </c>
      <c r="F6" s="638" t="s">
        <v>142</v>
      </c>
      <c r="G6" s="638" t="s">
        <v>143</v>
      </c>
      <c r="H6" s="641" t="s">
        <v>58</v>
      </c>
      <c r="I6" s="641"/>
      <c r="J6" s="641"/>
      <c r="K6" s="641"/>
      <c r="L6" s="641" t="s">
        <v>59</v>
      </c>
      <c r="M6" s="641"/>
      <c r="N6" s="641"/>
      <c r="O6" s="641"/>
      <c r="P6" s="641" t="s">
        <v>60</v>
      </c>
      <c r="Q6" s="641"/>
      <c r="R6" s="641"/>
      <c r="S6" s="641"/>
      <c r="T6" s="642" t="s">
        <v>140</v>
      </c>
      <c r="U6" s="645" t="s">
        <v>126</v>
      </c>
      <c r="W6" s="631" t="s">
        <v>131</v>
      </c>
      <c r="X6" s="632"/>
      <c r="Y6" s="632"/>
      <c r="Z6" s="632"/>
      <c r="AA6" s="632"/>
      <c r="AB6" s="632"/>
      <c r="AC6" s="632"/>
      <c r="AD6" s="632"/>
      <c r="AE6" s="632"/>
      <c r="AF6" s="633"/>
      <c r="AG6" s="13"/>
    </row>
    <row r="7" spans="2:33" ht="16.5" customHeight="1">
      <c r="B7" s="650"/>
      <c r="C7" s="653"/>
      <c r="D7" s="639"/>
      <c r="E7" s="639"/>
      <c r="F7" s="639"/>
      <c r="G7" s="639"/>
      <c r="H7" s="634" t="s">
        <v>124</v>
      </c>
      <c r="I7" s="634"/>
      <c r="J7" s="634" t="s">
        <v>62</v>
      </c>
      <c r="K7" s="634"/>
      <c r="L7" s="634" t="s">
        <v>124</v>
      </c>
      <c r="M7" s="634"/>
      <c r="N7" s="634" t="s">
        <v>62</v>
      </c>
      <c r="O7" s="634"/>
      <c r="P7" s="634" t="s">
        <v>124</v>
      </c>
      <c r="Q7" s="634"/>
      <c r="R7" s="634" t="s">
        <v>62</v>
      </c>
      <c r="S7" s="634"/>
      <c r="T7" s="643"/>
      <c r="U7" s="646"/>
      <c r="W7" s="635" t="s">
        <v>132</v>
      </c>
      <c r="X7" s="636"/>
      <c r="Y7" s="636"/>
      <c r="Z7" s="636"/>
      <c r="AA7" s="636"/>
      <c r="AB7" s="636"/>
      <c r="AC7" s="636"/>
      <c r="AD7" s="636"/>
      <c r="AE7" s="636"/>
      <c r="AF7" s="637"/>
      <c r="AG7" s="13"/>
    </row>
    <row r="8" spans="2:33" ht="17.25" customHeight="1" thickBot="1">
      <c r="B8" s="651"/>
      <c r="C8" s="654"/>
      <c r="D8" s="640"/>
      <c r="E8" s="640"/>
      <c r="F8" s="640"/>
      <c r="G8" s="640"/>
      <c r="H8" s="26" t="s">
        <v>139</v>
      </c>
      <c r="I8" s="26" t="s">
        <v>125</v>
      </c>
      <c r="J8" s="26" t="s">
        <v>139</v>
      </c>
      <c r="K8" s="26" t="s">
        <v>125</v>
      </c>
      <c r="L8" s="26" t="s">
        <v>139</v>
      </c>
      <c r="M8" s="26" t="s">
        <v>125</v>
      </c>
      <c r="N8" s="26" t="s">
        <v>139</v>
      </c>
      <c r="O8" s="26" t="s">
        <v>125</v>
      </c>
      <c r="P8" s="26" t="s">
        <v>139</v>
      </c>
      <c r="Q8" s="26" t="s">
        <v>125</v>
      </c>
      <c r="R8" s="26" t="s">
        <v>139</v>
      </c>
      <c r="S8" s="26" t="s">
        <v>125</v>
      </c>
      <c r="T8" s="644"/>
      <c r="U8" s="647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>
      <c r="B9" s="611" t="s">
        <v>577</v>
      </c>
      <c r="C9" s="608">
        <v>2</v>
      </c>
      <c r="D9" s="210" t="s">
        <v>716</v>
      </c>
      <c r="E9" s="210" t="s">
        <v>717</v>
      </c>
      <c r="F9" s="210">
        <v>60</v>
      </c>
      <c r="G9" s="210">
        <v>3</v>
      </c>
      <c r="H9" s="211"/>
      <c r="I9" s="211"/>
      <c r="J9" s="211"/>
      <c r="K9" s="211"/>
      <c r="L9" s="211"/>
      <c r="M9" s="211"/>
      <c r="N9" s="211">
        <v>1</v>
      </c>
      <c r="O9" s="211">
        <v>16</v>
      </c>
      <c r="P9" s="211"/>
      <c r="Q9" s="211"/>
      <c r="R9" s="211"/>
      <c r="S9" s="211"/>
      <c r="T9" s="218">
        <f>SUM(H9,J9,L9,N9,P9,R9)</f>
        <v>1</v>
      </c>
      <c r="U9" s="235">
        <f>SUM(I9,K9,M9,O9,Q9,S9)</f>
        <v>16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612"/>
      <c r="C10" s="609"/>
      <c r="D10" s="213" t="s">
        <v>718</v>
      </c>
      <c r="E10" s="212" t="s">
        <v>719</v>
      </c>
      <c r="F10" s="213">
        <v>60</v>
      </c>
      <c r="G10" s="213">
        <v>3</v>
      </c>
      <c r="H10" s="215"/>
      <c r="I10" s="215"/>
      <c r="J10" s="215"/>
      <c r="K10" s="215"/>
      <c r="L10" s="215"/>
      <c r="M10" s="215"/>
      <c r="N10" s="215">
        <v>1</v>
      </c>
      <c r="O10" s="215">
        <v>16</v>
      </c>
      <c r="P10" s="215"/>
      <c r="Q10" s="215"/>
      <c r="R10" s="215"/>
      <c r="S10" s="215"/>
      <c r="T10" s="220">
        <f t="shared" ref="T10" si="0">SUM(H10,J10,L10,N10,P10,R10)</f>
        <v>1</v>
      </c>
      <c r="U10" s="221">
        <f>SUM(I10,K10,M10,O10,Q10,S10)</f>
        <v>16</v>
      </c>
      <c r="W10" s="12"/>
      <c r="X10" s="13"/>
      <c r="Y10" s="13"/>
      <c r="Z10" s="13"/>
      <c r="AA10" s="13"/>
      <c r="AB10" s="13"/>
      <c r="AC10" s="13"/>
      <c r="AD10" s="13"/>
      <c r="AE10" s="13"/>
      <c r="AF10" s="17"/>
      <c r="AG10" s="13"/>
    </row>
    <row r="11" spans="2:33" ht="18" thickBot="1">
      <c r="B11" s="613"/>
      <c r="C11" s="610"/>
      <c r="D11" s="614" t="s">
        <v>16</v>
      </c>
      <c r="E11" s="614"/>
      <c r="F11" s="252"/>
      <c r="G11" s="252"/>
      <c r="H11" s="217">
        <f>SUM(H10:H10)</f>
        <v>0</v>
      </c>
      <c r="I11" s="217">
        <f>SUM(I10:I10)</f>
        <v>0</v>
      </c>
      <c r="J11" s="217">
        <f>SUM(J10:J10)</f>
        <v>0</v>
      </c>
      <c r="K11" s="217">
        <f>SUM(K10:K10)</f>
        <v>0</v>
      </c>
      <c r="L11" s="217">
        <f t="shared" ref="L11:U11" si="1">SUM(L9:L10)</f>
        <v>0</v>
      </c>
      <c r="M11" s="217">
        <f t="shared" si="1"/>
        <v>0</v>
      </c>
      <c r="N11" s="217">
        <f t="shared" si="1"/>
        <v>2</v>
      </c>
      <c r="O11" s="217">
        <f t="shared" si="1"/>
        <v>32</v>
      </c>
      <c r="P11" s="217">
        <f t="shared" si="1"/>
        <v>0</v>
      </c>
      <c r="Q11" s="217">
        <f t="shared" si="1"/>
        <v>0</v>
      </c>
      <c r="R11" s="217">
        <f t="shared" si="1"/>
        <v>0</v>
      </c>
      <c r="S11" s="217">
        <f t="shared" si="1"/>
        <v>0</v>
      </c>
      <c r="T11" s="222">
        <f t="shared" si="1"/>
        <v>2</v>
      </c>
      <c r="U11" s="222">
        <f t="shared" si="1"/>
        <v>32</v>
      </c>
    </row>
    <row r="12" spans="2:33">
      <c r="B12" s="621" t="s">
        <v>579</v>
      </c>
      <c r="C12" s="624">
        <v>4</v>
      </c>
      <c r="D12" s="268" t="s">
        <v>720</v>
      </c>
      <c r="E12" s="268" t="s">
        <v>721</v>
      </c>
      <c r="F12" s="210">
        <v>60</v>
      </c>
      <c r="G12" s="210">
        <v>4</v>
      </c>
      <c r="H12" s="211"/>
      <c r="I12" s="211"/>
      <c r="J12" s="211"/>
      <c r="K12" s="211"/>
      <c r="L12" s="211"/>
      <c r="M12" s="211"/>
      <c r="N12" s="211">
        <v>2</v>
      </c>
      <c r="O12" s="211">
        <v>32</v>
      </c>
      <c r="P12" s="211"/>
      <c r="Q12" s="211"/>
      <c r="R12" s="211"/>
      <c r="S12" s="211"/>
      <c r="T12" s="218">
        <f>SUM(H12,J12,L12,N12,P12,R12)</f>
        <v>2</v>
      </c>
      <c r="U12" s="219">
        <f>SUM(I12,K12,M12,O12,Q12,S12)</f>
        <v>32</v>
      </c>
      <c r="W12" s="28"/>
    </row>
    <row r="13" spans="2:33">
      <c r="B13" s="622"/>
      <c r="C13" s="625"/>
      <c r="D13" s="212" t="s">
        <v>722</v>
      </c>
      <c r="E13" s="212" t="s">
        <v>723</v>
      </c>
      <c r="F13" s="212">
        <v>60</v>
      </c>
      <c r="G13" s="212">
        <v>4</v>
      </c>
      <c r="H13" s="214"/>
      <c r="I13" s="214"/>
      <c r="J13" s="214"/>
      <c r="K13" s="214"/>
      <c r="L13" s="214"/>
      <c r="M13" s="214"/>
      <c r="N13" s="215">
        <v>2</v>
      </c>
      <c r="O13" s="215">
        <v>32</v>
      </c>
      <c r="P13" s="214"/>
      <c r="Q13" s="214"/>
      <c r="R13" s="214"/>
      <c r="S13" s="214"/>
      <c r="T13" s="220">
        <f t="shared" ref="T13:U13" si="2">SUM(H13,J13,L13,N13,P13,R13)</f>
        <v>2</v>
      </c>
      <c r="U13" s="221">
        <f t="shared" si="2"/>
        <v>32</v>
      </c>
    </row>
    <row r="14" spans="2:33" ht="18" thickBot="1">
      <c r="B14" s="623"/>
      <c r="C14" s="626"/>
      <c r="D14" s="252" t="s">
        <v>16</v>
      </c>
      <c r="E14" s="252"/>
      <c r="F14" s="252"/>
      <c r="G14" s="252"/>
      <c r="H14" s="217">
        <f t="shared" ref="H14:U14" si="3">SUM(H12:H13)</f>
        <v>0</v>
      </c>
      <c r="I14" s="217">
        <f t="shared" si="3"/>
        <v>0</v>
      </c>
      <c r="J14" s="217">
        <f t="shared" si="3"/>
        <v>0</v>
      </c>
      <c r="K14" s="217">
        <f t="shared" si="3"/>
        <v>0</v>
      </c>
      <c r="L14" s="217">
        <f t="shared" si="3"/>
        <v>0</v>
      </c>
      <c r="M14" s="217">
        <f t="shared" si="3"/>
        <v>0</v>
      </c>
      <c r="N14" s="217">
        <f t="shared" si="3"/>
        <v>4</v>
      </c>
      <c r="O14" s="217">
        <f t="shared" si="3"/>
        <v>64</v>
      </c>
      <c r="P14" s="217">
        <f t="shared" si="3"/>
        <v>0</v>
      </c>
      <c r="Q14" s="217">
        <f t="shared" si="3"/>
        <v>0</v>
      </c>
      <c r="R14" s="217">
        <f t="shared" si="3"/>
        <v>0</v>
      </c>
      <c r="S14" s="217">
        <f t="shared" si="3"/>
        <v>0</v>
      </c>
      <c r="T14" s="222">
        <f t="shared" si="3"/>
        <v>4</v>
      </c>
      <c r="U14" s="222">
        <f t="shared" si="3"/>
        <v>64</v>
      </c>
    </row>
    <row r="15" spans="2:33">
      <c r="B15" s="611" t="s">
        <v>539</v>
      </c>
      <c r="C15" s="608">
        <v>6</v>
      </c>
      <c r="D15" s="210" t="s">
        <v>615</v>
      </c>
      <c r="E15" s="210" t="s">
        <v>616</v>
      </c>
      <c r="F15" s="210">
        <v>40</v>
      </c>
      <c r="G15" s="210">
        <v>4</v>
      </c>
      <c r="H15" s="211"/>
      <c r="I15" s="211">
        <f>H15*16</f>
        <v>0</v>
      </c>
      <c r="J15" s="211"/>
      <c r="K15" s="211">
        <f>J15*16</f>
        <v>0</v>
      </c>
      <c r="L15" s="211">
        <v>3</v>
      </c>
      <c r="M15" s="211">
        <v>48</v>
      </c>
      <c r="N15" s="211"/>
      <c r="O15" s="211"/>
      <c r="P15" s="211"/>
      <c r="Q15" s="211"/>
      <c r="R15" s="211"/>
      <c r="S15" s="211"/>
      <c r="T15" s="218">
        <f>SUM(H15,J15,L15,N15,P15,R15)</f>
        <v>3</v>
      </c>
      <c r="U15" s="219">
        <f>SUM(I15,K15,M15,O15,Q15,S15)</f>
        <v>48</v>
      </c>
      <c r="W15" s="28"/>
    </row>
    <row r="16" spans="2:33">
      <c r="B16" s="612"/>
      <c r="C16" s="609"/>
      <c r="D16" s="212" t="s">
        <v>617</v>
      </c>
      <c r="E16" s="213" t="s">
        <v>618</v>
      </c>
      <c r="F16" s="212">
        <v>80</v>
      </c>
      <c r="G16" s="212">
        <v>3</v>
      </c>
      <c r="H16" s="214"/>
      <c r="I16" s="214"/>
      <c r="J16" s="214"/>
      <c r="K16" s="214"/>
      <c r="L16" s="214"/>
      <c r="M16" s="214"/>
      <c r="N16" s="214">
        <v>3</v>
      </c>
      <c r="O16" s="214">
        <v>48</v>
      </c>
      <c r="P16" s="214"/>
      <c r="Q16" s="214"/>
      <c r="R16" s="214"/>
      <c r="S16" s="214"/>
      <c r="T16" s="220">
        <f t="shared" ref="T16:U16" si="4">SUM(H16,J16,L16,N16,P16,R16)</f>
        <v>3</v>
      </c>
      <c r="U16" s="221">
        <f t="shared" si="4"/>
        <v>48</v>
      </c>
    </row>
    <row r="17" spans="2:23" ht="18" thickBot="1">
      <c r="B17" s="613"/>
      <c r="C17" s="610"/>
      <c r="D17" s="614" t="s">
        <v>16</v>
      </c>
      <c r="E17" s="614"/>
      <c r="F17" s="252"/>
      <c r="G17" s="252"/>
      <c r="H17" s="217">
        <f>SUM(H15:H16)</f>
        <v>0</v>
      </c>
      <c r="I17" s="217">
        <f t="shared" ref="I17:U17" si="5">SUM(I15:I16)</f>
        <v>0</v>
      </c>
      <c r="J17" s="217">
        <f t="shared" si="5"/>
        <v>0</v>
      </c>
      <c r="K17" s="217">
        <f t="shared" si="5"/>
        <v>0</v>
      </c>
      <c r="L17" s="217">
        <f t="shared" si="5"/>
        <v>3</v>
      </c>
      <c r="M17" s="217">
        <f t="shared" si="5"/>
        <v>48</v>
      </c>
      <c r="N17" s="217">
        <f t="shared" si="5"/>
        <v>3</v>
      </c>
      <c r="O17" s="217">
        <f t="shared" si="5"/>
        <v>48</v>
      </c>
      <c r="P17" s="217">
        <f t="shared" si="5"/>
        <v>0</v>
      </c>
      <c r="Q17" s="217">
        <f t="shared" si="5"/>
        <v>0</v>
      </c>
      <c r="R17" s="217">
        <f t="shared" si="5"/>
        <v>0</v>
      </c>
      <c r="S17" s="217">
        <f t="shared" si="5"/>
        <v>0</v>
      </c>
      <c r="T17" s="222">
        <f t="shared" si="5"/>
        <v>6</v>
      </c>
      <c r="U17" s="222">
        <f t="shared" si="5"/>
        <v>96</v>
      </c>
    </row>
    <row r="18" spans="2:23">
      <c r="B18" s="611" t="s">
        <v>644</v>
      </c>
      <c r="C18" s="608">
        <v>4</v>
      </c>
      <c r="D18" s="210" t="s">
        <v>689</v>
      </c>
      <c r="E18" s="210" t="s">
        <v>646</v>
      </c>
      <c r="F18" s="210">
        <v>20</v>
      </c>
      <c r="G18" s="210">
        <v>3</v>
      </c>
      <c r="H18" s="211"/>
      <c r="I18" s="211"/>
      <c r="J18" s="211"/>
      <c r="K18" s="211"/>
      <c r="L18" s="211"/>
      <c r="M18" s="211"/>
      <c r="N18" s="211"/>
      <c r="O18" s="211"/>
      <c r="P18" s="211">
        <v>2</v>
      </c>
      <c r="Q18" s="211">
        <v>32</v>
      </c>
      <c r="R18" s="211"/>
      <c r="S18" s="211"/>
      <c r="T18" s="218">
        <f>SUM(H18,J18,L18,N18,P18,R18)</f>
        <v>2</v>
      </c>
      <c r="U18" s="219">
        <f>SUM(I18,K18,M18,O18,Q18,S18)</f>
        <v>32</v>
      </c>
      <c r="W18" s="28"/>
    </row>
    <row r="19" spans="2:23">
      <c r="B19" s="612"/>
      <c r="C19" s="609"/>
      <c r="D19" s="212" t="s">
        <v>690</v>
      </c>
      <c r="E19" s="213" t="s">
        <v>648</v>
      </c>
      <c r="F19" s="212">
        <v>20</v>
      </c>
      <c r="G19" s="212">
        <v>3</v>
      </c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214">
        <v>2</v>
      </c>
      <c r="S19" s="214">
        <v>32</v>
      </c>
      <c r="T19" s="220">
        <f t="shared" ref="T19:U19" si="6">SUM(H19,J19,L19,N19,P19,R19)</f>
        <v>2</v>
      </c>
      <c r="U19" s="221">
        <f t="shared" si="6"/>
        <v>32</v>
      </c>
    </row>
    <row r="20" spans="2:23" ht="18" thickBot="1">
      <c r="B20" s="613"/>
      <c r="C20" s="610"/>
      <c r="D20" s="614" t="s">
        <v>16</v>
      </c>
      <c r="E20" s="614"/>
      <c r="F20" s="252"/>
      <c r="G20" s="252"/>
      <c r="H20" s="217">
        <f>SUM(H18:H19)</f>
        <v>0</v>
      </c>
      <c r="I20" s="217">
        <f t="shared" ref="I20:U20" si="7">SUM(I18:I19)</f>
        <v>0</v>
      </c>
      <c r="J20" s="217">
        <f t="shared" si="7"/>
        <v>0</v>
      </c>
      <c r="K20" s="217">
        <f t="shared" si="7"/>
        <v>0</v>
      </c>
      <c r="L20" s="217">
        <f t="shared" si="7"/>
        <v>0</v>
      </c>
      <c r="M20" s="217">
        <f t="shared" si="7"/>
        <v>0</v>
      </c>
      <c r="N20" s="217">
        <f t="shared" si="7"/>
        <v>0</v>
      </c>
      <c r="O20" s="217">
        <f t="shared" si="7"/>
        <v>0</v>
      </c>
      <c r="P20" s="217">
        <f t="shared" si="7"/>
        <v>2</v>
      </c>
      <c r="Q20" s="217">
        <f t="shared" si="7"/>
        <v>32</v>
      </c>
      <c r="R20" s="217">
        <f t="shared" si="7"/>
        <v>2</v>
      </c>
      <c r="S20" s="217">
        <f t="shared" si="7"/>
        <v>32</v>
      </c>
      <c r="T20" s="222">
        <f t="shared" si="7"/>
        <v>4</v>
      </c>
      <c r="U20" s="222">
        <f t="shared" si="7"/>
        <v>64</v>
      </c>
    </row>
    <row r="21" spans="2:23">
      <c r="B21" s="611" t="s">
        <v>580</v>
      </c>
      <c r="C21" s="608">
        <v>12</v>
      </c>
      <c r="D21" s="210" t="s">
        <v>724</v>
      </c>
      <c r="E21" s="210" t="s">
        <v>725</v>
      </c>
      <c r="F21" s="210">
        <v>45</v>
      </c>
      <c r="G21" s="210">
        <v>5</v>
      </c>
      <c r="H21" s="211"/>
      <c r="I21" s="211"/>
      <c r="J21" s="211"/>
      <c r="K21" s="211"/>
      <c r="L21" s="211"/>
      <c r="M21" s="211"/>
      <c r="N21" s="211"/>
      <c r="O21" s="211"/>
      <c r="P21" s="211">
        <v>2</v>
      </c>
      <c r="Q21" s="211">
        <v>32</v>
      </c>
      <c r="R21" s="211"/>
      <c r="S21" s="211"/>
      <c r="T21" s="234">
        <f>SUM(H21,J21,L21,N21,P21,R21)</f>
        <v>2</v>
      </c>
      <c r="U21" s="235">
        <f>SUM(I21,K21,M21,O21,Q21,S21)</f>
        <v>32</v>
      </c>
    </row>
    <row r="22" spans="2:23">
      <c r="B22" s="612"/>
      <c r="C22" s="609"/>
      <c r="D22" s="213" t="s">
        <v>726</v>
      </c>
      <c r="E22" s="213" t="s">
        <v>727</v>
      </c>
      <c r="F22" s="213">
        <v>45</v>
      </c>
      <c r="G22" s="213">
        <v>5</v>
      </c>
      <c r="H22" s="215"/>
      <c r="I22" s="215"/>
      <c r="J22" s="215"/>
      <c r="K22" s="215"/>
      <c r="L22" s="215"/>
      <c r="M22" s="215"/>
      <c r="N22" s="215"/>
      <c r="O22" s="215"/>
      <c r="P22" s="215">
        <v>2</v>
      </c>
      <c r="Q22" s="215">
        <v>32</v>
      </c>
      <c r="R22" s="215"/>
      <c r="S22" s="215"/>
      <c r="T22" s="220">
        <f>SUM(H22,J22,L22,N22,P22,R22)</f>
        <v>2</v>
      </c>
      <c r="U22" s="221">
        <f>SUM(I22,K22,M22,O22,Q22,S22)</f>
        <v>32</v>
      </c>
    </row>
    <row r="23" spans="2:23">
      <c r="B23" s="612"/>
      <c r="C23" s="609"/>
      <c r="D23" s="213" t="s">
        <v>728</v>
      </c>
      <c r="E23" s="213" t="s">
        <v>729</v>
      </c>
      <c r="F23" s="213">
        <v>45</v>
      </c>
      <c r="G23" s="213">
        <v>5</v>
      </c>
      <c r="H23" s="215"/>
      <c r="I23" s="215"/>
      <c r="J23" s="215"/>
      <c r="K23" s="215"/>
      <c r="L23" s="215"/>
      <c r="M23" s="215"/>
      <c r="N23" s="215"/>
      <c r="O23" s="215"/>
      <c r="P23" s="215">
        <v>2</v>
      </c>
      <c r="Q23" s="215">
        <v>32</v>
      </c>
      <c r="R23" s="215"/>
      <c r="S23" s="215"/>
      <c r="T23" s="220">
        <f t="shared" ref="T23:U26" si="8">SUM(H23,J23,L23,N23,P23,R23)</f>
        <v>2</v>
      </c>
      <c r="U23" s="221">
        <f t="shared" si="8"/>
        <v>32</v>
      </c>
    </row>
    <row r="24" spans="2:23">
      <c r="B24" s="612"/>
      <c r="C24" s="609"/>
      <c r="D24" s="213" t="s">
        <v>730</v>
      </c>
      <c r="E24" s="213" t="s">
        <v>731</v>
      </c>
      <c r="F24" s="213">
        <v>45</v>
      </c>
      <c r="G24" s="213">
        <v>5</v>
      </c>
      <c r="H24" s="215"/>
      <c r="I24" s="215"/>
      <c r="J24" s="215"/>
      <c r="K24" s="215"/>
      <c r="L24" s="215"/>
      <c r="M24" s="215"/>
      <c r="N24" s="215"/>
      <c r="O24" s="215"/>
      <c r="P24" s="215"/>
      <c r="Q24" s="215"/>
      <c r="R24" s="215">
        <v>2</v>
      </c>
      <c r="S24" s="215">
        <v>32</v>
      </c>
      <c r="T24" s="220">
        <f t="shared" si="8"/>
        <v>2</v>
      </c>
      <c r="U24" s="221">
        <f t="shared" si="8"/>
        <v>32</v>
      </c>
    </row>
    <row r="25" spans="2:23">
      <c r="B25" s="612"/>
      <c r="C25" s="609"/>
      <c r="D25" s="213" t="s">
        <v>732</v>
      </c>
      <c r="E25" s="213" t="s">
        <v>733</v>
      </c>
      <c r="F25" s="213">
        <v>45</v>
      </c>
      <c r="G25" s="213">
        <v>5</v>
      </c>
      <c r="H25" s="215"/>
      <c r="I25" s="215"/>
      <c r="J25" s="215"/>
      <c r="K25" s="215"/>
      <c r="L25" s="215"/>
      <c r="M25" s="215"/>
      <c r="N25" s="215"/>
      <c r="O25" s="215"/>
      <c r="P25" s="215"/>
      <c r="Q25" s="215"/>
      <c r="R25" s="215">
        <v>2</v>
      </c>
      <c r="S25" s="215">
        <v>32</v>
      </c>
      <c r="T25" s="220">
        <f t="shared" si="8"/>
        <v>2</v>
      </c>
      <c r="U25" s="221">
        <f t="shared" si="8"/>
        <v>32</v>
      </c>
    </row>
    <row r="26" spans="2:23">
      <c r="B26" s="612"/>
      <c r="C26" s="609"/>
      <c r="D26" s="212" t="s">
        <v>734</v>
      </c>
      <c r="E26" s="213" t="s">
        <v>735</v>
      </c>
      <c r="F26" s="212">
        <v>45</v>
      </c>
      <c r="G26" s="212">
        <v>5</v>
      </c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214">
        <v>2</v>
      </c>
      <c r="S26" s="214">
        <v>32</v>
      </c>
      <c r="T26" s="220">
        <f t="shared" si="8"/>
        <v>2</v>
      </c>
      <c r="U26" s="221">
        <f t="shared" si="8"/>
        <v>32</v>
      </c>
    </row>
    <row r="27" spans="2:23" ht="18" thickBot="1">
      <c r="B27" s="613"/>
      <c r="C27" s="610"/>
      <c r="D27" s="614" t="s">
        <v>16</v>
      </c>
      <c r="E27" s="614"/>
      <c r="F27" s="252"/>
      <c r="G27" s="252"/>
      <c r="H27" s="217">
        <f>SUM(H21:H26)</f>
        <v>0</v>
      </c>
      <c r="I27" s="217">
        <f t="shared" ref="I27:U27" si="9">SUM(I21:I26)</f>
        <v>0</v>
      </c>
      <c r="J27" s="217">
        <f t="shared" si="9"/>
        <v>0</v>
      </c>
      <c r="K27" s="217">
        <f t="shared" si="9"/>
        <v>0</v>
      </c>
      <c r="L27" s="217">
        <f t="shared" si="9"/>
        <v>0</v>
      </c>
      <c r="M27" s="217">
        <f t="shared" si="9"/>
        <v>0</v>
      </c>
      <c r="N27" s="217">
        <f t="shared" si="9"/>
        <v>0</v>
      </c>
      <c r="O27" s="217">
        <f t="shared" si="9"/>
        <v>0</v>
      </c>
      <c r="P27" s="217">
        <f t="shared" si="9"/>
        <v>6</v>
      </c>
      <c r="Q27" s="217">
        <f t="shared" si="9"/>
        <v>96</v>
      </c>
      <c r="R27" s="217">
        <f t="shared" si="9"/>
        <v>6</v>
      </c>
      <c r="S27" s="217">
        <f t="shared" si="9"/>
        <v>96</v>
      </c>
      <c r="T27" s="222">
        <f t="shared" si="9"/>
        <v>12</v>
      </c>
      <c r="U27" s="222">
        <f t="shared" si="9"/>
        <v>192</v>
      </c>
    </row>
    <row r="28" spans="2:23">
      <c r="B28" s="611" t="s">
        <v>581</v>
      </c>
      <c r="C28" s="608">
        <v>12</v>
      </c>
      <c r="D28" s="210" t="s">
        <v>736</v>
      </c>
      <c r="E28" s="210" t="s">
        <v>737</v>
      </c>
      <c r="F28" s="210">
        <v>45</v>
      </c>
      <c r="G28" s="210">
        <v>5</v>
      </c>
      <c r="H28" s="211"/>
      <c r="I28" s="211"/>
      <c r="J28" s="211"/>
      <c r="K28" s="211"/>
      <c r="L28" s="211"/>
      <c r="M28" s="211"/>
      <c r="N28" s="211"/>
      <c r="O28" s="211"/>
      <c r="P28" s="211">
        <v>2</v>
      </c>
      <c r="Q28" s="211">
        <v>32</v>
      </c>
      <c r="R28" s="211"/>
      <c r="S28" s="211"/>
      <c r="T28" s="234">
        <f>SUM(H28,J28,L28,N28,P28,R28)</f>
        <v>2</v>
      </c>
      <c r="U28" s="235">
        <f>SUM(I28,K28,M28,O28,Q28,S28)</f>
        <v>32</v>
      </c>
    </row>
    <row r="29" spans="2:23">
      <c r="B29" s="612"/>
      <c r="C29" s="609"/>
      <c r="D29" s="213" t="s">
        <v>738</v>
      </c>
      <c r="E29" s="213" t="s">
        <v>739</v>
      </c>
      <c r="F29" s="213">
        <v>45</v>
      </c>
      <c r="G29" s="213">
        <v>5</v>
      </c>
      <c r="H29" s="215"/>
      <c r="I29" s="215"/>
      <c r="J29" s="215"/>
      <c r="K29" s="215"/>
      <c r="L29" s="215"/>
      <c r="M29" s="215"/>
      <c r="N29" s="215"/>
      <c r="O29" s="215"/>
      <c r="P29" s="215">
        <v>2</v>
      </c>
      <c r="Q29" s="215">
        <v>32</v>
      </c>
      <c r="R29" s="215"/>
      <c r="S29" s="215"/>
      <c r="T29" s="220">
        <f>SUM(H29,J29,L29,N29,P29,R29)</f>
        <v>2</v>
      </c>
      <c r="U29" s="221">
        <f>SUM(I29,K29,M29,O29,Q29,S29)</f>
        <v>32</v>
      </c>
    </row>
    <row r="30" spans="2:23">
      <c r="B30" s="612"/>
      <c r="C30" s="609"/>
      <c r="D30" s="213" t="s">
        <v>740</v>
      </c>
      <c r="E30" s="213" t="s">
        <v>741</v>
      </c>
      <c r="F30" s="213">
        <v>50</v>
      </c>
      <c r="G30" s="213">
        <v>5</v>
      </c>
      <c r="H30" s="215"/>
      <c r="I30" s="215"/>
      <c r="J30" s="215"/>
      <c r="K30" s="215"/>
      <c r="L30" s="215"/>
      <c r="M30" s="215"/>
      <c r="N30" s="215"/>
      <c r="O30" s="215"/>
      <c r="P30" s="215">
        <v>2</v>
      </c>
      <c r="Q30" s="215">
        <v>32</v>
      </c>
      <c r="R30" s="215"/>
      <c r="S30" s="215"/>
      <c r="T30" s="220">
        <f t="shared" ref="T30:U33" si="10">SUM(H30,J30,L30,N30,P30,R30)</f>
        <v>2</v>
      </c>
      <c r="U30" s="221">
        <f t="shared" si="10"/>
        <v>32</v>
      </c>
    </row>
    <row r="31" spans="2:23">
      <c r="B31" s="612"/>
      <c r="C31" s="609"/>
      <c r="D31" s="213" t="s">
        <v>742</v>
      </c>
      <c r="E31" s="213" t="s">
        <v>743</v>
      </c>
      <c r="F31" s="213">
        <v>50</v>
      </c>
      <c r="G31" s="213">
        <v>5</v>
      </c>
      <c r="H31" s="215"/>
      <c r="I31" s="215"/>
      <c r="J31" s="215"/>
      <c r="K31" s="215"/>
      <c r="L31" s="215"/>
      <c r="M31" s="215"/>
      <c r="N31" s="215"/>
      <c r="O31" s="215"/>
      <c r="P31" s="215"/>
      <c r="Q31" s="215"/>
      <c r="R31" s="215">
        <v>2</v>
      </c>
      <c r="S31" s="215">
        <v>32</v>
      </c>
      <c r="T31" s="220">
        <f t="shared" si="10"/>
        <v>2</v>
      </c>
      <c r="U31" s="221">
        <f t="shared" si="10"/>
        <v>32</v>
      </c>
    </row>
    <row r="32" spans="2:23">
      <c r="B32" s="612"/>
      <c r="C32" s="609"/>
      <c r="D32" s="213" t="s">
        <v>744</v>
      </c>
      <c r="E32" s="213" t="s">
        <v>745</v>
      </c>
      <c r="F32" s="213">
        <v>45</v>
      </c>
      <c r="G32" s="213">
        <v>3</v>
      </c>
      <c r="H32" s="215"/>
      <c r="I32" s="215"/>
      <c r="J32" s="215"/>
      <c r="K32" s="215"/>
      <c r="L32" s="215"/>
      <c r="M32" s="215"/>
      <c r="N32" s="215"/>
      <c r="O32" s="215"/>
      <c r="P32" s="215"/>
      <c r="Q32" s="215"/>
      <c r="R32" s="215">
        <v>2</v>
      </c>
      <c r="S32" s="215">
        <v>32</v>
      </c>
      <c r="T32" s="220">
        <f t="shared" si="10"/>
        <v>2</v>
      </c>
      <c r="U32" s="221">
        <f t="shared" si="10"/>
        <v>32</v>
      </c>
    </row>
    <row r="33" spans="2:21">
      <c r="B33" s="612"/>
      <c r="C33" s="609"/>
      <c r="D33" s="212" t="s">
        <v>746</v>
      </c>
      <c r="E33" s="213" t="s">
        <v>747</v>
      </c>
      <c r="F33" s="212">
        <v>45</v>
      </c>
      <c r="G33" s="212">
        <v>5</v>
      </c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214">
        <v>2</v>
      </c>
      <c r="S33" s="214">
        <v>32</v>
      </c>
      <c r="T33" s="220">
        <f t="shared" si="10"/>
        <v>2</v>
      </c>
      <c r="U33" s="221">
        <f t="shared" si="10"/>
        <v>32</v>
      </c>
    </row>
    <row r="34" spans="2:21" ht="18" thickBot="1">
      <c r="B34" s="613"/>
      <c r="C34" s="610"/>
      <c r="D34" s="614" t="s">
        <v>16</v>
      </c>
      <c r="E34" s="614"/>
      <c r="F34" s="252"/>
      <c r="G34" s="252"/>
      <c r="H34" s="217">
        <f>SUM(H28:H33)</f>
        <v>0</v>
      </c>
      <c r="I34" s="217">
        <f t="shared" ref="I34:U34" si="11">SUM(I28:I33)</f>
        <v>0</v>
      </c>
      <c r="J34" s="217">
        <f t="shared" si="11"/>
        <v>0</v>
      </c>
      <c r="K34" s="217">
        <f t="shared" si="11"/>
        <v>0</v>
      </c>
      <c r="L34" s="217">
        <f t="shared" si="11"/>
        <v>0</v>
      </c>
      <c r="M34" s="217">
        <f t="shared" si="11"/>
        <v>0</v>
      </c>
      <c r="N34" s="217">
        <f t="shared" si="11"/>
        <v>0</v>
      </c>
      <c r="O34" s="217">
        <f t="shared" si="11"/>
        <v>0</v>
      </c>
      <c r="P34" s="217">
        <f t="shared" si="11"/>
        <v>6</v>
      </c>
      <c r="Q34" s="217">
        <f t="shared" si="11"/>
        <v>96</v>
      </c>
      <c r="R34" s="217">
        <f t="shared" si="11"/>
        <v>6</v>
      </c>
      <c r="S34" s="217">
        <f t="shared" si="11"/>
        <v>96</v>
      </c>
      <c r="T34" s="222">
        <f t="shared" si="11"/>
        <v>12</v>
      </c>
      <c r="U34" s="222">
        <f t="shared" si="11"/>
        <v>192</v>
      </c>
    </row>
    <row r="35" spans="2:21">
      <c r="B35" s="611" t="s">
        <v>582</v>
      </c>
      <c r="C35" s="608">
        <v>14</v>
      </c>
      <c r="D35" s="210" t="s">
        <v>748</v>
      </c>
      <c r="E35" s="210" t="s">
        <v>749</v>
      </c>
      <c r="F35" s="210">
        <v>30</v>
      </c>
      <c r="G35" s="210">
        <v>3</v>
      </c>
      <c r="H35" s="211"/>
      <c r="I35" s="211"/>
      <c r="J35" s="211"/>
      <c r="K35" s="211"/>
      <c r="L35" s="211"/>
      <c r="M35" s="211"/>
      <c r="N35" s="211"/>
      <c r="O35" s="211"/>
      <c r="P35" s="211">
        <v>2</v>
      </c>
      <c r="Q35" s="211">
        <v>32</v>
      </c>
      <c r="R35" s="211"/>
      <c r="S35" s="211"/>
      <c r="T35" s="234">
        <f>SUM(H35,J35,L35,N35,P35,R35)</f>
        <v>2</v>
      </c>
      <c r="U35" s="235">
        <f>SUM(I35,K35,M35,O35,Q35,S35)</f>
        <v>32</v>
      </c>
    </row>
    <row r="36" spans="2:21">
      <c r="B36" s="612"/>
      <c r="C36" s="609"/>
      <c r="D36" s="213" t="s">
        <v>750</v>
      </c>
      <c r="E36" s="213" t="s">
        <v>751</v>
      </c>
      <c r="F36" s="213">
        <v>45</v>
      </c>
      <c r="G36" s="213">
        <v>5</v>
      </c>
      <c r="H36" s="215"/>
      <c r="I36" s="215"/>
      <c r="J36" s="215"/>
      <c r="K36" s="215"/>
      <c r="L36" s="215"/>
      <c r="M36" s="215"/>
      <c r="N36" s="215"/>
      <c r="O36" s="215"/>
      <c r="P36" s="215">
        <v>2</v>
      </c>
      <c r="Q36" s="215">
        <v>32</v>
      </c>
      <c r="R36" s="215"/>
      <c r="S36" s="215"/>
      <c r="T36" s="220">
        <f>SUM(H36,J36,L36,N36,P36,R36)</f>
        <v>2</v>
      </c>
      <c r="U36" s="221">
        <f>SUM(I36,K36,M36,O36,Q36,S36)</f>
        <v>32</v>
      </c>
    </row>
    <row r="37" spans="2:21">
      <c r="B37" s="612"/>
      <c r="C37" s="609"/>
      <c r="D37" s="213" t="s">
        <v>752</v>
      </c>
      <c r="E37" s="213" t="s">
        <v>753</v>
      </c>
      <c r="F37" s="213">
        <v>45</v>
      </c>
      <c r="G37" s="213">
        <v>3</v>
      </c>
      <c r="H37" s="215"/>
      <c r="I37" s="215"/>
      <c r="J37" s="215"/>
      <c r="K37" s="215"/>
      <c r="L37" s="215"/>
      <c r="M37" s="215"/>
      <c r="N37" s="215"/>
      <c r="O37" s="215"/>
      <c r="P37" s="215">
        <v>3</v>
      </c>
      <c r="Q37" s="215">
        <v>48</v>
      </c>
      <c r="R37" s="215"/>
      <c r="S37" s="215"/>
      <c r="T37" s="220">
        <f t="shared" ref="T37:U40" si="12">SUM(H37,J37,L37,N37,P37,R37)</f>
        <v>3</v>
      </c>
      <c r="U37" s="221">
        <f t="shared" si="12"/>
        <v>48</v>
      </c>
    </row>
    <row r="38" spans="2:21">
      <c r="B38" s="612"/>
      <c r="C38" s="609"/>
      <c r="D38" s="213" t="s">
        <v>754</v>
      </c>
      <c r="E38" s="213" t="s">
        <v>755</v>
      </c>
      <c r="F38" s="213">
        <v>45</v>
      </c>
      <c r="G38" s="213">
        <v>3</v>
      </c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>
        <v>2</v>
      </c>
      <c r="S38" s="215">
        <v>32</v>
      </c>
      <c r="T38" s="220">
        <f t="shared" si="12"/>
        <v>2</v>
      </c>
      <c r="U38" s="221">
        <f t="shared" si="12"/>
        <v>32</v>
      </c>
    </row>
    <row r="39" spans="2:21">
      <c r="B39" s="612"/>
      <c r="C39" s="609"/>
      <c r="D39" s="213" t="s">
        <v>756</v>
      </c>
      <c r="E39" s="213" t="s">
        <v>757</v>
      </c>
      <c r="F39" s="213">
        <v>30</v>
      </c>
      <c r="G39" s="213">
        <v>3</v>
      </c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>
        <v>2</v>
      </c>
      <c r="S39" s="215">
        <v>32</v>
      </c>
      <c r="T39" s="220">
        <f t="shared" si="12"/>
        <v>2</v>
      </c>
      <c r="U39" s="221">
        <f t="shared" si="12"/>
        <v>32</v>
      </c>
    </row>
    <row r="40" spans="2:21">
      <c r="B40" s="612"/>
      <c r="C40" s="609"/>
      <c r="D40" s="212" t="s">
        <v>758</v>
      </c>
      <c r="E40" s="213" t="s">
        <v>759</v>
      </c>
      <c r="F40" s="212">
        <v>45</v>
      </c>
      <c r="G40" s="212">
        <v>4</v>
      </c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214">
        <v>3</v>
      </c>
      <c r="S40" s="214">
        <v>48</v>
      </c>
      <c r="T40" s="220">
        <f t="shared" si="12"/>
        <v>3</v>
      </c>
      <c r="U40" s="221">
        <f t="shared" si="12"/>
        <v>48</v>
      </c>
    </row>
    <row r="41" spans="2:21" ht="18" thickBot="1">
      <c r="B41" s="613"/>
      <c r="C41" s="610"/>
      <c r="D41" s="614" t="s">
        <v>16</v>
      </c>
      <c r="E41" s="614"/>
      <c r="F41" s="252"/>
      <c r="G41" s="252"/>
      <c r="H41" s="217">
        <f>SUM(H35:H40)</f>
        <v>0</v>
      </c>
      <c r="I41" s="217">
        <f t="shared" ref="I41:U41" si="13">SUM(I35:I40)</f>
        <v>0</v>
      </c>
      <c r="J41" s="217">
        <f t="shared" si="13"/>
        <v>0</v>
      </c>
      <c r="K41" s="217">
        <f t="shared" si="13"/>
        <v>0</v>
      </c>
      <c r="L41" s="217">
        <f t="shared" si="13"/>
        <v>0</v>
      </c>
      <c r="M41" s="217">
        <f t="shared" si="13"/>
        <v>0</v>
      </c>
      <c r="N41" s="217">
        <f t="shared" si="13"/>
        <v>0</v>
      </c>
      <c r="O41" s="217">
        <f t="shared" si="13"/>
        <v>0</v>
      </c>
      <c r="P41" s="217">
        <f t="shared" si="13"/>
        <v>7</v>
      </c>
      <c r="Q41" s="217">
        <f t="shared" si="13"/>
        <v>112</v>
      </c>
      <c r="R41" s="217">
        <f t="shared" si="13"/>
        <v>7</v>
      </c>
      <c r="S41" s="217">
        <f t="shared" si="13"/>
        <v>112</v>
      </c>
      <c r="T41" s="222">
        <f t="shared" si="13"/>
        <v>14</v>
      </c>
      <c r="U41" s="222">
        <f t="shared" si="13"/>
        <v>224</v>
      </c>
    </row>
    <row r="42" spans="2:21">
      <c r="B42" s="611" t="s">
        <v>583</v>
      </c>
      <c r="C42" s="608">
        <v>12</v>
      </c>
      <c r="D42" s="210" t="s">
        <v>760</v>
      </c>
      <c r="E42" s="210" t="s">
        <v>761</v>
      </c>
      <c r="F42" s="210">
        <v>50</v>
      </c>
      <c r="G42" s="210">
        <v>4</v>
      </c>
      <c r="H42" s="211"/>
      <c r="I42" s="211"/>
      <c r="J42" s="211"/>
      <c r="K42" s="211"/>
      <c r="L42" s="211"/>
      <c r="M42" s="211"/>
      <c r="N42" s="211"/>
      <c r="O42" s="211"/>
      <c r="P42" s="211">
        <v>2</v>
      </c>
      <c r="Q42" s="211">
        <v>32</v>
      </c>
      <c r="R42" s="211"/>
      <c r="S42" s="211"/>
      <c r="T42" s="234">
        <f>SUM(H42,J42,L42,N42,P42,R42)</f>
        <v>2</v>
      </c>
      <c r="U42" s="235">
        <f>SUM(I42,K42,M42,O42,Q42,S42)</f>
        <v>32</v>
      </c>
    </row>
    <row r="43" spans="2:21">
      <c r="B43" s="612"/>
      <c r="C43" s="609"/>
      <c r="D43" s="213" t="s">
        <v>762</v>
      </c>
      <c r="E43" s="213" t="s">
        <v>763</v>
      </c>
      <c r="F43" s="213">
        <v>45</v>
      </c>
      <c r="G43" s="213">
        <v>3</v>
      </c>
      <c r="H43" s="215"/>
      <c r="I43" s="215"/>
      <c r="J43" s="215"/>
      <c r="K43" s="215"/>
      <c r="L43" s="215"/>
      <c r="M43" s="215"/>
      <c r="N43" s="215"/>
      <c r="O43" s="215"/>
      <c r="P43" s="215">
        <v>2</v>
      </c>
      <c r="Q43" s="215">
        <v>32</v>
      </c>
      <c r="R43" s="215"/>
      <c r="S43" s="215"/>
      <c r="T43" s="220">
        <f>SUM(H43,J43,L43,N43,P43,R43)</f>
        <v>2</v>
      </c>
      <c r="U43" s="221">
        <f>SUM(I43,K43,M43,O43,Q43,S43)</f>
        <v>32</v>
      </c>
    </row>
    <row r="44" spans="2:21">
      <c r="B44" s="612"/>
      <c r="C44" s="609"/>
      <c r="D44" s="213" t="s">
        <v>764</v>
      </c>
      <c r="E44" s="213" t="s">
        <v>765</v>
      </c>
      <c r="F44" s="213">
        <v>60</v>
      </c>
      <c r="G44" s="213">
        <v>3</v>
      </c>
      <c r="H44" s="215"/>
      <c r="I44" s="215"/>
      <c r="J44" s="215"/>
      <c r="K44" s="215"/>
      <c r="L44" s="215"/>
      <c r="M44" s="215"/>
      <c r="N44" s="215"/>
      <c r="O44" s="215"/>
      <c r="P44" s="215">
        <v>2</v>
      </c>
      <c r="Q44" s="215">
        <v>32</v>
      </c>
      <c r="R44" s="215"/>
      <c r="S44" s="215"/>
      <c r="T44" s="220">
        <f t="shared" ref="T44:U47" si="14">SUM(H44,J44,L44,N44,P44,R44)</f>
        <v>2</v>
      </c>
      <c r="U44" s="221">
        <f t="shared" si="14"/>
        <v>32</v>
      </c>
    </row>
    <row r="45" spans="2:21">
      <c r="B45" s="612"/>
      <c r="C45" s="609"/>
      <c r="D45" s="213" t="s">
        <v>766</v>
      </c>
      <c r="E45" s="213" t="s">
        <v>767</v>
      </c>
      <c r="F45" s="213">
        <v>45</v>
      </c>
      <c r="G45" s="213">
        <v>3</v>
      </c>
      <c r="H45" s="215"/>
      <c r="I45" s="215"/>
      <c r="J45" s="215"/>
      <c r="K45" s="215"/>
      <c r="L45" s="215"/>
      <c r="M45" s="215"/>
      <c r="N45" s="215"/>
      <c r="O45" s="215"/>
      <c r="P45" s="215"/>
      <c r="Q45" s="215"/>
      <c r="R45" s="215">
        <v>2</v>
      </c>
      <c r="S45" s="215">
        <v>32</v>
      </c>
      <c r="T45" s="220">
        <f t="shared" si="14"/>
        <v>2</v>
      </c>
      <c r="U45" s="221">
        <f t="shared" si="14"/>
        <v>32</v>
      </c>
    </row>
    <row r="46" spans="2:21">
      <c r="B46" s="612"/>
      <c r="C46" s="609"/>
      <c r="D46" s="213" t="s">
        <v>768</v>
      </c>
      <c r="E46" s="213" t="s">
        <v>769</v>
      </c>
      <c r="F46" s="213">
        <v>90</v>
      </c>
      <c r="G46" s="213">
        <v>4</v>
      </c>
      <c r="H46" s="215"/>
      <c r="I46" s="215"/>
      <c r="J46" s="215"/>
      <c r="K46" s="215"/>
      <c r="L46" s="215"/>
      <c r="M46" s="215"/>
      <c r="N46" s="215"/>
      <c r="O46" s="215"/>
      <c r="P46" s="215"/>
      <c r="Q46" s="215"/>
      <c r="R46" s="215">
        <v>2</v>
      </c>
      <c r="S46" s="215">
        <v>32</v>
      </c>
      <c r="T46" s="220">
        <f t="shared" si="14"/>
        <v>2</v>
      </c>
      <c r="U46" s="221">
        <f t="shared" si="14"/>
        <v>32</v>
      </c>
    </row>
    <row r="47" spans="2:21">
      <c r="B47" s="612"/>
      <c r="C47" s="609"/>
      <c r="D47" s="212" t="s">
        <v>770</v>
      </c>
      <c r="E47" s="213" t="s">
        <v>771</v>
      </c>
      <c r="F47" s="212">
        <v>60</v>
      </c>
      <c r="G47" s="212">
        <v>4</v>
      </c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214">
        <v>2</v>
      </c>
      <c r="S47" s="214">
        <v>32</v>
      </c>
      <c r="T47" s="220">
        <f t="shared" si="14"/>
        <v>2</v>
      </c>
      <c r="U47" s="221">
        <f t="shared" si="14"/>
        <v>32</v>
      </c>
    </row>
    <row r="48" spans="2:21" ht="18" thickBot="1">
      <c r="B48" s="613"/>
      <c r="C48" s="610"/>
      <c r="D48" s="614" t="s">
        <v>16</v>
      </c>
      <c r="E48" s="614"/>
      <c r="F48" s="252"/>
      <c r="G48" s="252"/>
      <c r="H48" s="217">
        <f>SUM(H42:H47)</f>
        <v>0</v>
      </c>
      <c r="I48" s="217">
        <f t="shared" ref="I48:U48" si="15">SUM(I42:I47)</f>
        <v>0</v>
      </c>
      <c r="J48" s="217">
        <f t="shared" si="15"/>
        <v>0</v>
      </c>
      <c r="K48" s="217">
        <f t="shared" si="15"/>
        <v>0</v>
      </c>
      <c r="L48" s="217">
        <f t="shared" si="15"/>
        <v>0</v>
      </c>
      <c r="M48" s="217">
        <f t="shared" si="15"/>
        <v>0</v>
      </c>
      <c r="N48" s="217">
        <f t="shared" si="15"/>
        <v>0</v>
      </c>
      <c r="O48" s="217">
        <f t="shared" si="15"/>
        <v>0</v>
      </c>
      <c r="P48" s="217">
        <f t="shared" si="15"/>
        <v>6</v>
      </c>
      <c r="Q48" s="217">
        <f t="shared" si="15"/>
        <v>96</v>
      </c>
      <c r="R48" s="217">
        <f t="shared" si="15"/>
        <v>6</v>
      </c>
      <c r="S48" s="217">
        <f t="shared" si="15"/>
        <v>96</v>
      </c>
      <c r="T48" s="222">
        <f t="shared" si="15"/>
        <v>12</v>
      </c>
      <c r="U48" s="222">
        <f t="shared" si="15"/>
        <v>192</v>
      </c>
    </row>
    <row r="49" spans="2:21">
      <c r="B49" s="611" t="s">
        <v>584</v>
      </c>
      <c r="C49" s="608">
        <v>12</v>
      </c>
      <c r="D49" s="210" t="s">
        <v>772</v>
      </c>
      <c r="E49" s="210" t="s">
        <v>773</v>
      </c>
      <c r="F49" s="210">
        <v>30</v>
      </c>
      <c r="G49" s="210">
        <v>5</v>
      </c>
      <c r="H49" s="211"/>
      <c r="I49" s="211"/>
      <c r="J49" s="211"/>
      <c r="K49" s="211"/>
      <c r="L49" s="211"/>
      <c r="M49" s="211"/>
      <c r="N49" s="211"/>
      <c r="O49" s="211"/>
      <c r="P49" s="211">
        <v>2</v>
      </c>
      <c r="Q49" s="211">
        <v>32</v>
      </c>
      <c r="R49" s="211"/>
      <c r="S49" s="211"/>
      <c r="T49" s="234">
        <f>SUM(H49,J49,L49,N49,P49,R49)</f>
        <v>2</v>
      </c>
      <c r="U49" s="235">
        <f>SUM(I49,K49,M49,O49,Q49,S49)</f>
        <v>32</v>
      </c>
    </row>
    <row r="50" spans="2:21">
      <c r="B50" s="612"/>
      <c r="C50" s="609"/>
      <c r="D50" s="213" t="s">
        <v>774</v>
      </c>
      <c r="E50" s="213" t="s">
        <v>775</v>
      </c>
      <c r="F50" s="213">
        <v>30</v>
      </c>
      <c r="G50" s="213">
        <v>5</v>
      </c>
      <c r="H50" s="215"/>
      <c r="I50" s="215"/>
      <c r="J50" s="215"/>
      <c r="K50" s="215"/>
      <c r="L50" s="215"/>
      <c r="M50" s="215"/>
      <c r="N50" s="215"/>
      <c r="O50" s="215"/>
      <c r="P50" s="215">
        <v>2</v>
      </c>
      <c r="Q50" s="215">
        <v>32</v>
      </c>
      <c r="R50" s="215"/>
      <c r="S50" s="215"/>
      <c r="T50" s="220">
        <f>SUM(H50,J50,L50,N50,P50,R50)</f>
        <v>2</v>
      </c>
      <c r="U50" s="221">
        <f>SUM(I50,K50,M50,O50,Q50,S50)</f>
        <v>32</v>
      </c>
    </row>
    <row r="51" spans="2:21">
      <c r="B51" s="612"/>
      <c r="C51" s="609"/>
      <c r="D51" s="213" t="s">
        <v>776</v>
      </c>
      <c r="E51" s="213" t="s">
        <v>777</v>
      </c>
      <c r="F51" s="213">
        <v>50</v>
      </c>
      <c r="G51" s="213">
        <v>3</v>
      </c>
      <c r="H51" s="215"/>
      <c r="I51" s="215"/>
      <c r="J51" s="215"/>
      <c r="K51" s="215"/>
      <c r="L51" s="215"/>
      <c r="M51" s="215"/>
      <c r="N51" s="215"/>
      <c r="O51" s="215"/>
      <c r="P51" s="215">
        <v>2</v>
      </c>
      <c r="Q51" s="215">
        <v>32</v>
      </c>
      <c r="R51" s="215"/>
      <c r="S51" s="215"/>
      <c r="T51" s="220">
        <f t="shared" ref="T51:U53" si="16">SUM(H51,J51,L51,N51,P51,R51)</f>
        <v>2</v>
      </c>
      <c r="U51" s="221">
        <f t="shared" si="16"/>
        <v>32</v>
      </c>
    </row>
    <row r="52" spans="2:21">
      <c r="B52" s="612"/>
      <c r="C52" s="609"/>
      <c r="D52" s="213" t="s">
        <v>778</v>
      </c>
      <c r="E52" s="213" t="s">
        <v>779</v>
      </c>
      <c r="F52" s="213">
        <v>50</v>
      </c>
      <c r="G52" s="213">
        <v>5</v>
      </c>
      <c r="H52" s="215"/>
      <c r="I52" s="215"/>
      <c r="J52" s="215"/>
      <c r="K52" s="215"/>
      <c r="L52" s="215"/>
      <c r="M52" s="215"/>
      <c r="N52" s="215"/>
      <c r="O52" s="215"/>
      <c r="P52" s="215"/>
      <c r="Q52" s="215"/>
      <c r="R52" s="215">
        <v>3</v>
      </c>
      <c r="S52" s="215">
        <v>48</v>
      </c>
      <c r="T52" s="220">
        <f t="shared" si="16"/>
        <v>3</v>
      </c>
      <c r="U52" s="221">
        <f t="shared" si="16"/>
        <v>48</v>
      </c>
    </row>
    <row r="53" spans="2:21">
      <c r="B53" s="612"/>
      <c r="C53" s="609"/>
      <c r="D53" s="213" t="s">
        <v>780</v>
      </c>
      <c r="E53" s="213" t="s">
        <v>781</v>
      </c>
      <c r="F53" s="213">
        <v>50</v>
      </c>
      <c r="G53" s="213">
        <v>3</v>
      </c>
      <c r="H53" s="215"/>
      <c r="I53" s="215"/>
      <c r="J53" s="215"/>
      <c r="K53" s="215"/>
      <c r="L53" s="215"/>
      <c r="M53" s="215"/>
      <c r="N53" s="215"/>
      <c r="O53" s="215"/>
      <c r="P53" s="215"/>
      <c r="Q53" s="215"/>
      <c r="R53" s="215">
        <v>3</v>
      </c>
      <c r="S53" s="215">
        <v>48</v>
      </c>
      <c r="T53" s="220">
        <f t="shared" si="16"/>
        <v>3</v>
      </c>
      <c r="U53" s="221">
        <f t="shared" si="16"/>
        <v>48</v>
      </c>
    </row>
    <row r="54" spans="2:21" ht="18" thickBot="1">
      <c r="B54" s="613"/>
      <c r="C54" s="610"/>
      <c r="D54" s="614" t="s">
        <v>16</v>
      </c>
      <c r="E54" s="614"/>
      <c r="F54" s="252"/>
      <c r="G54" s="252"/>
      <c r="H54" s="217">
        <f t="shared" ref="H54:U54" si="17">SUM(H49:H53)</f>
        <v>0</v>
      </c>
      <c r="I54" s="217">
        <f t="shared" si="17"/>
        <v>0</v>
      </c>
      <c r="J54" s="217">
        <f t="shared" si="17"/>
        <v>0</v>
      </c>
      <c r="K54" s="217">
        <f t="shared" si="17"/>
        <v>0</v>
      </c>
      <c r="L54" s="217">
        <f t="shared" si="17"/>
        <v>0</v>
      </c>
      <c r="M54" s="217">
        <f t="shared" si="17"/>
        <v>0</v>
      </c>
      <c r="N54" s="217">
        <f t="shared" si="17"/>
        <v>0</v>
      </c>
      <c r="O54" s="217">
        <f t="shared" si="17"/>
        <v>0</v>
      </c>
      <c r="P54" s="217">
        <f t="shared" si="17"/>
        <v>6</v>
      </c>
      <c r="Q54" s="217">
        <f t="shared" si="17"/>
        <v>96</v>
      </c>
      <c r="R54" s="217">
        <f t="shared" si="17"/>
        <v>6</v>
      </c>
      <c r="S54" s="217">
        <f t="shared" si="17"/>
        <v>96</v>
      </c>
      <c r="T54" s="222">
        <f t="shared" si="17"/>
        <v>12</v>
      </c>
      <c r="U54" s="222">
        <f t="shared" si="17"/>
        <v>192</v>
      </c>
    </row>
    <row r="55" spans="2:21">
      <c r="B55" s="611" t="s">
        <v>585</v>
      </c>
      <c r="C55" s="608">
        <v>14</v>
      </c>
      <c r="D55" s="210" t="s">
        <v>782</v>
      </c>
      <c r="E55" s="210" t="s">
        <v>783</v>
      </c>
      <c r="F55" s="210">
        <v>20</v>
      </c>
      <c r="G55" s="210">
        <v>4</v>
      </c>
      <c r="H55" s="211"/>
      <c r="I55" s="211"/>
      <c r="J55" s="211"/>
      <c r="K55" s="211"/>
      <c r="L55" s="211"/>
      <c r="M55" s="211"/>
      <c r="N55" s="211"/>
      <c r="O55" s="211"/>
      <c r="P55" s="211">
        <v>1</v>
      </c>
      <c r="Q55" s="211">
        <v>16</v>
      </c>
      <c r="R55" s="211"/>
      <c r="S55" s="211"/>
      <c r="T55" s="234">
        <f>SUM(H55,J55,L55,N55,P55,R55)</f>
        <v>1</v>
      </c>
      <c r="U55" s="235">
        <f>SUM(I55,K55,M55,O55,Q55,S55)</f>
        <v>16</v>
      </c>
    </row>
    <row r="56" spans="2:21">
      <c r="B56" s="612"/>
      <c r="C56" s="609"/>
      <c r="D56" s="213" t="s">
        <v>784</v>
      </c>
      <c r="E56" s="213" t="s">
        <v>785</v>
      </c>
      <c r="F56" s="213">
        <v>20</v>
      </c>
      <c r="G56" s="213">
        <v>3</v>
      </c>
      <c r="H56" s="215"/>
      <c r="I56" s="215"/>
      <c r="J56" s="215"/>
      <c r="K56" s="215"/>
      <c r="L56" s="215"/>
      <c r="M56" s="215"/>
      <c r="N56" s="215"/>
      <c r="O56" s="215"/>
      <c r="P56" s="215">
        <v>2</v>
      </c>
      <c r="Q56" s="215">
        <v>32</v>
      </c>
      <c r="R56" s="215"/>
      <c r="S56" s="215"/>
      <c r="T56" s="220">
        <f>SUM(H56,J56,L56,N56,P56,R56)</f>
        <v>2</v>
      </c>
      <c r="U56" s="221">
        <f>SUM(I56,K56,M56,O56,Q56,S56)</f>
        <v>32</v>
      </c>
    </row>
    <row r="57" spans="2:21">
      <c r="B57" s="612"/>
      <c r="C57" s="609"/>
      <c r="D57" s="213" t="s">
        <v>786</v>
      </c>
      <c r="E57" s="213" t="s">
        <v>787</v>
      </c>
      <c r="F57" s="213">
        <v>20</v>
      </c>
      <c r="G57" s="213">
        <v>4</v>
      </c>
      <c r="H57" s="215"/>
      <c r="I57" s="215"/>
      <c r="J57" s="215"/>
      <c r="K57" s="215"/>
      <c r="L57" s="215"/>
      <c r="M57" s="215"/>
      <c r="N57" s="215"/>
      <c r="O57" s="215"/>
      <c r="P57" s="215">
        <v>2</v>
      </c>
      <c r="Q57" s="215">
        <v>32</v>
      </c>
      <c r="R57" s="215"/>
      <c r="S57" s="215"/>
      <c r="T57" s="220">
        <f t="shared" ref="T57:U60" si="18">SUM(H57,J57,L57,N57,P57,R57)</f>
        <v>2</v>
      </c>
      <c r="U57" s="221">
        <f t="shared" si="18"/>
        <v>32</v>
      </c>
    </row>
    <row r="58" spans="2:21">
      <c r="B58" s="612"/>
      <c r="C58" s="609"/>
      <c r="D58" s="213" t="s">
        <v>788</v>
      </c>
      <c r="E58" s="213" t="s">
        <v>789</v>
      </c>
      <c r="F58" s="213">
        <v>30</v>
      </c>
      <c r="G58" s="213">
        <v>5</v>
      </c>
      <c r="H58" s="215"/>
      <c r="I58" s="215"/>
      <c r="J58" s="215"/>
      <c r="K58" s="215"/>
      <c r="L58" s="215"/>
      <c r="M58" s="215"/>
      <c r="N58" s="215"/>
      <c r="O58" s="215"/>
      <c r="P58" s="215">
        <v>2</v>
      </c>
      <c r="Q58" s="215">
        <v>32</v>
      </c>
      <c r="R58" s="215"/>
      <c r="S58" s="215"/>
      <c r="T58" s="220">
        <f t="shared" si="18"/>
        <v>2</v>
      </c>
      <c r="U58" s="221">
        <f t="shared" si="18"/>
        <v>32</v>
      </c>
    </row>
    <row r="59" spans="2:21">
      <c r="B59" s="612"/>
      <c r="C59" s="609"/>
      <c r="D59" s="213" t="s">
        <v>790</v>
      </c>
      <c r="E59" s="213" t="s">
        <v>791</v>
      </c>
      <c r="F59" s="213">
        <v>20</v>
      </c>
      <c r="G59" s="213">
        <v>4</v>
      </c>
      <c r="H59" s="215"/>
      <c r="I59" s="215"/>
      <c r="K59" s="215"/>
      <c r="L59" s="215"/>
      <c r="M59" s="215"/>
      <c r="N59" s="215"/>
      <c r="O59" s="215"/>
      <c r="P59" s="215"/>
      <c r="Q59" s="215"/>
      <c r="R59" s="215">
        <v>3</v>
      </c>
      <c r="S59" s="215">
        <v>48</v>
      </c>
      <c r="T59" s="220">
        <f t="shared" si="18"/>
        <v>3</v>
      </c>
      <c r="U59" s="221">
        <f t="shared" si="18"/>
        <v>48</v>
      </c>
    </row>
    <row r="60" spans="2:21">
      <c r="B60" s="612"/>
      <c r="C60" s="609"/>
      <c r="D60" s="212" t="s">
        <v>792</v>
      </c>
      <c r="E60" s="213" t="s">
        <v>793</v>
      </c>
      <c r="F60" s="212">
        <v>30</v>
      </c>
      <c r="G60" s="212">
        <v>5</v>
      </c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214">
        <v>4</v>
      </c>
      <c r="S60" s="214">
        <v>64</v>
      </c>
      <c r="T60" s="220">
        <f t="shared" si="18"/>
        <v>4</v>
      </c>
      <c r="U60" s="221">
        <f t="shared" si="18"/>
        <v>64</v>
      </c>
    </row>
    <row r="61" spans="2:21" ht="18" thickBot="1">
      <c r="B61" s="613"/>
      <c r="C61" s="610"/>
      <c r="D61" s="614" t="s">
        <v>16</v>
      </c>
      <c r="E61" s="614"/>
      <c r="F61" s="252"/>
      <c r="G61" s="252"/>
      <c r="H61" s="217">
        <f>SUM(H55:H60)</f>
        <v>0</v>
      </c>
      <c r="I61" s="217">
        <f t="shared" ref="I61:U61" si="19">SUM(I55:I60)</f>
        <v>0</v>
      </c>
      <c r="J61" s="217">
        <f t="shared" si="19"/>
        <v>0</v>
      </c>
      <c r="K61" s="217">
        <f t="shared" si="19"/>
        <v>0</v>
      </c>
      <c r="L61" s="217">
        <f t="shared" si="19"/>
        <v>0</v>
      </c>
      <c r="M61" s="217">
        <f t="shared" si="19"/>
        <v>0</v>
      </c>
      <c r="N61" s="217">
        <f t="shared" si="19"/>
        <v>0</v>
      </c>
      <c r="O61" s="217">
        <f t="shared" si="19"/>
        <v>0</v>
      </c>
      <c r="P61" s="217">
        <f t="shared" si="19"/>
        <v>7</v>
      </c>
      <c r="Q61" s="217">
        <f t="shared" si="19"/>
        <v>112</v>
      </c>
      <c r="R61" s="217">
        <f t="shared" si="19"/>
        <v>7</v>
      </c>
      <c r="S61" s="217">
        <f t="shared" si="19"/>
        <v>112</v>
      </c>
      <c r="T61" s="222">
        <f>SUM(T55:T60)</f>
        <v>14</v>
      </c>
      <c r="U61" s="222">
        <f t="shared" si="19"/>
        <v>224</v>
      </c>
    </row>
  </sheetData>
  <mergeCells count="56"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D11:E11"/>
    <mergeCell ref="D54:E54"/>
    <mergeCell ref="C28:C34"/>
    <mergeCell ref="B28:B34"/>
    <mergeCell ref="C21:C27"/>
    <mergeCell ref="B21:B27"/>
    <mergeCell ref="B49:B54"/>
    <mergeCell ref="C49:C54"/>
    <mergeCell ref="B55:B61"/>
    <mergeCell ref="B9:B11"/>
    <mergeCell ref="C9:C11"/>
    <mergeCell ref="B15:B17"/>
    <mergeCell ref="C12:C14"/>
    <mergeCell ref="B12:B14"/>
    <mergeCell ref="C35:C41"/>
    <mergeCell ref="B35:B41"/>
    <mergeCell ref="B42:B48"/>
    <mergeCell ref="C42:C48"/>
    <mergeCell ref="D48:E48"/>
    <mergeCell ref="C18:C20"/>
    <mergeCell ref="B18:B20"/>
    <mergeCell ref="C55:C61"/>
    <mergeCell ref="D61:E61"/>
    <mergeCell ref="D17:E17"/>
    <mergeCell ref="D20:E20"/>
    <mergeCell ref="D27:E27"/>
    <mergeCell ref="D34:E34"/>
    <mergeCell ref="D41:E41"/>
    <mergeCell ref="C15:C17"/>
  </mergeCells>
  <phoneticPr fontId="9" type="noConversion"/>
  <pageMargins left="0.25" right="0.25" top="0.75" bottom="0.75" header="0.3" footer="0.3"/>
  <pageSetup paperSize="9" scale="32" orientation="portrait" cellComments="asDisplayed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FF22A-2531-46C5-BCA7-5A1117B35390}">
  <sheetPr>
    <pageSetUpPr fitToPage="1"/>
  </sheetPr>
  <dimension ref="B1:AD96"/>
  <sheetViews>
    <sheetView view="pageBreakPreview" zoomScaleNormal="100" zoomScaleSheetLayoutView="100" workbookViewId="0">
      <pane ySplit="8" topLeftCell="A28" activePane="bottomLeft" state="frozen"/>
      <selection pane="bottomLeft" activeCell="M46" sqref="M46:N46"/>
    </sheetView>
  </sheetViews>
  <sheetFormatPr defaultColWidth="8.69921875" defaultRowHeight="17.399999999999999"/>
  <cols>
    <col min="1" max="1" width="2" style="4" customWidth="1"/>
    <col min="2" max="2" width="6.59765625" style="4" customWidth="1"/>
    <col min="3" max="3" width="9.3984375" style="4" customWidth="1"/>
    <col min="4" max="4" width="8.69921875" style="4"/>
    <col min="5" max="5" width="8.5" style="4" customWidth="1"/>
    <col min="6" max="6" width="16.5" style="4" customWidth="1"/>
    <col min="7" max="7" width="6.19921875" style="4" customWidth="1"/>
    <col min="8" max="8" width="5.59765625" style="4" customWidth="1"/>
    <col min="9" max="9" width="7.8984375" style="4" bestFit="1" customWidth="1"/>
    <col min="10" max="10" width="5.59765625" style="4" customWidth="1"/>
    <col min="11" max="22" width="3.8984375" style="4" customWidth="1"/>
    <col min="23" max="24" width="3.3984375" style="4" customWidth="1"/>
    <col min="25" max="25" width="6.3984375" style="4" customWidth="1"/>
    <col min="26" max="26" width="8.69921875" style="4"/>
    <col min="27" max="27" width="16.3984375" style="4" customWidth="1"/>
    <col min="28" max="29" width="12.8984375" style="4" customWidth="1"/>
    <col min="30" max="30" width="13.8984375" style="4" customWidth="1"/>
    <col min="31" max="16384" width="8.69921875" style="4"/>
  </cols>
  <sheetData>
    <row r="1" spans="2:30" ht="18" thickBot="1"/>
    <row r="2" spans="2:30" ht="30.75" customHeight="1" thickBot="1">
      <c r="B2" s="276" t="s">
        <v>511</v>
      </c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7"/>
      <c r="V2" s="278" t="s">
        <v>130</v>
      </c>
      <c r="W2" s="279"/>
      <c r="X2" s="280">
        <v>2027</v>
      </c>
      <c r="Y2" s="281"/>
      <c r="AA2" s="282" t="s">
        <v>144</v>
      </c>
      <c r="AB2" s="19" t="s">
        <v>145</v>
      </c>
      <c r="AC2" s="29" t="s">
        <v>152</v>
      </c>
      <c r="AD2" s="20" t="s">
        <v>146</v>
      </c>
    </row>
    <row r="3" spans="2:30" ht="18" thickBot="1">
      <c r="B3" s="285" t="s">
        <v>360</v>
      </c>
      <c r="C3" s="287" t="s">
        <v>53</v>
      </c>
      <c r="D3" s="288"/>
      <c r="E3" s="288"/>
      <c r="F3" s="287" t="s">
        <v>64</v>
      </c>
      <c r="G3" s="291"/>
      <c r="H3" s="287" t="s">
        <v>54</v>
      </c>
      <c r="I3" s="288"/>
      <c r="J3" s="288"/>
      <c r="K3" s="287" t="s">
        <v>55</v>
      </c>
      <c r="L3" s="288"/>
      <c r="M3" s="288"/>
      <c r="N3" s="288"/>
      <c r="O3" s="291"/>
      <c r="P3" s="293" t="s">
        <v>56</v>
      </c>
      <c r="Q3" s="294"/>
      <c r="R3" s="294"/>
      <c r="S3" s="294"/>
      <c r="T3" s="294"/>
      <c r="U3" s="294"/>
      <c r="V3" s="294"/>
      <c r="W3" s="294"/>
      <c r="X3" s="294"/>
      <c r="Y3" s="295"/>
      <c r="AA3" s="283"/>
      <c r="AB3" s="21" t="s">
        <v>147</v>
      </c>
      <c r="AC3" s="36" t="s">
        <v>518</v>
      </c>
      <c r="AD3" s="22" t="s">
        <v>519</v>
      </c>
    </row>
    <row r="4" spans="2:30" ht="18" thickBot="1">
      <c r="B4" s="286"/>
      <c r="C4" s="289"/>
      <c r="D4" s="290"/>
      <c r="E4" s="290"/>
      <c r="F4" s="289"/>
      <c r="G4" s="292"/>
      <c r="H4" s="289"/>
      <c r="I4" s="290"/>
      <c r="J4" s="290"/>
      <c r="K4" s="289"/>
      <c r="L4" s="290"/>
      <c r="M4" s="290"/>
      <c r="N4" s="290"/>
      <c r="O4" s="292"/>
      <c r="P4" s="293" t="s">
        <v>127</v>
      </c>
      <c r="Q4" s="294"/>
      <c r="R4" s="294"/>
      <c r="S4" s="294"/>
      <c r="T4" s="293" t="s">
        <v>61</v>
      </c>
      <c r="U4" s="294"/>
      <c r="V4" s="295"/>
      <c r="W4" s="294" t="s">
        <v>128</v>
      </c>
      <c r="X4" s="294"/>
      <c r="Y4" s="295"/>
      <c r="AA4" s="283"/>
      <c r="AB4" s="23" t="s">
        <v>148</v>
      </c>
      <c r="AC4" s="37" t="s">
        <v>520</v>
      </c>
      <c r="AD4" s="22" t="s">
        <v>521</v>
      </c>
    </row>
    <row r="5" spans="2:30" ht="26.25" customHeight="1" thickBot="1">
      <c r="B5" s="69" t="s">
        <v>509</v>
      </c>
      <c r="C5" s="296" t="s">
        <v>512</v>
      </c>
      <c r="D5" s="297"/>
      <c r="E5" s="298"/>
      <c r="F5" s="296" t="s">
        <v>513</v>
      </c>
      <c r="G5" s="299"/>
      <c r="H5" s="300" t="s">
        <v>515</v>
      </c>
      <c r="I5" s="297"/>
      <c r="J5" s="298"/>
      <c r="K5" s="296" t="s">
        <v>588</v>
      </c>
      <c r="L5" s="297"/>
      <c r="M5" s="297"/>
      <c r="N5" s="297"/>
      <c r="O5" s="299"/>
      <c r="P5" s="300" t="s">
        <v>589</v>
      </c>
      <c r="Q5" s="297"/>
      <c r="R5" s="297"/>
      <c r="S5" s="298"/>
      <c r="T5" s="296" t="s">
        <v>590</v>
      </c>
      <c r="U5" s="297"/>
      <c r="V5" s="298"/>
      <c r="W5" s="301" t="s">
        <v>591</v>
      </c>
      <c r="X5" s="302"/>
      <c r="Y5" s="303"/>
      <c r="AA5" s="284"/>
      <c r="AB5" s="24" t="s">
        <v>149</v>
      </c>
      <c r="AC5" s="154" t="s">
        <v>522</v>
      </c>
      <c r="AD5" s="152" t="s">
        <v>523</v>
      </c>
    </row>
    <row r="6" spans="2:30" ht="15.75" customHeight="1" thickBot="1">
      <c r="U6" s="304"/>
      <c r="V6" s="304"/>
      <c r="W6" s="304"/>
      <c r="X6" s="304"/>
      <c r="Y6" s="304"/>
    </row>
    <row r="7" spans="2:30" s="10" customFormat="1" ht="22.5" customHeight="1">
      <c r="B7" s="305" t="s">
        <v>2</v>
      </c>
      <c r="C7" s="306"/>
      <c r="D7" s="309" t="s">
        <v>120</v>
      </c>
      <c r="E7" s="311" t="s">
        <v>57</v>
      </c>
      <c r="F7" s="312"/>
      <c r="G7" s="313"/>
      <c r="H7" s="314" t="s">
        <v>134</v>
      </c>
      <c r="I7" s="316" t="s">
        <v>135</v>
      </c>
      <c r="J7" s="318" t="s">
        <v>136</v>
      </c>
      <c r="K7" s="320" t="s">
        <v>58</v>
      </c>
      <c r="L7" s="316"/>
      <c r="M7" s="316"/>
      <c r="N7" s="321"/>
      <c r="O7" s="322" t="s">
        <v>59</v>
      </c>
      <c r="P7" s="316"/>
      <c r="Q7" s="316"/>
      <c r="R7" s="321"/>
      <c r="S7" s="320" t="s">
        <v>60</v>
      </c>
      <c r="T7" s="316"/>
      <c r="U7" s="316"/>
      <c r="V7" s="323"/>
      <c r="W7" s="314" t="s">
        <v>137</v>
      </c>
      <c r="X7" s="318"/>
      <c r="Y7" s="313" t="s">
        <v>138</v>
      </c>
      <c r="Z7" s="9"/>
    </row>
    <row r="8" spans="2:30" s="10" customFormat="1" ht="22.5" customHeight="1" thickBot="1">
      <c r="B8" s="307"/>
      <c r="C8" s="308"/>
      <c r="D8" s="310"/>
      <c r="E8" s="25" t="s">
        <v>18</v>
      </c>
      <c r="F8" s="341" t="s">
        <v>19</v>
      </c>
      <c r="G8" s="342"/>
      <c r="H8" s="315"/>
      <c r="I8" s="317"/>
      <c r="J8" s="319"/>
      <c r="K8" s="343" t="s">
        <v>0</v>
      </c>
      <c r="L8" s="317"/>
      <c r="M8" s="317" t="s">
        <v>62</v>
      </c>
      <c r="N8" s="344"/>
      <c r="O8" s="345" t="s">
        <v>0</v>
      </c>
      <c r="P8" s="317"/>
      <c r="Q8" s="317" t="s">
        <v>62</v>
      </c>
      <c r="R8" s="344"/>
      <c r="S8" s="343" t="s">
        <v>0</v>
      </c>
      <c r="T8" s="317"/>
      <c r="U8" s="317" t="s">
        <v>62</v>
      </c>
      <c r="V8" s="346"/>
      <c r="W8" s="315"/>
      <c r="X8" s="319"/>
      <c r="Y8" s="340"/>
      <c r="AA8" s="324" t="s">
        <v>499</v>
      </c>
      <c r="AB8" s="324"/>
      <c r="AC8" s="324"/>
      <c r="AD8" s="324"/>
    </row>
    <row r="9" spans="2:30" ht="16.5" customHeight="1" thickBot="1">
      <c r="B9" s="325" t="s">
        <v>338</v>
      </c>
      <c r="C9" s="326"/>
      <c r="D9" s="331" t="s">
        <v>21</v>
      </c>
      <c r="E9" s="38" t="s">
        <v>12</v>
      </c>
      <c r="F9" s="334" t="s">
        <v>202</v>
      </c>
      <c r="G9" s="335"/>
      <c r="H9" s="39">
        <v>4</v>
      </c>
      <c r="I9" s="40" t="s">
        <v>339</v>
      </c>
      <c r="J9" s="41">
        <v>3</v>
      </c>
      <c r="K9" s="334">
        <v>3</v>
      </c>
      <c r="L9" s="336"/>
      <c r="M9" s="337"/>
      <c r="N9" s="338"/>
      <c r="O9" s="339"/>
      <c r="P9" s="336"/>
      <c r="Q9" s="337"/>
      <c r="R9" s="338"/>
      <c r="S9" s="339"/>
      <c r="T9" s="336"/>
      <c r="U9" s="337"/>
      <c r="V9" s="335"/>
      <c r="W9" s="42">
        <f>SUM(K9:V9)</f>
        <v>3</v>
      </c>
      <c r="X9" s="353">
        <f>SUM(W9:W13)</f>
        <v>15</v>
      </c>
      <c r="Y9" s="355">
        <v>24</v>
      </c>
      <c r="AA9" s="130" t="s">
        <v>18</v>
      </c>
      <c r="AB9" s="131" t="s">
        <v>505</v>
      </c>
      <c r="AC9" s="131" t="s">
        <v>506</v>
      </c>
      <c r="AD9" s="132" t="s">
        <v>507</v>
      </c>
    </row>
    <row r="10" spans="2:30" ht="18" thickBot="1">
      <c r="B10" s="327"/>
      <c r="C10" s="328"/>
      <c r="D10" s="332"/>
      <c r="E10" s="43" t="s">
        <v>12</v>
      </c>
      <c r="F10" s="347" t="s">
        <v>203</v>
      </c>
      <c r="G10" s="352"/>
      <c r="H10" s="44">
        <v>4</v>
      </c>
      <c r="I10" s="45" t="s">
        <v>339</v>
      </c>
      <c r="J10" s="46">
        <v>3</v>
      </c>
      <c r="K10" s="347"/>
      <c r="L10" s="348"/>
      <c r="M10" s="349">
        <v>3</v>
      </c>
      <c r="N10" s="350"/>
      <c r="O10" s="351"/>
      <c r="P10" s="348"/>
      <c r="Q10" s="349"/>
      <c r="R10" s="350"/>
      <c r="S10" s="351"/>
      <c r="T10" s="348"/>
      <c r="U10" s="349"/>
      <c r="V10" s="352"/>
      <c r="W10" s="47">
        <f t="shared" ref="W10:W28" si="0">SUM(K10:V10)</f>
        <v>3</v>
      </c>
      <c r="X10" s="354"/>
      <c r="Y10" s="355"/>
      <c r="AA10" s="133" t="s">
        <v>500</v>
      </c>
      <c r="AB10" s="134">
        <v>4</v>
      </c>
      <c r="AC10" s="134">
        <v>-1</v>
      </c>
      <c r="AD10" s="22" t="s">
        <v>339</v>
      </c>
    </row>
    <row r="11" spans="2:30" ht="18" thickBot="1">
      <c r="B11" s="327"/>
      <c r="C11" s="328"/>
      <c r="D11" s="332"/>
      <c r="E11" s="48" t="s">
        <v>340</v>
      </c>
      <c r="F11" s="347" t="s">
        <v>208</v>
      </c>
      <c r="G11" s="352"/>
      <c r="H11" s="44">
        <v>4</v>
      </c>
      <c r="I11" s="45" t="s">
        <v>342</v>
      </c>
      <c r="J11" s="46">
        <v>3</v>
      </c>
      <c r="K11" s="347"/>
      <c r="L11" s="348"/>
      <c r="M11" s="349"/>
      <c r="N11" s="350"/>
      <c r="O11" s="351">
        <v>3</v>
      </c>
      <c r="P11" s="348"/>
      <c r="Q11" s="349"/>
      <c r="R11" s="350"/>
      <c r="S11" s="351"/>
      <c r="T11" s="348"/>
      <c r="U11" s="349"/>
      <c r="V11" s="352"/>
      <c r="W11" s="47">
        <f t="shared" si="0"/>
        <v>3</v>
      </c>
      <c r="X11" s="354"/>
      <c r="Y11" s="355"/>
      <c r="AA11" s="133" t="s">
        <v>501</v>
      </c>
      <c r="AB11" s="134">
        <v>3</v>
      </c>
      <c r="AC11" s="134"/>
      <c r="AD11" s="22">
        <v>3</v>
      </c>
    </row>
    <row r="12" spans="2:30" ht="18" thickBot="1">
      <c r="B12" s="327"/>
      <c r="C12" s="328"/>
      <c r="D12" s="332"/>
      <c r="E12" s="48" t="s">
        <v>347</v>
      </c>
      <c r="F12" s="347" t="s">
        <v>4</v>
      </c>
      <c r="G12" s="352"/>
      <c r="H12" s="44">
        <v>4</v>
      </c>
      <c r="I12" s="45" t="s">
        <v>342</v>
      </c>
      <c r="J12" s="46">
        <v>3</v>
      </c>
      <c r="K12" s="347"/>
      <c r="L12" s="348"/>
      <c r="M12" s="349"/>
      <c r="N12" s="350"/>
      <c r="O12" s="351"/>
      <c r="P12" s="348"/>
      <c r="Q12" s="349">
        <v>3</v>
      </c>
      <c r="R12" s="350"/>
      <c r="S12" s="351"/>
      <c r="T12" s="348"/>
      <c r="U12" s="349"/>
      <c r="V12" s="352"/>
      <c r="W12" s="47">
        <f t="shared" si="0"/>
        <v>3</v>
      </c>
      <c r="X12" s="354"/>
      <c r="Y12" s="355"/>
      <c r="AA12" s="133" t="s">
        <v>502</v>
      </c>
      <c r="AB12" s="134">
        <v>4</v>
      </c>
      <c r="AC12" s="134" t="s">
        <v>508</v>
      </c>
      <c r="AD12" s="22" t="s">
        <v>342</v>
      </c>
    </row>
    <row r="13" spans="2:30" ht="18" thickBot="1">
      <c r="B13" s="327"/>
      <c r="C13" s="328"/>
      <c r="D13" s="333"/>
      <c r="E13" s="48" t="s">
        <v>340</v>
      </c>
      <c r="F13" s="356" t="s">
        <v>341</v>
      </c>
      <c r="G13" s="357"/>
      <c r="H13" s="49">
        <v>4</v>
      </c>
      <c r="I13" s="50" t="s">
        <v>342</v>
      </c>
      <c r="J13" s="51">
        <v>3</v>
      </c>
      <c r="K13" s="358"/>
      <c r="L13" s="359"/>
      <c r="M13" s="360"/>
      <c r="N13" s="361"/>
      <c r="O13" s="362"/>
      <c r="P13" s="359"/>
      <c r="Q13" s="360"/>
      <c r="R13" s="361"/>
      <c r="S13" s="362">
        <v>3</v>
      </c>
      <c r="T13" s="359"/>
      <c r="U13" s="360"/>
      <c r="V13" s="363"/>
      <c r="W13" s="47">
        <f t="shared" si="0"/>
        <v>3</v>
      </c>
      <c r="X13" s="354"/>
      <c r="Y13" s="355"/>
      <c r="AA13" s="160" t="s">
        <v>503</v>
      </c>
      <c r="AB13" s="134">
        <v>3</v>
      </c>
      <c r="AC13" s="134" t="s">
        <v>508</v>
      </c>
      <c r="AD13" s="22" t="s">
        <v>349</v>
      </c>
    </row>
    <row r="14" spans="2:30" ht="18" thickBot="1">
      <c r="B14" s="327"/>
      <c r="C14" s="328"/>
      <c r="D14" s="331" t="s">
        <v>5</v>
      </c>
      <c r="E14" s="38" t="s">
        <v>12</v>
      </c>
      <c r="F14" s="368" t="s">
        <v>214</v>
      </c>
      <c r="G14" s="369"/>
      <c r="H14" s="39">
        <v>4</v>
      </c>
      <c r="I14" s="53" t="s">
        <v>339</v>
      </c>
      <c r="J14" s="41">
        <v>3</v>
      </c>
      <c r="K14" s="334">
        <v>3</v>
      </c>
      <c r="L14" s="336"/>
      <c r="M14" s="337"/>
      <c r="N14" s="338"/>
      <c r="O14" s="339"/>
      <c r="P14" s="336"/>
      <c r="Q14" s="337"/>
      <c r="R14" s="338"/>
      <c r="S14" s="339"/>
      <c r="T14" s="336"/>
      <c r="U14" s="337"/>
      <c r="V14" s="335"/>
      <c r="W14" s="42">
        <f t="shared" si="0"/>
        <v>3</v>
      </c>
      <c r="X14" s="353">
        <f t="shared" ref="X14" si="1">SUM(W14:W17)</f>
        <v>12</v>
      </c>
      <c r="Y14" s="355"/>
      <c r="AA14" s="135" t="s">
        <v>504</v>
      </c>
      <c r="AB14" s="364" t="s">
        <v>510</v>
      </c>
      <c r="AC14" s="364"/>
      <c r="AD14" s="365"/>
    </row>
    <row r="15" spans="2:30" ht="18" thickBot="1">
      <c r="B15" s="327"/>
      <c r="C15" s="328"/>
      <c r="D15" s="332"/>
      <c r="E15" s="43" t="s">
        <v>12</v>
      </c>
      <c r="F15" s="366" t="s">
        <v>216</v>
      </c>
      <c r="G15" s="367"/>
      <c r="H15" s="44">
        <v>4</v>
      </c>
      <c r="I15" s="159" t="s">
        <v>339</v>
      </c>
      <c r="J15" s="158">
        <v>3</v>
      </c>
      <c r="K15" s="347"/>
      <c r="L15" s="348"/>
      <c r="M15" s="349">
        <v>3</v>
      </c>
      <c r="N15" s="350"/>
      <c r="O15" s="351"/>
      <c r="P15" s="348"/>
      <c r="Q15" s="349"/>
      <c r="R15" s="350"/>
      <c r="S15" s="351"/>
      <c r="T15" s="348"/>
      <c r="U15" s="349"/>
      <c r="V15" s="352"/>
      <c r="W15" s="47">
        <f t="shared" si="0"/>
        <v>3</v>
      </c>
      <c r="X15" s="354"/>
      <c r="Y15" s="355"/>
    </row>
    <row r="16" spans="2:30" ht="18" thickBot="1">
      <c r="B16" s="327"/>
      <c r="C16" s="328"/>
      <c r="D16" s="332"/>
      <c r="E16" s="48" t="s">
        <v>347</v>
      </c>
      <c r="F16" s="366" t="s">
        <v>217</v>
      </c>
      <c r="G16" s="367"/>
      <c r="H16" s="44">
        <v>4</v>
      </c>
      <c r="I16" s="159" t="s">
        <v>339</v>
      </c>
      <c r="J16" s="46">
        <v>3</v>
      </c>
      <c r="K16" s="347"/>
      <c r="L16" s="348"/>
      <c r="M16" s="349"/>
      <c r="N16" s="350"/>
      <c r="O16" s="351">
        <v>3</v>
      </c>
      <c r="P16" s="348"/>
      <c r="Q16" s="349"/>
      <c r="R16" s="350"/>
      <c r="S16" s="351"/>
      <c r="T16" s="348"/>
      <c r="U16" s="349"/>
      <c r="V16" s="352"/>
      <c r="W16" s="47">
        <f t="shared" si="0"/>
        <v>3</v>
      </c>
      <c r="X16" s="354"/>
      <c r="Y16" s="355"/>
    </row>
    <row r="17" spans="2:29" ht="18" thickBot="1">
      <c r="B17" s="327"/>
      <c r="C17" s="328"/>
      <c r="D17" s="333"/>
      <c r="E17" s="48" t="s">
        <v>340</v>
      </c>
      <c r="F17" s="356" t="s">
        <v>343</v>
      </c>
      <c r="G17" s="357"/>
      <c r="H17" s="49">
        <v>4</v>
      </c>
      <c r="I17" s="50" t="s">
        <v>342</v>
      </c>
      <c r="J17" s="51">
        <v>3</v>
      </c>
      <c r="K17" s="358"/>
      <c r="L17" s="359"/>
      <c r="M17" s="360"/>
      <c r="N17" s="361"/>
      <c r="O17" s="362"/>
      <c r="P17" s="359"/>
      <c r="Q17" s="360">
        <v>3</v>
      </c>
      <c r="R17" s="361"/>
      <c r="S17" s="362"/>
      <c r="T17" s="359"/>
      <c r="U17" s="360"/>
      <c r="V17" s="363"/>
      <c r="W17" s="47">
        <f t="shared" si="0"/>
        <v>3</v>
      </c>
      <c r="X17" s="354"/>
      <c r="Y17" s="355"/>
    </row>
    <row r="18" spans="2:29" ht="18" thickBot="1">
      <c r="B18" s="327"/>
      <c r="C18" s="328"/>
      <c r="D18" s="331" t="s">
        <v>6</v>
      </c>
      <c r="E18" s="38" t="s">
        <v>12</v>
      </c>
      <c r="F18" s="334" t="s">
        <v>221</v>
      </c>
      <c r="G18" s="335"/>
      <c r="H18" s="39">
        <v>4</v>
      </c>
      <c r="I18" s="53" t="s">
        <v>339</v>
      </c>
      <c r="J18" s="41">
        <v>3</v>
      </c>
      <c r="K18" s="334">
        <v>3</v>
      </c>
      <c r="L18" s="336"/>
      <c r="M18" s="349"/>
      <c r="N18" s="350"/>
      <c r="O18" s="339"/>
      <c r="P18" s="336"/>
      <c r="Q18" s="337"/>
      <c r="R18" s="338"/>
      <c r="S18" s="339"/>
      <c r="T18" s="336"/>
      <c r="U18" s="337"/>
      <c r="V18" s="335"/>
      <c r="W18" s="42">
        <f t="shared" si="0"/>
        <v>3</v>
      </c>
      <c r="X18" s="353">
        <f t="shared" ref="X18" si="2">SUM(W18:W22)</f>
        <v>15</v>
      </c>
      <c r="Y18" s="355"/>
      <c r="AA18" s="370"/>
      <c r="AB18" s="370"/>
      <c r="AC18" s="148"/>
    </row>
    <row r="19" spans="2:29" ht="18" thickBot="1">
      <c r="B19" s="327"/>
      <c r="C19" s="328"/>
      <c r="D19" s="332"/>
      <c r="E19" s="43" t="s">
        <v>12</v>
      </c>
      <c r="F19" s="347" t="s">
        <v>227</v>
      </c>
      <c r="G19" s="352"/>
      <c r="H19" s="44">
        <v>4</v>
      </c>
      <c r="I19" s="45" t="s">
        <v>339</v>
      </c>
      <c r="J19" s="46">
        <v>3</v>
      </c>
      <c r="K19" s="347"/>
      <c r="L19" s="348"/>
      <c r="M19" s="349">
        <v>3</v>
      </c>
      <c r="N19" s="350"/>
      <c r="O19" s="351"/>
      <c r="P19" s="348"/>
      <c r="Q19" s="349"/>
      <c r="R19" s="350"/>
      <c r="S19" s="351"/>
      <c r="T19" s="348"/>
      <c r="U19" s="349"/>
      <c r="V19" s="352"/>
      <c r="W19" s="47">
        <f t="shared" si="0"/>
        <v>3</v>
      </c>
      <c r="X19" s="354"/>
      <c r="Y19" s="355"/>
    </row>
    <row r="20" spans="2:29" ht="18" thickBot="1">
      <c r="B20" s="327"/>
      <c r="C20" s="328"/>
      <c r="D20" s="332"/>
      <c r="E20" s="43" t="s">
        <v>347</v>
      </c>
      <c r="F20" s="371" t="s">
        <v>38</v>
      </c>
      <c r="G20" s="372"/>
      <c r="H20" s="44">
        <v>4</v>
      </c>
      <c r="I20" s="45" t="s">
        <v>342</v>
      </c>
      <c r="J20" s="156">
        <v>3</v>
      </c>
      <c r="K20" s="347"/>
      <c r="L20" s="348"/>
      <c r="M20" s="349"/>
      <c r="N20" s="350"/>
      <c r="O20" s="351">
        <v>3</v>
      </c>
      <c r="P20" s="348"/>
      <c r="Q20" s="349"/>
      <c r="R20" s="350"/>
      <c r="S20" s="351"/>
      <c r="T20" s="348"/>
      <c r="U20" s="349"/>
      <c r="V20" s="352"/>
      <c r="W20" s="47">
        <f t="shared" si="0"/>
        <v>3</v>
      </c>
      <c r="X20" s="354"/>
      <c r="Y20" s="355"/>
    </row>
    <row r="21" spans="2:29" ht="18" thickBot="1">
      <c r="B21" s="327"/>
      <c r="C21" s="328"/>
      <c r="D21" s="332"/>
      <c r="E21" s="43" t="s">
        <v>347</v>
      </c>
      <c r="F21" s="371" t="s">
        <v>40</v>
      </c>
      <c r="G21" s="372"/>
      <c r="H21" s="44">
        <v>4</v>
      </c>
      <c r="I21" s="45" t="s">
        <v>342</v>
      </c>
      <c r="J21" s="156">
        <v>3</v>
      </c>
      <c r="K21" s="347"/>
      <c r="L21" s="348"/>
      <c r="M21" s="349"/>
      <c r="N21" s="350"/>
      <c r="O21" s="351"/>
      <c r="P21" s="348"/>
      <c r="Q21" s="349">
        <v>3</v>
      </c>
      <c r="R21" s="350"/>
      <c r="S21" s="351"/>
      <c r="T21" s="348"/>
      <c r="U21" s="349"/>
      <c r="V21" s="352"/>
      <c r="W21" s="47">
        <f t="shared" si="0"/>
        <v>3</v>
      </c>
      <c r="X21" s="354"/>
      <c r="Y21" s="355"/>
    </row>
    <row r="22" spans="2:29" ht="18" thickBot="1">
      <c r="B22" s="327"/>
      <c r="C22" s="328"/>
      <c r="D22" s="333"/>
      <c r="E22" s="52" t="s">
        <v>340</v>
      </c>
      <c r="F22" s="358" t="s">
        <v>344</v>
      </c>
      <c r="G22" s="363"/>
      <c r="H22" s="49">
        <v>4</v>
      </c>
      <c r="I22" s="50" t="s">
        <v>342</v>
      </c>
      <c r="J22" s="51">
        <v>3</v>
      </c>
      <c r="K22" s="358"/>
      <c r="L22" s="359"/>
      <c r="M22" s="360"/>
      <c r="N22" s="361"/>
      <c r="O22" s="362"/>
      <c r="P22" s="359"/>
      <c r="Q22" s="360"/>
      <c r="R22" s="361"/>
      <c r="S22" s="362">
        <v>3</v>
      </c>
      <c r="T22" s="359"/>
      <c r="U22" s="360"/>
      <c r="V22" s="363"/>
      <c r="W22" s="47">
        <f t="shared" si="0"/>
        <v>3</v>
      </c>
      <c r="X22" s="354"/>
      <c r="Y22" s="355"/>
    </row>
    <row r="23" spans="2:29" ht="18" thickBot="1">
      <c r="B23" s="327"/>
      <c r="C23" s="328"/>
      <c r="D23" s="331" t="s">
        <v>345</v>
      </c>
      <c r="E23" s="38" t="s">
        <v>12</v>
      </c>
      <c r="F23" s="334" t="s">
        <v>235</v>
      </c>
      <c r="G23" s="335"/>
      <c r="H23" s="39">
        <v>3</v>
      </c>
      <c r="I23" s="53">
        <v>3</v>
      </c>
      <c r="J23" s="41">
        <v>3</v>
      </c>
      <c r="K23" s="373">
        <v>3</v>
      </c>
      <c r="L23" s="374"/>
      <c r="M23" s="375"/>
      <c r="N23" s="376"/>
      <c r="O23" s="377"/>
      <c r="P23" s="374"/>
      <c r="Q23" s="375"/>
      <c r="R23" s="376"/>
      <c r="S23" s="377"/>
      <c r="T23" s="374"/>
      <c r="U23" s="375"/>
      <c r="V23" s="378"/>
      <c r="W23" s="42">
        <f t="shared" si="0"/>
        <v>3</v>
      </c>
      <c r="X23" s="353">
        <f>SUM(W23:W24)</f>
        <v>6</v>
      </c>
      <c r="Y23" s="355">
        <v>6</v>
      </c>
    </row>
    <row r="24" spans="2:29" ht="18" thickBot="1">
      <c r="B24" s="327"/>
      <c r="C24" s="328"/>
      <c r="D24" s="332"/>
      <c r="E24" s="54" t="s">
        <v>12</v>
      </c>
      <c r="F24" s="380" t="s">
        <v>236</v>
      </c>
      <c r="G24" s="381"/>
      <c r="H24" s="55">
        <v>3</v>
      </c>
      <c r="I24" s="56">
        <v>3</v>
      </c>
      <c r="J24" s="149">
        <v>3</v>
      </c>
      <c r="K24" s="358"/>
      <c r="L24" s="359"/>
      <c r="M24" s="360">
        <v>3</v>
      </c>
      <c r="N24" s="361"/>
      <c r="O24" s="362"/>
      <c r="P24" s="359"/>
      <c r="Q24" s="360"/>
      <c r="R24" s="361"/>
      <c r="S24" s="362"/>
      <c r="T24" s="359"/>
      <c r="U24" s="360"/>
      <c r="V24" s="363"/>
      <c r="W24" s="57">
        <f t="shared" si="0"/>
        <v>3</v>
      </c>
      <c r="X24" s="379"/>
      <c r="Y24" s="355"/>
      <c r="AA24" s="370"/>
      <c r="AB24" s="370"/>
      <c r="AC24" s="148"/>
    </row>
    <row r="25" spans="2:29" ht="18" thickBot="1">
      <c r="B25" s="327"/>
      <c r="C25" s="328"/>
      <c r="D25" s="332"/>
      <c r="E25" s="38" t="s">
        <v>12</v>
      </c>
      <c r="F25" s="334" t="s">
        <v>238</v>
      </c>
      <c r="G25" s="335"/>
      <c r="H25" s="39">
        <v>4</v>
      </c>
      <c r="I25" s="53" t="s">
        <v>339</v>
      </c>
      <c r="J25" s="41">
        <v>3</v>
      </c>
      <c r="K25" s="334"/>
      <c r="L25" s="336"/>
      <c r="M25" s="337"/>
      <c r="N25" s="338"/>
      <c r="O25" s="339">
        <v>3</v>
      </c>
      <c r="P25" s="336"/>
      <c r="Q25" s="337"/>
      <c r="R25" s="338"/>
      <c r="S25" s="339"/>
      <c r="T25" s="336"/>
      <c r="U25" s="337"/>
      <c r="V25" s="335"/>
      <c r="W25" s="42">
        <f t="shared" si="0"/>
        <v>3</v>
      </c>
      <c r="X25" s="353">
        <f>SUM(W25:W26)</f>
        <v>6</v>
      </c>
      <c r="Y25" s="355">
        <v>12</v>
      </c>
    </row>
    <row r="26" spans="2:29" ht="18" thickBot="1">
      <c r="B26" s="327"/>
      <c r="C26" s="328"/>
      <c r="D26" s="333"/>
      <c r="E26" s="52" t="s">
        <v>12</v>
      </c>
      <c r="F26" s="358" t="s">
        <v>239</v>
      </c>
      <c r="G26" s="363"/>
      <c r="H26" s="49">
        <v>4</v>
      </c>
      <c r="I26" s="50" t="s">
        <v>339</v>
      </c>
      <c r="J26" s="51">
        <v>3</v>
      </c>
      <c r="K26" s="358"/>
      <c r="L26" s="359"/>
      <c r="M26" s="360"/>
      <c r="N26" s="361"/>
      <c r="O26" s="362"/>
      <c r="P26" s="359"/>
      <c r="Q26" s="360">
        <v>3</v>
      </c>
      <c r="R26" s="361"/>
      <c r="S26" s="362"/>
      <c r="T26" s="359"/>
      <c r="U26" s="360"/>
      <c r="V26" s="363"/>
      <c r="W26" s="57">
        <f t="shared" si="0"/>
        <v>3</v>
      </c>
      <c r="X26" s="379"/>
      <c r="Y26" s="355"/>
    </row>
    <row r="27" spans="2:29" ht="18" thickBot="1">
      <c r="B27" s="327"/>
      <c r="C27" s="328"/>
      <c r="D27" s="331" t="s">
        <v>26</v>
      </c>
      <c r="E27" s="38" t="s">
        <v>12</v>
      </c>
      <c r="F27" s="334" t="s">
        <v>256</v>
      </c>
      <c r="G27" s="335"/>
      <c r="H27" s="39">
        <v>4</v>
      </c>
      <c r="I27" s="53" t="s">
        <v>339</v>
      </c>
      <c r="J27" s="41">
        <v>3</v>
      </c>
      <c r="K27" s="334">
        <v>3</v>
      </c>
      <c r="L27" s="336"/>
      <c r="M27" s="337"/>
      <c r="N27" s="338"/>
      <c r="O27" s="339"/>
      <c r="P27" s="336"/>
      <c r="Q27" s="337"/>
      <c r="R27" s="338"/>
      <c r="S27" s="339"/>
      <c r="T27" s="336"/>
      <c r="U27" s="337"/>
      <c r="V27" s="335"/>
      <c r="W27" s="42">
        <f t="shared" si="0"/>
        <v>3</v>
      </c>
      <c r="X27" s="326">
        <f>SUM(W27:W28)</f>
        <v>6</v>
      </c>
      <c r="Y27" s="355"/>
    </row>
    <row r="28" spans="2:29" ht="18" thickBot="1">
      <c r="B28" s="327"/>
      <c r="C28" s="328"/>
      <c r="D28" s="332"/>
      <c r="E28" s="43" t="s">
        <v>12</v>
      </c>
      <c r="F28" s="347" t="s">
        <v>257</v>
      </c>
      <c r="G28" s="352"/>
      <c r="H28" s="44">
        <v>4</v>
      </c>
      <c r="I28" s="45" t="s">
        <v>339</v>
      </c>
      <c r="J28" s="46">
        <v>3</v>
      </c>
      <c r="K28" s="347"/>
      <c r="L28" s="348"/>
      <c r="M28" s="349">
        <v>3</v>
      </c>
      <c r="N28" s="350"/>
      <c r="O28" s="351"/>
      <c r="P28" s="348"/>
      <c r="Q28" s="349"/>
      <c r="R28" s="350"/>
      <c r="S28" s="351"/>
      <c r="T28" s="348"/>
      <c r="U28" s="349"/>
      <c r="V28" s="352"/>
      <c r="W28" s="47">
        <f t="shared" si="0"/>
        <v>3</v>
      </c>
      <c r="X28" s="328"/>
      <c r="Y28" s="355"/>
    </row>
    <row r="29" spans="2:29" ht="16.5" customHeight="1" thickBot="1">
      <c r="B29" s="327"/>
      <c r="C29" s="328"/>
      <c r="D29" s="331" t="s">
        <v>8</v>
      </c>
      <c r="E29" s="38" t="s">
        <v>347</v>
      </c>
      <c r="F29" s="334" t="s">
        <v>348</v>
      </c>
      <c r="G29" s="335"/>
      <c r="H29" s="39">
        <v>3</v>
      </c>
      <c r="I29" s="53" t="s">
        <v>349</v>
      </c>
      <c r="J29" s="41">
        <f t="shared" ref="J29:J30" si="3">SUM(K29:V29)</f>
        <v>2</v>
      </c>
      <c r="K29" s="334">
        <v>2</v>
      </c>
      <c r="L29" s="336"/>
      <c r="M29" s="337"/>
      <c r="N29" s="338"/>
      <c r="O29" s="339"/>
      <c r="P29" s="336"/>
      <c r="Q29" s="337"/>
      <c r="R29" s="338"/>
      <c r="S29" s="339"/>
      <c r="T29" s="336"/>
      <c r="U29" s="337"/>
      <c r="V29" s="335"/>
      <c r="W29" s="42">
        <f>SUM(K29:V29)</f>
        <v>2</v>
      </c>
      <c r="X29" s="382">
        <f>SUM(W29:W32)</f>
        <v>8</v>
      </c>
      <c r="Y29" s="355">
        <v>8</v>
      </c>
    </row>
    <row r="30" spans="2:29" ht="18" thickBot="1">
      <c r="B30" s="327"/>
      <c r="C30" s="328"/>
      <c r="D30" s="332"/>
      <c r="E30" s="43" t="s">
        <v>347</v>
      </c>
      <c r="F30" s="347" t="s">
        <v>350</v>
      </c>
      <c r="G30" s="352"/>
      <c r="H30" s="44">
        <v>3</v>
      </c>
      <c r="I30" s="45" t="s">
        <v>349</v>
      </c>
      <c r="J30" s="46">
        <f t="shared" si="3"/>
        <v>2</v>
      </c>
      <c r="K30" s="347"/>
      <c r="L30" s="348"/>
      <c r="M30" s="349">
        <v>2</v>
      </c>
      <c r="N30" s="350"/>
      <c r="O30" s="351"/>
      <c r="P30" s="348"/>
      <c r="Q30" s="349"/>
      <c r="R30" s="350"/>
      <c r="S30" s="351"/>
      <c r="T30" s="348"/>
      <c r="U30" s="349"/>
      <c r="V30" s="352"/>
      <c r="W30" s="47">
        <f t="shared" ref="W30:W38" si="4">SUM(K30:V30)</f>
        <v>2</v>
      </c>
      <c r="X30" s="383"/>
      <c r="Y30" s="355"/>
    </row>
    <row r="31" spans="2:29" ht="18" thickBot="1">
      <c r="B31" s="327"/>
      <c r="C31" s="328"/>
      <c r="D31" s="332"/>
      <c r="E31" s="43" t="s">
        <v>340</v>
      </c>
      <c r="F31" s="371" t="s">
        <v>527</v>
      </c>
      <c r="G31" s="372"/>
      <c r="H31" s="44">
        <v>3</v>
      </c>
      <c r="I31" s="45" t="s">
        <v>349</v>
      </c>
      <c r="J31" s="46">
        <v>2</v>
      </c>
      <c r="K31" s="347"/>
      <c r="L31" s="348"/>
      <c r="M31" s="349"/>
      <c r="N31" s="350"/>
      <c r="O31" s="351">
        <v>2</v>
      </c>
      <c r="P31" s="348"/>
      <c r="Q31" s="349"/>
      <c r="R31" s="350"/>
      <c r="S31" s="351"/>
      <c r="T31" s="348"/>
      <c r="U31" s="349"/>
      <c r="V31" s="352"/>
      <c r="W31" s="47">
        <f t="shared" si="4"/>
        <v>2</v>
      </c>
      <c r="X31" s="383"/>
      <c r="Y31" s="355"/>
    </row>
    <row r="32" spans="2:29" ht="18" thickBot="1">
      <c r="B32" s="327"/>
      <c r="C32" s="328"/>
      <c r="D32" s="332"/>
      <c r="E32" s="43" t="s">
        <v>346</v>
      </c>
      <c r="F32" s="371" t="s">
        <v>351</v>
      </c>
      <c r="G32" s="372"/>
      <c r="H32" s="49">
        <v>3</v>
      </c>
      <c r="I32" s="50" t="s">
        <v>349</v>
      </c>
      <c r="J32" s="46">
        <v>2</v>
      </c>
      <c r="K32" s="347"/>
      <c r="L32" s="348"/>
      <c r="M32" s="349"/>
      <c r="N32" s="350"/>
      <c r="O32" s="351"/>
      <c r="P32" s="348"/>
      <c r="Q32" s="349">
        <v>2</v>
      </c>
      <c r="R32" s="350"/>
      <c r="S32" s="351"/>
      <c r="T32" s="348"/>
      <c r="U32" s="360"/>
      <c r="V32" s="363"/>
      <c r="W32" s="57">
        <f t="shared" si="4"/>
        <v>2</v>
      </c>
      <c r="X32" s="384"/>
      <c r="Y32" s="355"/>
    </row>
    <row r="33" spans="2:28" ht="18" thickBot="1">
      <c r="B33" s="327"/>
      <c r="C33" s="328"/>
      <c r="D33" s="331" t="s">
        <v>28</v>
      </c>
      <c r="E33" s="38" t="s">
        <v>347</v>
      </c>
      <c r="F33" s="161" t="s">
        <v>47</v>
      </c>
      <c r="G33" s="385" t="s">
        <v>528</v>
      </c>
      <c r="H33" s="155">
        <v>3</v>
      </c>
      <c r="I33" s="58" t="s">
        <v>349</v>
      </c>
      <c r="J33" s="41">
        <v>3</v>
      </c>
      <c r="K33" s="334">
        <v>3</v>
      </c>
      <c r="L33" s="336"/>
      <c r="M33" s="337"/>
      <c r="N33" s="338"/>
      <c r="O33" s="339"/>
      <c r="P33" s="336"/>
      <c r="Q33" s="337"/>
      <c r="R33" s="338"/>
      <c r="S33" s="339"/>
      <c r="T33" s="336"/>
      <c r="U33" s="387"/>
      <c r="V33" s="388"/>
      <c r="W33" s="157">
        <f t="shared" si="4"/>
        <v>3</v>
      </c>
      <c r="X33" s="383">
        <f>SUM(W33:W34)</f>
        <v>6</v>
      </c>
      <c r="Y33" s="355">
        <v>6</v>
      </c>
    </row>
    <row r="34" spans="2:28" ht="18" thickBot="1">
      <c r="B34" s="327"/>
      <c r="C34" s="328"/>
      <c r="D34" s="332"/>
      <c r="E34" s="48" t="s">
        <v>347</v>
      </c>
      <c r="F34" s="162" t="s">
        <v>9</v>
      </c>
      <c r="G34" s="386"/>
      <c r="H34" s="44">
        <v>3</v>
      </c>
      <c r="I34" s="45" t="s">
        <v>349</v>
      </c>
      <c r="J34" s="46">
        <v>3</v>
      </c>
      <c r="K34" s="347"/>
      <c r="L34" s="348"/>
      <c r="M34" s="349">
        <v>3</v>
      </c>
      <c r="N34" s="350"/>
      <c r="O34" s="351"/>
      <c r="P34" s="348"/>
      <c r="Q34" s="349"/>
      <c r="R34" s="350"/>
      <c r="S34" s="351"/>
      <c r="T34" s="348"/>
      <c r="U34" s="389"/>
      <c r="V34" s="381"/>
      <c r="W34" s="57">
        <f t="shared" si="4"/>
        <v>3</v>
      </c>
      <c r="X34" s="384"/>
      <c r="Y34" s="355"/>
    </row>
    <row r="35" spans="2:28" ht="16.2" customHeight="1" thickBot="1">
      <c r="B35" s="327"/>
      <c r="C35" s="328"/>
      <c r="D35" s="404" t="s">
        <v>353</v>
      </c>
      <c r="E35" s="38" t="s">
        <v>524</v>
      </c>
      <c r="F35" s="391" t="s">
        <v>301</v>
      </c>
      <c r="G35" s="392"/>
      <c r="H35" s="39">
        <v>4</v>
      </c>
      <c r="I35" s="53" t="s">
        <v>342</v>
      </c>
      <c r="J35" s="41">
        <v>3</v>
      </c>
      <c r="K35" s="334" t="s">
        <v>529</v>
      </c>
      <c r="L35" s="336"/>
      <c r="M35" s="337"/>
      <c r="N35" s="338"/>
      <c r="O35" s="339">
        <v>3</v>
      </c>
      <c r="P35" s="336"/>
      <c r="Q35" s="337"/>
      <c r="R35" s="338"/>
      <c r="S35" s="339"/>
      <c r="T35" s="336"/>
      <c r="U35" s="387"/>
      <c r="V35" s="388"/>
      <c r="W35" s="157">
        <f t="shared" si="4"/>
        <v>3</v>
      </c>
      <c r="X35" s="382">
        <f>SUM(W35:W38)</f>
        <v>10</v>
      </c>
      <c r="Y35" s="355">
        <v>8</v>
      </c>
    </row>
    <row r="36" spans="2:28" ht="16.2" customHeight="1" thickBot="1">
      <c r="B36" s="327"/>
      <c r="C36" s="328"/>
      <c r="D36" s="405"/>
      <c r="E36" s="43" t="s">
        <v>340</v>
      </c>
      <c r="F36" s="371" t="s">
        <v>309</v>
      </c>
      <c r="G36" s="390"/>
      <c r="H36" s="155">
        <v>4</v>
      </c>
      <c r="I36" s="159" t="s">
        <v>342</v>
      </c>
      <c r="J36" s="156">
        <v>3</v>
      </c>
      <c r="K36" s="347"/>
      <c r="L36" s="348"/>
      <c r="M36" s="349"/>
      <c r="N36" s="350"/>
      <c r="O36" s="351"/>
      <c r="P36" s="348"/>
      <c r="Q36" s="349">
        <v>3</v>
      </c>
      <c r="R36" s="350"/>
      <c r="S36" s="351"/>
      <c r="T36" s="348"/>
      <c r="U36" s="349"/>
      <c r="V36" s="352"/>
      <c r="W36" s="47">
        <f t="shared" si="4"/>
        <v>3</v>
      </c>
      <c r="X36" s="383"/>
      <c r="Y36" s="355"/>
    </row>
    <row r="37" spans="2:28" ht="16.5" customHeight="1" thickBot="1">
      <c r="B37" s="327"/>
      <c r="C37" s="328"/>
      <c r="D37" s="405"/>
      <c r="E37" s="43" t="s">
        <v>340</v>
      </c>
      <c r="F37" s="163" t="s">
        <v>530</v>
      </c>
      <c r="G37" s="393" t="s">
        <v>528</v>
      </c>
      <c r="H37" s="44">
        <v>3</v>
      </c>
      <c r="I37" s="45" t="s">
        <v>349</v>
      </c>
      <c r="J37" s="46">
        <v>2</v>
      </c>
      <c r="K37" s="347">
        <v>2</v>
      </c>
      <c r="L37" s="348"/>
      <c r="M37" s="349"/>
      <c r="N37" s="350"/>
      <c r="O37" s="351" t="s">
        <v>529</v>
      </c>
      <c r="P37" s="348"/>
      <c r="Q37" s="349"/>
      <c r="R37" s="350"/>
      <c r="S37" s="351"/>
      <c r="T37" s="348"/>
      <c r="U37" s="349"/>
      <c r="V37" s="352"/>
      <c r="W37" s="47">
        <f t="shared" si="4"/>
        <v>2</v>
      </c>
      <c r="X37" s="383"/>
      <c r="Y37" s="355"/>
    </row>
    <row r="38" spans="2:28" ht="18" thickBot="1">
      <c r="B38" s="329"/>
      <c r="C38" s="330"/>
      <c r="D38" s="405"/>
      <c r="E38" s="48" t="s">
        <v>347</v>
      </c>
      <c r="F38" s="181" t="s">
        <v>50</v>
      </c>
      <c r="G38" s="386"/>
      <c r="H38" s="49">
        <v>3</v>
      </c>
      <c r="I38" s="50" t="s">
        <v>349</v>
      </c>
      <c r="J38" s="51">
        <v>2</v>
      </c>
      <c r="K38" s="358" t="s">
        <v>529</v>
      </c>
      <c r="L38" s="359"/>
      <c r="M38" s="360">
        <v>2</v>
      </c>
      <c r="N38" s="361"/>
      <c r="O38" s="351"/>
      <c r="P38" s="348"/>
      <c r="Q38" s="349" t="s">
        <v>529</v>
      </c>
      <c r="R38" s="350"/>
      <c r="S38" s="351"/>
      <c r="T38" s="348"/>
      <c r="U38" s="349"/>
      <c r="V38" s="352"/>
      <c r="W38" s="47">
        <f t="shared" si="4"/>
        <v>2</v>
      </c>
      <c r="X38" s="384"/>
      <c r="Y38" s="355"/>
    </row>
    <row r="39" spans="2:28" ht="24.75" customHeight="1" thickBot="1">
      <c r="B39" s="394" t="s">
        <v>361</v>
      </c>
      <c r="C39" s="395"/>
      <c r="D39" s="395"/>
      <c r="E39" s="395"/>
      <c r="F39" s="395"/>
      <c r="G39" s="396"/>
      <c r="H39" s="147">
        <f>SUM(H9:H38)</f>
        <v>110</v>
      </c>
      <c r="I39" s="18"/>
      <c r="J39" s="146">
        <f>SUM(J9:J38)</f>
        <v>84</v>
      </c>
      <c r="K39" s="397">
        <f>SUM(K9:L38)</f>
        <v>22</v>
      </c>
      <c r="L39" s="398"/>
      <c r="M39" s="398">
        <f>SUM(M9:N38)</f>
        <v>22</v>
      </c>
      <c r="N39" s="399"/>
      <c r="O39" s="400">
        <f>SUM(O9:P38)</f>
        <v>17</v>
      </c>
      <c r="P39" s="398"/>
      <c r="Q39" s="398">
        <f>SUM(Q9:R38)</f>
        <v>17</v>
      </c>
      <c r="R39" s="401"/>
      <c r="S39" s="402">
        <f>SUM(S9:T38)</f>
        <v>6</v>
      </c>
      <c r="T39" s="398"/>
      <c r="U39" s="398">
        <f>SUM(U9:V38)</f>
        <v>0</v>
      </c>
      <c r="V39" s="403"/>
      <c r="W39" s="394">
        <f>SUM(K39:V39)</f>
        <v>84</v>
      </c>
      <c r="X39" s="402"/>
      <c r="Y39" s="146">
        <f>SUM(Y9:Y38)</f>
        <v>64</v>
      </c>
      <c r="AA39" s="406" t="b">
        <f>W39&gt;=Y39</f>
        <v>1</v>
      </c>
      <c r="AB39" s="407"/>
    </row>
    <row r="40" spans="2:28" ht="17.25" customHeight="1">
      <c r="B40" s="408" t="s">
        <v>354</v>
      </c>
      <c r="C40" s="409"/>
      <c r="D40" s="412" t="s">
        <v>355</v>
      </c>
      <c r="E40" s="413"/>
      <c r="F40" s="416" t="s">
        <v>531</v>
      </c>
      <c r="G40" s="417"/>
      <c r="H40" s="166"/>
      <c r="I40" s="178"/>
      <c r="J40" s="179">
        <v>2</v>
      </c>
      <c r="K40" s="418"/>
      <c r="L40" s="419"/>
      <c r="M40" s="420">
        <v>2</v>
      </c>
      <c r="N40" s="421"/>
      <c r="O40" s="418"/>
      <c r="P40" s="419"/>
      <c r="Q40" s="420"/>
      <c r="R40" s="421"/>
      <c r="S40" s="418"/>
      <c r="T40" s="419"/>
      <c r="U40" s="420" t="s">
        <v>529</v>
      </c>
      <c r="V40" s="422"/>
      <c r="W40" s="423">
        <f>SUM(K40:V40)</f>
        <v>2</v>
      </c>
      <c r="X40" s="424"/>
      <c r="Y40" s="425">
        <v>80</v>
      </c>
    </row>
    <row r="41" spans="2:28" ht="17.25" customHeight="1" thickBot="1">
      <c r="B41" s="410"/>
      <c r="C41" s="411"/>
      <c r="D41" s="414"/>
      <c r="E41" s="415"/>
      <c r="F41" s="428" t="s">
        <v>532</v>
      </c>
      <c r="G41" s="429"/>
      <c r="H41" s="169"/>
      <c r="I41" s="183"/>
      <c r="J41" s="171">
        <v>2</v>
      </c>
      <c r="K41" s="430"/>
      <c r="L41" s="431"/>
      <c r="M41" s="432"/>
      <c r="N41" s="433"/>
      <c r="O41" s="430"/>
      <c r="P41" s="431"/>
      <c r="Q41" s="432"/>
      <c r="R41" s="433"/>
      <c r="S41" s="430">
        <v>2</v>
      </c>
      <c r="T41" s="431"/>
      <c r="U41" s="432"/>
      <c r="V41" s="434"/>
      <c r="W41" s="435">
        <f>SUM(K41:V41)</f>
        <v>2</v>
      </c>
      <c r="X41" s="436"/>
      <c r="Y41" s="426"/>
    </row>
    <row r="42" spans="2:28" ht="17.25" customHeight="1">
      <c r="B42" s="410"/>
      <c r="C42" s="411"/>
      <c r="D42" s="62" t="s">
        <v>66</v>
      </c>
      <c r="E42" s="65" t="s">
        <v>356</v>
      </c>
      <c r="F42" s="437" t="s">
        <v>533</v>
      </c>
      <c r="G42" s="438"/>
      <c r="H42" s="33"/>
      <c r="I42" s="32"/>
      <c r="J42" s="174">
        <v>5</v>
      </c>
      <c r="K42" s="439">
        <v>5</v>
      </c>
      <c r="L42" s="440"/>
      <c r="M42" s="441"/>
      <c r="N42" s="442"/>
      <c r="O42" s="443"/>
      <c r="P42" s="440"/>
      <c r="Q42" s="441"/>
      <c r="R42" s="444"/>
      <c r="S42" s="442"/>
      <c r="T42" s="440"/>
      <c r="U42" s="441"/>
      <c r="V42" s="445"/>
      <c r="W42" s="446">
        <f t="shared" ref="W42:W54" si="5">SUM(K42:V42)</f>
        <v>5</v>
      </c>
      <c r="X42" s="447"/>
      <c r="Y42" s="427"/>
    </row>
    <row r="43" spans="2:28" ht="17.25" customHeight="1">
      <c r="B43" s="410"/>
      <c r="C43" s="411"/>
      <c r="D43" s="59" t="s">
        <v>66</v>
      </c>
      <c r="E43" s="60" t="s">
        <v>356</v>
      </c>
      <c r="F43" s="451" t="s">
        <v>534</v>
      </c>
      <c r="G43" s="452"/>
      <c r="H43" s="33"/>
      <c r="I43" s="32"/>
      <c r="J43" s="174">
        <v>2</v>
      </c>
      <c r="K43" s="371">
        <v>2</v>
      </c>
      <c r="L43" s="453"/>
      <c r="M43" s="448"/>
      <c r="N43" s="454"/>
      <c r="O43" s="455"/>
      <c r="P43" s="453"/>
      <c r="Q43" s="448"/>
      <c r="R43" s="454"/>
      <c r="S43" s="455"/>
      <c r="T43" s="453"/>
      <c r="U43" s="448"/>
      <c r="V43" s="372"/>
      <c r="W43" s="449">
        <f t="shared" si="5"/>
        <v>2</v>
      </c>
      <c r="X43" s="450"/>
      <c r="Y43" s="427"/>
    </row>
    <row r="44" spans="2:28" ht="17.25" customHeight="1">
      <c r="B44" s="410"/>
      <c r="C44" s="411"/>
      <c r="D44" s="59" t="s">
        <v>66</v>
      </c>
      <c r="E44" s="60" t="s">
        <v>356</v>
      </c>
      <c r="F44" s="451" t="s">
        <v>535</v>
      </c>
      <c r="G44" s="452"/>
      <c r="H44" s="33"/>
      <c r="I44" s="32"/>
      <c r="J44" s="174">
        <v>5</v>
      </c>
      <c r="K44" s="371"/>
      <c r="L44" s="453"/>
      <c r="M44" s="448">
        <v>5</v>
      </c>
      <c r="N44" s="454"/>
      <c r="O44" s="455"/>
      <c r="P44" s="453"/>
      <c r="Q44" s="448"/>
      <c r="R44" s="454"/>
      <c r="S44" s="455"/>
      <c r="T44" s="453"/>
      <c r="U44" s="448"/>
      <c r="V44" s="372"/>
      <c r="W44" s="449">
        <f t="shared" si="5"/>
        <v>5</v>
      </c>
      <c r="X44" s="450"/>
      <c r="Y44" s="427"/>
    </row>
    <row r="45" spans="2:28" ht="17.25" customHeight="1">
      <c r="B45" s="410"/>
      <c r="C45" s="411"/>
      <c r="D45" s="59" t="s">
        <v>66</v>
      </c>
      <c r="E45" s="60" t="s">
        <v>356</v>
      </c>
      <c r="F45" s="458" t="s">
        <v>592</v>
      </c>
      <c r="G45" s="459"/>
      <c r="H45" s="33"/>
      <c r="I45" s="32"/>
      <c r="J45" s="174">
        <v>4</v>
      </c>
      <c r="K45" s="460"/>
      <c r="L45" s="461"/>
      <c r="M45" s="456"/>
      <c r="N45" s="462"/>
      <c r="O45" s="455"/>
      <c r="P45" s="453"/>
      <c r="Q45" s="448">
        <v>4</v>
      </c>
      <c r="R45" s="454"/>
      <c r="S45" s="463"/>
      <c r="T45" s="461"/>
      <c r="U45" s="456"/>
      <c r="V45" s="457"/>
      <c r="W45" s="449">
        <f t="shared" si="5"/>
        <v>4</v>
      </c>
      <c r="X45" s="450"/>
      <c r="Y45" s="427"/>
    </row>
    <row r="46" spans="2:28" ht="17.25" customHeight="1">
      <c r="B46" s="410"/>
      <c r="C46" s="411"/>
      <c r="D46" s="59" t="s">
        <v>66</v>
      </c>
      <c r="E46" s="60" t="s">
        <v>356</v>
      </c>
      <c r="F46" s="458" t="s">
        <v>593</v>
      </c>
      <c r="G46" s="459"/>
      <c r="H46" s="33"/>
      <c r="I46" s="32"/>
      <c r="J46" s="174">
        <v>5</v>
      </c>
      <c r="K46" s="460"/>
      <c r="L46" s="461"/>
      <c r="M46" s="456"/>
      <c r="N46" s="464"/>
      <c r="O46" s="455">
        <v>5</v>
      </c>
      <c r="P46" s="453"/>
      <c r="Q46" s="448"/>
      <c r="R46" s="454"/>
      <c r="S46" s="469"/>
      <c r="T46" s="453"/>
      <c r="U46" s="456"/>
      <c r="V46" s="457"/>
      <c r="W46" s="449">
        <f t="shared" si="5"/>
        <v>5</v>
      </c>
      <c r="X46" s="450"/>
      <c r="Y46" s="427"/>
    </row>
    <row r="47" spans="2:28" ht="17.25" customHeight="1">
      <c r="B47" s="410"/>
      <c r="C47" s="411"/>
      <c r="D47" s="59" t="s">
        <v>66</v>
      </c>
      <c r="E47" s="60" t="s">
        <v>357</v>
      </c>
      <c r="F47" s="458" t="s">
        <v>594</v>
      </c>
      <c r="G47" s="459"/>
      <c r="H47" s="33"/>
      <c r="I47" s="32"/>
      <c r="J47" s="174">
        <v>15</v>
      </c>
      <c r="K47" s="460"/>
      <c r="L47" s="461"/>
      <c r="M47" s="456"/>
      <c r="N47" s="462"/>
      <c r="O47" s="455">
        <v>7</v>
      </c>
      <c r="P47" s="453"/>
      <c r="Q47" s="448">
        <v>8</v>
      </c>
      <c r="R47" s="454"/>
      <c r="S47" s="463"/>
      <c r="T47" s="461"/>
      <c r="U47" s="456"/>
      <c r="V47" s="457"/>
      <c r="W47" s="449">
        <f t="shared" ref="W47:W48" si="6">SUM(K47:V47)</f>
        <v>15</v>
      </c>
      <c r="X47" s="450"/>
      <c r="Y47" s="427"/>
    </row>
    <row r="48" spans="2:28" ht="17.25" customHeight="1">
      <c r="B48" s="410"/>
      <c r="C48" s="411"/>
      <c r="D48" s="59" t="s">
        <v>66</v>
      </c>
      <c r="E48" s="60" t="s">
        <v>357</v>
      </c>
      <c r="F48" s="458" t="s">
        <v>595</v>
      </c>
      <c r="G48" s="459"/>
      <c r="H48" s="33"/>
      <c r="I48" s="32"/>
      <c r="J48" s="174">
        <v>15</v>
      </c>
      <c r="K48" s="460"/>
      <c r="L48" s="461"/>
      <c r="M48" s="456"/>
      <c r="N48" s="464"/>
      <c r="O48" s="455"/>
      <c r="P48" s="453"/>
      <c r="Q48" s="448"/>
      <c r="R48" s="454"/>
      <c r="S48" s="469">
        <v>15</v>
      </c>
      <c r="T48" s="453"/>
      <c r="U48" s="456"/>
      <c r="V48" s="457"/>
      <c r="W48" s="449">
        <f t="shared" si="6"/>
        <v>15</v>
      </c>
      <c r="X48" s="450"/>
      <c r="Y48" s="427"/>
    </row>
    <row r="49" spans="2:29" ht="17.25" customHeight="1">
      <c r="B49" s="410"/>
      <c r="C49" s="411"/>
      <c r="D49" s="59" t="s">
        <v>66</v>
      </c>
      <c r="E49" s="60" t="s">
        <v>357</v>
      </c>
      <c r="F49" s="458" t="s">
        <v>596</v>
      </c>
      <c r="G49" s="459"/>
      <c r="H49" s="204"/>
      <c r="I49" s="140"/>
      <c r="J49" s="176">
        <v>10</v>
      </c>
      <c r="K49" s="460"/>
      <c r="L49" s="461"/>
      <c r="M49" s="456"/>
      <c r="N49" s="462"/>
      <c r="O49" s="455"/>
      <c r="P49" s="453"/>
      <c r="Q49" s="448"/>
      <c r="R49" s="454"/>
      <c r="S49" s="455">
        <v>6</v>
      </c>
      <c r="T49" s="453"/>
      <c r="U49" s="448">
        <v>6</v>
      </c>
      <c r="V49" s="372"/>
      <c r="W49" s="449">
        <f t="shared" si="5"/>
        <v>12</v>
      </c>
      <c r="X49" s="450"/>
      <c r="Y49" s="427"/>
    </row>
    <row r="50" spans="2:29" ht="17.25" customHeight="1">
      <c r="B50" s="410"/>
      <c r="C50" s="411"/>
      <c r="D50" s="59" t="s">
        <v>66</v>
      </c>
      <c r="E50" s="60" t="s">
        <v>356</v>
      </c>
      <c r="F50" s="458" t="s">
        <v>597</v>
      </c>
      <c r="G50" s="459"/>
      <c r="H50" s="33"/>
      <c r="I50" s="140"/>
      <c r="J50" s="176">
        <v>3</v>
      </c>
      <c r="K50" s="460"/>
      <c r="L50" s="461"/>
      <c r="M50" s="456"/>
      <c r="N50" s="464"/>
      <c r="O50" s="455"/>
      <c r="P50" s="453"/>
      <c r="Q50" s="448"/>
      <c r="R50" s="454"/>
      <c r="S50" s="464"/>
      <c r="T50" s="461"/>
      <c r="U50" s="448">
        <v>3</v>
      </c>
      <c r="V50" s="372"/>
      <c r="W50" s="449">
        <f t="shared" si="5"/>
        <v>3</v>
      </c>
      <c r="X50" s="450"/>
      <c r="Y50" s="427"/>
    </row>
    <row r="51" spans="2:29" ht="17.25" customHeight="1">
      <c r="B51" s="410"/>
      <c r="C51" s="411"/>
      <c r="D51" s="184" t="s">
        <v>66</v>
      </c>
      <c r="E51" s="185" t="s">
        <v>356</v>
      </c>
      <c r="F51" s="467" t="s">
        <v>541</v>
      </c>
      <c r="G51" s="468"/>
      <c r="H51" s="172"/>
      <c r="I51" s="173"/>
      <c r="J51" s="174">
        <v>2</v>
      </c>
      <c r="K51" s="371"/>
      <c r="L51" s="453"/>
      <c r="M51" s="448"/>
      <c r="N51" s="454"/>
      <c r="O51" s="588"/>
      <c r="P51" s="589"/>
      <c r="Q51" s="469"/>
      <c r="R51" s="453"/>
      <c r="S51" s="455"/>
      <c r="T51" s="453"/>
      <c r="U51" s="448">
        <v>2</v>
      </c>
      <c r="V51" s="372"/>
      <c r="W51" s="449">
        <f t="shared" si="5"/>
        <v>2</v>
      </c>
      <c r="X51" s="450"/>
      <c r="Y51" s="427"/>
    </row>
    <row r="52" spans="2:29" ht="17.25" customHeight="1">
      <c r="B52" s="410"/>
      <c r="C52" s="411"/>
      <c r="D52" s="184" t="s">
        <v>66</v>
      </c>
      <c r="E52" s="185" t="s">
        <v>356</v>
      </c>
      <c r="F52" s="465" t="s">
        <v>542</v>
      </c>
      <c r="G52" s="466"/>
      <c r="H52" s="172"/>
      <c r="I52" s="173"/>
      <c r="J52" s="174">
        <v>3</v>
      </c>
      <c r="K52" s="371"/>
      <c r="L52" s="453"/>
      <c r="M52" s="448"/>
      <c r="N52" s="454"/>
      <c r="O52" s="455"/>
      <c r="P52" s="453"/>
      <c r="Q52" s="469"/>
      <c r="R52" s="454"/>
      <c r="S52" s="464"/>
      <c r="T52" s="461"/>
      <c r="U52" s="448">
        <v>3</v>
      </c>
      <c r="V52" s="372"/>
      <c r="W52" s="449">
        <f t="shared" si="5"/>
        <v>3</v>
      </c>
      <c r="X52" s="450"/>
      <c r="Y52" s="427"/>
    </row>
    <row r="53" spans="2:29" ht="17.25" customHeight="1">
      <c r="B53" s="410"/>
      <c r="C53" s="411"/>
      <c r="D53" s="184" t="s">
        <v>66</v>
      </c>
      <c r="E53" s="185" t="s">
        <v>356</v>
      </c>
      <c r="F53" s="465" t="s">
        <v>543</v>
      </c>
      <c r="G53" s="466"/>
      <c r="H53" s="172"/>
      <c r="I53" s="173"/>
      <c r="J53" s="174">
        <v>3</v>
      </c>
      <c r="K53" s="371"/>
      <c r="L53" s="453"/>
      <c r="M53" s="448"/>
      <c r="N53" s="454"/>
      <c r="O53" s="455"/>
      <c r="P53" s="453"/>
      <c r="Q53" s="448"/>
      <c r="R53" s="454"/>
      <c r="S53" s="463"/>
      <c r="T53" s="461"/>
      <c r="U53" s="448">
        <v>3</v>
      </c>
      <c r="V53" s="372"/>
      <c r="W53" s="449">
        <f t="shared" si="5"/>
        <v>3</v>
      </c>
      <c r="X53" s="450"/>
      <c r="Y53" s="427"/>
    </row>
    <row r="54" spans="2:29" ht="17.25" customHeight="1" thickBot="1">
      <c r="B54" s="410"/>
      <c r="C54" s="411"/>
      <c r="D54" s="184" t="s">
        <v>66</v>
      </c>
      <c r="E54" s="60" t="s">
        <v>357</v>
      </c>
      <c r="F54" s="458" t="s">
        <v>539</v>
      </c>
      <c r="G54" s="459"/>
      <c r="H54" s="33"/>
      <c r="I54" s="140"/>
      <c r="J54" s="176">
        <v>12</v>
      </c>
      <c r="K54" s="460"/>
      <c r="L54" s="461"/>
      <c r="M54" s="456"/>
      <c r="N54" s="464"/>
      <c r="O54" s="554"/>
      <c r="P54" s="431"/>
      <c r="Q54" s="432"/>
      <c r="R54" s="433"/>
      <c r="S54" s="464"/>
      <c r="T54" s="461"/>
      <c r="U54" s="448">
        <v>12</v>
      </c>
      <c r="V54" s="372"/>
      <c r="W54" s="449">
        <f t="shared" si="5"/>
        <v>12</v>
      </c>
      <c r="X54" s="450"/>
      <c r="Y54" s="427"/>
    </row>
    <row r="55" spans="2:29" ht="24.75" customHeight="1">
      <c r="B55" s="489" t="s">
        <v>362</v>
      </c>
      <c r="C55" s="485"/>
      <c r="D55" s="485"/>
      <c r="E55" s="485"/>
      <c r="F55" s="485"/>
      <c r="G55" s="487"/>
      <c r="H55" s="493">
        <f>SUM(H40:H54)</f>
        <v>0</v>
      </c>
      <c r="I55" s="495">
        <f>SUM(I40:I54)</f>
        <v>0</v>
      </c>
      <c r="J55" s="497">
        <f>SUM(J40:J54)</f>
        <v>88</v>
      </c>
      <c r="K55" s="489">
        <f>SUM(K40:L54)</f>
        <v>7</v>
      </c>
      <c r="L55" s="478"/>
      <c r="M55" s="481">
        <f>SUM(M40:N54)</f>
        <v>7</v>
      </c>
      <c r="N55" s="485"/>
      <c r="O55" s="590">
        <f>SUM(O40:P54)</f>
        <v>12</v>
      </c>
      <c r="P55" s="591"/>
      <c r="Q55" s="592">
        <f>SUM(Q40:R54)</f>
        <v>12</v>
      </c>
      <c r="R55" s="593"/>
      <c r="S55" s="485">
        <f>SUM(S40:T54)</f>
        <v>23</v>
      </c>
      <c r="T55" s="478"/>
      <c r="U55" s="481">
        <f>SUM(U40:V54)</f>
        <v>29</v>
      </c>
      <c r="V55" s="487"/>
      <c r="W55" s="489">
        <f>SUM(K55:V56)</f>
        <v>90</v>
      </c>
      <c r="X55" s="487"/>
      <c r="Y55" s="491">
        <f>SUM(Y40:Y54)</f>
        <v>80</v>
      </c>
      <c r="AC55" s="148"/>
    </row>
    <row r="56" spans="2:29" ht="18" thickBot="1">
      <c r="B56" s="490"/>
      <c r="C56" s="486"/>
      <c r="D56" s="486"/>
      <c r="E56" s="486"/>
      <c r="F56" s="486"/>
      <c r="G56" s="488"/>
      <c r="H56" s="494"/>
      <c r="I56" s="496"/>
      <c r="J56" s="498"/>
      <c r="K56" s="490"/>
      <c r="L56" s="480"/>
      <c r="M56" s="483"/>
      <c r="N56" s="486"/>
      <c r="O56" s="479"/>
      <c r="P56" s="480"/>
      <c r="Q56" s="483"/>
      <c r="R56" s="484"/>
      <c r="S56" s="486"/>
      <c r="T56" s="480"/>
      <c r="U56" s="483"/>
      <c r="V56" s="488"/>
      <c r="W56" s="490"/>
      <c r="X56" s="488"/>
      <c r="Y56" s="492"/>
      <c r="AC56" s="66"/>
    </row>
    <row r="57" spans="2:29" ht="17.25" customHeight="1" thickBot="1">
      <c r="B57" s="394"/>
      <c r="C57" s="395"/>
      <c r="D57" s="395"/>
      <c r="E57" s="395"/>
      <c r="F57" s="395"/>
      <c r="G57" s="396"/>
      <c r="H57" s="150">
        <f>SUM(H39,H55)</f>
        <v>110</v>
      </c>
      <c r="I57" s="145">
        <f>SUM(I39,I55)</f>
        <v>0</v>
      </c>
      <c r="J57" s="146">
        <f>SUM(J39,J55)</f>
        <v>172</v>
      </c>
      <c r="K57" s="394">
        <f>SUM(K39,K55)</f>
        <v>29</v>
      </c>
      <c r="L57" s="402"/>
      <c r="M57" s="399">
        <f>SUM(M39,M55)</f>
        <v>29</v>
      </c>
      <c r="N57" s="512"/>
      <c r="O57" s="513">
        <f>SUM(O39,O55)</f>
        <v>29</v>
      </c>
      <c r="P57" s="402"/>
      <c r="Q57" s="399">
        <f>SUM(Q39,Q55)</f>
        <v>29</v>
      </c>
      <c r="R57" s="512"/>
      <c r="S57" s="513">
        <f>SUM(S39,S55)</f>
        <v>29</v>
      </c>
      <c r="T57" s="402"/>
      <c r="U57" s="399">
        <f>SUM(U39,U55)</f>
        <v>29</v>
      </c>
      <c r="V57" s="396"/>
      <c r="W57" s="394">
        <f>SUM(K57:V57)</f>
        <v>174</v>
      </c>
      <c r="X57" s="396"/>
      <c r="Y57" s="11">
        <f>Y55+Y39</f>
        <v>144</v>
      </c>
      <c r="AA57" s="370" t="s">
        <v>155</v>
      </c>
      <c r="AB57" s="370"/>
    </row>
    <row r="58" spans="2:29" ht="18.75" customHeight="1" thickBot="1">
      <c r="B58" s="500" t="s">
        <v>363</v>
      </c>
      <c r="C58" s="501"/>
      <c r="D58" s="501"/>
      <c r="E58" s="502"/>
      <c r="F58" s="509" t="s">
        <v>359</v>
      </c>
      <c r="G58" s="510"/>
      <c r="H58" s="510"/>
      <c r="I58" s="510"/>
      <c r="J58" s="511"/>
      <c r="K58" s="334">
        <v>16</v>
      </c>
      <c r="L58" s="336"/>
      <c r="M58" s="337">
        <v>16</v>
      </c>
      <c r="N58" s="338"/>
      <c r="O58" s="339">
        <v>16</v>
      </c>
      <c r="P58" s="336"/>
      <c r="Q58" s="337">
        <v>16</v>
      </c>
      <c r="R58" s="338"/>
      <c r="S58" s="339">
        <v>16</v>
      </c>
      <c r="T58" s="336"/>
      <c r="U58" s="337">
        <v>16</v>
      </c>
      <c r="V58" s="335"/>
      <c r="W58" s="500">
        <f>SUM(K58:V60)</f>
        <v>288</v>
      </c>
      <c r="X58" s="502"/>
      <c r="Y58" s="491">
        <f>Y61*16</f>
        <v>288</v>
      </c>
      <c r="AA58" s="499"/>
      <c r="AB58" s="499"/>
    </row>
    <row r="59" spans="2:29" ht="17.25" customHeight="1" thickBot="1">
      <c r="B59" s="503"/>
      <c r="C59" s="504"/>
      <c r="D59" s="504"/>
      <c r="E59" s="505"/>
      <c r="F59" s="514" t="s">
        <v>63</v>
      </c>
      <c r="G59" s="515"/>
      <c r="H59" s="515"/>
      <c r="I59" s="515"/>
      <c r="J59" s="516"/>
      <c r="K59" s="347">
        <v>16</v>
      </c>
      <c r="L59" s="348"/>
      <c r="M59" s="349">
        <v>16</v>
      </c>
      <c r="N59" s="350"/>
      <c r="O59" s="351">
        <v>16</v>
      </c>
      <c r="P59" s="348"/>
      <c r="Q59" s="349">
        <v>16</v>
      </c>
      <c r="R59" s="350"/>
      <c r="S59" s="351">
        <v>16</v>
      </c>
      <c r="T59" s="348"/>
      <c r="U59" s="349">
        <v>16</v>
      </c>
      <c r="V59" s="352"/>
      <c r="W59" s="503"/>
      <c r="X59" s="505"/>
      <c r="Y59" s="427"/>
      <c r="AA59" s="406" t="b">
        <f>W57&gt;=Y57</f>
        <v>1</v>
      </c>
      <c r="AB59" s="407"/>
    </row>
    <row r="60" spans="2:29" ht="17.25" customHeight="1">
      <c r="B60" s="503"/>
      <c r="C60" s="504"/>
      <c r="D60" s="504"/>
      <c r="E60" s="505"/>
      <c r="F60" s="514" t="s">
        <v>11</v>
      </c>
      <c r="G60" s="515"/>
      <c r="H60" s="515"/>
      <c r="I60" s="515"/>
      <c r="J60" s="516"/>
      <c r="K60" s="347">
        <v>16</v>
      </c>
      <c r="L60" s="348"/>
      <c r="M60" s="349">
        <v>16</v>
      </c>
      <c r="N60" s="350"/>
      <c r="O60" s="351">
        <v>16</v>
      </c>
      <c r="P60" s="348"/>
      <c r="Q60" s="349">
        <v>16</v>
      </c>
      <c r="R60" s="350"/>
      <c r="S60" s="351">
        <v>16</v>
      </c>
      <c r="T60" s="348"/>
      <c r="U60" s="349">
        <v>16</v>
      </c>
      <c r="V60" s="352"/>
      <c r="W60" s="517"/>
      <c r="X60" s="518"/>
      <c r="Y60" s="519"/>
    </row>
    <row r="61" spans="2:29" ht="17.25" customHeight="1" thickBot="1">
      <c r="B61" s="506"/>
      <c r="C61" s="507"/>
      <c r="D61" s="507"/>
      <c r="E61" s="508"/>
      <c r="F61" s="520" t="s">
        <v>150</v>
      </c>
      <c r="G61" s="521"/>
      <c r="H61" s="521"/>
      <c r="I61" s="521"/>
      <c r="J61" s="522"/>
      <c r="K61" s="523">
        <v>3</v>
      </c>
      <c r="L61" s="524"/>
      <c r="M61" s="525">
        <v>3</v>
      </c>
      <c r="N61" s="526"/>
      <c r="O61" s="527">
        <v>3</v>
      </c>
      <c r="P61" s="524"/>
      <c r="Q61" s="525">
        <v>3</v>
      </c>
      <c r="R61" s="526"/>
      <c r="S61" s="527">
        <v>3</v>
      </c>
      <c r="T61" s="524"/>
      <c r="U61" s="525">
        <v>3</v>
      </c>
      <c r="V61" s="542"/>
      <c r="W61" s="520">
        <f>SUM(K61:V61)</f>
        <v>18</v>
      </c>
      <c r="X61" s="522"/>
      <c r="Y61" s="68">
        <v>18</v>
      </c>
      <c r="AA61" s="370" t="s">
        <v>156</v>
      </c>
      <c r="AB61" s="370"/>
    </row>
    <row r="62" spans="2:29" ht="17.25" customHeight="1" thickBot="1">
      <c r="B62" s="394"/>
      <c r="C62" s="395"/>
      <c r="D62" s="395"/>
      <c r="E62" s="395"/>
      <c r="F62" s="395"/>
      <c r="G62" s="395"/>
      <c r="H62" s="395"/>
      <c r="I62" s="395"/>
      <c r="J62" s="396"/>
      <c r="K62" s="394">
        <v>32</v>
      </c>
      <c r="L62" s="402"/>
      <c r="M62" s="399">
        <v>32</v>
      </c>
      <c r="N62" s="512"/>
      <c r="O62" s="513">
        <v>32</v>
      </c>
      <c r="P62" s="402"/>
      <c r="Q62" s="399">
        <v>32</v>
      </c>
      <c r="R62" s="512"/>
      <c r="S62" s="513">
        <v>32</v>
      </c>
      <c r="T62" s="402"/>
      <c r="U62" s="399">
        <v>32</v>
      </c>
      <c r="V62" s="396"/>
      <c r="W62" s="394">
        <f>SUM(K62:V62)</f>
        <v>192</v>
      </c>
      <c r="X62" s="396"/>
      <c r="Y62" s="165">
        <f>W62</f>
        <v>192</v>
      </c>
      <c r="AA62" s="406" t="b">
        <f>W61&gt;=Y61</f>
        <v>1</v>
      </c>
      <c r="AB62" s="407"/>
    </row>
    <row r="63" spans="2:29" ht="17.25" customHeight="1" thickBot="1">
      <c r="B63" s="394"/>
      <c r="C63" s="395"/>
      <c r="D63" s="395"/>
      <c r="E63" s="395"/>
      <c r="F63" s="395"/>
      <c r="G63" s="395"/>
      <c r="H63" s="395"/>
      <c r="I63" s="395"/>
      <c r="J63" s="396"/>
      <c r="K63" s="394">
        <f>SUM(K62:N62)</f>
        <v>64</v>
      </c>
      <c r="L63" s="395"/>
      <c r="M63" s="395"/>
      <c r="N63" s="512"/>
      <c r="O63" s="513">
        <f>SUM(O62:R62)</f>
        <v>64</v>
      </c>
      <c r="P63" s="395"/>
      <c r="Q63" s="395"/>
      <c r="R63" s="512"/>
      <c r="S63" s="513">
        <f>SUM(S62:V62)</f>
        <v>64</v>
      </c>
      <c r="T63" s="395"/>
      <c r="U63" s="395"/>
      <c r="V63" s="396"/>
      <c r="W63" s="394">
        <f>SUM(K63:V63)</f>
        <v>192</v>
      </c>
      <c r="X63" s="396"/>
      <c r="Y63" s="11"/>
      <c r="AA63" s="370" t="s">
        <v>153</v>
      </c>
      <c r="AB63" s="370"/>
    </row>
    <row r="64" spans="2:29" ht="17.25" customHeight="1" thickBot="1">
      <c r="AA64" s="406" t="b">
        <f>W62&gt;=Y62</f>
        <v>1</v>
      </c>
      <c r="AB64" s="407"/>
    </row>
    <row r="65" ht="17.25" customHeight="1"/>
    <row r="66" ht="17.25" customHeight="1"/>
    <row r="67" ht="17.25" customHeight="1"/>
    <row r="69" ht="24.9" customHeight="1"/>
    <row r="70" ht="24.9" customHeight="1"/>
    <row r="71" ht="32.25" customHeight="1"/>
    <row r="72" ht="24.9" customHeight="1"/>
    <row r="74" ht="16.5" customHeight="1"/>
    <row r="75" ht="17.2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244.5" customHeight="1"/>
  </sheetData>
  <mergeCells count="478"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AA8:AD8"/>
    <mergeCell ref="B9:C38"/>
    <mergeCell ref="D9:D13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K11:L11"/>
    <mergeCell ref="M11:N11"/>
    <mergeCell ref="O11:P11"/>
    <mergeCell ref="Q11:R11"/>
    <mergeCell ref="S11:T11"/>
    <mergeCell ref="U11:V11"/>
    <mergeCell ref="X9:X13"/>
    <mergeCell ref="Y9:Y22"/>
    <mergeCell ref="F10:G10"/>
    <mergeCell ref="K10:L10"/>
    <mergeCell ref="M10:N10"/>
    <mergeCell ref="O10:P10"/>
    <mergeCell ref="Q10:R10"/>
    <mergeCell ref="S10:T10"/>
    <mergeCell ref="U10:V10"/>
    <mergeCell ref="F11:G11"/>
    <mergeCell ref="U12:V12"/>
    <mergeCell ref="F13:G13"/>
    <mergeCell ref="K13:L13"/>
    <mergeCell ref="M13:N13"/>
    <mergeCell ref="O13:P13"/>
    <mergeCell ref="Q13:R13"/>
    <mergeCell ref="S13:T13"/>
    <mergeCell ref="U13:V13"/>
    <mergeCell ref="F12:G12"/>
    <mergeCell ref="K12:L12"/>
    <mergeCell ref="M12:N12"/>
    <mergeCell ref="O12:P12"/>
    <mergeCell ref="Q12:R12"/>
    <mergeCell ref="S12:T12"/>
    <mergeCell ref="X14:X17"/>
    <mergeCell ref="AB14:AD14"/>
    <mergeCell ref="F15:G15"/>
    <mergeCell ref="K15:L15"/>
    <mergeCell ref="M15:N15"/>
    <mergeCell ref="O15:P15"/>
    <mergeCell ref="Q15:R15"/>
    <mergeCell ref="S15:T15"/>
    <mergeCell ref="D14:D17"/>
    <mergeCell ref="F14:G14"/>
    <mergeCell ref="K14:L14"/>
    <mergeCell ref="M14:N14"/>
    <mergeCell ref="O14:P14"/>
    <mergeCell ref="Q14:R14"/>
    <mergeCell ref="F17:G17"/>
    <mergeCell ref="K17:L17"/>
    <mergeCell ref="M17:N17"/>
    <mergeCell ref="O17:P17"/>
    <mergeCell ref="U15:V15"/>
    <mergeCell ref="F16:G16"/>
    <mergeCell ref="K16:L16"/>
    <mergeCell ref="M16:N16"/>
    <mergeCell ref="O16:P16"/>
    <mergeCell ref="Q16:R16"/>
    <mergeCell ref="S16:T16"/>
    <mergeCell ref="U16:V16"/>
    <mergeCell ref="S14:T14"/>
    <mergeCell ref="U14:V14"/>
    <mergeCell ref="Q17:R17"/>
    <mergeCell ref="S17:T17"/>
    <mergeCell ref="U17:V17"/>
    <mergeCell ref="D18:D22"/>
    <mergeCell ref="F18:G18"/>
    <mergeCell ref="K18:L18"/>
    <mergeCell ref="M18:N18"/>
    <mergeCell ref="O18:P18"/>
    <mergeCell ref="Q18:R18"/>
    <mergeCell ref="S18:T18"/>
    <mergeCell ref="U18:V18"/>
    <mergeCell ref="X18:X22"/>
    <mergeCell ref="AA18:AB18"/>
    <mergeCell ref="F19:G19"/>
    <mergeCell ref="K19:L19"/>
    <mergeCell ref="M19:N19"/>
    <mergeCell ref="O19:P19"/>
    <mergeCell ref="Q19:R19"/>
    <mergeCell ref="S19:T19"/>
    <mergeCell ref="U19:V19"/>
    <mergeCell ref="U20:V20"/>
    <mergeCell ref="F21:G21"/>
    <mergeCell ref="K21:L21"/>
    <mergeCell ref="M21:N21"/>
    <mergeCell ref="O21:P21"/>
    <mergeCell ref="Q21:R21"/>
    <mergeCell ref="S21:T21"/>
    <mergeCell ref="U21:V21"/>
    <mergeCell ref="F20:G20"/>
    <mergeCell ref="K20:L20"/>
    <mergeCell ref="M20:N20"/>
    <mergeCell ref="O20:P20"/>
    <mergeCell ref="Q20:R20"/>
    <mergeCell ref="S20:T20"/>
    <mergeCell ref="U22:V22"/>
    <mergeCell ref="D23:D26"/>
    <mergeCell ref="F23:G23"/>
    <mergeCell ref="K23:L23"/>
    <mergeCell ref="M23:N23"/>
    <mergeCell ref="O23:P23"/>
    <mergeCell ref="Q23:R23"/>
    <mergeCell ref="S23:T23"/>
    <mergeCell ref="U23:V23"/>
    <mergeCell ref="F26:G26"/>
    <mergeCell ref="F22:G22"/>
    <mergeCell ref="K22:L22"/>
    <mergeCell ref="M22:N22"/>
    <mergeCell ref="O22:P22"/>
    <mergeCell ref="Q22:R22"/>
    <mergeCell ref="S22:T22"/>
    <mergeCell ref="S26:T26"/>
    <mergeCell ref="U26:V26"/>
    <mergeCell ref="AA24:AB24"/>
    <mergeCell ref="F25:G25"/>
    <mergeCell ref="K25:L25"/>
    <mergeCell ref="M25:N25"/>
    <mergeCell ref="O25:P25"/>
    <mergeCell ref="Q25:R25"/>
    <mergeCell ref="S25:T25"/>
    <mergeCell ref="U25:V25"/>
    <mergeCell ref="X25:X26"/>
    <mergeCell ref="Y25:Y28"/>
    <mergeCell ref="X23:X24"/>
    <mergeCell ref="Y23:Y24"/>
    <mergeCell ref="F24:G24"/>
    <mergeCell ref="K24:L24"/>
    <mergeCell ref="M24:N24"/>
    <mergeCell ref="O24:P24"/>
    <mergeCell ref="Q24:R24"/>
    <mergeCell ref="S24:T24"/>
    <mergeCell ref="U24:V24"/>
    <mergeCell ref="D27:D28"/>
    <mergeCell ref="F27:G27"/>
    <mergeCell ref="K27:L27"/>
    <mergeCell ref="M27:N27"/>
    <mergeCell ref="O27:P27"/>
    <mergeCell ref="Q27:R27"/>
    <mergeCell ref="K26:L26"/>
    <mergeCell ref="M26:N26"/>
    <mergeCell ref="O26:P26"/>
    <mergeCell ref="Q26:R26"/>
    <mergeCell ref="S27:T27"/>
    <mergeCell ref="U27:V27"/>
    <mergeCell ref="X27:X28"/>
    <mergeCell ref="F28:G28"/>
    <mergeCell ref="K28:L28"/>
    <mergeCell ref="M28:N28"/>
    <mergeCell ref="O28:P28"/>
    <mergeCell ref="Q28:R28"/>
    <mergeCell ref="S28:T28"/>
    <mergeCell ref="U28:V28"/>
    <mergeCell ref="X29:X32"/>
    <mergeCell ref="Y29:Y32"/>
    <mergeCell ref="F30:G30"/>
    <mergeCell ref="K30:L30"/>
    <mergeCell ref="M30:N30"/>
    <mergeCell ref="O30:P30"/>
    <mergeCell ref="Q30:R30"/>
    <mergeCell ref="S30:T30"/>
    <mergeCell ref="D29:D32"/>
    <mergeCell ref="F29:G29"/>
    <mergeCell ref="K29:L29"/>
    <mergeCell ref="M29:N29"/>
    <mergeCell ref="O29:P29"/>
    <mergeCell ref="Q29:R29"/>
    <mergeCell ref="F32:G32"/>
    <mergeCell ref="K32:L32"/>
    <mergeCell ref="M32:N32"/>
    <mergeCell ref="O32:P32"/>
    <mergeCell ref="U30:V30"/>
    <mergeCell ref="F31:G31"/>
    <mergeCell ref="K31:L31"/>
    <mergeCell ref="M31:N31"/>
    <mergeCell ref="O31:P31"/>
    <mergeCell ref="Q31:R31"/>
    <mergeCell ref="S31:T31"/>
    <mergeCell ref="U31:V31"/>
    <mergeCell ref="S29:T29"/>
    <mergeCell ref="U29:V29"/>
    <mergeCell ref="Q32:R32"/>
    <mergeCell ref="S32:T32"/>
    <mergeCell ref="U32:V32"/>
    <mergeCell ref="D33:D34"/>
    <mergeCell ref="G33:G34"/>
    <mergeCell ref="K33:L33"/>
    <mergeCell ref="M33:N33"/>
    <mergeCell ref="O33:P33"/>
    <mergeCell ref="Q33:R33"/>
    <mergeCell ref="S33:T33"/>
    <mergeCell ref="U33:V33"/>
    <mergeCell ref="X33:X34"/>
    <mergeCell ref="Y33:Y34"/>
    <mergeCell ref="K34:L34"/>
    <mergeCell ref="M34:N34"/>
    <mergeCell ref="O34:P34"/>
    <mergeCell ref="Q34:R34"/>
    <mergeCell ref="S34:T34"/>
    <mergeCell ref="U34:V34"/>
    <mergeCell ref="S35:T35"/>
    <mergeCell ref="U35:V35"/>
    <mergeCell ref="X35:X38"/>
    <mergeCell ref="Y35:Y38"/>
    <mergeCell ref="F36:G36"/>
    <mergeCell ref="K36:L36"/>
    <mergeCell ref="M36:N36"/>
    <mergeCell ref="O36:P36"/>
    <mergeCell ref="Q36:R36"/>
    <mergeCell ref="S36:T36"/>
    <mergeCell ref="F35:G35"/>
    <mergeCell ref="K35:L35"/>
    <mergeCell ref="M35:N35"/>
    <mergeCell ref="O35:P35"/>
    <mergeCell ref="Q35:R35"/>
    <mergeCell ref="O38:P38"/>
    <mergeCell ref="Q38:R38"/>
    <mergeCell ref="U36:V36"/>
    <mergeCell ref="G37:G38"/>
    <mergeCell ref="K37:L37"/>
    <mergeCell ref="M37:N37"/>
    <mergeCell ref="O37:P37"/>
    <mergeCell ref="Q37:R37"/>
    <mergeCell ref="S37:T37"/>
    <mergeCell ref="U37:V37"/>
    <mergeCell ref="K38:L38"/>
    <mergeCell ref="M38:N38"/>
    <mergeCell ref="S38:T38"/>
    <mergeCell ref="U38:V38"/>
    <mergeCell ref="B39:G39"/>
    <mergeCell ref="K39:L39"/>
    <mergeCell ref="M39:N39"/>
    <mergeCell ref="O39:P39"/>
    <mergeCell ref="Q39:R39"/>
    <mergeCell ref="S39:T39"/>
    <mergeCell ref="U39:V39"/>
    <mergeCell ref="D35:D38"/>
    <mergeCell ref="W39:X39"/>
    <mergeCell ref="AA39:AB39"/>
    <mergeCell ref="B40:C54"/>
    <mergeCell ref="D40:E41"/>
    <mergeCell ref="F40:G40"/>
    <mergeCell ref="K40:L40"/>
    <mergeCell ref="M40:N40"/>
    <mergeCell ref="O40:P40"/>
    <mergeCell ref="Q40:R40"/>
    <mergeCell ref="S40:T40"/>
    <mergeCell ref="U40:V40"/>
    <mergeCell ref="W40:X40"/>
    <mergeCell ref="Y40:Y54"/>
    <mergeCell ref="F41:G41"/>
    <mergeCell ref="K41:L41"/>
    <mergeCell ref="M41:N41"/>
    <mergeCell ref="O41:P41"/>
    <mergeCell ref="Q41:R41"/>
    <mergeCell ref="S41:T41"/>
    <mergeCell ref="U41:V41"/>
    <mergeCell ref="W41:X41"/>
    <mergeCell ref="F42:G42"/>
    <mergeCell ref="K42:L42"/>
    <mergeCell ref="M42:N42"/>
    <mergeCell ref="O42:P42"/>
    <mergeCell ref="Q42:R42"/>
    <mergeCell ref="S42:T42"/>
    <mergeCell ref="U42:V42"/>
    <mergeCell ref="W42:X42"/>
    <mergeCell ref="U43:V43"/>
    <mergeCell ref="W43:X43"/>
    <mergeCell ref="F44:G44"/>
    <mergeCell ref="K44:L44"/>
    <mergeCell ref="M44:N44"/>
    <mergeCell ref="O44:P44"/>
    <mergeCell ref="Q44:R44"/>
    <mergeCell ref="S44:T44"/>
    <mergeCell ref="U44:V44"/>
    <mergeCell ref="W44:X44"/>
    <mergeCell ref="F43:G43"/>
    <mergeCell ref="K43:L43"/>
    <mergeCell ref="M43:N43"/>
    <mergeCell ref="O43:P43"/>
    <mergeCell ref="Q43:R43"/>
    <mergeCell ref="S43:T43"/>
    <mergeCell ref="U45:V45"/>
    <mergeCell ref="W45:X45"/>
    <mergeCell ref="F46:G46"/>
    <mergeCell ref="K46:L46"/>
    <mergeCell ref="M46:N46"/>
    <mergeCell ref="O46:P46"/>
    <mergeCell ref="Q46:R46"/>
    <mergeCell ref="S46:T46"/>
    <mergeCell ref="U46:V46"/>
    <mergeCell ref="W46:X46"/>
    <mergeCell ref="F45:G45"/>
    <mergeCell ref="K45:L45"/>
    <mergeCell ref="M45:N45"/>
    <mergeCell ref="O45:P45"/>
    <mergeCell ref="Q45:R45"/>
    <mergeCell ref="S45:T45"/>
    <mergeCell ref="F52:G52"/>
    <mergeCell ref="K52:L52"/>
    <mergeCell ref="M52:N52"/>
    <mergeCell ref="O52:P52"/>
    <mergeCell ref="Q52:R52"/>
    <mergeCell ref="S52:T52"/>
    <mergeCell ref="U52:V52"/>
    <mergeCell ref="W52:X52"/>
    <mergeCell ref="F51:G51"/>
    <mergeCell ref="K51:L51"/>
    <mergeCell ref="M51:N51"/>
    <mergeCell ref="Q51:R51"/>
    <mergeCell ref="S51:T51"/>
    <mergeCell ref="F54:G54"/>
    <mergeCell ref="K54:L54"/>
    <mergeCell ref="M54:N54"/>
    <mergeCell ref="O54:P54"/>
    <mergeCell ref="Q54:R54"/>
    <mergeCell ref="S54:T54"/>
    <mergeCell ref="U54:V54"/>
    <mergeCell ref="W54:X54"/>
    <mergeCell ref="F53:G53"/>
    <mergeCell ref="K53:L53"/>
    <mergeCell ref="M53:N53"/>
    <mergeCell ref="O53:P53"/>
    <mergeCell ref="Q53:R53"/>
    <mergeCell ref="S53:T53"/>
    <mergeCell ref="B57:G57"/>
    <mergeCell ref="K57:L57"/>
    <mergeCell ref="M57:N57"/>
    <mergeCell ref="O57:P57"/>
    <mergeCell ref="Q57:R57"/>
    <mergeCell ref="S57:T57"/>
    <mergeCell ref="O55:P56"/>
    <mergeCell ref="Q55:R56"/>
    <mergeCell ref="S55:T56"/>
    <mergeCell ref="B55:G56"/>
    <mergeCell ref="H55:H56"/>
    <mergeCell ref="I55:I56"/>
    <mergeCell ref="J55:J56"/>
    <mergeCell ref="K55:L56"/>
    <mergeCell ref="M55:N56"/>
    <mergeCell ref="F60:J60"/>
    <mergeCell ref="K60:L60"/>
    <mergeCell ref="M60:N60"/>
    <mergeCell ref="O60:P60"/>
    <mergeCell ref="Q60:R60"/>
    <mergeCell ref="S60:T60"/>
    <mergeCell ref="U60:V60"/>
    <mergeCell ref="U58:V58"/>
    <mergeCell ref="W58:X60"/>
    <mergeCell ref="F59:J59"/>
    <mergeCell ref="K59:L59"/>
    <mergeCell ref="M59:N59"/>
    <mergeCell ref="O59:P59"/>
    <mergeCell ref="Q59:R59"/>
    <mergeCell ref="S59:T59"/>
    <mergeCell ref="U59:V59"/>
    <mergeCell ref="F58:J58"/>
    <mergeCell ref="K58:L58"/>
    <mergeCell ref="M58:N58"/>
    <mergeCell ref="O58:P58"/>
    <mergeCell ref="Q58:R58"/>
    <mergeCell ref="S58:T58"/>
    <mergeCell ref="B63:J63"/>
    <mergeCell ref="K63:N63"/>
    <mergeCell ref="O63:R63"/>
    <mergeCell ref="S63:V63"/>
    <mergeCell ref="W63:X63"/>
    <mergeCell ref="AA63:AB63"/>
    <mergeCell ref="U61:V61"/>
    <mergeCell ref="W61:X61"/>
    <mergeCell ref="AA61:AB61"/>
    <mergeCell ref="B62:J62"/>
    <mergeCell ref="K62:L62"/>
    <mergeCell ref="M62:N62"/>
    <mergeCell ref="O62:P62"/>
    <mergeCell ref="Q62:R62"/>
    <mergeCell ref="S62:T62"/>
    <mergeCell ref="U62:V62"/>
    <mergeCell ref="F61:J61"/>
    <mergeCell ref="K61:L61"/>
    <mergeCell ref="M61:N61"/>
    <mergeCell ref="O61:P61"/>
    <mergeCell ref="Q61:R61"/>
    <mergeCell ref="S61:T61"/>
    <mergeCell ref="B58:E61"/>
    <mergeCell ref="AA64:AB64"/>
    <mergeCell ref="U48:V48"/>
    <mergeCell ref="U47:V47"/>
    <mergeCell ref="S48:T48"/>
    <mergeCell ref="S47:T47"/>
    <mergeCell ref="Q48:R48"/>
    <mergeCell ref="Q47:R47"/>
    <mergeCell ref="W62:X62"/>
    <mergeCell ref="AA62:AB62"/>
    <mergeCell ref="AA59:AB59"/>
    <mergeCell ref="Y58:Y60"/>
    <mergeCell ref="U57:V57"/>
    <mergeCell ref="W57:X57"/>
    <mergeCell ref="AA57:AB58"/>
    <mergeCell ref="U55:V56"/>
    <mergeCell ref="W55:X56"/>
    <mergeCell ref="Y55:Y56"/>
    <mergeCell ref="U53:V53"/>
    <mergeCell ref="W53:X53"/>
    <mergeCell ref="U51:V51"/>
    <mergeCell ref="W51:X51"/>
    <mergeCell ref="U49:V49"/>
    <mergeCell ref="W49:X49"/>
    <mergeCell ref="Q50:R50"/>
    <mergeCell ref="F48:G48"/>
    <mergeCell ref="F47:G47"/>
    <mergeCell ref="W47:X47"/>
    <mergeCell ref="W48:X48"/>
    <mergeCell ref="O51:P51"/>
    <mergeCell ref="O48:P48"/>
    <mergeCell ref="O47:P47"/>
    <mergeCell ref="M48:N48"/>
    <mergeCell ref="M47:N47"/>
    <mergeCell ref="K48:L48"/>
    <mergeCell ref="K47:L47"/>
    <mergeCell ref="F50:G50"/>
    <mergeCell ref="K50:L50"/>
    <mergeCell ref="M50:N50"/>
    <mergeCell ref="O50:P50"/>
    <mergeCell ref="S50:T50"/>
    <mergeCell ref="U50:V50"/>
    <mergeCell ref="W50:X50"/>
    <mergeCell ref="F49:G49"/>
    <mergeCell ref="K49:L49"/>
    <mergeCell ref="M49:N49"/>
    <mergeCell ref="O49:P49"/>
    <mergeCell ref="Q49:R49"/>
    <mergeCell ref="S49:T49"/>
  </mergeCells>
  <phoneticPr fontId="9" type="noConversion"/>
  <conditionalFormatting sqref="AA39:AB39 AC56 AA59:AB59 AA62:AB62 AA64:AB64">
    <cfRule type="containsText" dxfId="1" priority="1" operator="containsText" text="FALSE">
      <formula>NOT(ISERROR(SEARCH("FALSE",AA39)))</formula>
    </cfRule>
  </conditionalFormatting>
  <printOptions horizontalCentered="1" verticalCentered="1"/>
  <pageMargins left="0.25" right="0.25" top="0.75" bottom="0.75" header="0.3" footer="0.3"/>
  <pageSetup paperSize="8" scale="62" orientation="portrait" cellComments="asDisplayed" r:id="rId1"/>
  <rowBreaks count="1" manualBreakCount="1">
    <brk id="55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D1056EF-1249-42BC-A2C3-4F4E35CA8513}">
          <x14:formula1>
            <xm:f>삭제금지!$H$2:$H$18</xm:f>
          </x14:formula1>
          <xm:sqref>B5</xm:sqref>
        </x14:dataValidation>
        <x14:dataValidation type="list" allowBlank="1" showInputMessage="1" showErrorMessage="1" xr:uid="{958E48FC-7E57-47FA-A96D-954F1CAB11C9}">
          <x14:formula1>
            <xm:f>삭제금지!$L$2:$L$4</xm:f>
          </x14:formula1>
          <xm:sqref>T5:V5</xm:sqref>
        </x14:dataValidation>
        <x14:dataValidation type="list" allowBlank="1" showInputMessage="1" showErrorMessage="1" xr:uid="{556323C5-2D83-4D7B-ACC2-824568A61F09}">
          <x14:formula1>
            <xm:f>삭제금지!$K$2:$K$59</xm:f>
          </x14:formula1>
          <xm:sqref>K5:O5</xm:sqref>
        </x14:dataValidation>
        <x14:dataValidation type="list" allowBlank="1" showInputMessage="1" showErrorMessage="1" xr:uid="{D076B517-AE4B-4D9C-B347-2E10B5B11427}">
          <x14:formula1>
            <xm:f>삭제금지!$I$2:$I$18</xm:f>
          </x14:formula1>
          <xm:sqref>F5:G5</xm:sqref>
        </x14:dataValidation>
        <x14:dataValidation type="list" allowBlank="1" showInputMessage="1" showErrorMessage="1" xr:uid="{C7CBE3DB-AAB2-430C-805E-09A778520757}">
          <x14:formula1>
            <xm:f>삭제금지!$J$2:$J$59</xm:f>
          </x14:formula1>
          <xm:sqref>H5:J5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92F55-6267-40C6-ADD3-D85538D39EF9}">
  <sheetPr>
    <pageSetUpPr fitToPage="1"/>
  </sheetPr>
  <dimension ref="B2:AG24"/>
  <sheetViews>
    <sheetView showGridLines="0" view="pageBreakPreview" zoomScale="85" zoomScaleNormal="85" zoomScaleSheetLayoutView="85" workbookViewId="0">
      <selection activeCell="U25" sqref="B1:U25"/>
    </sheetView>
  </sheetViews>
  <sheetFormatPr defaultRowHeight="17.399999999999999"/>
  <cols>
    <col min="1" max="1" width="3" customWidth="1"/>
    <col min="2" max="2" width="11.69921875" customWidth="1"/>
    <col min="3" max="3" width="5.59765625" customWidth="1"/>
    <col min="4" max="4" width="18.8984375" bestFit="1" customWidth="1"/>
    <col min="5" max="5" width="19" style="1" bestFit="1" customWidth="1"/>
    <col min="6" max="6" width="9.09765625" style="1" customWidth="1"/>
    <col min="7" max="7" width="10.69921875" customWidth="1"/>
    <col min="8" max="19" width="7.69921875" bestFit="1" customWidth="1"/>
    <col min="20" max="20" width="6.59765625" bestFit="1" customWidth="1"/>
    <col min="21" max="21" width="7.09765625" customWidth="1"/>
  </cols>
  <sheetData>
    <row r="2" spans="2:33" ht="39.75" customHeight="1" thickBot="1">
      <c r="B2" s="655" t="s">
        <v>151</v>
      </c>
      <c r="C2" s="655"/>
      <c r="D2" s="655"/>
      <c r="E2" s="655"/>
      <c r="F2" s="655"/>
      <c r="G2" s="655"/>
      <c r="H2" s="655"/>
      <c r="I2" s="655"/>
      <c r="J2" s="655"/>
      <c r="K2" s="655"/>
      <c r="L2" s="655"/>
      <c r="M2" s="655"/>
      <c r="N2" s="655"/>
      <c r="O2" s="655"/>
      <c r="P2" s="655"/>
      <c r="Q2" s="655"/>
      <c r="R2" s="655"/>
      <c r="S2" s="655"/>
      <c r="T2" s="655"/>
      <c r="U2" s="655"/>
    </row>
    <row r="3" spans="2:33" ht="27" customHeight="1" thickBot="1"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656" t="s">
        <v>129</v>
      </c>
      <c r="O3" s="657"/>
      <c r="P3" s="658"/>
      <c r="Q3" s="656" t="s">
        <v>127</v>
      </c>
      <c r="R3" s="657"/>
      <c r="S3" s="658"/>
      <c r="T3" s="659" t="s">
        <v>130</v>
      </c>
      <c r="U3" s="660"/>
    </row>
    <row r="4" spans="2:33" ht="27" customHeight="1" thickBot="1"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661" t="s">
        <v>604</v>
      </c>
      <c r="O4" s="662"/>
      <c r="P4" s="663"/>
      <c r="Q4" s="664" t="s">
        <v>794</v>
      </c>
      <c r="R4" s="665"/>
      <c r="S4" s="666"/>
      <c r="T4" s="667">
        <v>2027</v>
      </c>
      <c r="U4" s="668"/>
    </row>
    <row r="5" spans="2:33" ht="24" customHeight="1" thickBot="1">
      <c r="B5" s="648"/>
      <c r="C5" s="648"/>
    </row>
    <row r="6" spans="2:33" ht="20.25" customHeight="1">
      <c r="B6" s="649" t="s">
        <v>13</v>
      </c>
      <c r="C6" s="652" t="s">
        <v>141</v>
      </c>
      <c r="D6" s="638" t="s">
        <v>14</v>
      </c>
      <c r="E6" s="638" t="s">
        <v>15</v>
      </c>
      <c r="F6" s="638" t="s">
        <v>142</v>
      </c>
      <c r="G6" s="638" t="s">
        <v>143</v>
      </c>
      <c r="H6" s="641" t="s">
        <v>58</v>
      </c>
      <c r="I6" s="641"/>
      <c r="J6" s="641"/>
      <c r="K6" s="641"/>
      <c r="L6" s="641" t="s">
        <v>59</v>
      </c>
      <c r="M6" s="641"/>
      <c r="N6" s="641"/>
      <c r="O6" s="641"/>
      <c r="P6" s="641" t="s">
        <v>60</v>
      </c>
      <c r="Q6" s="641"/>
      <c r="R6" s="641"/>
      <c r="S6" s="641"/>
      <c r="T6" s="642" t="s">
        <v>140</v>
      </c>
      <c r="U6" s="645" t="s">
        <v>126</v>
      </c>
      <c r="W6" s="631" t="s">
        <v>131</v>
      </c>
      <c r="X6" s="632"/>
      <c r="Y6" s="632"/>
      <c r="Z6" s="632"/>
      <c r="AA6" s="632"/>
      <c r="AB6" s="632"/>
      <c r="AC6" s="632"/>
      <c r="AD6" s="632"/>
      <c r="AE6" s="632"/>
      <c r="AF6" s="633"/>
      <c r="AG6" s="13"/>
    </row>
    <row r="7" spans="2:33" ht="16.5" customHeight="1">
      <c r="B7" s="650"/>
      <c r="C7" s="653"/>
      <c r="D7" s="639"/>
      <c r="E7" s="639"/>
      <c r="F7" s="639"/>
      <c r="G7" s="639"/>
      <c r="H7" s="634" t="s">
        <v>124</v>
      </c>
      <c r="I7" s="634"/>
      <c r="J7" s="634" t="s">
        <v>62</v>
      </c>
      <c r="K7" s="634"/>
      <c r="L7" s="634" t="s">
        <v>124</v>
      </c>
      <c r="M7" s="634"/>
      <c r="N7" s="634" t="s">
        <v>62</v>
      </c>
      <c r="O7" s="634"/>
      <c r="P7" s="634" t="s">
        <v>124</v>
      </c>
      <c r="Q7" s="634"/>
      <c r="R7" s="634" t="s">
        <v>62</v>
      </c>
      <c r="S7" s="634"/>
      <c r="T7" s="643"/>
      <c r="U7" s="646"/>
      <c r="W7" s="635" t="s">
        <v>132</v>
      </c>
      <c r="X7" s="636"/>
      <c r="Y7" s="636"/>
      <c r="Z7" s="636"/>
      <c r="AA7" s="636"/>
      <c r="AB7" s="636"/>
      <c r="AC7" s="636"/>
      <c r="AD7" s="636"/>
      <c r="AE7" s="636"/>
      <c r="AF7" s="637"/>
      <c r="AG7" s="13"/>
    </row>
    <row r="8" spans="2:33" ht="17.25" customHeight="1" thickBot="1">
      <c r="B8" s="651"/>
      <c r="C8" s="654"/>
      <c r="D8" s="640"/>
      <c r="E8" s="640"/>
      <c r="F8" s="640"/>
      <c r="G8" s="640"/>
      <c r="H8" s="26" t="s">
        <v>139</v>
      </c>
      <c r="I8" s="26" t="s">
        <v>125</v>
      </c>
      <c r="J8" s="26" t="s">
        <v>139</v>
      </c>
      <c r="K8" s="26" t="s">
        <v>125</v>
      </c>
      <c r="L8" s="26" t="s">
        <v>139</v>
      </c>
      <c r="M8" s="26" t="s">
        <v>125</v>
      </c>
      <c r="N8" s="26" t="s">
        <v>139</v>
      </c>
      <c r="O8" s="26" t="s">
        <v>125</v>
      </c>
      <c r="P8" s="26" t="s">
        <v>139</v>
      </c>
      <c r="Q8" s="26" t="s">
        <v>125</v>
      </c>
      <c r="R8" s="26" t="s">
        <v>139</v>
      </c>
      <c r="S8" s="26" t="s">
        <v>125</v>
      </c>
      <c r="T8" s="644"/>
      <c r="U8" s="647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>
      <c r="B9" s="611" t="s">
        <v>594</v>
      </c>
      <c r="C9" s="608">
        <v>15</v>
      </c>
      <c r="D9" s="210" t="s">
        <v>795</v>
      </c>
      <c r="E9" s="210" t="s">
        <v>796</v>
      </c>
      <c r="F9" s="210">
        <v>40</v>
      </c>
      <c r="G9" s="210">
        <v>2</v>
      </c>
      <c r="H9" s="211"/>
      <c r="I9" s="211">
        <f>H9*16</f>
        <v>0</v>
      </c>
      <c r="J9" s="211"/>
      <c r="K9" s="211">
        <f>J9*16</f>
        <v>0</v>
      </c>
      <c r="L9" s="211">
        <v>5</v>
      </c>
      <c r="M9" s="211">
        <v>80</v>
      </c>
      <c r="O9" s="269"/>
      <c r="P9" s="211"/>
      <c r="Q9" s="211"/>
      <c r="R9" s="211"/>
      <c r="S9" s="211"/>
      <c r="T9" s="218">
        <f>SUM(H9,J9,L9,N9,P9,R9)</f>
        <v>5</v>
      </c>
      <c r="U9" s="219">
        <f>SUM(I9,K9,M9,O9,Q9,S9)</f>
        <v>80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612"/>
      <c r="C10" s="609"/>
      <c r="D10" s="212" t="s">
        <v>797</v>
      </c>
      <c r="E10" s="213" t="s">
        <v>798</v>
      </c>
      <c r="F10" s="212">
        <v>20</v>
      </c>
      <c r="G10" s="212">
        <v>2</v>
      </c>
      <c r="H10" s="214"/>
      <c r="I10" s="214">
        <f>H10*16</f>
        <v>0</v>
      </c>
      <c r="J10" s="214"/>
      <c r="K10" s="214">
        <f>J10*16</f>
        <v>0</v>
      </c>
      <c r="L10" s="214">
        <v>2</v>
      </c>
      <c r="M10" s="214">
        <v>32</v>
      </c>
      <c r="N10" s="214"/>
      <c r="O10" s="214"/>
      <c r="P10" s="214"/>
      <c r="Q10" s="214"/>
      <c r="R10" s="214"/>
      <c r="S10" s="214"/>
      <c r="T10" s="220">
        <f t="shared" ref="T10:U12" si="0">SUM(H10,J10,L10,N10,P10,R10)</f>
        <v>2</v>
      </c>
      <c r="U10" s="221">
        <f t="shared" si="0"/>
        <v>32</v>
      </c>
      <c r="W10" s="12"/>
      <c r="X10" s="13"/>
      <c r="Y10" s="13"/>
      <c r="Z10" s="13"/>
      <c r="AA10" s="13"/>
      <c r="AB10" s="13"/>
      <c r="AC10" s="13"/>
      <c r="AD10" s="13"/>
      <c r="AE10" s="13"/>
      <c r="AF10" s="17"/>
      <c r="AG10" s="13"/>
    </row>
    <row r="11" spans="2:33">
      <c r="B11" s="612"/>
      <c r="C11" s="609"/>
      <c r="D11" s="213" t="s">
        <v>799</v>
      </c>
      <c r="E11" s="212" t="s">
        <v>800</v>
      </c>
      <c r="F11" s="213">
        <v>30</v>
      </c>
      <c r="G11" s="213">
        <v>2</v>
      </c>
      <c r="H11" s="215"/>
      <c r="I11" s="215"/>
      <c r="J11" s="215"/>
      <c r="K11" s="215"/>
      <c r="L11" s="215"/>
      <c r="M11" s="215"/>
      <c r="N11" s="215">
        <v>4</v>
      </c>
      <c r="O11" s="215">
        <v>64</v>
      </c>
      <c r="P11" s="215"/>
      <c r="Q11" s="215"/>
      <c r="R11" s="215"/>
      <c r="S11" s="215"/>
      <c r="T11" s="220">
        <f t="shared" si="0"/>
        <v>4</v>
      </c>
      <c r="U11" s="221">
        <f t="shared" si="0"/>
        <v>64</v>
      </c>
    </row>
    <row r="12" spans="2:33">
      <c r="B12" s="612"/>
      <c r="C12" s="609"/>
      <c r="D12" s="213" t="s">
        <v>801</v>
      </c>
      <c r="E12" s="213" t="s">
        <v>802</v>
      </c>
      <c r="F12" s="213">
        <v>30</v>
      </c>
      <c r="G12" s="213">
        <v>2</v>
      </c>
      <c r="H12" s="215"/>
      <c r="I12" s="215"/>
      <c r="J12" s="215"/>
      <c r="K12" s="215"/>
      <c r="L12" s="215"/>
      <c r="M12" s="215"/>
      <c r="N12" s="215">
        <v>4</v>
      </c>
      <c r="O12" s="215">
        <v>64</v>
      </c>
      <c r="P12" s="215"/>
      <c r="Q12" s="215"/>
      <c r="R12" s="215"/>
      <c r="S12" s="215"/>
      <c r="T12" s="226">
        <f t="shared" si="0"/>
        <v>4</v>
      </c>
      <c r="U12" s="227">
        <f t="shared" si="0"/>
        <v>64</v>
      </c>
    </row>
    <row r="13" spans="2:33" ht="18" thickBot="1">
      <c r="B13" s="613"/>
      <c r="C13" s="610"/>
      <c r="D13" s="614" t="s">
        <v>16</v>
      </c>
      <c r="E13" s="614"/>
      <c r="F13" s="252"/>
      <c r="G13" s="252"/>
      <c r="H13" s="217">
        <f>SUM(H11:H12)</f>
        <v>0</v>
      </c>
      <c r="I13" s="217">
        <f>SUM(I11:I12)</f>
        <v>0</v>
      </c>
      <c r="J13" s="217">
        <f>SUM(J11:J12)</f>
        <v>0</v>
      </c>
      <c r="K13" s="217">
        <f>SUM(K11:K12)</f>
        <v>0</v>
      </c>
      <c r="L13" s="217">
        <f>SUM(L9:L12)</f>
        <v>7</v>
      </c>
      <c r="M13" s="217">
        <f>SUM(M9:M12)</f>
        <v>112</v>
      </c>
      <c r="N13" s="217">
        <f t="shared" ref="N13:U13" si="1">SUM(N9:N12)</f>
        <v>8</v>
      </c>
      <c r="O13" s="217">
        <f t="shared" si="1"/>
        <v>128</v>
      </c>
      <c r="P13" s="217">
        <f t="shared" si="1"/>
        <v>0</v>
      </c>
      <c r="Q13" s="217">
        <f t="shared" si="1"/>
        <v>0</v>
      </c>
      <c r="R13" s="217">
        <f t="shared" si="1"/>
        <v>0</v>
      </c>
      <c r="S13" s="217">
        <f t="shared" si="1"/>
        <v>0</v>
      </c>
      <c r="T13" s="222">
        <f t="shared" si="1"/>
        <v>15</v>
      </c>
      <c r="U13" s="222">
        <f t="shared" si="1"/>
        <v>240</v>
      </c>
    </row>
    <row r="14" spans="2:33">
      <c r="B14" s="621" t="s">
        <v>595</v>
      </c>
      <c r="C14" s="624">
        <v>15</v>
      </c>
      <c r="D14" s="223" t="s">
        <v>803</v>
      </c>
      <c r="E14" s="210" t="s">
        <v>804</v>
      </c>
      <c r="F14" s="210">
        <v>40</v>
      </c>
      <c r="G14" s="210">
        <v>2</v>
      </c>
      <c r="H14" s="211"/>
      <c r="I14" s="211">
        <f>H14*16</f>
        <v>0</v>
      </c>
      <c r="J14" s="211"/>
      <c r="K14" s="211">
        <f>J14*16</f>
        <v>0</v>
      </c>
      <c r="L14" s="211"/>
      <c r="M14" s="211"/>
      <c r="N14" s="211"/>
      <c r="O14" s="211"/>
      <c r="P14" s="211">
        <v>5</v>
      </c>
      <c r="Q14" s="211">
        <v>80</v>
      </c>
      <c r="R14" s="211"/>
      <c r="S14" s="211"/>
      <c r="T14" s="218">
        <f>SUM(H14,J14,L14,N14,P14,R14)</f>
        <v>5</v>
      </c>
      <c r="U14" s="219">
        <f>SUM(I14,K14,M14,O14,Q14,S14)</f>
        <v>80</v>
      </c>
      <c r="W14" s="28"/>
    </row>
    <row r="15" spans="2:33">
      <c r="B15" s="622"/>
      <c r="C15" s="625"/>
      <c r="D15" s="212" t="s">
        <v>805</v>
      </c>
      <c r="E15" s="213" t="s">
        <v>806</v>
      </c>
      <c r="F15" s="212">
        <v>40</v>
      </c>
      <c r="G15" s="212">
        <v>3</v>
      </c>
      <c r="H15" s="214"/>
      <c r="I15" s="214">
        <f>H15*16</f>
        <v>0</v>
      </c>
      <c r="J15" s="214"/>
      <c r="K15" s="214">
        <f>J15*16</f>
        <v>0</v>
      </c>
      <c r="L15" s="214"/>
      <c r="M15" s="214"/>
      <c r="N15" s="214"/>
      <c r="O15" s="214"/>
      <c r="P15" s="214">
        <v>5</v>
      </c>
      <c r="Q15" s="214">
        <v>80</v>
      </c>
      <c r="R15" s="214"/>
      <c r="S15" s="214"/>
      <c r="T15" s="220">
        <f>SUM(H15,J15,L15,N15,P15,R15)</f>
        <v>5</v>
      </c>
      <c r="U15" s="221">
        <f>SUM(I15,K15,M15,O15,Q15,S15)</f>
        <v>80</v>
      </c>
    </row>
    <row r="16" spans="2:33">
      <c r="B16" s="622"/>
      <c r="C16" s="625"/>
      <c r="D16" s="213" t="s">
        <v>807</v>
      </c>
      <c r="E16" s="212" t="s">
        <v>808</v>
      </c>
      <c r="F16" s="213">
        <v>40</v>
      </c>
      <c r="G16" s="213">
        <v>3</v>
      </c>
      <c r="H16" s="215"/>
      <c r="I16" s="215"/>
      <c r="J16" s="215"/>
      <c r="K16" s="215"/>
      <c r="L16" s="215"/>
      <c r="M16" s="215"/>
      <c r="N16" s="215"/>
      <c r="O16" s="215"/>
      <c r="P16" s="215">
        <v>5</v>
      </c>
      <c r="Q16" s="215">
        <v>80</v>
      </c>
      <c r="R16" s="215"/>
      <c r="S16" s="215"/>
      <c r="T16" s="220">
        <f>SUM(H16,J16,L16,N16,P16,R16)</f>
        <v>5</v>
      </c>
      <c r="U16" s="227">
        <f>Q16+S16</f>
        <v>80</v>
      </c>
    </row>
    <row r="17" spans="2:23" ht="18" thickBot="1">
      <c r="B17" s="623"/>
      <c r="C17" s="626"/>
      <c r="D17" s="614" t="s">
        <v>16</v>
      </c>
      <c r="E17" s="614"/>
      <c r="F17" s="252"/>
      <c r="G17" s="252"/>
      <c r="H17" s="217">
        <f>SUM(H16:H16)</f>
        <v>0</v>
      </c>
      <c r="I17" s="217">
        <f>SUM(I16:I16)</f>
        <v>0</v>
      </c>
      <c r="J17" s="217">
        <f>SUM(J16:J16)</f>
        <v>0</v>
      </c>
      <c r="K17" s="217">
        <f>SUM(K16:K16)</f>
        <v>0</v>
      </c>
      <c r="L17" s="217">
        <f t="shared" ref="L17:U17" si="2">SUM(L14:L16)</f>
        <v>0</v>
      </c>
      <c r="M17" s="217">
        <f t="shared" si="2"/>
        <v>0</v>
      </c>
      <c r="N17" s="217">
        <f t="shared" si="2"/>
        <v>0</v>
      </c>
      <c r="O17" s="217">
        <f t="shared" si="2"/>
        <v>0</v>
      </c>
      <c r="P17" s="217">
        <f t="shared" si="2"/>
        <v>15</v>
      </c>
      <c r="Q17" s="217">
        <f t="shared" si="2"/>
        <v>240</v>
      </c>
      <c r="R17" s="217">
        <f t="shared" si="2"/>
        <v>0</v>
      </c>
      <c r="S17" s="217">
        <f t="shared" si="2"/>
        <v>0</v>
      </c>
      <c r="T17" s="222">
        <f t="shared" si="2"/>
        <v>15</v>
      </c>
      <c r="U17" s="222">
        <f t="shared" si="2"/>
        <v>240</v>
      </c>
    </row>
    <row r="18" spans="2:23">
      <c r="B18" s="611" t="s">
        <v>596</v>
      </c>
      <c r="C18" s="608">
        <v>12</v>
      </c>
      <c r="D18" s="210" t="s">
        <v>809</v>
      </c>
      <c r="E18" s="210" t="s">
        <v>810</v>
      </c>
      <c r="F18" s="210">
        <v>20</v>
      </c>
      <c r="G18" s="210">
        <v>2</v>
      </c>
      <c r="H18" s="211"/>
      <c r="I18" s="211"/>
      <c r="J18" s="211"/>
      <c r="K18" s="211"/>
      <c r="L18" s="211"/>
      <c r="M18" s="211"/>
      <c r="N18" s="211"/>
      <c r="O18" s="211"/>
      <c r="P18" s="211">
        <v>3</v>
      </c>
      <c r="Q18" s="211">
        <v>48</v>
      </c>
      <c r="R18" s="211"/>
      <c r="S18" s="211"/>
      <c r="T18" s="218">
        <f>SUM(H18,J18,L18,N18,P18,R18)</f>
        <v>3</v>
      </c>
      <c r="U18" s="219">
        <f>SUM(I18,K18,M18,O18,Q18,S18)</f>
        <v>48</v>
      </c>
      <c r="W18" s="28"/>
    </row>
    <row r="19" spans="2:23">
      <c r="B19" s="612"/>
      <c r="C19" s="609"/>
      <c r="D19" s="212" t="s">
        <v>811</v>
      </c>
      <c r="E19" s="213" t="s">
        <v>812</v>
      </c>
      <c r="F19" s="212">
        <v>16</v>
      </c>
      <c r="G19" s="212">
        <v>3</v>
      </c>
      <c r="H19" s="214"/>
      <c r="I19" s="214"/>
      <c r="J19" s="214"/>
      <c r="K19" s="214"/>
      <c r="L19" s="214"/>
      <c r="M19" s="214"/>
      <c r="N19" s="214"/>
      <c r="O19" s="214"/>
      <c r="P19" s="214">
        <v>3</v>
      </c>
      <c r="Q19" s="214">
        <v>48</v>
      </c>
      <c r="R19" s="214"/>
      <c r="S19" s="214"/>
      <c r="T19" s="220">
        <f>SUM(H19,J19,L19,N19,P19,R19)</f>
        <v>3</v>
      </c>
      <c r="U19" s="221">
        <f>SUM(I19,K19,M19,O19,Q19,S19)</f>
        <v>48</v>
      </c>
    </row>
    <row r="20" spans="2:23">
      <c r="B20" s="612"/>
      <c r="C20" s="609"/>
      <c r="D20" s="213" t="s">
        <v>813</v>
      </c>
      <c r="E20" s="212" t="s">
        <v>814</v>
      </c>
      <c r="F20" s="213"/>
      <c r="G20" s="213"/>
      <c r="H20" s="215"/>
      <c r="I20" s="215"/>
      <c r="J20" s="215"/>
      <c r="K20" s="215"/>
      <c r="L20" s="215"/>
      <c r="M20" s="215"/>
      <c r="N20" s="215"/>
      <c r="O20" s="215"/>
      <c r="P20" s="215"/>
      <c r="Q20" s="215"/>
      <c r="R20" s="215">
        <v>6</v>
      </c>
      <c r="S20" s="215">
        <v>96</v>
      </c>
      <c r="T20" s="220">
        <f>SUM(H20,J20,L20,N20,P20,R20)</f>
        <v>6</v>
      </c>
      <c r="U20" s="227">
        <f>Q20+S20</f>
        <v>96</v>
      </c>
    </row>
    <row r="21" spans="2:23" ht="18" thickBot="1">
      <c r="B21" s="613"/>
      <c r="C21" s="610"/>
      <c r="D21" s="614" t="s">
        <v>16</v>
      </c>
      <c r="E21" s="614"/>
      <c r="F21" s="252"/>
      <c r="G21" s="252"/>
      <c r="H21" s="217">
        <f>SUM(H20:H20)</f>
        <v>0</v>
      </c>
      <c r="I21" s="217">
        <f>SUM(I20:I20)</f>
        <v>0</v>
      </c>
      <c r="J21" s="217">
        <f>SUM(J20:J20)</f>
        <v>0</v>
      </c>
      <c r="K21" s="217">
        <f>SUM(K20:K20)</f>
        <v>0</v>
      </c>
      <c r="L21" s="217">
        <f t="shared" ref="L21:U21" si="3">SUM(L18:L20)</f>
        <v>0</v>
      </c>
      <c r="M21" s="217">
        <f t="shared" si="3"/>
        <v>0</v>
      </c>
      <c r="N21" s="217">
        <f t="shared" si="3"/>
        <v>0</v>
      </c>
      <c r="O21" s="217">
        <f t="shared" si="3"/>
        <v>0</v>
      </c>
      <c r="P21" s="217">
        <f t="shared" si="3"/>
        <v>6</v>
      </c>
      <c r="Q21" s="217">
        <f t="shared" si="3"/>
        <v>96</v>
      </c>
      <c r="R21" s="217">
        <f t="shared" si="3"/>
        <v>6</v>
      </c>
      <c r="S21" s="217">
        <f t="shared" si="3"/>
        <v>96</v>
      </c>
      <c r="T21" s="222">
        <f t="shared" si="3"/>
        <v>12</v>
      </c>
      <c r="U21" s="222">
        <f t="shared" si="3"/>
        <v>192</v>
      </c>
    </row>
    <row r="22" spans="2:23">
      <c r="B22" s="621" t="s">
        <v>539</v>
      </c>
      <c r="C22" s="624">
        <v>12</v>
      </c>
      <c r="D22" s="210" t="s">
        <v>815</v>
      </c>
      <c r="E22" s="210" t="s">
        <v>816</v>
      </c>
      <c r="F22" s="210">
        <v>80</v>
      </c>
      <c r="G22" s="210">
        <v>3</v>
      </c>
      <c r="H22" s="211"/>
      <c r="I22" s="211">
        <f>H22*16</f>
        <v>0</v>
      </c>
      <c r="J22" s="211"/>
      <c r="K22" s="211">
        <f>J22*16</f>
        <v>0</v>
      </c>
      <c r="L22" s="211"/>
      <c r="M22" s="211"/>
      <c r="N22" s="211"/>
      <c r="O22" s="211"/>
      <c r="P22" s="211"/>
      <c r="Q22" s="211"/>
      <c r="R22" s="211">
        <v>4</v>
      </c>
      <c r="S22" s="211">
        <v>64</v>
      </c>
      <c r="T22" s="218">
        <f>SUM(H22,J22,L22,N22,P22,R22)</f>
        <v>4</v>
      </c>
      <c r="U22" s="219">
        <f>SUM(I22,K22,M22,O22,Q22,S22)</f>
        <v>64</v>
      </c>
    </row>
    <row r="23" spans="2:23">
      <c r="B23" s="622"/>
      <c r="C23" s="625"/>
      <c r="D23" s="213" t="s">
        <v>813</v>
      </c>
      <c r="E23" s="213" t="s">
        <v>814</v>
      </c>
      <c r="F23" s="213"/>
      <c r="G23" s="213"/>
      <c r="H23" s="215"/>
      <c r="I23" s="215"/>
      <c r="J23" s="215"/>
      <c r="K23" s="215"/>
      <c r="L23" s="215"/>
      <c r="M23" s="215"/>
      <c r="N23" s="215"/>
      <c r="O23" s="215"/>
      <c r="P23" s="215"/>
      <c r="Q23" s="215"/>
      <c r="R23" s="215">
        <v>8</v>
      </c>
      <c r="S23" s="215">
        <v>128</v>
      </c>
      <c r="T23" s="226">
        <f>SUM(H23,J23,L23,N23,P23,R23)</f>
        <v>8</v>
      </c>
      <c r="U23" s="227">
        <f>SUM(I23,K23,M23,O23,Q23,S23)</f>
        <v>128</v>
      </c>
    </row>
    <row r="24" spans="2:23" ht="18" thickBot="1">
      <c r="B24" s="623"/>
      <c r="C24" s="626"/>
      <c r="D24" s="252" t="s">
        <v>16</v>
      </c>
      <c r="E24" s="252"/>
      <c r="F24" s="252"/>
      <c r="G24" s="252"/>
      <c r="H24" s="217">
        <f>SUM(H23:H23)</f>
        <v>0</v>
      </c>
      <c r="I24" s="217">
        <f>SUM(I23:I23)</f>
        <v>0</v>
      </c>
      <c r="J24" s="217">
        <f>SUM(J23:J23)</f>
        <v>0</v>
      </c>
      <c r="K24" s="217">
        <f>SUM(K23:K23)</f>
        <v>0</v>
      </c>
      <c r="L24" s="217">
        <f t="shared" ref="L24:U24" si="4">SUM(L22:L23)</f>
        <v>0</v>
      </c>
      <c r="M24" s="217">
        <f t="shared" si="4"/>
        <v>0</v>
      </c>
      <c r="N24" s="217">
        <f t="shared" si="4"/>
        <v>0</v>
      </c>
      <c r="O24" s="217">
        <f t="shared" si="4"/>
        <v>0</v>
      </c>
      <c r="P24" s="217">
        <f t="shared" si="4"/>
        <v>0</v>
      </c>
      <c r="Q24" s="217">
        <f t="shared" si="4"/>
        <v>0</v>
      </c>
      <c r="R24" s="217">
        <f t="shared" si="4"/>
        <v>12</v>
      </c>
      <c r="S24" s="217">
        <f t="shared" si="4"/>
        <v>192</v>
      </c>
      <c r="T24" s="222">
        <f t="shared" si="4"/>
        <v>12</v>
      </c>
      <c r="U24" s="222">
        <f t="shared" si="4"/>
        <v>192</v>
      </c>
    </row>
  </sheetData>
  <mergeCells count="38">
    <mergeCell ref="B2:U2"/>
    <mergeCell ref="N3:P3"/>
    <mergeCell ref="Q3:S3"/>
    <mergeCell ref="T3:U3"/>
    <mergeCell ref="N4:P4"/>
    <mergeCell ref="Q4:S4"/>
    <mergeCell ref="T4:U4"/>
    <mergeCell ref="U6:U8"/>
    <mergeCell ref="B5:C5"/>
    <mergeCell ref="B6:B8"/>
    <mergeCell ref="C6:C8"/>
    <mergeCell ref="D6:D8"/>
    <mergeCell ref="E6:E8"/>
    <mergeCell ref="F6:F8"/>
    <mergeCell ref="B9:B13"/>
    <mergeCell ref="C9:C13"/>
    <mergeCell ref="D13:E13"/>
    <mergeCell ref="W6:AF6"/>
    <mergeCell ref="H7:I7"/>
    <mergeCell ref="J7:K7"/>
    <mergeCell ref="L7:M7"/>
    <mergeCell ref="N7:O7"/>
    <mergeCell ref="P7:Q7"/>
    <mergeCell ref="R7:S7"/>
    <mergeCell ref="W7:AF7"/>
    <mergeCell ref="G6:G8"/>
    <mergeCell ref="H6:K6"/>
    <mergeCell ref="L6:O6"/>
    <mergeCell ref="P6:S6"/>
    <mergeCell ref="T6:T8"/>
    <mergeCell ref="C14:C17"/>
    <mergeCell ref="B14:B17"/>
    <mergeCell ref="D17:E17"/>
    <mergeCell ref="D21:E21"/>
    <mergeCell ref="C22:C24"/>
    <mergeCell ref="B22:B24"/>
    <mergeCell ref="C18:C21"/>
    <mergeCell ref="B18:B21"/>
  </mergeCells>
  <phoneticPr fontId="9" type="noConversion"/>
  <pageMargins left="0.25" right="0.25" top="0.75" bottom="0.75" header="0.3" footer="0.3"/>
  <pageSetup paperSize="9" scale="32" orientation="portrait" cellComments="asDisplayed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2ACAA-D337-421B-A708-DB266DA95089}">
  <sheetPr>
    <pageSetUpPr fitToPage="1"/>
  </sheetPr>
  <dimension ref="B1:AD102"/>
  <sheetViews>
    <sheetView view="pageBreakPreview" topLeftCell="B1" zoomScaleNormal="100" zoomScaleSheetLayoutView="100" workbookViewId="0">
      <pane ySplit="8" topLeftCell="A40" activePane="bottomLeft" state="frozen"/>
      <selection pane="bottomLeft" activeCell="H51" sqref="H51"/>
    </sheetView>
  </sheetViews>
  <sheetFormatPr defaultColWidth="8.69921875" defaultRowHeight="17.399999999999999"/>
  <cols>
    <col min="1" max="1" width="2" style="4" customWidth="1"/>
    <col min="2" max="2" width="6.59765625" style="4" customWidth="1"/>
    <col min="3" max="3" width="9.3984375" style="4" customWidth="1"/>
    <col min="4" max="4" width="8.69921875" style="4"/>
    <col min="5" max="5" width="8.5" style="4" customWidth="1"/>
    <col min="6" max="6" width="16.5" style="4" customWidth="1"/>
    <col min="7" max="7" width="6.19921875" style="4" customWidth="1"/>
    <col min="8" max="8" width="5.59765625" style="4" customWidth="1"/>
    <col min="9" max="9" width="7.8984375" style="4" bestFit="1" customWidth="1"/>
    <col min="10" max="10" width="5.59765625" style="4" customWidth="1"/>
    <col min="11" max="22" width="3.8984375" style="4" customWidth="1"/>
    <col min="23" max="24" width="3.3984375" style="4" customWidth="1"/>
    <col min="25" max="25" width="6.3984375" style="4" customWidth="1"/>
    <col min="26" max="26" width="8.69921875" style="4"/>
    <col min="27" max="27" width="16.3984375" style="4" customWidth="1"/>
    <col min="28" max="29" width="12.8984375" style="4" customWidth="1"/>
    <col min="30" max="30" width="13.8984375" style="4" customWidth="1"/>
    <col min="31" max="16384" width="8.69921875" style="4"/>
  </cols>
  <sheetData>
    <row r="1" spans="2:30" ht="18" thickBot="1"/>
    <row r="2" spans="2:30" ht="30.75" customHeight="1" thickBot="1">
      <c r="B2" s="276" t="s">
        <v>511</v>
      </c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7"/>
      <c r="V2" s="278" t="s">
        <v>130</v>
      </c>
      <c r="W2" s="279"/>
      <c r="X2" s="280">
        <v>2027</v>
      </c>
      <c r="Y2" s="281"/>
      <c r="AA2" s="282" t="s">
        <v>144</v>
      </c>
      <c r="AB2" s="19" t="s">
        <v>145</v>
      </c>
      <c r="AC2" s="29" t="s">
        <v>152</v>
      </c>
      <c r="AD2" s="20" t="s">
        <v>146</v>
      </c>
    </row>
    <row r="3" spans="2:30" ht="18" thickBot="1">
      <c r="B3" s="285" t="s">
        <v>360</v>
      </c>
      <c r="C3" s="287" t="s">
        <v>53</v>
      </c>
      <c r="D3" s="288"/>
      <c r="E3" s="288"/>
      <c r="F3" s="287" t="s">
        <v>64</v>
      </c>
      <c r="G3" s="291"/>
      <c r="H3" s="287" t="s">
        <v>54</v>
      </c>
      <c r="I3" s="288"/>
      <c r="J3" s="288"/>
      <c r="K3" s="287" t="s">
        <v>55</v>
      </c>
      <c r="L3" s="288"/>
      <c r="M3" s="288"/>
      <c r="N3" s="288"/>
      <c r="O3" s="291"/>
      <c r="P3" s="293" t="s">
        <v>56</v>
      </c>
      <c r="Q3" s="294"/>
      <c r="R3" s="294"/>
      <c r="S3" s="294"/>
      <c r="T3" s="294"/>
      <c r="U3" s="294"/>
      <c r="V3" s="294"/>
      <c r="W3" s="294"/>
      <c r="X3" s="294"/>
      <c r="Y3" s="295"/>
      <c r="AA3" s="283"/>
      <c r="AB3" s="21" t="s">
        <v>147</v>
      </c>
      <c r="AC3" s="36" t="s">
        <v>518</v>
      </c>
      <c r="AD3" s="22" t="s">
        <v>519</v>
      </c>
    </row>
    <row r="4" spans="2:30" ht="18" thickBot="1">
      <c r="B4" s="286"/>
      <c r="C4" s="289"/>
      <c r="D4" s="290"/>
      <c r="E4" s="290"/>
      <c r="F4" s="289"/>
      <c r="G4" s="292"/>
      <c r="H4" s="289"/>
      <c r="I4" s="290"/>
      <c r="J4" s="290"/>
      <c r="K4" s="289"/>
      <c r="L4" s="290"/>
      <c r="M4" s="290"/>
      <c r="N4" s="290"/>
      <c r="O4" s="292"/>
      <c r="P4" s="293" t="s">
        <v>127</v>
      </c>
      <c r="Q4" s="294"/>
      <c r="R4" s="294"/>
      <c r="S4" s="294"/>
      <c r="T4" s="293" t="s">
        <v>61</v>
      </c>
      <c r="U4" s="294"/>
      <c r="V4" s="295"/>
      <c r="W4" s="294" t="s">
        <v>128</v>
      </c>
      <c r="X4" s="294"/>
      <c r="Y4" s="295"/>
      <c r="AA4" s="283"/>
      <c r="AB4" s="23" t="s">
        <v>148</v>
      </c>
      <c r="AC4" s="37" t="s">
        <v>520</v>
      </c>
      <c r="AD4" s="22" t="s">
        <v>521</v>
      </c>
    </row>
    <row r="5" spans="2:30" ht="26.25" customHeight="1" thickBot="1">
      <c r="B5" s="69" t="s">
        <v>509</v>
      </c>
      <c r="C5" s="296" t="s">
        <v>512</v>
      </c>
      <c r="D5" s="297"/>
      <c r="E5" s="298"/>
      <c r="F5" s="296" t="s">
        <v>513</v>
      </c>
      <c r="G5" s="299"/>
      <c r="H5" s="300" t="s">
        <v>515</v>
      </c>
      <c r="I5" s="297"/>
      <c r="J5" s="298"/>
      <c r="K5" s="296" t="s">
        <v>588</v>
      </c>
      <c r="L5" s="297"/>
      <c r="M5" s="297"/>
      <c r="N5" s="297"/>
      <c r="O5" s="299"/>
      <c r="P5" s="300" t="s">
        <v>589</v>
      </c>
      <c r="Q5" s="297"/>
      <c r="R5" s="297"/>
      <c r="S5" s="298"/>
      <c r="T5" s="296" t="s">
        <v>34</v>
      </c>
      <c r="U5" s="297"/>
      <c r="V5" s="298"/>
      <c r="W5" s="301" t="s">
        <v>598</v>
      </c>
      <c r="X5" s="302"/>
      <c r="Y5" s="303"/>
      <c r="AA5" s="284"/>
      <c r="AB5" s="24" t="s">
        <v>149</v>
      </c>
      <c r="AC5" s="154" t="s">
        <v>522</v>
      </c>
      <c r="AD5" s="152" t="s">
        <v>523</v>
      </c>
    </row>
    <row r="6" spans="2:30" ht="15.75" customHeight="1" thickBot="1">
      <c r="U6" s="304"/>
      <c r="V6" s="304"/>
      <c r="W6" s="304"/>
      <c r="X6" s="304"/>
      <c r="Y6" s="304"/>
    </row>
    <row r="7" spans="2:30" s="10" customFormat="1" ht="22.5" customHeight="1">
      <c r="B7" s="305" t="s">
        <v>2</v>
      </c>
      <c r="C7" s="306"/>
      <c r="D7" s="309" t="s">
        <v>120</v>
      </c>
      <c r="E7" s="311" t="s">
        <v>57</v>
      </c>
      <c r="F7" s="312"/>
      <c r="G7" s="313"/>
      <c r="H7" s="314" t="s">
        <v>134</v>
      </c>
      <c r="I7" s="316" t="s">
        <v>135</v>
      </c>
      <c r="J7" s="318" t="s">
        <v>136</v>
      </c>
      <c r="K7" s="320" t="s">
        <v>58</v>
      </c>
      <c r="L7" s="316"/>
      <c r="M7" s="316"/>
      <c r="N7" s="321"/>
      <c r="O7" s="322" t="s">
        <v>59</v>
      </c>
      <c r="P7" s="316"/>
      <c r="Q7" s="316"/>
      <c r="R7" s="321"/>
      <c r="S7" s="320" t="s">
        <v>60</v>
      </c>
      <c r="T7" s="316"/>
      <c r="U7" s="316"/>
      <c r="V7" s="323"/>
      <c r="W7" s="314" t="s">
        <v>137</v>
      </c>
      <c r="X7" s="318"/>
      <c r="Y7" s="313" t="s">
        <v>138</v>
      </c>
      <c r="Z7" s="9"/>
    </row>
    <row r="8" spans="2:30" s="10" customFormat="1" ht="22.5" customHeight="1" thickBot="1">
      <c r="B8" s="307"/>
      <c r="C8" s="308"/>
      <c r="D8" s="310"/>
      <c r="E8" s="25" t="s">
        <v>18</v>
      </c>
      <c r="F8" s="341" t="s">
        <v>19</v>
      </c>
      <c r="G8" s="342"/>
      <c r="H8" s="315"/>
      <c r="I8" s="317"/>
      <c r="J8" s="319"/>
      <c r="K8" s="343" t="s">
        <v>0</v>
      </c>
      <c r="L8" s="317"/>
      <c r="M8" s="317" t="s">
        <v>62</v>
      </c>
      <c r="N8" s="344"/>
      <c r="O8" s="345" t="s">
        <v>0</v>
      </c>
      <c r="P8" s="317"/>
      <c r="Q8" s="317" t="s">
        <v>62</v>
      </c>
      <c r="R8" s="344"/>
      <c r="S8" s="343" t="s">
        <v>0</v>
      </c>
      <c r="T8" s="317"/>
      <c r="U8" s="317" t="s">
        <v>62</v>
      </c>
      <c r="V8" s="346"/>
      <c r="W8" s="315"/>
      <c r="X8" s="319"/>
      <c r="Y8" s="340"/>
      <c r="AA8" s="324" t="s">
        <v>499</v>
      </c>
      <c r="AB8" s="324"/>
      <c r="AC8" s="324"/>
      <c r="AD8" s="324"/>
    </row>
    <row r="9" spans="2:30" ht="16.5" customHeight="1" thickBot="1">
      <c r="B9" s="325" t="s">
        <v>338</v>
      </c>
      <c r="C9" s="326"/>
      <c r="D9" s="331" t="s">
        <v>21</v>
      </c>
      <c r="E9" s="38" t="s">
        <v>12</v>
      </c>
      <c r="F9" s="334" t="s">
        <v>202</v>
      </c>
      <c r="G9" s="335"/>
      <c r="H9" s="39">
        <v>4</v>
      </c>
      <c r="I9" s="40" t="s">
        <v>339</v>
      </c>
      <c r="J9" s="41">
        <v>3</v>
      </c>
      <c r="K9" s="334">
        <v>3</v>
      </c>
      <c r="L9" s="336"/>
      <c r="M9" s="337"/>
      <c r="N9" s="338"/>
      <c r="O9" s="339"/>
      <c r="P9" s="336"/>
      <c r="Q9" s="337"/>
      <c r="R9" s="338"/>
      <c r="S9" s="339"/>
      <c r="T9" s="336"/>
      <c r="U9" s="337"/>
      <c r="V9" s="335"/>
      <c r="W9" s="42">
        <f>SUM(K9:V9)</f>
        <v>3</v>
      </c>
      <c r="X9" s="353">
        <f>SUM(W9:W13)</f>
        <v>15</v>
      </c>
      <c r="Y9" s="355">
        <v>24</v>
      </c>
      <c r="AA9" s="130" t="s">
        <v>18</v>
      </c>
      <c r="AB9" s="131" t="s">
        <v>505</v>
      </c>
      <c r="AC9" s="131" t="s">
        <v>506</v>
      </c>
      <c r="AD9" s="132" t="s">
        <v>507</v>
      </c>
    </row>
    <row r="10" spans="2:30" ht="18" thickBot="1">
      <c r="B10" s="327"/>
      <c r="C10" s="328"/>
      <c r="D10" s="332"/>
      <c r="E10" s="43" t="s">
        <v>12</v>
      </c>
      <c r="F10" s="347" t="s">
        <v>203</v>
      </c>
      <c r="G10" s="352"/>
      <c r="H10" s="44">
        <v>4</v>
      </c>
      <c r="I10" s="45" t="s">
        <v>339</v>
      </c>
      <c r="J10" s="46">
        <v>3</v>
      </c>
      <c r="K10" s="347"/>
      <c r="L10" s="348"/>
      <c r="M10" s="349">
        <v>3</v>
      </c>
      <c r="N10" s="350"/>
      <c r="O10" s="351"/>
      <c r="P10" s="348"/>
      <c r="Q10" s="349"/>
      <c r="R10" s="350"/>
      <c r="S10" s="351"/>
      <c r="T10" s="348"/>
      <c r="U10" s="349"/>
      <c r="V10" s="352"/>
      <c r="W10" s="47">
        <f t="shared" ref="W10:W28" si="0">SUM(K10:V10)</f>
        <v>3</v>
      </c>
      <c r="X10" s="354"/>
      <c r="Y10" s="355"/>
      <c r="AA10" s="133" t="s">
        <v>500</v>
      </c>
      <c r="AB10" s="134">
        <v>4</v>
      </c>
      <c r="AC10" s="134">
        <v>-1</v>
      </c>
      <c r="AD10" s="22" t="s">
        <v>339</v>
      </c>
    </row>
    <row r="11" spans="2:30" ht="18" thickBot="1">
      <c r="B11" s="327"/>
      <c r="C11" s="328"/>
      <c r="D11" s="332"/>
      <c r="E11" s="48" t="s">
        <v>340</v>
      </c>
      <c r="F11" s="347" t="s">
        <v>208</v>
      </c>
      <c r="G11" s="352"/>
      <c r="H11" s="44">
        <v>4</v>
      </c>
      <c r="I11" s="45" t="s">
        <v>342</v>
      </c>
      <c r="J11" s="46">
        <v>3</v>
      </c>
      <c r="K11" s="347"/>
      <c r="L11" s="348"/>
      <c r="M11" s="349"/>
      <c r="N11" s="350"/>
      <c r="O11" s="351">
        <v>3</v>
      </c>
      <c r="P11" s="348"/>
      <c r="Q11" s="349"/>
      <c r="R11" s="350"/>
      <c r="S11" s="351"/>
      <c r="T11" s="348"/>
      <c r="U11" s="349"/>
      <c r="V11" s="352"/>
      <c r="W11" s="47">
        <f t="shared" si="0"/>
        <v>3</v>
      </c>
      <c r="X11" s="354"/>
      <c r="Y11" s="355"/>
      <c r="AA11" s="133" t="s">
        <v>501</v>
      </c>
      <c r="AB11" s="134">
        <v>3</v>
      </c>
      <c r="AC11" s="134"/>
      <c r="AD11" s="22">
        <v>3</v>
      </c>
    </row>
    <row r="12" spans="2:30" ht="18" thickBot="1">
      <c r="B12" s="327"/>
      <c r="C12" s="328"/>
      <c r="D12" s="332"/>
      <c r="E12" s="48" t="s">
        <v>347</v>
      </c>
      <c r="F12" s="347" t="s">
        <v>4</v>
      </c>
      <c r="G12" s="352"/>
      <c r="H12" s="44">
        <v>4</v>
      </c>
      <c r="I12" s="45" t="s">
        <v>342</v>
      </c>
      <c r="J12" s="46">
        <v>3</v>
      </c>
      <c r="K12" s="347"/>
      <c r="L12" s="348"/>
      <c r="M12" s="349"/>
      <c r="N12" s="350"/>
      <c r="O12" s="351"/>
      <c r="P12" s="348"/>
      <c r="Q12" s="349">
        <v>3</v>
      </c>
      <c r="R12" s="350"/>
      <c r="S12" s="351"/>
      <c r="T12" s="348"/>
      <c r="U12" s="349"/>
      <c r="V12" s="352"/>
      <c r="W12" s="47">
        <f t="shared" si="0"/>
        <v>3</v>
      </c>
      <c r="X12" s="354"/>
      <c r="Y12" s="355"/>
      <c r="AA12" s="133" t="s">
        <v>502</v>
      </c>
      <c r="AB12" s="134">
        <v>4</v>
      </c>
      <c r="AC12" s="134" t="s">
        <v>508</v>
      </c>
      <c r="AD12" s="22" t="s">
        <v>342</v>
      </c>
    </row>
    <row r="13" spans="2:30" ht="18" thickBot="1">
      <c r="B13" s="327"/>
      <c r="C13" s="328"/>
      <c r="D13" s="333"/>
      <c r="E13" s="48" t="s">
        <v>340</v>
      </c>
      <c r="F13" s="356" t="s">
        <v>341</v>
      </c>
      <c r="G13" s="357"/>
      <c r="H13" s="49">
        <v>4</v>
      </c>
      <c r="I13" s="50" t="s">
        <v>342</v>
      </c>
      <c r="J13" s="51">
        <v>3</v>
      </c>
      <c r="K13" s="358"/>
      <c r="L13" s="359"/>
      <c r="M13" s="360"/>
      <c r="N13" s="361"/>
      <c r="O13" s="362"/>
      <c r="P13" s="359"/>
      <c r="Q13" s="360"/>
      <c r="R13" s="361"/>
      <c r="S13" s="362">
        <v>3</v>
      </c>
      <c r="T13" s="359"/>
      <c r="U13" s="360"/>
      <c r="V13" s="363"/>
      <c r="W13" s="47">
        <f t="shared" si="0"/>
        <v>3</v>
      </c>
      <c r="X13" s="354"/>
      <c r="Y13" s="355"/>
      <c r="AA13" s="160" t="s">
        <v>503</v>
      </c>
      <c r="AB13" s="134">
        <v>3</v>
      </c>
      <c r="AC13" s="134" t="s">
        <v>508</v>
      </c>
      <c r="AD13" s="22" t="s">
        <v>349</v>
      </c>
    </row>
    <row r="14" spans="2:30" ht="18" thickBot="1">
      <c r="B14" s="327"/>
      <c r="C14" s="328"/>
      <c r="D14" s="331" t="s">
        <v>5</v>
      </c>
      <c r="E14" s="38" t="s">
        <v>12</v>
      </c>
      <c r="F14" s="368" t="s">
        <v>214</v>
      </c>
      <c r="G14" s="369"/>
      <c r="H14" s="39">
        <v>4</v>
      </c>
      <c r="I14" s="53" t="s">
        <v>339</v>
      </c>
      <c r="J14" s="41">
        <v>3</v>
      </c>
      <c r="K14" s="334">
        <v>3</v>
      </c>
      <c r="L14" s="336"/>
      <c r="M14" s="337"/>
      <c r="N14" s="338"/>
      <c r="O14" s="339"/>
      <c r="P14" s="336"/>
      <c r="Q14" s="337"/>
      <c r="R14" s="338"/>
      <c r="S14" s="339"/>
      <c r="T14" s="336"/>
      <c r="U14" s="337"/>
      <c r="V14" s="335"/>
      <c r="W14" s="42">
        <f t="shared" si="0"/>
        <v>3</v>
      </c>
      <c r="X14" s="353">
        <f t="shared" ref="X14" si="1">SUM(W14:W17)</f>
        <v>12</v>
      </c>
      <c r="Y14" s="355"/>
      <c r="AA14" s="135" t="s">
        <v>504</v>
      </c>
      <c r="AB14" s="364" t="s">
        <v>510</v>
      </c>
      <c r="AC14" s="364"/>
      <c r="AD14" s="365"/>
    </row>
    <row r="15" spans="2:30" ht="18" thickBot="1">
      <c r="B15" s="327"/>
      <c r="C15" s="328"/>
      <c r="D15" s="332"/>
      <c r="E15" s="43" t="s">
        <v>12</v>
      </c>
      <c r="F15" s="366" t="s">
        <v>216</v>
      </c>
      <c r="G15" s="367"/>
      <c r="H15" s="44">
        <v>4</v>
      </c>
      <c r="I15" s="159" t="s">
        <v>339</v>
      </c>
      <c r="J15" s="158">
        <v>3</v>
      </c>
      <c r="K15" s="347"/>
      <c r="L15" s="348"/>
      <c r="M15" s="349">
        <v>3</v>
      </c>
      <c r="N15" s="350"/>
      <c r="O15" s="351"/>
      <c r="P15" s="348"/>
      <c r="Q15" s="349"/>
      <c r="R15" s="350"/>
      <c r="S15" s="351"/>
      <c r="T15" s="348"/>
      <c r="U15" s="349"/>
      <c r="V15" s="352"/>
      <c r="W15" s="47">
        <f t="shared" si="0"/>
        <v>3</v>
      </c>
      <c r="X15" s="354"/>
      <c r="Y15" s="355"/>
    </row>
    <row r="16" spans="2:30" ht="18" thickBot="1">
      <c r="B16" s="327"/>
      <c r="C16" s="328"/>
      <c r="D16" s="332"/>
      <c r="E16" s="48" t="s">
        <v>347</v>
      </c>
      <c r="F16" s="366" t="s">
        <v>217</v>
      </c>
      <c r="G16" s="367"/>
      <c r="H16" s="44">
        <v>4</v>
      </c>
      <c r="I16" s="159" t="s">
        <v>339</v>
      </c>
      <c r="J16" s="46">
        <v>3</v>
      </c>
      <c r="K16" s="347"/>
      <c r="L16" s="348"/>
      <c r="M16" s="349"/>
      <c r="N16" s="350"/>
      <c r="O16" s="351">
        <v>3</v>
      </c>
      <c r="P16" s="348"/>
      <c r="Q16" s="349"/>
      <c r="R16" s="350"/>
      <c r="S16" s="351"/>
      <c r="T16" s="348"/>
      <c r="U16" s="349"/>
      <c r="V16" s="352"/>
      <c r="W16" s="47">
        <f t="shared" si="0"/>
        <v>3</v>
      </c>
      <c r="X16" s="354"/>
      <c r="Y16" s="355"/>
    </row>
    <row r="17" spans="2:29" ht="18" thickBot="1">
      <c r="B17" s="327"/>
      <c r="C17" s="328"/>
      <c r="D17" s="333"/>
      <c r="E17" s="48" t="s">
        <v>340</v>
      </c>
      <c r="F17" s="356" t="s">
        <v>343</v>
      </c>
      <c r="G17" s="357"/>
      <c r="H17" s="49">
        <v>4</v>
      </c>
      <c r="I17" s="50" t="s">
        <v>342</v>
      </c>
      <c r="J17" s="51">
        <v>3</v>
      </c>
      <c r="K17" s="358"/>
      <c r="L17" s="359"/>
      <c r="M17" s="360"/>
      <c r="N17" s="361"/>
      <c r="O17" s="362"/>
      <c r="P17" s="359"/>
      <c r="Q17" s="360">
        <v>3</v>
      </c>
      <c r="R17" s="361"/>
      <c r="S17" s="362"/>
      <c r="T17" s="359"/>
      <c r="U17" s="360"/>
      <c r="V17" s="363"/>
      <c r="W17" s="47">
        <f t="shared" si="0"/>
        <v>3</v>
      </c>
      <c r="X17" s="354"/>
      <c r="Y17" s="355"/>
    </row>
    <row r="18" spans="2:29" ht="18" thickBot="1">
      <c r="B18" s="327"/>
      <c r="C18" s="328"/>
      <c r="D18" s="331" t="s">
        <v>6</v>
      </c>
      <c r="E18" s="38" t="s">
        <v>12</v>
      </c>
      <c r="F18" s="334" t="s">
        <v>221</v>
      </c>
      <c r="G18" s="335"/>
      <c r="H18" s="39">
        <v>4</v>
      </c>
      <c r="I18" s="53" t="s">
        <v>339</v>
      </c>
      <c r="J18" s="41">
        <v>3</v>
      </c>
      <c r="K18" s="334">
        <v>3</v>
      </c>
      <c r="L18" s="336"/>
      <c r="M18" s="349"/>
      <c r="N18" s="350"/>
      <c r="O18" s="339"/>
      <c r="P18" s="336"/>
      <c r="Q18" s="337"/>
      <c r="R18" s="338"/>
      <c r="S18" s="339"/>
      <c r="T18" s="336"/>
      <c r="U18" s="337"/>
      <c r="V18" s="335"/>
      <c r="W18" s="42">
        <f t="shared" si="0"/>
        <v>3</v>
      </c>
      <c r="X18" s="353">
        <f t="shared" ref="X18" si="2">SUM(W18:W22)</f>
        <v>15</v>
      </c>
      <c r="Y18" s="355"/>
      <c r="AA18" s="370"/>
      <c r="AB18" s="370"/>
      <c r="AC18" s="148"/>
    </row>
    <row r="19" spans="2:29" ht="18" thickBot="1">
      <c r="B19" s="327"/>
      <c r="C19" s="328"/>
      <c r="D19" s="332"/>
      <c r="E19" s="43" t="s">
        <v>12</v>
      </c>
      <c r="F19" s="347" t="s">
        <v>227</v>
      </c>
      <c r="G19" s="352"/>
      <c r="H19" s="44">
        <v>4</v>
      </c>
      <c r="I19" s="45" t="s">
        <v>339</v>
      </c>
      <c r="J19" s="46">
        <v>3</v>
      </c>
      <c r="K19" s="347"/>
      <c r="L19" s="348"/>
      <c r="M19" s="349">
        <v>3</v>
      </c>
      <c r="N19" s="350"/>
      <c r="O19" s="351"/>
      <c r="P19" s="348"/>
      <c r="Q19" s="349"/>
      <c r="R19" s="350"/>
      <c r="S19" s="351"/>
      <c r="T19" s="348"/>
      <c r="U19" s="349"/>
      <c r="V19" s="352"/>
      <c r="W19" s="47">
        <f t="shared" si="0"/>
        <v>3</v>
      </c>
      <c r="X19" s="354"/>
      <c r="Y19" s="355"/>
    </row>
    <row r="20" spans="2:29" ht="18" thickBot="1">
      <c r="B20" s="327"/>
      <c r="C20" s="328"/>
      <c r="D20" s="332"/>
      <c r="E20" s="43" t="s">
        <v>347</v>
      </c>
      <c r="F20" s="371" t="s">
        <v>38</v>
      </c>
      <c r="G20" s="372"/>
      <c r="H20" s="44">
        <v>4</v>
      </c>
      <c r="I20" s="45" t="s">
        <v>342</v>
      </c>
      <c r="J20" s="156">
        <v>3</v>
      </c>
      <c r="K20" s="347"/>
      <c r="L20" s="348"/>
      <c r="M20" s="349"/>
      <c r="N20" s="350"/>
      <c r="O20" s="351">
        <v>3</v>
      </c>
      <c r="P20" s="348"/>
      <c r="Q20" s="349"/>
      <c r="R20" s="350"/>
      <c r="S20" s="351"/>
      <c r="T20" s="348"/>
      <c r="U20" s="349"/>
      <c r="V20" s="352"/>
      <c r="W20" s="47">
        <f t="shared" si="0"/>
        <v>3</v>
      </c>
      <c r="X20" s="354"/>
      <c r="Y20" s="355"/>
    </row>
    <row r="21" spans="2:29" ht="18" thickBot="1">
      <c r="B21" s="327"/>
      <c r="C21" s="328"/>
      <c r="D21" s="332"/>
      <c r="E21" s="43" t="s">
        <v>347</v>
      </c>
      <c r="F21" s="371" t="s">
        <v>40</v>
      </c>
      <c r="G21" s="372"/>
      <c r="H21" s="44">
        <v>4</v>
      </c>
      <c r="I21" s="45" t="s">
        <v>342</v>
      </c>
      <c r="J21" s="156">
        <v>3</v>
      </c>
      <c r="K21" s="347"/>
      <c r="L21" s="348"/>
      <c r="M21" s="349"/>
      <c r="N21" s="350"/>
      <c r="O21" s="351"/>
      <c r="P21" s="348"/>
      <c r="Q21" s="349">
        <v>3</v>
      </c>
      <c r="R21" s="350"/>
      <c r="S21" s="351"/>
      <c r="T21" s="348"/>
      <c r="U21" s="349"/>
      <c r="V21" s="352"/>
      <c r="W21" s="47">
        <f t="shared" si="0"/>
        <v>3</v>
      </c>
      <c r="X21" s="354"/>
      <c r="Y21" s="355"/>
    </row>
    <row r="22" spans="2:29" ht="18" thickBot="1">
      <c r="B22" s="327"/>
      <c r="C22" s="328"/>
      <c r="D22" s="333"/>
      <c r="E22" s="52" t="s">
        <v>340</v>
      </c>
      <c r="F22" s="358" t="s">
        <v>344</v>
      </c>
      <c r="G22" s="363"/>
      <c r="H22" s="49">
        <v>4</v>
      </c>
      <c r="I22" s="50" t="s">
        <v>342</v>
      </c>
      <c r="J22" s="51">
        <v>3</v>
      </c>
      <c r="K22" s="358"/>
      <c r="L22" s="359"/>
      <c r="M22" s="360"/>
      <c r="N22" s="361"/>
      <c r="O22" s="362"/>
      <c r="P22" s="359"/>
      <c r="Q22" s="360"/>
      <c r="R22" s="361"/>
      <c r="S22" s="362">
        <v>3</v>
      </c>
      <c r="T22" s="359"/>
      <c r="U22" s="360"/>
      <c r="V22" s="363"/>
      <c r="W22" s="47">
        <f t="shared" si="0"/>
        <v>3</v>
      </c>
      <c r="X22" s="354"/>
      <c r="Y22" s="355"/>
    </row>
    <row r="23" spans="2:29" ht="18" thickBot="1">
      <c r="B23" s="327"/>
      <c r="C23" s="328"/>
      <c r="D23" s="331" t="s">
        <v>345</v>
      </c>
      <c r="E23" s="38" t="s">
        <v>12</v>
      </c>
      <c r="F23" s="334" t="s">
        <v>235</v>
      </c>
      <c r="G23" s="335"/>
      <c r="H23" s="39">
        <v>3</v>
      </c>
      <c r="I23" s="53">
        <v>3</v>
      </c>
      <c r="J23" s="41">
        <v>3</v>
      </c>
      <c r="K23" s="373">
        <v>3</v>
      </c>
      <c r="L23" s="374"/>
      <c r="M23" s="375"/>
      <c r="N23" s="376"/>
      <c r="O23" s="377"/>
      <c r="P23" s="374"/>
      <c r="Q23" s="375"/>
      <c r="R23" s="376"/>
      <c r="S23" s="377"/>
      <c r="T23" s="374"/>
      <c r="U23" s="375"/>
      <c r="V23" s="378"/>
      <c r="W23" s="42">
        <f t="shared" si="0"/>
        <v>3</v>
      </c>
      <c r="X23" s="353">
        <f>SUM(W23:W24)</f>
        <v>6</v>
      </c>
      <c r="Y23" s="355">
        <v>6</v>
      </c>
    </row>
    <row r="24" spans="2:29" ht="18" thickBot="1">
      <c r="B24" s="327"/>
      <c r="C24" s="328"/>
      <c r="D24" s="332"/>
      <c r="E24" s="54" t="s">
        <v>12</v>
      </c>
      <c r="F24" s="380" t="s">
        <v>236</v>
      </c>
      <c r="G24" s="381"/>
      <c r="H24" s="55">
        <v>3</v>
      </c>
      <c r="I24" s="56">
        <v>3</v>
      </c>
      <c r="J24" s="149">
        <v>3</v>
      </c>
      <c r="K24" s="358"/>
      <c r="L24" s="359"/>
      <c r="M24" s="360">
        <v>3</v>
      </c>
      <c r="N24" s="361"/>
      <c r="O24" s="362"/>
      <c r="P24" s="359"/>
      <c r="Q24" s="360"/>
      <c r="R24" s="361"/>
      <c r="S24" s="362"/>
      <c r="T24" s="359"/>
      <c r="U24" s="360"/>
      <c r="V24" s="363"/>
      <c r="W24" s="57">
        <f t="shared" si="0"/>
        <v>3</v>
      </c>
      <c r="X24" s="379"/>
      <c r="Y24" s="355"/>
      <c r="AA24" s="370"/>
      <c r="AB24" s="370"/>
      <c r="AC24" s="148"/>
    </row>
    <row r="25" spans="2:29" ht="18" thickBot="1">
      <c r="B25" s="327"/>
      <c r="C25" s="328"/>
      <c r="D25" s="332"/>
      <c r="E25" s="38" t="s">
        <v>12</v>
      </c>
      <c r="F25" s="334" t="s">
        <v>238</v>
      </c>
      <c r="G25" s="335"/>
      <c r="H25" s="39">
        <v>4</v>
      </c>
      <c r="I25" s="53" t="s">
        <v>339</v>
      </c>
      <c r="J25" s="41">
        <v>3</v>
      </c>
      <c r="K25" s="334"/>
      <c r="L25" s="336"/>
      <c r="M25" s="337"/>
      <c r="N25" s="338"/>
      <c r="O25" s="339">
        <v>3</v>
      </c>
      <c r="P25" s="336"/>
      <c r="Q25" s="337"/>
      <c r="R25" s="338"/>
      <c r="S25" s="339"/>
      <c r="T25" s="336"/>
      <c r="U25" s="337"/>
      <c r="V25" s="335"/>
      <c r="W25" s="42">
        <f t="shared" si="0"/>
        <v>3</v>
      </c>
      <c r="X25" s="353">
        <f>SUM(W25:W26)</f>
        <v>6</v>
      </c>
      <c r="Y25" s="355">
        <v>12</v>
      </c>
    </row>
    <row r="26" spans="2:29" ht="18" thickBot="1">
      <c r="B26" s="327"/>
      <c r="C26" s="328"/>
      <c r="D26" s="333"/>
      <c r="E26" s="52" t="s">
        <v>12</v>
      </c>
      <c r="F26" s="358" t="s">
        <v>239</v>
      </c>
      <c r="G26" s="363"/>
      <c r="H26" s="49">
        <v>4</v>
      </c>
      <c r="I26" s="50" t="s">
        <v>339</v>
      </c>
      <c r="J26" s="51">
        <v>3</v>
      </c>
      <c r="K26" s="358"/>
      <c r="L26" s="359"/>
      <c r="M26" s="360"/>
      <c r="N26" s="361"/>
      <c r="O26" s="362"/>
      <c r="P26" s="359"/>
      <c r="Q26" s="360">
        <v>3</v>
      </c>
      <c r="R26" s="361"/>
      <c r="S26" s="362"/>
      <c r="T26" s="359"/>
      <c r="U26" s="360"/>
      <c r="V26" s="363"/>
      <c r="W26" s="57">
        <f t="shared" si="0"/>
        <v>3</v>
      </c>
      <c r="X26" s="379"/>
      <c r="Y26" s="355"/>
    </row>
    <row r="27" spans="2:29" ht="18" thickBot="1">
      <c r="B27" s="327"/>
      <c r="C27" s="328"/>
      <c r="D27" s="331" t="s">
        <v>26</v>
      </c>
      <c r="E27" s="38" t="s">
        <v>12</v>
      </c>
      <c r="F27" s="334" t="s">
        <v>256</v>
      </c>
      <c r="G27" s="335"/>
      <c r="H27" s="39">
        <v>4</v>
      </c>
      <c r="I27" s="53" t="s">
        <v>339</v>
      </c>
      <c r="J27" s="41">
        <v>3</v>
      </c>
      <c r="K27" s="334">
        <v>3</v>
      </c>
      <c r="L27" s="336"/>
      <c r="M27" s="337"/>
      <c r="N27" s="338"/>
      <c r="O27" s="339"/>
      <c r="P27" s="336"/>
      <c r="Q27" s="337"/>
      <c r="R27" s="338"/>
      <c r="S27" s="339"/>
      <c r="T27" s="336"/>
      <c r="U27" s="337"/>
      <c r="V27" s="335"/>
      <c r="W27" s="42">
        <f t="shared" si="0"/>
        <v>3</v>
      </c>
      <c r="X27" s="326">
        <f>SUM(W27:W28)</f>
        <v>6</v>
      </c>
      <c r="Y27" s="355"/>
    </row>
    <row r="28" spans="2:29" ht="18" thickBot="1">
      <c r="B28" s="327"/>
      <c r="C28" s="328"/>
      <c r="D28" s="332"/>
      <c r="E28" s="43" t="s">
        <v>12</v>
      </c>
      <c r="F28" s="347" t="s">
        <v>257</v>
      </c>
      <c r="G28" s="352"/>
      <c r="H28" s="44">
        <v>4</v>
      </c>
      <c r="I28" s="45" t="s">
        <v>339</v>
      </c>
      <c r="J28" s="46">
        <v>3</v>
      </c>
      <c r="K28" s="347"/>
      <c r="L28" s="348"/>
      <c r="M28" s="349">
        <v>3</v>
      </c>
      <c r="N28" s="350"/>
      <c r="O28" s="351"/>
      <c r="P28" s="348"/>
      <c r="Q28" s="349"/>
      <c r="R28" s="350"/>
      <c r="S28" s="351"/>
      <c r="T28" s="348"/>
      <c r="U28" s="349"/>
      <c r="V28" s="352"/>
      <c r="W28" s="47">
        <f t="shared" si="0"/>
        <v>3</v>
      </c>
      <c r="X28" s="328"/>
      <c r="Y28" s="355"/>
    </row>
    <row r="29" spans="2:29" ht="16.5" customHeight="1" thickBot="1">
      <c r="B29" s="327"/>
      <c r="C29" s="328"/>
      <c r="D29" s="331" t="s">
        <v>8</v>
      </c>
      <c r="E29" s="38" t="s">
        <v>347</v>
      </c>
      <c r="F29" s="334" t="s">
        <v>348</v>
      </c>
      <c r="G29" s="335"/>
      <c r="H29" s="39">
        <v>3</v>
      </c>
      <c r="I29" s="53" t="s">
        <v>349</v>
      </c>
      <c r="J29" s="41">
        <f t="shared" ref="J29:J30" si="3">SUM(K29:V29)</f>
        <v>2</v>
      </c>
      <c r="K29" s="334">
        <v>2</v>
      </c>
      <c r="L29" s="336"/>
      <c r="M29" s="337"/>
      <c r="N29" s="338"/>
      <c r="O29" s="339"/>
      <c r="P29" s="336"/>
      <c r="Q29" s="337"/>
      <c r="R29" s="338"/>
      <c r="S29" s="339"/>
      <c r="T29" s="336"/>
      <c r="U29" s="337"/>
      <c r="V29" s="335"/>
      <c r="W29" s="42">
        <f>SUM(K29:V29)</f>
        <v>2</v>
      </c>
      <c r="X29" s="382">
        <f>SUM(W29:W32)</f>
        <v>8</v>
      </c>
      <c r="Y29" s="355">
        <v>8</v>
      </c>
    </row>
    <row r="30" spans="2:29" ht="18" thickBot="1">
      <c r="B30" s="327"/>
      <c r="C30" s="328"/>
      <c r="D30" s="332"/>
      <c r="E30" s="43" t="s">
        <v>347</v>
      </c>
      <c r="F30" s="347" t="s">
        <v>350</v>
      </c>
      <c r="G30" s="352"/>
      <c r="H30" s="44">
        <v>3</v>
      </c>
      <c r="I30" s="45" t="s">
        <v>349</v>
      </c>
      <c r="J30" s="46">
        <f t="shared" si="3"/>
        <v>2</v>
      </c>
      <c r="K30" s="347"/>
      <c r="L30" s="348"/>
      <c r="M30" s="349">
        <v>2</v>
      </c>
      <c r="N30" s="350"/>
      <c r="O30" s="351"/>
      <c r="P30" s="348"/>
      <c r="Q30" s="349"/>
      <c r="R30" s="350"/>
      <c r="S30" s="351"/>
      <c r="T30" s="348"/>
      <c r="U30" s="349"/>
      <c r="V30" s="352"/>
      <c r="W30" s="47">
        <f t="shared" ref="W30:W38" si="4">SUM(K30:V30)</f>
        <v>2</v>
      </c>
      <c r="X30" s="383"/>
      <c r="Y30" s="355"/>
    </row>
    <row r="31" spans="2:29" ht="18" thickBot="1">
      <c r="B31" s="327"/>
      <c r="C31" s="328"/>
      <c r="D31" s="332"/>
      <c r="E31" s="43" t="s">
        <v>340</v>
      </c>
      <c r="F31" s="371" t="s">
        <v>527</v>
      </c>
      <c r="G31" s="372"/>
      <c r="H31" s="44">
        <v>3</v>
      </c>
      <c r="I31" s="45" t="s">
        <v>349</v>
      </c>
      <c r="J31" s="46">
        <v>2</v>
      </c>
      <c r="K31" s="347"/>
      <c r="L31" s="348"/>
      <c r="M31" s="349"/>
      <c r="N31" s="350"/>
      <c r="O31" s="351">
        <v>2</v>
      </c>
      <c r="P31" s="348"/>
      <c r="Q31" s="349"/>
      <c r="R31" s="350"/>
      <c r="S31" s="351"/>
      <c r="T31" s="348"/>
      <c r="U31" s="349"/>
      <c r="V31" s="352"/>
      <c r="W31" s="47">
        <f t="shared" si="4"/>
        <v>2</v>
      </c>
      <c r="X31" s="383"/>
      <c r="Y31" s="355"/>
    </row>
    <row r="32" spans="2:29" ht="18" thickBot="1">
      <c r="B32" s="327"/>
      <c r="C32" s="328"/>
      <c r="D32" s="332"/>
      <c r="E32" s="43" t="s">
        <v>346</v>
      </c>
      <c r="F32" s="371" t="s">
        <v>351</v>
      </c>
      <c r="G32" s="372"/>
      <c r="H32" s="49">
        <v>3</v>
      </c>
      <c r="I32" s="50" t="s">
        <v>349</v>
      </c>
      <c r="J32" s="46">
        <v>2</v>
      </c>
      <c r="K32" s="347"/>
      <c r="L32" s="348"/>
      <c r="M32" s="349"/>
      <c r="N32" s="350"/>
      <c r="O32" s="351"/>
      <c r="P32" s="348"/>
      <c r="Q32" s="349">
        <v>2</v>
      </c>
      <c r="R32" s="350"/>
      <c r="S32" s="351"/>
      <c r="T32" s="348"/>
      <c r="U32" s="360"/>
      <c r="V32" s="363"/>
      <c r="W32" s="57">
        <f t="shared" si="4"/>
        <v>2</v>
      </c>
      <c r="X32" s="384"/>
      <c r="Y32" s="355"/>
    </row>
    <row r="33" spans="2:28" ht="18" thickBot="1">
      <c r="B33" s="327"/>
      <c r="C33" s="328"/>
      <c r="D33" s="331" t="s">
        <v>28</v>
      </c>
      <c r="E33" s="38" t="s">
        <v>347</v>
      </c>
      <c r="F33" s="161" t="s">
        <v>47</v>
      </c>
      <c r="G33" s="385" t="s">
        <v>528</v>
      </c>
      <c r="H33" s="155">
        <v>3</v>
      </c>
      <c r="I33" s="58" t="s">
        <v>349</v>
      </c>
      <c r="J33" s="41">
        <v>3</v>
      </c>
      <c r="K33" s="334">
        <v>3</v>
      </c>
      <c r="L33" s="336"/>
      <c r="M33" s="337"/>
      <c r="N33" s="338"/>
      <c r="O33" s="339"/>
      <c r="P33" s="336"/>
      <c r="Q33" s="337"/>
      <c r="R33" s="338"/>
      <c r="S33" s="339"/>
      <c r="T33" s="336"/>
      <c r="U33" s="387"/>
      <c r="V33" s="388"/>
      <c r="W33" s="157">
        <f t="shared" si="4"/>
        <v>3</v>
      </c>
      <c r="X33" s="383">
        <f>SUM(W33:W34)</f>
        <v>6</v>
      </c>
      <c r="Y33" s="355">
        <v>6</v>
      </c>
    </row>
    <row r="34" spans="2:28" ht="18" thickBot="1">
      <c r="B34" s="327"/>
      <c r="C34" s="328"/>
      <c r="D34" s="332"/>
      <c r="E34" s="48" t="s">
        <v>347</v>
      </c>
      <c r="F34" s="162" t="s">
        <v>9</v>
      </c>
      <c r="G34" s="386"/>
      <c r="H34" s="44">
        <v>3</v>
      </c>
      <c r="I34" s="45" t="s">
        <v>349</v>
      </c>
      <c r="J34" s="46">
        <v>3</v>
      </c>
      <c r="K34" s="347"/>
      <c r="L34" s="348"/>
      <c r="M34" s="349">
        <v>3</v>
      </c>
      <c r="N34" s="350"/>
      <c r="O34" s="351"/>
      <c r="P34" s="348"/>
      <c r="Q34" s="349"/>
      <c r="R34" s="350"/>
      <c r="S34" s="351"/>
      <c r="T34" s="348"/>
      <c r="U34" s="389"/>
      <c r="V34" s="381"/>
      <c r="W34" s="57">
        <f t="shared" si="4"/>
        <v>3</v>
      </c>
      <c r="X34" s="384"/>
      <c r="Y34" s="355"/>
    </row>
    <row r="35" spans="2:28" ht="16.2" customHeight="1" thickBot="1">
      <c r="B35" s="327"/>
      <c r="C35" s="328"/>
      <c r="D35" s="404" t="s">
        <v>353</v>
      </c>
      <c r="E35" s="38" t="s">
        <v>524</v>
      </c>
      <c r="F35" s="391" t="s">
        <v>301</v>
      </c>
      <c r="G35" s="392"/>
      <c r="H35" s="39">
        <v>4</v>
      </c>
      <c r="I35" s="53" t="s">
        <v>342</v>
      </c>
      <c r="J35" s="41">
        <v>3</v>
      </c>
      <c r="K35" s="334" t="s">
        <v>529</v>
      </c>
      <c r="L35" s="336"/>
      <c r="M35" s="337"/>
      <c r="N35" s="338"/>
      <c r="O35" s="339">
        <v>3</v>
      </c>
      <c r="P35" s="336"/>
      <c r="Q35" s="337"/>
      <c r="R35" s="338"/>
      <c r="S35" s="339"/>
      <c r="T35" s="336"/>
      <c r="U35" s="387"/>
      <c r="V35" s="388"/>
      <c r="W35" s="157">
        <f t="shared" si="4"/>
        <v>3</v>
      </c>
      <c r="X35" s="382">
        <f>SUM(W35:W38)</f>
        <v>10</v>
      </c>
      <c r="Y35" s="355">
        <v>8</v>
      </c>
    </row>
    <row r="36" spans="2:28" ht="16.2" customHeight="1" thickBot="1">
      <c r="B36" s="327"/>
      <c r="C36" s="328"/>
      <c r="D36" s="405"/>
      <c r="E36" s="43" t="s">
        <v>340</v>
      </c>
      <c r="F36" s="371" t="s">
        <v>309</v>
      </c>
      <c r="G36" s="390"/>
      <c r="H36" s="155">
        <v>4</v>
      </c>
      <c r="I36" s="159" t="s">
        <v>342</v>
      </c>
      <c r="J36" s="156">
        <v>3</v>
      </c>
      <c r="K36" s="347"/>
      <c r="L36" s="348"/>
      <c r="M36" s="349"/>
      <c r="N36" s="350"/>
      <c r="O36" s="351"/>
      <c r="P36" s="348"/>
      <c r="Q36" s="349">
        <v>3</v>
      </c>
      <c r="R36" s="350"/>
      <c r="S36" s="351"/>
      <c r="T36" s="348"/>
      <c r="U36" s="349"/>
      <c r="V36" s="352"/>
      <c r="W36" s="47">
        <f t="shared" si="4"/>
        <v>3</v>
      </c>
      <c r="X36" s="383"/>
      <c r="Y36" s="355"/>
    </row>
    <row r="37" spans="2:28" ht="16.5" customHeight="1" thickBot="1">
      <c r="B37" s="327"/>
      <c r="C37" s="328"/>
      <c r="D37" s="405"/>
      <c r="E37" s="43" t="s">
        <v>340</v>
      </c>
      <c r="F37" s="163" t="s">
        <v>530</v>
      </c>
      <c r="G37" s="393" t="s">
        <v>528</v>
      </c>
      <c r="H37" s="44">
        <v>3</v>
      </c>
      <c r="I37" s="45" t="s">
        <v>349</v>
      </c>
      <c r="J37" s="46">
        <v>2</v>
      </c>
      <c r="K37" s="347">
        <v>2</v>
      </c>
      <c r="L37" s="348"/>
      <c r="M37" s="349"/>
      <c r="N37" s="350"/>
      <c r="O37" s="351" t="s">
        <v>529</v>
      </c>
      <c r="P37" s="348"/>
      <c r="Q37" s="349"/>
      <c r="R37" s="350"/>
      <c r="S37" s="351"/>
      <c r="T37" s="348"/>
      <c r="U37" s="349"/>
      <c r="V37" s="352"/>
      <c r="W37" s="47">
        <f t="shared" si="4"/>
        <v>2</v>
      </c>
      <c r="X37" s="383"/>
      <c r="Y37" s="355"/>
    </row>
    <row r="38" spans="2:28" ht="18" thickBot="1">
      <c r="B38" s="329"/>
      <c r="C38" s="330"/>
      <c r="D38" s="405"/>
      <c r="E38" s="48" t="s">
        <v>347</v>
      </c>
      <c r="F38" s="181" t="s">
        <v>50</v>
      </c>
      <c r="G38" s="386"/>
      <c r="H38" s="49">
        <v>3</v>
      </c>
      <c r="I38" s="50" t="s">
        <v>349</v>
      </c>
      <c r="J38" s="51">
        <v>2</v>
      </c>
      <c r="K38" s="358" t="s">
        <v>529</v>
      </c>
      <c r="L38" s="359"/>
      <c r="M38" s="360">
        <v>2</v>
      </c>
      <c r="N38" s="361"/>
      <c r="O38" s="351"/>
      <c r="P38" s="348"/>
      <c r="Q38" s="349" t="s">
        <v>529</v>
      </c>
      <c r="R38" s="350"/>
      <c r="S38" s="351"/>
      <c r="T38" s="348"/>
      <c r="U38" s="349"/>
      <c r="V38" s="352"/>
      <c r="W38" s="47">
        <f t="shared" si="4"/>
        <v>2</v>
      </c>
      <c r="X38" s="384"/>
      <c r="Y38" s="355"/>
    </row>
    <row r="39" spans="2:28" ht="24.75" customHeight="1" thickBot="1">
      <c r="B39" s="394" t="s">
        <v>361</v>
      </c>
      <c r="C39" s="395"/>
      <c r="D39" s="395"/>
      <c r="E39" s="395"/>
      <c r="F39" s="395"/>
      <c r="G39" s="396"/>
      <c r="H39" s="147">
        <f>SUM(H9:H38)</f>
        <v>110</v>
      </c>
      <c r="I39" s="18"/>
      <c r="J39" s="146">
        <f>SUM(J9:J38)</f>
        <v>84</v>
      </c>
      <c r="K39" s="397">
        <f>SUM(K9:L38)</f>
        <v>22</v>
      </c>
      <c r="L39" s="398"/>
      <c r="M39" s="398">
        <f>SUM(M9:N38)</f>
        <v>22</v>
      </c>
      <c r="N39" s="399"/>
      <c r="O39" s="400">
        <f>SUM(O9:P38)</f>
        <v>17</v>
      </c>
      <c r="P39" s="398"/>
      <c r="Q39" s="398">
        <f>SUM(Q9:R38)</f>
        <v>17</v>
      </c>
      <c r="R39" s="401"/>
      <c r="S39" s="402">
        <f>SUM(S9:T38)</f>
        <v>6</v>
      </c>
      <c r="T39" s="398"/>
      <c r="U39" s="398">
        <f>SUM(U9:V38)</f>
        <v>0</v>
      </c>
      <c r="V39" s="403"/>
      <c r="W39" s="394">
        <f>SUM(K39:V39)</f>
        <v>84</v>
      </c>
      <c r="X39" s="402"/>
      <c r="Y39" s="146">
        <f>SUM(Y9:Y38)</f>
        <v>64</v>
      </c>
      <c r="AA39" s="406" t="b">
        <f>W39&gt;=Y39</f>
        <v>1</v>
      </c>
      <c r="AB39" s="407"/>
    </row>
    <row r="40" spans="2:28" ht="17.25" customHeight="1">
      <c r="B40" s="408" t="s">
        <v>354</v>
      </c>
      <c r="C40" s="409"/>
      <c r="D40" s="412" t="s">
        <v>355</v>
      </c>
      <c r="E40" s="413"/>
      <c r="F40" s="416" t="s">
        <v>531</v>
      </c>
      <c r="G40" s="417"/>
      <c r="H40" s="166"/>
      <c r="I40" s="178"/>
      <c r="J40" s="179">
        <v>2</v>
      </c>
      <c r="K40" s="418"/>
      <c r="L40" s="419"/>
      <c r="M40" s="420">
        <v>2</v>
      </c>
      <c r="N40" s="421"/>
      <c r="O40" s="418"/>
      <c r="P40" s="419"/>
      <c r="Q40" s="420"/>
      <c r="R40" s="421"/>
      <c r="S40" s="418"/>
      <c r="T40" s="419"/>
      <c r="U40" s="420" t="s">
        <v>529</v>
      </c>
      <c r="V40" s="422"/>
      <c r="W40" s="423">
        <f>SUM(K40:V40)</f>
        <v>2</v>
      </c>
      <c r="X40" s="424"/>
      <c r="Y40" s="425">
        <v>80</v>
      </c>
    </row>
    <row r="41" spans="2:28" ht="17.25" customHeight="1" thickBot="1">
      <c r="B41" s="410"/>
      <c r="C41" s="411"/>
      <c r="D41" s="414"/>
      <c r="E41" s="415"/>
      <c r="F41" s="428" t="s">
        <v>532</v>
      </c>
      <c r="G41" s="429"/>
      <c r="H41" s="169"/>
      <c r="I41" s="183"/>
      <c r="J41" s="171">
        <v>2</v>
      </c>
      <c r="K41" s="430"/>
      <c r="L41" s="431"/>
      <c r="M41" s="432"/>
      <c r="N41" s="433"/>
      <c r="O41" s="430"/>
      <c r="P41" s="431"/>
      <c r="Q41" s="432"/>
      <c r="R41" s="433"/>
      <c r="S41" s="430">
        <v>2</v>
      </c>
      <c r="T41" s="431"/>
      <c r="U41" s="432"/>
      <c r="V41" s="434"/>
      <c r="W41" s="435">
        <f>SUM(K41:V41)</f>
        <v>2</v>
      </c>
      <c r="X41" s="436"/>
      <c r="Y41" s="426"/>
    </row>
    <row r="42" spans="2:28" ht="17.25" customHeight="1">
      <c r="B42" s="410"/>
      <c r="C42" s="411"/>
      <c r="D42" s="62" t="s">
        <v>66</v>
      </c>
      <c r="E42" s="65" t="s">
        <v>356</v>
      </c>
      <c r="F42" s="437" t="s">
        <v>533</v>
      </c>
      <c r="G42" s="438"/>
      <c r="H42" s="33"/>
      <c r="I42" s="32"/>
      <c r="J42" s="174">
        <v>5</v>
      </c>
      <c r="K42" s="439">
        <v>5</v>
      </c>
      <c r="L42" s="440"/>
      <c r="M42" s="441"/>
      <c r="N42" s="442"/>
      <c r="O42" s="443"/>
      <c r="P42" s="440"/>
      <c r="Q42" s="441"/>
      <c r="R42" s="444"/>
      <c r="S42" s="442"/>
      <c r="T42" s="440"/>
      <c r="U42" s="441"/>
      <c r="V42" s="445"/>
      <c r="W42" s="446">
        <f t="shared" ref="W42:W58" si="5">SUM(K42:V42)</f>
        <v>5</v>
      </c>
      <c r="X42" s="447"/>
      <c r="Y42" s="427"/>
    </row>
    <row r="43" spans="2:28" ht="17.25" customHeight="1">
      <c r="B43" s="410"/>
      <c r="C43" s="411"/>
      <c r="D43" s="59" t="s">
        <v>66</v>
      </c>
      <c r="E43" s="60" t="s">
        <v>356</v>
      </c>
      <c r="F43" s="451" t="s">
        <v>534</v>
      </c>
      <c r="G43" s="452"/>
      <c r="H43" s="33"/>
      <c r="I43" s="32"/>
      <c r="J43" s="174">
        <v>2</v>
      </c>
      <c r="K43" s="371">
        <v>2</v>
      </c>
      <c r="L43" s="453"/>
      <c r="M43" s="448"/>
      <c r="N43" s="454"/>
      <c r="O43" s="455"/>
      <c r="P43" s="453"/>
      <c r="Q43" s="448"/>
      <c r="R43" s="454"/>
      <c r="S43" s="455"/>
      <c r="T43" s="453"/>
      <c r="U43" s="448"/>
      <c r="V43" s="372"/>
      <c r="W43" s="449">
        <f t="shared" si="5"/>
        <v>2</v>
      </c>
      <c r="X43" s="450"/>
      <c r="Y43" s="427"/>
    </row>
    <row r="44" spans="2:28" ht="17.25" customHeight="1">
      <c r="B44" s="410"/>
      <c r="C44" s="411"/>
      <c r="D44" s="59" t="s">
        <v>66</v>
      </c>
      <c r="E44" s="60" t="s">
        <v>356</v>
      </c>
      <c r="F44" s="451" t="s">
        <v>535</v>
      </c>
      <c r="G44" s="452"/>
      <c r="H44" s="33"/>
      <c r="I44" s="32"/>
      <c r="J44" s="174">
        <v>5</v>
      </c>
      <c r="K44" s="371"/>
      <c r="L44" s="453"/>
      <c r="M44" s="448">
        <v>5</v>
      </c>
      <c r="N44" s="454"/>
      <c r="O44" s="455"/>
      <c r="P44" s="453"/>
      <c r="Q44" s="448"/>
      <c r="R44" s="454"/>
      <c r="S44" s="455"/>
      <c r="T44" s="453"/>
      <c r="U44" s="448"/>
      <c r="V44" s="372"/>
      <c r="W44" s="449">
        <f t="shared" si="5"/>
        <v>5</v>
      </c>
      <c r="X44" s="450"/>
      <c r="Y44" s="427"/>
    </row>
    <row r="45" spans="2:28" ht="17.25" customHeight="1">
      <c r="B45" s="410"/>
      <c r="C45" s="411"/>
      <c r="D45" s="59" t="s">
        <v>66</v>
      </c>
      <c r="E45" s="60" t="s">
        <v>356</v>
      </c>
      <c r="F45" s="458" t="s">
        <v>592</v>
      </c>
      <c r="G45" s="459"/>
      <c r="H45" s="33"/>
      <c r="I45" s="140"/>
      <c r="J45" s="174">
        <f t="shared" ref="J45:J48" si="6">SUM(K45:V45)</f>
        <v>4</v>
      </c>
      <c r="K45" s="460"/>
      <c r="L45" s="461"/>
      <c r="M45" s="456"/>
      <c r="N45" s="464"/>
      <c r="O45" s="455"/>
      <c r="P45" s="453"/>
      <c r="Q45" s="448">
        <v>4</v>
      </c>
      <c r="R45" s="454"/>
      <c r="S45" s="464"/>
      <c r="T45" s="461"/>
      <c r="U45" s="456"/>
      <c r="V45" s="457"/>
      <c r="W45" s="449">
        <f t="shared" si="5"/>
        <v>4</v>
      </c>
      <c r="X45" s="450"/>
      <c r="Y45" s="427"/>
    </row>
    <row r="46" spans="2:28" ht="17.25" customHeight="1">
      <c r="B46" s="410"/>
      <c r="C46" s="411"/>
      <c r="D46" s="59" t="s">
        <v>66</v>
      </c>
      <c r="E46" s="60" t="s">
        <v>356</v>
      </c>
      <c r="F46" s="458" t="s">
        <v>593</v>
      </c>
      <c r="G46" s="459"/>
      <c r="H46" s="33"/>
      <c r="I46" s="140"/>
      <c r="J46" s="174">
        <f t="shared" si="6"/>
        <v>5</v>
      </c>
      <c r="K46" s="460"/>
      <c r="L46" s="461"/>
      <c r="M46" s="456"/>
      <c r="N46" s="462"/>
      <c r="O46" s="455"/>
      <c r="P46" s="453"/>
      <c r="Q46" s="448">
        <v>5</v>
      </c>
      <c r="R46" s="454"/>
      <c r="S46" s="463"/>
      <c r="T46" s="461"/>
      <c r="U46" s="456"/>
      <c r="V46" s="457"/>
      <c r="W46" s="449">
        <f t="shared" ref="W46" si="7">SUM(K46:V46)</f>
        <v>5</v>
      </c>
      <c r="X46" s="450"/>
      <c r="Y46" s="427"/>
    </row>
    <row r="47" spans="2:28" ht="17.25" customHeight="1">
      <c r="B47" s="410"/>
      <c r="C47" s="411"/>
      <c r="D47" s="59" t="s">
        <v>66</v>
      </c>
      <c r="E47" s="60" t="s">
        <v>356</v>
      </c>
      <c r="F47" s="458" t="s">
        <v>599</v>
      </c>
      <c r="G47" s="459"/>
      <c r="H47" s="172"/>
      <c r="I47" s="182"/>
      <c r="J47" s="174">
        <f t="shared" si="6"/>
        <v>5</v>
      </c>
      <c r="K47" s="371"/>
      <c r="L47" s="453"/>
      <c r="M47" s="448"/>
      <c r="N47" s="454"/>
      <c r="O47" s="455">
        <v>5</v>
      </c>
      <c r="P47" s="453"/>
      <c r="Q47" s="448"/>
      <c r="R47" s="454"/>
      <c r="S47" s="455"/>
      <c r="T47" s="453"/>
      <c r="U47" s="448"/>
      <c r="V47" s="372"/>
      <c r="W47" s="449">
        <f t="shared" si="5"/>
        <v>5</v>
      </c>
      <c r="X47" s="450"/>
      <c r="Y47" s="427"/>
    </row>
    <row r="48" spans="2:28" ht="17.25" customHeight="1">
      <c r="B48" s="410"/>
      <c r="C48" s="411"/>
      <c r="D48" s="59" t="s">
        <v>66</v>
      </c>
      <c r="E48" s="60" t="s">
        <v>356</v>
      </c>
      <c r="F48" s="458" t="s">
        <v>536</v>
      </c>
      <c r="G48" s="459"/>
      <c r="H48" s="172"/>
      <c r="I48" s="182"/>
      <c r="J48" s="174">
        <f t="shared" si="6"/>
        <v>4</v>
      </c>
      <c r="K48" s="371"/>
      <c r="L48" s="453"/>
      <c r="M48" s="448"/>
      <c r="N48" s="454"/>
      <c r="O48" s="455">
        <v>4</v>
      </c>
      <c r="P48" s="453"/>
      <c r="Q48" s="448"/>
      <c r="R48" s="454"/>
      <c r="S48" s="455"/>
      <c r="T48" s="453"/>
      <c r="U48" s="448"/>
      <c r="V48" s="372"/>
      <c r="W48" s="449">
        <f t="shared" si="5"/>
        <v>4</v>
      </c>
      <c r="X48" s="450"/>
      <c r="Y48" s="427"/>
    </row>
    <row r="49" spans="2:29" ht="17.25" customHeight="1">
      <c r="B49" s="410"/>
      <c r="C49" s="411"/>
      <c r="D49" s="59" t="s">
        <v>66</v>
      </c>
      <c r="E49" s="60" t="s">
        <v>357</v>
      </c>
      <c r="F49" s="458" t="s">
        <v>539</v>
      </c>
      <c r="G49" s="459"/>
      <c r="H49" s="33"/>
      <c r="I49" s="32"/>
      <c r="J49" s="174">
        <v>6</v>
      </c>
      <c r="K49" s="460"/>
      <c r="L49" s="461"/>
      <c r="M49" s="456"/>
      <c r="N49" s="462"/>
      <c r="O49" s="455">
        <v>3</v>
      </c>
      <c r="P49" s="453"/>
      <c r="Q49" s="448">
        <v>3</v>
      </c>
      <c r="R49" s="454"/>
      <c r="S49" s="463"/>
      <c r="T49" s="461"/>
      <c r="U49" s="456"/>
      <c r="V49" s="457"/>
      <c r="W49" s="449">
        <f t="shared" si="5"/>
        <v>6</v>
      </c>
      <c r="X49" s="450"/>
      <c r="Y49" s="427"/>
    </row>
    <row r="50" spans="2:29" ht="17.25" customHeight="1">
      <c r="B50" s="410"/>
      <c r="C50" s="411"/>
      <c r="D50" s="59" t="s">
        <v>66</v>
      </c>
      <c r="E50" s="60" t="s">
        <v>356</v>
      </c>
      <c r="F50" s="458" t="s">
        <v>597</v>
      </c>
      <c r="G50" s="459"/>
      <c r="H50" s="172"/>
      <c r="I50" s="182"/>
      <c r="J50" s="174">
        <f t="shared" ref="J50:J51" si="8">SUM(K50:V50)</f>
        <v>4</v>
      </c>
      <c r="K50" s="371"/>
      <c r="L50" s="453"/>
      <c r="M50" s="448"/>
      <c r="N50" s="454"/>
      <c r="O50" s="455"/>
      <c r="P50" s="453"/>
      <c r="Q50" s="448"/>
      <c r="R50" s="454"/>
      <c r="S50" s="455">
        <v>4</v>
      </c>
      <c r="T50" s="453"/>
      <c r="U50" s="448"/>
      <c r="V50" s="372"/>
      <c r="W50" s="449">
        <f t="shared" ref="W50:W51" si="9">SUM(K50:V50)</f>
        <v>4</v>
      </c>
      <c r="X50" s="450"/>
      <c r="Y50" s="427"/>
    </row>
    <row r="51" spans="2:29" ht="17.25" customHeight="1">
      <c r="B51" s="410"/>
      <c r="C51" s="411"/>
      <c r="D51" s="59" t="s">
        <v>66</v>
      </c>
      <c r="E51" s="60" t="s">
        <v>356</v>
      </c>
      <c r="F51" s="458" t="s">
        <v>600</v>
      </c>
      <c r="G51" s="459"/>
      <c r="H51" s="172"/>
      <c r="I51" s="182"/>
      <c r="J51" s="174">
        <f t="shared" si="8"/>
        <v>4</v>
      </c>
      <c r="K51" s="371"/>
      <c r="L51" s="453"/>
      <c r="M51" s="448"/>
      <c r="N51" s="454"/>
      <c r="O51" s="455"/>
      <c r="P51" s="453"/>
      <c r="Q51" s="448"/>
      <c r="R51" s="454"/>
      <c r="S51" s="455"/>
      <c r="T51" s="453"/>
      <c r="U51" s="448">
        <v>4</v>
      </c>
      <c r="V51" s="372"/>
      <c r="W51" s="449">
        <f t="shared" si="9"/>
        <v>4</v>
      </c>
      <c r="X51" s="450"/>
      <c r="Y51" s="427"/>
    </row>
    <row r="52" spans="2:29" ht="17.25" customHeight="1">
      <c r="B52" s="410"/>
      <c r="C52" s="411"/>
      <c r="D52" s="184" t="s">
        <v>66</v>
      </c>
      <c r="E52" s="185" t="s">
        <v>356</v>
      </c>
      <c r="F52" s="467" t="s">
        <v>541</v>
      </c>
      <c r="G52" s="468"/>
      <c r="H52" s="172"/>
      <c r="I52" s="173"/>
      <c r="J52" s="174">
        <v>2</v>
      </c>
      <c r="K52" s="371"/>
      <c r="L52" s="453"/>
      <c r="M52" s="448"/>
      <c r="N52" s="454"/>
      <c r="O52" s="455"/>
      <c r="P52" s="453"/>
      <c r="Q52" s="448"/>
      <c r="R52" s="454"/>
      <c r="S52" s="455"/>
      <c r="T52" s="453"/>
      <c r="U52" s="448">
        <v>2</v>
      </c>
      <c r="V52" s="372"/>
      <c r="W52" s="449">
        <f t="shared" si="5"/>
        <v>2</v>
      </c>
      <c r="X52" s="450"/>
      <c r="Y52" s="427"/>
    </row>
    <row r="53" spans="2:29" ht="17.25" customHeight="1">
      <c r="B53" s="410"/>
      <c r="C53" s="411"/>
      <c r="D53" s="184" t="s">
        <v>66</v>
      </c>
      <c r="E53" s="185" t="s">
        <v>356</v>
      </c>
      <c r="F53" s="465" t="s">
        <v>542</v>
      </c>
      <c r="G53" s="466"/>
      <c r="H53" s="172"/>
      <c r="I53" s="173"/>
      <c r="J53" s="174">
        <v>3</v>
      </c>
      <c r="K53" s="371"/>
      <c r="L53" s="453"/>
      <c r="M53" s="448"/>
      <c r="N53" s="454"/>
      <c r="O53" s="455"/>
      <c r="P53" s="453"/>
      <c r="Q53" s="448"/>
      <c r="R53" s="454"/>
      <c r="S53" s="464"/>
      <c r="T53" s="461"/>
      <c r="U53" s="448">
        <v>3</v>
      </c>
      <c r="V53" s="372"/>
      <c r="W53" s="449">
        <f t="shared" si="5"/>
        <v>3</v>
      </c>
      <c r="X53" s="450"/>
      <c r="Y53" s="427"/>
    </row>
    <row r="54" spans="2:29" ht="17.25" customHeight="1">
      <c r="B54" s="410"/>
      <c r="C54" s="411"/>
      <c r="D54" s="184" t="s">
        <v>66</v>
      </c>
      <c r="E54" s="185" t="s">
        <v>356</v>
      </c>
      <c r="F54" s="465" t="s">
        <v>543</v>
      </c>
      <c r="G54" s="466"/>
      <c r="H54" s="172"/>
      <c r="I54" s="173"/>
      <c r="J54" s="174">
        <v>3</v>
      </c>
      <c r="K54" s="371"/>
      <c r="L54" s="453"/>
      <c r="M54" s="448"/>
      <c r="N54" s="454"/>
      <c r="O54" s="455"/>
      <c r="P54" s="453"/>
      <c r="Q54" s="448"/>
      <c r="R54" s="454"/>
      <c r="S54" s="463"/>
      <c r="T54" s="461"/>
      <c r="U54" s="448">
        <v>3</v>
      </c>
      <c r="V54" s="372"/>
      <c r="W54" s="449">
        <f t="shared" si="5"/>
        <v>3</v>
      </c>
      <c r="X54" s="450"/>
      <c r="Y54" s="427"/>
    </row>
    <row r="55" spans="2:29" ht="17.25" customHeight="1">
      <c r="B55" s="410"/>
      <c r="C55" s="411"/>
      <c r="D55" s="59" t="s">
        <v>133</v>
      </c>
      <c r="E55" s="205" t="s">
        <v>357</v>
      </c>
      <c r="F55" s="544" t="s">
        <v>544</v>
      </c>
      <c r="G55" s="545"/>
      <c r="H55" s="189"/>
      <c r="I55" s="190"/>
      <c r="J55" s="191">
        <f t="shared" ref="J55:J57" si="10">SUM(K55:V55)</f>
        <v>8</v>
      </c>
      <c r="K55" s="605"/>
      <c r="L55" s="606"/>
      <c r="M55" s="583"/>
      <c r="N55" s="607"/>
      <c r="O55" s="585"/>
      <c r="P55" s="586"/>
      <c r="Q55" s="583"/>
      <c r="R55" s="584"/>
      <c r="S55" s="607">
        <v>4</v>
      </c>
      <c r="T55" s="586"/>
      <c r="U55" s="583">
        <v>4</v>
      </c>
      <c r="V55" s="390"/>
      <c r="W55" s="449">
        <f t="shared" si="5"/>
        <v>8</v>
      </c>
      <c r="X55" s="450"/>
      <c r="Y55" s="427"/>
    </row>
    <row r="56" spans="2:29" ht="17.25" customHeight="1">
      <c r="B56" s="410"/>
      <c r="C56" s="411"/>
      <c r="D56" s="59" t="s">
        <v>66</v>
      </c>
      <c r="E56" s="205" t="s">
        <v>357</v>
      </c>
      <c r="F56" s="544" t="s">
        <v>601</v>
      </c>
      <c r="G56" s="545"/>
      <c r="H56" s="189"/>
      <c r="I56" s="190"/>
      <c r="J56" s="191">
        <f t="shared" si="10"/>
        <v>6</v>
      </c>
      <c r="K56" s="605"/>
      <c r="L56" s="606"/>
      <c r="M56" s="583"/>
      <c r="N56" s="607"/>
      <c r="O56" s="585"/>
      <c r="P56" s="586"/>
      <c r="Q56" s="583"/>
      <c r="R56" s="584"/>
      <c r="S56" s="607">
        <v>3</v>
      </c>
      <c r="T56" s="586"/>
      <c r="U56" s="583">
        <v>3</v>
      </c>
      <c r="V56" s="390"/>
      <c r="W56" s="449">
        <f t="shared" si="5"/>
        <v>6</v>
      </c>
      <c r="X56" s="450"/>
      <c r="Y56" s="427"/>
    </row>
    <row r="57" spans="2:29" ht="16.5" customHeight="1">
      <c r="B57" s="410"/>
      <c r="C57" s="411"/>
      <c r="D57" s="59" t="s">
        <v>66</v>
      </c>
      <c r="E57" s="60" t="s">
        <v>357</v>
      </c>
      <c r="F57" s="458" t="s">
        <v>596</v>
      </c>
      <c r="G57" s="459"/>
      <c r="H57" s="177"/>
      <c r="I57" s="182"/>
      <c r="J57" s="174">
        <f t="shared" si="10"/>
        <v>6</v>
      </c>
      <c r="K57" s="366"/>
      <c r="L57" s="569"/>
      <c r="M57" s="448"/>
      <c r="N57" s="469"/>
      <c r="O57" s="455"/>
      <c r="P57" s="453"/>
      <c r="Q57" s="448"/>
      <c r="R57" s="454"/>
      <c r="S57" s="469">
        <v>3</v>
      </c>
      <c r="T57" s="453"/>
      <c r="U57" s="448">
        <v>3</v>
      </c>
      <c r="V57" s="372"/>
      <c r="W57" s="449">
        <f t="shared" si="5"/>
        <v>6</v>
      </c>
      <c r="X57" s="450"/>
      <c r="Y57" s="427"/>
    </row>
    <row r="58" spans="2:29" ht="16.5" customHeight="1" thickBot="1">
      <c r="B58" s="410"/>
      <c r="C58" s="411"/>
      <c r="D58" s="59" t="s">
        <v>66</v>
      </c>
      <c r="E58" s="60" t="s">
        <v>357</v>
      </c>
      <c r="F58" s="458" t="s">
        <v>548</v>
      </c>
      <c r="G58" s="459"/>
      <c r="H58" s="189"/>
      <c r="I58" s="190"/>
      <c r="J58" s="191">
        <v>4</v>
      </c>
      <c r="K58" s="371"/>
      <c r="L58" s="453"/>
      <c r="M58" s="448"/>
      <c r="N58" s="469"/>
      <c r="O58" s="455"/>
      <c r="P58" s="453"/>
      <c r="Q58" s="448"/>
      <c r="R58" s="454"/>
      <c r="S58" s="469">
        <v>2</v>
      </c>
      <c r="T58" s="453"/>
      <c r="U58" s="448">
        <v>2</v>
      </c>
      <c r="V58" s="372"/>
      <c r="W58" s="449">
        <f t="shared" si="5"/>
        <v>4</v>
      </c>
      <c r="X58" s="450"/>
      <c r="Y58" s="427"/>
    </row>
    <row r="59" spans="2:29" ht="20.25" customHeight="1" thickBot="1">
      <c r="B59" s="531" t="s">
        <v>154</v>
      </c>
      <c r="C59" s="206" t="s">
        <v>602</v>
      </c>
      <c r="D59" s="63" t="s">
        <v>66</v>
      </c>
      <c r="E59" s="64" t="s">
        <v>357</v>
      </c>
      <c r="F59" s="599" t="s">
        <v>594</v>
      </c>
      <c r="G59" s="600"/>
      <c r="H59" s="208"/>
      <c r="I59" s="209"/>
      <c r="J59" s="198">
        <f t="shared" ref="J59:J60" si="11">SUM(K59:V59)</f>
        <v>10</v>
      </c>
      <c r="K59" s="601"/>
      <c r="L59" s="602"/>
      <c r="M59" s="597"/>
      <c r="N59" s="603"/>
      <c r="O59" s="604"/>
      <c r="P59" s="602"/>
      <c r="Q59" s="597"/>
      <c r="R59" s="603"/>
      <c r="S59" s="604">
        <v>5</v>
      </c>
      <c r="T59" s="602"/>
      <c r="U59" s="597">
        <v>5</v>
      </c>
      <c r="V59" s="598"/>
      <c r="W59" s="547">
        <f>SUM(K59:V59)</f>
        <v>10</v>
      </c>
      <c r="X59" s="548"/>
      <c r="Y59" s="427"/>
    </row>
    <row r="60" spans="2:29" ht="20.25" customHeight="1" thickBot="1">
      <c r="B60" s="532"/>
      <c r="C60" s="207" t="s">
        <v>603</v>
      </c>
      <c r="D60" s="63" t="s">
        <v>66</v>
      </c>
      <c r="E60" s="64" t="s">
        <v>357</v>
      </c>
      <c r="F60" s="594" t="s">
        <v>595</v>
      </c>
      <c r="G60" s="595"/>
      <c r="H60" s="31"/>
      <c r="I60" s="188"/>
      <c r="J60" s="180">
        <f t="shared" si="11"/>
        <v>10</v>
      </c>
      <c r="K60" s="553"/>
      <c r="L60" s="541"/>
      <c r="M60" s="538"/>
      <c r="N60" s="596"/>
      <c r="O60" s="540"/>
      <c r="P60" s="541"/>
      <c r="Q60" s="538"/>
      <c r="R60" s="539"/>
      <c r="S60" s="540">
        <v>5</v>
      </c>
      <c r="T60" s="541"/>
      <c r="U60" s="538">
        <v>5</v>
      </c>
      <c r="V60" s="543"/>
      <c r="W60" s="549"/>
      <c r="X60" s="550"/>
      <c r="Y60" s="427"/>
    </row>
    <row r="61" spans="2:29" ht="24.75" customHeight="1">
      <c r="B61" s="489" t="s">
        <v>362</v>
      </c>
      <c r="C61" s="485"/>
      <c r="D61" s="485"/>
      <c r="E61" s="485"/>
      <c r="F61" s="485"/>
      <c r="G61" s="487"/>
      <c r="H61" s="493">
        <f>SUM(H40:H58)</f>
        <v>0</v>
      </c>
      <c r="I61" s="495">
        <f>SUM(I40:I58)</f>
        <v>0</v>
      </c>
      <c r="J61" s="497">
        <f>SUM(J40:J59)</f>
        <v>90</v>
      </c>
      <c r="K61" s="489">
        <f>SUM(K40:L60)</f>
        <v>7</v>
      </c>
      <c r="L61" s="478"/>
      <c r="M61" s="481">
        <f>SUM(M40:N60)</f>
        <v>7</v>
      </c>
      <c r="N61" s="485"/>
      <c r="O61" s="477">
        <f>SUM(O40:P60)</f>
        <v>12</v>
      </c>
      <c r="P61" s="478"/>
      <c r="Q61" s="481">
        <f>SUM(Q40:R60)</f>
        <v>12</v>
      </c>
      <c r="R61" s="482"/>
      <c r="S61" s="485">
        <f>SUM(S40:T59)</f>
        <v>23</v>
      </c>
      <c r="T61" s="478"/>
      <c r="U61" s="481">
        <f>SUM(U40:V59)</f>
        <v>29</v>
      </c>
      <c r="V61" s="487"/>
      <c r="W61" s="489">
        <f>SUM(K61:V62)</f>
        <v>90</v>
      </c>
      <c r="X61" s="487"/>
      <c r="Y61" s="491">
        <f>SUM(Y40:Y60)</f>
        <v>80</v>
      </c>
      <c r="AC61" s="148"/>
    </row>
    <row r="62" spans="2:29" ht="18" thickBot="1">
      <c r="B62" s="490"/>
      <c r="C62" s="486"/>
      <c r="D62" s="486"/>
      <c r="E62" s="486"/>
      <c r="F62" s="486"/>
      <c r="G62" s="488"/>
      <c r="H62" s="494"/>
      <c r="I62" s="496"/>
      <c r="J62" s="498"/>
      <c r="K62" s="490"/>
      <c r="L62" s="480"/>
      <c r="M62" s="483"/>
      <c r="N62" s="486"/>
      <c r="O62" s="479"/>
      <c r="P62" s="480"/>
      <c r="Q62" s="483"/>
      <c r="R62" s="484"/>
      <c r="S62" s="486"/>
      <c r="T62" s="480"/>
      <c r="U62" s="483"/>
      <c r="V62" s="488"/>
      <c r="W62" s="490"/>
      <c r="X62" s="488"/>
      <c r="Y62" s="492"/>
      <c r="AC62" s="66"/>
    </row>
    <row r="63" spans="2:29" ht="17.25" customHeight="1" thickBot="1">
      <c r="B63" s="394"/>
      <c r="C63" s="395"/>
      <c r="D63" s="395"/>
      <c r="E63" s="395"/>
      <c r="F63" s="395"/>
      <c r="G63" s="396"/>
      <c r="H63" s="150">
        <f>SUM(H39,H61)</f>
        <v>110</v>
      </c>
      <c r="I63" s="145">
        <f>SUM(I39,I61)</f>
        <v>0</v>
      </c>
      <c r="J63" s="146">
        <f>SUM(J39,J61)</f>
        <v>174</v>
      </c>
      <c r="K63" s="394">
        <f>SUM(K39,K61)</f>
        <v>29</v>
      </c>
      <c r="L63" s="402"/>
      <c r="M63" s="399">
        <f>SUM(M39,M61)</f>
        <v>29</v>
      </c>
      <c r="N63" s="512"/>
      <c r="O63" s="513">
        <f>SUM(O39,O61)</f>
        <v>29</v>
      </c>
      <c r="P63" s="402"/>
      <c r="Q63" s="399">
        <f>SUM(Q39,Q61)</f>
        <v>29</v>
      </c>
      <c r="R63" s="512"/>
      <c r="S63" s="513">
        <f>SUM(S39,S61)</f>
        <v>29</v>
      </c>
      <c r="T63" s="402"/>
      <c r="U63" s="399">
        <f>SUM(U39,U61)</f>
        <v>29</v>
      </c>
      <c r="V63" s="396"/>
      <c r="W63" s="394">
        <f>SUM(K63:V63)</f>
        <v>174</v>
      </c>
      <c r="X63" s="396"/>
      <c r="Y63" s="11">
        <f>Y61+Y39</f>
        <v>144</v>
      </c>
      <c r="AA63" s="370" t="s">
        <v>155</v>
      </c>
      <c r="AB63" s="370"/>
    </row>
    <row r="64" spans="2:29" ht="18.75" customHeight="1" thickBot="1">
      <c r="B64" s="500" t="s">
        <v>363</v>
      </c>
      <c r="C64" s="501"/>
      <c r="D64" s="501"/>
      <c r="E64" s="502"/>
      <c r="F64" s="509" t="s">
        <v>359</v>
      </c>
      <c r="G64" s="510"/>
      <c r="H64" s="510"/>
      <c r="I64" s="510"/>
      <c r="J64" s="511"/>
      <c r="K64" s="334">
        <v>16</v>
      </c>
      <c r="L64" s="336"/>
      <c r="M64" s="337">
        <v>16</v>
      </c>
      <c r="N64" s="338"/>
      <c r="O64" s="339">
        <v>16</v>
      </c>
      <c r="P64" s="336"/>
      <c r="Q64" s="337">
        <v>16</v>
      </c>
      <c r="R64" s="338"/>
      <c r="S64" s="339">
        <v>16</v>
      </c>
      <c r="T64" s="336"/>
      <c r="U64" s="337">
        <v>16</v>
      </c>
      <c r="V64" s="335"/>
      <c r="W64" s="500">
        <f>SUM(K64:V66)</f>
        <v>288</v>
      </c>
      <c r="X64" s="502"/>
      <c r="Y64" s="491">
        <f>Y67*16</f>
        <v>288</v>
      </c>
      <c r="AA64" s="499"/>
      <c r="AB64" s="499"/>
    </row>
    <row r="65" spans="2:28" ht="17.25" customHeight="1" thickBot="1">
      <c r="B65" s="503"/>
      <c r="C65" s="504"/>
      <c r="D65" s="504"/>
      <c r="E65" s="505"/>
      <c r="F65" s="514" t="s">
        <v>63</v>
      </c>
      <c r="G65" s="515"/>
      <c r="H65" s="515"/>
      <c r="I65" s="515"/>
      <c r="J65" s="516"/>
      <c r="K65" s="347">
        <v>16</v>
      </c>
      <c r="L65" s="348"/>
      <c r="M65" s="349">
        <v>16</v>
      </c>
      <c r="N65" s="350"/>
      <c r="O65" s="351">
        <v>16</v>
      </c>
      <c r="P65" s="348"/>
      <c r="Q65" s="349">
        <v>16</v>
      </c>
      <c r="R65" s="350"/>
      <c r="S65" s="351">
        <v>16</v>
      </c>
      <c r="T65" s="348"/>
      <c r="U65" s="349">
        <v>16</v>
      </c>
      <c r="V65" s="352"/>
      <c r="W65" s="503"/>
      <c r="X65" s="505"/>
      <c r="Y65" s="427"/>
      <c r="AA65" s="406" t="b">
        <f>W63&gt;=Y63</f>
        <v>1</v>
      </c>
      <c r="AB65" s="407"/>
    </row>
    <row r="66" spans="2:28" ht="17.25" customHeight="1">
      <c r="B66" s="503"/>
      <c r="C66" s="504"/>
      <c r="D66" s="504"/>
      <c r="E66" s="505"/>
      <c r="F66" s="514" t="s">
        <v>11</v>
      </c>
      <c r="G66" s="515"/>
      <c r="H66" s="515"/>
      <c r="I66" s="515"/>
      <c r="J66" s="516"/>
      <c r="K66" s="347">
        <v>16</v>
      </c>
      <c r="L66" s="348"/>
      <c r="M66" s="349">
        <v>16</v>
      </c>
      <c r="N66" s="350"/>
      <c r="O66" s="351">
        <v>16</v>
      </c>
      <c r="P66" s="348"/>
      <c r="Q66" s="349">
        <v>16</v>
      </c>
      <c r="R66" s="350"/>
      <c r="S66" s="351">
        <v>16</v>
      </c>
      <c r="T66" s="348"/>
      <c r="U66" s="349">
        <v>16</v>
      </c>
      <c r="V66" s="352"/>
      <c r="W66" s="517"/>
      <c r="X66" s="518"/>
      <c r="Y66" s="519"/>
    </row>
    <row r="67" spans="2:28" ht="17.25" customHeight="1" thickBot="1">
      <c r="B67" s="506"/>
      <c r="C67" s="507"/>
      <c r="D67" s="507"/>
      <c r="E67" s="508"/>
      <c r="F67" s="520" t="s">
        <v>150</v>
      </c>
      <c r="G67" s="521"/>
      <c r="H67" s="521"/>
      <c r="I67" s="521"/>
      <c r="J67" s="522"/>
      <c r="K67" s="523">
        <v>3</v>
      </c>
      <c r="L67" s="524"/>
      <c r="M67" s="525">
        <v>3</v>
      </c>
      <c r="N67" s="526"/>
      <c r="O67" s="527">
        <v>3</v>
      </c>
      <c r="P67" s="524"/>
      <c r="Q67" s="525">
        <v>3</v>
      </c>
      <c r="R67" s="526"/>
      <c r="S67" s="527">
        <v>3</v>
      </c>
      <c r="T67" s="524"/>
      <c r="U67" s="525">
        <v>3</v>
      </c>
      <c r="V67" s="542"/>
      <c r="W67" s="520">
        <f>SUM(K67:V67)</f>
        <v>18</v>
      </c>
      <c r="X67" s="522"/>
      <c r="Y67" s="68">
        <v>18</v>
      </c>
      <c r="AA67" s="370" t="s">
        <v>156</v>
      </c>
      <c r="AB67" s="370"/>
    </row>
    <row r="68" spans="2:28" ht="17.25" customHeight="1" thickBot="1">
      <c r="B68" s="394"/>
      <c r="C68" s="395"/>
      <c r="D68" s="395"/>
      <c r="E68" s="395"/>
      <c r="F68" s="395"/>
      <c r="G68" s="395"/>
      <c r="H68" s="395"/>
      <c r="I68" s="395"/>
      <c r="J68" s="396"/>
      <c r="K68" s="394">
        <v>32</v>
      </c>
      <c r="L68" s="402"/>
      <c r="M68" s="399">
        <v>32</v>
      </c>
      <c r="N68" s="512"/>
      <c r="O68" s="513">
        <v>32</v>
      </c>
      <c r="P68" s="402"/>
      <c r="Q68" s="399">
        <v>32</v>
      </c>
      <c r="R68" s="512"/>
      <c r="S68" s="513">
        <v>32</v>
      </c>
      <c r="T68" s="402"/>
      <c r="U68" s="399">
        <v>32</v>
      </c>
      <c r="V68" s="396"/>
      <c r="W68" s="394">
        <f>SUM(K68:V68)</f>
        <v>192</v>
      </c>
      <c r="X68" s="396"/>
      <c r="Y68" s="165">
        <f>W68</f>
        <v>192</v>
      </c>
      <c r="AA68" s="406" t="b">
        <f>W67&gt;=Y67</f>
        <v>1</v>
      </c>
      <c r="AB68" s="407"/>
    </row>
    <row r="69" spans="2:28" ht="17.25" customHeight="1" thickBot="1">
      <c r="B69" s="394"/>
      <c r="C69" s="395"/>
      <c r="D69" s="395"/>
      <c r="E69" s="395"/>
      <c r="F69" s="395"/>
      <c r="G69" s="395"/>
      <c r="H69" s="395"/>
      <c r="I69" s="395"/>
      <c r="J69" s="396"/>
      <c r="K69" s="394">
        <f>SUM(K68:N68)</f>
        <v>64</v>
      </c>
      <c r="L69" s="395"/>
      <c r="M69" s="395"/>
      <c r="N69" s="512"/>
      <c r="O69" s="513">
        <f>SUM(O68:R68)</f>
        <v>64</v>
      </c>
      <c r="P69" s="395"/>
      <c r="Q69" s="395"/>
      <c r="R69" s="512"/>
      <c r="S69" s="513">
        <f>SUM(S68:V68)</f>
        <v>64</v>
      </c>
      <c r="T69" s="395"/>
      <c r="U69" s="395"/>
      <c r="V69" s="396"/>
      <c r="W69" s="394">
        <f>SUM(K69:V69)</f>
        <v>192</v>
      </c>
      <c r="X69" s="396"/>
      <c r="Y69" s="11"/>
      <c r="AA69" s="370" t="s">
        <v>153</v>
      </c>
      <c r="AB69" s="370"/>
    </row>
    <row r="70" spans="2:28" ht="17.25" customHeight="1" thickBot="1">
      <c r="AA70" s="406" t="b">
        <f>W68&gt;=Y68</f>
        <v>1</v>
      </c>
      <c r="AB70" s="407"/>
    </row>
    <row r="71" spans="2:28" ht="17.25" customHeight="1"/>
    <row r="72" spans="2:28" ht="17.25" customHeight="1"/>
    <row r="73" spans="2:28" ht="17.25" customHeight="1"/>
    <row r="75" spans="2:28" ht="24.9" customHeight="1"/>
    <row r="76" spans="2:28" ht="24.9" customHeight="1"/>
    <row r="77" spans="2:28" ht="32.25" customHeight="1"/>
    <row r="78" spans="2:28" ht="24.9" customHeight="1"/>
    <row r="80" spans="2:28" ht="16.5" customHeight="1"/>
    <row r="81" ht="17.2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244.5" customHeight="1"/>
  </sheetData>
  <mergeCells count="526"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AA8:AD8"/>
    <mergeCell ref="B9:C38"/>
    <mergeCell ref="D9:D13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K11:L11"/>
    <mergeCell ref="M11:N11"/>
    <mergeCell ref="O11:P11"/>
    <mergeCell ref="Q11:R11"/>
    <mergeCell ref="S11:T11"/>
    <mergeCell ref="U11:V11"/>
    <mergeCell ref="X9:X13"/>
    <mergeCell ref="Y9:Y22"/>
    <mergeCell ref="F10:G10"/>
    <mergeCell ref="K10:L10"/>
    <mergeCell ref="M10:N10"/>
    <mergeCell ref="O10:P10"/>
    <mergeCell ref="Q10:R10"/>
    <mergeCell ref="S10:T10"/>
    <mergeCell ref="U10:V10"/>
    <mergeCell ref="F11:G11"/>
    <mergeCell ref="U12:V12"/>
    <mergeCell ref="F13:G13"/>
    <mergeCell ref="K13:L13"/>
    <mergeCell ref="M13:N13"/>
    <mergeCell ref="O13:P13"/>
    <mergeCell ref="Q13:R13"/>
    <mergeCell ref="S13:T13"/>
    <mergeCell ref="U13:V13"/>
    <mergeCell ref="F12:G12"/>
    <mergeCell ref="K12:L12"/>
    <mergeCell ref="M12:N12"/>
    <mergeCell ref="O12:P12"/>
    <mergeCell ref="Q12:R12"/>
    <mergeCell ref="S12:T12"/>
    <mergeCell ref="X14:X17"/>
    <mergeCell ref="AB14:AD14"/>
    <mergeCell ref="F15:G15"/>
    <mergeCell ref="K15:L15"/>
    <mergeCell ref="M15:N15"/>
    <mergeCell ref="O15:P15"/>
    <mergeCell ref="Q15:R15"/>
    <mergeCell ref="S15:T15"/>
    <mergeCell ref="D14:D17"/>
    <mergeCell ref="F14:G14"/>
    <mergeCell ref="K14:L14"/>
    <mergeCell ref="M14:N14"/>
    <mergeCell ref="O14:P14"/>
    <mergeCell ref="Q14:R14"/>
    <mergeCell ref="F17:G17"/>
    <mergeCell ref="K17:L17"/>
    <mergeCell ref="M17:N17"/>
    <mergeCell ref="O17:P17"/>
    <mergeCell ref="U15:V15"/>
    <mergeCell ref="F16:G16"/>
    <mergeCell ref="K16:L16"/>
    <mergeCell ref="M16:N16"/>
    <mergeCell ref="O16:P16"/>
    <mergeCell ref="Q16:R16"/>
    <mergeCell ref="S16:T16"/>
    <mergeCell ref="U16:V16"/>
    <mergeCell ref="S14:T14"/>
    <mergeCell ref="U14:V14"/>
    <mergeCell ref="Q17:R17"/>
    <mergeCell ref="S17:T17"/>
    <mergeCell ref="U17:V17"/>
    <mergeCell ref="D18:D22"/>
    <mergeCell ref="F18:G18"/>
    <mergeCell ref="K18:L18"/>
    <mergeCell ref="M18:N18"/>
    <mergeCell ref="O18:P18"/>
    <mergeCell ref="Q18:R18"/>
    <mergeCell ref="S18:T18"/>
    <mergeCell ref="U18:V18"/>
    <mergeCell ref="X18:X22"/>
    <mergeCell ref="AA18:AB18"/>
    <mergeCell ref="F19:G19"/>
    <mergeCell ref="K19:L19"/>
    <mergeCell ref="M19:N19"/>
    <mergeCell ref="O19:P19"/>
    <mergeCell ref="Q19:R19"/>
    <mergeCell ref="S19:T19"/>
    <mergeCell ref="U19:V19"/>
    <mergeCell ref="U20:V20"/>
    <mergeCell ref="F21:G21"/>
    <mergeCell ref="K21:L21"/>
    <mergeCell ref="M21:N21"/>
    <mergeCell ref="O21:P21"/>
    <mergeCell ref="Q21:R21"/>
    <mergeCell ref="S21:T21"/>
    <mergeCell ref="U21:V21"/>
    <mergeCell ref="F20:G20"/>
    <mergeCell ref="K20:L20"/>
    <mergeCell ref="M20:N20"/>
    <mergeCell ref="O20:P20"/>
    <mergeCell ref="Q20:R20"/>
    <mergeCell ref="S20:T20"/>
    <mergeCell ref="U22:V22"/>
    <mergeCell ref="D23:D26"/>
    <mergeCell ref="F23:G23"/>
    <mergeCell ref="K23:L23"/>
    <mergeCell ref="M23:N23"/>
    <mergeCell ref="O23:P23"/>
    <mergeCell ref="Q23:R23"/>
    <mergeCell ref="S23:T23"/>
    <mergeCell ref="U23:V23"/>
    <mergeCell ref="F26:G26"/>
    <mergeCell ref="F22:G22"/>
    <mergeCell ref="K22:L22"/>
    <mergeCell ref="M22:N22"/>
    <mergeCell ref="O22:P22"/>
    <mergeCell ref="Q22:R22"/>
    <mergeCell ref="S22:T22"/>
    <mergeCell ref="S26:T26"/>
    <mergeCell ref="U26:V26"/>
    <mergeCell ref="AA24:AB24"/>
    <mergeCell ref="F25:G25"/>
    <mergeCell ref="K25:L25"/>
    <mergeCell ref="M25:N25"/>
    <mergeCell ref="O25:P25"/>
    <mergeCell ref="Q25:R25"/>
    <mergeCell ref="S25:T25"/>
    <mergeCell ref="U25:V25"/>
    <mergeCell ref="X25:X26"/>
    <mergeCell ref="Y25:Y28"/>
    <mergeCell ref="X23:X24"/>
    <mergeCell ref="Y23:Y24"/>
    <mergeCell ref="F24:G24"/>
    <mergeCell ref="K24:L24"/>
    <mergeCell ref="M24:N24"/>
    <mergeCell ref="O24:P24"/>
    <mergeCell ref="Q24:R24"/>
    <mergeCell ref="S24:T24"/>
    <mergeCell ref="U24:V24"/>
    <mergeCell ref="D27:D28"/>
    <mergeCell ref="F27:G27"/>
    <mergeCell ref="K27:L27"/>
    <mergeCell ref="M27:N27"/>
    <mergeCell ref="O27:P27"/>
    <mergeCell ref="Q27:R27"/>
    <mergeCell ref="K26:L26"/>
    <mergeCell ref="M26:N26"/>
    <mergeCell ref="O26:P26"/>
    <mergeCell ref="Q26:R26"/>
    <mergeCell ref="S27:T27"/>
    <mergeCell ref="U27:V27"/>
    <mergeCell ref="X27:X28"/>
    <mergeCell ref="F28:G28"/>
    <mergeCell ref="K28:L28"/>
    <mergeCell ref="M28:N28"/>
    <mergeCell ref="O28:P28"/>
    <mergeCell ref="Q28:R28"/>
    <mergeCell ref="S28:T28"/>
    <mergeCell ref="U28:V28"/>
    <mergeCell ref="X29:X32"/>
    <mergeCell ref="Y29:Y32"/>
    <mergeCell ref="F30:G30"/>
    <mergeCell ref="K30:L30"/>
    <mergeCell ref="M30:N30"/>
    <mergeCell ref="O30:P30"/>
    <mergeCell ref="Q30:R30"/>
    <mergeCell ref="S30:T30"/>
    <mergeCell ref="D29:D32"/>
    <mergeCell ref="F29:G29"/>
    <mergeCell ref="K29:L29"/>
    <mergeCell ref="M29:N29"/>
    <mergeCell ref="O29:P29"/>
    <mergeCell ref="Q29:R29"/>
    <mergeCell ref="F32:G32"/>
    <mergeCell ref="K32:L32"/>
    <mergeCell ref="M32:N32"/>
    <mergeCell ref="O32:P32"/>
    <mergeCell ref="U30:V30"/>
    <mergeCell ref="F31:G31"/>
    <mergeCell ref="K31:L31"/>
    <mergeCell ref="M31:N31"/>
    <mergeCell ref="O31:P31"/>
    <mergeCell ref="Q31:R31"/>
    <mergeCell ref="S31:T31"/>
    <mergeCell ref="U31:V31"/>
    <mergeCell ref="S29:T29"/>
    <mergeCell ref="U29:V29"/>
    <mergeCell ref="Q32:R32"/>
    <mergeCell ref="S32:T32"/>
    <mergeCell ref="U32:V32"/>
    <mergeCell ref="D33:D34"/>
    <mergeCell ref="G33:G34"/>
    <mergeCell ref="K33:L33"/>
    <mergeCell ref="M33:N33"/>
    <mergeCell ref="O33:P33"/>
    <mergeCell ref="Q33:R33"/>
    <mergeCell ref="S33:T33"/>
    <mergeCell ref="U33:V33"/>
    <mergeCell ref="X33:X34"/>
    <mergeCell ref="Y33:Y34"/>
    <mergeCell ref="K34:L34"/>
    <mergeCell ref="M34:N34"/>
    <mergeCell ref="O34:P34"/>
    <mergeCell ref="Q34:R34"/>
    <mergeCell ref="S34:T34"/>
    <mergeCell ref="U34:V34"/>
    <mergeCell ref="S35:T35"/>
    <mergeCell ref="U35:V35"/>
    <mergeCell ref="X35:X38"/>
    <mergeCell ref="Y35:Y38"/>
    <mergeCell ref="F36:G36"/>
    <mergeCell ref="K36:L36"/>
    <mergeCell ref="M36:N36"/>
    <mergeCell ref="O36:P36"/>
    <mergeCell ref="Q36:R36"/>
    <mergeCell ref="S36:T36"/>
    <mergeCell ref="F35:G35"/>
    <mergeCell ref="K35:L35"/>
    <mergeCell ref="M35:N35"/>
    <mergeCell ref="O35:P35"/>
    <mergeCell ref="Q35:R35"/>
    <mergeCell ref="O38:P38"/>
    <mergeCell ref="Q38:R38"/>
    <mergeCell ref="U36:V36"/>
    <mergeCell ref="G37:G38"/>
    <mergeCell ref="K37:L37"/>
    <mergeCell ref="M37:N37"/>
    <mergeCell ref="O37:P37"/>
    <mergeCell ref="Q37:R37"/>
    <mergeCell ref="S37:T37"/>
    <mergeCell ref="U37:V37"/>
    <mergeCell ref="K38:L38"/>
    <mergeCell ref="M38:N38"/>
    <mergeCell ref="S38:T38"/>
    <mergeCell ref="U38:V38"/>
    <mergeCell ref="B39:G39"/>
    <mergeCell ref="K39:L39"/>
    <mergeCell ref="M39:N39"/>
    <mergeCell ref="O39:P39"/>
    <mergeCell ref="Q39:R39"/>
    <mergeCell ref="S39:T39"/>
    <mergeCell ref="U39:V39"/>
    <mergeCell ref="D35:D38"/>
    <mergeCell ref="W39:X39"/>
    <mergeCell ref="AA39:AB39"/>
    <mergeCell ref="B40:C58"/>
    <mergeCell ref="D40:E41"/>
    <mergeCell ref="F40:G40"/>
    <mergeCell ref="K40:L40"/>
    <mergeCell ref="M40:N40"/>
    <mergeCell ref="O40:P40"/>
    <mergeCell ref="Q40:R40"/>
    <mergeCell ref="S40:T40"/>
    <mergeCell ref="U40:V40"/>
    <mergeCell ref="W40:X40"/>
    <mergeCell ref="Y40:Y60"/>
    <mergeCell ref="F41:G41"/>
    <mergeCell ref="K41:L41"/>
    <mergeCell ref="M41:N41"/>
    <mergeCell ref="O41:P41"/>
    <mergeCell ref="Q41:R41"/>
    <mergeCell ref="S41:T41"/>
    <mergeCell ref="U41:V41"/>
    <mergeCell ref="W41:X41"/>
    <mergeCell ref="F42:G42"/>
    <mergeCell ref="K42:L42"/>
    <mergeCell ref="M42:N42"/>
    <mergeCell ref="O42:P42"/>
    <mergeCell ref="Q42:R42"/>
    <mergeCell ref="S42:T42"/>
    <mergeCell ref="U42:V42"/>
    <mergeCell ref="W42:X42"/>
    <mergeCell ref="U43:V43"/>
    <mergeCell ref="W43:X43"/>
    <mergeCell ref="F44:G44"/>
    <mergeCell ref="K44:L44"/>
    <mergeCell ref="M44:N44"/>
    <mergeCell ref="O44:P44"/>
    <mergeCell ref="Q44:R44"/>
    <mergeCell ref="S44:T44"/>
    <mergeCell ref="U44:V44"/>
    <mergeCell ref="W44:X44"/>
    <mergeCell ref="F43:G43"/>
    <mergeCell ref="K43:L43"/>
    <mergeCell ref="M43:N43"/>
    <mergeCell ref="O43:P43"/>
    <mergeCell ref="Q43:R43"/>
    <mergeCell ref="S43:T43"/>
    <mergeCell ref="U45:V45"/>
    <mergeCell ref="W45:X45"/>
    <mergeCell ref="F47:G47"/>
    <mergeCell ref="K47:L47"/>
    <mergeCell ref="M47:N47"/>
    <mergeCell ref="O47:P47"/>
    <mergeCell ref="Q47:R47"/>
    <mergeCell ref="S47:T47"/>
    <mergeCell ref="U47:V47"/>
    <mergeCell ref="W47:X47"/>
    <mergeCell ref="F45:G45"/>
    <mergeCell ref="K45:L45"/>
    <mergeCell ref="M45:N45"/>
    <mergeCell ref="O45:P45"/>
    <mergeCell ref="Q45:R45"/>
    <mergeCell ref="S45:T45"/>
    <mergeCell ref="U48:V48"/>
    <mergeCell ref="W48:X48"/>
    <mergeCell ref="F49:G49"/>
    <mergeCell ref="K49:L49"/>
    <mergeCell ref="M49:N49"/>
    <mergeCell ref="O49:P49"/>
    <mergeCell ref="Q49:R49"/>
    <mergeCell ref="S49:T49"/>
    <mergeCell ref="U49:V49"/>
    <mergeCell ref="W49:X49"/>
    <mergeCell ref="F48:G48"/>
    <mergeCell ref="K48:L48"/>
    <mergeCell ref="M48:N48"/>
    <mergeCell ref="O48:P48"/>
    <mergeCell ref="Q48:R48"/>
    <mergeCell ref="S48:T48"/>
    <mergeCell ref="U52:V52"/>
    <mergeCell ref="W52:X52"/>
    <mergeCell ref="F53:G53"/>
    <mergeCell ref="K53:L53"/>
    <mergeCell ref="M53:N53"/>
    <mergeCell ref="O53:P53"/>
    <mergeCell ref="Q53:R53"/>
    <mergeCell ref="S53:T53"/>
    <mergeCell ref="U53:V53"/>
    <mergeCell ref="W53:X53"/>
    <mergeCell ref="F52:G52"/>
    <mergeCell ref="K52:L52"/>
    <mergeCell ref="M52:N52"/>
    <mergeCell ref="O52:P52"/>
    <mergeCell ref="Q52:R52"/>
    <mergeCell ref="S52:T52"/>
    <mergeCell ref="U54:V54"/>
    <mergeCell ref="W54:X54"/>
    <mergeCell ref="F55:G55"/>
    <mergeCell ref="K55:L55"/>
    <mergeCell ref="M55:N55"/>
    <mergeCell ref="O55:P55"/>
    <mergeCell ref="Q55:R55"/>
    <mergeCell ref="S55:T55"/>
    <mergeCell ref="U55:V55"/>
    <mergeCell ref="W55:X55"/>
    <mergeCell ref="F54:G54"/>
    <mergeCell ref="K54:L54"/>
    <mergeCell ref="M54:N54"/>
    <mergeCell ref="O54:P54"/>
    <mergeCell ref="Q54:R54"/>
    <mergeCell ref="S54:T54"/>
    <mergeCell ref="U56:V56"/>
    <mergeCell ref="W56:X56"/>
    <mergeCell ref="F57:G57"/>
    <mergeCell ref="K57:L57"/>
    <mergeCell ref="M57:N57"/>
    <mergeCell ref="O57:P57"/>
    <mergeCell ref="Q57:R57"/>
    <mergeCell ref="S57:T57"/>
    <mergeCell ref="U57:V57"/>
    <mergeCell ref="W57:X57"/>
    <mergeCell ref="F56:G56"/>
    <mergeCell ref="K56:L56"/>
    <mergeCell ref="M56:N56"/>
    <mergeCell ref="O56:P56"/>
    <mergeCell ref="Q56:R56"/>
    <mergeCell ref="S56:T56"/>
    <mergeCell ref="U58:V58"/>
    <mergeCell ref="W58:X58"/>
    <mergeCell ref="B59:B60"/>
    <mergeCell ref="F59:G59"/>
    <mergeCell ref="K59:L59"/>
    <mergeCell ref="M59:N59"/>
    <mergeCell ref="O59:P59"/>
    <mergeCell ref="Q59:R59"/>
    <mergeCell ref="S59:T59"/>
    <mergeCell ref="F58:G58"/>
    <mergeCell ref="K58:L58"/>
    <mergeCell ref="M58:N58"/>
    <mergeCell ref="O58:P58"/>
    <mergeCell ref="Q58:R58"/>
    <mergeCell ref="S58:T58"/>
    <mergeCell ref="U60:V60"/>
    <mergeCell ref="F60:G60"/>
    <mergeCell ref="K60:L60"/>
    <mergeCell ref="M60:N60"/>
    <mergeCell ref="O60:P60"/>
    <mergeCell ref="Q60:R60"/>
    <mergeCell ref="U59:V59"/>
    <mergeCell ref="W59:X60"/>
    <mergeCell ref="S60:T60"/>
    <mergeCell ref="O61:P62"/>
    <mergeCell ref="Q61:R62"/>
    <mergeCell ref="S61:T62"/>
    <mergeCell ref="U61:V62"/>
    <mergeCell ref="W61:X62"/>
    <mergeCell ref="Y61:Y62"/>
    <mergeCell ref="B61:G62"/>
    <mergeCell ref="H61:H62"/>
    <mergeCell ref="I61:I62"/>
    <mergeCell ref="J61:J62"/>
    <mergeCell ref="K61:L62"/>
    <mergeCell ref="M61:N62"/>
    <mergeCell ref="U63:V63"/>
    <mergeCell ref="W63:X63"/>
    <mergeCell ref="AA63:AB64"/>
    <mergeCell ref="B64:E67"/>
    <mergeCell ref="F64:J64"/>
    <mergeCell ref="K64:L64"/>
    <mergeCell ref="M64:N64"/>
    <mergeCell ref="O64:P64"/>
    <mergeCell ref="Q64:R64"/>
    <mergeCell ref="S64:T64"/>
    <mergeCell ref="B63:G63"/>
    <mergeCell ref="K63:L63"/>
    <mergeCell ref="M63:N63"/>
    <mergeCell ref="O63:P63"/>
    <mergeCell ref="Q63:R63"/>
    <mergeCell ref="S63:T63"/>
    <mergeCell ref="AA65:AB65"/>
    <mergeCell ref="F66:J66"/>
    <mergeCell ref="K66:L66"/>
    <mergeCell ref="M66:N66"/>
    <mergeCell ref="O66:P66"/>
    <mergeCell ref="Q66:R66"/>
    <mergeCell ref="S66:T66"/>
    <mergeCell ref="U66:V66"/>
    <mergeCell ref="U64:V64"/>
    <mergeCell ref="W64:X66"/>
    <mergeCell ref="Y64:Y66"/>
    <mergeCell ref="F65:J65"/>
    <mergeCell ref="K65:L65"/>
    <mergeCell ref="M65:N65"/>
    <mergeCell ref="O65:P65"/>
    <mergeCell ref="Q65:R65"/>
    <mergeCell ref="S65:T65"/>
    <mergeCell ref="U65:V65"/>
    <mergeCell ref="O68:P68"/>
    <mergeCell ref="Q68:R68"/>
    <mergeCell ref="S68:T68"/>
    <mergeCell ref="U68:V68"/>
    <mergeCell ref="F67:J67"/>
    <mergeCell ref="K67:L67"/>
    <mergeCell ref="M67:N67"/>
    <mergeCell ref="O67:P67"/>
    <mergeCell ref="Q67:R67"/>
    <mergeCell ref="S67:T67"/>
    <mergeCell ref="AA70:AB70"/>
    <mergeCell ref="F46:G46"/>
    <mergeCell ref="S46:T46"/>
    <mergeCell ref="Q46:R46"/>
    <mergeCell ref="O46:P46"/>
    <mergeCell ref="M46:N46"/>
    <mergeCell ref="K46:L46"/>
    <mergeCell ref="U46:V46"/>
    <mergeCell ref="W46:X46"/>
    <mergeCell ref="U51:V51"/>
    <mergeCell ref="W68:X68"/>
    <mergeCell ref="AA68:AB68"/>
    <mergeCell ref="B69:J69"/>
    <mergeCell ref="K69:N69"/>
    <mergeCell ref="O69:R69"/>
    <mergeCell ref="S69:V69"/>
    <mergeCell ref="W69:X69"/>
    <mergeCell ref="AA69:AB69"/>
    <mergeCell ref="U67:V67"/>
    <mergeCell ref="W67:X67"/>
    <mergeCell ref="AA67:AB67"/>
    <mergeCell ref="B68:J68"/>
    <mergeCell ref="K68:L68"/>
    <mergeCell ref="M68:N68"/>
    <mergeCell ref="W50:X50"/>
    <mergeCell ref="W51:X51"/>
    <mergeCell ref="M51:N51"/>
    <mergeCell ref="M50:N50"/>
    <mergeCell ref="K51:L51"/>
    <mergeCell ref="K50:L50"/>
    <mergeCell ref="F51:G51"/>
    <mergeCell ref="F50:G50"/>
    <mergeCell ref="U50:V50"/>
    <mergeCell ref="S51:T51"/>
    <mergeCell ref="S50:T50"/>
    <mergeCell ref="Q51:R51"/>
    <mergeCell ref="Q50:R50"/>
    <mergeCell ref="O51:P51"/>
    <mergeCell ref="O50:P50"/>
  </mergeCells>
  <phoneticPr fontId="9" type="noConversion"/>
  <conditionalFormatting sqref="AA39:AB39 AC62 AA65:AB65 AA68:AB68 AA70:AB70">
    <cfRule type="containsText" dxfId="0" priority="1" operator="containsText" text="FALSE">
      <formula>NOT(ISERROR(SEARCH("FALSE",AA39)))</formula>
    </cfRule>
  </conditionalFormatting>
  <printOptions horizontalCentered="1" verticalCentered="1"/>
  <pageMargins left="0.25" right="0.25" top="0.75" bottom="0.75" header="0.3" footer="0.3"/>
  <pageSetup paperSize="8" scale="62" orientation="portrait" cellComments="asDisplayed" r:id="rId1"/>
  <rowBreaks count="1" manualBreakCount="1">
    <brk id="61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B806333-D3CB-4A10-9EF4-9852D4092C15}">
          <x14:formula1>
            <xm:f>삭제금지!$J$2:$J$59</xm:f>
          </x14:formula1>
          <xm:sqref>H5:J5</xm:sqref>
        </x14:dataValidation>
        <x14:dataValidation type="list" allowBlank="1" showInputMessage="1" showErrorMessage="1" xr:uid="{36FD8B70-571E-49FC-8D36-BFD366DFD6C7}">
          <x14:formula1>
            <xm:f>삭제금지!$I$2:$I$18</xm:f>
          </x14:formula1>
          <xm:sqref>F5:G5</xm:sqref>
        </x14:dataValidation>
        <x14:dataValidation type="list" allowBlank="1" showInputMessage="1" showErrorMessage="1" xr:uid="{66CA772C-92D1-47E3-ABA5-AF6DA02C0248}">
          <x14:formula1>
            <xm:f>삭제금지!$K$2:$K$59</xm:f>
          </x14:formula1>
          <xm:sqref>K5:O5</xm:sqref>
        </x14:dataValidation>
        <x14:dataValidation type="list" allowBlank="1" showInputMessage="1" showErrorMessage="1" xr:uid="{CD3C68A3-CD16-47D9-A328-9620A4F5895C}">
          <x14:formula1>
            <xm:f>삭제금지!$L$2:$L$4</xm:f>
          </x14:formula1>
          <xm:sqref>T5:V5</xm:sqref>
        </x14:dataValidation>
        <x14:dataValidation type="list" allowBlank="1" showInputMessage="1" showErrorMessage="1" xr:uid="{B5A3F02A-95EE-4ED1-B855-5D43F41EA6B1}">
          <x14:formula1>
            <xm:f>삭제금지!$H$2:$H$18</xm:f>
          </x14:formula1>
          <xm:sqref>B5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AG37"/>
  <sheetViews>
    <sheetView showGridLines="0" view="pageBreakPreview" zoomScale="90" zoomScaleNormal="85" zoomScaleSheetLayoutView="90" workbookViewId="0">
      <selection activeCell="D27" sqref="D27:E27"/>
    </sheetView>
  </sheetViews>
  <sheetFormatPr defaultRowHeight="17.399999999999999"/>
  <cols>
    <col min="1" max="1" width="3" customWidth="1"/>
    <col min="2" max="2" width="11.69921875" customWidth="1"/>
    <col min="3" max="3" width="5.59765625" customWidth="1"/>
    <col min="4" max="4" width="18.8984375" bestFit="1" customWidth="1"/>
    <col min="5" max="5" width="19" style="1" bestFit="1" customWidth="1"/>
    <col min="6" max="6" width="9.09765625" style="1" customWidth="1"/>
    <col min="7" max="7" width="10.69921875" customWidth="1"/>
    <col min="8" max="19" width="7.69921875" bestFit="1" customWidth="1"/>
    <col min="20" max="20" width="6.59765625" bestFit="1" customWidth="1"/>
    <col min="21" max="21" width="7.09765625" customWidth="1"/>
  </cols>
  <sheetData>
    <row r="2" spans="2:33" ht="39.75" customHeight="1" thickBot="1">
      <c r="B2" s="655" t="s">
        <v>151</v>
      </c>
      <c r="C2" s="655"/>
      <c r="D2" s="655"/>
      <c r="E2" s="655"/>
      <c r="F2" s="655"/>
      <c r="G2" s="655"/>
      <c r="H2" s="655"/>
      <c r="I2" s="655"/>
      <c r="J2" s="655"/>
      <c r="K2" s="655"/>
      <c r="L2" s="655"/>
      <c r="M2" s="655"/>
      <c r="N2" s="655"/>
      <c r="O2" s="655"/>
      <c r="P2" s="655"/>
      <c r="Q2" s="655"/>
      <c r="R2" s="655"/>
      <c r="S2" s="655"/>
      <c r="T2" s="655"/>
      <c r="U2" s="655"/>
    </row>
    <row r="3" spans="2:33" ht="27" customHeight="1" thickBot="1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656" t="s">
        <v>129</v>
      </c>
      <c r="O3" s="657"/>
      <c r="P3" s="658"/>
      <c r="Q3" s="656" t="s">
        <v>127</v>
      </c>
      <c r="R3" s="657"/>
      <c r="S3" s="658"/>
      <c r="T3" s="659" t="s">
        <v>130</v>
      </c>
      <c r="U3" s="660"/>
    </row>
    <row r="4" spans="2:33" ht="27" customHeight="1" thickBot="1"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661" t="s">
        <v>604</v>
      </c>
      <c r="O4" s="662"/>
      <c r="P4" s="663"/>
      <c r="Q4" s="664" t="s">
        <v>605</v>
      </c>
      <c r="R4" s="665"/>
      <c r="S4" s="666"/>
      <c r="T4" s="667">
        <v>2027</v>
      </c>
      <c r="U4" s="668"/>
    </row>
    <row r="5" spans="2:33" ht="24" customHeight="1" thickBot="1">
      <c r="B5" s="648"/>
      <c r="C5" s="648"/>
    </row>
    <row r="6" spans="2:33" ht="20.25" customHeight="1">
      <c r="B6" s="649" t="s">
        <v>13</v>
      </c>
      <c r="C6" s="652" t="s">
        <v>141</v>
      </c>
      <c r="D6" s="638" t="s">
        <v>14</v>
      </c>
      <c r="E6" s="638" t="s">
        <v>15</v>
      </c>
      <c r="F6" s="638" t="s">
        <v>142</v>
      </c>
      <c r="G6" s="638" t="s">
        <v>143</v>
      </c>
      <c r="H6" s="641" t="s">
        <v>58</v>
      </c>
      <c r="I6" s="641"/>
      <c r="J6" s="641"/>
      <c r="K6" s="641"/>
      <c r="L6" s="641" t="s">
        <v>59</v>
      </c>
      <c r="M6" s="641"/>
      <c r="N6" s="641"/>
      <c r="O6" s="641"/>
      <c r="P6" s="641" t="s">
        <v>60</v>
      </c>
      <c r="Q6" s="641"/>
      <c r="R6" s="641"/>
      <c r="S6" s="641"/>
      <c r="T6" s="642" t="s">
        <v>140</v>
      </c>
      <c r="U6" s="645" t="s">
        <v>126</v>
      </c>
      <c r="W6" s="631" t="s">
        <v>131</v>
      </c>
      <c r="X6" s="632"/>
      <c r="Y6" s="632"/>
      <c r="Z6" s="632"/>
      <c r="AA6" s="632"/>
      <c r="AB6" s="632"/>
      <c r="AC6" s="632"/>
      <c r="AD6" s="632"/>
      <c r="AE6" s="632"/>
      <c r="AF6" s="633"/>
      <c r="AG6" s="13"/>
    </row>
    <row r="7" spans="2:33" ht="16.5" customHeight="1">
      <c r="B7" s="650"/>
      <c r="C7" s="653"/>
      <c r="D7" s="639"/>
      <c r="E7" s="639"/>
      <c r="F7" s="639"/>
      <c r="G7" s="639"/>
      <c r="H7" s="634" t="s">
        <v>124</v>
      </c>
      <c r="I7" s="634"/>
      <c r="J7" s="634" t="s">
        <v>62</v>
      </c>
      <c r="K7" s="634"/>
      <c r="L7" s="634" t="s">
        <v>124</v>
      </c>
      <c r="M7" s="634"/>
      <c r="N7" s="634" t="s">
        <v>62</v>
      </c>
      <c r="O7" s="634"/>
      <c r="P7" s="634" t="s">
        <v>124</v>
      </c>
      <c r="Q7" s="634"/>
      <c r="R7" s="634" t="s">
        <v>62</v>
      </c>
      <c r="S7" s="634"/>
      <c r="T7" s="643"/>
      <c r="U7" s="646"/>
      <c r="W7" s="635" t="s">
        <v>132</v>
      </c>
      <c r="X7" s="636"/>
      <c r="Y7" s="636"/>
      <c r="Z7" s="636"/>
      <c r="AA7" s="636"/>
      <c r="AB7" s="636"/>
      <c r="AC7" s="636"/>
      <c r="AD7" s="636"/>
      <c r="AE7" s="636"/>
      <c r="AF7" s="637"/>
      <c r="AG7" s="13"/>
    </row>
    <row r="8" spans="2:33" ht="17.25" customHeight="1" thickBot="1">
      <c r="B8" s="651"/>
      <c r="C8" s="654"/>
      <c r="D8" s="640"/>
      <c r="E8" s="640"/>
      <c r="F8" s="640"/>
      <c r="G8" s="640"/>
      <c r="H8" s="26" t="s">
        <v>139</v>
      </c>
      <c r="I8" s="26" t="s">
        <v>125</v>
      </c>
      <c r="J8" s="26" t="s">
        <v>139</v>
      </c>
      <c r="K8" s="26" t="s">
        <v>125</v>
      </c>
      <c r="L8" s="26" t="s">
        <v>139</v>
      </c>
      <c r="M8" s="26" t="s">
        <v>125</v>
      </c>
      <c r="N8" s="26" t="s">
        <v>139</v>
      </c>
      <c r="O8" s="26" t="s">
        <v>125</v>
      </c>
      <c r="P8" s="26" t="s">
        <v>139</v>
      </c>
      <c r="Q8" s="26" t="s">
        <v>125</v>
      </c>
      <c r="R8" s="26" t="s">
        <v>139</v>
      </c>
      <c r="S8" s="26" t="s">
        <v>125</v>
      </c>
      <c r="T8" s="644"/>
      <c r="U8" s="647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>
      <c r="B9" s="611" t="s">
        <v>539</v>
      </c>
      <c r="C9" s="608">
        <v>6</v>
      </c>
      <c r="D9" s="210" t="s">
        <v>615</v>
      </c>
      <c r="E9" s="210" t="s">
        <v>616</v>
      </c>
      <c r="F9" s="210">
        <v>40</v>
      </c>
      <c r="G9" s="210">
        <v>4</v>
      </c>
      <c r="H9" s="211"/>
      <c r="I9" s="211">
        <f>H9*16</f>
        <v>0</v>
      </c>
      <c r="J9" s="211"/>
      <c r="K9" s="211">
        <f>J9*16</f>
        <v>0</v>
      </c>
      <c r="L9" s="211">
        <v>3</v>
      </c>
      <c r="M9" s="211">
        <v>48</v>
      </c>
      <c r="N9" s="211"/>
      <c r="O9" s="211"/>
      <c r="P9" s="211"/>
      <c r="Q9" s="211"/>
      <c r="R9" s="211"/>
      <c r="S9" s="211"/>
      <c r="T9" s="218">
        <f>SUM(H9,J9,L9,N9,P9,R9)</f>
        <v>3</v>
      </c>
      <c r="U9" s="219">
        <f>SUM(I9,K9,M9,O9,Q9,S9)</f>
        <v>48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612"/>
      <c r="C10" s="609"/>
      <c r="D10" s="212" t="s">
        <v>617</v>
      </c>
      <c r="E10" s="213" t="s">
        <v>618</v>
      </c>
      <c r="F10" s="212">
        <v>80</v>
      </c>
      <c r="G10" s="212">
        <v>3</v>
      </c>
      <c r="H10" s="214"/>
      <c r="I10" s="214"/>
      <c r="J10" s="214"/>
      <c r="K10" s="214"/>
      <c r="L10" s="214"/>
      <c r="M10" s="214"/>
      <c r="N10" s="214">
        <v>3</v>
      </c>
      <c r="O10" s="214">
        <v>48</v>
      </c>
      <c r="P10" s="214"/>
      <c r="Q10" s="214"/>
      <c r="R10" s="214"/>
      <c r="S10" s="214"/>
      <c r="T10" s="220">
        <f t="shared" ref="T10:U10" si="0">SUM(H10,J10,L10,N10,P10,R10)</f>
        <v>3</v>
      </c>
      <c r="U10" s="221">
        <f t="shared" si="0"/>
        <v>48</v>
      </c>
      <c r="W10" s="12"/>
      <c r="X10" s="13"/>
      <c r="Y10" s="13"/>
      <c r="Z10" s="13"/>
      <c r="AA10" s="13"/>
      <c r="AB10" s="13"/>
      <c r="AC10" s="13"/>
      <c r="AD10" s="13"/>
      <c r="AE10" s="13"/>
      <c r="AF10" s="17"/>
      <c r="AG10" s="13"/>
    </row>
    <row r="11" spans="2:33" ht="18" thickBot="1">
      <c r="B11" s="612"/>
      <c r="C11" s="609"/>
      <c r="D11" s="673" t="s">
        <v>16</v>
      </c>
      <c r="E11" s="673"/>
      <c r="F11" s="270"/>
      <c r="G11" s="270"/>
      <c r="H11" s="228">
        <f>SUM(H9:H10)</f>
        <v>0</v>
      </c>
      <c r="I11" s="228">
        <f t="shared" ref="I11:U11" si="1">SUM(I9:I10)</f>
        <v>0</v>
      </c>
      <c r="J11" s="228">
        <f t="shared" si="1"/>
        <v>0</v>
      </c>
      <c r="K11" s="228">
        <f t="shared" si="1"/>
        <v>0</v>
      </c>
      <c r="L11" s="228">
        <f t="shared" si="1"/>
        <v>3</v>
      </c>
      <c r="M11" s="228">
        <f t="shared" si="1"/>
        <v>48</v>
      </c>
      <c r="N11" s="228">
        <f t="shared" si="1"/>
        <v>3</v>
      </c>
      <c r="O11" s="228">
        <f t="shared" si="1"/>
        <v>48</v>
      </c>
      <c r="P11" s="228">
        <f t="shared" si="1"/>
        <v>0</v>
      </c>
      <c r="Q11" s="228">
        <f t="shared" si="1"/>
        <v>0</v>
      </c>
      <c r="R11" s="228">
        <f t="shared" si="1"/>
        <v>0</v>
      </c>
      <c r="S11" s="228">
        <f t="shared" si="1"/>
        <v>0</v>
      </c>
      <c r="T11" s="229">
        <f t="shared" si="1"/>
        <v>6</v>
      </c>
      <c r="U11" s="229">
        <f t="shared" si="1"/>
        <v>96</v>
      </c>
    </row>
    <row r="12" spans="2:33">
      <c r="B12" s="674" t="s">
        <v>544</v>
      </c>
      <c r="C12" s="677">
        <v>8</v>
      </c>
      <c r="D12" s="210" t="s">
        <v>817</v>
      </c>
      <c r="E12" s="210" t="s">
        <v>629</v>
      </c>
      <c r="F12" s="210">
        <v>60</v>
      </c>
      <c r="G12" s="210">
        <v>6</v>
      </c>
      <c r="H12" s="230"/>
      <c r="I12" s="230"/>
      <c r="J12" s="230"/>
      <c r="K12" s="230"/>
      <c r="L12" s="230"/>
      <c r="M12" s="230"/>
      <c r="N12" s="230"/>
      <c r="O12" s="211"/>
      <c r="P12" s="211">
        <v>2</v>
      </c>
      <c r="Q12" s="211">
        <v>32</v>
      </c>
      <c r="R12" s="211"/>
      <c r="S12" s="211"/>
      <c r="T12" s="271">
        <f>SUM(H12,J12,L12,N12,P12,R12)</f>
        <v>2</v>
      </c>
      <c r="U12" s="272">
        <f>SUM(I12,K12,M12,O12,Q12,S12)</f>
        <v>32</v>
      </c>
      <c r="W12" s="28"/>
    </row>
    <row r="13" spans="2:33">
      <c r="B13" s="675"/>
      <c r="C13" s="678"/>
      <c r="D13" s="212" t="s">
        <v>630</v>
      </c>
      <c r="E13" s="212" t="s">
        <v>631</v>
      </c>
      <c r="F13" s="212">
        <v>60</v>
      </c>
      <c r="G13" s="212">
        <v>6</v>
      </c>
      <c r="H13" s="231"/>
      <c r="I13" s="231"/>
      <c r="J13" s="231"/>
      <c r="K13" s="231"/>
      <c r="L13" s="231"/>
      <c r="M13" s="231"/>
      <c r="N13" s="231"/>
      <c r="O13" s="214"/>
      <c r="P13" s="214">
        <v>2</v>
      </c>
      <c r="Q13" s="214">
        <v>32</v>
      </c>
      <c r="R13" s="214"/>
      <c r="S13" s="214"/>
      <c r="T13" s="273">
        <f t="shared" ref="T13:U14" si="2">SUM(H13,J13,L13,N13,P13,R13)</f>
        <v>2</v>
      </c>
      <c r="U13" s="274">
        <f t="shared" si="2"/>
        <v>32</v>
      </c>
    </row>
    <row r="14" spans="2:33">
      <c r="B14" s="675"/>
      <c r="C14" s="678"/>
      <c r="D14" s="212" t="s">
        <v>632</v>
      </c>
      <c r="E14" s="212" t="s">
        <v>633</v>
      </c>
      <c r="F14" s="212">
        <v>40</v>
      </c>
      <c r="G14" s="212">
        <v>5</v>
      </c>
      <c r="H14" s="231"/>
      <c r="I14" s="231"/>
      <c r="J14" s="231"/>
      <c r="K14" s="231"/>
      <c r="L14" s="231"/>
      <c r="M14" s="231"/>
      <c r="N14" s="231"/>
      <c r="O14" s="214"/>
      <c r="P14" s="214"/>
      <c r="Q14" s="214"/>
      <c r="R14" s="214">
        <v>1</v>
      </c>
      <c r="S14" s="214">
        <v>16</v>
      </c>
      <c r="T14" s="273">
        <f t="shared" si="2"/>
        <v>1</v>
      </c>
      <c r="U14" s="274">
        <f t="shared" si="2"/>
        <v>16</v>
      </c>
    </row>
    <row r="15" spans="2:33">
      <c r="B15" s="675"/>
      <c r="C15" s="678"/>
      <c r="D15" s="212" t="s">
        <v>634</v>
      </c>
      <c r="E15" s="212" t="s">
        <v>635</v>
      </c>
      <c r="F15" s="212">
        <v>40</v>
      </c>
      <c r="G15" s="212">
        <v>5</v>
      </c>
      <c r="H15" s="231"/>
      <c r="I15" s="231"/>
      <c r="J15" s="231"/>
      <c r="K15" s="231"/>
      <c r="L15" s="231"/>
      <c r="M15" s="231"/>
      <c r="N15" s="231"/>
      <c r="O15" s="214"/>
      <c r="P15" s="214"/>
      <c r="Q15" s="214"/>
      <c r="R15" s="214">
        <v>1</v>
      </c>
      <c r="S15" s="214">
        <v>16</v>
      </c>
      <c r="T15" s="273">
        <f>SUM(H15,J15,L15,N15,P15,R15)</f>
        <v>1</v>
      </c>
      <c r="U15" s="274">
        <f>SUM(I15,K15,M15,O15,Q15,S15)</f>
        <v>16</v>
      </c>
    </row>
    <row r="16" spans="2:33">
      <c r="B16" s="675"/>
      <c r="C16" s="678"/>
      <c r="D16" s="212" t="s">
        <v>636</v>
      </c>
      <c r="E16" s="212" t="s">
        <v>637</v>
      </c>
      <c r="F16" s="212">
        <v>40</v>
      </c>
      <c r="G16" s="212">
        <v>5</v>
      </c>
      <c r="H16" s="231"/>
      <c r="I16" s="231"/>
      <c r="J16" s="231"/>
      <c r="K16" s="231"/>
      <c r="L16" s="231"/>
      <c r="M16" s="231"/>
      <c r="N16" s="231"/>
      <c r="O16" s="214"/>
      <c r="P16" s="214"/>
      <c r="Q16" s="214"/>
      <c r="R16" s="214">
        <v>1</v>
      </c>
      <c r="S16" s="214">
        <v>16</v>
      </c>
      <c r="T16" s="273">
        <f t="shared" ref="T16:U17" si="3">SUM(H16,J16,L16,N16,P16,R16)</f>
        <v>1</v>
      </c>
      <c r="U16" s="274">
        <f t="shared" si="3"/>
        <v>16</v>
      </c>
    </row>
    <row r="17" spans="2:23">
      <c r="B17" s="675"/>
      <c r="C17" s="678"/>
      <c r="D17" s="212" t="s">
        <v>638</v>
      </c>
      <c r="E17" s="212" t="s">
        <v>639</v>
      </c>
      <c r="F17" s="212">
        <v>40</v>
      </c>
      <c r="G17" s="212">
        <v>5</v>
      </c>
      <c r="H17" s="231"/>
      <c r="I17" s="231"/>
      <c r="J17" s="231"/>
      <c r="K17" s="231"/>
      <c r="L17" s="231"/>
      <c r="M17" s="231"/>
      <c r="N17" s="231"/>
      <c r="O17" s="214"/>
      <c r="P17" s="214"/>
      <c r="Q17" s="214"/>
      <c r="R17" s="214">
        <v>1</v>
      </c>
      <c r="S17" s="214">
        <v>16</v>
      </c>
      <c r="T17" s="273">
        <f t="shared" si="3"/>
        <v>1</v>
      </c>
      <c r="U17" s="274">
        <f t="shared" si="3"/>
        <v>16</v>
      </c>
    </row>
    <row r="18" spans="2:23" ht="18" thickBot="1">
      <c r="B18" s="676"/>
      <c r="C18" s="679"/>
      <c r="D18" s="614" t="s">
        <v>16</v>
      </c>
      <c r="E18" s="614"/>
      <c r="F18" s="252"/>
      <c r="G18" s="252"/>
      <c r="H18" s="217">
        <f>SUM(H17:H17)</f>
        <v>0</v>
      </c>
      <c r="I18" s="217">
        <f>SUM(I17:I17)</f>
        <v>0</v>
      </c>
      <c r="J18" s="217">
        <f>SUM(J17:J17)</f>
        <v>0</v>
      </c>
      <c r="K18" s="217">
        <f>SUM(K17:K17)</f>
        <v>0</v>
      </c>
      <c r="L18" s="217">
        <f t="shared" ref="L18:U18" si="4">SUM(L12:L17)</f>
        <v>0</v>
      </c>
      <c r="M18" s="217">
        <f t="shared" si="4"/>
        <v>0</v>
      </c>
      <c r="N18" s="217">
        <f t="shared" si="4"/>
        <v>0</v>
      </c>
      <c r="O18" s="217">
        <f t="shared" si="4"/>
        <v>0</v>
      </c>
      <c r="P18" s="217">
        <f t="shared" si="4"/>
        <v>4</v>
      </c>
      <c r="Q18" s="217">
        <f t="shared" si="4"/>
        <v>64</v>
      </c>
      <c r="R18" s="217">
        <f t="shared" si="4"/>
        <v>4</v>
      </c>
      <c r="S18" s="217">
        <f t="shared" si="4"/>
        <v>64</v>
      </c>
      <c r="T18" s="222">
        <f t="shared" si="4"/>
        <v>8</v>
      </c>
      <c r="U18" s="275">
        <f t="shared" si="4"/>
        <v>128</v>
      </c>
    </row>
    <row r="19" spans="2:23">
      <c r="B19" s="612" t="s">
        <v>547</v>
      </c>
      <c r="C19" s="609">
        <v>6</v>
      </c>
      <c r="D19" s="225" t="s">
        <v>640</v>
      </c>
      <c r="E19" s="213" t="s">
        <v>641</v>
      </c>
      <c r="F19" s="213">
        <v>20</v>
      </c>
      <c r="G19" s="213">
        <v>3</v>
      </c>
      <c r="H19" s="215"/>
      <c r="I19" s="215"/>
      <c r="J19" s="215"/>
      <c r="K19" s="215"/>
      <c r="L19" s="215"/>
      <c r="M19" s="215"/>
      <c r="N19" s="215"/>
      <c r="O19" s="215"/>
      <c r="P19" s="215">
        <v>3</v>
      </c>
      <c r="Q19" s="215">
        <v>48</v>
      </c>
      <c r="R19" s="215"/>
      <c r="S19" s="215"/>
      <c r="T19" s="226">
        <f>SUM(H19,J19,L19,N19,P19,R19)</f>
        <v>3</v>
      </c>
      <c r="U19" s="227">
        <f>SUM(I19,K19,M19,O19,Q19,S19)</f>
        <v>48</v>
      </c>
      <c r="W19" s="28"/>
    </row>
    <row r="20" spans="2:23">
      <c r="B20" s="612"/>
      <c r="C20" s="609"/>
      <c r="D20" s="224" t="s">
        <v>642</v>
      </c>
      <c r="E20" s="213" t="s">
        <v>643</v>
      </c>
      <c r="F20" s="212">
        <v>20</v>
      </c>
      <c r="G20" s="212">
        <v>3</v>
      </c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214">
        <v>3</v>
      </c>
      <c r="S20" s="214">
        <v>48</v>
      </c>
      <c r="T20" s="220">
        <f t="shared" ref="T20:U20" si="5">SUM(H20,J20,L20,N20,P20,R20)</f>
        <v>3</v>
      </c>
      <c r="U20" s="221">
        <f t="shared" si="5"/>
        <v>48</v>
      </c>
    </row>
    <row r="21" spans="2:23" ht="18" thickBot="1">
      <c r="B21" s="613"/>
      <c r="C21" s="610"/>
      <c r="D21" s="614" t="s">
        <v>16</v>
      </c>
      <c r="E21" s="614"/>
      <c r="F21" s="252"/>
      <c r="G21" s="252"/>
      <c r="H21" s="217">
        <f>SUM(H19:H20)</f>
        <v>0</v>
      </c>
      <c r="I21" s="217">
        <f t="shared" ref="I21:U21" si="6">SUM(I19:I20)</f>
        <v>0</v>
      </c>
      <c r="J21" s="217">
        <f t="shared" si="6"/>
        <v>0</v>
      </c>
      <c r="K21" s="217">
        <f t="shared" si="6"/>
        <v>0</v>
      </c>
      <c r="L21" s="217">
        <f t="shared" si="6"/>
        <v>0</v>
      </c>
      <c r="M21" s="217">
        <f t="shared" si="6"/>
        <v>0</v>
      </c>
      <c r="N21" s="217">
        <f t="shared" si="6"/>
        <v>0</v>
      </c>
      <c r="O21" s="217">
        <f t="shared" si="6"/>
        <v>0</v>
      </c>
      <c r="P21" s="217">
        <f t="shared" si="6"/>
        <v>3</v>
      </c>
      <c r="Q21" s="217">
        <f t="shared" si="6"/>
        <v>48</v>
      </c>
      <c r="R21" s="217">
        <f t="shared" si="6"/>
        <v>3</v>
      </c>
      <c r="S21" s="217">
        <f t="shared" si="6"/>
        <v>48</v>
      </c>
      <c r="T21" s="222">
        <f t="shared" si="6"/>
        <v>6</v>
      </c>
      <c r="U21" s="222">
        <f t="shared" si="6"/>
        <v>96</v>
      </c>
    </row>
    <row r="22" spans="2:23">
      <c r="B22" s="611" t="s">
        <v>818</v>
      </c>
      <c r="C22" s="608">
        <v>6</v>
      </c>
      <c r="D22" s="210" t="s">
        <v>819</v>
      </c>
      <c r="E22" s="210" t="s">
        <v>820</v>
      </c>
      <c r="F22" s="210">
        <v>20</v>
      </c>
      <c r="G22" s="210">
        <v>2</v>
      </c>
      <c r="H22" s="211"/>
      <c r="I22" s="211"/>
      <c r="J22" s="211"/>
      <c r="K22" s="211"/>
      <c r="L22" s="211"/>
      <c r="M22" s="211"/>
      <c r="N22" s="211"/>
      <c r="O22" s="211"/>
      <c r="P22" s="211">
        <v>3</v>
      </c>
      <c r="Q22" s="211">
        <v>48</v>
      </c>
      <c r="R22" s="211"/>
      <c r="S22" s="211"/>
      <c r="T22" s="218">
        <f>SUM(H22,J22,L22,N22,P22,R22)</f>
        <v>3</v>
      </c>
      <c r="U22" s="219">
        <f>SUM(I22,K22,M22,O22,Q22,S22)</f>
        <v>48</v>
      </c>
      <c r="W22" s="28"/>
    </row>
    <row r="23" spans="2:23">
      <c r="B23" s="612"/>
      <c r="C23" s="609"/>
      <c r="D23" s="212" t="s">
        <v>821</v>
      </c>
      <c r="E23" s="213" t="s">
        <v>822</v>
      </c>
      <c r="F23" s="212">
        <v>16</v>
      </c>
      <c r="G23" s="212">
        <v>2</v>
      </c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4">
        <v>3</v>
      </c>
      <c r="S23" s="214">
        <v>48</v>
      </c>
      <c r="T23" s="220">
        <f t="shared" ref="T23:U23" si="7">SUM(H23,J23,L23,N23,P23,R23)</f>
        <v>3</v>
      </c>
      <c r="U23" s="221">
        <f t="shared" si="7"/>
        <v>48</v>
      </c>
    </row>
    <row r="24" spans="2:23" ht="18" thickBot="1">
      <c r="B24" s="613"/>
      <c r="C24" s="610"/>
      <c r="D24" s="614" t="s">
        <v>16</v>
      </c>
      <c r="E24" s="614"/>
      <c r="F24" s="252"/>
      <c r="G24" s="252"/>
      <c r="H24" s="217">
        <f>SUM(H22:H23)</f>
        <v>0</v>
      </c>
      <c r="I24" s="217">
        <f t="shared" ref="I24:U24" si="8">SUM(I22:I23)</f>
        <v>0</v>
      </c>
      <c r="J24" s="217">
        <f t="shared" si="8"/>
        <v>0</v>
      </c>
      <c r="K24" s="217">
        <f t="shared" si="8"/>
        <v>0</v>
      </c>
      <c r="L24" s="217">
        <f t="shared" si="8"/>
        <v>0</v>
      </c>
      <c r="M24" s="217">
        <f t="shared" si="8"/>
        <v>0</v>
      </c>
      <c r="N24" s="217">
        <f t="shared" si="8"/>
        <v>0</v>
      </c>
      <c r="O24" s="217">
        <f t="shared" si="8"/>
        <v>0</v>
      </c>
      <c r="P24" s="217">
        <f t="shared" si="8"/>
        <v>3</v>
      </c>
      <c r="Q24" s="217">
        <f t="shared" si="8"/>
        <v>48</v>
      </c>
      <c r="R24" s="217">
        <f t="shared" si="8"/>
        <v>3</v>
      </c>
      <c r="S24" s="217">
        <f t="shared" si="8"/>
        <v>48</v>
      </c>
      <c r="T24" s="222">
        <f t="shared" si="8"/>
        <v>6</v>
      </c>
      <c r="U24" s="222">
        <f t="shared" si="8"/>
        <v>96</v>
      </c>
    </row>
    <row r="25" spans="2:23">
      <c r="B25" s="621" t="s">
        <v>548</v>
      </c>
      <c r="C25" s="624">
        <v>4</v>
      </c>
      <c r="D25" s="210" t="s">
        <v>645</v>
      </c>
      <c r="E25" s="210" t="s">
        <v>646</v>
      </c>
      <c r="F25" s="210">
        <v>20</v>
      </c>
      <c r="G25" s="210">
        <v>3</v>
      </c>
      <c r="H25" s="211"/>
      <c r="I25" s="211"/>
      <c r="J25" s="211"/>
      <c r="K25" s="211"/>
      <c r="L25" s="211"/>
      <c r="M25" s="211"/>
      <c r="N25" s="211"/>
      <c r="O25" s="211"/>
      <c r="P25" s="211">
        <v>2</v>
      </c>
      <c r="Q25" s="211">
        <v>32</v>
      </c>
      <c r="R25" s="211"/>
      <c r="S25" s="211"/>
      <c r="T25" s="218">
        <f>SUM(H25,J25,L25,N25,P25,R25)</f>
        <v>2</v>
      </c>
      <c r="U25" s="219">
        <f>SUM(I25,K25,M25,O25,Q25,S25)</f>
        <v>32</v>
      </c>
    </row>
    <row r="26" spans="2:23">
      <c r="B26" s="622"/>
      <c r="C26" s="625"/>
      <c r="D26" s="212" t="s">
        <v>647</v>
      </c>
      <c r="E26" s="213" t="s">
        <v>648</v>
      </c>
      <c r="F26" s="212">
        <v>20</v>
      </c>
      <c r="G26" s="212">
        <v>3</v>
      </c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214">
        <v>2</v>
      </c>
      <c r="S26" s="214">
        <v>32</v>
      </c>
      <c r="T26" s="220">
        <f t="shared" ref="T26:U26" si="9">SUM(H26,J26,L26,N26,P26,R26)</f>
        <v>2</v>
      </c>
      <c r="U26" s="221">
        <f t="shared" si="9"/>
        <v>32</v>
      </c>
    </row>
    <row r="27" spans="2:23" ht="18" thickBot="1">
      <c r="B27" s="622"/>
      <c r="C27" s="625"/>
      <c r="D27" s="614" t="s">
        <v>16</v>
      </c>
      <c r="E27" s="614"/>
      <c r="F27" s="252"/>
      <c r="G27" s="252"/>
      <c r="H27" s="217">
        <f>SUM(H25:H26)</f>
        <v>0</v>
      </c>
      <c r="I27" s="217">
        <f t="shared" ref="I27:U27" si="10">SUM(I25:I26)</f>
        <v>0</v>
      </c>
      <c r="J27" s="217">
        <f t="shared" si="10"/>
        <v>0</v>
      </c>
      <c r="K27" s="217">
        <f t="shared" si="10"/>
        <v>0</v>
      </c>
      <c r="L27" s="217">
        <f t="shared" si="10"/>
        <v>0</v>
      </c>
      <c r="M27" s="217">
        <f t="shared" si="10"/>
        <v>0</v>
      </c>
      <c r="N27" s="217">
        <f t="shared" si="10"/>
        <v>0</v>
      </c>
      <c r="O27" s="217">
        <f t="shared" si="10"/>
        <v>0</v>
      </c>
      <c r="P27" s="217">
        <f t="shared" si="10"/>
        <v>2</v>
      </c>
      <c r="Q27" s="217">
        <f t="shared" si="10"/>
        <v>32</v>
      </c>
      <c r="R27" s="217">
        <f t="shared" si="10"/>
        <v>2</v>
      </c>
      <c r="S27" s="217">
        <f t="shared" si="10"/>
        <v>32</v>
      </c>
      <c r="T27" s="222">
        <f t="shared" si="10"/>
        <v>4</v>
      </c>
      <c r="U27" s="222">
        <f t="shared" si="10"/>
        <v>64</v>
      </c>
    </row>
    <row r="28" spans="2:23">
      <c r="B28" s="621" t="s">
        <v>594</v>
      </c>
      <c r="C28" s="624">
        <v>10</v>
      </c>
      <c r="D28" s="210" t="s">
        <v>795</v>
      </c>
      <c r="E28" s="210" t="s">
        <v>796</v>
      </c>
      <c r="F28" s="210">
        <v>40</v>
      </c>
      <c r="G28" s="210">
        <v>2</v>
      </c>
      <c r="H28" s="211"/>
      <c r="I28" s="211">
        <f>H28*16</f>
        <v>0</v>
      </c>
      <c r="J28" s="211"/>
      <c r="K28" s="211">
        <f>J28*16</f>
        <v>0</v>
      </c>
      <c r="L28" s="211"/>
      <c r="M28" s="211"/>
      <c r="N28" s="211"/>
      <c r="O28" s="211"/>
      <c r="P28" s="211">
        <v>3</v>
      </c>
      <c r="Q28" s="211">
        <v>48</v>
      </c>
      <c r="R28" s="211"/>
      <c r="S28" s="211"/>
      <c r="T28" s="218">
        <f>SUM(H28,J28,L28,N28,P28,R28)</f>
        <v>3</v>
      </c>
      <c r="U28" s="219">
        <f>SUM(I28,K28,M28,O28,Q28,S28)</f>
        <v>48</v>
      </c>
    </row>
    <row r="29" spans="2:23">
      <c r="B29" s="622"/>
      <c r="C29" s="625"/>
      <c r="D29" s="212" t="s">
        <v>801</v>
      </c>
      <c r="E29" s="213" t="s">
        <v>802</v>
      </c>
      <c r="F29" s="212">
        <v>30</v>
      </c>
      <c r="G29" s="212">
        <v>2</v>
      </c>
      <c r="H29" s="214"/>
      <c r="I29" s="214">
        <f t="shared" ref="I29" si="11">H29*16</f>
        <v>0</v>
      </c>
      <c r="J29" s="214"/>
      <c r="K29" s="214">
        <f t="shared" ref="K29" si="12">J29*16</f>
        <v>0</v>
      </c>
      <c r="L29" s="214"/>
      <c r="M29" s="214"/>
      <c r="N29" s="214"/>
      <c r="O29" s="214"/>
      <c r="P29" s="214">
        <v>2</v>
      </c>
      <c r="Q29" s="214">
        <v>32</v>
      </c>
      <c r="R29" s="214"/>
      <c r="S29" s="214"/>
      <c r="T29" s="220">
        <f t="shared" ref="T29:U31" si="13">SUM(H29,J29,L29,N29,P29,R29)</f>
        <v>2</v>
      </c>
      <c r="U29" s="221">
        <f t="shared" si="13"/>
        <v>32</v>
      </c>
    </row>
    <row r="30" spans="2:23">
      <c r="B30" s="622"/>
      <c r="C30" s="625"/>
      <c r="D30" s="213" t="s">
        <v>797</v>
      </c>
      <c r="E30" s="212" t="s">
        <v>798</v>
      </c>
      <c r="F30" s="213">
        <v>20</v>
      </c>
      <c r="G30" s="213">
        <v>2</v>
      </c>
      <c r="H30" s="215"/>
      <c r="I30" s="215"/>
      <c r="J30" s="215"/>
      <c r="K30" s="215"/>
      <c r="L30" s="215"/>
      <c r="M30" s="215"/>
      <c r="N30" s="215"/>
      <c r="O30" s="215"/>
      <c r="P30" s="215"/>
      <c r="Q30" s="215"/>
      <c r="R30" s="215">
        <v>2</v>
      </c>
      <c r="S30" s="215">
        <v>32</v>
      </c>
      <c r="T30" s="220">
        <f t="shared" si="13"/>
        <v>2</v>
      </c>
      <c r="U30" s="227">
        <f>Q30+S30</f>
        <v>32</v>
      </c>
    </row>
    <row r="31" spans="2:23">
      <c r="B31" s="622"/>
      <c r="C31" s="625"/>
      <c r="D31" s="213" t="s">
        <v>823</v>
      </c>
      <c r="E31" s="213" t="s">
        <v>824</v>
      </c>
      <c r="F31" s="213">
        <v>60</v>
      </c>
      <c r="G31" s="213">
        <v>3</v>
      </c>
      <c r="H31" s="215"/>
      <c r="I31" s="215"/>
      <c r="J31" s="215"/>
      <c r="K31" s="215"/>
      <c r="L31" s="215"/>
      <c r="M31" s="215"/>
      <c r="N31" s="215"/>
      <c r="O31" s="215"/>
      <c r="P31" s="215"/>
      <c r="Q31" s="215"/>
      <c r="R31" s="215">
        <v>3</v>
      </c>
      <c r="S31" s="215">
        <v>48</v>
      </c>
      <c r="T31" s="226">
        <f t="shared" si="13"/>
        <v>3</v>
      </c>
      <c r="U31" s="227">
        <f t="shared" si="13"/>
        <v>48</v>
      </c>
    </row>
    <row r="32" spans="2:23" ht="18" thickBot="1">
      <c r="B32" s="623"/>
      <c r="C32" s="626"/>
      <c r="D32" s="252" t="s">
        <v>16</v>
      </c>
      <c r="E32" s="252"/>
      <c r="F32" s="252"/>
      <c r="G32" s="252"/>
      <c r="H32" s="217">
        <f>SUM(H30:H31)</f>
        <v>0</v>
      </c>
      <c r="I32" s="217">
        <f>SUM(I30:I31)</f>
        <v>0</v>
      </c>
      <c r="J32" s="217">
        <f>SUM(J30:J31)</f>
        <v>0</v>
      </c>
      <c r="K32" s="217">
        <f>SUM(K30:K31)</f>
        <v>0</v>
      </c>
      <c r="L32" s="217">
        <f t="shared" ref="L32:U32" si="14">SUM(L28:L31)</f>
        <v>0</v>
      </c>
      <c r="M32" s="217">
        <f t="shared" si="14"/>
        <v>0</v>
      </c>
      <c r="N32" s="217">
        <f t="shared" si="14"/>
        <v>0</v>
      </c>
      <c r="O32" s="217">
        <f t="shared" si="14"/>
        <v>0</v>
      </c>
      <c r="P32" s="217">
        <f t="shared" si="14"/>
        <v>5</v>
      </c>
      <c r="Q32" s="217">
        <f t="shared" si="14"/>
        <v>80</v>
      </c>
      <c r="R32" s="217">
        <f t="shared" si="14"/>
        <v>5</v>
      </c>
      <c r="S32" s="217">
        <f t="shared" si="14"/>
        <v>80</v>
      </c>
      <c r="T32" s="222">
        <f t="shared" si="14"/>
        <v>10</v>
      </c>
      <c r="U32" s="222">
        <f t="shared" si="14"/>
        <v>160</v>
      </c>
    </row>
    <row r="33" spans="2:21">
      <c r="B33" s="611" t="s">
        <v>595</v>
      </c>
      <c r="C33" s="608">
        <v>10</v>
      </c>
      <c r="D33" s="210" t="s">
        <v>825</v>
      </c>
      <c r="E33" s="210" t="s">
        <v>806</v>
      </c>
      <c r="F33" s="210">
        <v>40</v>
      </c>
      <c r="G33" s="210">
        <v>3</v>
      </c>
      <c r="H33" s="211"/>
      <c r="I33" s="211"/>
      <c r="J33" s="211"/>
      <c r="K33" s="211"/>
      <c r="L33" s="211"/>
      <c r="M33" s="211"/>
      <c r="N33" s="211"/>
      <c r="O33" s="211"/>
      <c r="P33" s="211">
        <v>3</v>
      </c>
      <c r="Q33" s="211">
        <v>48</v>
      </c>
      <c r="R33" s="211"/>
      <c r="S33" s="211"/>
      <c r="T33" s="218">
        <f>SUM(H33,J33,L33,N33,P33,R33)</f>
        <v>3</v>
      </c>
      <c r="U33" s="219">
        <f>SUM(I33,K33,M33,O33,Q33,S33)</f>
        <v>48</v>
      </c>
    </row>
    <row r="34" spans="2:21">
      <c r="B34" s="612"/>
      <c r="C34" s="609"/>
      <c r="D34" s="212" t="s">
        <v>807</v>
      </c>
      <c r="E34" s="213" t="s">
        <v>808</v>
      </c>
      <c r="F34" s="212">
        <v>40</v>
      </c>
      <c r="G34" s="212">
        <v>3</v>
      </c>
      <c r="H34" s="214"/>
      <c r="I34" s="214"/>
      <c r="J34" s="214"/>
      <c r="K34" s="214"/>
      <c r="L34" s="214"/>
      <c r="M34" s="214"/>
      <c r="N34" s="214"/>
      <c r="O34" s="214"/>
      <c r="P34" s="214">
        <v>2</v>
      </c>
      <c r="Q34" s="214">
        <v>32</v>
      </c>
      <c r="R34" s="214"/>
      <c r="S34" s="214"/>
      <c r="T34" s="220">
        <f t="shared" ref="T34:U36" si="15">SUM(H34,J34,L34,N34,P34,R34)</f>
        <v>2</v>
      </c>
      <c r="U34" s="221">
        <f t="shared" si="15"/>
        <v>32</v>
      </c>
    </row>
    <row r="35" spans="2:21">
      <c r="B35" s="612"/>
      <c r="C35" s="609"/>
      <c r="D35" s="213" t="s">
        <v>826</v>
      </c>
      <c r="E35" s="212" t="s">
        <v>827</v>
      </c>
      <c r="F35" s="213">
        <v>30</v>
      </c>
      <c r="G35" s="213">
        <v>4</v>
      </c>
      <c r="H35" s="215"/>
      <c r="I35" s="215"/>
      <c r="J35" s="215"/>
      <c r="K35" s="215"/>
      <c r="L35" s="215"/>
      <c r="M35" s="215"/>
      <c r="N35" s="215"/>
      <c r="O35" s="215"/>
      <c r="P35" s="215"/>
      <c r="Q35" s="215"/>
      <c r="R35" s="215">
        <v>3</v>
      </c>
      <c r="S35" s="215">
        <v>48</v>
      </c>
      <c r="T35" s="220">
        <f t="shared" si="15"/>
        <v>3</v>
      </c>
      <c r="U35" s="227">
        <f>Q35+S35</f>
        <v>48</v>
      </c>
    </row>
    <row r="36" spans="2:21">
      <c r="B36" s="612"/>
      <c r="C36" s="609"/>
      <c r="D36" s="225" t="s">
        <v>829</v>
      </c>
      <c r="E36" s="213" t="s">
        <v>828</v>
      </c>
      <c r="F36" s="213">
        <v>30</v>
      </c>
      <c r="G36" s="213">
        <v>3</v>
      </c>
      <c r="H36" s="215"/>
      <c r="I36" s="215"/>
      <c r="J36" s="215"/>
      <c r="K36" s="215"/>
      <c r="L36" s="215"/>
      <c r="M36" s="215"/>
      <c r="N36" s="215"/>
      <c r="O36" s="215"/>
      <c r="P36" s="215"/>
      <c r="Q36" s="215"/>
      <c r="R36" s="215">
        <v>2</v>
      </c>
      <c r="S36" s="215">
        <v>32</v>
      </c>
      <c r="T36" s="226">
        <f t="shared" si="15"/>
        <v>2</v>
      </c>
      <c r="U36" s="227">
        <f t="shared" si="15"/>
        <v>32</v>
      </c>
    </row>
    <row r="37" spans="2:21" ht="18" thickBot="1">
      <c r="B37" s="613"/>
      <c r="C37" s="610"/>
      <c r="D37" s="614" t="s">
        <v>16</v>
      </c>
      <c r="E37" s="614"/>
      <c r="F37" s="216"/>
      <c r="G37" s="216"/>
      <c r="H37" s="217">
        <f>SUM(H35:H36)</f>
        <v>0</v>
      </c>
      <c r="I37" s="217">
        <f>SUM(I35:I36)</f>
        <v>0</v>
      </c>
      <c r="J37" s="217">
        <f>SUM(J35:J36)</f>
        <v>0</v>
      </c>
      <c r="K37" s="217">
        <f>SUM(K35:K36)</f>
        <v>0</v>
      </c>
      <c r="L37" s="217">
        <f t="shared" ref="L37:U37" si="16">SUM(L33:L36)</f>
        <v>0</v>
      </c>
      <c r="M37" s="217">
        <f t="shared" si="16"/>
        <v>0</v>
      </c>
      <c r="N37" s="217">
        <f t="shared" si="16"/>
        <v>0</v>
      </c>
      <c r="O37" s="217">
        <f t="shared" si="16"/>
        <v>0</v>
      </c>
      <c r="P37" s="217">
        <f t="shared" si="16"/>
        <v>5</v>
      </c>
      <c r="Q37" s="217">
        <f t="shared" si="16"/>
        <v>80</v>
      </c>
      <c r="R37" s="217">
        <f t="shared" si="16"/>
        <v>5</v>
      </c>
      <c r="S37" s="217">
        <f t="shared" si="16"/>
        <v>80</v>
      </c>
      <c r="T37" s="222">
        <f t="shared" si="16"/>
        <v>10</v>
      </c>
      <c r="U37" s="222">
        <f t="shared" si="16"/>
        <v>160</v>
      </c>
    </row>
  </sheetData>
  <mergeCells count="47">
    <mergeCell ref="F6:F8"/>
    <mergeCell ref="R7:S7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D11:E11"/>
    <mergeCell ref="B9:B11"/>
    <mergeCell ref="C9:C11"/>
    <mergeCell ref="B12:B18"/>
    <mergeCell ref="C12:C18"/>
    <mergeCell ref="D18:E18"/>
    <mergeCell ref="W7:AF7"/>
    <mergeCell ref="G6:G8"/>
    <mergeCell ref="H6:K6"/>
    <mergeCell ref="L6:O6"/>
    <mergeCell ref="U6:U8"/>
    <mergeCell ref="W6:AF6"/>
    <mergeCell ref="H7:I7"/>
    <mergeCell ref="J7:K7"/>
    <mergeCell ref="L7:M7"/>
    <mergeCell ref="N7:O7"/>
    <mergeCell ref="P7:Q7"/>
    <mergeCell ref="P6:S6"/>
    <mergeCell ref="T6:T8"/>
    <mergeCell ref="D21:E21"/>
    <mergeCell ref="D24:E24"/>
    <mergeCell ref="D27:E27"/>
    <mergeCell ref="C22:C24"/>
    <mergeCell ref="B22:B24"/>
    <mergeCell ref="C25:C27"/>
    <mergeCell ref="B25:B27"/>
    <mergeCell ref="C19:C21"/>
    <mergeCell ref="B19:B21"/>
    <mergeCell ref="D37:E37"/>
    <mergeCell ref="C28:C32"/>
    <mergeCell ref="B28:B32"/>
    <mergeCell ref="C33:C37"/>
    <mergeCell ref="B33:B37"/>
  </mergeCells>
  <phoneticPr fontId="9" type="noConversion"/>
  <pageMargins left="0.25" right="0.25" top="0.75" bottom="0.75" header="0.3" footer="0.3"/>
  <pageSetup paperSize="9" scale="32" fitToHeight="0" orientation="portrait" cellComments="asDisplayed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1"/>
  <sheetViews>
    <sheetView workbookViewId="0">
      <pane ySplit="1" topLeftCell="A104" activePane="bottomLeft" state="frozen"/>
      <selection pane="bottomLeft" activeCell="I11" sqref="I11"/>
    </sheetView>
  </sheetViews>
  <sheetFormatPr defaultRowHeight="17.399999999999999"/>
  <cols>
    <col min="1" max="1" width="16.5" style="1" bestFit="1" customWidth="1"/>
    <col min="2" max="5" width="9" style="1"/>
    <col min="6" max="6" width="11.3984375" style="1" bestFit="1" customWidth="1"/>
    <col min="9" max="9" width="17.59765625" bestFit="1" customWidth="1"/>
    <col min="10" max="10" width="13.5" bestFit="1" customWidth="1"/>
    <col min="11" max="11" width="13" bestFit="1" customWidth="1"/>
  </cols>
  <sheetData>
    <row r="1" spans="1:12" ht="16.5" customHeight="1">
      <c r="A1" s="2" t="s">
        <v>19</v>
      </c>
      <c r="B1" s="2" t="s">
        <v>1</v>
      </c>
      <c r="C1" s="2" t="s">
        <v>3</v>
      </c>
      <c r="D1" s="2" t="s">
        <v>18</v>
      </c>
      <c r="E1" s="2" t="s">
        <v>122</v>
      </c>
      <c r="F1" s="2" t="s">
        <v>20</v>
      </c>
      <c r="G1" s="5"/>
      <c r="H1" s="6" t="s">
        <v>73</v>
      </c>
      <c r="I1" s="6" t="s">
        <v>65</v>
      </c>
      <c r="J1" s="6" t="s">
        <v>91</v>
      </c>
      <c r="K1" s="6" t="s">
        <v>92</v>
      </c>
      <c r="L1" s="6" t="s">
        <v>117</v>
      </c>
    </row>
    <row r="2" spans="1:12">
      <c r="A2" s="3" t="s">
        <v>202</v>
      </c>
      <c r="B2" s="3" t="s">
        <v>17</v>
      </c>
      <c r="C2" s="3" t="s">
        <v>21</v>
      </c>
      <c r="D2" s="3" t="s">
        <v>33</v>
      </c>
      <c r="E2" s="3">
        <v>4</v>
      </c>
      <c r="F2" s="7" t="s">
        <v>339</v>
      </c>
      <c r="G2" s="5"/>
      <c r="H2" s="3" t="s">
        <v>74</v>
      </c>
      <c r="I2" s="3" t="s">
        <v>66</v>
      </c>
      <c r="J2" s="3" t="s">
        <v>167</v>
      </c>
      <c r="K2" s="3" t="s">
        <v>167</v>
      </c>
      <c r="L2" s="3" t="s">
        <v>123</v>
      </c>
    </row>
    <row r="3" spans="1:12">
      <c r="A3" s="3" t="s">
        <v>203</v>
      </c>
      <c r="B3" s="3" t="s">
        <v>17</v>
      </c>
      <c r="C3" s="3" t="s">
        <v>21</v>
      </c>
      <c r="D3" s="3" t="s">
        <v>12</v>
      </c>
      <c r="E3" s="3">
        <v>4</v>
      </c>
      <c r="F3" s="7" t="s">
        <v>339</v>
      </c>
      <c r="G3" s="5"/>
      <c r="H3" s="3" t="s">
        <v>75</v>
      </c>
      <c r="I3" s="3" t="s">
        <v>67</v>
      </c>
      <c r="J3" s="3" t="s">
        <v>168</v>
      </c>
      <c r="K3" s="3" t="s">
        <v>168</v>
      </c>
      <c r="L3" s="3" t="s">
        <v>118</v>
      </c>
    </row>
    <row r="4" spans="1:12">
      <c r="A4" s="3" t="s">
        <v>205</v>
      </c>
      <c r="B4" s="3" t="s">
        <v>17</v>
      </c>
      <c r="C4" s="3" t="s">
        <v>21</v>
      </c>
      <c r="D4" s="3" t="s">
        <v>34</v>
      </c>
      <c r="E4" s="3">
        <v>4</v>
      </c>
      <c r="F4" s="7" t="s">
        <v>342</v>
      </c>
      <c r="G4" s="5"/>
      <c r="H4" s="3" t="s">
        <v>76</v>
      </c>
      <c r="I4" s="3" t="s">
        <v>157</v>
      </c>
      <c r="J4" s="3" t="s">
        <v>93</v>
      </c>
      <c r="K4" s="3" t="s">
        <v>93</v>
      </c>
      <c r="L4" s="3" t="s">
        <v>119</v>
      </c>
    </row>
    <row r="5" spans="1:12">
      <c r="A5" s="3" t="s">
        <v>206</v>
      </c>
      <c r="B5" s="3" t="s">
        <v>17</v>
      </c>
      <c r="C5" s="3" t="s">
        <v>21</v>
      </c>
      <c r="D5" s="3" t="s">
        <v>34</v>
      </c>
      <c r="E5" s="3">
        <v>4</v>
      </c>
      <c r="F5" s="7" t="s">
        <v>342</v>
      </c>
      <c r="G5" s="5"/>
      <c r="H5" s="3" t="s">
        <v>77</v>
      </c>
      <c r="I5" s="3" t="s">
        <v>158</v>
      </c>
      <c r="J5" s="3" t="s">
        <v>169</v>
      </c>
      <c r="K5" s="3" t="s">
        <v>169</v>
      </c>
      <c r="L5" s="3"/>
    </row>
    <row r="6" spans="1:12">
      <c r="A6" s="3" t="s">
        <v>4</v>
      </c>
      <c r="B6" s="3" t="s">
        <v>17</v>
      </c>
      <c r="C6" s="3" t="s">
        <v>21</v>
      </c>
      <c r="D6" s="3" t="s">
        <v>34</v>
      </c>
      <c r="E6" s="3">
        <v>4</v>
      </c>
      <c r="F6" s="7" t="s">
        <v>342</v>
      </c>
      <c r="G6" s="5"/>
      <c r="H6" s="3" t="s">
        <v>78</v>
      </c>
      <c r="I6" s="3" t="s">
        <v>159</v>
      </c>
      <c r="J6" s="3" t="s">
        <v>170</v>
      </c>
      <c r="K6" s="3" t="s">
        <v>170</v>
      </c>
      <c r="L6" s="8"/>
    </row>
    <row r="7" spans="1:12">
      <c r="A7" s="3" t="s">
        <v>207</v>
      </c>
      <c r="B7" s="3" t="s">
        <v>17</v>
      </c>
      <c r="C7" s="3" t="s">
        <v>21</v>
      </c>
      <c r="D7" s="3" t="s">
        <v>35</v>
      </c>
      <c r="E7" s="3">
        <v>4</v>
      </c>
      <c r="F7" s="7" t="s">
        <v>342</v>
      </c>
      <c r="G7" s="5"/>
      <c r="H7" s="3" t="s">
        <v>79</v>
      </c>
      <c r="I7" s="3" t="s">
        <v>165</v>
      </c>
      <c r="J7" s="3" t="s">
        <v>94</v>
      </c>
      <c r="K7" s="3" t="s">
        <v>94</v>
      </c>
      <c r="L7" s="5"/>
    </row>
    <row r="8" spans="1:12">
      <c r="A8" s="3" t="s">
        <v>208</v>
      </c>
      <c r="B8" s="3" t="s">
        <v>17</v>
      </c>
      <c r="C8" s="3" t="s">
        <v>21</v>
      </c>
      <c r="D8" s="3" t="s">
        <v>35</v>
      </c>
      <c r="E8" s="3">
        <v>4</v>
      </c>
      <c r="F8" s="7" t="s">
        <v>342</v>
      </c>
      <c r="G8" s="5"/>
      <c r="H8" s="3" t="s">
        <v>80</v>
      </c>
      <c r="I8" s="3" t="s">
        <v>160</v>
      </c>
      <c r="J8" s="3" t="s">
        <v>171</v>
      </c>
      <c r="K8" s="3" t="s">
        <v>171</v>
      </c>
      <c r="L8" s="5"/>
    </row>
    <row r="9" spans="1:12">
      <c r="A9" s="3" t="s">
        <v>209</v>
      </c>
      <c r="B9" s="3" t="s">
        <v>17</v>
      </c>
      <c r="C9" s="3" t="s">
        <v>21</v>
      </c>
      <c r="D9" s="3" t="s">
        <v>35</v>
      </c>
      <c r="E9" s="3">
        <v>4</v>
      </c>
      <c r="F9" s="7" t="s">
        <v>342</v>
      </c>
      <c r="G9" s="5"/>
      <c r="H9" s="3" t="s">
        <v>81</v>
      </c>
      <c r="I9" s="3" t="s">
        <v>68</v>
      </c>
      <c r="J9" s="3" t="s">
        <v>172</v>
      </c>
      <c r="K9" s="3" t="s">
        <v>172</v>
      </c>
      <c r="L9" s="5"/>
    </row>
    <row r="10" spans="1:12">
      <c r="A10" s="3" t="s">
        <v>210</v>
      </c>
      <c r="B10" s="3" t="s">
        <v>17</v>
      </c>
      <c r="C10" s="3" t="s">
        <v>21</v>
      </c>
      <c r="D10" s="3" t="s">
        <v>213</v>
      </c>
      <c r="E10" s="3">
        <v>4</v>
      </c>
      <c r="F10" s="7" t="s">
        <v>342</v>
      </c>
      <c r="G10" s="5"/>
      <c r="H10" s="3" t="s">
        <v>82</v>
      </c>
      <c r="I10" s="3" t="s">
        <v>69</v>
      </c>
      <c r="J10" s="3" t="s">
        <v>112</v>
      </c>
      <c r="K10" s="3" t="s">
        <v>112</v>
      </c>
      <c r="L10" s="5"/>
    </row>
    <row r="11" spans="1:12">
      <c r="A11" s="3" t="s">
        <v>211</v>
      </c>
      <c r="B11" s="3" t="s">
        <v>17</v>
      </c>
      <c r="C11" s="3" t="s">
        <v>21</v>
      </c>
      <c r="D11" s="3" t="s">
        <v>213</v>
      </c>
      <c r="E11" s="3">
        <v>4</v>
      </c>
      <c r="F11" s="7" t="s">
        <v>342</v>
      </c>
      <c r="G11" s="5"/>
      <c r="H11" s="3" t="s">
        <v>83</v>
      </c>
      <c r="I11" s="3" t="s">
        <v>70</v>
      </c>
      <c r="J11" s="3" t="s">
        <v>95</v>
      </c>
      <c r="K11" s="3" t="s">
        <v>95</v>
      </c>
      <c r="L11" s="5"/>
    </row>
    <row r="12" spans="1:12">
      <c r="A12" s="3" t="s">
        <v>212</v>
      </c>
      <c r="B12" s="3" t="s">
        <v>17</v>
      </c>
      <c r="C12" s="3" t="s">
        <v>21</v>
      </c>
      <c r="D12" s="3" t="s">
        <v>213</v>
      </c>
      <c r="E12" s="3">
        <v>4</v>
      </c>
      <c r="F12" s="7" t="s">
        <v>342</v>
      </c>
      <c r="G12" s="5"/>
      <c r="H12" s="3" t="s">
        <v>84</v>
      </c>
      <c r="I12" s="3" t="s">
        <v>161</v>
      </c>
      <c r="J12" s="3" t="s">
        <v>96</v>
      </c>
      <c r="K12" s="3" t="s">
        <v>96</v>
      </c>
      <c r="L12" s="5"/>
    </row>
    <row r="13" spans="1:12">
      <c r="A13" s="3" t="s">
        <v>214</v>
      </c>
      <c r="B13" s="3" t="s">
        <v>17</v>
      </c>
      <c r="C13" s="3" t="s">
        <v>22</v>
      </c>
      <c r="D13" s="3" t="s">
        <v>33</v>
      </c>
      <c r="E13" s="3">
        <v>4</v>
      </c>
      <c r="F13" s="7" t="s">
        <v>339</v>
      </c>
      <c r="G13" s="5"/>
      <c r="H13" s="3" t="s">
        <v>85</v>
      </c>
      <c r="I13" s="3" t="s">
        <v>71</v>
      </c>
      <c r="J13" s="3" t="s">
        <v>173</v>
      </c>
      <c r="K13" s="3" t="s">
        <v>173</v>
      </c>
      <c r="L13" s="5"/>
    </row>
    <row r="14" spans="1:12">
      <c r="A14" s="3" t="s">
        <v>216</v>
      </c>
      <c r="B14" s="3" t="s">
        <v>17</v>
      </c>
      <c r="C14" s="3" t="s">
        <v>22</v>
      </c>
      <c r="D14" s="3" t="s">
        <v>12</v>
      </c>
      <c r="E14" s="3">
        <v>4</v>
      </c>
      <c r="F14" s="7" t="s">
        <v>339</v>
      </c>
      <c r="G14" s="5"/>
      <c r="H14" s="3" t="s">
        <v>86</v>
      </c>
      <c r="I14" s="3" t="s">
        <v>72</v>
      </c>
      <c r="J14" s="3" t="s">
        <v>97</v>
      </c>
      <c r="K14" s="3" t="s">
        <v>97</v>
      </c>
      <c r="L14" s="5"/>
    </row>
    <row r="15" spans="1:12">
      <c r="A15" s="3" t="s">
        <v>217</v>
      </c>
      <c r="B15" s="3" t="s">
        <v>17</v>
      </c>
      <c r="C15" s="3" t="s">
        <v>22</v>
      </c>
      <c r="D15" s="3" t="s">
        <v>34</v>
      </c>
      <c r="E15" s="3">
        <v>4</v>
      </c>
      <c r="F15" s="7" t="s">
        <v>342</v>
      </c>
      <c r="G15" s="5"/>
      <c r="H15" s="3" t="s">
        <v>87</v>
      </c>
      <c r="I15" s="3" t="s">
        <v>162</v>
      </c>
      <c r="J15" s="3" t="s">
        <v>174</v>
      </c>
      <c r="K15" s="3" t="s">
        <v>174</v>
      </c>
      <c r="L15" s="5"/>
    </row>
    <row r="16" spans="1:12">
      <c r="A16" s="3" t="s">
        <v>218</v>
      </c>
      <c r="B16" s="3" t="s">
        <v>17</v>
      </c>
      <c r="C16" s="3" t="s">
        <v>22</v>
      </c>
      <c r="D16" s="3" t="s">
        <v>34</v>
      </c>
      <c r="E16" s="3">
        <v>4</v>
      </c>
      <c r="F16" s="7" t="s">
        <v>342</v>
      </c>
      <c r="G16" s="5"/>
      <c r="H16" s="3" t="s">
        <v>88</v>
      </c>
      <c r="I16" s="3" t="s">
        <v>163</v>
      </c>
      <c r="J16" s="3" t="s">
        <v>175</v>
      </c>
      <c r="K16" s="3" t="s">
        <v>175</v>
      </c>
      <c r="L16" s="5"/>
    </row>
    <row r="17" spans="1:12">
      <c r="A17" s="3" t="s">
        <v>36</v>
      </c>
      <c r="B17" s="3" t="s">
        <v>17</v>
      </c>
      <c r="C17" s="3" t="s">
        <v>22</v>
      </c>
      <c r="D17" s="3" t="s">
        <v>34</v>
      </c>
      <c r="E17" s="3">
        <v>4</v>
      </c>
      <c r="F17" s="7" t="s">
        <v>342</v>
      </c>
      <c r="G17" s="5"/>
      <c r="H17" s="3" t="s">
        <v>89</v>
      </c>
      <c r="I17" s="3" t="s">
        <v>164</v>
      </c>
      <c r="J17" s="3" t="s">
        <v>176</v>
      </c>
      <c r="K17" s="3" t="s">
        <v>176</v>
      </c>
      <c r="L17" s="5"/>
    </row>
    <row r="18" spans="1:12">
      <c r="A18" s="3" t="s">
        <v>219</v>
      </c>
      <c r="B18" s="3" t="s">
        <v>17</v>
      </c>
      <c r="C18" s="3" t="s">
        <v>22</v>
      </c>
      <c r="D18" s="3" t="s">
        <v>35</v>
      </c>
      <c r="E18" s="3">
        <v>4</v>
      </c>
      <c r="F18" s="7" t="s">
        <v>342</v>
      </c>
      <c r="G18" s="5"/>
      <c r="H18" s="3" t="s">
        <v>90</v>
      </c>
      <c r="I18" s="3" t="s">
        <v>166</v>
      </c>
      <c r="J18" s="3" t="s">
        <v>177</v>
      </c>
      <c r="K18" s="3" t="s">
        <v>177</v>
      </c>
      <c r="L18" s="5"/>
    </row>
    <row r="19" spans="1:12">
      <c r="A19" s="3" t="s">
        <v>37</v>
      </c>
      <c r="B19" s="3" t="s">
        <v>17</v>
      </c>
      <c r="C19" s="3" t="s">
        <v>22</v>
      </c>
      <c r="D19" s="3" t="s">
        <v>35</v>
      </c>
      <c r="E19" s="3">
        <v>4</v>
      </c>
      <c r="F19" s="7" t="s">
        <v>342</v>
      </c>
      <c r="G19" s="5"/>
      <c r="J19" s="3" t="s">
        <v>111</v>
      </c>
      <c r="K19" s="3" t="s">
        <v>111</v>
      </c>
      <c r="L19" s="5"/>
    </row>
    <row r="20" spans="1:12">
      <c r="A20" s="3" t="s">
        <v>121</v>
      </c>
      <c r="B20" s="3" t="s">
        <v>17</v>
      </c>
      <c r="C20" s="3" t="s">
        <v>22</v>
      </c>
      <c r="D20" s="3" t="s">
        <v>35</v>
      </c>
      <c r="E20" s="3">
        <v>4</v>
      </c>
      <c r="F20" s="7" t="s">
        <v>342</v>
      </c>
      <c r="G20" s="5"/>
      <c r="J20" s="3" t="s">
        <v>178</v>
      </c>
      <c r="K20" s="3" t="s">
        <v>178</v>
      </c>
      <c r="L20" s="5"/>
    </row>
    <row r="21" spans="1:12">
      <c r="A21" s="3" t="s">
        <v>220</v>
      </c>
      <c r="B21" s="3" t="s">
        <v>17</v>
      </c>
      <c r="C21" s="3" t="s">
        <v>22</v>
      </c>
      <c r="D21" s="3" t="s">
        <v>35</v>
      </c>
      <c r="E21" s="3">
        <v>4</v>
      </c>
      <c r="F21" s="7" t="s">
        <v>342</v>
      </c>
      <c r="G21" s="5"/>
      <c r="J21" s="3" t="s">
        <v>98</v>
      </c>
      <c r="K21" s="3" t="s">
        <v>98</v>
      </c>
      <c r="L21" s="5"/>
    </row>
    <row r="22" spans="1:12">
      <c r="A22" s="3" t="s">
        <v>222</v>
      </c>
      <c r="B22" s="3" t="s">
        <v>17</v>
      </c>
      <c r="C22" s="3" t="s">
        <v>5</v>
      </c>
      <c r="D22" s="3" t="s">
        <v>223</v>
      </c>
      <c r="E22" s="3">
        <v>4</v>
      </c>
      <c r="F22" s="7" t="s">
        <v>342</v>
      </c>
      <c r="G22" s="5"/>
      <c r="H22" s="3"/>
      <c r="I22" s="3"/>
      <c r="J22" s="3" t="s">
        <v>179</v>
      </c>
      <c r="K22" s="3" t="s">
        <v>179</v>
      </c>
      <c r="L22" s="5"/>
    </row>
    <row r="23" spans="1:12">
      <c r="A23" s="3" t="s">
        <v>224</v>
      </c>
      <c r="B23" s="3" t="s">
        <v>17</v>
      </c>
      <c r="C23" s="3" t="s">
        <v>5</v>
      </c>
      <c r="D23" s="3" t="s">
        <v>213</v>
      </c>
      <c r="E23" s="3">
        <v>4</v>
      </c>
      <c r="F23" s="7" t="s">
        <v>342</v>
      </c>
      <c r="G23" s="5"/>
      <c r="H23" s="3"/>
      <c r="I23" s="3"/>
      <c r="J23" s="3" t="s">
        <v>180</v>
      </c>
      <c r="K23" s="3" t="s">
        <v>180</v>
      </c>
      <c r="L23" s="5"/>
    </row>
    <row r="24" spans="1:12">
      <c r="A24" s="3" t="s">
        <v>225</v>
      </c>
      <c r="B24" s="3" t="s">
        <v>17</v>
      </c>
      <c r="C24" s="3" t="s">
        <v>5</v>
      </c>
      <c r="D24" s="3" t="s">
        <v>213</v>
      </c>
      <c r="E24" s="3">
        <v>4</v>
      </c>
      <c r="F24" s="7" t="s">
        <v>342</v>
      </c>
      <c r="G24" s="5"/>
      <c r="H24" s="3"/>
      <c r="I24" s="3"/>
      <c r="J24" s="3" t="s">
        <v>181</v>
      </c>
      <c r="K24" s="3" t="s">
        <v>181</v>
      </c>
      <c r="L24" s="5"/>
    </row>
    <row r="25" spans="1:12">
      <c r="A25" s="3" t="s">
        <v>226</v>
      </c>
      <c r="B25" s="3" t="s">
        <v>17</v>
      </c>
      <c r="C25" s="3" t="s">
        <v>5</v>
      </c>
      <c r="D25" s="3" t="s">
        <v>213</v>
      </c>
      <c r="E25" s="3">
        <v>4</v>
      </c>
      <c r="F25" s="7" t="s">
        <v>342</v>
      </c>
      <c r="G25" s="5"/>
      <c r="H25" s="3"/>
      <c r="I25" s="3"/>
      <c r="J25" s="3" t="s">
        <v>182</v>
      </c>
      <c r="K25" s="3" t="s">
        <v>182</v>
      </c>
      <c r="L25" s="5"/>
    </row>
    <row r="26" spans="1:12">
      <c r="A26" s="3" t="s">
        <v>221</v>
      </c>
      <c r="B26" s="3" t="s">
        <v>17</v>
      </c>
      <c r="C26" s="3" t="s">
        <v>23</v>
      </c>
      <c r="D26" s="3" t="s">
        <v>33</v>
      </c>
      <c r="E26" s="3">
        <v>4</v>
      </c>
      <c r="F26" s="7" t="s">
        <v>339</v>
      </c>
      <c r="G26" s="5"/>
      <c r="H26" s="5"/>
      <c r="I26" s="3"/>
      <c r="J26" s="3" t="s">
        <v>99</v>
      </c>
      <c r="K26" s="3" t="s">
        <v>99</v>
      </c>
      <c r="L26" s="5"/>
    </row>
    <row r="27" spans="1:12">
      <c r="A27" s="3" t="s">
        <v>227</v>
      </c>
      <c r="B27" s="3" t="s">
        <v>17</v>
      </c>
      <c r="C27" s="3" t="s">
        <v>23</v>
      </c>
      <c r="D27" s="3" t="s">
        <v>34</v>
      </c>
      <c r="E27" s="3">
        <v>4</v>
      </c>
      <c r="F27" s="7" t="s">
        <v>342</v>
      </c>
      <c r="G27" s="5"/>
      <c r="H27" s="5"/>
      <c r="I27" s="5"/>
      <c r="J27" s="3" t="s">
        <v>183</v>
      </c>
      <c r="K27" s="3" t="s">
        <v>183</v>
      </c>
      <c r="L27" s="5"/>
    </row>
    <row r="28" spans="1:12">
      <c r="A28" s="3" t="s">
        <v>38</v>
      </c>
      <c r="B28" s="3" t="s">
        <v>17</v>
      </c>
      <c r="C28" s="3" t="s">
        <v>23</v>
      </c>
      <c r="D28" s="3" t="s">
        <v>34</v>
      </c>
      <c r="E28" s="3">
        <v>4</v>
      </c>
      <c r="F28" s="7" t="s">
        <v>342</v>
      </c>
      <c r="G28" s="5"/>
      <c r="H28" s="5"/>
      <c r="I28" s="5"/>
      <c r="J28" s="3" t="s">
        <v>100</v>
      </c>
      <c r="K28" s="3" t="s">
        <v>100</v>
      </c>
      <c r="L28" s="5"/>
    </row>
    <row r="29" spans="1:12">
      <c r="A29" s="3" t="s">
        <v>39</v>
      </c>
      <c r="B29" s="3" t="s">
        <v>17</v>
      </c>
      <c r="C29" s="3" t="s">
        <v>23</v>
      </c>
      <c r="D29" s="3" t="s">
        <v>34</v>
      </c>
      <c r="E29" s="3">
        <v>4</v>
      </c>
      <c r="F29" s="7" t="s">
        <v>342</v>
      </c>
      <c r="G29" s="5"/>
      <c r="H29" s="5"/>
      <c r="I29" s="5"/>
      <c r="J29" s="3" t="s">
        <v>101</v>
      </c>
      <c r="K29" s="3" t="s">
        <v>101</v>
      </c>
      <c r="L29" s="5"/>
    </row>
    <row r="30" spans="1:12">
      <c r="A30" s="3" t="s">
        <v>40</v>
      </c>
      <c r="B30" s="3" t="s">
        <v>17</v>
      </c>
      <c r="C30" s="3" t="s">
        <v>23</v>
      </c>
      <c r="D30" s="3" t="s">
        <v>34</v>
      </c>
      <c r="E30" s="3">
        <v>4</v>
      </c>
      <c r="F30" s="7" t="s">
        <v>342</v>
      </c>
      <c r="G30" s="5"/>
      <c r="H30" s="5"/>
      <c r="I30" s="5"/>
      <c r="J30" s="3" t="s">
        <v>102</v>
      </c>
      <c r="K30" s="3" t="s">
        <v>102</v>
      </c>
      <c r="L30" s="5"/>
    </row>
    <row r="31" spans="1:12">
      <c r="A31" s="3" t="s">
        <v>41</v>
      </c>
      <c r="B31" s="3" t="s">
        <v>17</v>
      </c>
      <c r="C31" s="3" t="s">
        <v>23</v>
      </c>
      <c r="D31" s="3" t="s">
        <v>35</v>
      </c>
      <c r="E31" s="3">
        <v>4</v>
      </c>
      <c r="F31" s="7" t="s">
        <v>342</v>
      </c>
      <c r="G31" s="5"/>
      <c r="H31" s="5"/>
      <c r="I31" s="5"/>
      <c r="J31" s="3" t="s">
        <v>103</v>
      </c>
      <c r="K31" s="3" t="s">
        <v>103</v>
      </c>
      <c r="L31" s="5"/>
    </row>
    <row r="32" spans="1:12">
      <c r="A32" s="3" t="s">
        <v>228</v>
      </c>
      <c r="B32" s="3" t="s">
        <v>17</v>
      </c>
      <c r="C32" s="3" t="s">
        <v>23</v>
      </c>
      <c r="D32" s="3" t="s">
        <v>35</v>
      </c>
      <c r="E32" s="3">
        <v>4</v>
      </c>
      <c r="F32" s="7" t="s">
        <v>342</v>
      </c>
      <c r="G32" s="5"/>
      <c r="H32" s="5"/>
      <c r="I32" s="5"/>
      <c r="J32" s="3" t="s">
        <v>104</v>
      </c>
      <c r="K32" s="3" t="s">
        <v>104</v>
      </c>
      <c r="L32" s="5"/>
    </row>
    <row r="33" spans="1:12">
      <c r="A33" s="3" t="s">
        <v>229</v>
      </c>
      <c r="B33" s="3" t="s">
        <v>17</v>
      </c>
      <c r="C33" s="3" t="s">
        <v>23</v>
      </c>
      <c r="D33" s="3" t="s">
        <v>35</v>
      </c>
      <c r="E33" s="3">
        <v>4</v>
      </c>
      <c r="F33" s="7" t="s">
        <v>342</v>
      </c>
      <c r="G33" s="5"/>
      <c r="H33" s="5"/>
      <c r="I33" s="5"/>
      <c r="J33" s="3" t="s">
        <v>105</v>
      </c>
      <c r="K33" s="3" t="s">
        <v>105</v>
      </c>
      <c r="L33" s="5"/>
    </row>
    <row r="34" spans="1:12">
      <c r="A34" s="3" t="s">
        <v>230</v>
      </c>
      <c r="B34" s="3" t="s">
        <v>17</v>
      </c>
      <c r="C34" s="3" t="s">
        <v>23</v>
      </c>
      <c r="D34" s="3" t="s">
        <v>35</v>
      </c>
      <c r="E34" s="3">
        <v>4</v>
      </c>
      <c r="F34" s="7" t="s">
        <v>342</v>
      </c>
      <c r="G34" s="5"/>
      <c r="H34" s="5"/>
      <c r="I34" s="5"/>
      <c r="J34" s="3" t="s">
        <v>184</v>
      </c>
      <c r="K34" s="3" t="s">
        <v>184</v>
      </c>
      <c r="L34" s="5"/>
    </row>
    <row r="35" spans="1:12">
      <c r="A35" s="3" t="s">
        <v>231</v>
      </c>
      <c r="B35" s="3" t="s">
        <v>17</v>
      </c>
      <c r="C35" s="3" t="s">
        <v>6</v>
      </c>
      <c r="D35" s="3" t="s">
        <v>223</v>
      </c>
      <c r="E35" s="3">
        <v>4</v>
      </c>
      <c r="F35" s="7" t="s">
        <v>342</v>
      </c>
      <c r="G35" s="5"/>
      <c r="H35" s="5"/>
      <c r="I35" s="5"/>
      <c r="J35" s="3" t="s">
        <v>185</v>
      </c>
      <c r="K35" s="3" t="s">
        <v>185</v>
      </c>
      <c r="L35" s="5"/>
    </row>
    <row r="36" spans="1:12">
      <c r="A36" s="3" t="s">
        <v>232</v>
      </c>
      <c r="B36" s="3" t="s">
        <v>17</v>
      </c>
      <c r="C36" s="3" t="s">
        <v>6</v>
      </c>
      <c r="D36" s="3" t="s">
        <v>213</v>
      </c>
      <c r="E36" s="3">
        <v>4</v>
      </c>
      <c r="F36" s="7" t="s">
        <v>342</v>
      </c>
      <c r="G36" s="5"/>
      <c r="H36" s="5"/>
      <c r="I36" s="5"/>
      <c r="J36" s="3" t="s">
        <v>106</v>
      </c>
      <c r="K36" s="3" t="s">
        <v>106</v>
      </c>
      <c r="L36" s="5"/>
    </row>
    <row r="37" spans="1:12">
      <c r="A37" s="3" t="s">
        <v>233</v>
      </c>
      <c r="B37" s="3" t="s">
        <v>17</v>
      </c>
      <c r="C37" s="3" t="s">
        <v>6</v>
      </c>
      <c r="D37" s="3" t="s">
        <v>213</v>
      </c>
      <c r="E37" s="3">
        <v>4</v>
      </c>
      <c r="F37" s="7" t="s">
        <v>342</v>
      </c>
      <c r="G37" s="5"/>
      <c r="H37" s="5"/>
      <c r="I37" s="5"/>
      <c r="J37" s="3" t="s">
        <v>107</v>
      </c>
      <c r="K37" s="3" t="s">
        <v>107</v>
      </c>
      <c r="L37" s="5"/>
    </row>
    <row r="38" spans="1:12">
      <c r="A38" s="3" t="s">
        <v>234</v>
      </c>
      <c r="B38" s="3" t="s">
        <v>17</v>
      </c>
      <c r="C38" s="3" t="s">
        <v>6</v>
      </c>
      <c r="D38" s="3" t="s">
        <v>213</v>
      </c>
      <c r="E38" s="3">
        <v>4</v>
      </c>
      <c r="F38" s="7" t="s">
        <v>342</v>
      </c>
      <c r="G38" s="5"/>
      <c r="H38" s="5"/>
      <c r="I38" s="5"/>
      <c r="J38" s="3" t="s">
        <v>108</v>
      </c>
      <c r="K38" s="3" t="s">
        <v>108</v>
      </c>
      <c r="L38" s="5"/>
    </row>
    <row r="39" spans="1:12">
      <c r="A39" s="3" t="s">
        <v>235</v>
      </c>
      <c r="B39" s="3" t="s">
        <v>17</v>
      </c>
      <c r="C39" s="3" t="s">
        <v>24</v>
      </c>
      <c r="D39" s="3" t="s">
        <v>33</v>
      </c>
      <c r="E39" s="3">
        <v>3</v>
      </c>
      <c r="F39" s="7" t="s">
        <v>365</v>
      </c>
      <c r="G39" s="5"/>
      <c r="H39" s="5"/>
      <c r="I39" s="5"/>
      <c r="J39" s="3" t="s">
        <v>109</v>
      </c>
      <c r="K39" s="3" t="s">
        <v>109</v>
      </c>
      <c r="L39" s="5"/>
    </row>
    <row r="40" spans="1:12">
      <c r="A40" s="3" t="s">
        <v>236</v>
      </c>
      <c r="B40" s="3" t="s">
        <v>17</v>
      </c>
      <c r="C40" s="3" t="s">
        <v>7</v>
      </c>
      <c r="D40" s="3" t="s">
        <v>237</v>
      </c>
      <c r="E40" s="3">
        <v>3</v>
      </c>
      <c r="F40" s="7" t="s">
        <v>365</v>
      </c>
      <c r="G40" s="5"/>
      <c r="H40" s="5"/>
      <c r="I40" s="5"/>
      <c r="J40" s="3" t="s">
        <v>186</v>
      </c>
      <c r="K40" s="3" t="s">
        <v>186</v>
      </c>
      <c r="L40" s="5"/>
    </row>
    <row r="41" spans="1:12" ht="17.25" customHeight="1">
      <c r="A41" s="3" t="s">
        <v>238</v>
      </c>
      <c r="B41" s="3" t="s">
        <v>17</v>
      </c>
      <c r="C41" s="3" t="s">
        <v>25</v>
      </c>
      <c r="D41" s="3" t="s">
        <v>33</v>
      </c>
      <c r="E41" s="3">
        <v>4</v>
      </c>
      <c r="F41" s="7" t="s">
        <v>339</v>
      </c>
      <c r="G41" s="5"/>
      <c r="H41" s="5"/>
      <c r="I41" s="5"/>
      <c r="J41" s="3" t="s">
        <v>110</v>
      </c>
      <c r="K41" s="3" t="s">
        <v>110</v>
      </c>
      <c r="L41" s="5"/>
    </row>
    <row r="42" spans="1:12" ht="17.25" customHeight="1">
      <c r="A42" s="3" t="s">
        <v>239</v>
      </c>
      <c r="B42" s="3" t="s">
        <v>17</v>
      </c>
      <c r="C42" s="3" t="s">
        <v>25</v>
      </c>
      <c r="D42" s="3" t="s">
        <v>12</v>
      </c>
      <c r="E42" s="3">
        <v>4</v>
      </c>
      <c r="F42" s="7" t="s">
        <v>339</v>
      </c>
      <c r="G42" s="5"/>
      <c r="H42" s="5"/>
      <c r="I42" s="5"/>
      <c r="J42" s="3" t="s">
        <v>187</v>
      </c>
      <c r="K42" s="3" t="s">
        <v>187</v>
      </c>
      <c r="L42" s="5"/>
    </row>
    <row r="43" spans="1:12" ht="17.25" customHeight="1">
      <c r="A43" s="3" t="s">
        <v>251</v>
      </c>
      <c r="B43" s="3" t="s">
        <v>17</v>
      </c>
      <c r="C43" s="3" t="s">
        <v>25</v>
      </c>
      <c r="D43" s="3" t="s">
        <v>255</v>
      </c>
      <c r="E43" s="3">
        <v>4</v>
      </c>
      <c r="F43" s="7" t="s">
        <v>342</v>
      </c>
      <c r="G43" s="5"/>
      <c r="H43" s="5"/>
      <c r="I43" s="5"/>
      <c r="J43" s="3" t="s">
        <v>188</v>
      </c>
      <c r="K43" s="3" t="s">
        <v>188</v>
      </c>
      <c r="L43" s="5"/>
    </row>
    <row r="44" spans="1:12" ht="17.25" customHeight="1">
      <c r="A44" s="3" t="s">
        <v>252</v>
      </c>
      <c r="B44" s="3" t="s">
        <v>17</v>
      </c>
      <c r="C44" s="3" t="s">
        <v>25</v>
      </c>
      <c r="D44" s="3" t="s">
        <v>255</v>
      </c>
      <c r="E44" s="3">
        <v>4</v>
      </c>
      <c r="F44" s="7" t="s">
        <v>342</v>
      </c>
      <c r="G44" s="5"/>
      <c r="H44" s="5"/>
      <c r="I44" s="5"/>
      <c r="J44" s="3" t="s">
        <v>113</v>
      </c>
      <c r="K44" s="3" t="s">
        <v>113</v>
      </c>
      <c r="L44" s="5"/>
    </row>
    <row r="45" spans="1:12" ht="17.25" customHeight="1">
      <c r="A45" s="3" t="s">
        <v>253</v>
      </c>
      <c r="B45" s="3" t="s">
        <v>17</v>
      </c>
      <c r="C45" s="3" t="s">
        <v>25</v>
      </c>
      <c r="D45" s="3" t="s">
        <v>255</v>
      </c>
      <c r="E45" s="3">
        <v>4</v>
      </c>
      <c r="F45" s="7" t="s">
        <v>342</v>
      </c>
      <c r="G45" s="5"/>
      <c r="H45" s="5"/>
      <c r="I45" s="5"/>
      <c r="J45" s="3" t="s">
        <v>189</v>
      </c>
      <c r="K45" s="3" t="s">
        <v>189</v>
      </c>
      <c r="L45" s="5"/>
    </row>
    <row r="46" spans="1:12" ht="17.25" customHeight="1">
      <c r="A46" s="3" t="s">
        <v>254</v>
      </c>
      <c r="B46" s="3" t="s">
        <v>17</v>
      </c>
      <c r="C46" s="3" t="s">
        <v>25</v>
      </c>
      <c r="D46" s="3" t="s">
        <v>34</v>
      </c>
      <c r="E46" s="3">
        <v>4</v>
      </c>
      <c r="F46" s="7" t="s">
        <v>342</v>
      </c>
      <c r="G46" s="5"/>
      <c r="H46" s="5"/>
      <c r="I46" s="5"/>
      <c r="J46" s="3" t="s">
        <v>114</v>
      </c>
      <c r="K46" s="3" t="s">
        <v>114</v>
      </c>
      <c r="L46" s="5"/>
    </row>
    <row r="47" spans="1:12">
      <c r="A47" s="3" t="s">
        <v>240</v>
      </c>
      <c r="B47" s="3" t="s">
        <v>17</v>
      </c>
      <c r="C47" s="3" t="s">
        <v>25</v>
      </c>
      <c r="D47" s="3" t="s">
        <v>35</v>
      </c>
      <c r="E47" s="3">
        <v>4</v>
      </c>
      <c r="F47" s="7" t="s">
        <v>342</v>
      </c>
      <c r="G47" s="5"/>
      <c r="H47" s="5"/>
      <c r="I47" s="5"/>
      <c r="J47" s="3" t="s">
        <v>115</v>
      </c>
      <c r="K47" s="3" t="s">
        <v>115</v>
      </c>
      <c r="L47" s="5"/>
    </row>
    <row r="48" spans="1:12">
      <c r="A48" s="3" t="s">
        <v>241</v>
      </c>
      <c r="B48" s="3" t="s">
        <v>17</v>
      </c>
      <c r="C48" s="3" t="s">
        <v>25</v>
      </c>
      <c r="D48" s="3" t="s">
        <v>35</v>
      </c>
      <c r="E48" s="3">
        <v>4</v>
      </c>
      <c r="F48" s="7" t="s">
        <v>342</v>
      </c>
      <c r="G48" s="5"/>
      <c r="H48" s="5"/>
      <c r="I48" s="5"/>
      <c r="J48" s="3" t="s">
        <v>116</v>
      </c>
      <c r="K48" s="3" t="s">
        <v>116</v>
      </c>
      <c r="L48" s="5"/>
    </row>
    <row r="49" spans="1:12">
      <c r="A49" s="3" t="s">
        <v>242</v>
      </c>
      <c r="B49" s="3" t="s">
        <v>17</v>
      </c>
      <c r="C49" s="3" t="s">
        <v>25</v>
      </c>
      <c r="D49" s="3" t="s">
        <v>35</v>
      </c>
      <c r="E49" s="3">
        <v>4</v>
      </c>
      <c r="F49" s="7" t="s">
        <v>342</v>
      </c>
      <c r="G49" s="5"/>
      <c r="H49" s="5"/>
      <c r="I49" s="5"/>
      <c r="J49" s="5" t="s">
        <v>190</v>
      </c>
      <c r="K49" s="5" t="s">
        <v>190</v>
      </c>
      <c r="L49" s="5"/>
    </row>
    <row r="50" spans="1:12">
      <c r="A50" s="3" t="s">
        <v>243</v>
      </c>
      <c r="B50" s="3" t="s">
        <v>17</v>
      </c>
      <c r="C50" s="3" t="s">
        <v>25</v>
      </c>
      <c r="D50" s="3" t="s">
        <v>35</v>
      </c>
      <c r="E50" s="3">
        <v>4</v>
      </c>
      <c r="F50" s="7" t="s">
        <v>342</v>
      </c>
      <c r="G50" s="5"/>
      <c r="H50" s="5"/>
      <c r="I50" s="5"/>
      <c r="J50" s="5" t="s">
        <v>191</v>
      </c>
      <c r="K50" s="5" t="s">
        <v>191</v>
      </c>
      <c r="L50" s="5"/>
    </row>
    <row r="51" spans="1:12">
      <c r="A51" s="3" t="s">
        <v>42</v>
      </c>
      <c r="B51" s="3" t="s">
        <v>17</v>
      </c>
      <c r="C51" s="3" t="s">
        <v>25</v>
      </c>
      <c r="D51" s="3" t="s">
        <v>35</v>
      </c>
      <c r="E51" s="3">
        <v>4</v>
      </c>
      <c r="F51" s="7" t="s">
        <v>342</v>
      </c>
      <c r="G51" s="5"/>
      <c r="H51" s="5"/>
      <c r="I51" s="5"/>
      <c r="J51" s="5" t="s">
        <v>192</v>
      </c>
      <c r="K51" s="5" t="s">
        <v>192</v>
      </c>
      <c r="L51" s="5"/>
    </row>
    <row r="52" spans="1:12">
      <c r="A52" s="3" t="s">
        <v>244</v>
      </c>
      <c r="B52" s="3" t="s">
        <v>17</v>
      </c>
      <c r="C52" s="3" t="s">
        <v>25</v>
      </c>
      <c r="D52" s="3" t="s">
        <v>35</v>
      </c>
      <c r="E52" s="3">
        <v>4</v>
      </c>
      <c r="F52" s="7" t="s">
        <v>342</v>
      </c>
      <c r="G52" s="5"/>
      <c r="H52" s="5"/>
      <c r="I52" s="5"/>
      <c r="J52" s="5" t="s">
        <v>193</v>
      </c>
      <c r="K52" s="5" t="s">
        <v>193</v>
      </c>
      <c r="L52" s="5"/>
    </row>
    <row r="53" spans="1:12">
      <c r="A53" s="3" t="s">
        <v>43</v>
      </c>
      <c r="B53" s="3" t="s">
        <v>17</v>
      </c>
      <c r="C53" s="3" t="s">
        <v>25</v>
      </c>
      <c r="D53" s="3" t="s">
        <v>35</v>
      </c>
      <c r="E53" s="3">
        <v>4</v>
      </c>
      <c r="F53" s="7" t="s">
        <v>342</v>
      </c>
      <c r="G53" s="5"/>
      <c r="H53" s="5"/>
      <c r="I53" s="5"/>
      <c r="J53" s="5" t="s">
        <v>194</v>
      </c>
      <c r="K53" s="5" t="s">
        <v>194</v>
      </c>
      <c r="L53" s="5"/>
    </row>
    <row r="54" spans="1:12">
      <c r="A54" s="3" t="s">
        <v>245</v>
      </c>
      <c r="B54" s="3" t="s">
        <v>17</v>
      </c>
      <c r="C54" s="3" t="s">
        <v>25</v>
      </c>
      <c r="D54" s="3" t="s">
        <v>35</v>
      </c>
      <c r="E54" s="3">
        <v>4</v>
      </c>
      <c r="F54" s="7" t="s">
        <v>342</v>
      </c>
      <c r="G54" s="5"/>
      <c r="H54" s="5"/>
      <c r="I54" s="5"/>
      <c r="J54" s="5" t="s">
        <v>195</v>
      </c>
      <c r="K54" s="5" t="s">
        <v>195</v>
      </c>
      <c r="L54" s="5"/>
    </row>
    <row r="55" spans="1:12">
      <c r="A55" s="3" t="s">
        <v>246</v>
      </c>
      <c r="B55" s="3" t="s">
        <v>17</v>
      </c>
      <c r="C55" s="3" t="s">
        <v>25</v>
      </c>
      <c r="D55" s="3" t="s">
        <v>35</v>
      </c>
      <c r="E55" s="3">
        <v>4</v>
      </c>
      <c r="F55" s="7" t="s">
        <v>342</v>
      </c>
      <c r="G55" s="5"/>
      <c r="H55" s="5"/>
      <c r="I55" s="5"/>
      <c r="J55" s="5" t="s">
        <v>197</v>
      </c>
      <c r="K55" s="5" t="s">
        <v>197</v>
      </c>
      <c r="L55" s="5"/>
    </row>
    <row r="56" spans="1:12">
      <c r="A56" s="3" t="s">
        <v>44</v>
      </c>
      <c r="B56" s="3" t="s">
        <v>17</v>
      </c>
      <c r="C56" s="3" t="s">
        <v>25</v>
      </c>
      <c r="D56" s="3" t="s">
        <v>213</v>
      </c>
      <c r="E56" s="3">
        <v>4</v>
      </c>
      <c r="F56" s="7" t="s">
        <v>342</v>
      </c>
      <c r="G56" s="5"/>
      <c r="H56" s="5"/>
      <c r="I56" s="5"/>
      <c r="J56" s="5" t="s">
        <v>196</v>
      </c>
      <c r="K56" s="5" t="s">
        <v>196</v>
      </c>
      <c r="L56" s="5"/>
    </row>
    <row r="57" spans="1:12">
      <c r="A57" s="3" t="s">
        <v>45</v>
      </c>
      <c r="B57" s="3" t="s">
        <v>17</v>
      </c>
      <c r="C57" s="3" t="s">
        <v>25</v>
      </c>
      <c r="D57" s="3" t="s">
        <v>213</v>
      </c>
      <c r="E57" s="3">
        <v>4</v>
      </c>
      <c r="F57" s="7" t="s">
        <v>342</v>
      </c>
      <c r="G57" s="5"/>
      <c r="H57" s="5"/>
      <c r="I57" s="5"/>
      <c r="J57" s="5" t="s">
        <v>198</v>
      </c>
      <c r="K57" s="5" t="s">
        <v>198</v>
      </c>
      <c r="L57" s="5"/>
    </row>
    <row r="58" spans="1:12">
      <c r="A58" s="3" t="s">
        <v>247</v>
      </c>
      <c r="B58" s="3" t="s">
        <v>17</v>
      </c>
      <c r="C58" s="3" t="s">
        <v>25</v>
      </c>
      <c r="D58" s="3" t="s">
        <v>213</v>
      </c>
      <c r="E58" s="3">
        <v>4</v>
      </c>
      <c r="F58" s="7" t="s">
        <v>342</v>
      </c>
      <c r="G58" s="5"/>
      <c r="H58" s="5"/>
      <c r="I58" s="5"/>
      <c r="J58" s="5" t="s">
        <v>199</v>
      </c>
      <c r="K58" s="5" t="s">
        <v>199</v>
      </c>
      <c r="L58" s="5"/>
    </row>
    <row r="59" spans="1:12">
      <c r="A59" s="3" t="s">
        <v>248</v>
      </c>
      <c r="B59" s="3" t="s">
        <v>17</v>
      </c>
      <c r="C59" s="3" t="s">
        <v>25</v>
      </c>
      <c r="D59" s="3" t="s">
        <v>213</v>
      </c>
      <c r="E59" s="3">
        <v>4</v>
      </c>
      <c r="F59" s="7" t="s">
        <v>342</v>
      </c>
      <c r="G59" s="5"/>
      <c r="H59" s="5"/>
      <c r="I59" s="5"/>
      <c r="J59" s="5" t="s">
        <v>200</v>
      </c>
      <c r="K59" s="5" t="s">
        <v>200</v>
      </c>
      <c r="L59" s="5"/>
    </row>
    <row r="60" spans="1:12">
      <c r="A60" s="3" t="s">
        <v>249</v>
      </c>
      <c r="B60" s="3" t="s">
        <v>17</v>
      </c>
      <c r="C60" s="3" t="s">
        <v>25</v>
      </c>
      <c r="D60" s="3" t="s">
        <v>213</v>
      </c>
      <c r="E60" s="3">
        <v>4</v>
      </c>
      <c r="F60" s="7" t="s">
        <v>342</v>
      </c>
      <c r="G60" s="5"/>
      <c r="H60" s="5"/>
      <c r="I60" s="5"/>
      <c r="J60" s="3"/>
      <c r="K60" s="3"/>
      <c r="L60" s="5"/>
    </row>
    <row r="61" spans="1:12">
      <c r="A61" s="3" t="s">
        <v>250</v>
      </c>
      <c r="B61" s="3" t="s">
        <v>17</v>
      </c>
      <c r="C61" s="3" t="s">
        <v>25</v>
      </c>
      <c r="D61" s="3" t="s">
        <v>213</v>
      </c>
      <c r="E61" s="3">
        <v>4</v>
      </c>
      <c r="F61" s="7" t="s">
        <v>342</v>
      </c>
      <c r="G61" s="5"/>
      <c r="H61" s="5"/>
      <c r="I61" s="5"/>
      <c r="J61" s="3"/>
      <c r="K61" s="3"/>
      <c r="L61" s="5"/>
    </row>
    <row r="62" spans="1:12">
      <c r="A62" s="3" t="s">
        <v>256</v>
      </c>
      <c r="B62" s="3" t="s">
        <v>17</v>
      </c>
      <c r="C62" s="3" t="s">
        <v>26</v>
      </c>
      <c r="D62" s="3" t="s">
        <v>33</v>
      </c>
      <c r="E62" s="3">
        <v>4</v>
      </c>
      <c r="F62" s="7" t="s">
        <v>339</v>
      </c>
      <c r="G62" s="5"/>
      <c r="H62" s="5"/>
      <c r="I62" s="5"/>
      <c r="L62" s="5"/>
    </row>
    <row r="63" spans="1:12">
      <c r="A63" s="3" t="s">
        <v>257</v>
      </c>
      <c r="B63" s="3" t="s">
        <v>17</v>
      </c>
      <c r="C63" s="3" t="s">
        <v>26</v>
      </c>
      <c r="D63" s="3" t="s">
        <v>237</v>
      </c>
      <c r="E63" s="3">
        <v>4</v>
      </c>
      <c r="F63" s="7" t="s">
        <v>339</v>
      </c>
      <c r="G63" s="5"/>
      <c r="H63" s="5"/>
      <c r="I63" s="5"/>
      <c r="J63" s="3"/>
      <c r="K63" s="3"/>
      <c r="L63" s="5"/>
    </row>
    <row r="64" spans="1:12">
      <c r="A64" s="3" t="s">
        <v>258</v>
      </c>
      <c r="B64" s="3" t="s">
        <v>17</v>
      </c>
      <c r="C64" s="3" t="s">
        <v>26</v>
      </c>
      <c r="D64" s="3" t="s">
        <v>33</v>
      </c>
      <c r="E64" s="3">
        <v>4</v>
      </c>
      <c r="F64" s="7" t="s">
        <v>339</v>
      </c>
      <c r="G64" s="5"/>
      <c r="H64" s="5"/>
      <c r="I64" s="5"/>
      <c r="L64" s="5"/>
    </row>
    <row r="65" spans="1:12">
      <c r="A65" s="3" t="s">
        <v>259</v>
      </c>
      <c r="B65" s="3" t="s">
        <v>17</v>
      </c>
      <c r="C65" s="3" t="s">
        <v>26</v>
      </c>
      <c r="D65" s="3" t="s">
        <v>12</v>
      </c>
      <c r="E65" s="3">
        <v>4</v>
      </c>
      <c r="F65" s="7" t="s">
        <v>339</v>
      </c>
      <c r="G65" s="5"/>
      <c r="H65" s="5"/>
      <c r="I65" s="5"/>
      <c r="J65" s="3"/>
      <c r="K65" s="3"/>
      <c r="L65" s="5"/>
    </row>
    <row r="66" spans="1:12">
      <c r="A66" s="3" t="s">
        <v>260</v>
      </c>
      <c r="B66" s="3" t="s">
        <v>17</v>
      </c>
      <c r="C66" s="3" t="s">
        <v>26</v>
      </c>
      <c r="D66" s="3" t="s">
        <v>34</v>
      </c>
      <c r="E66" s="3">
        <v>4</v>
      </c>
      <c r="F66" s="7" t="s">
        <v>342</v>
      </c>
      <c r="G66" s="5"/>
      <c r="H66" s="5"/>
      <c r="I66" s="5"/>
      <c r="J66" s="3"/>
      <c r="K66" s="3"/>
      <c r="L66" s="5"/>
    </row>
    <row r="67" spans="1:12">
      <c r="A67" s="3" t="s">
        <v>261</v>
      </c>
      <c r="B67" s="3" t="s">
        <v>17</v>
      </c>
      <c r="C67" s="3" t="s">
        <v>26</v>
      </c>
      <c r="D67" s="3" t="s">
        <v>34</v>
      </c>
      <c r="E67" s="3">
        <v>4</v>
      </c>
      <c r="F67" s="7" t="s">
        <v>342</v>
      </c>
      <c r="G67" s="5"/>
      <c r="H67" s="5"/>
      <c r="I67" s="5"/>
      <c r="J67" s="3"/>
      <c r="K67" s="3"/>
      <c r="L67" s="5"/>
    </row>
    <row r="68" spans="1:12">
      <c r="A68" s="3" t="s">
        <v>262</v>
      </c>
      <c r="B68" s="3" t="s">
        <v>17</v>
      </c>
      <c r="C68" s="3" t="s">
        <v>26</v>
      </c>
      <c r="D68" s="3" t="s">
        <v>34</v>
      </c>
      <c r="E68" s="3">
        <v>4</v>
      </c>
      <c r="F68" s="7" t="s">
        <v>342</v>
      </c>
      <c r="G68" s="5"/>
      <c r="H68" s="5"/>
      <c r="I68" s="5"/>
      <c r="J68" s="3"/>
      <c r="K68" s="3"/>
      <c r="L68" s="5"/>
    </row>
    <row r="69" spans="1:12">
      <c r="A69" s="3" t="s">
        <v>263</v>
      </c>
      <c r="B69" s="3" t="s">
        <v>17</v>
      </c>
      <c r="C69" s="3" t="s">
        <v>26</v>
      </c>
      <c r="D69" s="3" t="s">
        <v>34</v>
      </c>
      <c r="E69" s="3">
        <v>4</v>
      </c>
      <c r="F69" s="7" t="s">
        <v>342</v>
      </c>
      <c r="G69" s="5"/>
      <c r="H69" s="5"/>
      <c r="I69" s="5"/>
      <c r="L69" s="5"/>
    </row>
    <row r="70" spans="1:12">
      <c r="A70" s="3" t="s">
        <v>264</v>
      </c>
      <c r="B70" s="3" t="s">
        <v>17</v>
      </c>
      <c r="C70" s="3" t="s">
        <v>26</v>
      </c>
      <c r="D70" s="3" t="s">
        <v>35</v>
      </c>
      <c r="E70" s="3">
        <v>4</v>
      </c>
      <c r="F70" s="7" t="s">
        <v>342</v>
      </c>
      <c r="G70" s="5"/>
      <c r="H70" s="5"/>
      <c r="I70" s="5"/>
      <c r="L70" s="5"/>
    </row>
    <row r="71" spans="1:12">
      <c r="A71" s="3" t="s">
        <v>265</v>
      </c>
      <c r="B71" s="3" t="s">
        <v>17</v>
      </c>
      <c r="C71" s="3" t="s">
        <v>26</v>
      </c>
      <c r="D71" s="3" t="s">
        <v>35</v>
      </c>
      <c r="E71" s="3">
        <v>4</v>
      </c>
      <c r="F71" s="7" t="s">
        <v>342</v>
      </c>
      <c r="G71" s="5"/>
      <c r="H71" s="5"/>
      <c r="I71" s="5"/>
      <c r="L71" s="5"/>
    </row>
    <row r="72" spans="1:12">
      <c r="A72" s="3" t="s">
        <v>266</v>
      </c>
      <c r="B72" s="3" t="s">
        <v>17</v>
      </c>
      <c r="C72" s="3" t="s">
        <v>26</v>
      </c>
      <c r="D72" s="3" t="s">
        <v>35</v>
      </c>
      <c r="E72" s="3">
        <v>4</v>
      </c>
      <c r="F72" s="7" t="s">
        <v>342</v>
      </c>
      <c r="G72" s="5"/>
      <c r="H72" s="5"/>
      <c r="I72" s="5"/>
      <c r="L72" s="5"/>
    </row>
    <row r="73" spans="1:12">
      <c r="A73" s="3" t="s">
        <v>267</v>
      </c>
      <c r="B73" s="3" t="s">
        <v>17</v>
      </c>
      <c r="C73" s="3" t="s">
        <v>26</v>
      </c>
      <c r="D73" s="3" t="s">
        <v>35</v>
      </c>
      <c r="E73" s="3">
        <v>4</v>
      </c>
      <c r="F73" s="7" t="s">
        <v>342</v>
      </c>
      <c r="G73" s="5"/>
      <c r="H73" s="5"/>
      <c r="I73" s="5"/>
      <c r="L73" s="5"/>
    </row>
    <row r="74" spans="1:12">
      <c r="A74" s="3" t="s">
        <v>268</v>
      </c>
      <c r="B74" s="3" t="s">
        <v>17</v>
      </c>
      <c r="C74" s="3" t="s">
        <v>26</v>
      </c>
      <c r="D74" s="3" t="s">
        <v>35</v>
      </c>
      <c r="E74" s="3">
        <v>4</v>
      </c>
      <c r="F74" s="7" t="s">
        <v>342</v>
      </c>
      <c r="G74" s="5"/>
      <c r="H74" s="5"/>
      <c r="I74" s="5"/>
      <c r="L74" s="5"/>
    </row>
    <row r="75" spans="1:12">
      <c r="A75" s="3" t="s">
        <v>269</v>
      </c>
      <c r="B75" s="3" t="s">
        <v>17</v>
      </c>
      <c r="C75" s="3" t="s">
        <v>26</v>
      </c>
      <c r="D75" s="3" t="s">
        <v>35</v>
      </c>
      <c r="E75" s="3">
        <v>4</v>
      </c>
      <c r="F75" s="7" t="s">
        <v>342</v>
      </c>
      <c r="G75" s="5"/>
      <c r="H75" s="5"/>
      <c r="I75" s="5"/>
      <c r="L75" s="5"/>
    </row>
    <row r="76" spans="1:12">
      <c r="A76" s="3" t="s">
        <v>270</v>
      </c>
      <c r="B76" s="3" t="s">
        <v>17</v>
      </c>
      <c r="C76" s="3" t="s">
        <v>26</v>
      </c>
      <c r="D76" s="3" t="s">
        <v>35</v>
      </c>
      <c r="E76" s="3">
        <v>4</v>
      </c>
      <c r="F76" s="7" t="s">
        <v>342</v>
      </c>
      <c r="G76" s="5"/>
      <c r="H76" s="5"/>
      <c r="I76" s="5"/>
      <c r="L76" s="5"/>
    </row>
    <row r="77" spans="1:12">
      <c r="A77" s="3" t="s">
        <v>271</v>
      </c>
      <c r="B77" s="3" t="s">
        <v>17</v>
      </c>
      <c r="C77" s="3" t="s">
        <v>26</v>
      </c>
      <c r="D77" s="3" t="s">
        <v>35</v>
      </c>
      <c r="E77" s="3">
        <v>4</v>
      </c>
      <c r="F77" s="7" t="s">
        <v>342</v>
      </c>
      <c r="G77" s="5"/>
      <c r="H77" s="5"/>
      <c r="I77" s="5"/>
      <c r="L77" s="5"/>
    </row>
    <row r="78" spans="1:12">
      <c r="A78" s="3" t="s">
        <v>272</v>
      </c>
      <c r="B78" s="3" t="s">
        <v>17</v>
      </c>
      <c r="C78" s="3" t="s">
        <v>26</v>
      </c>
      <c r="D78" s="3" t="s">
        <v>275</v>
      </c>
      <c r="E78" s="3">
        <v>4</v>
      </c>
      <c r="F78" s="7" t="s">
        <v>342</v>
      </c>
      <c r="G78" s="5"/>
      <c r="H78" s="5"/>
      <c r="I78" s="5"/>
      <c r="L78" s="5"/>
    </row>
    <row r="79" spans="1:12">
      <c r="A79" s="3" t="s">
        <v>273</v>
      </c>
      <c r="B79" s="3" t="s">
        <v>17</v>
      </c>
      <c r="C79" s="3" t="s">
        <v>26</v>
      </c>
      <c r="D79" s="3" t="s">
        <v>213</v>
      </c>
      <c r="E79" s="3">
        <v>4</v>
      </c>
      <c r="F79" s="7" t="s">
        <v>342</v>
      </c>
      <c r="G79" s="5"/>
      <c r="H79" s="5"/>
      <c r="I79" s="5"/>
      <c r="L79" s="5"/>
    </row>
    <row r="80" spans="1:12">
      <c r="A80" s="3" t="s">
        <v>274</v>
      </c>
      <c r="B80" s="3" t="s">
        <v>17</v>
      </c>
      <c r="C80" s="3" t="s">
        <v>26</v>
      </c>
      <c r="D80" s="3" t="s">
        <v>213</v>
      </c>
      <c r="E80" s="3">
        <v>4</v>
      </c>
      <c r="F80" s="7" t="s">
        <v>342</v>
      </c>
      <c r="G80" s="5"/>
      <c r="H80" s="5"/>
      <c r="I80" s="5"/>
      <c r="L80" s="5"/>
    </row>
    <row r="81" spans="1:12">
      <c r="A81" s="3" t="s">
        <v>276</v>
      </c>
      <c r="B81" s="3" t="s">
        <v>17</v>
      </c>
      <c r="C81" s="3" t="s">
        <v>27</v>
      </c>
      <c r="D81" s="3" t="s">
        <v>34</v>
      </c>
      <c r="E81" s="3">
        <v>3</v>
      </c>
      <c r="F81" s="7" t="s">
        <v>349</v>
      </c>
      <c r="G81" s="5"/>
      <c r="H81" s="5"/>
      <c r="I81" s="5"/>
      <c r="L81" s="5"/>
    </row>
    <row r="82" spans="1:12">
      <c r="A82" s="3" t="s">
        <v>277</v>
      </c>
      <c r="B82" s="3" t="s">
        <v>17</v>
      </c>
      <c r="C82" s="3" t="s">
        <v>27</v>
      </c>
      <c r="D82" s="3" t="s">
        <v>34</v>
      </c>
      <c r="E82" s="3">
        <v>3</v>
      </c>
      <c r="F82" s="7" t="s">
        <v>349</v>
      </c>
      <c r="G82" s="5"/>
      <c r="H82" s="5"/>
      <c r="I82" s="5"/>
      <c r="L82" s="5"/>
    </row>
    <row r="83" spans="1:12">
      <c r="A83" s="3" t="s">
        <v>278</v>
      </c>
      <c r="B83" s="3" t="s">
        <v>17</v>
      </c>
      <c r="C83" s="3" t="s">
        <v>27</v>
      </c>
      <c r="D83" s="3" t="s">
        <v>35</v>
      </c>
      <c r="E83" s="3">
        <v>3</v>
      </c>
      <c r="F83" s="7" t="s">
        <v>349</v>
      </c>
      <c r="G83" s="5"/>
      <c r="H83" s="5"/>
      <c r="I83" s="5"/>
      <c r="L83" s="5"/>
    </row>
    <row r="84" spans="1:12">
      <c r="A84" s="3" t="s">
        <v>279</v>
      </c>
      <c r="B84" s="3" t="s">
        <v>17</v>
      </c>
      <c r="C84" s="3" t="s">
        <v>8</v>
      </c>
      <c r="D84" s="3" t="s">
        <v>35</v>
      </c>
      <c r="E84" s="3">
        <v>3</v>
      </c>
      <c r="F84" s="7" t="s">
        <v>349</v>
      </c>
      <c r="G84" s="5"/>
      <c r="H84" s="5"/>
      <c r="I84" s="5"/>
      <c r="L84" s="5"/>
    </row>
    <row r="85" spans="1:12">
      <c r="A85" s="3" t="s">
        <v>46</v>
      </c>
      <c r="B85" s="3" t="s">
        <v>17</v>
      </c>
      <c r="C85" s="3" t="s">
        <v>8</v>
      </c>
      <c r="D85" s="3" t="s">
        <v>35</v>
      </c>
      <c r="E85" s="3">
        <v>2</v>
      </c>
      <c r="F85" s="7" t="s">
        <v>352</v>
      </c>
      <c r="G85" s="5"/>
      <c r="H85" s="5"/>
      <c r="I85" s="5"/>
      <c r="J85" s="5"/>
      <c r="K85" s="5"/>
      <c r="L85" s="5"/>
    </row>
    <row r="86" spans="1:12">
      <c r="A86" s="3" t="s">
        <v>280</v>
      </c>
      <c r="B86" s="3" t="s">
        <v>17</v>
      </c>
      <c r="C86" s="3" t="s">
        <v>8</v>
      </c>
      <c r="D86" s="3" t="s">
        <v>213</v>
      </c>
      <c r="E86" s="3">
        <v>3</v>
      </c>
      <c r="F86" s="7" t="s">
        <v>349</v>
      </c>
      <c r="G86" s="5"/>
      <c r="H86" s="5"/>
      <c r="I86" s="5"/>
      <c r="J86" s="5"/>
      <c r="K86" s="5"/>
      <c r="L86" s="5"/>
    </row>
    <row r="87" spans="1:12">
      <c r="A87" s="3" t="s">
        <v>281</v>
      </c>
      <c r="B87" s="3" t="s">
        <v>17</v>
      </c>
      <c r="C87" s="3" t="s">
        <v>8</v>
      </c>
      <c r="D87" s="3" t="s">
        <v>213</v>
      </c>
      <c r="E87" s="3">
        <v>2</v>
      </c>
      <c r="F87" s="7" t="s">
        <v>352</v>
      </c>
      <c r="G87" s="5"/>
      <c r="H87" s="5"/>
      <c r="I87" s="5"/>
      <c r="J87" s="5"/>
      <c r="K87" s="5"/>
      <c r="L87" s="5"/>
    </row>
    <row r="88" spans="1:12" ht="17.25" customHeight="1">
      <c r="A88" s="3" t="s">
        <v>9</v>
      </c>
      <c r="B88" s="3" t="s">
        <v>17</v>
      </c>
      <c r="C88" s="3" t="s">
        <v>28</v>
      </c>
      <c r="D88" s="3" t="s">
        <v>34</v>
      </c>
      <c r="E88" s="3">
        <v>3</v>
      </c>
      <c r="F88" s="7" t="s">
        <v>349</v>
      </c>
      <c r="G88" s="5"/>
      <c r="H88" s="5"/>
      <c r="I88" s="5"/>
      <c r="J88" s="5"/>
      <c r="K88" s="5"/>
      <c r="L88" s="5"/>
    </row>
    <row r="89" spans="1:12">
      <c r="A89" s="3" t="s">
        <v>47</v>
      </c>
      <c r="B89" s="3" t="s">
        <v>17</v>
      </c>
      <c r="C89" s="3" t="s">
        <v>28</v>
      </c>
      <c r="D89" s="3" t="s">
        <v>34</v>
      </c>
      <c r="E89" s="3">
        <v>3</v>
      </c>
      <c r="F89" s="7" t="s">
        <v>349</v>
      </c>
      <c r="G89" s="5"/>
      <c r="H89" s="5"/>
      <c r="I89" s="5"/>
      <c r="J89" s="5"/>
      <c r="K89" s="5"/>
      <c r="L89" s="5"/>
    </row>
    <row r="90" spans="1:12">
      <c r="A90" s="3" t="s">
        <v>48</v>
      </c>
      <c r="B90" s="3" t="s">
        <v>17</v>
      </c>
      <c r="C90" s="3" t="s">
        <v>28</v>
      </c>
      <c r="D90" s="3" t="s">
        <v>34</v>
      </c>
      <c r="E90" s="3">
        <v>3</v>
      </c>
      <c r="F90" s="7" t="s">
        <v>349</v>
      </c>
      <c r="G90" s="5"/>
      <c r="H90" s="5"/>
      <c r="I90" s="5"/>
      <c r="J90" s="5"/>
      <c r="K90" s="5"/>
      <c r="L90" s="5"/>
    </row>
    <row r="91" spans="1:12">
      <c r="A91" s="3" t="s">
        <v>282</v>
      </c>
      <c r="B91" s="3" t="s">
        <v>17</v>
      </c>
      <c r="C91" s="3" t="s">
        <v>28</v>
      </c>
      <c r="D91" s="3" t="s">
        <v>223</v>
      </c>
      <c r="E91" s="3">
        <v>3</v>
      </c>
      <c r="F91" s="7" t="s">
        <v>349</v>
      </c>
      <c r="G91" s="5"/>
      <c r="H91" s="5"/>
      <c r="I91" s="5"/>
      <c r="J91" s="5"/>
      <c r="K91" s="5"/>
      <c r="L91" s="5"/>
    </row>
    <row r="92" spans="1:12">
      <c r="A92" s="3" t="s">
        <v>283</v>
      </c>
      <c r="B92" s="3" t="s">
        <v>17</v>
      </c>
      <c r="C92" s="3" t="s">
        <v>28</v>
      </c>
      <c r="D92" s="3" t="s">
        <v>223</v>
      </c>
      <c r="E92" s="3">
        <v>3</v>
      </c>
      <c r="F92" s="7" t="s">
        <v>349</v>
      </c>
      <c r="G92" s="5"/>
      <c r="H92" s="5"/>
      <c r="I92" s="5"/>
      <c r="J92" s="5"/>
      <c r="K92" s="5"/>
      <c r="L92" s="5"/>
    </row>
    <row r="93" spans="1:12">
      <c r="A93" s="3" t="s">
        <v>284</v>
      </c>
      <c r="B93" s="3" t="s">
        <v>17</v>
      </c>
      <c r="C93" s="3" t="s">
        <v>28</v>
      </c>
      <c r="D93" s="3" t="s">
        <v>223</v>
      </c>
      <c r="E93" s="3">
        <v>3</v>
      </c>
      <c r="F93" s="7" t="s">
        <v>349</v>
      </c>
      <c r="G93" s="5"/>
      <c r="H93" s="5"/>
      <c r="I93" s="5"/>
      <c r="J93" s="5"/>
      <c r="K93" s="5"/>
      <c r="L93" s="5"/>
    </row>
    <row r="94" spans="1:12">
      <c r="A94" s="3" t="s">
        <v>285</v>
      </c>
      <c r="B94" s="3" t="s">
        <v>17</v>
      </c>
      <c r="C94" s="3" t="s">
        <v>28</v>
      </c>
      <c r="D94" s="3" t="s">
        <v>223</v>
      </c>
      <c r="E94" s="3">
        <v>3</v>
      </c>
      <c r="F94" s="7" t="s">
        <v>349</v>
      </c>
      <c r="G94" s="5"/>
      <c r="H94" s="5"/>
      <c r="I94" s="5"/>
      <c r="J94" s="5"/>
      <c r="K94" s="5"/>
      <c r="L94" s="5"/>
    </row>
    <row r="95" spans="1:12">
      <c r="A95" s="3" t="s">
        <v>286</v>
      </c>
      <c r="B95" s="3" t="s">
        <v>17</v>
      </c>
      <c r="C95" s="3" t="s">
        <v>28</v>
      </c>
      <c r="D95" s="3" t="s">
        <v>213</v>
      </c>
      <c r="E95" s="3">
        <v>3</v>
      </c>
      <c r="F95" s="7" t="s">
        <v>349</v>
      </c>
      <c r="G95" s="5"/>
      <c r="H95" s="5"/>
      <c r="I95" s="5"/>
      <c r="J95" s="5"/>
      <c r="K95" s="5"/>
      <c r="L95" s="5"/>
    </row>
    <row r="96" spans="1:12">
      <c r="A96" s="3" t="s">
        <v>287</v>
      </c>
      <c r="B96" s="3" t="s">
        <v>17</v>
      </c>
      <c r="C96" s="3" t="s">
        <v>28</v>
      </c>
      <c r="D96" s="3" t="s">
        <v>213</v>
      </c>
      <c r="E96" s="3">
        <v>3</v>
      </c>
      <c r="F96" s="7" t="s">
        <v>349</v>
      </c>
      <c r="G96" s="5"/>
      <c r="H96" s="5"/>
      <c r="I96" s="5"/>
      <c r="J96" s="5"/>
      <c r="K96" s="5"/>
      <c r="L96" s="5"/>
    </row>
    <row r="97" spans="1:12">
      <c r="A97" s="3" t="s">
        <v>29</v>
      </c>
      <c r="B97" s="3" t="s">
        <v>17</v>
      </c>
      <c r="C97" s="3" t="s">
        <v>29</v>
      </c>
      <c r="D97" s="3" t="s">
        <v>34</v>
      </c>
      <c r="E97" s="3">
        <v>4</v>
      </c>
      <c r="F97" s="7" t="s">
        <v>342</v>
      </c>
      <c r="G97" s="5"/>
      <c r="H97" s="5"/>
      <c r="I97" s="5"/>
      <c r="J97" s="5"/>
      <c r="K97" s="5"/>
      <c r="L97" s="5"/>
    </row>
    <row r="98" spans="1:12">
      <c r="A98" s="3" t="s">
        <v>49</v>
      </c>
      <c r="B98" s="3" t="s">
        <v>17</v>
      </c>
      <c r="C98" s="3" t="s">
        <v>29</v>
      </c>
      <c r="D98" s="3" t="s">
        <v>34</v>
      </c>
      <c r="E98" s="3">
        <v>4</v>
      </c>
      <c r="F98" s="7" t="s">
        <v>342</v>
      </c>
      <c r="G98" s="5"/>
      <c r="H98" s="5"/>
      <c r="I98" s="5"/>
      <c r="J98" s="5"/>
      <c r="K98" s="5"/>
      <c r="L98" s="5"/>
    </row>
    <row r="99" spans="1:12">
      <c r="A99" s="3" t="s">
        <v>288</v>
      </c>
      <c r="B99" s="3" t="s">
        <v>17</v>
      </c>
      <c r="C99" s="3" t="s">
        <v>10</v>
      </c>
      <c r="D99" s="3" t="s">
        <v>223</v>
      </c>
      <c r="E99" s="3">
        <v>4</v>
      </c>
      <c r="F99" s="7" t="s">
        <v>342</v>
      </c>
      <c r="G99" s="5"/>
      <c r="H99" s="5"/>
      <c r="I99" s="5"/>
      <c r="J99" s="5"/>
      <c r="K99" s="5"/>
      <c r="L99" s="5"/>
    </row>
    <row r="100" spans="1:12">
      <c r="A100" s="3" t="s">
        <v>289</v>
      </c>
      <c r="B100" s="3" t="s">
        <v>17</v>
      </c>
      <c r="C100" s="3" t="s">
        <v>10</v>
      </c>
      <c r="D100" s="3" t="s">
        <v>35</v>
      </c>
      <c r="E100" s="3">
        <v>4</v>
      </c>
      <c r="F100" s="7" t="s">
        <v>342</v>
      </c>
      <c r="G100" s="5"/>
      <c r="H100" s="5"/>
      <c r="I100" s="5"/>
      <c r="J100" s="5"/>
      <c r="K100" s="5"/>
      <c r="L100" s="5"/>
    </row>
    <row r="101" spans="1:12">
      <c r="A101" s="3" t="s">
        <v>290</v>
      </c>
      <c r="B101" s="3" t="s">
        <v>17</v>
      </c>
      <c r="C101" s="3" t="s">
        <v>10</v>
      </c>
      <c r="D101" s="3" t="s">
        <v>35</v>
      </c>
      <c r="E101" s="3">
        <v>4</v>
      </c>
      <c r="F101" s="7" t="s">
        <v>342</v>
      </c>
      <c r="G101" s="5"/>
      <c r="H101" s="5"/>
      <c r="I101" s="5"/>
      <c r="J101" s="5"/>
      <c r="K101" s="5"/>
      <c r="L101" s="5"/>
    </row>
    <row r="102" spans="1:12">
      <c r="A102" s="3" t="s">
        <v>291</v>
      </c>
      <c r="B102" s="3" t="s">
        <v>17</v>
      </c>
      <c r="C102" s="3" t="s">
        <v>10</v>
      </c>
      <c r="D102" s="3" t="s">
        <v>35</v>
      </c>
      <c r="E102" s="3">
        <v>4</v>
      </c>
      <c r="F102" s="7" t="s">
        <v>342</v>
      </c>
      <c r="G102" s="5"/>
      <c r="H102" s="5"/>
      <c r="I102" s="5"/>
      <c r="J102" s="5"/>
      <c r="K102" s="5"/>
      <c r="L102" s="5"/>
    </row>
    <row r="103" spans="1:12">
      <c r="A103" s="3" t="s">
        <v>292</v>
      </c>
      <c r="B103" s="3" t="s">
        <v>17</v>
      </c>
      <c r="C103" s="3" t="s">
        <v>10</v>
      </c>
      <c r="D103" s="3" t="s">
        <v>213</v>
      </c>
      <c r="E103" s="3">
        <v>4</v>
      </c>
      <c r="F103" s="7" t="s">
        <v>342</v>
      </c>
      <c r="G103" s="5"/>
      <c r="H103" s="5"/>
      <c r="I103" s="5"/>
      <c r="J103" s="5"/>
      <c r="K103" s="5"/>
      <c r="L103" s="5"/>
    </row>
    <row r="104" spans="1:12">
      <c r="A104" s="3" t="s">
        <v>293</v>
      </c>
      <c r="B104" s="3" t="s">
        <v>17</v>
      </c>
      <c r="C104" s="3" t="s">
        <v>10</v>
      </c>
      <c r="D104" s="3" t="s">
        <v>213</v>
      </c>
      <c r="E104" s="3">
        <v>4</v>
      </c>
      <c r="F104" s="7" t="s">
        <v>342</v>
      </c>
      <c r="G104" s="5"/>
      <c r="H104" s="5"/>
      <c r="I104" s="5"/>
      <c r="J104" s="5"/>
      <c r="K104" s="5"/>
      <c r="L104" s="5"/>
    </row>
    <row r="105" spans="1:12">
      <c r="A105" s="3" t="s">
        <v>294</v>
      </c>
      <c r="B105" s="3" t="s">
        <v>17</v>
      </c>
      <c r="C105" s="3" t="s">
        <v>10</v>
      </c>
      <c r="D105" s="3" t="s">
        <v>213</v>
      </c>
      <c r="E105" s="3">
        <v>4</v>
      </c>
      <c r="F105" s="7" t="s">
        <v>342</v>
      </c>
      <c r="G105" s="5"/>
      <c r="H105" s="5"/>
      <c r="I105" s="5"/>
      <c r="J105" s="5"/>
      <c r="K105" s="5"/>
      <c r="L105" s="5"/>
    </row>
    <row r="106" spans="1:12">
      <c r="A106" s="3" t="s">
        <v>295</v>
      </c>
      <c r="B106" s="3" t="s">
        <v>17</v>
      </c>
      <c r="C106" s="3" t="s">
        <v>10</v>
      </c>
      <c r="D106" s="3" t="s">
        <v>213</v>
      </c>
      <c r="E106" s="3">
        <v>2</v>
      </c>
      <c r="F106" s="7" t="s">
        <v>352</v>
      </c>
      <c r="G106" s="5"/>
      <c r="H106" s="5"/>
      <c r="I106" s="5"/>
      <c r="J106" s="5"/>
      <c r="K106" s="5"/>
      <c r="L106" s="5"/>
    </row>
    <row r="107" spans="1:12">
      <c r="A107" s="3" t="s">
        <v>296</v>
      </c>
      <c r="B107" s="3" t="s">
        <v>17</v>
      </c>
      <c r="C107" s="3" t="s">
        <v>10</v>
      </c>
      <c r="D107" s="3" t="s">
        <v>213</v>
      </c>
      <c r="E107" s="3">
        <v>4</v>
      </c>
      <c r="F107" s="7" t="s">
        <v>342</v>
      </c>
      <c r="G107" s="5"/>
      <c r="H107" s="5"/>
      <c r="I107" s="5"/>
      <c r="J107" s="5"/>
      <c r="K107" s="5"/>
      <c r="L107" s="5"/>
    </row>
    <row r="108" spans="1:12">
      <c r="A108" s="3" t="s">
        <v>297</v>
      </c>
      <c r="B108" s="3" t="s">
        <v>17</v>
      </c>
      <c r="C108" s="3" t="s">
        <v>30</v>
      </c>
      <c r="D108" s="3" t="s">
        <v>34</v>
      </c>
      <c r="E108" s="3">
        <v>4</v>
      </c>
      <c r="F108" s="7" t="s">
        <v>342</v>
      </c>
      <c r="G108" s="5"/>
      <c r="H108" s="5"/>
      <c r="I108" s="5"/>
      <c r="J108" s="5"/>
      <c r="K108" s="5"/>
      <c r="L108" s="5"/>
    </row>
    <row r="109" spans="1:12">
      <c r="A109" s="3" t="s">
        <v>298</v>
      </c>
      <c r="B109" s="3" t="s">
        <v>17</v>
      </c>
      <c r="C109" s="3" t="s">
        <v>29</v>
      </c>
      <c r="D109" s="3" t="s">
        <v>34</v>
      </c>
      <c r="E109" s="3">
        <v>4</v>
      </c>
      <c r="F109" s="7" t="s">
        <v>342</v>
      </c>
      <c r="G109" s="5"/>
      <c r="H109" s="5"/>
      <c r="I109" s="5"/>
      <c r="J109" s="5"/>
      <c r="K109" s="5"/>
      <c r="L109" s="5"/>
    </row>
    <row r="110" spans="1:12">
      <c r="A110" s="3" t="s">
        <v>299</v>
      </c>
      <c r="B110" s="3" t="s">
        <v>17</v>
      </c>
      <c r="C110" s="3" t="s">
        <v>29</v>
      </c>
      <c r="D110" s="3" t="s">
        <v>34</v>
      </c>
      <c r="E110" s="3">
        <v>4</v>
      </c>
      <c r="F110" s="7" t="s">
        <v>342</v>
      </c>
      <c r="G110" s="5"/>
      <c r="H110" s="5"/>
      <c r="I110" s="5"/>
      <c r="J110" s="5"/>
      <c r="K110" s="5"/>
      <c r="L110" s="5"/>
    </row>
    <row r="111" spans="1:12">
      <c r="A111" s="3" t="s">
        <v>300</v>
      </c>
      <c r="B111" s="3" t="s">
        <v>17</v>
      </c>
      <c r="C111" s="3" t="s">
        <v>29</v>
      </c>
      <c r="D111" s="3" t="s">
        <v>34</v>
      </c>
      <c r="E111" s="3">
        <v>4</v>
      </c>
      <c r="F111" s="7" t="s">
        <v>342</v>
      </c>
      <c r="G111" s="5"/>
      <c r="H111" s="5"/>
      <c r="I111" s="5"/>
      <c r="J111" s="5"/>
      <c r="K111" s="5"/>
      <c r="L111" s="5"/>
    </row>
    <row r="112" spans="1:12">
      <c r="A112" s="3" t="s">
        <v>301</v>
      </c>
      <c r="B112" s="3" t="s">
        <v>17</v>
      </c>
      <c r="C112" s="3" t="s">
        <v>29</v>
      </c>
      <c r="D112" s="3" t="s">
        <v>34</v>
      </c>
      <c r="E112" s="3">
        <v>4</v>
      </c>
      <c r="F112" s="7" t="s">
        <v>342</v>
      </c>
      <c r="G112" s="5"/>
      <c r="H112" s="5"/>
      <c r="I112" s="5"/>
      <c r="J112" s="5"/>
      <c r="K112" s="5"/>
      <c r="L112" s="5"/>
    </row>
    <row r="113" spans="1:12">
      <c r="A113" s="3" t="s">
        <v>302</v>
      </c>
      <c r="B113" s="3" t="s">
        <v>17</v>
      </c>
      <c r="C113" s="3" t="s">
        <v>29</v>
      </c>
      <c r="D113" s="3" t="s">
        <v>34</v>
      </c>
      <c r="E113" s="3">
        <v>4</v>
      </c>
      <c r="F113" s="7" t="s">
        <v>342</v>
      </c>
      <c r="G113" s="5"/>
      <c r="H113" s="5"/>
      <c r="I113" s="5"/>
      <c r="J113" s="5"/>
      <c r="K113" s="5"/>
      <c r="L113" s="5"/>
    </row>
    <row r="114" spans="1:12">
      <c r="A114" s="3" t="s">
        <v>303</v>
      </c>
      <c r="B114" s="3" t="s">
        <v>17</v>
      </c>
      <c r="C114" s="3" t="s">
        <v>30</v>
      </c>
      <c r="D114" s="3" t="s">
        <v>34</v>
      </c>
      <c r="E114" s="3">
        <v>4</v>
      </c>
      <c r="F114" s="7" t="s">
        <v>342</v>
      </c>
      <c r="G114" s="5"/>
      <c r="H114" s="5"/>
      <c r="I114" s="5"/>
      <c r="J114" s="5"/>
      <c r="K114" s="5"/>
      <c r="L114" s="5"/>
    </row>
    <row r="115" spans="1:12">
      <c r="A115" s="3" t="s">
        <v>304</v>
      </c>
      <c r="B115" s="3" t="s">
        <v>17</v>
      </c>
      <c r="C115" s="3" t="s">
        <v>30</v>
      </c>
      <c r="D115" s="3" t="s">
        <v>34</v>
      </c>
      <c r="E115" s="3">
        <v>4</v>
      </c>
      <c r="F115" s="7" t="s">
        <v>342</v>
      </c>
      <c r="G115" s="5"/>
      <c r="H115" s="5"/>
      <c r="I115" s="5"/>
      <c r="J115" s="5"/>
      <c r="K115" s="5"/>
      <c r="L115" s="5"/>
    </row>
    <row r="116" spans="1:12">
      <c r="A116" s="3" t="s">
        <v>305</v>
      </c>
      <c r="B116" s="3" t="s">
        <v>17</v>
      </c>
      <c r="C116" s="3" t="s">
        <v>30</v>
      </c>
      <c r="D116" s="3" t="s">
        <v>34</v>
      </c>
      <c r="E116" s="3">
        <v>4</v>
      </c>
      <c r="F116" s="7" t="s">
        <v>342</v>
      </c>
      <c r="G116" s="5"/>
      <c r="H116" s="5"/>
      <c r="I116" s="5"/>
      <c r="J116" s="5"/>
      <c r="K116" s="5"/>
      <c r="L116" s="5"/>
    </row>
    <row r="117" spans="1:12">
      <c r="A117" s="3" t="s">
        <v>306</v>
      </c>
      <c r="B117" s="3" t="s">
        <v>17</v>
      </c>
      <c r="C117" s="3" t="s">
        <v>30</v>
      </c>
      <c r="D117" s="3" t="s">
        <v>34</v>
      </c>
      <c r="E117" s="3">
        <v>4</v>
      </c>
      <c r="F117" s="7" t="s">
        <v>342</v>
      </c>
      <c r="G117" s="5"/>
      <c r="H117" s="5"/>
      <c r="I117" s="5"/>
      <c r="J117" s="5"/>
      <c r="K117" s="5"/>
      <c r="L117" s="5"/>
    </row>
    <row r="118" spans="1:12">
      <c r="A118" s="3" t="s">
        <v>307</v>
      </c>
      <c r="B118" s="3" t="s">
        <v>17</v>
      </c>
      <c r="C118" s="3" t="s">
        <v>30</v>
      </c>
      <c r="D118" s="3" t="s">
        <v>34</v>
      </c>
      <c r="E118" s="3">
        <v>4</v>
      </c>
      <c r="F118" s="7" t="s">
        <v>342</v>
      </c>
      <c r="G118" s="5"/>
      <c r="H118" s="5"/>
      <c r="I118" s="5"/>
      <c r="J118" s="5"/>
      <c r="K118" s="5"/>
      <c r="L118" s="5"/>
    </row>
    <row r="119" spans="1:12">
      <c r="A119" s="3" t="s">
        <v>308</v>
      </c>
      <c r="B119" s="3" t="s">
        <v>17</v>
      </c>
      <c r="C119" s="3" t="s">
        <v>30</v>
      </c>
      <c r="D119" s="3" t="s">
        <v>34</v>
      </c>
      <c r="E119" s="3">
        <v>4</v>
      </c>
      <c r="F119" s="7" t="s">
        <v>342</v>
      </c>
      <c r="G119" s="5"/>
      <c r="H119" s="5"/>
      <c r="I119" s="5"/>
      <c r="J119" s="5"/>
      <c r="K119" s="5"/>
      <c r="L119" s="5"/>
    </row>
    <row r="120" spans="1:12">
      <c r="A120" s="3" t="s">
        <v>309</v>
      </c>
      <c r="B120" s="3" t="s">
        <v>17</v>
      </c>
      <c r="C120" s="3" t="s">
        <v>30</v>
      </c>
      <c r="D120" s="3" t="s">
        <v>34</v>
      </c>
      <c r="E120" s="3">
        <v>4</v>
      </c>
      <c r="F120" s="7" t="s">
        <v>342</v>
      </c>
      <c r="G120" s="5"/>
      <c r="H120" s="5"/>
      <c r="I120" s="5"/>
      <c r="J120" s="5"/>
      <c r="K120" s="5"/>
      <c r="L120" s="5"/>
    </row>
    <row r="121" spans="1:12">
      <c r="A121" s="3" t="s">
        <v>310</v>
      </c>
      <c r="B121" s="3" t="s">
        <v>17</v>
      </c>
      <c r="C121" s="3" t="s">
        <v>30</v>
      </c>
      <c r="D121" s="3" t="s">
        <v>34</v>
      </c>
      <c r="E121" s="3">
        <v>4</v>
      </c>
      <c r="F121" s="7" t="s">
        <v>342</v>
      </c>
      <c r="G121" s="5"/>
      <c r="H121" s="5"/>
      <c r="I121" s="5"/>
      <c r="J121" s="5"/>
      <c r="K121" s="5"/>
      <c r="L121" s="5"/>
    </row>
    <row r="122" spans="1:12">
      <c r="A122" s="3" t="s">
        <v>311</v>
      </c>
      <c r="B122" s="3" t="s">
        <v>17</v>
      </c>
      <c r="C122" s="3" t="s">
        <v>30</v>
      </c>
      <c r="D122" s="3" t="s">
        <v>34</v>
      </c>
      <c r="E122" s="3">
        <v>4</v>
      </c>
      <c r="F122" s="7" t="s">
        <v>342</v>
      </c>
      <c r="G122" s="5"/>
      <c r="H122" s="5"/>
      <c r="I122" s="5"/>
      <c r="J122" s="5"/>
      <c r="K122" s="5"/>
      <c r="L122" s="5"/>
    </row>
    <row r="123" spans="1:12">
      <c r="A123" s="3" t="s">
        <v>312</v>
      </c>
      <c r="B123" s="3" t="s">
        <v>17</v>
      </c>
      <c r="C123" s="3" t="s">
        <v>30</v>
      </c>
      <c r="D123" s="3" t="s">
        <v>34</v>
      </c>
      <c r="E123" s="3">
        <v>4</v>
      </c>
      <c r="F123" s="7" t="s">
        <v>342</v>
      </c>
      <c r="G123" s="5"/>
      <c r="H123" s="5"/>
      <c r="I123" s="5"/>
      <c r="J123" s="5"/>
      <c r="K123" s="5"/>
      <c r="L123" s="5"/>
    </row>
    <row r="124" spans="1:12">
      <c r="A124" s="3" t="s">
        <v>313</v>
      </c>
      <c r="B124" s="3" t="s">
        <v>17</v>
      </c>
      <c r="C124" s="3" t="s">
        <v>30</v>
      </c>
      <c r="D124" s="3" t="s">
        <v>35</v>
      </c>
      <c r="E124" s="3">
        <v>4</v>
      </c>
      <c r="F124" s="7" t="s">
        <v>342</v>
      </c>
      <c r="G124" s="5"/>
      <c r="H124" s="5"/>
      <c r="I124" s="5"/>
      <c r="J124" s="5"/>
      <c r="K124" s="5"/>
      <c r="L124" s="5"/>
    </row>
    <row r="125" spans="1:12">
      <c r="A125" s="3" t="s">
        <v>314</v>
      </c>
      <c r="B125" s="3" t="s">
        <v>17</v>
      </c>
      <c r="C125" s="3" t="s">
        <v>30</v>
      </c>
      <c r="D125" s="3" t="s">
        <v>35</v>
      </c>
      <c r="E125" s="3">
        <v>4</v>
      </c>
      <c r="F125" s="7" t="s">
        <v>342</v>
      </c>
      <c r="G125" s="5"/>
      <c r="H125" s="5"/>
      <c r="I125" s="5"/>
      <c r="J125" s="5"/>
      <c r="K125" s="5"/>
      <c r="L125" s="5"/>
    </row>
    <row r="126" spans="1:12">
      <c r="A126" s="3" t="s">
        <v>316</v>
      </c>
      <c r="B126" s="3" t="s">
        <v>17</v>
      </c>
      <c r="C126" s="3" t="s">
        <v>30</v>
      </c>
      <c r="D126" s="3" t="s">
        <v>35</v>
      </c>
      <c r="E126" s="3">
        <v>4</v>
      </c>
      <c r="F126" s="7" t="s">
        <v>342</v>
      </c>
      <c r="G126" s="5"/>
      <c r="H126" s="5"/>
      <c r="I126" s="5"/>
      <c r="J126" s="5"/>
      <c r="K126" s="5"/>
      <c r="L126" s="5"/>
    </row>
    <row r="127" spans="1:12">
      <c r="A127" s="3" t="s">
        <v>315</v>
      </c>
      <c r="B127" s="3" t="s">
        <v>17</v>
      </c>
      <c r="C127" s="3" t="s">
        <v>30</v>
      </c>
      <c r="D127" s="3" t="s">
        <v>35</v>
      </c>
      <c r="E127" s="3">
        <v>4</v>
      </c>
      <c r="F127" s="7" t="s">
        <v>342</v>
      </c>
      <c r="G127" s="5"/>
      <c r="H127" s="5"/>
      <c r="I127" s="5"/>
      <c r="J127" s="5"/>
      <c r="K127" s="5"/>
      <c r="L127" s="5"/>
    </row>
    <row r="128" spans="1:12">
      <c r="A128" s="3" t="s">
        <v>317</v>
      </c>
      <c r="B128" s="3" t="s">
        <v>17</v>
      </c>
      <c r="C128" s="3" t="s">
        <v>30</v>
      </c>
      <c r="D128" s="3" t="s">
        <v>35</v>
      </c>
      <c r="E128" s="3">
        <v>4</v>
      </c>
      <c r="F128" s="7" t="s">
        <v>342</v>
      </c>
      <c r="G128" s="5"/>
      <c r="H128" s="5"/>
      <c r="I128" s="5"/>
      <c r="J128" s="5"/>
      <c r="K128" s="5"/>
      <c r="L128" s="5"/>
    </row>
    <row r="129" spans="1:12">
      <c r="A129" s="3" t="s">
        <v>318</v>
      </c>
      <c r="B129" s="3" t="s">
        <v>17</v>
      </c>
      <c r="C129" s="3" t="s">
        <v>30</v>
      </c>
      <c r="D129" s="3" t="s">
        <v>35</v>
      </c>
      <c r="E129" s="3">
        <v>4</v>
      </c>
      <c r="F129" s="7" t="s">
        <v>342</v>
      </c>
      <c r="G129" s="5"/>
      <c r="H129" s="5"/>
      <c r="I129" s="5"/>
      <c r="J129" s="5"/>
      <c r="K129" s="5"/>
      <c r="L129" s="5"/>
    </row>
    <row r="130" spans="1:12">
      <c r="A130" s="3" t="s">
        <v>319</v>
      </c>
      <c r="B130" s="3" t="s">
        <v>17</v>
      </c>
      <c r="C130" s="3" t="s">
        <v>30</v>
      </c>
      <c r="D130" s="3" t="s">
        <v>35</v>
      </c>
      <c r="E130" s="3">
        <v>4</v>
      </c>
      <c r="F130" s="7" t="s">
        <v>342</v>
      </c>
      <c r="G130" s="5"/>
      <c r="H130" s="5"/>
      <c r="I130" s="5"/>
      <c r="J130" s="5"/>
      <c r="K130" s="5"/>
      <c r="L130" s="5"/>
    </row>
    <row r="131" spans="1:12">
      <c r="A131" s="3" t="s">
        <v>323</v>
      </c>
      <c r="B131" s="3" t="s">
        <v>17</v>
      </c>
      <c r="C131" s="3" t="s">
        <v>30</v>
      </c>
      <c r="D131" s="3" t="s">
        <v>213</v>
      </c>
      <c r="E131" s="3">
        <v>4</v>
      </c>
      <c r="F131" s="7" t="s">
        <v>342</v>
      </c>
      <c r="G131" s="5"/>
      <c r="H131" s="5"/>
      <c r="I131" s="5"/>
      <c r="J131" s="5"/>
      <c r="K131" s="5"/>
      <c r="L131" s="5"/>
    </row>
    <row r="132" spans="1:12">
      <c r="A132" s="3" t="s">
        <v>324</v>
      </c>
      <c r="B132" s="3" t="s">
        <v>17</v>
      </c>
      <c r="C132" s="3" t="s">
        <v>30</v>
      </c>
      <c r="D132" s="3" t="s">
        <v>213</v>
      </c>
      <c r="E132" s="3">
        <v>4</v>
      </c>
      <c r="F132" s="7" t="s">
        <v>342</v>
      </c>
      <c r="G132" s="5"/>
      <c r="H132" s="5"/>
      <c r="I132" s="5"/>
      <c r="J132" s="5"/>
      <c r="K132" s="5"/>
      <c r="L132" s="5"/>
    </row>
    <row r="133" spans="1:12">
      <c r="A133" s="3" t="s">
        <v>325</v>
      </c>
      <c r="B133" s="3" t="s">
        <v>17</v>
      </c>
      <c r="C133" s="3" t="s">
        <v>30</v>
      </c>
      <c r="D133" s="3" t="s">
        <v>213</v>
      </c>
      <c r="E133" s="3">
        <v>4</v>
      </c>
      <c r="F133" s="7" t="s">
        <v>342</v>
      </c>
      <c r="G133" s="5"/>
      <c r="H133" s="5"/>
      <c r="I133" s="5"/>
      <c r="J133" s="5"/>
      <c r="K133" s="5"/>
      <c r="L133" s="5"/>
    </row>
    <row r="134" spans="1:12">
      <c r="A134" s="3" t="s">
        <v>326</v>
      </c>
      <c r="B134" s="3" t="s">
        <v>17</v>
      </c>
      <c r="C134" s="3" t="s">
        <v>30</v>
      </c>
      <c r="D134" s="3" t="s">
        <v>213</v>
      </c>
      <c r="E134" s="3">
        <v>4</v>
      </c>
      <c r="F134" s="7" t="s">
        <v>342</v>
      </c>
      <c r="G134" s="5"/>
      <c r="H134" s="5"/>
      <c r="I134" s="5"/>
      <c r="J134" s="5"/>
      <c r="K134" s="5"/>
      <c r="L134" s="5"/>
    </row>
    <row r="135" spans="1:12">
      <c r="A135" s="3" t="s">
        <v>327</v>
      </c>
      <c r="B135" s="3" t="s">
        <v>17</v>
      </c>
      <c r="C135" s="3" t="s">
        <v>30</v>
      </c>
      <c r="D135" s="3" t="s">
        <v>213</v>
      </c>
      <c r="E135" s="3">
        <v>4</v>
      </c>
      <c r="F135" s="7" t="s">
        <v>342</v>
      </c>
      <c r="G135" s="5"/>
      <c r="H135" s="5"/>
      <c r="I135" s="5"/>
      <c r="J135" s="5"/>
      <c r="K135" s="5"/>
      <c r="L135" s="5"/>
    </row>
    <row r="136" spans="1:12">
      <c r="A136" s="3" t="s">
        <v>328</v>
      </c>
      <c r="B136" s="3" t="s">
        <v>17</v>
      </c>
      <c r="C136" s="3" t="s">
        <v>30</v>
      </c>
      <c r="D136" s="3" t="s">
        <v>213</v>
      </c>
      <c r="E136" s="3">
        <v>4</v>
      </c>
      <c r="F136" s="7" t="s">
        <v>342</v>
      </c>
      <c r="G136" s="5"/>
      <c r="H136" s="5"/>
      <c r="I136" s="5"/>
      <c r="J136" s="5"/>
      <c r="K136" s="5"/>
      <c r="L136" s="5"/>
    </row>
    <row r="137" spans="1:12">
      <c r="A137" s="3" t="s">
        <v>329</v>
      </c>
      <c r="B137" s="3" t="s">
        <v>17</v>
      </c>
      <c r="C137" s="3" t="s">
        <v>30</v>
      </c>
      <c r="D137" s="3" t="s">
        <v>213</v>
      </c>
      <c r="E137" s="3">
        <v>4</v>
      </c>
      <c r="F137" s="7" t="s">
        <v>342</v>
      </c>
      <c r="G137" s="5"/>
      <c r="H137" s="5"/>
      <c r="I137" s="5"/>
      <c r="J137" s="5"/>
      <c r="K137" s="5"/>
      <c r="L137" s="5"/>
    </row>
    <row r="138" spans="1:12">
      <c r="A138" s="3" t="s">
        <v>330</v>
      </c>
      <c r="B138" s="3" t="s">
        <v>17</v>
      </c>
      <c r="C138" s="3" t="s">
        <v>30</v>
      </c>
      <c r="D138" s="3" t="s">
        <v>213</v>
      </c>
      <c r="E138" s="3">
        <v>4</v>
      </c>
      <c r="F138" s="7" t="s">
        <v>342</v>
      </c>
      <c r="G138" s="5"/>
      <c r="H138" s="5"/>
      <c r="I138" s="5"/>
      <c r="J138" s="5"/>
      <c r="K138" s="5"/>
      <c r="L138" s="5"/>
    </row>
    <row r="139" spans="1:12">
      <c r="A139" s="3" t="s">
        <v>321</v>
      </c>
      <c r="B139" s="3" t="s">
        <v>17</v>
      </c>
      <c r="C139" s="3" t="s">
        <v>321</v>
      </c>
      <c r="D139" s="3" t="s">
        <v>255</v>
      </c>
      <c r="E139" s="3">
        <v>4</v>
      </c>
      <c r="F139" s="7" t="s">
        <v>342</v>
      </c>
      <c r="G139" s="5"/>
      <c r="H139" s="5"/>
      <c r="I139" s="5"/>
      <c r="J139" s="5"/>
      <c r="K139" s="5"/>
      <c r="L139" s="5"/>
    </row>
    <row r="140" spans="1:12">
      <c r="A140" s="3" t="s">
        <v>320</v>
      </c>
      <c r="B140" s="3" t="s">
        <v>17</v>
      </c>
      <c r="C140" s="3" t="s">
        <v>31</v>
      </c>
      <c r="D140" s="3" t="s">
        <v>35</v>
      </c>
      <c r="E140" s="3">
        <v>4</v>
      </c>
      <c r="F140" s="7" t="s">
        <v>342</v>
      </c>
      <c r="G140" s="5"/>
      <c r="H140" s="5"/>
      <c r="I140" s="5"/>
      <c r="J140" s="5"/>
      <c r="K140" s="5"/>
      <c r="L140" s="5"/>
    </row>
    <row r="141" spans="1:12">
      <c r="A141" s="3" t="s">
        <v>50</v>
      </c>
      <c r="B141" s="3" t="s">
        <v>17</v>
      </c>
      <c r="C141" s="3" t="s">
        <v>32</v>
      </c>
      <c r="D141" s="3" t="s">
        <v>34</v>
      </c>
      <c r="E141" s="3">
        <v>3</v>
      </c>
      <c r="F141" s="7" t="s">
        <v>349</v>
      </c>
      <c r="G141" s="5"/>
      <c r="H141" s="5"/>
      <c r="I141" s="5"/>
      <c r="J141" s="5"/>
      <c r="K141" s="5"/>
      <c r="L141" s="5"/>
    </row>
    <row r="142" spans="1:12">
      <c r="A142" s="3" t="s">
        <v>331</v>
      </c>
      <c r="B142" s="3" t="s">
        <v>17</v>
      </c>
      <c r="C142" s="3" t="s">
        <v>32</v>
      </c>
      <c r="D142" s="3" t="s">
        <v>34</v>
      </c>
      <c r="E142" s="3">
        <v>3</v>
      </c>
      <c r="F142" s="7" t="s">
        <v>349</v>
      </c>
      <c r="G142" s="5"/>
      <c r="H142" s="5"/>
      <c r="I142" s="5"/>
      <c r="J142" s="5"/>
      <c r="K142" s="5"/>
      <c r="L142" s="5"/>
    </row>
    <row r="143" spans="1:12">
      <c r="A143" s="3" t="s">
        <v>332</v>
      </c>
      <c r="B143" s="3" t="s">
        <v>17</v>
      </c>
      <c r="C143" s="3" t="s">
        <v>32</v>
      </c>
      <c r="D143" s="3" t="s">
        <v>35</v>
      </c>
      <c r="E143" s="3">
        <v>3</v>
      </c>
      <c r="F143" s="7" t="s">
        <v>349</v>
      </c>
      <c r="G143" s="5"/>
      <c r="H143" s="5"/>
      <c r="I143" s="5"/>
      <c r="J143" s="5"/>
      <c r="K143" s="5"/>
      <c r="L143" s="5"/>
    </row>
    <row r="144" spans="1:12">
      <c r="A144" s="3" t="s">
        <v>333</v>
      </c>
      <c r="B144" s="3" t="s">
        <v>17</v>
      </c>
      <c r="C144" s="3" t="s">
        <v>32</v>
      </c>
      <c r="D144" s="3" t="s">
        <v>35</v>
      </c>
      <c r="E144" s="3">
        <v>3</v>
      </c>
      <c r="F144" s="7" t="s">
        <v>349</v>
      </c>
      <c r="G144" s="5"/>
      <c r="H144" s="5"/>
      <c r="I144" s="5"/>
      <c r="J144" s="5"/>
      <c r="K144" s="5"/>
      <c r="L144" s="5"/>
    </row>
    <row r="145" spans="1:12">
      <c r="A145" s="3" t="s">
        <v>334</v>
      </c>
      <c r="B145" s="3" t="s">
        <v>17</v>
      </c>
      <c r="C145" s="3" t="s">
        <v>32</v>
      </c>
      <c r="D145" s="3" t="s">
        <v>35</v>
      </c>
      <c r="E145" s="3">
        <v>3</v>
      </c>
      <c r="F145" s="7" t="s">
        <v>349</v>
      </c>
      <c r="G145" s="5"/>
      <c r="H145" s="5"/>
      <c r="I145" s="5"/>
      <c r="J145" s="5"/>
      <c r="K145" s="5"/>
      <c r="L145" s="5"/>
    </row>
    <row r="146" spans="1:12">
      <c r="A146" s="3" t="s">
        <v>335</v>
      </c>
      <c r="B146" s="3" t="s">
        <v>17</v>
      </c>
      <c r="C146" s="3" t="s">
        <v>32</v>
      </c>
      <c r="D146" s="3" t="s">
        <v>35</v>
      </c>
      <c r="E146" s="3">
        <v>3</v>
      </c>
      <c r="F146" s="7" t="s">
        <v>349</v>
      </c>
      <c r="G146" s="5"/>
      <c r="H146" s="5"/>
      <c r="I146" s="5"/>
      <c r="J146" s="5"/>
      <c r="K146" s="5"/>
      <c r="L146" s="5"/>
    </row>
    <row r="147" spans="1:12">
      <c r="A147" s="3" t="s">
        <v>336</v>
      </c>
      <c r="B147" s="3" t="s">
        <v>17</v>
      </c>
      <c r="C147" s="3" t="s">
        <v>32</v>
      </c>
      <c r="D147" s="3" t="s">
        <v>35</v>
      </c>
      <c r="E147" s="3">
        <v>3</v>
      </c>
      <c r="F147" s="7" t="s">
        <v>349</v>
      </c>
      <c r="G147" s="5"/>
      <c r="H147" s="5"/>
      <c r="I147" s="5"/>
      <c r="J147" s="5"/>
      <c r="K147" s="5"/>
      <c r="L147" s="5"/>
    </row>
    <row r="148" spans="1:12">
      <c r="A148" s="3" t="s">
        <v>51</v>
      </c>
      <c r="B148" s="3" t="s">
        <v>17</v>
      </c>
      <c r="C148" s="3" t="s">
        <v>32</v>
      </c>
      <c r="D148" s="3" t="s">
        <v>35</v>
      </c>
      <c r="E148" s="3">
        <v>3</v>
      </c>
      <c r="F148" s="7" t="s">
        <v>349</v>
      </c>
      <c r="G148" s="5"/>
      <c r="H148" s="5"/>
      <c r="I148" s="5"/>
      <c r="J148" s="5"/>
      <c r="K148" s="5"/>
      <c r="L148" s="5"/>
    </row>
    <row r="149" spans="1:12">
      <c r="A149" s="3" t="s">
        <v>337</v>
      </c>
      <c r="B149" s="3" t="s">
        <v>17</v>
      </c>
      <c r="C149" s="3" t="s">
        <v>32</v>
      </c>
      <c r="D149" s="3" t="s">
        <v>275</v>
      </c>
      <c r="E149" s="3">
        <v>3</v>
      </c>
      <c r="F149" s="7" t="s">
        <v>349</v>
      </c>
      <c r="G149" s="5"/>
      <c r="H149" s="5"/>
      <c r="I149" s="5"/>
      <c r="J149" s="5"/>
      <c r="K149" s="5"/>
      <c r="L149" s="5"/>
    </row>
    <row r="150" spans="1:12">
      <c r="A150" s="3" t="s">
        <v>52</v>
      </c>
      <c r="B150" s="3" t="s">
        <v>17</v>
      </c>
      <c r="C150" s="3" t="s">
        <v>32</v>
      </c>
      <c r="D150" s="3" t="s">
        <v>213</v>
      </c>
      <c r="E150" s="3">
        <v>3</v>
      </c>
      <c r="F150" s="7" t="s">
        <v>349</v>
      </c>
      <c r="G150" s="5"/>
      <c r="H150" s="5"/>
      <c r="I150" s="5"/>
      <c r="J150" s="5"/>
      <c r="K150" s="5"/>
      <c r="L150" s="5"/>
    </row>
    <row r="151" spans="1:12">
      <c r="A151" s="3"/>
      <c r="B151" s="3"/>
      <c r="C151" s="3"/>
      <c r="D151" s="3"/>
      <c r="E151" s="3"/>
      <c r="F151" s="7"/>
      <c r="G151" s="5"/>
      <c r="H151" s="5"/>
      <c r="I151" s="5"/>
      <c r="J151" s="5"/>
      <c r="K151" s="5"/>
      <c r="L151" s="5"/>
    </row>
  </sheetData>
  <autoFilter ref="A1:F151" xr:uid="{00000000-0009-0000-0000-000008000000}"/>
  <phoneticPr fontId="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C937-5990-4511-A184-06F5F71DA993}">
  <sheetPr>
    <tabColor theme="5" tint="0.39997558519241921"/>
    <outlinePr summaryBelow="0" summaryRight="0"/>
    <pageSetUpPr fitToPage="1"/>
  </sheetPr>
  <dimension ref="A1:Z999"/>
  <sheetViews>
    <sheetView showGridLines="0" workbookViewId="0">
      <pane ySplit="2" topLeftCell="A3" activePane="bottomLeft" state="frozen"/>
      <selection activeCell="C89" sqref="C89:G89"/>
      <selection pane="bottomLeft" activeCell="C89" sqref="C89:G89"/>
    </sheetView>
  </sheetViews>
  <sheetFormatPr defaultColWidth="0" defaultRowHeight="0" customHeight="1" zeroHeight="1"/>
  <cols>
    <col min="1" max="1" width="0.8984375" style="71" customWidth="1"/>
    <col min="2" max="2" width="7.5" style="71" customWidth="1"/>
    <col min="3" max="3" width="0.8984375" style="71" customWidth="1"/>
    <col min="4" max="4" width="4" style="71" customWidth="1"/>
    <col min="5" max="5" width="5.8984375" style="71" customWidth="1"/>
    <col min="6" max="6" width="5.59765625" style="71" customWidth="1"/>
    <col min="7" max="7" width="11.19921875" style="71" customWidth="1"/>
    <col min="8" max="8" width="9.09765625" style="71" customWidth="1"/>
    <col min="9" max="9" width="12.69921875" style="71" customWidth="1"/>
    <col min="10" max="10" width="1.3984375" style="71" customWidth="1"/>
    <col min="11" max="11" width="1" style="71" customWidth="1"/>
    <col min="12" max="12" width="10.69921875" style="71" customWidth="1"/>
    <col min="13" max="13" width="10.09765625" style="71" customWidth="1"/>
    <col min="14" max="14" width="16.59765625" style="71" customWidth="1"/>
    <col min="15" max="15" width="8.3984375" style="71" customWidth="1"/>
    <col min="16" max="16" width="9.5" style="71" customWidth="1"/>
    <col min="17" max="17" width="1.19921875" style="71" customWidth="1"/>
    <col min="18" max="18" width="0.5" style="71" customWidth="1"/>
    <col min="19" max="26" width="0" style="71" hidden="1" customWidth="1"/>
    <col min="27" max="16384" width="11" style="71" hidden="1"/>
  </cols>
  <sheetData>
    <row r="1" spans="2:26" ht="15.6"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spans="2:26" ht="36.6" thickBot="1">
      <c r="B2" s="684" t="s">
        <v>368</v>
      </c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85"/>
      <c r="N2" s="685"/>
      <c r="O2" s="685"/>
      <c r="P2" s="685"/>
      <c r="Q2" s="685"/>
      <c r="R2" s="70"/>
      <c r="S2" s="70"/>
      <c r="T2" s="70"/>
      <c r="U2" s="70"/>
      <c r="V2" s="70"/>
      <c r="W2" s="70"/>
      <c r="X2" s="70"/>
      <c r="Y2" s="70"/>
      <c r="Z2" s="70"/>
    </row>
    <row r="3" spans="2:26" ht="24" customHeight="1" thickBot="1">
      <c r="B3" s="72" t="s">
        <v>369</v>
      </c>
      <c r="C3" s="686" t="s">
        <v>370</v>
      </c>
      <c r="D3" s="687"/>
      <c r="E3" s="687"/>
      <c r="F3" s="687"/>
      <c r="G3" s="687"/>
      <c r="H3" s="687"/>
      <c r="I3" s="687"/>
      <c r="J3" s="688"/>
      <c r="K3" s="689" t="s">
        <v>371</v>
      </c>
      <c r="L3" s="690"/>
      <c r="M3" s="690"/>
      <c r="N3" s="690"/>
      <c r="O3" s="690"/>
      <c r="P3" s="690"/>
      <c r="Q3" s="691"/>
      <c r="R3" s="70"/>
      <c r="S3" s="70"/>
      <c r="T3" s="70"/>
      <c r="U3" s="70"/>
      <c r="V3" s="70"/>
      <c r="W3" s="70"/>
      <c r="X3" s="70"/>
      <c r="Y3" s="70"/>
      <c r="Z3" s="70"/>
    </row>
    <row r="4" spans="2:26" ht="15.6">
      <c r="B4" s="692" t="s">
        <v>372</v>
      </c>
      <c r="C4" s="73" t="s">
        <v>373</v>
      </c>
      <c r="D4" s="74"/>
      <c r="E4" s="74"/>
      <c r="F4" s="74"/>
      <c r="G4" s="74"/>
      <c r="H4" s="74"/>
      <c r="I4" s="74"/>
      <c r="J4" s="75"/>
      <c r="K4" s="76" t="s">
        <v>373</v>
      </c>
      <c r="L4" s="74"/>
      <c r="M4" s="74"/>
      <c r="N4" s="74"/>
      <c r="O4" s="74"/>
      <c r="P4" s="74"/>
      <c r="Q4" s="75"/>
      <c r="R4" s="70"/>
      <c r="S4" s="70"/>
      <c r="T4" s="70"/>
      <c r="U4" s="70"/>
      <c r="V4" s="70"/>
      <c r="W4" s="70"/>
      <c r="X4" s="70"/>
      <c r="Y4" s="70"/>
      <c r="Z4" s="70"/>
    </row>
    <row r="5" spans="2:26" ht="18.75" customHeight="1">
      <c r="B5" s="693"/>
      <c r="C5" s="77"/>
      <c r="D5" s="680" t="s">
        <v>374</v>
      </c>
      <c r="E5" s="681"/>
      <c r="F5" s="681"/>
      <c r="G5" s="682"/>
      <c r="H5" s="683" t="s">
        <v>375</v>
      </c>
      <c r="I5" s="681"/>
      <c r="J5" s="78"/>
      <c r="K5" s="79"/>
      <c r="L5" s="680" t="s">
        <v>374</v>
      </c>
      <c r="M5" s="681"/>
      <c r="N5" s="682"/>
      <c r="O5" s="683" t="s">
        <v>376</v>
      </c>
      <c r="P5" s="681"/>
      <c r="Q5" s="78"/>
      <c r="R5" s="70"/>
      <c r="S5" s="70"/>
      <c r="T5" s="70"/>
      <c r="U5" s="70"/>
      <c r="V5" s="70"/>
      <c r="W5" s="70"/>
      <c r="X5" s="70"/>
      <c r="Y5" s="70"/>
      <c r="Z5" s="70"/>
    </row>
    <row r="6" spans="2:26" ht="18.75" customHeight="1">
      <c r="B6" s="693"/>
      <c r="C6" s="77"/>
      <c r="D6" s="680" t="s">
        <v>377</v>
      </c>
      <c r="E6" s="681"/>
      <c r="F6" s="681"/>
      <c r="G6" s="682"/>
      <c r="H6" s="683" t="s">
        <v>378</v>
      </c>
      <c r="I6" s="681"/>
      <c r="J6" s="78"/>
      <c r="K6" s="79"/>
      <c r="L6" s="680" t="s">
        <v>377</v>
      </c>
      <c r="M6" s="681"/>
      <c r="N6" s="682"/>
      <c r="O6" s="683" t="s">
        <v>379</v>
      </c>
      <c r="P6" s="681"/>
      <c r="Q6" s="78"/>
      <c r="R6" s="70"/>
      <c r="S6" s="70"/>
      <c r="T6" s="70"/>
      <c r="U6" s="70"/>
      <c r="V6" s="70"/>
      <c r="W6" s="70"/>
      <c r="X6" s="70"/>
      <c r="Y6" s="70"/>
      <c r="Z6" s="70"/>
    </row>
    <row r="7" spans="2:26" ht="18.75" customHeight="1">
      <c r="B7" s="693"/>
      <c r="C7" s="77"/>
      <c r="D7" s="680" t="s">
        <v>380</v>
      </c>
      <c r="E7" s="681"/>
      <c r="F7" s="681"/>
      <c r="G7" s="682"/>
      <c r="H7" s="683" t="s">
        <v>381</v>
      </c>
      <c r="I7" s="681"/>
      <c r="J7" s="78"/>
      <c r="K7" s="79"/>
      <c r="L7" s="680" t="s">
        <v>380</v>
      </c>
      <c r="M7" s="681"/>
      <c r="N7" s="682"/>
      <c r="O7" s="683" t="s">
        <v>382</v>
      </c>
      <c r="P7" s="681"/>
      <c r="Q7" s="78"/>
      <c r="R7" s="70"/>
      <c r="S7" s="70"/>
      <c r="T7" s="70"/>
      <c r="U7" s="70"/>
      <c r="V7" s="70"/>
      <c r="W7" s="70"/>
      <c r="X7" s="70"/>
      <c r="Y7" s="70"/>
      <c r="Z7" s="70"/>
    </row>
    <row r="8" spans="2:26" ht="18.75" customHeight="1">
      <c r="B8" s="693"/>
      <c r="C8" s="77"/>
      <c r="D8" s="680" t="s">
        <v>383</v>
      </c>
      <c r="E8" s="681"/>
      <c r="F8" s="681"/>
      <c r="G8" s="682"/>
      <c r="H8" s="683" t="s">
        <v>384</v>
      </c>
      <c r="I8" s="681"/>
      <c r="J8" s="78"/>
      <c r="K8" s="79"/>
      <c r="L8" s="680" t="s">
        <v>383</v>
      </c>
      <c r="M8" s="681"/>
      <c r="N8" s="682"/>
      <c r="O8" s="683" t="s">
        <v>384</v>
      </c>
      <c r="P8" s="681"/>
      <c r="Q8" s="78"/>
      <c r="R8" s="70"/>
      <c r="S8" s="70"/>
      <c r="T8" s="70"/>
      <c r="U8" s="70"/>
      <c r="V8" s="70"/>
      <c r="W8" s="70"/>
      <c r="X8" s="70"/>
      <c r="Y8" s="70"/>
      <c r="Z8" s="70"/>
    </row>
    <row r="9" spans="2:26" ht="8.25" customHeight="1" thickBot="1">
      <c r="B9" s="694"/>
      <c r="C9" s="80"/>
      <c r="D9" s="81"/>
      <c r="E9" s="81"/>
      <c r="F9" s="81"/>
      <c r="G9" s="81"/>
      <c r="H9" s="81"/>
      <c r="I9" s="81"/>
      <c r="J9" s="82"/>
      <c r="K9" s="83"/>
      <c r="L9" s="81"/>
      <c r="M9" s="81"/>
      <c r="N9" s="81"/>
      <c r="O9" s="81"/>
      <c r="P9" s="81"/>
      <c r="Q9" s="82"/>
      <c r="R9" s="70"/>
      <c r="S9" s="70"/>
      <c r="T9" s="70"/>
      <c r="U9" s="70"/>
      <c r="V9" s="70"/>
      <c r="W9" s="70"/>
      <c r="X9" s="70"/>
      <c r="Y9" s="70"/>
      <c r="Z9" s="70"/>
    </row>
    <row r="10" spans="2:26" ht="6.75" customHeight="1">
      <c r="B10" s="692" t="s">
        <v>385</v>
      </c>
      <c r="C10" s="73"/>
      <c r="D10" s="74"/>
      <c r="E10" s="74"/>
      <c r="F10" s="74"/>
      <c r="G10" s="74"/>
      <c r="H10" s="74"/>
      <c r="I10" s="74"/>
      <c r="J10" s="75"/>
      <c r="K10" s="76"/>
      <c r="L10" s="74"/>
      <c r="M10" s="74"/>
      <c r="N10" s="74"/>
      <c r="O10" s="74"/>
      <c r="P10" s="74"/>
      <c r="Q10" s="75"/>
      <c r="R10" s="70"/>
      <c r="S10" s="70"/>
      <c r="T10" s="70"/>
      <c r="U10" s="70"/>
      <c r="V10" s="70"/>
      <c r="W10" s="70"/>
      <c r="X10" s="70"/>
      <c r="Y10" s="70"/>
      <c r="Z10" s="70"/>
    </row>
    <row r="11" spans="2:26" ht="16.5" customHeight="1">
      <c r="B11" s="693"/>
      <c r="C11" s="77"/>
      <c r="D11" s="680" t="s">
        <v>322</v>
      </c>
      <c r="E11" s="681"/>
      <c r="F11" s="681"/>
      <c r="G11" s="683" t="s">
        <v>386</v>
      </c>
      <c r="H11" s="681"/>
      <c r="I11" s="681"/>
      <c r="J11" s="78"/>
      <c r="K11" s="79"/>
      <c r="L11" s="695" t="s">
        <v>322</v>
      </c>
      <c r="M11" s="696"/>
      <c r="N11" s="699" t="s">
        <v>387</v>
      </c>
      <c r="O11" s="700"/>
      <c r="P11" s="700"/>
      <c r="Q11" s="78"/>
      <c r="R11" s="70"/>
      <c r="S11" s="70"/>
      <c r="T11" s="70"/>
      <c r="U11" s="70"/>
      <c r="V11" s="70"/>
      <c r="W11" s="70"/>
      <c r="X11" s="70"/>
      <c r="Y11" s="70"/>
      <c r="Z11" s="70"/>
    </row>
    <row r="12" spans="2:26" ht="16.5" customHeight="1">
      <c r="B12" s="693"/>
      <c r="C12" s="77"/>
      <c r="D12" s="680" t="s">
        <v>388</v>
      </c>
      <c r="E12" s="681"/>
      <c r="F12" s="681"/>
      <c r="G12" s="683" t="s">
        <v>389</v>
      </c>
      <c r="H12" s="681"/>
      <c r="I12" s="681"/>
      <c r="J12" s="78"/>
      <c r="K12" s="79"/>
      <c r="L12" s="697"/>
      <c r="M12" s="698"/>
      <c r="N12" s="701"/>
      <c r="O12" s="697"/>
      <c r="P12" s="697"/>
      <c r="Q12" s="78"/>
      <c r="R12" s="70"/>
      <c r="S12" s="70"/>
      <c r="T12" s="70"/>
      <c r="U12" s="70"/>
      <c r="V12" s="70"/>
      <c r="W12" s="70"/>
      <c r="X12" s="70"/>
      <c r="Y12" s="70"/>
      <c r="Z12" s="70"/>
    </row>
    <row r="13" spans="2:26" ht="16.5" customHeight="1">
      <c r="B13" s="693"/>
      <c r="C13" s="77"/>
      <c r="D13" s="680" t="s">
        <v>390</v>
      </c>
      <c r="E13" s="681"/>
      <c r="F13" s="681"/>
      <c r="G13" s="683" t="s">
        <v>391</v>
      </c>
      <c r="H13" s="681"/>
      <c r="I13" s="681"/>
      <c r="J13" s="78"/>
      <c r="K13" s="79"/>
      <c r="L13" s="680" t="s">
        <v>392</v>
      </c>
      <c r="M13" s="682"/>
      <c r="N13" s="683" t="s">
        <v>391</v>
      </c>
      <c r="O13" s="681"/>
      <c r="P13" s="681"/>
      <c r="Q13" s="78"/>
      <c r="R13" s="70"/>
      <c r="S13" s="70"/>
      <c r="T13" s="70"/>
      <c r="U13" s="70"/>
      <c r="V13" s="70"/>
      <c r="W13" s="70"/>
      <c r="X13" s="70"/>
      <c r="Y13" s="70"/>
      <c r="Z13" s="70"/>
    </row>
    <row r="14" spans="2:26" ht="6.75" customHeight="1" thickBot="1">
      <c r="B14" s="694"/>
      <c r="C14" s="80"/>
      <c r="D14" s="81"/>
      <c r="E14" s="81"/>
      <c r="F14" s="81"/>
      <c r="G14" s="81"/>
      <c r="H14" s="81"/>
      <c r="I14" s="81"/>
      <c r="J14" s="82"/>
      <c r="K14" s="83"/>
      <c r="L14" s="81"/>
      <c r="M14" s="81"/>
      <c r="N14" s="81"/>
      <c r="O14" s="81"/>
      <c r="P14" s="81"/>
      <c r="Q14" s="82"/>
      <c r="R14" s="70"/>
      <c r="S14" s="70"/>
      <c r="T14" s="70"/>
      <c r="U14" s="70"/>
      <c r="V14" s="70"/>
      <c r="W14" s="70"/>
      <c r="X14" s="70"/>
      <c r="Y14" s="70"/>
      <c r="Z14" s="70"/>
    </row>
    <row r="15" spans="2:26" ht="6.75" customHeight="1">
      <c r="B15" s="692" t="s">
        <v>393</v>
      </c>
      <c r="C15" s="73"/>
      <c r="D15" s="74"/>
      <c r="E15" s="74"/>
      <c r="F15" s="74"/>
      <c r="G15" s="74"/>
      <c r="H15" s="74"/>
      <c r="I15" s="74"/>
      <c r="J15" s="75"/>
      <c r="K15" s="76"/>
      <c r="L15" s="74"/>
      <c r="M15" s="74"/>
      <c r="N15" s="74"/>
      <c r="O15" s="74"/>
      <c r="P15" s="74"/>
      <c r="Q15" s="75"/>
      <c r="R15" s="70"/>
      <c r="S15" s="70"/>
      <c r="T15" s="70"/>
      <c r="U15" s="70"/>
      <c r="V15" s="70"/>
      <c r="W15" s="70"/>
      <c r="X15" s="70"/>
      <c r="Y15" s="70"/>
      <c r="Z15" s="70"/>
    </row>
    <row r="16" spans="2:26" ht="20.25" customHeight="1">
      <c r="B16" s="693"/>
      <c r="C16" s="77"/>
      <c r="D16" s="680" t="s">
        <v>394</v>
      </c>
      <c r="E16" s="681"/>
      <c r="F16" s="681"/>
      <c r="G16" s="682"/>
      <c r="H16" s="683">
        <v>1</v>
      </c>
      <c r="I16" s="681"/>
      <c r="J16" s="78"/>
      <c r="K16" s="79"/>
      <c r="L16" s="680" t="s">
        <v>394</v>
      </c>
      <c r="M16" s="681"/>
      <c r="N16" s="682"/>
      <c r="O16" s="683" t="s">
        <v>395</v>
      </c>
      <c r="P16" s="681"/>
      <c r="Q16" s="78"/>
      <c r="R16" s="70"/>
      <c r="S16" s="70"/>
      <c r="T16" s="70"/>
      <c r="U16" s="70"/>
      <c r="V16" s="70"/>
      <c r="W16" s="70"/>
      <c r="X16" s="70"/>
      <c r="Y16" s="70"/>
      <c r="Z16" s="70"/>
    </row>
    <row r="17" spans="2:26" ht="20.25" customHeight="1">
      <c r="B17" s="693"/>
      <c r="C17" s="77"/>
      <c r="D17" s="680" t="s">
        <v>396</v>
      </c>
      <c r="E17" s="681"/>
      <c r="F17" s="681"/>
      <c r="G17" s="682"/>
      <c r="H17" s="683">
        <v>179</v>
      </c>
      <c r="I17" s="681"/>
      <c r="J17" s="78"/>
      <c r="K17" s="79"/>
      <c r="L17" s="680" t="s">
        <v>397</v>
      </c>
      <c r="M17" s="681"/>
      <c r="N17" s="682"/>
      <c r="O17" s="683" t="s">
        <v>398</v>
      </c>
      <c r="P17" s="681"/>
      <c r="Q17" s="78"/>
      <c r="R17" s="70"/>
      <c r="S17" s="70"/>
      <c r="T17" s="70"/>
      <c r="U17" s="70"/>
      <c r="V17" s="70"/>
      <c r="W17" s="70"/>
      <c r="X17" s="70"/>
      <c r="Y17" s="70"/>
      <c r="Z17" s="70"/>
    </row>
    <row r="18" spans="2:26" ht="20.25" customHeight="1">
      <c r="B18" s="693"/>
      <c r="C18" s="77"/>
      <c r="D18" s="680" t="s">
        <v>399</v>
      </c>
      <c r="E18" s="681"/>
      <c r="F18" s="681"/>
      <c r="G18" s="682"/>
      <c r="H18" s="683">
        <v>368</v>
      </c>
      <c r="I18" s="681"/>
      <c r="J18" s="78"/>
      <c r="K18" s="79"/>
      <c r="L18" s="680" t="s">
        <v>400</v>
      </c>
      <c r="M18" s="681"/>
      <c r="N18" s="682"/>
      <c r="O18" s="683" t="s">
        <v>401</v>
      </c>
      <c r="P18" s="681"/>
      <c r="Q18" s="78"/>
      <c r="R18" s="70"/>
      <c r="S18" s="70"/>
      <c r="T18" s="70"/>
      <c r="U18" s="70"/>
      <c r="V18" s="70"/>
      <c r="W18" s="70"/>
      <c r="X18" s="70"/>
      <c r="Y18" s="70"/>
      <c r="Z18" s="70"/>
    </row>
    <row r="19" spans="2:26" ht="20.25" customHeight="1">
      <c r="B19" s="693"/>
      <c r="C19" s="77"/>
      <c r="D19" s="680" t="s">
        <v>402</v>
      </c>
      <c r="E19" s="681"/>
      <c r="F19" s="681"/>
      <c r="G19" s="682"/>
      <c r="H19" s="683">
        <v>548</v>
      </c>
      <c r="I19" s="681"/>
      <c r="J19" s="78"/>
      <c r="K19" s="79"/>
      <c r="L19" s="680" t="s">
        <v>402</v>
      </c>
      <c r="M19" s="681"/>
      <c r="N19" s="682"/>
      <c r="O19" s="683" t="s">
        <v>403</v>
      </c>
      <c r="P19" s="681"/>
      <c r="Q19" s="78"/>
      <c r="R19" s="70"/>
      <c r="S19" s="70"/>
      <c r="T19" s="70"/>
      <c r="U19" s="70"/>
      <c r="V19" s="70"/>
      <c r="W19" s="70"/>
      <c r="X19" s="70"/>
      <c r="Y19" s="70"/>
      <c r="Z19" s="70"/>
    </row>
    <row r="20" spans="2:26" ht="5.25" customHeight="1" thickBot="1">
      <c r="B20" s="694"/>
      <c r="C20" s="80"/>
      <c r="D20" s="81"/>
      <c r="E20" s="81"/>
      <c r="F20" s="81"/>
      <c r="G20" s="81"/>
      <c r="H20" s="81"/>
      <c r="I20" s="81"/>
      <c r="J20" s="82"/>
      <c r="K20" s="83"/>
      <c r="L20" s="81"/>
      <c r="M20" s="81"/>
      <c r="N20" s="81"/>
      <c r="O20" s="81"/>
      <c r="P20" s="81"/>
      <c r="Q20" s="82"/>
      <c r="R20" s="70"/>
      <c r="S20" s="70"/>
      <c r="T20" s="70"/>
      <c r="U20" s="70"/>
      <c r="V20" s="70"/>
      <c r="W20" s="70"/>
      <c r="X20" s="70"/>
      <c r="Y20" s="70"/>
      <c r="Z20" s="70"/>
    </row>
    <row r="21" spans="2:26" ht="5.25" customHeight="1">
      <c r="B21" s="692" t="s">
        <v>404</v>
      </c>
      <c r="C21" s="73"/>
      <c r="D21" s="74"/>
      <c r="E21" s="74"/>
      <c r="F21" s="74"/>
      <c r="G21" s="74"/>
      <c r="H21" s="74"/>
      <c r="I21" s="74"/>
      <c r="J21" s="75"/>
      <c r="K21" s="76"/>
      <c r="L21" s="74"/>
      <c r="M21" s="74"/>
      <c r="N21" s="74"/>
      <c r="O21" s="74"/>
      <c r="P21" s="74"/>
      <c r="Q21" s="75"/>
      <c r="R21" s="70"/>
      <c r="S21" s="70"/>
      <c r="T21" s="70"/>
      <c r="U21" s="70"/>
      <c r="V21" s="70"/>
      <c r="W21" s="70"/>
      <c r="X21" s="70"/>
      <c r="Y21" s="70"/>
      <c r="Z21" s="70"/>
    </row>
    <row r="22" spans="2:26" ht="31.8" thickBot="1">
      <c r="B22" s="693"/>
      <c r="C22" s="77"/>
      <c r="D22" s="84"/>
      <c r="E22" s="85"/>
      <c r="F22" s="86" t="s">
        <v>405</v>
      </c>
      <c r="G22" s="86" t="s">
        <v>406</v>
      </c>
      <c r="H22" s="86" t="s">
        <v>407</v>
      </c>
      <c r="I22" s="87" t="s">
        <v>408</v>
      </c>
      <c r="J22" s="88"/>
      <c r="K22" s="89"/>
      <c r="L22" s="84"/>
      <c r="M22" s="86" t="s">
        <v>406</v>
      </c>
      <c r="N22" s="86" t="s">
        <v>409</v>
      </c>
      <c r="O22" s="702" t="s">
        <v>408</v>
      </c>
      <c r="P22" s="703"/>
      <c r="Q22" s="78"/>
      <c r="R22" s="70"/>
      <c r="S22" s="70"/>
      <c r="T22" s="70"/>
      <c r="U22" s="70"/>
      <c r="V22" s="70"/>
      <c r="W22" s="70"/>
      <c r="X22" s="70"/>
      <c r="Y22" s="70"/>
      <c r="Z22" s="70"/>
    </row>
    <row r="23" spans="2:26" ht="16.2" thickTop="1">
      <c r="B23" s="693"/>
      <c r="C23" s="77"/>
      <c r="D23" s="704" t="s">
        <v>406</v>
      </c>
      <c r="E23" s="706" t="s">
        <v>410</v>
      </c>
      <c r="F23" s="706" t="s">
        <v>411</v>
      </c>
      <c r="G23" s="90" t="s">
        <v>412</v>
      </c>
      <c r="H23" s="90" t="s">
        <v>413</v>
      </c>
      <c r="I23" s="709">
        <v>24</v>
      </c>
      <c r="J23" s="88"/>
      <c r="K23" s="89"/>
      <c r="L23" s="704" t="s">
        <v>414</v>
      </c>
      <c r="M23" s="91" t="s">
        <v>412</v>
      </c>
      <c r="N23" s="91" t="s">
        <v>415</v>
      </c>
      <c r="O23" s="709">
        <v>24</v>
      </c>
      <c r="P23" s="717"/>
      <c r="Q23" s="78"/>
      <c r="R23" s="70"/>
      <c r="S23" s="70"/>
      <c r="T23" s="70"/>
      <c r="U23" s="70"/>
      <c r="V23" s="70"/>
      <c r="W23" s="70"/>
      <c r="X23" s="70"/>
      <c r="Y23" s="70"/>
      <c r="Z23" s="70"/>
    </row>
    <row r="24" spans="2:26" ht="15.6">
      <c r="B24" s="693"/>
      <c r="C24" s="77"/>
      <c r="D24" s="705"/>
      <c r="E24" s="707"/>
      <c r="F24" s="707"/>
      <c r="G24" s="92" t="s">
        <v>416</v>
      </c>
      <c r="H24" s="92" t="s">
        <v>417</v>
      </c>
      <c r="I24" s="710"/>
      <c r="J24" s="88"/>
      <c r="K24" s="89"/>
      <c r="L24" s="705"/>
      <c r="M24" s="93" t="s">
        <v>416</v>
      </c>
      <c r="N24" s="93" t="s">
        <v>418</v>
      </c>
      <c r="O24" s="710"/>
      <c r="P24" s="718"/>
      <c r="Q24" s="78"/>
      <c r="R24" s="70"/>
      <c r="S24" s="70"/>
      <c r="T24" s="70"/>
      <c r="U24" s="70"/>
      <c r="V24" s="70"/>
      <c r="W24" s="70"/>
      <c r="X24" s="70"/>
      <c r="Y24" s="70"/>
      <c r="Z24" s="70"/>
    </row>
    <row r="25" spans="2:26" ht="15.6">
      <c r="B25" s="693"/>
      <c r="C25" s="77"/>
      <c r="D25" s="705"/>
      <c r="E25" s="707"/>
      <c r="F25" s="707"/>
      <c r="G25" s="92" t="s">
        <v>419</v>
      </c>
      <c r="H25" s="92" t="s">
        <v>420</v>
      </c>
      <c r="I25" s="711"/>
      <c r="J25" s="88"/>
      <c r="K25" s="89"/>
      <c r="L25" s="705"/>
      <c r="M25" s="93" t="s">
        <v>419</v>
      </c>
      <c r="N25" s="93" t="s">
        <v>421</v>
      </c>
      <c r="O25" s="701"/>
      <c r="P25" s="697"/>
      <c r="Q25" s="78"/>
      <c r="R25" s="70"/>
      <c r="S25" s="70"/>
      <c r="T25" s="70"/>
      <c r="U25" s="70"/>
      <c r="V25" s="70"/>
      <c r="W25" s="70"/>
      <c r="X25" s="70"/>
      <c r="Y25" s="70"/>
      <c r="Z25" s="70"/>
    </row>
    <row r="26" spans="2:26" ht="15.6">
      <c r="B26" s="693"/>
      <c r="C26" s="77"/>
      <c r="D26" s="705"/>
      <c r="E26" s="707"/>
      <c r="F26" s="708"/>
      <c r="G26" s="94" t="s">
        <v>422</v>
      </c>
      <c r="H26" s="94" t="s">
        <v>423</v>
      </c>
      <c r="I26" s="95">
        <v>6</v>
      </c>
      <c r="J26" s="88"/>
      <c r="K26" s="89"/>
      <c r="L26" s="705"/>
      <c r="M26" s="719" t="s">
        <v>424</v>
      </c>
      <c r="N26" s="96" t="s">
        <v>425</v>
      </c>
      <c r="O26" s="720">
        <v>6</v>
      </c>
      <c r="P26" s="721"/>
      <c r="Q26" s="78"/>
      <c r="R26" s="70"/>
      <c r="S26" s="70"/>
      <c r="T26" s="70"/>
      <c r="U26" s="70"/>
      <c r="V26" s="70"/>
      <c r="W26" s="70"/>
      <c r="X26" s="70"/>
      <c r="Y26" s="70"/>
      <c r="Z26" s="70"/>
    </row>
    <row r="27" spans="2:26" ht="46.8">
      <c r="B27" s="693"/>
      <c r="C27" s="77"/>
      <c r="D27" s="705"/>
      <c r="E27" s="707"/>
      <c r="F27" s="719" t="s">
        <v>426</v>
      </c>
      <c r="G27" s="96" t="s">
        <v>424</v>
      </c>
      <c r="H27" s="96" t="s">
        <v>427</v>
      </c>
      <c r="I27" s="722">
        <v>12</v>
      </c>
      <c r="J27" s="88"/>
      <c r="K27" s="89"/>
      <c r="L27" s="705"/>
      <c r="M27" s="708"/>
      <c r="N27" s="94" t="s">
        <v>428</v>
      </c>
      <c r="O27" s="723">
        <v>12</v>
      </c>
      <c r="P27" s="724"/>
      <c r="Q27" s="78"/>
      <c r="R27" s="70"/>
      <c r="S27" s="70"/>
      <c r="T27" s="70"/>
      <c r="U27" s="70"/>
      <c r="V27" s="70"/>
      <c r="W27" s="70"/>
      <c r="X27" s="70"/>
      <c r="Y27" s="70"/>
      <c r="Z27" s="70"/>
    </row>
    <row r="28" spans="2:26" ht="31.2">
      <c r="B28" s="693"/>
      <c r="C28" s="77"/>
      <c r="D28" s="705"/>
      <c r="E28" s="707"/>
      <c r="F28" s="708"/>
      <c r="G28" s="94" t="s">
        <v>429</v>
      </c>
      <c r="H28" s="94" t="s">
        <v>430</v>
      </c>
      <c r="I28" s="701"/>
      <c r="J28" s="88"/>
      <c r="K28" s="89"/>
      <c r="L28" s="705"/>
      <c r="M28" s="93" t="s">
        <v>429</v>
      </c>
      <c r="N28" s="93" t="s">
        <v>431</v>
      </c>
      <c r="O28" s="701"/>
      <c r="P28" s="697"/>
      <c r="Q28" s="78"/>
      <c r="R28" s="70"/>
      <c r="S28" s="70"/>
      <c r="T28" s="70"/>
      <c r="U28" s="70"/>
      <c r="V28" s="70"/>
      <c r="W28" s="70"/>
      <c r="X28" s="70"/>
      <c r="Y28" s="70"/>
      <c r="Z28" s="70"/>
    </row>
    <row r="29" spans="2:26" ht="15.6">
      <c r="B29" s="693"/>
      <c r="C29" s="77"/>
      <c r="D29" s="705"/>
      <c r="E29" s="707"/>
      <c r="F29" s="719" t="s">
        <v>432</v>
      </c>
      <c r="G29" s="96" t="s">
        <v>433</v>
      </c>
      <c r="H29" s="97"/>
      <c r="I29" s="98">
        <v>8</v>
      </c>
      <c r="J29" s="88"/>
      <c r="K29" s="89"/>
      <c r="L29" s="705"/>
      <c r="M29" s="93" t="s">
        <v>433</v>
      </c>
      <c r="N29" s="99"/>
      <c r="O29" s="714">
        <v>8</v>
      </c>
      <c r="P29" s="681"/>
      <c r="Q29" s="78"/>
      <c r="R29" s="70"/>
      <c r="S29" s="70"/>
      <c r="T29" s="70"/>
      <c r="U29" s="70"/>
      <c r="V29" s="70"/>
      <c r="W29" s="70"/>
      <c r="X29" s="70"/>
      <c r="Y29" s="70"/>
      <c r="Z29" s="70"/>
    </row>
    <row r="30" spans="2:26" ht="15.6">
      <c r="B30" s="693"/>
      <c r="C30" s="77"/>
      <c r="D30" s="705"/>
      <c r="E30" s="707"/>
      <c r="F30" s="708"/>
      <c r="G30" s="94" t="s">
        <v>434</v>
      </c>
      <c r="H30" s="100"/>
      <c r="I30" s="95">
        <v>6</v>
      </c>
      <c r="J30" s="88"/>
      <c r="K30" s="89"/>
      <c r="L30" s="705"/>
      <c r="M30" s="93" t="s">
        <v>434</v>
      </c>
      <c r="N30" s="99"/>
      <c r="O30" s="714">
        <v>6</v>
      </c>
      <c r="P30" s="681"/>
      <c r="Q30" s="78"/>
      <c r="R30" s="70"/>
      <c r="S30" s="70"/>
      <c r="T30" s="70"/>
      <c r="U30" s="70"/>
      <c r="V30" s="70"/>
      <c r="W30" s="70"/>
      <c r="X30" s="70"/>
      <c r="Y30" s="70"/>
      <c r="Z30" s="70"/>
    </row>
    <row r="31" spans="2:26" ht="62.4">
      <c r="B31" s="693"/>
      <c r="C31" s="77"/>
      <c r="D31" s="705"/>
      <c r="E31" s="707"/>
      <c r="F31" s="93" t="s">
        <v>435</v>
      </c>
      <c r="G31" s="93" t="s">
        <v>436</v>
      </c>
      <c r="H31" s="99"/>
      <c r="I31" s="101">
        <v>10</v>
      </c>
      <c r="J31" s="88"/>
      <c r="K31" s="89"/>
      <c r="L31" s="705"/>
      <c r="M31" s="93" t="s">
        <v>437</v>
      </c>
      <c r="N31" s="99"/>
      <c r="O31" s="714">
        <v>8</v>
      </c>
      <c r="P31" s="681"/>
      <c r="Q31" s="78"/>
      <c r="R31" s="70"/>
      <c r="S31" s="70"/>
      <c r="T31" s="70"/>
      <c r="U31" s="70"/>
      <c r="V31" s="70"/>
      <c r="W31" s="70"/>
      <c r="X31" s="70"/>
      <c r="Y31" s="70"/>
      <c r="Z31" s="70"/>
    </row>
    <row r="32" spans="2:26" ht="18.75" customHeight="1">
      <c r="B32" s="693"/>
      <c r="C32" s="77"/>
      <c r="D32" s="705"/>
      <c r="E32" s="708"/>
      <c r="F32" s="715" t="s">
        <v>402</v>
      </c>
      <c r="G32" s="681"/>
      <c r="H32" s="682"/>
      <c r="I32" s="102">
        <v>66</v>
      </c>
      <c r="J32" s="88"/>
      <c r="K32" s="89"/>
      <c r="L32" s="698"/>
      <c r="M32" s="715" t="s">
        <v>402</v>
      </c>
      <c r="N32" s="682"/>
      <c r="O32" s="716">
        <v>64</v>
      </c>
      <c r="P32" s="681"/>
      <c r="Q32" s="78"/>
      <c r="R32" s="70"/>
      <c r="S32" s="70"/>
      <c r="T32" s="70"/>
      <c r="U32" s="70"/>
      <c r="V32" s="70"/>
      <c r="W32" s="70"/>
      <c r="X32" s="70"/>
      <c r="Y32" s="70"/>
      <c r="Z32" s="70"/>
    </row>
    <row r="33" spans="2:26" ht="35.25" customHeight="1">
      <c r="B33" s="693"/>
      <c r="C33" s="77"/>
      <c r="D33" s="698"/>
      <c r="E33" s="103" t="s">
        <v>438</v>
      </c>
      <c r="F33" s="715" t="s">
        <v>439</v>
      </c>
      <c r="G33" s="681"/>
      <c r="H33" s="682"/>
      <c r="I33" s="102">
        <v>86</v>
      </c>
      <c r="J33" s="88"/>
      <c r="K33" s="89"/>
      <c r="L33" s="104" t="s">
        <v>440</v>
      </c>
      <c r="M33" s="715" t="s">
        <v>441</v>
      </c>
      <c r="N33" s="682"/>
      <c r="O33" s="716">
        <v>80</v>
      </c>
      <c r="P33" s="681"/>
      <c r="Q33" s="78"/>
      <c r="R33" s="70"/>
      <c r="S33" s="70"/>
      <c r="T33" s="70"/>
      <c r="U33" s="70"/>
      <c r="V33" s="70"/>
      <c r="W33" s="70"/>
      <c r="X33" s="70"/>
      <c r="Y33" s="70"/>
      <c r="Z33" s="70"/>
    </row>
    <row r="34" spans="2:26" ht="21.75" customHeight="1">
      <c r="B34" s="693"/>
      <c r="C34" s="77"/>
      <c r="D34" s="712" t="s">
        <v>380</v>
      </c>
      <c r="E34" s="681"/>
      <c r="F34" s="681"/>
      <c r="G34" s="681"/>
      <c r="H34" s="682"/>
      <c r="I34" s="105">
        <v>22</v>
      </c>
      <c r="J34" s="88"/>
      <c r="K34" s="89"/>
      <c r="L34" s="712" t="s">
        <v>380</v>
      </c>
      <c r="M34" s="681"/>
      <c r="N34" s="682"/>
      <c r="O34" s="713">
        <v>30</v>
      </c>
      <c r="P34" s="681"/>
      <c r="Q34" s="78"/>
      <c r="R34" s="70"/>
      <c r="S34" s="70"/>
      <c r="T34" s="70"/>
      <c r="U34" s="70"/>
      <c r="V34" s="70"/>
      <c r="W34" s="70"/>
      <c r="X34" s="70"/>
      <c r="Y34" s="70"/>
      <c r="Z34" s="70"/>
    </row>
    <row r="35" spans="2:26" ht="24" customHeight="1">
      <c r="B35" s="693"/>
      <c r="C35" s="77"/>
      <c r="D35" s="712" t="s">
        <v>383</v>
      </c>
      <c r="E35" s="681"/>
      <c r="F35" s="681"/>
      <c r="G35" s="681"/>
      <c r="H35" s="682"/>
      <c r="I35" s="105">
        <v>18</v>
      </c>
      <c r="J35" s="88"/>
      <c r="K35" s="89"/>
      <c r="L35" s="712" t="s">
        <v>383</v>
      </c>
      <c r="M35" s="681"/>
      <c r="N35" s="682"/>
      <c r="O35" s="713">
        <v>18</v>
      </c>
      <c r="P35" s="681"/>
      <c r="Q35" s="78"/>
      <c r="R35" s="70"/>
      <c r="S35" s="70"/>
      <c r="T35" s="70"/>
      <c r="U35" s="70"/>
      <c r="V35" s="70"/>
      <c r="W35" s="70"/>
      <c r="X35" s="70"/>
      <c r="Y35" s="70"/>
      <c r="Z35" s="70"/>
    </row>
    <row r="36" spans="2:26" ht="15.6">
      <c r="B36" s="693"/>
      <c r="C36" s="77"/>
      <c r="D36" s="725" t="s">
        <v>442</v>
      </c>
      <c r="E36" s="681"/>
      <c r="F36" s="681"/>
      <c r="G36" s="681"/>
      <c r="H36" s="682"/>
      <c r="I36" s="102">
        <v>192</v>
      </c>
      <c r="J36" s="88"/>
      <c r="K36" s="89"/>
      <c r="L36" s="725" t="s">
        <v>442</v>
      </c>
      <c r="M36" s="681"/>
      <c r="N36" s="682"/>
      <c r="O36" s="716">
        <v>192</v>
      </c>
      <c r="P36" s="681"/>
      <c r="Q36" s="78"/>
      <c r="R36" s="70"/>
      <c r="S36" s="70"/>
      <c r="T36" s="70"/>
      <c r="U36" s="70"/>
      <c r="V36" s="70"/>
      <c r="W36" s="70"/>
      <c r="X36" s="70"/>
      <c r="Y36" s="70"/>
      <c r="Z36" s="70"/>
    </row>
    <row r="37" spans="2:26" ht="5.25" customHeight="1" thickBot="1">
      <c r="B37" s="694"/>
      <c r="C37" s="80"/>
      <c r="D37" s="81"/>
      <c r="E37" s="81"/>
      <c r="F37" s="81"/>
      <c r="G37" s="81"/>
      <c r="H37" s="81"/>
      <c r="I37" s="81"/>
      <c r="J37" s="82"/>
      <c r="K37" s="83"/>
      <c r="L37" s="81"/>
      <c r="M37" s="81"/>
      <c r="N37" s="81"/>
      <c r="O37" s="81"/>
      <c r="P37" s="81"/>
      <c r="Q37" s="82"/>
      <c r="R37" s="70"/>
      <c r="S37" s="70"/>
      <c r="T37" s="70"/>
      <c r="U37" s="70"/>
      <c r="V37" s="70"/>
      <c r="W37" s="70"/>
      <c r="X37" s="70"/>
      <c r="Y37" s="70"/>
      <c r="Z37" s="70"/>
    </row>
    <row r="38" spans="2:26" ht="5.25" customHeight="1">
      <c r="B38" s="692" t="s">
        <v>443</v>
      </c>
      <c r="C38" s="73"/>
      <c r="D38" s="74"/>
      <c r="E38" s="74"/>
      <c r="F38" s="74"/>
      <c r="G38" s="74"/>
      <c r="H38" s="74"/>
      <c r="I38" s="74"/>
      <c r="J38" s="75"/>
      <c r="K38" s="76"/>
      <c r="L38" s="74"/>
      <c r="M38" s="74"/>
      <c r="N38" s="74"/>
      <c r="O38" s="74"/>
      <c r="P38" s="74"/>
      <c r="Q38" s="75"/>
      <c r="R38" s="70"/>
      <c r="S38" s="70"/>
      <c r="T38" s="70"/>
      <c r="U38" s="70"/>
      <c r="V38" s="70"/>
      <c r="W38" s="70"/>
      <c r="X38" s="70"/>
      <c r="Y38" s="70"/>
      <c r="Z38" s="70"/>
    </row>
    <row r="39" spans="2:26" ht="15.6">
      <c r="B39" s="693"/>
      <c r="C39" s="77" t="s">
        <v>444</v>
      </c>
      <c r="D39" s="106"/>
      <c r="E39" s="106"/>
      <c r="F39" s="106"/>
      <c r="G39" s="106"/>
      <c r="H39" s="106"/>
      <c r="I39" s="106"/>
      <c r="J39" s="78"/>
      <c r="K39" s="79"/>
      <c r="L39" s="106" t="s">
        <v>445</v>
      </c>
      <c r="M39" s="106"/>
      <c r="N39" s="106"/>
      <c r="O39" s="106"/>
      <c r="P39" s="106"/>
      <c r="Q39" s="78"/>
      <c r="R39" s="70"/>
      <c r="S39" s="70"/>
      <c r="T39" s="70"/>
      <c r="U39" s="70"/>
      <c r="V39" s="70"/>
      <c r="W39" s="70"/>
      <c r="X39" s="70"/>
      <c r="Y39" s="70"/>
      <c r="Z39" s="70"/>
    </row>
    <row r="40" spans="2:26" ht="15.6">
      <c r="B40" s="693"/>
      <c r="C40" s="77" t="s">
        <v>446</v>
      </c>
      <c r="D40" s="106"/>
      <c r="E40" s="106"/>
      <c r="F40" s="106"/>
      <c r="G40" s="106"/>
      <c r="H40" s="106"/>
      <c r="I40" s="106"/>
      <c r="J40" s="78"/>
      <c r="K40" s="79"/>
      <c r="L40" s="106" t="s">
        <v>447</v>
      </c>
      <c r="M40" s="106"/>
      <c r="N40" s="106"/>
      <c r="O40" s="106"/>
      <c r="P40" s="106"/>
      <c r="Q40" s="78"/>
      <c r="R40" s="70"/>
      <c r="S40" s="70"/>
      <c r="T40" s="70"/>
      <c r="U40" s="70"/>
      <c r="V40" s="70"/>
      <c r="W40" s="70"/>
      <c r="X40" s="70"/>
      <c r="Y40" s="70"/>
      <c r="Z40" s="70"/>
    </row>
    <row r="41" spans="2:26" ht="5.25" customHeight="1" thickBot="1">
      <c r="B41" s="694"/>
      <c r="C41" s="80"/>
      <c r="D41" s="81"/>
      <c r="E41" s="81"/>
      <c r="F41" s="81"/>
      <c r="G41" s="81"/>
      <c r="H41" s="81"/>
      <c r="I41" s="81"/>
      <c r="J41" s="82"/>
      <c r="K41" s="83"/>
      <c r="L41" s="81"/>
      <c r="M41" s="81"/>
      <c r="N41" s="81"/>
      <c r="O41" s="81"/>
      <c r="P41" s="81"/>
      <c r="Q41" s="82"/>
      <c r="R41" s="70"/>
      <c r="S41" s="70"/>
      <c r="T41" s="70"/>
      <c r="U41" s="70"/>
      <c r="V41" s="70"/>
      <c r="W41" s="70"/>
      <c r="X41" s="70"/>
      <c r="Y41" s="70"/>
      <c r="Z41" s="70"/>
    </row>
    <row r="42" spans="2:26" ht="5.25" customHeight="1">
      <c r="B42" s="692" t="s">
        <v>448</v>
      </c>
      <c r="C42" s="73"/>
      <c r="D42" s="74"/>
      <c r="E42" s="74"/>
      <c r="F42" s="74"/>
      <c r="G42" s="74"/>
      <c r="H42" s="74"/>
      <c r="I42" s="74"/>
      <c r="J42" s="75"/>
      <c r="K42" s="76"/>
      <c r="L42" s="74"/>
      <c r="M42" s="74"/>
      <c r="N42" s="74"/>
      <c r="O42" s="74"/>
      <c r="P42" s="74"/>
      <c r="Q42" s="75"/>
      <c r="R42" s="70"/>
      <c r="S42" s="70"/>
      <c r="T42" s="70"/>
      <c r="U42" s="70"/>
      <c r="V42" s="70"/>
      <c r="W42" s="70"/>
      <c r="X42" s="70"/>
      <c r="Y42" s="70"/>
      <c r="Z42" s="70"/>
    </row>
    <row r="43" spans="2:26" ht="15.6">
      <c r="B43" s="693"/>
      <c r="C43" s="77"/>
      <c r="D43" s="106" t="s">
        <v>449</v>
      </c>
      <c r="E43" s="106"/>
      <c r="F43" s="106"/>
      <c r="G43" s="106"/>
      <c r="H43" s="106"/>
      <c r="I43" s="106"/>
      <c r="J43" s="78"/>
      <c r="K43" s="79"/>
      <c r="L43" s="106" t="s">
        <v>450</v>
      </c>
      <c r="M43" s="106"/>
      <c r="N43" s="106"/>
      <c r="O43" s="106"/>
      <c r="P43" s="106"/>
      <c r="Q43" s="78"/>
      <c r="R43" s="70"/>
      <c r="S43" s="70"/>
      <c r="T43" s="70"/>
      <c r="U43" s="70"/>
      <c r="V43" s="70"/>
      <c r="W43" s="70"/>
      <c r="X43" s="70"/>
      <c r="Y43" s="70"/>
      <c r="Z43" s="70"/>
    </row>
    <row r="44" spans="2:26" ht="15.6">
      <c r="B44" s="693"/>
      <c r="C44" s="77"/>
      <c r="D44" s="106" t="s">
        <v>451</v>
      </c>
      <c r="E44" s="107"/>
      <c r="F44" s="107"/>
      <c r="G44" s="107"/>
      <c r="H44" s="107"/>
      <c r="I44" s="107"/>
      <c r="J44" s="78"/>
      <c r="K44" s="79"/>
      <c r="L44" s="106"/>
      <c r="M44" s="106"/>
      <c r="N44" s="106"/>
      <c r="O44" s="106"/>
      <c r="P44" s="106"/>
      <c r="Q44" s="78"/>
      <c r="R44" s="70"/>
      <c r="S44" s="70"/>
      <c r="T44" s="70"/>
      <c r="U44" s="70"/>
      <c r="V44" s="70"/>
      <c r="W44" s="70"/>
      <c r="X44" s="70"/>
      <c r="Y44" s="70"/>
      <c r="Z44" s="70"/>
    </row>
    <row r="45" spans="2:26" ht="15.6">
      <c r="B45" s="693"/>
      <c r="C45" s="77"/>
      <c r="D45" s="726" t="s">
        <v>369</v>
      </c>
      <c r="E45" s="681"/>
      <c r="F45" s="682"/>
      <c r="G45" s="727" t="s">
        <v>452</v>
      </c>
      <c r="H45" s="682"/>
      <c r="I45" s="108" t="s">
        <v>453</v>
      </c>
      <c r="J45" s="78"/>
      <c r="K45" s="79"/>
      <c r="L45" s="726" t="s">
        <v>369</v>
      </c>
      <c r="M45" s="682"/>
      <c r="N45" s="727" t="s">
        <v>452</v>
      </c>
      <c r="O45" s="682"/>
      <c r="P45" s="108" t="s">
        <v>454</v>
      </c>
      <c r="Q45" s="78"/>
      <c r="R45" s="70"/>
      <c r="S45" s="70"/>
      <c r="T45" s="70"/>
      <c r="U45" s="70"/>
      <c r="V45" s="70"/>
      <c r="W45" s="70"/>
      <c r="X45" s="70"/>
      <c r="Y45" s="70"/>
      <c r="Z45" s="70"/>
    </row>
    <row r="46" spans="2:26" ht="38.25" customHeight="1">
      <c r="B46" s="693"/>
      <c r="C46" s="77"/>
      <c r="D46" s="680" t="s">
        <v>455</v>
      </c>
      <c r="E46" s="682"/>
      <c r="F46" s="109">
        <v>1</v>
      </c>
      <c r="G46" s="728" t="s">
        <v>456</v>
      </c>
      <c r="H46" s="682"/>
      <c r="I46" s="729">
        <v>86</v>
      </c>
      <c r="J46" s="78"/>
      <c r="K46" s="79"/>
      <c r="L46" s="110" t="s">
        <v>455</v>
      </c>
      <c r="M46" s="109">
        <v>3</v>
      </c>
      <c r="N46" s="728" t="s">
        <v>457</v>
      </c>
      <c r="O46" s="682"/>
      <c r="P46" s="729">
        <v>80</v>
      </c>
      <c r="Q46" s="78"/>
      <c r="R46" s="70"/>
      <c r="S46" s="70"/>
      <c r="T46" s="70"/>
      <c r="U46" s="70"/>
      <c r="V46" s="70"/>
      <c r="W46" s="70"/>
      <c r="X46" s="70"/>
      <c r="Y46" s="70"/>
      <c r="Z46" s="70"/>
    </row>
    <row r="47" spans="2:26" ht="16.5" customHeight="1">
      <c r="B47" s="693"/>
      <c r="C47" s="77"/>
      <c r="D47" s="680" t="s">
        <v>458</v>
      </c>
      <c r="E47" s="682"/>
      <c r="F47" s="109">
        <v>179</v>
      </c>
      <c r="G47" s="683" t="s">
        <v>441</v>
      </c>
      <c r="H47" s="682"/>
      <c r="I47" s="710"/>
      <c r="J47" s="78"/>
      <c r="K47" s="79"/>
      <c r="L47" s="110" t="s">
        <v>459</v>
      </c>
      <c r="M47" s="109">
        <v>216</v>
      </c>
      <c r="N47" s="683" t="s">
        <v>441</v>
      </c>
      <c r="O47" s="682"/>
      <c r="P47" s="710"/>
      <c r="Q47" s="78"/>
      <c r="R47" s="70"/>
      <c r="S47" s="70"/>
      <c r="T47" s="70"/>
      <c r="U47" s="70"/>
      <c r="V47" s="70"/>
      <c r="W47" s="70"/>
      <c r="X47" s="70"/>
      <c r="Y47" s="70"/>
      <c r="Z47" s="70"/>
    </row>
    <row r="48" spans="2:26" ht="16.5" customHeight="1">
      <c r="B48" s="693"/>
      <c r="C48" s="77"/>
      <c r="D48" s="680" t="s">
        <v>460</v>
      </c>
      <c r="E48" s="682"/>
      <c r="F48" s="109">
        <v>368</v>
      </c>
      <c r="G48" s="683" t="s">
        <v>441</v>
      </c>
      <c r="H48" s="682"/>
      <c r="I48" s="701"/>
      <c r="J48" s="78"/>
      <c r="K48" s="79"/>
      <c r="L48" s="110" t="s">
        <v>461</v>
      </c>
      <c r="M48" s="109">
        <v>309</v>
      </c>
      <c r="N48" s="683" t="s">
        <v>441</v>
      </c>
      <c r="O48" s="682"/>
      <c r="P48" s="701"/>
      <c r="Q48" s="78"/>
      <c r="R48" s="70"/>
      <c r="S48" s="70"/>
      <c r="T48" s="70"/>
      <c r="U48" s="70"/>
      <c r="V48" s="70"/>
      <c r="W48" s="70"/>
      <c r="X48" s="70"/>
      <c r="Y48" s="70"/>
      <c r="Z48" s="70"/>
    </row>
    <row r="49" spans="2:26" ht="5.25" customHeight="1" thickBot="1">
      <c r="B49" s="694"/>
      <c r="C49" s="80"/>
      <c r="D49" s="81"/>
      <c r="E49" s="81"/>
      <c r="F49" s="81"/>
      <c r="G49" s="81"/>
      <c r="H49" s="81"/>
      <c r="I49" s="81"/>
      <c r="J49" s="82"/>
      <c r="K49" s="83"/>
      <c r="L49" s="81"/>
      <c r="M49" s="81"/>
      <c r="N49" s="81"/>
      <c r="O49" s="81"/>
      <c r="P49" s="81"/>
      <c r="Q49" s="82"/>
      <c r="R49" s="70"/>
      <c r="S49" s="70"/>
      <c r="T49" s="70"/>
      <c r="U49" s="70"/>
      <c r="V49" s="70"/>
      <c r="W49" s="70"/>
      <c r="X49" s="70"/>
      <c r="Y49" s="70"/>
      <c r="Z49" s="70"/>
    </row>
    <row r="50" spans="2:26" ht="5.25" customHeight="1">
      <c r="B50" s="692" t="s">
        <v>462</v>
      </c>
      <c r="C50" s="73"/>
      <c r="D50" s="74"/>
      <c r="E50" s="74"/>
      <c r="F50" s="74"/>
      <c r="G50" s="74"/>
      <c r="H50" s="74"/>
      <c r="I50" s="74"/>
      <c r="J50" s="75"/>
      <c r="K50" s="76"/>
      <c r="L50" s="74"/>
      <c r="M50" s="74"/>
      <c r="N50" s="74"/>
      <c r="O50" s="74"/>
      <c r="P50" s="74"/>
      <c r="Q50" s="75"/>
      <c r="R50" s="70"/>
      <c r="S50" s="70"/>
      <c r="T50" s="70"/>
      <c r="U50" s="70"/>
      <c r="V50" s="70"/>
      <c r="W50" s="70"/>
      <c r="X50" s="70"/>
      <c r="Y50" s="70"/>
      <c r="Z50" s="70"/>
    </row>
    <row r="51" spans="2:26" ht="26.4">
      <c r="B51" s="693"/>
      <c r="C51" s="77"/>
      <c r="D51" s="731" t="s">
        <v>369</v>
      </c>
      <c r="E51" s="681"/>
      <c r="F51" s="682"/>
      <c r="G51" s="111" t="s">
        <v>463</v>
      </c>
      <c r="H51" s="111" t="s">
        <v>464</v>
      </c>
      <c r="I51" s="112" t="s">
        <v>465</v>
      </c>
      <c r="J51" s="88"/>
      <c r="K51" s="89"/>
      <c r="L51" s="731" t="s">
        <v>369</v>
      </c>
      <c r="M51" s="682"/>
      <c r="N51" s="111" t="s">
        <v>463</v>
      </c>
      <c r="O51" s="111" t="s">
        <v>464</v>
      </c>
      <c r="P51" s="112" t="s">
        <v>466</v>
      </c>
      <c r="Q51" s="78"/>
      <c r="R51" s="70"/>
      <c r="S51" s="70"/>
      <c r="T51" s="70"/>
      <c r="U51" s="70"/>
      <c r="V51" s="70"/>
      <c r="W51" s="70"/>
      <c r="X51" s="70"/>
      <c r="Y51" s="70"/>
      <c r="Z51" s="70"/>
    </row>
    <row r="52" spans="2:26" ht="15.6">
      <c r="B52" s="693"/>
      <c r="C52" s="77"/>
      <c r="D52" s="730" t="s">
        <v>467</v>
      </c>
      <c r="E52" s="681"/>
      <c r="F52" s="682"/>
      <c r="G52" s="113">
        <v>8</v>
      </c>
      <c r="H52" s="113">
        <v>-2</v>
      </c>
      <c r="I52" s="114" t="s">
        <v>468</v>
      </c>
      <c r="J52" s="88"/>
      <c r="K52" s="89"/>
      <c r="L52" s="730" t="s">
        <v>467</v>
      </c>
      <c r="M52" s="682"/>
      <c r="N52" s="113">
        <v>4</v>
      </c>
      <c r="O52" s="113">
        <v>-1</v>
      </c>
      <c r="P52" s="114" t="s">
        <v>364</v>
      </c>
      <c r="Q52" s="78"/>
      <c r="R52" s="70"/>
      <c r="S52" s="70"/>
      <c r="T52" s="70"/>
      <c r="U52" s="70"/>
      <c r="V52" s="70"/>
      <c r="W52" s="70"/>
      <c r="X52" s="70"/>
      <c r="Y52" s="70"/>
      <c r="Z52" s="70"/>
    </row>
    <row r="53" spans="2:26" ht="27.75" customHeight="1">
      <c r="B53" s="693"/>
      <c r="C53" s="77"/>
      <c r="D53" s="730" t="s">
        <v>469</v>
      </c>
      <c r="E53" s="681"/>
      <c r="F53" s="682"/>
      <c r="G53" s="113">
        <v>6</v>
      </c>
      <c r="H53" s="115"/>
      <c r="I53" s="114" t="s">
        <v>470</v>
      </c>
      <c r="J53" s="88"/>
      <c r="K53" s="89"/>
      <c r="L53" s="730" t="s">
        <v>471</v>
      </c>
      <c r="M53" s="682"/>
      <c r="N53" s="113">
        <v>3</v>
      </c>
      <c r="O53" s="115"/>
      <c r="P53" s="114">
        <v>3</v>
      </c>
      <c r="Q53" s="78"/>
      <c r="R53" s="70"/>
      <c r="S53" s="70"/>
      <c r="T53" s="70"/>
      <c r="U53" s="70"/>
      <c r="V53" s="70"/>
      <c r="W53" s="70"/>
      <c r="X53" s="70"/>
      <c r="Y53" s="70"/>
      <c r="Z53" s="70"/>
    </row>
    <row r="54" spans="2:26" ht="15.6">
      <c r="B54" s="693"/>
      <c r="C54" s="77"/>
      <c r="D54" s="730" t="s">
        <v>472</v>
      </c>
      <c r="E54" s="681"/>
      <c r="F54" s="682"/>
      <c r="G54" s="113">
        <v>5</v>
      </c>
      <c r="H54" s="113" t="s">
        <v>473</v>
      </c>
      <c r="I54" s="114" t="s">
        <v>474</v>
      </c>
      <c r="J54" s="88"/>
      <c r="K54" s="89"/>
      <c r="L54" s="730" t="s">
        <v>475</v>
      </c>
      <c r="M54" s="682"/>
      <c r="N54" s="113">
        <v>4</v>
      </c>
      <c r="O54" s="113" t="s">
        <v>476</v>
      </c>
      <c r="P54" s="114" t="s">
        <v>366</v>
      </c>
      <c r="Q54" s="78"/>
      <c r="R54" s="70"/>
      <c r="S54" s="70"/>
      <c r="T54" s="70"/>
      <c r="U54" s="70"/>
      <c r="V54" s="70"/>
      <c r="W54" s="70"/>
      <c r="X54" s="70"/>
      <c r="Y54" s="70"/>
      <c r="Z54" s="70"/>
    </row>
    <row r="55" spans="2:26" ht="15.6">
      <c r="B55" s="693"/>
      <c r="C55" s="77"/>
      <c r="D55" s="730" t="s">
        <v>477</v>
      </c>
      <c r="E55" s="681"/>
      <c r="F55" s="682"/>
      <c r="G55" s="113">
        <v>5</v>
      </c>
      <c r="H55" s="113" t="s">
        <v>478</v>
      </c>
      <c r="I55" s="114" t="s">
        <v>479</v>
      </c>
      <c r="J55" s="88"/>
      <c r="K55" s="89"/>
      <c r="L55" s="730" t="s">
        <v>480</v>
      </c>
      <c r="M55" s="682"/>
      <c r="N55" s="113">
        <v>3</v>
      </c>
      <c r="O55" s="113" t="s">
        <v>476</v>
      </c>
      <c r="P55" s="114" t="s">
        <v>367</v>
      </c>
      <c r="Q55" s="78"/>
      <c r="R55" s="70"/>
      <c r="S55" s="70"/>
      <c r="T55" s="70"/>
      <c r="U55" s="70"/>
      <c r="V55" s="70"/>
      <c r="W55" s="70"/>
      <c r="X55" s="70"/>
      <c r="Y55" s="70"/>
      <c r="Z55" s="70"/>
    </row>
    <row r="56" spans="2:26" ht="15.6">
      <c r="B56" s="693"/>
      <c r="C56" s="77"/>
      <c r="D56" s="730" t="s">
        <v>481</v>
      </c>
      <c r="E56" s="681"/>
      <c r="F56" s="682"/>
      <c r="G56" s="113">
        <v>5</v>
      </c>
      <c r="H56" s="113" t="s">
        <v>478</v>
      </c>
      <c r="I56" s="114" t="s">
        <v>479</v>
      </c>
      <c r="J56" s="88"/>
      <c r="K56" s="89"/>
      <c r="L56" s="730" t="s">
        <v>392</v>
      </c>
      <c r="M56" s="682"/>
      <c r="N56" s="728" t="s">
        <v>482</v>
      </c>
      <c r="O56" s="681"/>
      <c r="P56" s="681"/>
      <c r="Q56" s="78"/>
      <c r="R56" s="70"/>
      <c r="S56" s="70"/>
      <c r="T56" s="70"/>
      <c r="U56" s="70"/>
      <c r="V56" s="70"/>
      <c r="W56" s="70"/>
      <c r="X56" s="70"/>
      <c r="Y56" s="70"/>
      <c r="Z56" s="70"/>
    </row>
    <row r="57" spans="2:26" ht="15.6">
      <c r="B57" s="693"/>
      <c r="C57" s="77"/>
      <c r="D57" s="730" t="s">
        <v>390</v>
      </c>
      <c r="E57" s="681"/>
      <c r="F57" s="682"/>
      <c r="G57" s="728" t="s">
        <v>482</v>
      </c>
      <c r="H57" s="681"/>
      <c r="I57" s="681"/>
      <c r="J57" s="88"/>
      <c r="K57" s="89"/>
      <c r="L57" s="116"/>
      <c r="M57" s="106"/>
      <c r="N57" s="106"/>
      <c r="O57" s="106"/>
      <c r="P57" s="106"/>
      <c r="Q57" s="78"/>
      <c r="R57" s="70"/>
      <c r="S57" s="70"/>
      <c r="T57" s="70"/>
      <c r="U57" s="70"/>
      <c r="V57" s="70"/>
      <c r="W57" s="70"/>
      <c r="X57" s="70"/>
      <c r="Y57" s="70"/>
      <c r="Z57" s="70"/>
    </row>
    <row r="58" spans="2:26" ht="15.6">
      <c r="B58" s="693"/>
      <c r="C58" s="77"/>
      <c r="D58" s="106"/>
      <c r="E58" s="106"/>
      <c r="F58" s="106"/>
      <c r="G58" s="106"/>
      <c r="H58" s="106"/>
      <c r="I58" s="106"/>
      <c r="J58" s="78"/>
      <c r="K58" s="79"/>
      <c r="L58" s="106"/>
      <c r="M58" s="106"/>
      <c r="N58" s="106"/>
      <c r="O58" s="106"/>
      <c r="P58" s="106"/>
      <c r="Q58" s="78"/>
      <c r="R58" s="70"/>
      <c r="S58" s="70"/>
      <c r="T58" s="70"/>
      <c r="U58" s="70"/>
      <c r="V58" s="70"/>
      <c r="W58" s="70"/>
      <c r="X58" s="70"/>
      <c r="Y58" s="70"/>
      <c r="Z58" s="70"/>
    </row>
    <row r="59" spans="2:26" ht="33.75" customHeight="1">
      <c r="B59" s="693"/>
      <c r="C59" s="77"/>
      <c r="D59" s="733" t="s">
        <v>483</v>
      </c>
      <c r="E59" s="718"/>
      <c r="F59" s="718"/>
      <c r="G59" s="718"/>
      <c r="H59" s="718"/>
      <c r="I59" s="718"/>
      <c r="J59" s="78"/>
      <c r="K59" s="79"/>
      <c r="L59" s="733" t="s">
        <v>484</v>
      </c>
      <c r="M59" s="733"/>
      <c r="N59" s="733"/>
      <c r="O59" s="733"/>
      <c r="P59" s="733"/>
      <c r="Q59" s="78"/>
      <c r="R59" s="70"/>
      <c r="S59" s="70"/>
      <c r="T59" s="70"/>
      <c r="U59" s="70"/>
      <c r="V59" s="70"/>
      <c r="W59" s="70"/>
      <c r="X59" s="70"/>
      <c r="Y59" s="70"/>
      <c r="Z59" s="70"/>
    </row>
    <row r="60" spans="2:26" ht="5.25" customHeight="1" thickBot="1">
      <c r="B60" s="694"/>
      <c r="C60" s="80"/>
      <c r="D60" s="81"/>
      <c r="E60" s="81"/>
      <c r="F60" s="81"/>
      <c r="G60" s="81"/>
      <c r="H60" s="81"/>
      <c r="I60" s="81"/>
      <c r="J60" s="82"/>
      <c r="K60" s="83"/>
      <c r="L60" s="81"/>
      <c r="M60" s="81"/>
      <c r="N60" s="81"/>
      <c r="O60" s="81"/>
      <c r="P60" s="81"/>
      <c r="Q60" s="82"/>
      <c r="R60" s="70"/>
      <c r="S60" s="70"/>
      <c r="T60" s="70"/>
      <c r="U60" s="70"/>
      <c r="V60" s="70"/>
      <c r="W60" s="70"/>
      <c r="X60" s="70"/>
      <c r="Y60" s="70"/>
      <c r="Z60" s="70"/>
    </row>
    <row r="61" spans="2:26" ht="5.25" customHeight="1">
      <c r="B61" s="735" t="s">
        <v>485</v>
      </c>
      <c r="C61" s="77"/>
      <c r="D61" s="106"/>
      <c r="E61" s="106"/>
      <c r="F61" s="106"/>
      <c r="G61" s="106"/>
      <c r="H61" s="106"/>
      <c r="I61" s="106"/>
      <c r="J61" s="106"/>
      <c r="K61" s="76"/>
      <c r="L61" s="74"/>
      <c r="M61" s="74"/>
      <c r="N61" s="74"/>
      <c r="O61" s="74"/>
      <c r="P61" s="74"/>
      <c r="Q61" s="75"/>
      <c r="R61" s="70"/>
      <c r="S61" s="70"/>
      <c r="T61" s="70"/>
      <c r="U61" s="70"/>
      <c r="V61" s="70"/>
      <c r="W61" s="70"/>
      <c r="X61" s="70"/>
      <c r="Y61" s="70"/>
      <c r="Z61" s="70"/>
    </row>
    <row r="62" spans="2:26" ht="15.6">
      <c r="B62" s="736"/>
      <c r="C62" s="77"/>
      <c r="D62" s="106"/>
      <c r="E62" s="106"/>
      <c r="F62" s="106"/>
      <c r="G62" s="106"/>
      <c r="H62" s="106"/>
      <c r="I62" s="106"/>
      <c r="J62" s="106"/>
      <c r="K62" s="79"/>
      <c r="L62" s="106" t="s">
        <v>486</v>
      </c>
      <c r="M62" s="106"/>
      <c r="N62" s="106"/>
      <c r="O62" s="106"/>
      <c r="P62" s="106"/>
      <c r="Q62" s="78"/>
      <c r="R62" s="70"/>
      <c r="S62" s="70"/>
      <c r="T62" s="70"/>
      <c r="U62" s="70"/>
      <c r="V62" s="70"/>
      <c r="W62" s="70"/>
      <c r="X62" s="70"/>
      <c r="Y62" s="70"/>
      <c r="Z62" s="70"/>
    </row>
    <row r="63" spans="2:26" ht="15.6">
      <c r="B63" s="736"/>
      <c r="C63" s="77"/>
      <c r="D63" s="106"/>
      <c r="E63" s="106"/>
      <c r="F63" s="106"/>
      <c r="G63" s="106"/>
      <c r="H63" s="106"/>
      <c r="I63" s="106"/>
      <c r="J63" s="106"/>
      <c r="K63" s="79"/>
      <c r="L63" s="106" t="s">
        <v>487</v>
      </c>
      <c r="M63" s="106"/>
      <c r="N63" s="106"/>
      <c r="O63" s="106"/>
      <c r="P63" s="106"/>
      <c r="Q63" s="78"/>
      <c r="R63" s="70"/>
      <c r="S63" s="70"/>
      <c r="T63" s="70"/>
      <c r="U63" s="70"/>
      <c r="V63" s="70"/>
      <c r="W63" s="70"/>
      <c r="X63" s="70"/>
      <c r="Y63" s="70"/>
      <c r="Z63" s="70"/>
    </row>
    <row r="64" spans="2:26" ht="15.6">
      <c r="B64" s="736"/>
      <c r="C64" s="77"/>
      <c r="D64" s="106"/>
      <c r="E64" s="106"/>
      <c r="F64" s="106"/>
      <c r="G64" s="106"/>
      <c r="H64" s="106"/>
      <c r="I64" s="106"/>
      <c r="J64" s="106"/>
      <c r="K64" s="79"/>
      <c r="L64" s="737" t="s">
        <v>369</v>
      </c>
      <c r="M64" s="738" t="s">
        <v>488</v>
      </c>
      <c r="N64" s="682"/>
      <c r="O64" s="738" t="s">
        <v>489</v>
      </c>
      <c r="P64" s="681"/>
      <c r="Q64" s="78"/>
      <c r="R64" s="70"/>
      <c r="S64" s="70"/>
      <c r="T64" s="70"/>
      <c r="U64" s="70"/>
      <c r="V64" s="70"/>
      <c r="W64" s="70"/>
      <c r="X64" s="70"/>
      <c r="Y64" s="70"/>
      <c r="Z64" s="70"/>
    </row>
    <row r="65" spans="2:26" ht="15.6">
      <c r="B65" s="736"/>
      <c r="C65" s="77"/>
      <c r="D65" s="106"/>
      <c r="E65" s="106"/>
      <c r="F65" s="106"/>
      <c r="G65" s="106"/>
      <c r="H65" s="106"/>
      <c r="I65" s="106"/>
      <c r="J65" s="106"/>
      <c r="K65" s="79"/>
      <c r="L65" s="698"/>
      <c r="M65" s="109" t="s">
        <v>0</v>
      </c>
      <c r="N65" s="109" t="s">
        <v>490</v>
      </c>
      <c r="O65" s="109" t="s">
        <v>0</v>
      </c>
      <c r="P65" s="117" t="s">
        <v>490</v>
      </c>
      <c r="Q65" s="78"/>
      <c r="R65" s="70"/>
      <c r="S65" s="70"/>
      <c r="T65" s="70"/>
      <c r="U65" s="70"/>
      <c r="V65" s="70"/>
      <c r="W65" s="70"/>
      <c r="X65" s="70"/>
      <c r="Y65" s="70"/>
      <c r="Z65" s="70"/>
    </row>
    <row r="66" spans="2:26" ht="15.6">
      <c r="B66" s="736"/>
      <c r="C66" s="77"/>
      <c r="D66" s="106"/>
      <c r="E66" s="106"/>
      <c r="F66" s="106"/>
      <c r="G66" s="106"/>
      <c r="H66" s="106"/>
      <c r="I66" s="106"/>
      <c r="J66" s="106"/>
      <c r="K66" s="79"/>
      <c r="L66" s="118" t="s">
        <v>201</v>
      </c>
      <c r="M66" s="119">
        <v>2</v>
      </c>
      <c r="N66" s="119">
        <v>2</v>
      </c>
      <c r="O66" s="119">
        <v>4</v>
      </c>
      <c r="P66" s="108">
        <v>0</v>
      </c>
      <c r="Q66" s="78"/>
      <c r="R66" s="70"/>
      <c r="S66" s="70"/>
      <c r="T66" s="70"/>
      <c r="U66" s="70"/>
      <c r="V66" s="70"/>
      <c r="W66" s="70"/>
      <c r="X66" s="70"/>
      <c r="Y66" s="70"/>
      <c r="Z66" s="70"/>
    </row>
    <row r="67" spans="2:26" ht="15.6">
      <c r="B67" s="736"/>
      <c r="C67" s="77"/>
      <c r="D67" s="106"/>
      <c r="E67" s="106"/>
      <c r="F67" s="106"/>
      <c r="G67" s="106"/>
      <c r="H67" s="106"/>
      <c r="I67" s="106"/>
      <c r="J67" s="106"/>
      <c r="K67" s="79"/>
      <c r="L67" s="118" t="s">
        <v>215</v>
      </c>
      <c r="M67" s="119">
        <v>2</v>
      </c>
      <c r="N67" s="119">
        <v>2</v>
      </c>
      <c r="O67" s="119">
        <v>0</v>
      </c>
      <c r="P67" s="108">
        <v>4</v>
      </c>
      <c r="Q67" s="78"/>
      <c r="R67" s="70"/>
      <c r="S67" s="70"/>
      <c r="T67" s="70"/>
      <c r="U67" s="70"/>
      <c r="V67" s="70"/>
      <c r="W67" s="70"/>
      <c r="X67" s="70"/>
      <c r="Y67" s="70"/>
      <c r="Z67" s="70"/>
    </row>
    <row r="68" spans="2:26" ht="15.6">
      <c r="B68" s="736"/>
      <c r="C68" s="77"/>
      <c r="D68" s="106"/>
      <c r="E68" s="106"/>
      <c r="F68" s="106"/>
      <c r="G68" s="106"/>
      <c r="H68" s="106"/>
      <c r="I68" s="106"/>
      <c r="J68" s="106"/>
      <c r="K68" s="79"/>
      <c r="L68" s="118" t="s">
        <v>204</v>
      </c>
      <c r="M68" s="119">
        <v>2</v>
      </c>
      <c r="N68" s="119">
        <v>2</v>
      </c>
      <c r="O68" s="119">
        <v>4</v>
      </c>
      <c r="P68" s="108">
        <v>0</v>
      </c>
      <c r="Q68" s="78"/>
      <c r="R68" s="70"/>
      <c r="S68" s="70"/>
      <c r="T68" s="70"/>
      <c r="U68" s="70"/>
      <c r="V68" s="70"/>
      <c r="W68" s="70"/>
      <c r="X68" s="70"/>
      <c r="Y68" s="70"/>
      <c r="Z68" s="70"/>
    </row>
    <row r="69" spans="2:26" ht="15.6">
      <c r="B69" s="736"/>
      <c r="C69" s="77"/>
      <c r="D69" s="106"/>
      <c r="E69" s="106"/>
      <c r="F69" s="106"/>
      <c r="G69" s="106"/>
      <c r="H69" s="106"/>
      <c r="I69" s="106"/>
      <c r="J69" s="106"/>
      <c r="K69" s="79"/>
      <c r="L69" s="106" t="s">
        <v>491</v>
      </c>
      <c r="M69" s="106"/>
      <c r="N69" s="106"/>
      <c r="O69" s="106"/>
      <c r="P69" s="106"/>
      <c r="Q69" s="78"/>
      <c r="R69" s="70"/>
      <c r="S69" s="70"/>
      <c r="T69" s="70"/>
      <c r="U69" s="70"/>
      <c r="V69" s="70"/>
      <c r="W69" s="70"/>
      <c r="X69" s="70"/>
      <c r="Y69" s="70"/>
      <c r="Z69" s="70"/>
    </row>
    <row r="70" spans="2:26" ht="15.6">
      <c r="B70" s="736"/>
      <c r="C70" s="77"/>
      <c r="D70" s="106"/>
      <c r="E70" s="106"/>
      <c r="F70" s="106"/>
      <c r="G70" s="106"/>
      <c r="H70" s="106"/>
      <c r="I70" s="106"/>
      <c r="J70" s="106"/>
      <c r="K70" s="79"/>
      <c r="L70" s="737" t="s">
        <v>369</v>
      </c>
      <c r="M70" s="738" t="s">
        <v>488</v>
      </c>
      <c r="N70" s="682"/>
      <c r="O70" s="738" t="s">
        <v>489</v>
      </c>
      <c r="P70" s="681"/>
      <c r="Q70" s="78"/>
      <c r="R70" s="70"/>
      <c r="S70" s="70"/>
      <c r="T70" s="70"/>
      <c r="U70" s="70"/>
      <c r="V70" s="70"/>
      <c r="W70" s="70"/>
      <c r="X70" s="70"/>
      <c r="Y70" s="70"/>
      <c r="Z70" s="70"/>
    </row>
    <row r="71" spans="2:26" ht="15.6">
      <c r="B71" s="736"/>
      <c r="C71" s="77"/>
      <c r="D71" s="106"/>
      <c r="E71" s="106"/>
      <c r="F71" s="106"/>
      <c r="G71" s="106"/>
      <c r="H71" s="106"/>
      <c r="I71" s="106"/>
      <c r="J71" s="106"/>
      <c r="K71" s="79"/>
      <c r="L71" s="698"/>
      <c r="M71" s="109" t="s">
        <v>0</v>
      </c>
      <c r="N71" s="109" t="s">
        <v>490</v>
      </c>
      <c r="O71" s="109" t="s">
        <v>0</v>
      </c>
      <c r="P71" s="117" t="s">
        <v>490</v>
      </c>
      <c r="Q71" s="78"/>
      <c r="R71" s="70"/>
      <c r="S71" s="70"/>
      <c r="T71" s="70"/>
      <c r="U71" s="70"/>
      <c r="V71" s="70"/>
      <c r="W71" s="70"/>
      <c r="X71" s="70"/>
      <c r="Y71" s="70"/>
      <c r="Z71" s="70"/>
    </row>
    <row r="72" spans="2:26" ht="15.6">
      <c r="B72" s="736"/>
      <c r="C72" s="77"/>
      <c r="D72" s="106"/>
      <c r="E72" s="106"/>
      <c r="F72" s="106"/>
      <c r="G72" s="106"/>
      <c r="H72" s="106"/>
      <c r="I72" s="106"/>
      <c r="J72" s="106"/>
      <c r="K72" s="79"/>
      <c r="L72" s="118" t="s">
        <v>455</v>
      </c>
      <c r="M72" s="119">
        <v>1</v>
      </c>
      <c r="N72" s="119">
        <v>1</v>
      </c>
      <c r="O72" s="119">
        <v>2</v>
      </c>
      <c r="P72" s="108">
        <v>0</v>
      </c>
      <c r="Q72" s="78"/>
      <c r="R72" s="70"/>
      <c r="S72" s="70"/>
      <c r="T72" s="70"/>
      <c r="U72" s="70"/>
      <c r="V72" s="70"/>
      <c r="W72" s="70"/>
      <c r="X72" s="70"/>
      <c r="Y72" s="70"/>
      <c r="Z72" s="70"/>
    </row>
    <row r="73" spans="2:26" ht="15.6">
      <c r="B73" s="736"/>
      <c r="C73" s="77"/>
      <c r="D73" s="106"/>
      <c r="E73" s="106"/>
      <c r="F73" s="106"/>
      <c r="G73" s="106"/>
      <c r="H73" s="106"/>
      <c r="I73" s="106"/>
      <c r="J73" s="106"/>
      <c r="K73" s="79"/>
      <c r="L73" s="118" t="s">
        <v>459</v>
      </c>
      <c r="M73" s="119">
        <v>2</v>
      </c>
      <c r="N73" s="119">
        <v>2</v>
      </c>
      <c r="O73" s="119">
        <v>0</v>
      </c>
      <c r="P73" s="108">
        <v>4</v>
      </c>
      <c r="Q73" s="78"/>
      <c r="R73" s="70"/>
      <c r="S73" s="70"/>
      <c r="T73" s="70"/>
      <c r="U73" s="70"/>
      <c r="V73" s="70"/>
      <c r="W73" s="70"/>
      <c r="X73" s="70"/>
      <c r="Y73" s="70"/>
      <c r="Z73" s="70"/>
    </row>
    <row r="74" spans="2:26" ht="15.6">
      <c r="B74" s="736"/>
      <c r="C74" s="77"/>
      <c r="D74" s="106"/>
      <c r="E74" s="106"/>
      <c r="F74" s="106"/>
      <c r="G74" s="106"/>
      <c r="H74" s="106"/>
      <c r="I74" s="106"/>
      <c r="J74" s="106"/>
      <c r="K74" s="79"/>
      <c r="L74" s="739" t="s">
        <v>492</v>
      </c>
      <c r="M74" s="732" t="s">
        <v>493</v>
      </c>
      <c r="N74" s="732" t="s">
        <v>493</v>
      </c>
      <c r="O74" s="120">
        <v>8</v>
      </c>
      <c r="P74" s="121">
        <v>0</v>
      </c>
      <c r="Q74" s="78"/>
      <c r="R74" s="70"/>
      <c r="S74" s="70"/>
      <c r="T74" s="70"/>
      <c r="U74" s="70"/>
      <c r="V74" s="70"/>
      <c r="W74" s="70"/>
      <c r="X74" s="70"/>
      <c r="Y74" s="70"/>
      <c r="Z74" s="70"/>
    </row>
    <row r="75" spans="2:26" ht="15.6">
      <c r="B75" s="736"/>
      <c r="C75" s="77"/>
      <c r="D75" s="106"/>
      <c r="E75" s="106"/>
      <c r="F75" s="106"/>
      <c r="G75" s="106"/>
      <c r="H75" s="106"/>
      <c r="I75" s="106"/>
      <c r="J75" s="106"/>
      <c r="K75" s="79"/>
      <c r="L75" s="740"/>
      <c r="M75" s="708"/>
      <c r="N75" s="708"/>
      <c r="O75" s="120">
        <v>4</v>
      </c>
      <c r="P75" s="121">
        <v>4</v>
      </c>
      <c r="Q75" s="78"/>
      <c r="R75" s="70"/>
      <c r="S75" s="70"/>
      <c r="T75" s="70"/>
      <c r="U75" s="70"/>
      <c r="V75" s="70"/>
      <c r="W75" s="70"/>
      <c r="X75" s="70"/>
      <c r="Y75" s="70"/>
      <c r="Z75" s="70"/>
    </row>
    <row r="76" spans="2:26" ht="33.75" customHeight="1">
      <c r="B76" s="736"/>
      <c r="C76" s="77"/>
      <c r="D76" s="106"/>
      <c r="E76" s="106"/>
      <c r="F76" s="106"/>
      <c r="G76" s="106"/>
      <c r="H76" s="106"/>
      <c r="I76" s="106"/>
      <c r="J76" s="106"/>
      <c r="K76" s="79"/>
      <c r="L76" s="733" t="s">
        <v>494</v>
      </c>
      <c r="M76" s="718"/>
      <c r="N76" s="718"/>
      <c r="O76" s="718"/>
      <c r="P76" s="718"/>
      <c r="Q76" s="78"/>
      <c r="R76" s="70"/>
      <c r="S76" s="70"/>
      <c r="T76" s="70"/>
      <c r="U76" s="70"/>
      <c r="V76" s="70"/>
      <c r="W76" s="70"/>
      <c r="X76" s="70"/>
      <c r="Y76" s="70"/>
      <c r="Z76" s="70"/>
    </row>
    <row r="77" spans="2:26" ht="5.25" customHeight="1">
      <c r="B77" s="736"/>
      <c r="C77" s="122"/>
      <c r="D77" s="123"/>
      <c r="E77" s="123"/>
      <c r="F77" s="123"/>
      <c r="G77" s="123"/>
      <c r="H77" s="123"/>
      <c r="I77" s="123"/>
      <c r="J77" s="123"/>
      <c r="K77" s="124"/>
      <c r="L77" s="123"/>
      <c r="M77" s="123"/>
      <c r="N77" s="123"/>
      <c r="O77" s="123"/>
      <c r="P77" s="123"/>
      <c r="Q77" s="125"/>
      <c r="R77" s="70"/>
      <c r="S77" s="70"/>
      <c r="T77" s="70"/>
      <c r="U77" s="70"/>
      <c r="V77" s="70"/>
      <c r="W77" s="70"/>
      <c r="X77" s="70"/>
      <c r="Y77" s="70"/>
      <c r="Z77" s="70"/>
    </row>
    <row r="78" spans="2:26" ht="5.25" customHeight="1">
      <c r="B78" s="734" t="s">
        <v>495</v>
      </c>
      <c r="C78" s="126"/>
      <c r="D78" s="127"/>
      <c r="E78" s="127"/>
      <c r="F78" s="127"/>
      <c r="G78" s="127"/>
      <c r="H78" s="127"/>
      <c r="I78" s="127"/>
      <c r="J78" s="127"/>
      <c r="K78" s="128"/>
      <c r="L78" s="127"/>
      <c r="M78" s="127"/>
      <c r="N78" s="127"/>
      <c r="O78" s="127"/>
      <c r="P78" s="127"/>
      <c r="Q78" s="129"/>
      <c r="R78" s="70"/>
      <c r="S78" s="70"/>
      <c r="T78" s="70"/>
      <c r="U78" s="70"/>
      <c r="V78" s="70"/>
      <c r="W78" s="70"/>
      <c r="X78" s="70"/>
      <c r="Y78" s="70"/>
      <c r="Z78" s="70"/>
    </row>
    <row r="79" spans="2:26" ht="15.6">
      <c r="B79" s="693"/>
      <c r="C79" s="77"/>
      <c r="D79" s="106" t="s">
        <v>496</v>
      </c>
      <c r="E79" s="106"/>
      <c r="F79" s="106"/>
      <c r="G79" s="106"/>
      <c r="H79" s="106"/>
      <c r="I79" s="106"/>
      <c r="J79" s="106"/>
      <c r="K79" s="79"/>
      <c r="L79" s="106" t="s">
        <v>497</v>
      </c>
      <c r="M79" s="106"/>
      <c r="N79" s="106"/>
      <c r="O79" s="106"/>
      <c r="P79" s="106"/>
      <c r="Q79" s="78"/>
      <c r="R79" s="70"/>
      <c r="S79" s="70"/>
      <c r="T79" s="70"/>
      <c r="U79" s="70"/>
      <c r="V79" s="70"/>
      <c r="W79" s="70"/>
      <c r="X79" s="70"/>
      <c r="Y79" s="70"/>
      <c r="Z79" s="70"/>
    </row>
    <row r="80" spans="2:26" ht="15.6">
      <c r="B80" s="693"/>
      <c r="C80" s="77"/>
      <c r="D80" s="106"/>
      <c r="E80" s="106"/>
      <c r="F80" s="106"/>
      <c r="G80" s="106"/>
      <c r="H80" s="106"/>
      <c r="I80" s="106"/>
      <c r="J80" s="106"/>
      <c r="K80" s="79"/>
      <c r="L80" s="106" t="s">
        <v>498</v>
      </c>
      <c r="M80" s="106"/>
      <c r="N80" s="106"/>
      <c r="O80" s="106"/>
      <c r="P80" s="106"/>
      <c r="Q80" s="78"/>
      <c r="R80" s="70"/>
      <c r="S80" s="70"/>
      <c r="T80" s="70"/>
      <c r="U80" s="70"/>
      <c r="V80" s="70"/>
      <c r="W80" s="70"/>
      <c r="X80" s="70"/>
      <c r="Y80" s="70"/>
      <c r="Z80" s="70"/>
    </row>
    <row r="81" spans="2:26" ht="5.25" customHeight="1" thickBot="1">
      <c r="B81" s="694"/>
      <c r="C81" s="80"/>
      <c r="D81" s="81"/>
      <c r="E81" s="81"/>
      <c r="F81" s="81"/>
      <c r="G81" s="81"/>
      <c r="H81" s="81"/>
      <c r="I81" s="81"/>
      <c r="J81" s="81"/>
      <c r="K81" s="83"/>
      <c r="L81" s="81"/>
      <c r="M81" s="81"/>
      <c r="N81" s="81"/>
      <c r="O81" s="81"/>
      <c r="P81" s="81"/>
      <c r="Q81" s="82"/>
      <c r="R81" s="70"/>
      <c r="S81" s="70"/>
      <c r="T81" s="70"/>
      <c r="U81" s="70"/>
      <c r="V81" s="70"/>
      <c r="W81" s="70"/>
      <c r="X81" s="70"/>
      <c r="Y81" s="70"/>
      <c r="Z81" s="70"/>
    </row>
    <row r="82" spans="2:26" ht="4.5" customHeight="1"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spans="2:26" ht="15.6" hidden="1"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spans="2:26" ht="15.6" hidden="1"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spans="2:26" ht="15.6" hidden="1"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spans="2:26" ht="15.6" hidden="1"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spans="2:26" ht="15.6" hidden="1"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spans="2:26" ht="15.6" hidden="1"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spans="2:26" ht="15.6" hidden="1"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spans="2:26" ht="15.6" hidden="1"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spans="2:26" ht="15.6" hidden="1"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spans="2:26" ht="15.6" hidden="1"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spans="2:26" ht="15.6" hidden="1"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spans="2:26" ht="15.6" hidden="1"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spans="2:26" ht="15.6" hidden="1"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spans="2:26" ht="15.6" hidden="1"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spans="2:26" ht="15.6" hidden="1"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spans="2:26" ht="15.6" hidden="1"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spans="2:26" ht="15.6" hidden="1"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spans="2:26" ht="15.6" hidden="1"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spans="2:26" ht="15.6" hidden="1"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spans="2:26" ht="15.6" hidden="1"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spans="2:26" ht="15.6" hidden="1"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spans="2:26" ht="15.6" hidden="1"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spans="2:26" ht="15.6" hidden="1"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spans="2:26" ht="15.6" hidden="1"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spans="2:26" ht="15.6" hidden="1"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spans="2:26" ht="15.6" hidden="1"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spans="2:26" ht="15.6" hidden="1"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spans="2:26" ht="15.6" hidden="1"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spans="2:26" ht="15.6" hidden="1"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spans="2:26" ht="15.6" hidden="1"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spans="2:26" ht="15.6" hidden="1"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spans="2:26" ht="15.6" hidden="1"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spans="2:26" ht="15.6" hidden="1"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spans="2:26" ht="15.6" hidden="1"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spans="2:26" ht="15.6" hidden="1"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spans="2:26" ht="15.6" hidden="1"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spans="2:26" ht="15.6" hidden="1"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spans="2:26" ht="15.6" hidden="1"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spans="2:26" ht="15.6" hidden="1"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spans="2:26" ht="15.6" hidden="1"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spans="2:26" ht="15.6" hidden="1"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spans="2:26" ht="15.6" hidden="1"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spans="2:26" ht="15.6" hidden="1"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spans="2:26" ht="15.6" hidden="1"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spans="2:26" ht="15.6" hidden="1"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spans="2:26" ht="15.6" hidden="1"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spans="2:26" ht="15.6" hidden="1"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spans="2:26" ht="15.6" hidden="1"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spans="2:26" ht="15.6" hidden="1"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spans="2:26" ht="15.6" hidden="1"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spans="2:26" ht="15.6" hidden="1"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spans="2:26" ht="15.6" hidden="1"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spans="2:26" ht="15.6" hidden="1"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spans="2:26" ht="15.6" hidden="1"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spans="2:26" ht="15.6" hidden="1"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spans="2:26" ht="15.6" hidden="1"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spans="2:26" ht="15.6" hidden="1"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spans="2:26" ht="15.6" hidden="1"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spans="2:26" ht="15.6" hidden="1"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spans="2:26" ht="15.6" hidden="1"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spans="2:26" ht="15.6" hidden="1"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spans="2:26" ht="15.6" hidden="1"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spans="2:26" ht="15.6" hidden="1"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spans="2:26" ht="15.6" hidden="1"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spans="2:26" ht="15.6" hidden="1"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spans="2:26" ht="15.6" hidden="1"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spans="2:26" ht="15.6" hidden="1"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spans="2:26" ht="15.6" hidden="1"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spans="2:26" ht="15.6" hidden="1"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spans="2:26" ht="15.6" hidden="1"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spans="2:26" ht="15.6" hidden="1"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spans="2:26" ht="15.6" hidden="1"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spans="2:26" ht="15.6" hidden="1"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spans="2:26" ht="15.6" hidden="1"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spans="2:26" ht="15.6" hidden="1"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spans="2:26" ht="15.6" hidden="1"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spans="2:26" ht="15.6" hidden="1"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spans="2:26" ht="15.6" hidden="1"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spans="2:26" ht="15.6" hidden="1"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spans="2:26" ht="15.6" hidden="1"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spans="2:26" ht="15.6" hidden="1"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spans="2:26" ht="15.6" hidden="1"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spans="2:26" ht="15.6" hidden="1"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spans="2:26" ht="15.6" hidden="1"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spans="2:26" ht="15.6" hidden="1"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spans="2:26" ht="15.6" hidden="1"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spans="2:26" ht="15.6" hidden="1"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spans="2:26" ht="15.6" hidden="1"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spans="2:26" ht="15.6" hidden="1"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spans="2:26" ht="15.6" hidden="1"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spans="2:26" ht="15.6" hidden="1"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spans="2:26" ht="15.6" hidden="1"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spans="2:26" ht="15.6" hidden="1"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spans="2:26" ht="15.6" hidden="1"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spans="2:26" ht="15.6" hidden="1"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spans="2:26" ht="15.6" hidden="1"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spans="2:26" ht="15.6" hidden="1"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spans="2:26" ht="15.6" hidden="1"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spans="2:26" ht="15.6" hidden="1"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spans="2:26" ht="15.6" hidden="1"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spans="2:26" ht="15.6" hidden="1"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spans="2:26" ht="15.6" hidden="1"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spans="2:26" ht="15.6" hidden="1"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spans="2:26" ht="15.6" hidden="1"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spans="2:26" ht="15.6" hidden="1"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spans="2:26" ht="15.6" hidden="1"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spans="2:26" ht="15.6" hidden="1"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spans="2:26" ht="15.6" hidden="1"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spans="2:26" ht="15.6" hidden="1"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spans="2:26" ht="15.6" hidden="1"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spans="2:26" ht="15.6" hidden="1"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spans="2:26" ht="15.6" hidden="1"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spans="2:26" ht="15.6" hidden="1"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spans="2:26" ht="15.6" hidden="1"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spans="2:26" ht="15.6" hidden="1"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spans="2:26" ht="15.6" hidden="1"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spans="2:26" ht="15.6" hidden="1"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spans="2:26" ht="15.6" hidden="1"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spans="2:26" ht="15.6" hidden="1"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spans="2:26" ht="15.6" hidden="1"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spans="2:26" ht="15.6" hidden="1"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spans="2:26" ht="15.6" hidden="1"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spans="2:26" ht="15.6" hidden="1"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spans="2:26" ht="15.6" hidden="1"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spans="2:26" ht="15.6" hidden="1"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spans="2:26" ht="15.6" hidden="1"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spans="2:26" ht="15.6" hidden="1"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spans="2:26" ht="15.6" hidden="1"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spans="2:26" ht="15.6" hidden="1"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spans="2:26" ht="15.6" hidden="1"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spans="2:26" ht="15.6" hidden="1"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spans="2:26" ht="15.6" hidden="1"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spans="2:26" ht="15.6" hidden="1"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spans="2:26" ht="15.6" hidden="1"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spans="2:26" ht="15.6" hidden="1"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spans="2:26" ht="15.6" hidden="1"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spans="2:26" ht="15.6" hidden="1"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spans="2:26" ht="15.6" hidden="1"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spans="2:26" ht="15.6" hidden="1"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spans="2:26" ht="15.6" hidden="1"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spans="2:26" ht="15.6" hidden="1"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spans="2:26" ht="15.6" hidden="1"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spans="2:26" ht="15.6" hidden="1"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spans="2:26" ht="15.6" hidden="1"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spans="2:26" ht="15.6" hidden="1"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spans="2:26" ht="15.6" hidden="1"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spans="2:26" ht="15.6" hidden="1"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spans="2:26" ht="15.6" hidden="1"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spans="2:26" ht="15.6" hidden="1"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spans="2:26" ht="15.6" hidden="1"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spans="2:26" ht="15.6" hidden="1"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spans="2:26" ht="15.6" hidden="1"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spans="2:26" ht="15.6" hidden="1"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spans="2:26" ht="15.6" hidden="1"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spans="2:26" ht="15.6" hidden="1"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spans="2:26" ht="15.6" hidden="1"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spans="2:26" ht="15.6" hidden="1"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spans="2:26" ht="15.6" hidden="1"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spans="2:26" ht="15.6" hidden="1"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spans="2:26" ht="15.6" hidden="1"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spans="2:26" ht="15.6" hidden="1"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 spans="2:26" ht="15.6" hidden="1"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 spans="2:26" ht="15.6" hidden="1"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 spans="2:26" ht="15.6" hidden="1"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 spans="2:26" ht="15.6" hidden="1"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 spans="2:26" ht="15.6" hidden="1"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 spans="2:26" ht="15.6" hidden="1"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 spans="2:26" ht="15.6" hidden="1"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 spans="2:26" ht="15.6" hidden="1"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 spans="2:26" ht="15.6" hidden="1"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 spans="2:26" ht="15.6" hidden="1"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 spans="2:26" ht="15.6" hidden="1"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 spans="2:26" ht="15.6" hidden="1"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 spans="2:26" ht="15.6" hidden="1"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 spans="2:26" ht="15.6" hidden="1"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 spans="2:26" ht="15.6" hidden="1"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 spans="2:26" ht="15.6" hidden="1"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 spans="2:26" ht="15.6" hidden="1"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 spans="2:26" ht="15.6" hidden="1"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 spans="2:26" ht="15.6" hidden="1"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 spans="2:26" ht="15.6" hidden="1"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 spans="2:26" ht="15.6" hidden="1"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 spans="2:26" ht="15.6" hidden="1"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 spans="2:26" ht="15.6" hidden="1"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 spans="2:26" ht="15.6" hidden="1"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 spans="2:26" ht="15.6" hidden="1"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 spans="2:26" ht="15.6" hidden="1"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 spans="2:26" ht="15.6" hidden="1"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 spans="2:26" ht="15.6" hidden="1"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 spans="2:26" ht="15.6" hidden="1"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 spans="2:26" ht="15.6" hidden="1"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 spans="2:26" ht="15.6" hidden="1"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 spans="2:26" ht="15.6" hidden="1"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 spans="2:26" ht="15.6" hidden="1"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 spans="2:26" ht="15.6" hidden="1"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 spans="2:26" ht="15.6" hidden="1"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 spans="2:26" ht="15.6" hidden="1"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 spans="2:26" ht="15.6" hidden="1"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 spans="2:26" ht="15.6" hidden="1"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 spans="2:26" ht="15.6" hidden="1"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 spans="2:26" ht="15.6" hidden="1"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 spans="2:26" ht="15.6" hidden="1"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 spans="2:26" ht="15.6" hidden="1"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 spans="2:26" ht="15.6" hidden="1"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 spans="2:26" ht="15.6" hidden="1"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 spans="2:26" ht="15.6" hidden="1"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 spans="2:26" ht="15.6" hidden="1"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 spans="2:26" ht="15.6" hidden="1"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 spans="2:26" ht="15.6" hidden="1"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 spans="2:26" ht="15.6" hidden="1"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 spans="2:26" ht="15.6" hidden="1"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 spans="2:26" ht="15.6" hidden="1"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 spans="2:26" ht="15.6" hidden="1"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 spans="2:26" ht="15.6" hidden="1"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 spans="2:26" ht="15.6" hidden="1"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 spans="2:26" ht="15.6" hidden="1"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 spans="2:26" ht="15.6" hidden="1"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 spans="2:26" ht="15.6" hidden="1"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 spans="2:26" ht="15.6" hidden="1"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 spans="2:26" ht="15.6" hidden="1"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 spans="2:26" ht="15.6" hidden="1"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 spans="2:26" ht="15.6" hidden="1"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 spans="2:26" ht="15.6" hidden="1"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 spans="2:26" ht="15.6" hidden="1"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 spans="2:26" ht="15.6" hidden="1"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 spans="2:26" ht="15.6" hidden="1"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 spans="2:26" ht="15.6" hidden="1"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 spans="2:26" ht="15.6" hidden="1"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 spans="2:26" ht="15.6" hidden="1"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 spans="2:26" ht="15.6" hidden="1"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 spans="2:26" ht="15.6" hidden="1"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 spans="2:26" ht="15.6" hidden="1"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 spans="2:26" ht="15.6" hidden="1"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 spans="2:26" ht="15.6" hidden="1"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 spans="2:26" ht="15.6" hidden="1"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 spans="2:26" ht="15.6" hidden="1"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 spans="2:26" ht="15.6" hidden="1"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 spans="2:26" ht="15.6" hidden="1"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 spans="2:26" ht="15.6" hidden="1"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 spans="2:26" ht="15.6" hidden="1"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 spans="2:26" ht="15.6" hidden="1"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 spans="2:26" ht="15.6" hidden="1"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 spans="2:26" ht="15.6" hidden="1"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 spans="2:26" ht="15.6" hidden="1"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 spans="2:26" ht="15.6" hidden="1"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 spans="2:26" ht="15.6" hidden="1"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 spans="2:26" ht="15.6" hidden="1"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 spans="2:26" ht="15.6" hidden="1"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 spans="2:26" ht="15.6" hidden="1"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 spans="2:26" ht="15.6" hidden="1"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 spans="2:26" ht="15.6" hidden="1"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 spans="2:26" ht="15.6" hidden="1"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 spans="2:26" ht="15.6" hidden="1"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 spans="2:26" ht="15.6" hidden="1"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 spans="2:26" ht="15.6" hidden="1"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 spans="2:26" ht="15.6" hidden="1"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 spans="2:26" ht="15.6" hidden="1"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 spans="2:26" ht="15.6" hidden="1"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 spans="2:26" ht="15.6" hidden="1"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 spans="2:26" ht="15.6" hidden="1"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 spans="2:26" ht="15.6" hidden="1"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 spans="2:26" ht="15.6" hidden="1"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 spans="2:26" ht="15.6" hidden="1"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 spans="2:26" ht="15.6" hidden="1"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 spans="2:26" ht="15.6" hidden="1"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 spans="2:26" ht="15.6" hidden="1"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 spans="2:26" ht="15.6" hidden="1"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 spans="2:26" ht="15.6" hidden="1"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 spans="2:26" ht="15.6" hidden="1"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 spans="2:26" ht="15.6" hidden="1"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 spans="2:26" ht="15.6" hidden="1"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 spans="2:26" ht="15.6" hidden="1"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 spans="2:26" ht="15.6" hidden="1"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 spans="2:26" ht="15.6" hidden="1"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 spans="2:26" ht="15.6" hidden="1"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 spans="2:26" ht="15.6" hidden="1"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 spans="2:26" ht="15.6" hidden="1"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 spans="2:26" ht="15.6" hidden="1"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 spans="2:26" ht="15.6" hidden="1"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 spans="2:26" ht="15.6" hidden="1"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 spans="2:26" ht="15.6" hidden="1"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 spans="2:26" ht="15.6" hidden="1"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 spans="2:26" ht="15.6" hidden="1"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 spans="2:26" ht="15.6" hidden="1"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 spans="2:26" ht="15.6" hidden="1"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 spans="2:26" ht="15.6" hidden="1"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 spans="2:26" ht="15.6" hidden="1"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 spans="2:26" ht="15.6" hidden="1"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 spans="2:26" ht="15.6" hidden="1"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 spans="2:26" ht="15.6" hidden="1"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 spans="2:26" ht="15.6" hidden="1"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 spans="2:26" ht="15.6" hidden="1"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 spans="2:26" ht="15.6" hidden="1"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 spans="2:26" ht="15.6" hidden="1"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 spans="2:26" ht="15.6" hidden="1"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 spans="2:26" ht="15.6" hidden="1"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 spans="2:26" ht="15.6" hidden="1"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 spans="2:26" ht="15.6" hidden="1"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 spans="2:26" ht="15.6" hidden="1"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 spans="2:26" ht="15.6" hidden="1"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 spans="2:26" ht="15.6" hidden="1"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 spans="2:26" ht="15.6" hidden="1"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 spans="2:26" ht="15.6" hidden="1"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 spans="2:26" ht="15.6" hidden="1"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 spans="2:26" ht="15.6" hidden="1"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 spans="2:26" ht="15.6" hidden="1"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 spans="2:26" ht="15.6" hidden="1"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 spans="2:26" ht="15.6" hidden="1"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 spans="2:26" ht="15.6" hidden="1"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 spans="2:26" ht="15.6" hidden="1"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 spans="2:26" ht="15.6" hidden="1"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 spans="2:26" ht="15.6" hidden="1"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 spans="2:26" ht="15.6" hidden="1"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 spans="2:26" ht="15.6" hidden="1"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 spans="2:26" ht="15.6" hidden="1"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 spans="2:26" ht="15.6" hidden="1"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 spans="2:26" ht="15.6" hidden="1"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 spans="2:26" ht="15.6" hidden="1"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 spans="2:26" ht="15.6" hidden="1"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 spans="2:26" ht="15.6" hidden="1"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 spans="2:26" ht="15.6" hidden="1"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 spans="2:26" ht="15.6" hidden="1"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 spans="2:26" ht="15.6" hidden="1"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 spans="2:26" ht="15.6" hidden="1"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 spans="2:26" ht="15.6" hidden="1"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 spans="2:26" ht="15.6" hidden="1"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 spans="2:26" ht="15.6" hidden="1"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 spans="2:26" ht="15.6" hidden="1"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 spans="2:26" ht="15.6" hidden="1"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 spans="2:26" ht="15.6" hidden="1"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 spans="2:26" ht="15.6" hidden="1"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 spans="2:26" ht="15.6" hidden="1"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 spans="2:26" ht="15.6" hidden="1"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 spans="2:26" ht="15.6" hidden="1"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 spans="2:26" ht="15.6" hidden="1"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 spans="2:26" ht="15.6" hidden="1"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 spans="2:26" ht="15.6" hidden="1"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 spans="2:26" ht="15.6" hidden="1"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 spans="2:26" ht="15.6" hidden="1"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 spans="2:26" ht="15.6" hidden="1"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 spans="2:26" ht="15.6" hidden="1"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 spans="2:26" ht="15.6" hidden="1"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 spans="2:26" ht="15.6" hidden="1"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 spans="2:26" ht="15.6" hidden="1"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 spans="2:26" ht="15.6" hidden="1"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 spans="2:26" ht="15.6" hidden="1"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 spans="2:26" ht="15.6" hidden="1"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 spans="2:26" ht="15.6" hidden="1"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 spans="2:26" ht="15.6" hidden="1"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 spans="2:26" ht="15.6" hidden="1"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 spans="2:26" ht="15.6" hidden="1"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 spans="2:26" ht="15.6" hidden="1"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 spans="2:26" ht="15.6" hidden="1"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 spans="2:26" ht="15.6" hidden="1"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 spans="2:26" ht="15.6" hidden="1"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 spans="2:26" ht="15.6" hidden="1"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 spans="2:26" ht="15.6" hidden="1"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 spans="2:26" ht="15.6" hidden="1"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 spans="2:26" ht="15.6" hidden="1"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 spans="2:26" ht="15.6" hidden="1"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 spans="2:26" ht="15.6" hidden="1"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 spans="2:26" ht="15.6" hidden="1"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 spans="2:26" ht="15.6" hidden="1"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 spans="2:26" ht="15.6" hidden="1"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 spans="2:26" ht="15.6" hidden="1"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 spans="2:26" ht="15.6" hidden="1"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 spans="2:26" ht="15.6" hidden="1"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 spans="2:26" ht="15.6" hidden="1"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 spans="2:26" ht="15.6" hidden="1"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 spans="2:26" ht="15.6" hidden="1"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 spans="2:26" ht="15.6" hidden="1"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 spans="2:26" ht="15.6" hidden="1"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 spans="2:26" ht="15.6" hidden="1"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 spans="2:26" ht="15.6" hidden="1"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 spans="2:26" ht="15.6" hidden="1"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 spans="2:26" ht="15.6" hidden="1"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 spans="2:26" ht="15.6" hidden="1"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 spans="2:26" ht="15.6" hidden="1"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 spans="2:26" ht="15.6" hidden="1"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 spans="2:26" ht="15.6" hidden="1"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 spans="2:26" ht="15.6" hidden="1"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 spans="2:26" ht="15.6" hidden="1"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 spans="2:26" ht="15.6" hidden="1"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 spans="2:26" ht="15.6" hidden="1"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 spans="2:26" ht="15.6" hidden="1"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 spans="2:26" ht="15.6" hidden="1"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 spans="2:26" ht="15.6" hidden="1"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 spans="2:26" ht="15.6" hidden="1"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 spans="2:26" ht="15.6" hidden="1"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 spans="2:26" ht="15.6" hidden="1"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 spans="2:26" ht="15.6" hidden="1"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 spans="2:26" ht="15.6" hidden="1"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 spans="2:26" ht="15.6" hidden="1"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 spans="2:26" ht="15.6" hidden="1"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 spans="2:26" ht="15.6" hidden="1"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 spans="2:26" ht="15.6" hidden="1"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 spans="2:26" ht="15.6" hidden="1"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 spans="2:26" ht="15.6" hidden="1"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 spans="2:26" ht="15.6" hidden="1"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 spans="2:26" ht="15.6" hidden="1"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 spans="2:26" ht="15.6" hidden="1"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 spans="2:26" ht="15.6" hidden="1"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 spans="2:26" ht="15.6" hidden="1"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 spans="2:26" ht="15.6" hidden="1"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 spans="2:26" ht="15.6" hidden="1"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 spans="2:26" ht="15.6" hidden="1"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 spans="2:26" ht="15.6" hidden="1"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 spans="2:26" ht="15.6" hidden="1"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 spans="2:26" ht="15.6" hidden="1"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 spans="2:26" ht="15.6" hidden="1"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 spans="2:26" ht="15.6" hidden="1"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 spans="2:26" ht="15.6" hidden="1"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 spans="2:26" ht="15.6" hidden="1"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 spans="2:26" ht="15.6" hidden="1"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 spans="2:26" ht="15.6" hidden="1"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 spans="2:26" ht="15.6" hidden="1"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 spans="2:26" ht="15.6" hidden="1"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 spans="2:26" ht="15.6" hidden="1"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 spans="2:26" ht="15.6" hidden="1"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 spans="2:26" ht="15.6" hidden="1"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 spans="2:26" ht="15.6" hidden="1"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 spans="2:26" ht="15.6" hidden="1"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 spans="2:26" ht="15.6" hidden="1"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 spans="2:26" ht="15.6" hidden="1"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 spans="2:26" ht="15.6" hidden="1"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 spans="2:26" ht="15.6" hidden="1"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 spans="2:26" ht="15.6" hidden="1"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 spans="2:26" ht="15.6" hidden="1"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 spans="2:26" ht="15.6" hidden="1"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 spans="2:26" ht="15.6" hidden="1"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 spans="2:26" ht="15.6" hidden="1"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 spans="2:26" ht="15.6" hidden="1"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 spans="2:26" ht="15.6" hidden="1"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 spans="2:26" ht="15.6" hidden="1"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 spans="2:26" ht="15.6" hidden="1"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 spans="2:26" ht="15.6" hidden="1"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 spans="2:26" ht="15.6" hidden="1"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 spans="2:26" ht="15.6" hidden="1"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 spans="2:26" ht="15.6" hidden="1"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 spans="2:26" ht="15.6" hidden="1"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 spans="2:26" ht="15.6" hidden="1"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 spans="2:26" ht="15.6" hidden="1"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 spans="2:26" ht="15.6" hidden="1"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 spans="2:26" ht="15.6" hidden="1"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 spans="2:26" ht="15.6" hidden="1"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 spans="2:26" ht="15.6" hidden="1"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 spans="2:26" ht="15.6" hidden="1"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 spans="2:26" ht="15.6" hidden="1"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 spans="2:26" ht="15.6" hidden="1"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 spans="2:26" ht="15.6" hidden="1"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 spans="2:26" ht="15.6" hidden="1"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 spans="2:26" ht="15.6" hidden="1"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 spans="2:26" ht="15.6" hidden="1"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 spans="2:26" ht="15.6" hidden="1"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 spans="2:26" ht="15.6" hidden="1"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 spans="2:26" ht="15.6" hidden="1"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 spans="2:26" ht="15.6" hidden="1"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 spans="2:26" ht="15.6" hidden="1"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 spans="2:26" ht="15.6" hidden="1"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 spans="2:26" ht="15.6" hidden="1"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 spans="2:26" ht="15.6" hidden="1"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 spans="2:26" ht="15.6" hidden="1"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 spans="2:26" ht="15.6" hidden="1"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 spans="2:26" ht="15.6" hidden="1"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 spans="2:26" ht="15.6" hidden="1"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 spans="2:26" ht="15.6" hidden="1"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 spans="2:26" ht="15.6" hidden="1"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 spans="2:26" ht="15.6" hidden="1"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 spans="2:26" ht="15.6" hidden="1"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 spans="2:26" ht="15.6" hidden="1"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 spans="2:26" ht="15.6" hidden="1"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 spans="2:26" ht="15.6" hidden="1"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 spans="2:26" ht="15.6" hidden="1"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 spans="2:26" ht="15.6" hidden="1"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 spans="2:26" ht="15.6" hidden="1"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 spans="2:26" ht="15.6" hidden="1"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 spans="2:26" ht="15.6" hidden="1"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 spans="2:26" ht="15.6" hidden="1"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 spans="2:26" ht="15.6" hidden="1"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 spans="2:26" ht="15.6" hidden="1"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 spans="2:26" ht="15.6" hidden="1"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 spans="2:26" ht="15.6" hidden="1"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 spans="2:26" ht="15.6" hidden="1"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 spans="2:26" ht="15.6" hidden="1"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 spans="2:26" ht="15.6" hidden="1"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 spans="2:26" ht="15.6" hidden="1"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 spans="2:26" ht="15.6" hidden="1"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 spans="2:26" ht="15.6" hidden="1"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 spans="2:26" ht="15.6" hidden="1"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 spans="2:26" ht="15.6" hidden="1"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 spans="2:26" ht="15.6" hidden="1"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 spans="2:26" ht="15.6" hidden="1"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 spans="2:26" ht="15.6" hidden="1"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 spans="2:26" ht="15.6" hidden="1"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 spans="2:26" ht="15.6" hidden="1"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 spans="2:26" ht="15.6" hidden="1"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 spans="2:26" ht="15.6" hidden="1"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 spans="2:26" ht="15.6" hidden="1"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 spans="2:26" ht="15.6" hidden="1"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 spans="2:26" ht="15.6" hidden="1"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 spans="2:26" ht="15.6" hidden="1"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 spans="2:26" ht="15.6" hidden="1"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 spans="2:26" ht="15.6" hidden="1"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 spans="2:26" ht="15.6" hidden="1"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 spans="2:26" ht="15.6" hidden="1"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 spans="2:26" ht="15.6" hidden="1"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 spans="2:26" ht="15.6" hidden="1"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 spans="2:26" ht="15.6" hidden="1"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 spans="2:26" ht="15.6" hidden="1"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 spans="2:26" ht="15.6" hidden="1"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 spans="2:26" ht="15.6" hidden="1"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 spans="2:26" ht="15.6" hidden="1"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 spans="2:26" ht="15.6" hidden="1"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 spans="2:26" ht="15.6" hidden="1"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 spans="2:26" ht="15.6" hidden="1"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 spans="2:26" ht="15.6" hidden="1"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 spans="2:26" ht="15.6" hidden="1"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 spans="2:26" ht="15.6" hidden="1"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 spans="2:26" ht="15.6" hidden="1"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 spans="2:26" ht="15.6" hidden="1"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 spans="2:26" ht="15.6" hidden="1"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 spans="2:26" ht="15.6" hidden="1"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 spans="2:26" ht="15.6" hidden="1"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 spans="2:26" ht="15.6" hidden="1"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 spans="2:26" ht="15.6" hidden="1"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 spans="2:26" ht="15.6" hidden="1"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 spans="2:26" ht="15.6" hidden="1"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 spans="2:26" ht="15.6" hidden="1"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 spans="2:26" ht="15.6" hidden="1"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 spans="2:26" ht="15.6" hidden="1"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 spans="2:26" ht="15.6" hidden="1"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 spans="2:26" ht="15.6" hidden="1"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 spans="2:26" ht="15.6" hidden="1"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 spans="2:26" ht="15.6" hidden="1"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 spans="2:26" ht="15.6" hidden="1"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 spans="2:26" ht="15.6" hidden="1"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 spans="2:26" ht="15.6" hidden="1"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 spans="2:26" ht="15.6" hidden="1"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 spans="2:26" ht="15.6" hidden="1"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 spans="2:26" ht="15.6" hidden="1"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 spans="2:26" ht="15.6" hidden="1"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 spans="2:26" ht="15.6" hidden="1"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 spans="2:26" ht="15.6" hidden="1"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 spans="2:26" ht="15.6" hidden="1"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 spans="2:26" ht="15.6" hidden="1"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 spans="2:26" ht="15.6" hidden="1"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 spans="2:26" ht="15.6" hidden="1"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 spans="2:26" ht="15.6" hidden="1"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 spans="2:26" ht="15.6" hidden="1"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 spans="2:26" ht="15.6" hidden="1"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 spans="2:26" ht="15.6" hidden="1"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 spans="2:26" ht="15.6" hidden="1"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 spans="2:26" ht="15.6" hidden="1"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 spans="2:26" ht="15.6" hidden="1"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 spans="2:26" ht="15.6" hidden="1"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 spans="2:26" ht="15.6" hidden="1"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 spans="2:26" ht="15.6" hidden="1"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 spans="2:26" ht="15.6" hidden="1"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 spans="2:26" ht="15.6" hidden="1"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 spans="2:26" ht="15.6" hidden="1"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 spans="2:26" ht="15.6" hidden="1"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 spans="2:26" ht="15.6" hidden="1"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 spans="2:26" ht="15.6" hidden="1"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 spans="2:26" ht="15.6" hidden="1"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 spans="2:26" ht="15.6" hidden="1"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 spans="2:26" ht="15.6" hidden="1"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 spans="2:26" ht="15.6" hidden="1"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 spans="2:26" ht="15.6" hidden="1"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 spans="2:26" ht="15.6" hidden="1"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 spans="2:26" ht="15.6" hidden="1"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 spans="2:26" ht="15.6" hidden="1"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 spans="2:26" ht="15.6" hidden="1"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 spans="2:26" ht="15.6" hidden="1"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 spans="2:26" ht="15.6" hidden="1"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 spans="2:26" ht="15.6" hidden="1"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 spans="2:26" ht="15.6" hidden="1"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 spans="2:26" ht="15.6" hidden="1"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 spans="2:26" ht="15.6" hidden="1"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 spans="2:26" ht="15.6" hidden="1"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 spans="2:26" ht="15.6" hidden="1"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 spans="2:26" ht="15.6" hidden="1"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 spans="2:26" ht="15.6" hidden="1"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 spans="2:26" ht="15.6" hidden="1"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 spans="2:26" ht="15.6" hidden="1"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 spans="2:26" ht="15.6" hidden="1"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 spans="2:26" ht="15.6" hidden="1"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 spans="2:26" ht="15.6" hidden="1"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 spans="2:26" ht="15.6" hidden="1"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 spans="2:26" ht="15.6" hidden="1"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 spans="2:26" ht="15.6" hidden="1"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 spans="2:26" ht="15.6" hidden="1"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 spans="2:26" ht="15.6" hidden="1"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 spans="2:26" ht="15.6" hidden="1"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 spans="2:26" ht="15.6" hidden="1"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 spans="2:26" ht="15.6" hidden="1"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 spans="2:26" ht="15.6" hidden="1"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 spans="2:26" ht="15.6" hidden="1"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 spans="2:26" ht="15.6" hidden="1"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 spans="2:26" ht="15.6" hidden="1"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 spans="2:26" ht="15.6" hidden="1"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 spans="2:26" ht="15.6" hidden="1"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 spans="2:26" ht="15.6" hidden="1"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 spans="2:26" ht="15.6" hidden="1"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 spans="2:26" ht="15.6" hidden="1"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 spans="2:26" ht="15.6" hidden="1"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 spans="2:26" ht="15.6" hidden="1"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 spans="2:26" ht="15.6" hidden="1"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 spans="2:26" ht="15.6" hidden="1"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 spans="2:26" ht="15.6" hidden="1"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 spans="2:26" ht="15.6" hidden="1"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 spans="2:26" ht="15.6" hidden="1"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 spans="2:26" ht="15.6" hidden="1"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 spans="2:26" ht="15.6" hidden="1"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 spans="2:26" ht="15.6" hidden="1"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 spans="2:26" ht="15.6" hidden="1"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 spans="2:26" ht="15.6" hidden="1"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 spans="2:26" ht="15.6" hidden="1"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 spans="2:26" ht="15.6" hidden="1"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 spans="2:26" ht="15.6" hidden="1"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 spans="2:26" ht="15.6" hidden="1"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 spans="2:26" ht="15.6" hidden="1"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 spans="2:26" ht="15.6" hidden="1"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 spans="2:26" ht="15.6" hidden="1"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 spans="2:26" ht="15.6" hidden="1"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 spans="2:26" ht="15.6" hidden="1"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 spans="2:26" ht="15.6" hidden="1"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 spans="2:26" ht="15.6" hidden="1"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 spans="2:26" ht="15.6" hidden="1"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 spans="2:26" ht="15.6" hidden="1"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 spans="2:26" ht="15.6" hidden="1"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 spans="2:26" ht="15.6" hidden="1"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 spans="2:26" ht="15.6" hidden="1"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 spans="2:26" ht="15.6" hidden="1"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 spans="2:26" ht="15.6" hidden="1"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 spans="2:26" ht="15.6" hidden="1"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 spans="2:26" ht="15.6" hidden="1"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 spans="2:26" ht="15.6" hidden="1"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 spans="2:26" ht="15.6" hidden="1"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 spans="2:26" ht="15.6" hidden="1"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 spans="2:26" ht="15.6" hidden="1"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 spans="2:26" ht="15.6" hidden="1"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 spans="2:26" ht="15.6" hidden="1"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 spans="2:26" ht="15.6" hidden="1"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 spans="2:26" ht="15.6" hidden="1"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 spans="2:26" ht="15.6" hidden="1"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 spans="2:26" ht="15.6" hidden="1"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 spans="2:26" ht="15.6" hidden="1"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 spans="2:26" ht="15.6" hidden="1"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 spans="2:26" ht="15.6" hidden="1"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 spans="2:26" ht="15.6" hidden="1"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 spans="2:26" ht="15.6" hidden="1"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 spans="2:26" ht="15.6" hidden="1"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 spans="2:26" ht="15.6" hidden="1"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 spans="2:26" ht="15.6" hidden="1"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 spans="2:26" ht="15.6" hidden="1"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 spans="2:26" ht="15.6" hidden="1"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 spans="2:26" ht="15.6" hidden="1"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 spans="2:26" ht="15.6" hidden="1"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 spans="2:26" ht="15.6" hidden="1"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 spans="2:26" ht="15.6" hidden="1"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 spans="2:26" ht="15.6" hidden="1"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 spans="2:26" ht="15.6" hidden="1"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 spans="2:26" ht="15.6" hidden="1"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 spans="2:26" ht="15.6" hidden="1"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 spans="2:26" ht="15.6" hidden="1"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 spans="2:26" ht="15.6" hidden="1"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 spans="2:26" ht="15.6" hidden="1"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 spans="2:26" ht="15.6" hidden="1"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 spans="2:26" ht="15.6" hidden="1"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 spans="2:26" ht="15.6" hidden="1"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 spans="2:26" ht="15.6" hidden="1"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 spans="2:26" ht="15.6" hidden="1"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 spans="2:26" ht="15.6" hidden="1"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 spans="2:26" ht="15.6" hidden="1"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 spans="2:26" ht="15.6" hidden="1"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 spans="2:26" ht="15.6" hidden="1"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 spans="2:26" ht="15.6" hidden="1"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 spans="2:26" ht="15.6" hidden="1"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 spans="2:26" ht="15.6" hidden="1"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 spans="2:26" ht="15.6" hidden="1"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 spans="2:26" ht="15.6" hidden="1"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 spans="2:26" ht="15.6" hidden="1"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 spans="2:26" ht="15.6" hidden="1"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 spans="2:26" ht="15.6" hidden="1"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 spans="2:26" ht="15.6" hidden="1"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 spans="2:26" ht="15.6" hidden="1"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 spans="2:26" ht="15.6" hidden="1"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 spans="2:26" ht="15.6" hidden="1"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 spans="2:26" ht="15.6" hidden="1"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 spans="2:26" ht="15.6" hidden="1"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 spans="2:26" ht="15.6" hidden="1"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 spans="2:26" ht="15.6" hidden="1"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 spans="2:26" ht="15.6" hidden="1"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 spans="2:26" ht="15.6" hidden="1"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 spans="2:26" ht="15.6" hidden="1"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 spans="2:26" ht="15.6" hidden="1"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 spans="2:26" ht="15.6" hidden="1"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 spans="2:26" ht="15.6" hidden="1"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 spans="2:26" ht="15.6" hidden="1"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 spans="2:26" ht="15.6" hidden="1"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 spans="2:26" ht="15.6" hidden="1"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 spans="2:26" ht="15.6" hidden="1"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 spans="2:26" ht="15.6" hidden="1"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 spans="2:26" ht="15.6" hidden="1"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 spans="2:26" ht="15.6" hidden="1"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 spans="2:26" ht="15.6" hidden="1"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 spans="2:26" ht="15.6" hidden="1"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 spans="2:26" ht="15.6" hidden="1"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 spans="2:26" ht="15.6" hidden="1"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 spans="2:26" ht="15.6" hidden="1"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 spans="2:26" ht="15.6" hidden="1"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 spans="2:26" ht="15.6" hidden="1"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 spans="2:26" ht="15.6" hidden="1"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 spans="2:26" ht="15.6" hidden="1"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 spans="2:26" ht="15.6" hidden="1"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 spans="2:26" ht="15.6" hidden="1"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 spans="2:26" ht="15.6" hidden="1"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 spans="2:26" ht="15.6" hidden="1"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 spans="2:26" ht="15.6" hidden="1"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 spans="2:26" ht="15.6" hidden="1"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 spans="2:26" ht="15.6" hidden="1"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 spans="2:26" ht="15.6" hidden="1"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 spans="2:26" ht="15.6" hidden="1"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 spans="2:26" ht="15.6" hidden="1"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 spans="2:26" ht="15.6" hidden="1"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 spans="2:26" ht="15.6" hidden="1"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 spans="2:26" ht="15.6" hidden="1"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 spans="2:26" ht="15.6" hidden="1"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 spans="2:26" ht="15.6" hidden="1"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 spans="2:26" ht="15.6" hidden="1"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 spans="2:26" ht="15.6" hidden="1"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 spans="2:26" ht="15.6" hidden="1"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 spans="2:26" ht="15.6" hidden="1"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 spans="2:26" ht="15.6" hidden="1"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 spans="2:26" ht="15.6" hidden="1"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 spans="2:26" ht="15.6" hidden="1"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 spans="2:26" ht="15.6" hidden="1"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 spans="2:26" ht="15.6" hidden="1"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 spans="2:26" ht="15.6" hidden="1"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 spans="2:26" ht="15.6" hidden="1"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 spans="2:26" ht="15.6" hidden="1"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 spans="2:26" ht="15.6" hidden="1"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 spans="2:26" ht="15.6" hidden="1"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 spans="2:26" ht="15.6" hidden="1"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 spans="2:26" ht="15.6" hidden="1"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 spans="2:26" ht="15.6" hidden="1"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 spans="2:26" ht="15.6" hidden="1"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 spans="2:26" ht="15.6" hidden="1"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 spans="2:26" ht="15.6" hidden="1"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 spans="2:26" ht="15.6" hidden="1"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 spans="2:26" ht="15.6" hidden="1"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 spans="2:26" ht="15.6" hidden="1"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 spans="2:26" ht="15.6" hidden="1"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 spans="2:26" ht="15.6" hidden="1"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 spans="2:26" ht="15.6" hidden="1"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 spans="2:26" ht="15.6" hidden="1"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 spans="2:26" ht="15.6" hidden="1"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 spans="2:26" ht="15.6" hidden="1"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 spans="2:26" ht="15.6" hidden="1"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 spans="2:26" ht="15.6" hidden="1"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 spans="2:26" ht="15.6" hidden="1"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 spans="2:26" ht="15.6" hidden="1"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 spans="2:26" ht="15.6" hidden="1"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 spans="2:26" ht="15.6" hidden="1"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 spans="2:26" ht="15.6" hidden="1"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 spans="2:26" ht="15.6" hidden="1"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 spans="2:26" ht="15.6" hidden="1"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 spans="2:26" ht="15.6" hidden="1"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 spans="2:26" ht="15.6" hidden="1"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 spans="2:26" ht="15.6" hidden="1"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 spans="2:26" ht="15.6" hidden="1"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 spans="2:26" ht="15.6" hidden="1"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 spans="2:26" ht="15.6" hidden="1"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 spans="2:26" ht="15.6" hidden="1"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 spans="2:26" ht="15.6" hidden="1"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 spans="2:26" ht="15.6" hidden="1"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 spans="2:26" ht="15.6" hidden="1"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 spans="2:26" ht="15.6" hidden="1"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 spans="2:26" ht="15.6" hidden="1"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 spans="2:26" ht="15.6" hidden="1"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 spans="2:26" ht="15.6" hidden="1"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 spans="2:26" ht="15.6" hidden="1"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 spans="2:26" ht="15.6" hidden="1"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 spans="2:26" ht="15.6" hidden="1"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 spans="2:26" ht="15.6" hidden="1"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 spans="2:26" ht="15.6" hidden="1"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 spans="2:26" ht="15.6" hidden="1"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 spans="2:26" ht="15.6" hidden="1"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 spans="2:26" ht="15.6" hidden="1"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 spans="2:26" ht="15.6" hidden="1"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 spans="2:26" ht="15.6" hidden="1"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 spans="2:26" ht="15.6" hidden="1"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 spans="2:26" ht="15.6" hidden="1"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 spans="2:26" ht="15.6" hidden="1"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 spans="2:26" ht="15.6" hidden="1"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 spans="2:26" ht="15.6" hidden="1"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 spans="2:26" ht="15.6" hidden="1"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 spans="2:26" ht="15.6" hidden="1"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 spans="2:26" ht="15.6" hidden="1"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 spans="2:26" ht="15.6" hidden="1"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 spans="2:26" ht="15.6" hidden="1"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 spans="2:26" ht="15.6" hidden="1"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 spans="2:26" ht="15.6" hidden="1"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 spans="2:26" ht="15.6" hidden="1"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 spans="2:26" ht="15.6" hidden="1"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 spans="2:26" ht="15.6" hidden="1"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 spans="2:26" ht="15.6" hidden="1"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 spans="2:26" ht="15.6" hidden="1"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 spans="2:26" ht="15.6" hidden="1"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 spans="2:26" ht="15.6" hidden="1"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 spans="2:26" ht="15.6" hidden="1"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 spans="2:26" ht="15.6" hidden="1"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 spans="2:26" ht="15.6" hidden="1"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 spans="2:26" ht="15.6" hidden="1"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 spans="2:26" ht="15.6" hidden="1"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 spans="2:26" ht="15.6" hidden="1"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 spans="2:26" ht="15.6" hidden="1"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 spans="2:26" ht="15.6" hidden="1"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 spans="2:26" ht="15.6" hidden="1"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 spans="2:26" ht="15.6" hidden="1"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 spans="2:26" ht="15.6" hidden="1"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 spans="2:26" ht="15.6" hidden="1"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 spans="2:26" ht="15.6" hidden="1"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 spans="2:26" ht="15.6" hidden="1"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 spans="2:26" ht="15.6" hidden="1"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 spans="2:26" ht="15.6" hidden="1"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 spans="2:26" ht="15.6" hidden="1"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 spans="2:26" ht="15.6" hidden="1"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 spans="2:26" ht="15.6" hidden="1"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 spans="2:26" ht="15.6" hidden="1"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 spans="2:26" ht="15.6" hidden="1"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 spans="2:26" ht="15.6" hidden="1"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 spans="2:26" ht="15.6" hidden="1"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 spans="2:26" ht="15.6" hidden="1"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 spans="2:26" ht="15.6" hidden="1"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 spans="2:26" ht="15.6" hidden="1"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 spans="2:26" ht="15.6" hidden="1"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 spans="2:26" ht="15.6" hidden="1"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 spans="2:26" ht="15.6" hidden="1"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 spans="2:26" ht="15.6" hidden="1"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 spans="2:26" ht="15.6" hidden="1"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 spans="2:26" ht="15.6" hidden="1"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 spans="2:26" ht="15.6" hidden="1"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 spans="2:26" ht="15.6" hidden="1"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 spans="2:26" ht="15.6" hidden="1"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 spans="2:26" ht="15.6" hidden="1"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 spans="2:26" ht="15.6" hidden="1"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 spans="2:26" ht="15.6" hidden="1"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 spans="2:26" ht="15.6" hidden="1"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 spans="2:26" ht="15.6" hidden="1"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 spans="2:26" ht="15.6" hidden="1"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 spans="2:26" ht="15.6" hidden="1"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 spans="2:26" ht="15.6" hidden="1"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 spans="2:26" ht="15.6" hidden="1"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 spans="2:26" ht="15.6" hidden="1"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 spans="2:26" ht="15.6" hidden="1"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 spans="2:26" ht="15.6" hidden="1"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 spans="2:26" ht="15.6" hidden="1"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 spans="2:26" ht="15.6" hidden="1"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 spans="2:26" ht="15.6" hidden="1"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 spans="2:26" ht="15.6" hidden="1"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 spans="2:26" ht="15.6" hidden="1"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 spans="2:26" ht="15.6" hidden="1"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 spans="2:26" ht="15.6" hidden="1"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 spans="2:26" ht="15.6" hidden="1"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 spans="2:26" ht="15.6" hidden="1"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 spans="2:26" ht="15.6" hidden="1"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 spans="2:26" ht="15.6" hidden="1"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 spans="2:26" ht="15.6" hidden="1"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 spans="2:26" ht="15.6" hidden="1"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 spans="2:26" ht="15.6" hidden="1"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 spans="2:26" ht="15.6" hidden="1"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 spans="2:26" ht="15.6" hidden="1"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 spans="2:26" ht="15.6" hidden="1"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 spans="2:26" ht="15.6" hidden="1"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 spans="2:26" ht="15.6" hidden="1"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 spans="2:26" ht="15.6" hidden="1"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 spans="2:26" ht="15.6" hidden="1"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 spans="2:26" ht="15.6" hidden="1"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 spans="2:26" ht="15.6" hidden="1"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 spans="2:26" ht="15.6" hidden="1"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 spans="2:26" ht="15.6" hidden="1"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 spans="2:26" ht="15.6" hidden="1"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 spans="2:26" ht="15.6" hidden="1"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 spans="2:26" ht="15.6" hidden="1"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 spans="2:26" ht="15.6" hidden="1"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 spans="2:26" ht="15.6" hidden="1"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 spans="2:26" ht="15.6" hidden="1"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 spans="2:26" ht="15.6" hidden="1"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 spans="2:26" ht="15.6" hidden="1"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 spans="2:26" ht="15.6" hidden="1"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 spans="2:26" ht="15.6" hidden="1"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 spans="2:26" ht="15.6" hidden="1"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 spans="2:26" ht="15.6" hidden="1"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 spans="2:26" ht="15.6" hidden="1"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 spans="2:26" ht="15.6" hidden="1"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 spans="2:26" ht="15.6" hidden="1"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 spans="2:26" ht="15.6" hidden="1"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 spans="2:26" ht="15.6" hidden="1"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 spans="2:26" ht="15.6" hidden="1"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 spans="2:26" ht="15.6" hidden="1"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 spans="2:26" ht="15.6" hidden="1"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 spans="2:26" ht="15.6" hidden="1"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 spans="2:26" ht="15.6" hidden="1"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 spans="2:26" ht="15.6" hidden="1"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 spans="2:26" ht="15.6" hidden="1"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 spans="2:26" ht="15.6" hidden="1"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 spans="2:26" ht="15.6" hidden="1"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 spans="2:26" ht="15.6" hidden="1"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 spans="2:26" ht="15.6" hidden="1"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 spans="2:26" ht="15.6" hidden="1"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 spans="2:26" ht="15.6" hidden="1"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 spans="2:26" ht="15.6" hidden="1"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 spans="2:26" ht="15.6" hidden="1"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 spans="2:26" ht="15.6" hidden="1"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  <row r="998" spans="2:26" ht="15.6" hidden="1"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</row>
    <row r="999" spans="2:26" ht="15.6" hidden="1"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</row>
  </sheetData>
  <sheetProtection algorithmName="SHA-512" hashValue="ffklhGBwMGSSEPjNJ/x+dYkymb+kyK0hK9+PTkzL/k0FQ4iMPQ/5a2E1kIvv3TrYcTf88b5hNO3378p15n52ug==" saltValue="L0DcQY4952eugFNR1Du0Og==" spinCount="100000" sheet="1" objects="1" scenarios="1" selectLockedCells="1"/>
  <mergeCells count="127">
    <mergeCell ref="M74:M75"/>
    <mergeCell ref="N74:N75"/>
    <mergeCell ref="L76:P76"/>
    <mergeCell ref="B78:B81"/>
    <mergeCell ref="D59:I59"/>
    <mergeCell ref="L59:P59"/>
    <mergeCell ref="B61:B77"/>
    <mergeCell ref="L64:L65"/>
    <mergeCell ref="M64:N64"/>
    <mergeCell ref="O64:P64"/>
    <mergeCell ref="L70:L71"/>
    <mergeCell ref="M70:N70"/>
    <mergeCell ref="O70:P70"/>
    <mergeCell ref="L74:L75"/>
    <mergeCell ref="L55:M55"/>
    <mergeCell ref="D56:F56"/>
    <mergeCell ref="L56:M56"/>
    <mergeCell ref="N56:P56"/>
    <mergeCell ref="D57:F57"/>
    <mergeCell ref="G57:I57"/>
    <mergeCell ref="B50:B60"/>
    <mergeCell ref="D51:F51"/>
    <mergeCell ref="L51:M51"/>
    <mergeCell ref="D52:F52"/>
    <mergeCell ref="L52:M52"/>
    <mergeCell ref="D53:F53"/>
    <mergeCell ref="L53:M53"/>
    <mergeCell ref="D54:F54"/>
    <mergeCell ref="L54:M54"/>
    <mergeCell ref="D55:F55"/>
    <mergeCell ref="D36:H36"/>
    <mergeCell ref="L36:N36"/>
    <mergeCell ref="O36:P36"/>
    <mergeCell ref="B38:B41"/>
    <mergeCell ref="B42:B49"/>
    <mergeCell ref="D45:F45"/>
    <mergeCell ref="G45:H45"/>
    <mergeCell ref="L45:M45"/>
    <mergeCell ref="N45:O45"/>
    <mergeCell ref="D46:E46"/>
    <mergeCell ref="G46:H46"/>
    <mergeCell ref="I46:I48"/>
    <mergeCell ref="N46:O46"/>
    <mergeCell ref="P46:P48"/>
    <mergeCell ref="D47:E47"/>
    <mergeCell ref="G47:H47"/>
    <mergeCell ref="N47:O47"/>
    <mergeCell ref="D48:E48"/>
    <mergeCell ref="G48:H48"/>
    <mergeCell ref="N48:O48"/>
    <mergeCell ref="L23:L32"/>
    <mergeCell ref="O23:P25"/>
    <mergeCell ref="M26:M27"/>
    <mergeCell ref="O26:P26"/>
    <mergeCell ref="F27:F28"/>
    <mergeCell ref="I27:I28"/>
    <mergeCell ref="O27:P28"/>
    <mergeCell ref="F29:F30"/>
    <mergeCell ref="O29:P29"/>
    <mergeCell ref="O30:P30"/>
    <mergeCell ref="D19:G19"/>
    <mergeCell ref="H19:I19"/>
    <mergeCell ref="L19:N19"/>
    <mergeCell ref="O19:P19"/>
    <mergeCell ref="B21:B37"/>
    <mergeCell ref="O22:P22"/>
    <mergeCell ref="D23:D33"/>
    <mergeCell ref="E23:E32"/>
    <mergeCell ref="F23:F26"/>
    <mergeCell ref="I23:I25"/>
    <mergeCell ref="B15:B20"/>
    <mergeCell ref="D34:H34"/>
    <mergeCell ref="L34:N34"/>
    <mergeCell ref="O34:P34"/>
    <mergeCell ref="D35:H35"/>
    <mergeCell ref="L35:N35"/>
    <mergeCell ref="O35:P35"/>
    <mergeCell ref="O31:P31"/>
    <mergeCell ref="F32:H32"/>
    <mergeCell ref="M32:N32"/>
    <mergeCell ref="O32:P32"/>
    <mergeCell ref="F33:H33"/>
    <mergeCell ref="M33:N33"/>
    <mergeCell ref="O33:P33"/>
    <mergeCell ref="D18:G18"/>
    <mergeCell ref="H18:I18"/>
    <mergeCell ref="L18:N18"/>
    <mergeCell ref="O18:P18"/>
    <mergeCell ref="G12:I12"/>
    <mergeCell ref="D13:F13"/>
    <mergeCell ref="G13:I13"/>
    <mergeCell ref="L13:M13"/>
    <mergeCell ref="N13:P13"/>
    <mergeCell ref="D16:G16"/>
    <mergeCell ref="H16:I16"/>
    <mergeCell ref="L16:N16"/>
    <mergeCell ref="O16:P16"/>
    <mergeCell ref="B10:B14"/>
    <mergeCell ref="D11:F11"/>
    <mergeCell ref="G11:I11"/>
    <mergeCell ref="L11:M12"/>
    <mergeCell ref="N11:P12"/>
    <mergeCell ref="D12:F12"/>
    <mergeCell ref="D17:G17"/>
    <mergeCell ref="H17:I17"/>
    <mergeCell ref="L17:N17"/>
    <mergeCell ref="O17:P17"/>
    <mergeCell ref="L6:N6"/>
    <mergeCell ref="O6:P6"/>
    <mergeCell ref="D7:G7"/>
    <mergeCell ref="H7:I7"/>
    <mergeCell ref="L7:N7"/>
    <mergeCell ref="O7:P7"/>
    <mergeCell ref="B2:Q2"/>
    <mergeCell ref="C3:J3"/>
    <mergeCell ref="K3:Q3"/>
    <mergeCell ref="B4:B9"/>
    <mergeCell ref="D5:G5"/>
    <mergeCell ref="H5:I5"/>
    <mergeCell ref="L5:N5"/>
    <mergeCell ref="O5:P5"/>
    <mergeCell ref="D6:G6"/>
    <mergeCell ref="H6:I6"/>
    <mergeCell ref="D8:G8"/>
    <mergeCell ref="H8:I8"/>
    <mergeCell ref="L8:N8"/>
    <mergeCell ref="O8:P8"/>
  </mergeCells>
  <phoneticPr fontId="9" type="noConversion"/>
  <pageMargins left="0.25" right="0.25" top="0.75" bottom="0.75" header="0.3" footer="0.3"/>
  <pageSetup paperSize="8" scale="8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10</vt:i4>
      </vt:variant>
    </vt:vector>
  </HeadingPairs>
  <TitlesOfParts>
    <vt:vector size="22" baseType="lpstr">
      <vt:lpstr>교육과정편제표(스마트경영)</vt:lpstr>
      <vt:lpstr>실무과목 능력단위(스마트경영과)</vt:lpstr>
      <vt:lpstr>교육과정편제표(소프트웨어개발)</vt:lpstr>
      <vt:lpstr>실무과목 능력단위(소프트웨어개발)</vt:lpstr>
      <vt:lpstr>교육과정편제표(광고미디어디자인)</vt:lpstr>
      <vt:lpstr>실무과목 능력단위(광고미디어디자인)</vt:lpstr>
      <vt:lpstr>교육과정편제표(도제)</vt:lpstr>
      <vt:lpstr>실무과목 능력단위(도제)</vt:lpstr>
      <vt:lpstr>교육과정편제표(사무회계과)</vt:lpstr>
      <vt:lpstr>실무과목 능력단위(사무회계과)</vt:lpstr>
      <vt:lpstr>삭제금지</vt:lpstr>
      <vt:lpstr>(참고1) 편성 기준🔐</vt:lpstr>
      <vt:lpstr>'교육과정편제표(광고미디어디자인)'!Print_Area</vt:lpstr>
      <vt:lpstr>'교육과정편제표(도제)'!Print_Area</vt:lpstr>
      <vt:lpstr>'교육과정편제표(사무회계과)'!Print_Area</vt:lpstr>
      <vt:lpstr>'교육과정편제표(소프트웨어개발)'!Print_Area</vt:lpstr>
      <vt:lpstr>'교육과정편제표(스마트경영)'!Print_Area</vt:lpstr>
      <vt:lpstr>'실무과목 능력단위(광고미디어디자인)'!Print_Area</vt:lpstr>
      <vt:lpstr>'실무과목 능력단위(도제)'!Print_Area</vt:lpstr>
      <vt:lpstr>'실무과목 능력단위(사무회계과)'!Print_Area</vt:lpstr>
      <vt:lpstr>'실무과목 능력단위(소프트웨어개발)'!Print_Area</vt:lpstr>
      <vt:lpstr>'실무과목 능력단위(스마트경영과)'!Print_Area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KRIVET</dc:creator>
  <cp:lastModifiedBy>User</cp:lastModifiedBy>
  <cp:lastPrinted>2026-10-23T00:59:12Z</cp:lastPrinted>
  <dcterms:created xsi:type="dcterms:W3CDTF">2020-03-04T02:26:59Z</dcterms:created>
  <dcterms:modified xsi:type="dcterms:W3CDTF">2026-10-23T02:15:24Z</dcterms:modified>
</cp:coreProperties>
</file>