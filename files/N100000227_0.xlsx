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☆학교\★교육과정부\편제\2027 신입생 편제(엑셀) 제출\"/>
    </mc:Choice>
  </mc:AlternateContent>
  <xr:revisionPtr revIDLastSave="0" documentId="13_ncr:1_{D66C45C2-0DCC-460D-AF0F-932D4488B605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교육과정편제표(신재생에너지과)" sheetId="8" r:id="rId1"/>
    <sheet name="실무과목 능력단위(신재생에너지과)" sheetId="14" r:id="rId2"/>
    <sheet name="교육과정편제표(IoT기계과)" sheetId="23" r:id="rId3"/>
    <sheet name="실무과목 능력단위(IoT기계과)" sheetId="25" r:id="rId4"/>
    <sheet name="교육과정편제표(IoT기계과-도제코스)" sheetId="24" r:id="rId5"/>
    <sheet name="실무과목 능력단위(IoT기계과-도제코스)" sheetId="27" r:id="rId6"/>
    <sheet name="삭제금지" sheetId="4" r:id="rId7"/>
    <sheet name="(참고1) 편성 기준🔐" sheetId="16" r:id="rId8"/>
  </sheets>
  <definedNames>
    <definedName name="_xlnm._FilterDatabase" localSheetId="2" hidden="1">'교육과정편제표(IoT기계과)'!$M$3:$P$4</definedName>
    <definedName name="_xlnm._FilterDatabase" localSheetId="4" hidden="1">'교육과정편제표(IoT기계과-도제코스)'!$M$3:$P$4</definedName>
    <definedName name="_xlnm._FilterDatabase" localSheetId="0" hidden="1">'교육과정편제표(신재생에너지과)'!$M$3:$P$4</definedName>
    <definedName name="_xlnm._FilterDatabase" localSheetId="6" hidden="1">삭제금지!$A$1:$F$151</definedName>
    <definedName name="_xlnm._FilterDatabase" localSheetId="3" hidden="1">'실무과목 능력단위(IoT기계과)'!#REF!</definedName>
    <definedName name="_xlnm._FilterDatabase" localSheetId="5" hidden="1">'실무과목 능력단위(IoT기계과-도제코스)'!#REF!</definedName>
    <definedName name="_xlnm._FilterDatabase" localSheetId="1" hidden="1">'실무과목 능력단위(신재생에너지과)'!#REF!</definedName>
    <definedName name="_xlnm.Print_Area" localSheetId="2">'교육과정편제표(IoT기계과)'!$A$1:$AE$60</definedName>
    <definedName name="_xlnm.Print_Area" localSheetId="4">'교육과정편제표(IoT기계과-도제코스)'!$A$1:$AE$60</definedName>
    <definedName name="_xlnm.Print_Area" localSheetId="0">'교육과정편제표(신재생에너지과)'!$A$1:$AE$58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6" i="27" l="1"/>
  <c r="P26" i="27"/>
  <c r="Q25" i="27"/>
  <c r="U20" i="27"/>
  <c r="T20" i="27"/>
  <c r="Q20" i="27"/>
  <c r="U18" i="27"/>
  <c r="T18" i="27"/>
  <c r="U16" i="27"/>
  <c r="U17" i="27"/>
  <c r="U15" i="27"/>
  <c r="T15" i="27"/>
  <c r="S17" i="27"/>
  <c r="S16" i="27"/>
  <c r="R18" i="27"/>
  <c r="Q18" i="27"/>
  <c r="Q16" i="27"/>
  <c r="Q17" i="27"/>
  <c r="P18" i="27"/>
  <c r="Q15" i="27"/>
  <c r="U13" i="27"/>
  <c r="O14" i="27"/>
  <c r="N14" i="27"/>
  <c r="O13" i="27"/>
  <c r="U9" i="27" s="1"/>
  <c r="T13" i="27"/>
  <c r="U10" i="27"/>
  <c r="T10" i="27"/>
  <c r="O10" i="27"/>
  <c r="O11" i="27" s="1"/>
  <c r="U11" i="27" s="1"/>
  <c r="N11" i="27"/>
  <c r="S11" i="27"/>
  <c r="Q11" i="27"/>
  <c r="M11" i="27"/>
  <c r="K11" i="27"/>
  <c r="I11" i="27"/>
  <c r="T9" i="27"/>
  <c r="S9" i="27"/>
  <c r="O9" i="27"/>
  <c r="K9" i="27"/>
  <c r="I9" i="27"/>
  <c r="W46" i="24"/>
  <c r="W47" i="24"/>
  <c r="W42" i="24"/>
  <c r="W43" i="24"/>
  <c r="W44" i="24"/>
  <c r="U27" i="25"/>
  <c r="U28" i="25"/>
  <c r="U29" i="25"/>
  <c r="U30" i="25"/>
  <c r="U26" i="25"/>
  <c r="T27" i="25"/>
  <c r="T28" i="25"/>
  <c r="T29" i="25"/>
  <c r="T30" i="25"/>
  <c r="S31" i="25"/>
  <c r="R31" i="25"/>
  <c r="S27" i="25"/>
  <c r="S28" i="25"/>
  <c r="S29" i="25"/>
  <c r="S30" i="25"/>
  <c r="S26" i="25"/>
  <c r="U21" i="25"/>
  <c r="U22" i="25"/>
  <c r="U23" i="25"/>
  <c r="U24" i="25"/>
  <c r="T21" i="25"/>
  <c r="T22" i="25"/>
  <c r="T23" i="25"/>
  <c r="T24" i="25"/>
  <c r="Q21" i="25"/>
  <c r="Q22" i="25"/>
  <c r="Q23" i="25"/>
  <c r="Q24" i="25"/>
  <c r="S19" i="25"/>
  <c r="Q19" i="25"/>
  <c r="R19" i="25"/>
  <c r="P19" i="25"/>
  <c r="U17" i="25"/>
  <c r="U16" i="25"/>
  <c r="T17" i="25"/>
  <c r="T16" i="25"/>
  <c r="S17" i="25"/>
  <c r="S18" i="25"/>
  <c r="S16" i="25"/>
  <c r="Q15" i="25"/>
  <c r="O14" i="25"/>
  <c r="N14" i="25"/>
  <c r="O11" i="25"/>
  <c r="N11" i="25"/>
  <c r="O10" i="25"/>
  <c r="P11" i="25"/>
  <c r="T10" i="25"/>
  <c r="Q10" i="25"/>
  <c r="U10" i="25" s="1"/>
  <c r="M10" i="25"/>
  <c r="M11" i="25" s="1"/>
  <c r="K10" i="25"/>
  <c r="I10" i="25"/>
  <c r="T9" i="25"/>
  <c r="S9" i="25"/>
  <c r="O9" i="25"/>
  <c r="K9" i="25"/>
  <c r="I9" i="25"/>
  <c r="W49" i="23"/>
  <c r="W48" i="23"/>
  <c r="W47" i="23"/>
  <c r="W46" i="23"/>
  <c r="W42" i="23"/>
  <c r="W43" i="23"/>
  <c r="W44" i="23"/>
  <c r="S18" i="27" l="1"/>
  <c r="T11" i="25"/>
  <c r="R22" i="14" l="1"/>
  <c r="P22" i="14"/>
  <c r="Q9" i="14"/>
  <c r="T25" i="27"/>
  <c r="S25" i="27"/>
  <c r="U25" i="27" s="1"/>
  <c r="T24" i="27"/>
  <c r="Q24" i="27"/>
  <c r="U24" i="27" s="1"/>
  <c r="R23" i="27"/>
  <c r="P23" i="27"/>
  <c r="T22" i="27"/>
  <c r="S22" i="27"/>
  <c r="U22" i="27" s="1"/>
  <c r="T21" i="27"/>
  <c r="S21" i="27"/>
  <c r="T19" i="27"/>
  <c r="Q19" i="27"/>
  <c r="Q23" i="27" s="1"/>
  <c r="N18" i="27"/>
  <c r="T17" i="27"/>
  <c r="O17" i="27"/>
  <c r="T16" i="27"/>
  <c r="O16" i="27"/>
  <c r="T14" i="27"/>
  <c r="S14" i="27"/>
  <c r="Q14" i="27"/>
  <c r="M14" i="27"/>
  <c r="K14" i="27"/>
  <c r="I14" i="27"/>
  <c r="T12" i="27"/>
  <c r="S12" i="27"/>
  <c r="O12" i="27"/>
  <c r="K12" i="27"/>
  <c r="I12" i="27"/>
  <c r="S23" i="27" l="1"/>
  <c r="T23" i="27"/>
  <c r="U19" i="27"/>
  <c r="T26" i="27"/>
  <c r="O18" i="27"/>
  <c r="U21" i="27"/>
  <c r="U14" i="27"/>
  <c r="U12" i="27"/>
  <c r="U26" i="27"/>
  <c r="U23" i="27" l="1"/>
  <c r="T26" i="25"/>
  <c r="Q26" i="25"/>
  <c r="R25" i="25"/>
  <c r="P25" i="25"/>
  <c r="S24" i="25"/>
  <c r="S23" i="25"/>
  <c r="T20" i="25"/>
  <c r="Q20" i="25"/>
  <c r="Q25" i="25" s="1"/>
  <c r="N19" i="25"/>
  <c r="T18" i="25"/>
  <c r="O18" i="25"/>
  <c r="U18" i="25" s="1"/>
  <c r="T15" i="25"/>
  <c r="O15" i="25"/>
  <c r="U15" i="25" s="1"/>
  <c r="R14" i="25"/>
  <c r="P14" i="25"/>
  <c r="T13" i="25"/>
  <c r="S13" i="25"/>
  <c r="Q13" i="25"/>
  <c r="M13" i="25"/>
  <c r="M14" i="25" s="1"/>
  <c r="K13" i="25"/>
  <c r="I13" i="25"/>
  <c r="T12" i="25"/>
  <c r="S12" i="25"/>
  <c r="O12" i="25"/>
  <c r="Q9" i="25" s="1"/>
  <c r="K12" i="25"/>
  <c r="I12" i="25"/>
  <c r="U22" i="14"/>
  <c r="U21" i="14"/>
  <c r="U20" i="14"/>
  <c r="U19" i="14"/>
  <c r="S21" i="14"/>
  <c r="S20" i="14"/>
  <c r="Q19" i="14"/>
  <c r="T22" i="14"/>
  <c r="U18" i="14"/>
  <c r="U14" i="14"/>
  <c r="U16" i="14"/>
  <c r="U17" i="14"/>
  <c r="U15" i="14"/>
  <c r="T18" i="14"/>
  <c r="S18" i="14"/>
  <c r="R18" i="14"/>
  <c r="Q18" i="14"/>
  <c r="P18" i="14"/>
  <c r="S17" i="14"/>
  <c r="S16" i="14"/>
  <c r="Q15" i="14"/>
  <c r="U13" i="14"/>
  <c r="T16" i="14"/>
  <c r="T17" i="14"/>
  <c r="T19" i="14"/>
  <c r="T20" i="14"/>
  <c r="T21" i="14"/>
  <c r="T15" i="14"/>
  <c r="U12" i="14"/>
  <c r="T14" i="14"/>
  <c r="T13" i="14"/>
  <c r="T12" i="14"/>
  <c r="O14" i="14"/>
  <c r="N14" i="14"/>
  <c r="O13" i="14"/>
  <c r="O12" i="14"/>
  <c r="S14" i="25" l="1"/>
  <c r="Q11" i="25"/>
  <c r="U9" i="25"/>
  <c r="U11" i="25" s="1"/>
  <c r="T25" i="25"/>
  <c r="T14" i="25"/>
  <c r="U31" i="25"/>
  <c r="U19" i="25"/>
  <c r="U20" i="25"/>
  <c r="U25" i="25" s="1"/>
  <c r="T31" i="25"/>
  <c r="U13" i="25"/>
  <c r="T19" i="25"/>
  <c r="Q14" i="25"/>
  <c r="S25" i="25"/>
  <c r="O19" i="25"/>
  <c r="U12" i="25" l="1"/>
  <c r="U14" i="25" s="1"/>
  <c r="S58" i="24"/>
  <c r="O58" i="24"/>
  <c r="K58" i="24"/>
  <c r="W58" i="24" s="1"/>
  <c r="W57" i="24"/>
  <c r="W56" i="24"/>
  <c r="AA57" i="24" s="1"/>
  <c r="Y53" i="24"/>
  <c r="W53" i="24"/>
  <c r="Y50" i="24"/>
  <c r="U50" i="24"/>
  <c r="S50" i="24"/>
  <c r="Q50" i="24"/>
  <c r="O50" i="24"/>
  <c r="M50" i="24"/>
  <c r="K50" i="24"/>
  <c r="J50" i="24"/>
  <c r="I50" i="24"/>
  <c r="I52" i="24" s="1"/>
  <c r="H50" i="24"/>
  <c r="W49" i="24"/>
  <c r="W48" i="24"/>
  <c r="W45" i="24"/>
  <c r="W41" i="24"/>
  <c r="W40" i="24"/>
  <c r="W39" i="24"/>
  <c r="W38" i="24"/>
  <c r="Y37" i="24"/>
  <c r="U37" i="24"/>
  <c r="S37" i="24"/>
  <c r="Q37" i="24"/>
  <c r="O37" i="24"/>
  <c r="M37" i="24"/>
  <c r="K37" i="24"/>
  <c r="K52" i="24" s="1"/>
  <c r="H37" i="24"/>
  <c r="H52" i="24" s="1"/>
  <c r="W33" i="24"/>
  <c r="W29" i="24"/>
  <c r="W28" i="24"/>
  <c r="W27" i="24"/>
  <c r="W26" i="24"/>
  <c r="W25" i="24"/>
  <c r="W24" i="24"/>
  <c r="J24" i="24"/>
  <c r="J37" i="24" s="1"/>
  <c r="W23" i="24"/>
  <c r="W22" i="24"/>
  <c r="X22" i="24" s="1"/>
  <c r="W21" i="24"/>
  <c r="W20" i="24"/>
  <c r="X20" i="24" s="1"/>
  <c r="W19" i="24"/>
  <c r="W18" i="24"/>
  <c r="X18" i="24" s="1"/>
  <c r="W17" i="24"/>
  <c r="W16" i="24"/>
  <c r="W15" i="24"/>
  <c r="X15" i="24" s="1"/>
  <c r="W14" i="24"/>
  <c r="W13" i="24"/>
  <c r="X12" i="24"/>
  <c r="W12" i="24"/>
  <c r="W11" i="24"/>
  <c r="W10" i="24"/>
  <c r="W9" i="24"/>
  <c r="X9" i="24" s="1"/>
  <c r="S58" i="23"/>
  <c r="O58" i="23"/>
  <c r="K58" i="23"/>
  <c r="W57" i="23"/>
  <c r="W56" i="23"/>
  <c r="AA57" i="23" s="1"/>
  <c r="Y53" i="23"/>
  <c r="W53" i="23"/>
  <c r="Y50" i="23"/>
  <c r="U50" i="23"/>
  <c r="S50" i="23"/>
  <c r="Q50" i="23"/>
  <c r="O50" i="23"/>
  <c r="M50" i="23"/>
  <c r="K50" i="23"/>
  <c r="J50" i="23"/>
  <c r="I50" i="23"/>
  <c r="I52" i="23" s="1"/>
  <c r="H50" i="23"/>
  <c r="W45" i="23"/>
  <c r="W41" i="23"/>
  <c r="W40" i="23"/>
  <c r="W39" i="23"/>
  <c r="W38" i="23"/>
  <c r="Y37" i="23"/>
  <c r="U37" i="23"/>
  <c r="S37" i="23"/>
  <c r="Q37" i="23"/>
  <c r="O37" i="23"/>
  <c r="M37" i="23"/>
  <c r="K37" i="23"/>
  <c r="H37" i="23"/>
  <c r="W33" i="23"/>
  <c r="W29" i="23"/>
  <c r="W28" i="23"/>
  <c r="W27" i="23"/>
  <c r="W26" i="23"/>
  <c r="W25" i="23"/>
  <c r="W24" i="23"/>
  <c r="J24" i="23"/>
  <c r="J37" i="23" s="1"/>
  <c r="W23" i="23"/>
  <c r="W22" i="23"/>
  <c r="W21" i="23"/>
  <c r="W20" i="23"/>
  <c r="W19" i="23"/>
  <c r="W18" i="23"/>
  <c r="W17" i="23"/>
  <c r="W16" i="23"/>
  <c r="W15" i="23"/>
  <c r="W14" i="23"/>
  <c r="W13" i="23"/>
  <c r="W12" i="23"/>
  <c r="W11" i="23"/>
  <c r="W10" i="23"/>
  <c r="W9" i="23"/>
  <c r="W39" i="8"/>
  <c r="W42" i="8"/>
  <c r="H37" i="8"/>
  <c r="S52" i="24" l="1"/>
  <c r="Q52" i="24"/>
  <c r="O52" i="24"/>
  <c r="U52" i="24"/>
  <c r="X24" i="24"/>
  <c r="Y52" i="24"/>
  <c r="M52" i="24"/>
  <c r="W50" i="24"/>
  <c r="J52" i="24"/>
  <c r="Y57" i="24"/>
  <c r="AA59" i="24" s="1"/>
  <c r="W37" i="24"/>
  <c r="AA37" i="24" s="1"/>
  <c r="Q52" i="23"/>
  <c r="X15" i="23"/>
  <c r="J52" i="23"/>
  <c r="X18" i="23"/>
  <c r="X12" i="23"/>
  <c r="X20" i="23"/>
  <c r="W50" i="23"/>
  <c r="H52" i="23"/>
  <c r="X9" i="23"/>
  <c r="X24" i="23"/>
  <c r="K52" i="23"/>
  <c r="M52" i="23"/>
  <c r="Y57" i="23"/>
  <c r="AA59" i="23" s="1"/>
  <c r="W37" i="23"/>
  <c r="AA37" i="23" s="1"/>
  <c r="W58" i="23"/>
  <c r="O52" i="23"/>
  <c r="Y52" i="23"/>
  <c r="X22" i="23"/>
  <c r="U52" i="23"/>
  <c r="S52" i="23"/>
  <c r="W52" i="24" l="1"/>
  <c r="AA54" i="24" s="1"/>
  <c r="W52" i="23"/>
  <c r="AA54" i="23" s="1"/>
  <c r="S56" i="8" l="1"/>
  <c r="O56" i="8"/>
  <c r="K56" i="8"/>
  <c r="W55" i="8"/>
  <c r="Y55" i="8" s="1"/>
  <c r="W54" i="8"/>
  <c r="AA55" i="8" s="1"/>
  <c r="Y51" i="8"/>
  <c r="W51" i="8"/>
  <c r="Y48" i="8"/>
  <c r="U48" i="8"/>
  <c r="S48" i="8"/>
  <c r="Q48" i="8"/>
  <c r="O48" i="8"/>
  <c r="M48" i="8"/>
  <c r="K48" i="8"/>
  <c r="I48" i="8"/>
  <c r="I50" i="8" s="1"/>
  <c r="H48" i="8"/>
  <c r="J48" i="8"/>
  <c r="W47" i="8"/>
  <c r="W46" i="8"/>
  <c r="W45" i="8"/>
  <c r="W44" i="8"/>
  <c r="W43" i="8"/>
  <c r="W41" i="8"/>
  <c r="W40" i="8"/>
  <c r="W38" i="8"/>
  <c r="Y37" i="8"/>
  <c r="U37" i="8"/>
  <c r="S37" i="8"/>
  <c r="Q37" i="8"/>
  <c r="O37" i="8"/>
  <c r="M37" i="8"/>
  <c r="K37" i="8"/>
  <c r="W33" i="8"/>
  <c r="W29" i="8"/>
  <c r="W28" i="8"/>
  <c r="W27" i="8"/>
  <c r="W26" i="8"/>
  <c r="W25" i="8"/>
  <c r="W24" i="8"/>
  <c r="J24" i="8"/>
  <c r="J37" i="8" s="1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X20" i="8" l="1"/>
  <c r="X24" i="8"/>
  <c r="O50" i="8"/>
  <c r="X15" i="8"/>
  <c r="M50" i="8"/>
  <c r="W56" i="8"/>
  <c r="Q50" i="8"/>
  <c r="U50" i="8"/>
  <c r="W48" i="8"/>
  <c r="X22" i="8"/>
  <c r="S50" i="8"/>
  <c r="X12" i="8"/>
  <c r="J50" i="8"/>
  <c r="X9" i="8"/>
  <c r="AA57" i="8"/>
  <c r="Y50" i="8"/>
  <c r="H50" i="8"/>
  <c r="W37" i="8"/>
  <c r="AA37" i="8" s="1"/>
  <c r="X18" i="8"/>
  <c r="K50" i="8"/>
  <c r="T10" i="14"/>
  <c r="S10" i="14"/>
  <c r="Q10" i="14"/>
  <c r="M10" i="14"/>
  <c r="K10" i="14"/>
  <c r="I10" i="14"/>
  <c r="U10" i="14" l="1"/>
  <c r="W50" i="8"/>
  <c r="AA52" i="8" s="1"/>
  <c r="I9" i="14"/>
  <c r="K9" i="14"/>
  <c r="O9" i="14"/>
  <c r="S9" i="14"/>
  <c r="T9" i="14"/>
  <c r="M11" i="14"/>
  <c r="P11" i="14"/>
  <c r="R11" i="14"/>
  <c r="U9" i="14" l="1"/>
  <c r="U11" i="14" s="1"/>
  <c r="Q11" i="14"/>
  <c r="S11" i="14"/>
  <c r="T11" i="14"/>
  <c r="T11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8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752B9C55-DA08-493A-A149-3307E3F8E5A5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923412D4-A8B9-4F94-A965-5D23EECF653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0" authorId="0" shapeId="0" xr:uid="{E0B6F8D5-670F-4FED-8C17-8F00DEA06E2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40A788D8-5141-4CF7-85AF-63EB1C1448A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14CC5DD3-38B6-46AD-A27E-31CCFC9D787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0" authorId="0" shapeId="0" xr:uid="{958EDEE8-6224-47E0-A7A9-74B6E4170CD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<sst xmlns="http://schemas.openxmlformats.org/spreadsheetml/2006/main" count="1957" uniqueCount="650">
  <si>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</si>
  <si>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</si>
  <si>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</si>
  <si>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</si>
  <si>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</si>
  <si>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</si>
  <si>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</si>
  <si>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</si>
  <si>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</si>
  <si>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</si>
  <si>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</si>
  <si>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</si>
  <si>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</si>
  <si>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</si>
  <si>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</si>
  <si>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</si>
  <si>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</si>
  <si>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</si>
  <si>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</si>
  <si>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</si>
  <si>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</si>
  <si>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</si>
  <si>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</si>
  <si>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</si>
  <si>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</si>
  <si>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</si>
  <si>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</si>
  <si>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</si>
  <si>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</si>
  <si>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</si>
  <si>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</si>
  <si>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</si>
  <si>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</si>
  <si>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</si>
  <si>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</si>
  <si>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</si>
  <si>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</si>
  <si>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</si>
  <si>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</si>
  <si>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</si>
  <si>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</si>
  <si>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</si>
  <si>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</si>
  <si>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</si>
  <si>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</si>
  <si>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</si>
  <si>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</si>
  <si>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</si>
  <si>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</si>
  <si>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</si>
  <si>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</si>
  <si>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</si>
  <si>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</si>
  <si>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</si>
  <si>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</si>
  <si>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</si>
  <si>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</si>
  <si>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</si>
  <si>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</si>
  <si>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</si>
  <si>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</si>
  <si>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</si>
  <si>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</si>
  <si>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</si>
  <si>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</si>
  <si>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</si>
  <si>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</si>
  <si>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</si>
  <si>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</si>
  <si>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</si>
  <si>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</si>
  <si>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</si>
  <si>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</si>
  <si>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</si>
  <si>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</si>
  <si>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</si>
  <si>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</si>
  <si>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</si>
  <si>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</si>
  <si>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</si>
  <si>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</si>
  <si>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</si>
  <si>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</si>
  <si>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</si>
  <si>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</si>
  <si>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</si>
  <si>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</si>
  <si>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</si>
  <si>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</si>
  <si>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</si>
  <si>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</si>
  <si>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</si>
  <si>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</si>
  <si>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</si>
  <si>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</si>
  <si>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</si>
  <si>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</si>
  <si>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</si>
  <si>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</si>
  <si>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</si>
  <si>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</si>
  <si>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</si>
  <si>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</si>
  <si>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</si>
  <si>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</si>
  <si>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</si>
  <si>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</si>
  <si>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</si>
  <si>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</si>
  <si>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</si>
  <si>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</si>
  <si>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</si>
  <si>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</si>
  <si>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</si>
  <si>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</si>
  <si>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</si>
  <si>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</si>
  <si>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</si>
  <si>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</si>
  <si>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</si>
  <si>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</si>
  <si>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</si>
  <si>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</si>
  <si>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</si>
  <si>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</si>
  <si>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</si>
  <si>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</si>
  <si>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</si>
  <si>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</si>
  <si>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</si>
  <si>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</si>
  <si>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</si>
  <si>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</si>
  <si>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</si>
  <si>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</si>
  <si>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</si>
  <si>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</si>
  <si>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</si>
  <si>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</si>
  <si>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</si>
  <si>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</si>
  <si>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</si>
  <si>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</si>
  <si>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</si>
  <si>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</si>
  <si>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</si>
  <si>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</si>
  <si>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</si>
  <si>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</si>
  <si>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</si>
  <si>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</si>
  <si>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</si>
  <si>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</si>
  <si>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</si>
  <si>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</si>
  <si>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</si>
  <si>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</si>
  <si>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</si>
  <si>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</si>
  <si>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</si>
  <si>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</si>
  <si>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</si>
  <si>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</si>
  <si>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</si>
  <si>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</si>
  <si>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</si>
  <si>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</si>
  <si>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</si>
  <si>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</si>
  <si>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</si>
  <si>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</si>
  <si>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</si>
  <si>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</si>
  <si>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</si>
  <si>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</si>
  <si>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</si>
  <si>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</si>
  <si>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</si>
  <si>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</si>
  <si>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</si>
  <si>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</si>
  <si>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</si>
  <si>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</si>
  <si>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</si>
  <si>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</si>
  <si>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</si>
  <si>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전기과</t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</si>
  <si>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</si>
  <si>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</si>
  <si>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</si>
  <si>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</si>
  <si>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</si>
  <si>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</si>
  <si>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</si>
  <si>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</si>
  <si>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</si>
  <si>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</si>
  <si>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</si>
  <si>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</si>
  <si>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</si>
  <si>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</si>
  <si>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</si>
  <si>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</si>
  <si>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</si>
  <si>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</si>
  <si>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</si>
  <si>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</si>
  <si>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</si>
  <si>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</si>
  <si>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</si>
  <si>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</si>
  <si>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</si>
  <si>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</si>
  <si>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</si>
  <si>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</si>
  <si>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</si>
  <si>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</si>
  <si>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</si>
  <si>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</si>
  <si>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</si>
  <si>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</si>
  <si>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</si>
  <si>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</si>
  <si>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</si>
  <si>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</si>
  <si>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</si>
  <si>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</si>
  <si>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</si>
  <si>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</si>
  <si>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</si>
  <si>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</si>
  <si>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</si>
  <si>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</si>
  <si>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</si>
  <si>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</si>
  <si>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</si>
  <si>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</si>
  <si>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</si>
  <si>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</si>
  <si>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</si>
  <si>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</si>
  <si>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</si>
  <si>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</si>
  <si>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</si>
  <si>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</si>
  <si>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</si>
  <si>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</si>
  <si>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</si>
  <si>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</si>
  <si>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</si>
  <si>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</si>
  <si>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</si>
  <si>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</si>
  <si>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</si>
  <si>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</si>
  <si>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</si>
  <si>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</si>
  <si>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</si>
  <si>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</si>
  <si>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</si>
  <si>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</si>
  <si>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</si>
  <si>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</si>
  <si>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</si>
  <si>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</si>
  <si>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</si>
  <si>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</si>
  <si>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</si>
  <si>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</si>
  <si>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</si>
  <si>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</si>
  <si>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</si>
  <si>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</si>
  <si>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</si>
  <si>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</si>
  <si>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</si>
  <si>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</si>
  <si>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</si>
  <si>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</si>
  <si>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</si>
  <si>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</si>
  <si>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</si>
  <si>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</si>
  <si>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</si>
  <si>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</si>
  <si>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</si>
  <si>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</si>
  <si>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</si>
  <si>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</si>
  <si>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</si>
  <si>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</si>
  <si>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</si>
  <si>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</si>
  <si>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</si>
  <si>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</si>
  <si>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</si>
  <si>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</si>
  <si>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</si>
  <si>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</si>
  <si>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</si>
  <si>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</si>
  <si>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</si>
  <si>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</si>
  <si>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</si>
  <si>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</si>
  <si>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</si>
  <si>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</si>
  <si>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</si>
  <si>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</si>
  <si>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</si>
  <si>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</si>
  <si>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</si>
  <si>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</si>
  <si>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</si>
  <si>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</si>
  <si>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</si>
  <si>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</si>
  <si>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</si>
  <si>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</si>
  <si>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</si>
  <si>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</si>
  <si>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</si>
  <si>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</si>
  <si>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</si>
  <si>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</si>
  <si>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</si>
  <si>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</si>
  <si>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</si>
  <si>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</si>
  <si>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</si>
  <si>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</si>
  <si>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</si>
  <si>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</si>
  <si>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</si>
  <si>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</si>
  <si>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</si>
  <si>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</si>
  <si>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</si>
  <si>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</si>
  <si>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</si>
  <si>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</si>
  <si>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</si>
  <si>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</si>
  <si>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</si>
  <si>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</si>
  <si>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</si>
  <si>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</si>
  <si>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</si>
  <si>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</si>
  <si>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</si>
  <si>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</si>
  <si>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</si>
  <si>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</si>
  <si>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</si>
  <si>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</si>
  <si>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</si>
  <si>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</si>
  <si>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</si>
  <si>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</si>
  <si>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</si>
  <si>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</si>
  <si>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</si>
  <si>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</si>
  <si>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</si>
  <si>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</si>
  <si>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</si>
  <si>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</si>
  <si>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</si>
  <si>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</si>
  <si>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</si>
  <si>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</si>
  <si>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</si>
  <si>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</si>
  <si>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</si>
  <si>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</si>
  <si>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</si>
  <si>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</si>
  <si>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</si>
  <si>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</si>
  <si>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</si>
  <si>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</si>
  <si>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</si>
  <si>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</si>
  <si>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</si>
  <si>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</si>
  <si>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</si>
  <si>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</si>
  <si>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</si>
  <si>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</si>
  <si>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</si>
  <si>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</si>
  <si>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</si>
  <si>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</si>
  <si>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</si>
  <si>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</si>
  <si>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</si>
  <si>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</si>
  <si>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</si>
  <si>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</si>
  <si>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</si>
  <si>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</si>
  <si>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</si>
  <si>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</si>
  <si>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</si>
  <si>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</si>
  <si>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</si>
  <si>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</si>
  <si>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</si>
  <si>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</si>
  <si>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</si>
  <si>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</si>
  <si>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</si>
  <si>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</si>
  <si>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</si>
  <si>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</si>
  <si>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</si>
  <si>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</si>
  <si>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</si>
  <si>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</si>
  <si>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</si>
  <si>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</si>
  <si>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</si>
  <si>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</si>
  <si>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</si>
  <si>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</si>
  <si>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</si>
  <si>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</si>
  <si>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</si>
  <si>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</si>
  <si>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</si>
  <si>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</si>
  <si>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</si>
  <si>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</si>
  <si>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</si>
  <si>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</si>
  <si>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</si>
  <si>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</si>
  <si>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</si>
  <si>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</si>
  <si>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</si>
  <si>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</si>
  <si>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</si>
  <si>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</si>
  <si>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</si>
  <si>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</si>
  <si>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</si>
  <si>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</si>
  <si>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</si>
  <si>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</si>
  <si>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</si>
  <si>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</si>
  <si>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</si>
  <si>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</si>
  <si>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</si>
  <si>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</si>
  <si>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</si>
  <si>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</si>
  <si>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</si>
  <si>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</si>
  <si>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</si>
  <si>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</si>
  <si>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</si>
  <si>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</si>
  <si>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</si>
  <si>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</si>
  <si>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</si>
  <si>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</si>
  <si>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</si>
  <si>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</si>
  <si>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</si>
  <si>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</si>
  <si>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</si>
  <si>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</si>
  <si>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</si>
  <si>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</si>
  <si>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</si>
  <si>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</si>
  <si>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</si>
  <si>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</si>
  <si>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</si>
  <si>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</si>
  <si>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</si>
  <si>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</si>
  <si>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</si>
  <si>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</si>
  <si>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</si>
  <si>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</si>
  <si>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</si>
  <si>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</si>
  <si>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</si>
  <si>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</si>
  <si>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</si>
  <si>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</si>
  <si>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</si>
  <si>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</si>
  <si>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</si>
  <si>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</si>
  <si>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</si>
  <si>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</si>
  <si>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</si>
  <si>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</si>
  <si>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</si>
  <si>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</si>
  <si>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</si>
  <si>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</si>
  <si>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</si>
  <si>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</si>
  <si>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</si>
  <si>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</si>
  <si>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</si>
  <si>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</si>
  <si>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</si>
  <si>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</si>
  <si>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</si>
  <si>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</si>
  <si>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</si>
  <si>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</si>
  <si>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</si>
  <si>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</si>
  <si>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</si>
  <si>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</si>
  <si>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스포츠 과학*</t>
    <phoneticPr fontId="9" type="noConversion"/>
  </si>
  <si>
    <t>생활과학 탐구</t>
    <phoneticPr fontId="9" type="noConversion"/>
  </si>
  <si>
    <t>장항공업고등학교</t>
    <phoneticPr fontId="9" type="noConversion"/>
  </si>
  <si>
    <t>신재생에너지과</t>
    <phoneticPr fontId="9" type="noConversion"/>
  </si>
  <si>
    <t>신재생에너지 
전기·전자 설비 운용자</t>
    <phoneticPr fontId="9" type="noConversion"/>
  </si>
  <si>
    <t>김경규</t>
    <phoneticPr fontId="9" type="noConversion"/>
  </si>
  <si>
    <t>041-955-5667</t>
    <phoneticPr fontId="9" type="noConversion"/>
  </si>
  <si>
    <t>홍연희</t>
    <phoneticPr fontId="9" type="noConversion"/>
  </si>
  <si>
    <t>041-955-5602</t>
    <phoneticPr fontId="9" type="noConversion"/>
  </si>
  <si>
    <t>노동 인권과 산업 안전 보건</t>
    <phoneticPr fontId="9" type="noConversion"/>
  </si>
  <si>
    <t>자동화 설비</t>
    <phoneticPr fontId="9" type="noConversion"/>
  </si>
  <si>
    <t>전기 회로</t>
    <phoneticPr fontId="9" type="noConversion"/>
  </si>
  <si>
    <t>디지털 논리 회로</t>
    <phoneticPr fontId="5" type="noConversion"/>
  </si>
  <si>
    <t>전기 기기</t>
    <phoneticPr fontId="9" type="noConversion"/>
  </si>
  <si>
    <t>성공적인 직업 생활</t>
    <phoneticPr fontId="9" type="noConversion"/>
  </si>
  <si>
    <t>자동 제어 기기 제작</t>
    <phoneticPr fontId="9" type="noConversion"/>
  </si>
  <si>
    <t>이차전지 원리와 활용</t>
    <phoneticPr fontId="9" type="noConversion"/>
  </si>
  <si>
    <t>신재생에너지 전기공사</t>
    <phoneticPr fontId="9" type="noConversion"/>
  </si>
  <si>
    <t>신재생에너지 실무</t>
    <phoneticPr fontId="9" type="noConversion"/>
  </si>
  <si>
    <t>2~</t>
  </si>
  <si>
    <t>2~</t>
    <phoneticPr fontId="9" type="noConversion"/>
  </si>
  <si>
    <t>기계과</t>
  </si>
  <si>
    <t xml:space="preserve">스마트기기 설계·개발 및 제작자 </t>
    <phoneticPr fontId="9" type="noConversion"/>
  </si>
  <si>
    <t>IoT기계과</t>
    <phoneticPr fontId="9" type="noConversion"/>
  </si>
  <si>
    <t>기계 일반</t>
    <phoneticPr fontId="5" type="noConversion"/>
  </si>
  <si>
    <t>기계 제도</t>
    <phoneticPr fontId="5" type="noConversion"/>
  </si>
  <si>
    <t>기계 기초 공작</t>
    <phoneticPr fontId="9" type="noConversion"/>
  </si>
  <si>
    <t>산업 설비</t>
    <phoneticPr fontId="9" type="noConversion"/>
  </si>
  <si>
    <t>스마트기기 설계·개발</t>
    <phoneticPr fontId="9" type="noConversion"/>
  </si>
  <si>
    <t>스마트기기 운용·제어</t>
    <phoneticPr fontId="9" type="noConversion"/>
  </si>
  <si>
    <t>스마트기기 제작 프로젝트</t>
    <phoneticPr fontId="9" type="noConversion"/>
  </si>
  <si>
    <t>사물 인터넷과 센서 제어</t>
    <phoneticPr fontId="9" type="noConversion"/>
  </si>
  <si>
    <t>기계요소 설계</t>
    <phoneticPr fontId="9" type="noConversion"/>
  </si>
  <si>
    <t>일반</t>
  </si>
  <si>
    <t>도제</t>
  </si>
  <si>
    <t>기계 부품 가공 실무자</t>
    <phoneticPr fontId="9" type="noConversion"/>
  </si>
  <si>
    <t>컴퓨터 활용 생산</t>
    <phoneticPr fontId="9" type="noConversion"/>
  </si>
  <si>
    <t>밀링 가공</t>
    <phoneticPr fontId="9" type="noConversion"/>
  </si>
  <si>
    <t>측정</t>
    <phoneticPr fontId="9" type="noConversion"/>
  </si>
  <si>
    <t>하드웨어 제작</t>
    <phoneticPr fontId="9" type="noConversion"/>
  </si>
  <si>
    <t>1901080215_16v2</t>
    <phoneticPr fontId="9" type="noConversion"/>
  </si>
  <si>
    <t>소프트웨어 작성</t>
    <phoneticPr fontId="9" type="noConversion"/>
  </si>
  <si>
    <t>1901080216_16v2</t>
    <phoneticPr fontId="9" type="noConversion"/>
  </si>
  <si>
    <t>에너지저장시스템 스마트유지보수 운영</t>
    <phoneticPr fontId="9" type="noConversion"/>
  </si>
  <si>
    <t>1901130105_22v2</t>
    <phoneticPr fontId="9" type="noConversion"/>
  </si>
  <si>
    <t>배관공사</t>
    <phoneticPr fontId="9" type="noConversion"/>
  </si>
  <si>
    <t>1901070116_22v4</t>
    <phoneticPr fontId="9" type="noConversion"/>
  </si>
  <si>
    <t>태양광발전설비 전기공사</t>
    <phoneticPr fontId="9" type="noConversion"/>
  </si>
  <si>
    <t>1901070137_22v3</t>
    <phoneticPr fontId="9" type="noConversion"/>
  </si>
  <si>
    <t>전기작업 안전관리</t>
    <phoneticPr fontId="9" type="noConversion"/>
  </si>
  <si>
    <t>2306010214_21v3</t>
    <phoneticPr fontId="9" type="noConversion"/>
  </si>
  <si>
    <t>옥내조명공사</t>
    <phoneticPr fontId="9" type="noConversion"/>
  </si>
  <si>
    <t>1901070119_22v4</t>
    <phoneticPr fontId="9" type="noConversion"/>
  </si>
  <si>
    <t>신재생에너지
실무</t>
    <phoneticPr fontId="9" type="noConversion"/>
  </si>
  <si>
    <t>태양광발전설비 스마트 유지보수 운영</t>
    <phoneticPr fontId="9" type="noConversion"/>
  </si>
  <si>
    <t>1901130103_18v1</t>
    <phoneticPr fontId="9" type="noConversion"/>
  </si>
  <si>
    <t>태양광 발전시스템 운영</t>
    <phoneticPr fontId="9" type="noConversion"/>
  </si>
  <si>
    <t>2305050109_16v2</t>
    <phoneticPr fontId="9" type="noConversion"/>
  </si>
  <si>
    <t>태양광 발전시스템 안전관리</t>
    <phoneticPr fontId="9" type="noConversion"/>
  </si>
  <si>
    <t>자동 제어
기기 제작</t>
    <phoneticPr fontId="9" type="noConversion"/>
  </si>
  <si>
    <t>이차 전지 
원리와 활용</t>
    <phoneticPr fontId="9" type="noConversion"/>
  </si>
  <si>
    <t>신재생에너지
전기 공사</t>
    <phoneticPr fontId="9" type="noConversion"/>
  </si>
  <si>
    <t>동력전달요소설계</t>
    <phoneticPr fontId="9" type="noConversion"/>
  </si>
  <si>
    <t>3D형상모델링 작업</t>
    <phoneticPr fontId="9" type="noConversion"/>
  </si>
  <si>
    <t>1501020113_16v3</t>
    <phoneticPr fontId="9" type="noConversion"/>
  </si>
  <si>
    <t>스마트기기
설계·개발</t>
    <phoneticPr fontId="9" type="noConversion"/>
  </si>
  <si>
    <t>IoT 디바이스 기획</t>
    <phoneticPr fontId="9" type="noConversion"/>
  </si>
  <si>
    <t>2001010604_19v2</t>
    <phoneticPr fontId="9" type="noConversion"/>
  </si>
  <si>
    <t>정보통신기기 기구설계</t>
    <phoneticPr fontId="9" type="noConversion"/>
  </si>
  <si>
    <t>1903030205_14v1</t>
    <phoneticPr fontId="9" type="noConversion"/>
  </si>
  <si>
    <t>개발 목표 설정</t>
    <phoneticPr fontId="9" type="noConversion"/>
  </si>
  <si>
    <t>1501010201_21v3</t>
    <phoneticPr fontId="9" type="noConversion"/>
  </si>
  <si>
    <t>개발 일정 수립</t>
    <phoneticPr fontId="9" type="noConversion"/>
  </si>
  <si>
    <t>1501010207_21v3</t>
    <phoneticPr fontId="9" type="noConversion"/>
  </si>
  <si>
    <t>스마트기기
운용·제어</t>
    <phoneticPr fontId="9" type="noConversion"/>
  </si>
  <si>
    <t>IoT시스템 연동계획</t>
    <phoneticPr fontId="9" type="noConversion"/>
  </si>
  <si>
    <t>2001021201_19v1</t>
    <phoneticPr fontId="9" type="noConversion"/>
  </si>
  <si>
    <t>스마트 디바이스 연동</t>
    <phoneticPr fontId="9" type="noConversion"/>
  </si>
  <si>
    <t>2001021207_19v1</t>
    <phoneticPr fontId="9" type="noConversion"/>
  </si>
  <si>
    <t>IoT 시스템 연동시험</t>
    <phoneticPr fontId="9" type="noConversion"/>
  </si>
  <si>
    <t>2001021209_19v1</t>
    <phoneticPr fontId="9" type="noConversion"/>
  </si>
  <si>
    <t>기계제어 요구사항 분석</t>
    <phoneticPr fontId="9" type="noConversion"/>
  </si>
  <si>
    <t>1501020401_14v2</t>
    <phoneticPr fontId="9" type="noConversion"/>
  </si>
  <si>
    <t>제어프로그램 작성</t>
    <phoneticPr fontId="9" type="noConversion"/>
  </si>
  <si>
    <t>1501020408_14v2</t>
    <phoneticPr fontId="9" type="noConversion"/>
  </si>
  <si>
    <t>스마트기기
제작프로젝트</t>
    <phoneticPr fontId="9" type="noConversion"/>
  </si>
  <si>
    <t>전자부품 기구 프로젝트 기획 설계</t>
    <phoneticPr fontId="9" type="noConversion"/>
  </si>
  <si>
    <t>1903050202_22v2</t>
    <phoneticPr fontId="9" type="noConversion"/>
  </si>
  <si>
    <t>기구프로젝트계획수립</t>
    <phoneticPr fontId="9" type="noConversion"/>
  </si>
  <si>
    <t>1903010402_14v2</t>
    <phoneticPr fontId="9" type="noConversion"/>
  </si>
  <si>
    <t>제품출력</t>
    <phoneticPr fontId="9" type="noConversion"/>
  </si>
  <si>
    <t>1903110209_23v3</t>
    <phoneticPr fontId="9" type="noConversion"/>
  </si>
  <si>
    <t>레이저 절단</t>
    <phoneticPr fontId="9" type="noConversion"/>
  </si>
  <si>
    <t>1502020205_22v3</t>
    <phoneticPr fontId="9" type="noConversion"/>
  </si>
  <si>
    <t>안전규정준수(레이저가공)</t>
    <phoneticPr fontId="9" type="noConversion"/>
  </si>
  <si>
    <t>1502020213_22v3</t>
    <phoneticPr fontId="9" type="noConversion"/>
  </si>
  <si>
    <t>2D도면작업</t>
    <phoneticPr fontId="9" type="noConversion"/>
  </si>
  <si>
    <t>1501020111_16v3</t>
    <phoneticPr fontId="9" type="noConversion"/>
  </si>
  <si>
    <t>CNC밀링(머시닝센터) 조작</t>
    <phoneticPr fontId="9" type="noConversion"/>
  </si>
  <si>
    <t>1502010405_18v3</t>
    <phoneticPr fontId="9" type="noConversion"/>
  </si>
  <si>
    <t>CNC밀링(머시닝센터) 가공 프로그래밍</t>
    <phoneticPr fontId="9" type="noConversion"/>
  </si>
  <si>
    <t>1502010406_18v5</t>
    <phoneticPr fontId="9" type="noConversion"/>
  </si>
  <si>
    <t>CNC밀링(머시닝센터) 가공 CAM 프로그래밍</t>
    <phoneticPr fontId="9" type="noConversion"/>
  </si>
  <si>
    <t>1502010408_18v5</t>
    <phoneticPr fontId="9" type="noConversion"/>
  </si>
  <si>
    <t>밀링가공</t>
    <phoneticPr fontId="9" type="noConversion"/>
  </si>
  <si>
    <t>기본작업(밀링가공)</t>
    <phoneticPr fontId="9" type="noConversion"/>
  </si>
  <si>
    <t>1502010204_16v4</t>
    <phoneticPr fontId="9" type="noConversion"/>
  </si>
  <si>
    <t>평면·총형 가공</t>
    <phoneticPr fontId="9" type="noConversion"/>
  </si>
  <si>
    <t>1502010205_16v4</t>
    <phoneticPr fontId="9" type="noConversion"/>
  </si>
  <si>
    <t>엔드밀 가공</t>
    <phoneticPr fontId="9" type="noConversion"/>
  </si>
  <si>
    <t>1502010207_16v4</t>
    <phoneticPr fontId="9" type="noConversion"/>
  </si>
  <si>
    <t>도면해독(밀링가공)</t>
    <phoneticPr fontId="9" type="noConversion"/>
  </si>
  <si>
    <t>1502010212_16v4</t>
    <phoneticPr fontId="9" type="noConversion"/>
  </si>
  <si>
    <t>기본측정기 사용</t>
    <phoneticPr fontId="9" type="noConversion"/>
  </si>
  <si>
    <t>1502010504_20v3</t>
    <phoneticPr fontId="9" type="noConversion"/>
  </si>
  <si>
    <t>비교측정</t>
    <phoneticPr fontId="9" type="noConversion"/>
  </si>
  <si>
    <t>1502010506_20v4</t>
    <phoneticPr fontId="9" type="noConversion"/>
  </si>
  <si>
    <t>기계 수동 조립</t>
    <phoneticPr fontId="9" type="noConversion"/>
  </si>
  <si>
    <t>기계부품조립</t>
    <phoneticPr fontId="9" type="noConversion"/>
  </si>
  <si>
    <t>1503010106_25v5</t>
    <phoneticPr fontId="9" type="noConversion"/>
  </si>
  <si>
    <t>기계구동장치조립</t>
    <phoneticPr fontId="9" type="noConversion"/>
  </si>
  <si>
    <t>1503010120_25v2</t>
    <phoneticPr fontId="9" type="noConversion"/>
  </si>
  <si>
    <t>기계수동조립</t>
    <phoneticPr fontId="9" type="noConversion"/>
  </si>
  <si>
    <t>컴퓨터활용생산</t>
    <phoneticPr fontId="9" type="noConversion"/>
  </si>
  <si>
    <t>조립도면해독</t>
    <phoneticPr fontId="9" type="noConversion"/>
  </si>
  <si>
    <t>1503010111_25v5</t>
    <phoneticPr fontId="9" type="noConversion"/>
  </si>
  <si>
    <t>IoT기계과-도제</t>
    <phoneticPr fontId="9" type="noConversion"/>
  </si>
  <si>
    <t>1501020107_16v3</t>
    <phoneticPr fontId="9" type="noConversion"/>
  </si>
  <si>
    <t>2305050110_14v1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</si>
</sst>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000000"/>
      <name val="맑은 고딕"/>
      <family val="3"/>
      <charset val="129"/>
      <scheme val="major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EAD2D8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8" fillId="0" borderId="0"/>
  </cellStyleXfs>
  <cellXfs count="57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19" xfId="0" applyFont="1" applyBorder="1" applyAlignment="1">
      <alignment vertical="center"/>
    </xf>
    <xf numFmtId="0" fontId="13" fillId="10" borderId="93" xfId="6" applyFont="1" applyFill="1" applyBorder="1" applyAlignment="1" applyProtection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5" fillId="3" borderId="54" xfId="3" applyFont="1" applyBorder="1" applyAlignment="1" applyProtection="1">
      <alignment horizontal="center" vertical="center"/>
      <protection locked="0"/>
    </xf>
    <xf numFmtId="176" fontId="18" fillId="16" borderId="95" xfId="7" applyNumberFormat="1" applyFont="1" applyFill="1" applyBorder="1" applyAlignment="1" applyProtection="1">
      <alignment horizontal="center" vertical="center" shrinkToFit="1"/>
    </xf>
    <xf numFmtId="0" fontId="28" fillId="11" borderId="95" xfId="7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6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0" fontId="12" fillId="0" borderId="107" xfId="0" applyFont="1" applyBorder="1" applyAlignment="1" applyProtection="1">
      <alignment horizontal="center" vertical="center" shrinkToFit="1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2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97" xfId="4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7" xfId="4" applyFont="1" applyFill="1" applyBorder="1" applyAlignment="1" applyProtection="1">
      <alignment horizontal="center" vertical="center" shrinkToFit="1"/>
    </xf>
    <xf numFmtId="0" fontId="13" fillId="6" borderId="71" xfId="4" applyFont="1" applyFill="1" applyBorder="1" applyAlignment="1" applyProtection="1">
      <alignment horizontal="center" vertical="center" wrapText="1"/>
    </xf>
    <xf numFmtId="0" fontId="22" fillId="0" borderId="126" xfId="0" applyFont="1" applyBorder="1" applyAlignment="1" applyProtection="1">
      <alignment horizontal="center" vertical="center"/>
      <protection locked="0"/>
    </xf>
    <xf numFmtId="0" fontId="34" fillId="0" borderId="0" xfId="16" applyFont="1" applyAlignment="1">
      <alignment vertical="center"/>
    </xf>
    <xf numFmtId="0" fontId="16" fillId="0" borderId="0" xfId="16" applyFont="1" applyAlignment="1"/>
    <xf numFmtId="0" fontId="34" fillId="19" borderId="127" xfId="16" applyFont="1" applyFill="1" applyBorder="1" applyAlignment="1">
      <alignment horizontal="center" vertical="center"/>
    </xf>
    <xf numFmtId="0" fontId="34" fillId="0" borderId="128" xfId="16" applyFont="1" applyBorder="1" applyAlignment="1">
      <alignment vertical="center"/>
    </xf>
    <xf numFmtId="0" fontId="34" fillId="0" borderId="26" xfId="16" applyFont="1" applyBorder="1" applyAlignment="1">
      <alignment vertical="center"/>
    </xf>
    <xf numFmtId="0" fontId="34" fillId="0" borderId="23" xfId="16" applyFont="1" applyBorder="1" applyAlignment="1">
      <alignment vertical="center"/>
    </xf>
    <xf numFmtId="0" fontId="34" fillId="0" borderId="4" xfId="16" applyFont="1" applyBorder="1" applyAlignment="1">
      <alignment vertical="center"/>
    </xf>
    <xf numFmtId="0" fontId="34" fillId="0" borderId="130" xfId="16" applyFont="1" applyBorder="1" applyAlignment="1">
      <alignment vertical="center"/>
    </xf>
    <xf numFmtId="0" fontId="34" fillId="0" borderId="19" xfId="16" applyFont="1" applyBorder="1" applyAlignment="1">
      <alignment vertical="center"/>
    </xf>
    <xf numFmtId="0" fontId="34" fillId="0" borderId="6" xfId="16" applyFont="1" applyBorder="1" applyAlignment="1">
      <alignment vertical="center"/>
    </xf>
    <xf numFmtId="0" fontId="34" fillId="0" borderId="135" xfId="16" applyFont="1" applyBorder="1" applyAlignment="1">
      <alignment vertical="center"/>
    </xf>
    <xf numFmtId="0" fontId="34" fillId="0" borderId="3" xfId="16" applyFont="1" applyBorder="1" applyAlignment="1">
      <alignment vertical="center"/>
    </xf>
    <xf numFmtId="0" fontId="34" fillId="0" borderId="20" xfId="16" applyFont="1" applyBorder="1" applyAlignment="1">
      <alignment vertical="center"/>
    </xf>
    <xf numFmtId="0" fontId="34" fillId="0" borderId="18" xfId="16" applyFont="1" applyBorder="1" applyAlignment="1">
      <alignment vertical="center"/>
    </xf>
    <xf numFmtId="0" fontId="34" fillId="21" borderId="141" xfId="16" applyFont="1" applyFill="1" applyBorder="1" applyAlignment="1">
      <alignment horizontal="center" vertical="center" wrapText="1"/>
    </xf>
    <xf numFmtId="0" fontId="34" fillId="21" borderId="142" xfId="16" applyFont="1" applyFill="1" applyBorder="1" applyAlignment="1">
      <alignment horizontal="center" vertical="center" wrapText="1"/>
    </xf>
    <xf numFmtId="0" fontId="44" fillId="21" borderId="142" xfId="16" applyFont="1" applyFill="1" applyBorder="1" applyAlignment="1">
      <alignment horizontal="center" vertical="center" wrapText="1"/>
    </xf>
    <xf numFmtId="0" fontId="44" fillId="21" borderId="143" xfId="16" applyFont="1" applyFill="1" applyBorder="1" applyAlignment="1">
      <alignment horizontal="center" vertical="center" wrapText="1"/>
    </xf>
    <xf numFmtId="0" fontId="34" fillId="0" borderId="19" xfId="16" applyFont="1" applyBorder="1" applyAlignment="1">
      <alignment vertical="center" wrapText="1"/>
    </xf>
    <xf numFmtId="0" fontId="34" fillId="0" borderId="6" xfId="16" applyFont="1" applyBorder="1" applyAlignment="1">
      <alignment vertical="center" wrapText="1"/>
    </xf>
    <xf numFmtId="0" fontId="45" fillId="0" borderId="147" xfId="16" applyFont="1" applyBorder="1" applyAlignment="1">
      <alignment horizontal="center" vertical="center" wrapText="1"/>
    </xf>
    <xf numFmtId="0" fontId="45" fillId="0" borderId="149" xfId="16" applyFont="1" applyBorder="1" applyAlignment="1">
      <alignment horizontal="center" vertical="center" wrapText="1"/>
    </xf>
    <xf numFmtId="0" fontId="45" fillId="0" borderId="153" xfId="16" applyFont="1" applyBorder="1" applyAlignment="1">
      <alignment horizontal="center" vertical="center" wrapText="1"/>
    </xf>
    <xf numFmtId="0" fontId="45" fillId="0" borderId="154" xfId="16" applyFont="1" applyBorder="1" applyAlignment="1">
      <alignment horizontal="center" vertical="center" wrapText="1"/>
    </xf>
    <xf numFmtId="0" fontId="45" fillId="0" borderId="157" xfId="16" applyFont="1" applyBorder="1" applyAlignment="1">
      <alignment horizontal="center" vertical="center" wrapText="1"/>
    </xf>
    <xf numFmtId="0" fontId="45" fillId="0" borderId="158" xfId="16" applyFont="1" applyBorder="1" applyAlignment="1">
      <alignment horizontal="center" vertical="center" wrapText="1"/>
    </xf>
    <xf numFmtId="0" fontId="45" fillId="0" borderId="160" xfId="16" applyFont="1" applyBorder="1" applyAlignment="1">
      <alignment horizontal="center" vertical="center" wrapText="1"/>
    </xf>
    <xf numFmtId="0" fontId="34" fillId="0" borderId="160" xfId="16" applyFont="1" applyBorder="1" applyAlignment="1">
      <alignment horizontal="center" vertical="center" wrapText="1"/>
    </xf>
    <xf numFmtId="0" fontId="45" fillId="0" borderId="161" xfId="16" applyFont="1" applyBorder="1" applyAlignment="1">
      <alignment horizontal="center" vertical="center" wrapText="1"/>
    </xf>
    <xf numFmtId="0" fontId="34" fillId="0" borderId="154" xfId="16" applyFont="1" applyBorder="1" applyAlignment="1">
      <alignment horizontal="center" vertical="center" wrapText="1"/>
    </xf>
    <xf numFmtId="0" fontId="34" fillId="0" borderId="157" xfId="16" applyFont="1" applyBorder="1" applyAlignment="1">
      <alignment horizontal="center" vertical="center" wrapText="1"/>
    </xf>
    <xf numFmtId="0" fontId="45" fillId="0" borderId="133" xfId="16" applyFont="1" applyBorder="1" applyAlignment="1">
      <alignment horizontal="center" vertical="center" wrapText="1"/>
    </xf>
    <xf numFmtId="0" fontId="47" fillId="21" borderId="133" xfId="16" applyFont="1" applyFill="1" applyBorder="1" applyAlignment="1">
      <alignment horizontal="center" vertical="center" wrapText="1"/>
    </xf>
    <xf numFmtId="0" fontId="48" fillId="0" borderId="154" xfId="16" applyFont="1" applyBorder="1" applyAlignment="1">
      <alignment horizontal="center" vertical="center" wrapText="1"/>
    </xf>
    <xf numFmtId="0" fontId="48" fillId="0" borderId="132" xfId="16" applyFont="1" applyBorder="1" applyAlignment="1">
      <alignment horizontal="center" vertical="center" wrapText="1"/>
    </xf>
    <xf numFmtId="0" fontId="47" fillId="0" borderId="133" xfId="16" applyFont="1" applyBorder="1" applyAlignment="1">
      <alignment horizontal="center" vertical="center" wrapText="1"/>
    </xf>
    <xf numFmtId="0" fontId="34" fillId="0" borderId="0" xfId="16" applyFont="1" applyBorder="1" applyAlignment="1">
      <alignment vertical="center"/>
    </xf>
    <xf numFmtId="0" fontId="49" fillId="0" borderId="0" xfId="16" applyFont="1" applyBorder="1" applyAlignment="1">
      <alignment horizontal="center" vertical="center"/>
    </xf>
    <xf numFmtId="0" fontId="43" fillId="0" borderId="133" xfId="16" applyFont="1" applyBorder="1" applyAlignment="1">
      <alignment horizontal="center" vertical="center"/>
    </xf>
    <xf numFmtId="0" fontId="43" fillId="20" borderId="154" xfId="16" applyFont="1" applyFill="1" applyBorder="1" applyAlignment="1">
      <alignment horizontal="center" vertical="center"/>
    </xf>
    <xf numFmtId="0" fontId="43" fillId="20" borderId="132" xfId="16" applyFont="1" applyFill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49" fillId="0" borderId="133" xfId="16" applyFont="1" applyBorder="1" applyAlignment="1">
      <alignment horizontal="center" vertical="center" wrapText="1"/>
    </xf>
    <xf numFmtId="0" fontId="43" fillId="0" borderId="154" xfId="16" applyFont="1" applyBorder="1" applyAlignment="1">
      <alignment horizontal="center" vertical="center" wrapText="1"/>
    </xf>
    <xf numFmtId="0" fontId="43" fillId="0" borderId="133" xfId="16" applyFont="1" applyBorder="1" applyAlignment="1">
      <alignment horizontal="center" vertical="center" wrapText="1"/>
    </xf>
    <xf numFmtId="0" fontId="34" fillId="0" borderId="154" xfId="16" applyFont="1" applyBorder="1" applyAlignment="1">
      <alignment vertical="center" wrapText="1"/>
    </xf>
    <xf numFmtId="0" fontId="34" fillId="0" borderId="0" xfId="16" applyFont="1" applyBorder="1" applyAlignment="1">
      <alignment vertical="center" wrapText="1"/>
    </xf>
    <xf numFmtId="0" fontId="43" fillId="20" borderId="133" xfId="16" applyFont="1" applyFill="1" applyBorder="1" applyAlignment="1">
      <alignment horizontal="center" vertical="center"/>
    </xf>
    <xf numFmtId="0" fontId="43" fillId="0" borderId="132" xfId="16" applyFont="1" applyBorder="1" applyAlignment="1">
      <alignment horizontal="center" vertical="center"/>
    </xf>
    <xf numFmtId="0" fontId="43" fillId="0" borderId="154" xfId="16" applyFont="1" applyBorder="1" applyAlignment="1">
      <alignment horizontal="center" vertical="center"/>
    </xf>
    <xf numFmtId="0" fontId="50" fillId="0" borderId="154" xfId="16" applyFont="1" applyBorder="1" applyAlignment="1">
      <alignment horizontal="center" vertical="center"/>
    </xf>
    <xf numFmtId="0" fontId="50" fillId="0" borderId="133" xfId="16" applyFont="1" applyBorder="1" applyAlignment="1">
      <alignment horizontal="center" vertical="center"/>
    </xf>
    <xf numFmtId="0" fontId="34" fillId="0" borderId="140" xfId="16" applyFont="1" applyBorder="1" applyAlignment="1">
      <alignment vertical="center"/>
    </xf>
    <xf numFmtId="0" fontId="34" fillId="0" borderId="138" xfId="16" applyFont="1" applyBorder="1" applyAlignment="1">
      <alignment vertical="center"/>
    </xf>
    <xf numFmtId="0" fontId="34" fillId="0" borderId="165" xfId="16" applyFont="1" applyBorder="1" applyAlignment="1">
      <alignment vertical="center"/>
    </xf>
    <xf numFmtId="0" fontId="34" fillId="0" borderId="166" xfId="16" applyFont="1" applyBorder="1" applyAlignment="1">
      <alignment vertical="center"/>
    </xf>
    <xf numFmtId="0" fontId="34" fillId="0" borderId="112" xfId="16" applyFont="1" applyBorder="1" applyAlignment="1">
      <alignment vertical="center"/>
    </xf>
    <xf numFmtId="0" fontId="34" fillId="0" borderId="136" xfId="16" applyFont="1" applyBorder="1" applyAlignment="1">
      <alignment vertical="center"/>
    </xf>
    <xf numFmtId="0" fontId="34" fillId="0" borderId="168" xfId="16" applyFont="1" applyBorder="1" applyAlignment="1">
      <alignment vertical="center"/>
    </xf>
    <xf numFmtId="0" fontId="34" fillId="0" borderId="169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8" fillId="16" borderId="95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3" fillId="15" borderId="99" xfId="4" applyFont="1" applyFill="1" applyBorder="1" applyAlignment="1" applyProtection="1">
      <alignment horizontal="center" vertical="center" wrapText="1"/>
    </xf>
    <xf numFmtId="0" fontId="13" fillId="15" borderId="170" xfId="4" applyFont="1" applyFill="1" applyBorder="1" applyAlignment="1" applyProtection="1">
      <alignment horizontal="center" vertical="center" wrapText="1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67" xfId="4" applyFont="1" applyFill="1" applyBorder="1" applyAlignment="1" applyProtection="1">
      <alignment horizontal="center" vertical="center" wrapTex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13" fillId="15" borderId="178" xfId="4" applyFont="1" applyFill="1" applyBorder="1" applyAlignment="1" applyProtection="1">
      <alignment horizontal="center" vertical="center" wrapText="1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102" xfId="4" applyFont="1" applyFill="1" applyBorder="1" applyAlignment="1" applyProtection="1">
      <alignment horizontal="center" vertical="center" wrapText="1"/>
      <protection locked="0"/>
    </xf>
    <xf numFmtId="0" fontId="13" fillId="0" borderId="175" xfId="4" applyFont="1" applyFill="1" applyBorder="1" applyAlignment="1" applyProtection="1">
      <alignment horizontal="center" vertical="center" wrapText="1"/>
      <protection locked="0"/>
    </xf>
    <xf numFmtId="0" fontId="13" fillId="0" borderId="17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0" borderId="64" xfId="4" applyFont="1" applyFill="1" applyBorder="1" applyAlignment="1" applyProtection="1">
      <alignment horizontal="center" vertical="center" wrapText="1"/>
    </xf>
    <xf numFmtId="0" fontId="13" fillId="0" borderId="45" xfId="4" applyFont="1" applyFill="1" applyBorder="1" applyAlignment="1" applyProtection="1">
      <alignment horizontal="center" vertical="center" wrapText="1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99" xfId="4" applyFont="1" applyFill="1" applyBorder="1" applyAlignment="1" applyProtection="1">
      <alignment horizontal="center" vertical="center" wrapText="1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92" xfId="4" applyFont="1" applyFill="1" applyBorder="1" applyAlignment="1" applyProtection="1">
      <alignment horizontal="center" vertical="center" wrapText="1"/>
    </xf>
    <xf numFmtId="0" fontId="13" fillId="0" borderId="40" xfId="4" applyFont="1" applyFill="1" applyBorder="1" applyAlignment="1" applyProtection="1">
      <alignment horizontal="center" vertical="center" wrapText="1"/>
    </xf>
    <xf numFmtId="0" fontId="13" fillId="0" borderId="32" xfId="4" applyFont="1" applyFill="1" applyBorder="1" applyAlignment="1" applyProtection="1">
      <alignment horizontal="center" vertical="center" wrapText="1"/>
    </xf>
    <xf numFmtId="0" fontId="13" fillId="0" borderId="101" xfId="4" applyFont="1" applyFill="1" applyBorder="1" applyAlignment="1" applyProtection="1">
      <alignment horizontal="center" vertical="center" wrapText="1"/>
      <protection locked="0"/>
    </xf>
    <xf numFmtId="0" fontId="13" fillId="0" borderId="179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20" fillId="9" borderId="94" xfId="7" applyNumberFormat="1" applyFont="1" applyFill="1" applyBorder="1" applyAlignment="1" applyProtection="1">
      <alignment horizontal="center" vertical="center" shrinkToFit="1"/>
    </xf>
    <xf numFmtId="176" fontId="20" fillId="9" borderId="94" xfId="7" applyNumberFormat="1" applyFont="1" applyFill="1" applyBorder="1" applyAlignment="1" applyProtection="1">
      <alignment horizontal="center" vertical="center" shrinkToFit="1"/>
    </xf>
    <xf numFmtId="176" fontId="56" fillId="0" borderId="94" xfId="0" applyNumberFormat="1" applyFont="1" applyBorder="1">
      <alignment vertical="center"/>
    </xf>
    <xf numFmtId="176" fontId="56" fillId="0" borderId="28" xfId="0" applyNumberFormat="1" applyFont="1" applyBorder="1">
      <alignment vertical="center"/>
    </xf>
    <xf numFmtId="0" fontId="20" fillId="9" borderId="14" xfId="7" applyNumberFormat="1" applyFont="1" applyFill="1" applyBorder="1" applyAlignment="1" applyProtection="1">
      <alignment horizontal="center" vertical="center" shrinkToFit="1"/>
    </xf>
    <xf numFmtId="0" fontId="20" fillId="9" borderId="11" xfId="7" applyNumberFormat="1" applyFont="1" applyFill="1" applyBorder="1" applyAlignment="1" applyProtection="1">
      <alignment horizontal="center" vertical="center" shrinkToFit="1"/>
    </xf>
    <xf numFmtId="176" fontId="20" fillId="9" borderId="14" xfId="7" applyNumberFormat="1" applyFont="1" applyFill="1" applyBorder="1" applyAlignment="1" applyProtection="1">
      <alignment horizontal="center" vertical="center" shrinkToFit="1"/>
    </xf>
    <xf numFmtId="176" fontId="56" fillId="0" borderId="14" xfId="0" applyNumberFormat="1" applyFont="1" applyBorder="1">
      <alignment vertical="center"/>
    </xf>
    <xf numFmtId="176" fontId="56" fillId="0" borderId="10" xfId="0" applyNumberFormat="1" applyFont="1" applyBorder="1">
      <alignment vertical="center"/>
    </xf>
    <xf numFmtId="176" fontId="20" fillId="9" borderId="11" xfId="7" applyNumberFormat="1" applyFont="1" applyFill="1" applyBorder="1" applyAlignment="1" applyProtection="1">
      <alignment horizontal="center" vertical="center" shrinkToFit="1"/>
    </xf>
    <xf numFmtId="176" fontId="56" fillId="0" borderId="11" xfId="0" applyNumberFormat="1" applyFont="1" applyBorder="1">
      <alignment vertical="center"/>
    </xf>
    <xf numFmtId="176" fontId="56" fillId="0" borderId="104" xfId="0" applyNumberFormat="1" applyFont="1" applyBorder="1">
      <alignment vertical="center"/>
    </xf>
    <xf numFmtId="176" fontId="18" fillId="16" borderId="95" xfId="7" applyNumberFormat="1" applyFont="1" applyFill="1" applyBorder="1" applyAlignment="1" applyProtection="1">
      <alignment horizontal="right" vertical="center" shrinkToFit="1"/>
    </xf>
    <xf numFmtId="176" fontId="56" fillId="0" borderId="94" xfId="0" applyNumberFormat="1" applyFont="1" applyBorder="1" applyAlignment="1">
      <alignment horizontal="right" vertical="center"/>
    </xf>
    <xf numFmtId="176" fontId="56" fillId="0" borderId="28" xfId="0" applyNumberFormat="1" applyFont="1" applyBorder="1" applyAlignment="1">
      <alignment horizontal="right" vertical="center"/>
    </xf>
    <xf numFmtId="176" fontId="56" fillId="0" borderId="11" xfId="0" applyNumberFormat="1" applyFont="1" applyBorder="1" applyAlignment="1">
      <alignment horizontal="right" vertical="center"/>
    </xf>
    <xf numFmtId="176" fontId="56" fillId="0" borderId="104" xfId="0" applyNumberFormat="1" applyFont="1" applyBorder="1" applyAlignment="1">
      <alignment horizontal="right" vertical="center"/>
    </xf>
    <xf numFmtId="176" fontId="57" fillId="16" borderId="95" xfId="0" applyNumberFormat="1" applyFont="1" applyFill="1" applyBorder="1" applyAlignment="1">
      <alignment horizontal="right" vertical="center"/>
    </xf>
    <xf numFmtId="176" fontId="57" fillId="16" borderId="29" xfId="0" applyNumberFormat="1" applyFont="1" applyFill="1" applyBorder="1" applyAlignment="1">
      <alignment horizontal="right" vertical="center"/>
    </xf>
    <xf numFmtId="176" fontId="58" fillId="18" borderId="11" xfId="0" applyNumberFormat="1" applyFont="1" applyFill="1" applyBorder="1" applyAlignment="1">
      <alignment horizontal="center" vertical="center" shrinkToFit="1"/>
    </xf>
    <xf numFmtId="0" fontId="20" fillId="9" borderId="30" xfId="7" applyNumberFormat="1" applyFont="1" applyFill="1" applyBorder="1" applyAlignment="1" applyProtection="1">
      <alignment horizontal="center" vertical="center" shrinkToFit="1"/>
    </xf>
    <xf numFmtId="176" fontId="58" fillId="18" borderId="14" xfId="0" applyNumberFormat="1" applyFont="1" applyFill="1" applyBorder="1" applyAlignment="1">
      <alignment horizontal="center" vertical="center" shrinkToFit="1"/>
    </xf>
    <xf numFmtId="0" fontId="20" fillId="9" borderId="94" xfId="7" applyFont="1" applyFill="1" applyBorder="1" applyAlignment="1">
      <alignment horizontal="center" vertical="center" shrinkToFit="1"/>
    </xf>
    <xf numFmtId="0" fontId="20" fillId="9" borderId="14" xfId="7" applyFont="1" applyFill="1" applyBorder="1" applyAlignment="1">
      <alignment horizontal="center" vertical="center" shrinkToFit="1"/>
    </xf>
    <xf numFmtId="0" fontId="20" fillId="9" borderId="11" xfId="7" applyFont="1" applyFill="1" applyBorder="1" applyAlignment="1">
      <alignment horizontal="center" vertical="center" shrinkToFit="1"/>
    </xf>
    <xf numFmtId="0" fontId="20" fillId="0" borderId="114" xfId="7" applyFont="1" applyBorder="1" applyAlignment="1">
      <alignment horizontal="center" vertical="center" shrinkToFit="1"/>
    </xf>
    <xf numFmtId="0" fontId="20" fillId="0" borderId="113" xfId="7" applyFont="1" applyBorder="1" applyAlignment="1">
      <alignment horizontal="center" vertical="center" shrinkToFit="1"/>
    </xf>
    <xf numFmtId="0" fontId="20" fillId="0" borderId="115" xfId="7" applyFont="1" applyBorder="1" applyAlignment="1">
      <alignment horizontal="center" vertical="center" shrinkToFit="1"/>
    </xf>
    <xf numFmtId="0" fontId="20" fillId="9" borderId="107" xfId="7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/>
    </xf>
    <xf numFmtId="0" fontId="20" fillId="0" borderId="108" xfId="7" applyFont="1" applyBorder="1" applyAlignment="1">
      <alignment horizontal="center" vertical="center" shrinkToFit="1"/>
    </xf>
    <xf numFmtId="0" fontId="20" fillId="9" borderId="109" xfId="7" applyFont="1" applyFill="1" applyBorder="1" applyAlignment="1">
      <alignment horizontal="center" vertical="center" shrinkToFit="1"/>
    </xf>
    <xf numFmtId="176" fontId="56" fillId="0" borderId="180" xfId="0" applyNumberFormat="1" applyFont="1" applyBorder="1" applyAlignment="1">
      <alignment horizontal="right" vertical="center"/>
    </xf>
    <xf numFmtId="0" fontId="18" fillId="16" borderId="95" xfId="7" applyFont="1" applyFill="1" applyBorder="1" applyAlignment="1">
      <alignment horizontal="center" vertical="center" shrinkToFit="1"/>
    </xf>
    <xf numFmtId="0" fontId="20" fillId="0" borderId="94" xfId="7" applyFont="1" applyBorder="1" applyAlignment="1">
      <alignment horizontal="center" vertical="center" shrinkToFit="1"/>
    </xf>
    <xf numFmtId="0" fontId="20" fillId="0" borderId="11" xfId="7" applyFont="1" applyBorder="1" applyAlignment="1">
      <alignment horizontal="center" vertical="center" shrinkToFit="1"/>
    </xf>
    <xf numFmtId="0" fontId="20" fillId="9" borderId="0" xfId="7" applyFont="1" applyFill="1" applyAlignment="1">
      <alignment horizontal="center" vertical="center" shrinkToFit="1"/>
    </xf>
    <xf numFmtId="176" fontId="20" fillId="9" borderId="110" xfId="7" applyNumberFormat="1" applyFont="1" applyFill="1" applyBorder="1" applyAlignment="1" applyProtection="1">
      <alignment horizontal="center" vertical="center" shrinkToFit="1"/>
    </xf>
    <xf numFmtId="176" fontId="18" fillId="22" borderId="95" xfId="7" applyNumberFormat="1" applyFont="1" applyFill="1" applyBorder="1" applyAlignment="1" applyProtection="1">
      <alignment horizontal="center" vertical="center" shrinkToFit="1"/>
    </xf>
    <xf numFmtId="176" fontId="56" fillId="22" borderId="95" xfId="0" applyNumberFormat="1" applyFont="1" applyFill="1" applyBorder="1" applyAlignment="1">
      <alignment horizontal="right" vertical="center"/>
    </xf>
    <xf numFmtId="176" fontId="18" fillId="0" borderId="11" xfId="7" applyNumberFormat="1" applyFont="1" applyFill="1" applyBorder="1" applyAlignment="1" applyProtection="1">
      <alignment horizontal="center" vertical="center" shrinkToFit="1"/>
    </xf>
    <xf numFmtId="176" fontId="20" fillId="22" borderId="95" xfId="7" applyNumberFormat="1" applyFont="1" applyFill="1" applyBorder="1" applyAlignment="1" applyProtection="1">
      <alignment horizontal="center" vertical="center" shrinkToFit="1"/>
    </xf>
    <xf numFmtId="176" fontId="20" fillId="0" borderId="11" xfId="7" applyNumberFormat="1" applyFont="1" applyFill="1" applyBorder="1" applyAlignment="1" applyProtection="1">
      <alignment horizontal="center" vertical="center" shrinkToFit="1"/>
    </xf>
    <xf numFmtId="176" fontId="20" fillId="0" borderId="11" xfId="7" applyNumberFormat="1" applyFont="1" applyFill="1" applyBorder="1" applyAlignment="1" applyProtection="1">
      <alignment horizontal="right" vertical="center" shrinkToFit="1"/>
    </xf>
    <xf numFmtId="176" fontId="20" fillId="0" borderId="104" xfId="7" applyNumberFormat="1" applyFont="1" applyFill="1" applyBorder="1" applyAlignment="1" applyProtection="1">
      <alignment horizontal="right" vertical="center" shrinkToFit="1"/>
    </xf>
    <xf numFmtId="176" fontId="57" fillId="22" borderId="95" xfId="0" applyNumberFormat="1" applyFont="1" applyFill="1" applyBorder="1">
      <alignment vertical="center"/>
    </xf>
    <xf numFmtId="176" fontId="57" fillId="22" borderId="29" xfId="0" applyNumberFormat="1" applyFont="1" applyFill="1" applyBorder="1">
      <alignment vertical="center"/>
    </xf>
    <xf numFmtId="176" fontId="57" fillId="22" borderId="95" xfId="0" applyNumberFormat="1" applyFont="1" applyFill="1" applyBorder="1" applyAlignment="1">
      <alignment horizontal="right" vertical="center"/>
    </xf>
    <xf numFmtId="176" fontId="13" fillId="15" borderId="54" xfId="0" applyNumberFormat="1" applyFont="1" applyFill="1" applyBorder="1" applyAlignment="1">
      <alignment horizontal="center" vertical="center" wrapText="1"/>
    </xf>
    <xf numFmtId="176" fontId="13" fillId="15" borderId="51" xfId="0" applyNumberFormat="1" applyFont="1" applyFill="1" applyBorder="1" applyAlignment="1">
      <alignment horizontal="center" vertical="center" wrapText="1"/>
    </xf>
    <xf numFmtId="0" fontId="13" fillId="0" borderId="54" xfId="0" applyFont="1" applyBorder="1" applyAlignment="1" applyProtection="1">
      <alignment horizontal="center" vertical="center" wrapText="1"/>
      <protection locked="0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0" fontId="13" fillId="0" borderId="48" xfId="2" applyFont="1" applyBorder="1" applyAlignment="1" applyProtection="1">
      <alignment horizontal="center" vertical="center" wrapText="1"/>
      <protection locked="0"/>
    </xf>
    <xf numFmtId="0" fontId="13" fillId="0" borderId="52" xfId="2" applyFont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13" fillId="15" borderId="51" xfId="5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179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5" borderId="101" xfId="5" applyFont="1" applyFill="1" applyBorder="1" applyAlignment="1" applyProtection="1">
      <alignment horizontal="center" vertical="center" wrapText="1"/>
    </xf>
    <xf numFmtId="0" fontId="13" fillId="15" borderId="102" xfId="5" applyFont="1" applyFill="1" applyBorder="1" applyAlignment="1" applyProtection="1">
      <alignment horizontal="center" vertical="center" wrapText="1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10" borderId="85" xfId="6" applyFont="1" applyFill="1" applyBorder="1" applyAlignment="1" applyProtection="1">
      <alignment horizontal="center" vertical="center" wrapText="1"/>
    </xf>
    <xf numFmtId="0" fontId="13" fillId="6" borderId="31" xfId="4" applyFont="1" applyFill="1" applyBorder="1" applyAlignment="1" applyProtection="1">
      <alignment horizontal="center" vertical="center" wrapText="1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0" borderId="65" xfId="4" applyFont="1" applyFill="1" applyBorder="1" applyAlignment="1" applyProtection="1">
      <alignment horizontal="center" vertical="center" wrapText="1"/>
      <protection locked="0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13" fillId="0" borderId="125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0" borderId="102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06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55" fillId="0" borderId="15" xfId="0" applyFont="1" applyBorder="1" applyAlignment="1" applyProtection="1">
      <alignment horizontal="center" vertical="center" wrapText="1"/>
      <protection locked="0"/>
    </xf>
    <xf numFmtId="0" fontId="55" fillId="0" borderId="21" xfId="0" applyFont="1" applyBorder="1" applyAlignment="1" applyProtection="1">
      <alignment horizontal="center" vertical="center" wrapText="1"/>
      <protection locked="0"/>
    </xf>
    <xf numFmtId="0" fontId="55" fillId="0" borderId="2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5" fillId="3" borderId="35" xfId="3" applyFont="1" applyBorder="1" applyAlignment="1" applyProtection="1">
      <alignment horizontal="center" vertical="center"/>
      <protection locked="0"/>
    </xf>
    <xf numFmtId="0" fontId="25" fillId="3" borderId="71" xfId="3" applyFont="1" applyBorder="1" applyAlignment="1" applyProtection="1">
      <alignment horizontal="center" vertical="center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13" fillId="0" borderId="101" xfId="4" applyFont="1" applyFill="1" applyBorder="1" applyAlignment="1" applyProtection="1">
      <alignment horizontal="center" vertical="center" wrapText="1"/>
      <protection locked="0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35" fillId="15" borderId="13" xfId="0" applyFont="1" applyFill="1" applyBorder="1" applyAlignment="1">
      <alignment horizontal="center" vertical="center" wrapText="1"/>
    </xf>
    <xf numFmtId="0" fontId="35" fillId="15" borderId="16" xfId="0" applyFont="1" applyFill="1" applyBorder="1" applyAlignment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23" fillId="13" borderId="22" xfId="0" applyFont="1" applyFill="1" applyBorder="1" applyAlignment="1" applyProtection="1">
      <alignment horizontal="center" vertical="center"/>
      <protection locked="0"/>
    </xf>
    <xf numFmtId="0" fontId="23" fillId="13" borderId="27" xfId="0" applyFont="1" applyFill="1" applyBorder="1" applyAlignment="1" applyProtection="1">
      <alignment horizontal="center" vertical="center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3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13" fillId="0" borderId="47" xfId="0" applyFont="1" applyBorder="1" applyAlignment="1" applyProtection="1">
      <alignment horizontal="center" vertical="center" wrapText="1"/>
      <protection locked="0"/>
    </xf>
    <xf numFmtId="0" fontId="13" fillId="0" borderId="58" xfId="0" applyFont="1" applyBorder="1" applyAlignment="1" applyProtection="1">
      <alignment horizontal="center" vertical="center" wrapText="1"/>
      <protection locked="0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0" borderId="101" xfId="2" applyFont="1" applyBorder="1" applyAlignment="1" applyProtection="1">
      <alignment horizontal="center" vertical="center" wrapText="1"/>
      <protection locked="0"/>
    </xf>
    <xf numFmtId="0" fontId="13" fillId="0" borderId="102" xfId="2" applyFont="1" applyBorder="1" applyAlignment="1" applyProtection="1">
      <alignment horizontal="center" vertical="center" wrapText="1"/>
      <protection locked="0"/>
    </xf>
    <xf numFmtId="0" fontId="13" fillId="0" borderId="175" xfId="2" applyFont="1" applyBorder="1" applyAlignment="1" applyProtection="1">
      <alignment horizontal="center" vertical="center" wrapText="1"/>
      <protection locked="0"/>
    </xf>
    <xf numFmtId="0" fontId="13" fillId="0" borderId="71" xfId="2" applyFont="1" applyBorder="1" applyAlignment="1" applyProtection="1">
      <alignment horizontal="center" vertical="center" wrapText="1"/>
      <protection locked="0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0" fontId="13" fillId="0" borderId="58" xfId="0" applyFont="1" applyBorder="1" applyAlignment="1" applyProtection="1">
      <alignment horizontal="center" vertical="center" shrinkToFi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3" xfId="0" applyNumberFormat="1" applyFont="1" applyFill="1" applyBorder="1" applyAlignment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124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8" fillId="9" borderId="103" xfId="7" applyFont="1" applyFill="1" applyBorder="1" applyAlignment="1">
      <alignment horizontal="center" vertical="center" wrapText="1"/>
    </xf>
    <xf numFmtId="0" fontId="18" fillId="9" borderId="105" xfId="7" applyFont="1" applyFill="1" applyBorder="1" applyAlignment="1">
      <alignment horizontal="center" vertical="center" wrapText="1"/>
    </xf>
    <xf numFmtId="0" fontId="18" fillId="9" borderId="8" xfId="7" applyFont="1" applyFill="1" applyBorder="1" applyAlignment="1">
      <alignment horizontal="center" vertical="center" wrapText="1"/>
    </xf>
    <xf numFmtId="176" fontId="18" fillId="9" borderId="11" xfId="7" applyNumberFormat="1" applyFont="1" applyFill="1" applyBorder="1" applyAlignment="1">
      <alignment horizontal="center" vertical="center" wrapText="1"/>
    </xf>
    <xf numFmtId="0" fontId="18" fillId="9" borderId="30" xfId="7" applyFont="1" applyFill="1" applyBorder="1" applyAlignment="1">
      <alignment horizontal="center" vertical="center" wrapText="1"/>
    </xf>
    <xf numFmtId="0" fontId="18" fillId="9" borderId="95" xfId="7" applyFont="1" applyFill="1" applyBorder="1" applyAlignment="1">
      <alignment horizontal="center" vertical="center" wrapText="1"/>
    </xf>
    <xf numFmtId="0" fontId="18" fillId="16" borderId="95" xfId="7" applyFont="1" applyFill="1" applyBorder="1" applyAlignment="1">
      <alignment horizontal="center" vertical="center" shrinkToFit="1"/>
    </xf>
    <xf numFmtId="0" fontId="18" fillId="9" borderId="5" xfId="7" applyFont="1" applyFill="1" applyBorder="1" applyAlignment="1">
      <alignment horizontal="center" vertical="center" wrapText="1"/>
    </xf>
    <xf numFmtId="0" fontId="18" fillId="9" borderId="12" xfId="7" applyFont="1" applyFill="1" applyBorder="1" applyAlignment="1">
      <alignment horizontal="center" vertical="center" wrapText="1"/>
    </xf>
    <xf numFmtId="176" fontId="18" fillId="9" borderId="94" xfId="7" applyNumberFormat="1" applyFont="1" applyFill="1" applyBorder="1" applyAlignment="1">
      <alignment horizontal="center" vertical="center" wrapText="1"/>
    </xf>
    <xf numFmtId="0" fontId="18" fillId="9" borderId="14" xfId="7" applyFont="1" applyFill="1" applyBorder="1" applyAlignment="1">
      <alignment horizontal="center" vertical="center" wrapText="1"/>
    </xf>
    <xf numFmtId="0" fontId="18" fillId="16" borderId="17" xfId="7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7" fillId="11" borderId="94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94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7" fillId="11" borderId="94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/>
    </xf>
    <xf numFmtId="0" fontId="18" fillId="9" borderId="96" xfId="7" applyFont="1" applyFill="1" applyBorder="1" applyAlignment="1">
      <alignment horizontal="center" vertical="center" wrapText="1"/>
    </xf>
    <xf numFmtId="0" fontId="18" fillId="9" borderId="24" xfId="7" applyFont="1" applyFill="1" applyBorder="1" applyAlignment="1">
      <alignment horizontal="center" vertical="center" wrapText="1"/>
    </xf>
    <xf numFmtId="0" fontId="18" fillId="9" borderId="25" xfId="7" applyFont="1" applyFill="1" applyBorder="1" applyAlignment="1">
      <alignment horizontal="center" vertical="center" wrapText="1"/>
    </xf>
    <xf numFmtId="176" fontId="18" fillId="9" borderId="110" xfId="7" applyNumberFormat="1" applyFont="1" applyFill="1" applyBorder="1" applyAlignment="1">
      <alignment horizontal="center" vertical="center" wrapText="1"/>
    </xf>
    <xf numFmtId="176" fontId="18" fillId="9" borderId="9" xfId="7" applyNumberFormat="1" applyFont="1" applyFill="1" applyBorder="1" applyAlignment="1">
      <alignment horizontal="center" vertical="center" wrapText="1"/>
    </xf>
    <xf numFmtId="176" fontId="18" fillId="9" borderId="111" xfId="7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55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13" fillId="0" borderId="54" xfId="2" applyFont="1" applyBorder="1" applyAlignment="1" applyProtection="1">
      <alignment horizontal="center" vertical="center" wrapText="1"/>
      <protection locked="0"/>
    </xf>
    <xf numFmtId="0" fontId="13" fillId="0" borderId="51" xfId="2" applyFont="1" applyBorder="1" applyAlignment="1" applyProtection="1">
      <alignment horizontal="center" vertical="center" wrapText="1"/>
      <protection locked="0"/>
    </xf>
    <xf numFmtId="0" fontId="13" fillId="0" borderId="101" xfId="0" applyFont="1" applyBorder="1" applyAlignment="1" applyProtection="1">
      <alignment horizontal="center" vertical="center" shrinkToFit="1"/>
      <protection locked="0"/>
    </xf>
    <xf numFmtId="0" fontId="13" fillId="0" borderId="102" xfId="0" applyFont="1" applyBorder="1" applyAlignment="1" applyProtection="1">
      <alignment horizontal="center" vertical="center" shrinkToFit="1"/>
      <protection locked="0"/>
    </xf>
    <xf numFmtId="0" fontId="54" fillId="0" borderId="15" xfId="0" applyFont="1" applyBorder="1" applyAlignment="1" applyProtection="1">
      <alignment horizontal="center" vertical="center" wrapText="1"/>
      <protection locked="0"/>
    </xf>
    <xf numFmtId="0" fontId="54" fillId="0" borderId="21" xfId="0" applyFont="1" applyBorder="1" applyAlignment="1" applyProtection="1">
      <alignment horizontal="center" vertical="center" wrapText="1"/>
      <protection locked="0"/>
    </xf>
    <xf numFmtId="0" fontId="54" fillId="0" borderId="27" xfId="0" applyFont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43" fillId="20" borderId="131" xfId="16" applyFont="1" applyFill="1" applyBorder="1" applyAlignment="1">
      <alignment horizontal="center" vertical="center"/>
    </xf>
    <xf numFmtId="0" fontId="36" fillId="0" borderId="131" xfId="16" applyFont="1" applyBorder="1"/>
    <xf numFmtId="0" fontId="36" fillId="0" borderId="132" xfId="16" applyFont="1" applyBorder="1"/>
    <xf numFmtId="0" fontId="43" fillId="0" borderId="133" xfId="16" applyFont="1" applyBorder="1" applyAlignment="1">
      <alignment horizontal="center" vertical="center"/>
    </xf>
    <xf numFmtId="0" fontId="39" fillId="0" borderId="0" xfId="16" applyFont="1" applyAlignment="1">
      <alignment horizontal="center" vertical="center"/>
    </xf>
    <xf numFmtId="0" fontId="41" fillId="0" borderId="0" xfId="16" applyFont="1" applyAlignment="1"/>
    <xf numFmtId="0" fontId="42" fillId="0" borderId="128" xfId="16" applyFont="1" applyBorder="1" applyAlignment="1">
      <alignment horizontal="center" vertical="center"/>
    </xf>
    <xf numFmtId="0" fontId="36" fillId="0" borderId="26" xfId="16" applyFont="1" applyBorder="1"/>
    <xf numFmtId="0" fontId="36" fillId="0" borderId="23" xfId="16" applyFont="1" applyBorder="1"/>
    <xf numFmtId="0" fontId="42" fillId="8" borderId="4" xfId="16" applyFont="1" applyFill="1" applyBorder="1" applyAlignment="1">
      <alignment horizontal="center" vertical="center"/>
    </xf>
    <xf numFmtId="0" fontId="36" fillId="8" borderId="26" xfId="16" applyFont="1" applyFill="1" applyBorder="1"/>
    <xf numFmtId="0" fontId="36" fillId="8" borderId="23" xfId="16" applyFont="1" applyFill="1" applyBorder="1"/>
    <xf numFmtId="0" fontId="34" fillId="19" borderId="127" xfId="16" applyFont="1" applyFill="1" applyBorder="1" applyAlignment="1">
      <alignment horizontal="center" vertical="center" wrapText="1"/>
    </xf>
    <xf numFmtId="0" fontId="36" fillId="0" borderId="129" xfId="16" applyFont="1" applyBorder="1"/>
    <xf numFmtId="0" fontId="36" fillId="0" borderId="134" xfId="16" applyFont="1" applyBorder="1"/>
    <xf numFmtId="0" fontId="43" fillId="20" borderId="136" xfId="16" applyFont="1" applyFill="1" applyBorder="1" applyAlignment="1">
      <alignment horizontal="center" vertical="center"/>
    </xf>
    <xf numFmtId="0" fontId="36" fillId="0" borderId="137" xfId="16" applyFont="1" applyBorder="1"/>
    <xf numFmtId="0" fontId="36" fillId="0" borderId="138" xfId="16" applyFont="1" applyBorder="1"/>
    <xf numFmtId="0" fontId="36" fillId="0" borderId="139" xfId="16" applyFont="1" applyBorder="1"/>
    <xf numFmtId="0" fontId="43" fillId="0" borderId="112" xfId="16" applyFont="1" applyBorder="1" applyAlignment="1">
      <alignment horizontal="center" vertical="center" wrapText="1"/>
    </xf>
    <xf numFmtId="0" fontId="36" fillId="0" borderId="136" xfId="16" applyFont="1" applyBorder="1"/>
    <xf numFmtId="0" fontId="36" fillId="0" borderId="140" xfId="16" applyFont="1" applyBorder="1"/>
    <xf numFmtId="0" fontId="44" fillId="21" borderId="143" xfId="16" applyFont="1" applyFill="1" applyBorder="1" applyAlignment="1">
      <alignment horizontal="center" vertical="center" wrapText="1"/>
    </xf>
    <xf numFmtId="0" fontId="36" fillId="0" borderId="144" xfId="16" applyFont="1" applyBorder="1"/>
    <xf numFmtId="0" fontId="45" fillId="0" borderId="145" xfId="16" applyFont="1" applyBorder="1" applyAlignment="1">
      <alignment horizontal="center" vertical="center" wrapText="1"/>
    </xf>
    <xf numFmtId="0" fontId="36" fillId="0" borderId="151" xfId="16" applyFont="1" applyBorder="1"/>
    <xf numFmtId="0" fontId="45" fillId="0" borderId="146" xfId="16" applyFont="1" applyBorder="1" applyAlignment="1">
      <alignment horizontal="center" vertical="center" wrapText="1"/>
    </xf>
    <xf numFmtId="0" fontId="36" fillId="0" borderId="152" xfId="16" applyFont="1" applyBorder="1"/>
    <xf numFmtId="0" fontId="36" fillId="0" borderId="156" xfId="16" applyFont="1" applyBorder="1"/>
    <xf numFmtId="0" fontId="45" fillId="0" borderId="148" xfId="16" applyFont="1" applyBorder="1" applyAlignment="1">
      <alignment horizontal="center" vertical="center" wrapText="1"/>
    </xf>
    <xf numFmtId="0" fontId="36" fillId="0" borderId="130" xfId="16" applyFont="1" applyBorder="1"/>
    <xf numFmtId="0" fontId="36" fillId="0" borderId="155" xfId="16" applyFont="1" applyBorder="1"/>
    <xf numFmtId="0" fontId="45" fillId="0" borderId="131" xfId="16" applyFont="1" applyBorder="1" applyAlignment="1">
      <alignment horizontal="center" vertical="center" wrapText="1"/>
    </xf>
    <xf numFmtId="0" fontId="47" fillId="0" borderId="133" xfId="16" applyFont="1" applyBorder="1" applyAlignment="1">
      <alignment horizontal="center" vertical="center" wrapText="1"/>
    </xf>
    <xf numFmtId="0" fontId="45" fillId="0" borderId="133" xfId="16" applyFont="1" applyBorder="1" applyAlignment="1">
      <alignment horizontal="center" vertical="center" wrapText="1"/>
    </xf>
    <xf numFmtId="0" fontId="45" fillId="21" borderId="133" xfId="16" applyFont="1" applyFill="1" applyBorder="1" applyAlignment="1">
      <alignment horizontal="center" vertical="center" wrapText="1"/>
    </xf>
    <xf numFmtId="0" fontId="47" fillId="21" borderId="133" xfId="16" applyFont="1" applyFill="1" applyBorder="1" applyAlignment="1">
      <alignment horizontal="center" vertical="center" wrapText="1"/>
    </xf>
    <xf numFmtId="0" fontId="36" fillId="0" borderId="150" xfId="16" applyFont="1" applyBorder="1"/>
    <xf numFmtId="0" fontId="16" fillId="0" borderId="0" xfId="16" applyFont="1" applyBorder="1" applyAlignment="1"/>
    <xf numFmtId="0" fontId="45" fillId="0" borderId="159" xfId="16" applyFont="1" applyBorder="1" applyAlignment="1">
      <alignment horizontal="center" vertical="center" wrapText="1"/>
    </xf>
    <xf numFmtId="0" fontId="45" fillId="0" borderId="161" xfId="16" applyFont="1" applyBorder="1" applyAlignment="1">
      <alignment horizontal="center" vertical="center" wrapText="1"/>
    </xf>
    <xf numFmtId="0" fontId="36" fillId="0" borderId="162" xfId="16" applyFont="1" applyBorder="1"/>
    <xf numFmtId="0" fontId="45" fillId="0" borderId="112" xfId="16" applyFont="1" applyBorder="1" applyAlignment="1">
      <alignment horizontal="center" vertical="center" wrapText="1"/>
    </xf>
    <xf numFmtId="0" fontId="45" fillId="0" borderId="163" xfId="16" applyFont="1" applyBorder="1" applyAlignment="1">
      <alignment horizontal="center" vertical="center" wrapText="1"/>
    </xf>
    <xf numFmtId="0" fontId="36" fillId="0" borderId="164" xfId="16" applyFont="1" applyBorder="1"/>
    <xf numFmtId="0" fontId="45" fillId="21" borderId="131" xfId="16" applyFont="1" applyFill="1" applyBorder="1" applyAlignment="1">
      <alignment horizontal="center" vertical="center" wrapText="1"/>
    </xf>
    <xf numFmtId="0" fontId="49" fillId="20" borderId="131" xfId="16" applyFont="1" applyFill="1" applyBorder="1" applyAlignment="1">
      <alignment horizontal="center" vertical="center"/>
    </xf>
    <xf numFmtId="0" fontId="49" fillId="0" borderId="133" xfId="16" applyFont="1" applyBorder="1" applyAlignment="1">
      <alignment horizontal="center" vertical="center"/>
    </xf>
    <xf numFmtId="0" fontId="43" fillId="0" borderId="133" xfId="16" applyFont="1" applyBorder="1" applyAlignment="1">
      <alignment horizontal="center" vertical="center" wrapText="1"/>
    </xf>
    <xf numFmtId="0" fontId="43" fillId="0" borderId="112" xfId="16" applyFont="1" applyBorder="1" applyAlignment="1">
      <alignment horizontal="center" vertical="center"/>
    </xf>
    <xf numFmtId="0" fontId="43" fillId="20" borderId="131" xfId="16" applyFont="1" applyFill="1" applyBorder="1" applyAlignment="1">
      <alignment horizontal="center" vertical="center" wrapText="1"/>
    </xf>
    <xf numFmtId="0" fontId="49" fillId="20" borderId="131" xfId="16" applyFont="1" applyFill="1" applyBorder="1" applyAlignment="1">
      <alignment horizontal="center" vertical="center" wrapText="1"/>
    </xf>
    <xf numFmtId="0" fontId="51" fillId="0" borderId="159" xfId="16" applyFont="1" applyBorder="1" applyAlignment="1">
      <alignment horizontal="center" vertical="center"/>
    </xf>
    <xf numFmtId="0" fontId="34" fillId="0" borderId="0" xfId="16" applyFont="1" applyBorder="1" applyAlignment="1">
      <alignment vertical="center" wrapText="1"/>
    </xf>
    <xf numFmtId="0" fontId="34" fillId="19" borderId="167" xfId="16" applyFont="1" applyFill="1" applyBorder="1" applyAlignment="1">
      <alignment horizontal="center" vertical="center" wrapText="1"/>
    </xf>
    <xf numFmtId="0" fontId="34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9" fillId="20" borderId="137" xfId="16" applyFont="1" applyFill="1" applyBorder="1" applyAlignment="1">
      <alignment horizontal="center" vertical="center"/>
    </xf>
    <xf numFmtId="0" fontId="49" fillId="20" borderId="133" xfId="16" applyFont="1" applyFill="1" applyBorder="1" applyAlignment="1">
      <alignment horizontal="center" vertical="center"/>
    </xf>
    <xf numFmtId="0" fontId="50" fillId="0" borderId="137" xfId="16" applyFont="1" applyBorder="1" applyAlignment="1">
      <alignment horizontal="center" vertical="center"/>
    </xf>
    <xf numFmtId="0" fontId="52" fillId="0" borderId="139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D2D8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55685E13-E1FF-4333-9083-54BAA3596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7017A1F9-7648-469A-A2D9-C32A3743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89"/>
  <sheetViews>
    <sheetView tabSelected="1" view="pageBreakPreview" zoomScale="85" zoomScaleNormal="100" zoomScaleSheetLayoutView="85" workbookViewId="0">
      <pane ySplit="8" topLeftCell="A38" activePane="bottomLeft" state="frozen"/>
      <selection pane="bottomLeft" activeCell="T5" sqref="T5:V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97" t="s">
        <v>520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8"/>
      <c r="V2" s="299" t="s">
        <v>130</v>
      </c>
      <c r="W2" s="300"/>
      <c r="X2" s="295">
        <v>2027</v>
      </c>
      <c r="Y2" s="296"/>
      <c r="AA2" s="301" t="s">
        <v>143</v>
      </c>
      <c r="AB2" s="19" t="s">
        <v>144</v>
      </c>
      <c r="AC2" s="30" t="s">
        <v>152</v>
      </c>
      <c r="AD2" s="20" t="s">
        <v>145</v>
      </c>
    </row>
    <row r="3" spans="2:30" ht="18" thickBot="1">
      <c r="B3" s="347" t="s">
        <v>364</v>
      </c>
      <c r="C3" s="349" t="s">
        <v>53</v>
      </c>
      <c r="D3" s="350"/>
      <c r="E3" s="350"/>
      <c r="F3" s="349" t="s">
        <v>64</v>
      </c>
      <c r="G3" s="353"/>
      <c r="H3" s="349" t="s">
        <v>54</v>
      </c>
      <c r="I3" s="350"/>
      <c r="J3" s="350"/>
      <c r="K3" s="349" t="s">
        <v>55</v>
      </c>
      <c r="L3" s="350"/>
      <c r="M3" s="350"/>
      <c r="N3" s="350"/>
      <c r="O3" s="353"/>
      <c r="P3" s="355" t="s">
        <v>56</v>
      </c>
      <c r="Q3" s="356"/>
      <c r="R3" s="356"/>
      <c r="S3" s="356"/>
      <c r="T3" s="356"/>
      <c r="U3" s="356"/>
      <c r="V3" s="356"/>
      <c r="W3" s="356"/>
      <c r="X3" s="356"/>
      <c r="Y3" s="357"/>
      <c r="AA3" s="302"/>
      <c r="AB3" s="21" t="s">
        <v>146</v>
      </c>
      <c r="AC3" s="37" t="s">
        <v>526</v>
      </c>
      <c r="AD3" s="22" t="s">
        <v>529</v>
      </c>
    </row>
    <row r="4" spans="2:30" ht="18" thickBot="1">
      <c r="B4" s="348"/>
      <c r="C4" s="351"/>
      <c r="D4" s="352"/>
      <c r="E4" s="352"/>
      <c r="F4" s="351"/>
      <c r="G4" s="354"/>
      <c r="H4" s="351"/>
      <c r="I4" s="352"/>
      <c r="J4" s="352"/>
      <c r="K4" s="351"/>
      <c r="L4" s="352"/>
      <c r="M4" s="352"/>
      <c r="N4" s="352"/>
      <c r="O4" s="354"/>
      <c r="P4" s="355" t="s">
        <v>127</v>
      </c>
      <c r="Q4" s="356"/>
      <c r="R4" s="356"/>
      <c r="S4" s="356"/>
      <c r="T4" s="355" t="s">
        <v>61</v>
      </c>
      <c r="U4" s="356"/>
      <c r="V4" s="357"/>
      <c r="W4" s="356" t="s">
        <v>128</v>
      </c>
      <c r="X4" s="356"/>
      <c r="Y4" s="357"/>
      <c r="AA4" s="302"/>
      <c r="AB4" s="23" t="s">
        <v>147</v>
      </c>
      <c r="AC4" s="38"/>
      <c r="AD4" s="22"/>
    </row>
    <row r="5" spans="2:30" ht="26.25" customHeight="1" thickBot="1">
      <c r="B5" s="73" t="s">
        <v>518</v>
      </c>
      <c r="C5" s="313" t="s">
        <v>523</v>
      </c>
      <c r="D5" s="314"/>
      <c r="E5" s="315"/>
      <c r="F5" s="313" t="s">
        <v>71</v>
      </c>
      <c r="G5" s="316"/>
      <c r="H5" s="317" t="s">
        <v>186</v>
      </c>
      <c r="I5" s="314"/>
      <c r="J5" s="315"/>
      <c r="K5" s="313"/>
      <c r="L5" s="314"/>
      <c r="M5" s="314"/>
      <c r="N5" s="314"/>
      <c r="O5" s="316"/>
      <c r="P5" s="317" t="s">
        <v>524</v>
      </c>
      <c r="Q5" s="314"/>
      <c r="R5" s="314"/>
      <c r="S5" s="315"/>
      <c r="T5" s="313" t="s">
        <v>34</v>
      </c>
      <c r="U5" s="314"/>
      <c r="V5" s="315"/>
      <c r="W5" s="318" t="s">
        <v>525</v>
      </c>
      <c r="X5" s="319"/>
      <c r="Y5" s="320"/>
      <c r="AA5" s="303"/>
      <c r="AB5" s="163" t="s">
        <v>148</v>
      </c>
      <c r="AC5" s="164" t="s">
        <v>528</v>
      </c>
      <c r="AD5" s="24" t="s">
        <v>527</v>
      </c>
    </row>
    <row r="6" spans="2:30" ht="15.75" customHeight="1" thickBot="1">
      <c r="U6" s="321"/>
      <c r="V6" s="321"/>
      <c r="W6" s="321"/>
      <c r="X6" s="321"/>
      <c r="Y6" s="321"/>
    </row>
    <row r="7" spans="2:30" s="10" customFormat="1" ht="22.5" customHeight="1">
      <c r="B7" s="322" t="s">
        <v>2</v>
      </c>
      <c r="C7" s="323"/>
      <c r="D7" s="326" t="s">
        <v>120</v>
      </c>
      <c r="E7" s="328" t="s">
        <v>57</v>
      </c>
      <c r="F7" s="329"/>
      <c r="G7" s="330"/>
      <c r="H7" s="331" t="s">
        <v>133</v>
      </c>
      <c r="I7" s="334" t="s">
        <v>134</v>
      </c>
      <c r="J7" s="341" t="s">
        <v>135</v>
      </c>
      <c r="K7" s="333" t="s">
        <v>58</v>
      </c>
      <c r="L7" s="334"/>
      <c r="M7" s="334"/>
      <c r="N7" s="335"/>
      <c r="O7" s="336" t="s">
        <v>59</v>
      </c>
      <c r="P7" s="334"/>
      <c r="Q7" s="334"/>
      <c r="R7" s="335"/>
      <c r="S7" s="333" t="s">
        <v>60</v>
      </c>
      <c r="T7" s="334"/>
      <c r="U7" s="334"/>
      <c r="V7" s="340"/>
      <c r="W7" s="331" t="s">
        <v>136</v>
      </c>
      <c r="X7" s="341"/>
      <c r="Y7" s="330" t="s">
        <v>137</v>
      </c>
      <c r="Z7" s="9"/>
    </row>
    <row r="8" spans="2:30" s="10" customFormat="1" ht="22.5" customHeight="1" thickBot="1">
      <c r="B8" s="324"/>
      <c r="C8" s="325"/>
      <c r="D8" s="327"/>
      <c r="E8" s="25" t="s">
        <v>18</v>
      </c>
      <c r="F8" s="344" t="s">
        <v>19</v>
      </c>
      <c r="G8" s="345"/>
      <c r="H8" s="332"/>
      <c r="I8" s="338"/>
      <c r="J8" s="342"/>
      <c r="K8" s="337" t="s">
        <v>0</v>
      </c>
      <c r="L8" s="338"/>
      <c r="M8" s="338" t="s">
        <v>62</v>
      </c>
      <c r="N8" s="346"/>
      <c r="O8" s="358" t="s">
        <v>0</v>
      </c>
      <c r="P8" s="338"/>
      <c r="Q8" s="338" t="s">
        <v>62</v>
      </c>
      <c r="R8" s="346"/>
      <c r="S8" s="337" t="s">
        <v>0</v>
      </c>
      <c r="T8" s="338"/>
      <c r="U8" s="338" t="s">
        <v>62</v>
      </c>
      <c r="V8" s="339"/>
      <c r="W8" s="332"/>
      <c r="X8" s="342"/>
      <c r="Y8" s="343"/>
      <c r="AA8" s="440" t="s">
        <v>504</v>
      </c>
      <c r="AB8" s="440"/>
      <c r="AC8" s="440"/>
      <c r="AD8" s="440"/>
    </row>
    <row r="9" spans="2:30" ht="16.5" customHeight="1" thickBot="1">
      <c r="B9" s="307" t="s">
        <v>339</v>
      </c>
      <c r="C9" s="305"/>
      <c r="D9" s="260" t="s">
        <v>21</v>
      </c>
      <c r="E9" s="39" t="s">
        <v>12</v>
      </c>
      <c r="F9" s="262" t="s">
        <v>203</v>
      </c>
      <c r="G9" s="263"/>
      <c r="H9" s="40">
        <v>4</v>
      </c>
      <c r="I9" s="41" t="s">
        <v>340</v>
      </c>
      <c r="J9" s="42">
        <v>3</v>
      </c>
      <c r="K9" s="262">
        <v>3</v>
      </c>
      <c r="L9" s="290"/>
      <c r="M9" s="277"/>
      <c r="N9" s="278"/>
      <c r="O9" s="289"/>
      <c r="P9" s="290"/>
      <c r="Q9" s="277"/>
      <c r="R9" s="278"/>
      <c r="S9" s="289"/>
      <c r="T9" s="290"/>
      <c r="U9" s="277"/>
      <c r="V9" s="263"/>
      <c r="W9" s="43">
        <f>SUM(K9:V9)</f>
        <v>3</v>
      </c>
      <c r="X9" s="359">
        <f>SUM(W9:W11)</f>
        <v>9</v>
      </c>
      <c r="Y9" s="276">
        <v>24</v>
      </c>
      <c r="AA9" s="134" t="s">
        <v>505</v>
      </c>
      <c r="AB9" s="135" t="s">
        <v>511</v>
      </c>
      <c r="AC9" s="135" t="s">
        <v>512</v>
      </c>
      <c r="AD9" s="136" t="s">
        <v>513</v>
      </c>
    </row>
    <row r="10" spans="2:30" ht="18" thickBot="1">
      <c r="B10" s="308"/>
      <c r="C10" s="306"/>
      <c r="D10" s="261"/>
      <c r="E10" s="44" t="s">
        <v>12</v>
      </c>
      <c r="F10" s="256" t="s">
        <v>204</v>
      </c>
      <c r="G10" s="257"/>
      <c r="H10" s="45">
        <v>4</v>
      </c>
      <c r="I10" s="46" t="s">
        <v>340</v>
      </c>
      <c r="J10" s="47">
        <v>3</v>
      </c>
      <c r="K10" s="256"/>
      <c r="L10" s="251"/>
      <c r="M10" s="258">
        <v>3</v>
      </c>
      <c r="N10" s="259"/>
      <c r="O10" s="250"/>
      <c r="P10" s="251"/>
      <c r="Q10" s="258"/>
      <c r="R10" s="259"/>
      <c r="S10" s="250"/>
      <c r="T10" s="251"/>
      <c r="U10" s="258"/>
      <c r="V10" s="257"/>
      <c r="W10" s="48">
        <f t="shared" ref="W10:W23" si="0">SUM(K10:V10)</f>
        <v>3</v>
      </c>
      <c r="X10" s="360"/>
      <c r="Y10" s="276"/>
      <c r="AA10" s="137" t="s">
        <v>506</v>
      </c>
      <c r="AB10" s="138">
        <v>4</v>
      </c>
      <c r="AC10" s="138">
        <v>-1</v>
      </c>
      <c r="AD10" s="22" t="s">
        <v>514</v>
      </c>
    </row>
    <row r="11" spans="2:30" ht="18" thickBot="1">
      <c r="B11" s="308"/>
      <c r="C11" s="306"/>
      <c r="D11" s="311"/>
      <c r="E11" s="49" t="s">
        <v>341</v>
      </c>
      <c r="F11" s="312" t="s">
        <v>342</v>
      </c>
      <c r="G11" s="293"/>
      <c r="H11" s="50">
        <v>4</v>
      </c>
      <c r="I11" s="51" t="s">
        <v>343</v>
      </c>
      <c r="J11" s="52">
        <v>3</v>
      </c>
      <c r="K11" s="312"/>
      <c r="L11" s="292"/>
      <c r="M11" s="248"/>
      <c r="N11" s="249"/>
      <c r="O11" s="291"/>
      <c r="P11" s="292"/>
      <c r="Q11" s="248">
        <v>3</v>
      </c>
      <c r="R11" s="249"/>
      <c r="S11" s="291"/>
      <c r="T11" s="292"/>
      <c r="U11" s="248"/>
      <c r="V11" s="293"/>
      <c r="W11" s="48">
        <f t="shared" si="0"/>
        <v>3</v>
      </c>
      <c r="X11" s="360"/>
      <c r="Y11" s="276"/>
      <c r="AA11" s="137" t="s">
        <v>507</v>
      </c>
      <c r="AB11" s="138">
        <v>3</v>
      </c>
      <c r="AC11" s="138"/>
      <c r="AD11" s="22">
        <v>3</v>
      </c>
    </row>
    <row r="12" spans="2:30" ht="18" thickBot="1">
      <c r="B12" s="308"/>
      <c r="C12" s="306"/>
      <c r="D12" s="260" t="s">
        <v>5</v>
      </c>
      <c r="E12" s="39" t="s">
        <v>12</v>
      </c>
      <c r="F12" s="262" t="s">
        <v>215</v>
      </c>
      <c r="G12" s="263"/>
      <c r="H12" s="40">
        <v>4</v>
      </c>
      <c r="I12" s="41" t="s">
        <v>340</v>
      </c>
      <c r="J12" s="42">
        <v>3</v>
      </c>
      <c r="K12" s="262">
        <v>3</v>
      </c>
      <c r="L12" s="290"/>
      <c r="M12" s="277"/>
      <c r="N12" s="278"/>
      <c r="O12" s="289"/>
      <c r="P12" s="290"/>
      <c r="Q12" s="277"/>
      <c r="R12" s="278"/>
      <c r="S12" s="289"/>
      <c r="T12" s="290"/>
      <c r="U12" s="277"/>
      <c r="V12" s="263"/>
      <c r="W12" s="43">
        <f t="shared" si="0"/>
        <v>3</v>
      </c>
      <c r="X12" s="359">
        <f t="shared" ref="X12" si="1">SUM(W12:W14)</f>
        <v>9</v>
      </c>
      <c r="Y12" s="276"/>
      <c r="AA12" s="137" t="s">
        <v>508</v>
      </c>
      <c r="AB12" s="138">
        <v>4</v>
      </c>
      <c r="AC12" s="138" t="s">
        <v>517</v>
      </c>
      <c r="AD12" s="22" t="s">
        <v>515</v>
      </c>
    </row>
    <row r="13" spans="2:30" ht="18" thickBot="1">
      <c r="B13" s="308"/>
      <c r="C13" s="306"/>
      <c r="D13" s="261"/>
      <c r="E13" s="44" t="s">
        <v>12</v>
      </c>
      <c r="F13" s="256" t="s">
        <v>217</v>
      </c>
      <c r="G13" s="257"/>
      <c r="H13" s="45">
        <v>4</v>
      </c>
      <c r="I13" s="46" t="s">
        <v>340</v>
      </c>
      <c r="J13" s="47">
        <v>3</v>
      </c>
      <c r="K13" s="256"/>
      <c r="L13" s="251"/>
      <c r="M13" s="258">
        <v>3</v>
      </c>
      <c r="N13" s="259"/>
      <c r="O13" s="250"/>
      <c r="P13" s="251"/>
      <c r="Q13" s="258"/>
      <c r="R13" s="259"/>
      <c r="S13" s="250"/>
      <c r="T13" s="251"/>
      <c r="U13" s="258"/>
      <c r="V13" s="257"/>
      <c r="W13" s="48">
        <f t="shared" si="0"/>
        <v>3</v>
      </c>
      <c r="X13" s="360"/>
      <c r="Y13" s="276"/>
      <c r="AA13" s="137" t="s">
        <v>509</v>
      </c>
      <c r="AB13" s="138">
        <v>3</v>
      </c>
      <c r="AC13" s="138" t="s">
        <v>517</v>
      </c>
      <c r="AD13" s="22" t="s">
        <v>516</v>
      </c>
    </row>
    <row r="14" spans="2:30" ht="18" thickBot="1">
      <c r="B14" s="308"/>
      <c r="C14" s="306"/>
      <c r="D14" s="311"/>
      <c r="E14" s="49" t="s">
        <v>341</v>
      </c>
      <c r="F14" s="312" t="s">
        <v>344</v>
      </c>
      <c r="G14" s="293"/>
      <c r="H14" s="50">
        <v>4</v>
      </c>
      <c r="I14" s="51" t="s">
        <v>343</v>
      </c>
      <c r="J14" s="52">
        <v>3</v>
      </c>
      <c r="K14" s="312"/>
      <c r="L14" s="292"/>
      <c r="M14" s="248"/>
      <c r="N14" s="249"/>
      <c r="O14" s="291">
        <v>3</v>
      </c>
      <c r="P14" s="292"/>
      <c r="Q14" s="248"/>
      <c r="R14" s="249"/>
      <c r="S14" s="291"/>
      <c r="T14" s="292"/>
      <c r="U14" s="248"/>
      <c r="V14" s="293"/>
      <c r="W14" s="48">
        <f t="shared" si="0"/>
        <v>3</v>
      </c>
      <c r="X14" s="360"/>
      <c r="Y14" s="276"/>
      <c r="AA14" s="139" t="s">
        <v>510</v>
      </c>
      <c r="AB14" s="438" t="s">
        <v>519</v>
      </c>
      <c r="AC14" s="438"/>
      <c r="AD14" s="439"/>
    </row>
    <row r="15" spans="2:30" ht="18" thickBot="1">
      <c r="B15" s="308"/>
      <c r="C15" s="306"/>
      <c r="D15" s="260" t="s">
        <v>6</v>
      </c>
      <c r="E15" s="39" t="s">
        <v>12</v>
      </c>
      <c r="F15" s="262" t="s">
        <v>345</v>
      </c>
      <c r="G15" s="263"/>
      <c r="H15" s="40">
        <v>4</v>
      </c>
      <c r="I15" s="41" t="s">
        <v>340</v>
      </c>
      <c r="J15" s="42">
        <v>3</v>
      </c>
      <c r="K15" s="262">
        <v>3</v>
      </c>
      <c r="L15" s="290"/>
      <c r="M15" s="277"/>
      <c r="N15" s="278"/>
      <c r="O15" s="289"/>
      <c r="P15" s="290"/>
      <c r="Q15" s="277"/>
      <c r="R15" s="278"/>
      <c r="S15" s="289"/>
      <c r="T15" s="290"/>
      <c r="U15" s="277"/>
      <c r="V15" s="263"/>
      <c r="W15" s="43">
        <f t="shared" si="0"/>
        <v>3</v>
      </c>
      <c r="X15" s="359">
        <f t="shared" ref="X15" si="2">SUM(W15:W17)</f>
        <v>9</v>
      </c>
      <c r="Y15" s="276"/>
    </row>
    <row r="16" spans="2:30" ht="18" thickBot="1">
      <c r="B16" s="308"/>
      <c r="C16" s="306"/>
      <c r="D16" s="261"/>
      <c r="E16" s="44" t="s">
        <v>12</v>
      </c>
      <c r="F16" s="256" t="s">
        <v>228</v>
      </c>
      <c r="G16" s="257"/>
      <c r="H16" s="45">
        <v>4</v>
      </c>
      <c r="I16" s="46" t="s">
        <v>340</v>
      </c>
      <c r="J16" s="47">
        <v>3</v>
      </c>
      <c r="K16" s="256"/>
      <c r="L16" s="251"/>
      <c r="M16" s="258">
        <v>3</v>
      </c>
      <c r="N16" s="259"/>
      <c r="O16" s="250"/>
      <c r="P16" s="251"/>
      <c r="Q16" s="258"/>
      <c r="R16" s="259"/>
      <c r="S16" s="250"/>
      <c r="T16" s="251"/>
      <c r="U16" s="258"/>
      <c r="V16" s="257"/>
      <c r="W16" s="48">
        <f t="shared" si="0"/>
        <v>3</v>
      </c>
      <c r="X16" s="360"/>
      <c r="Y16" s="276"/>
    </row>
    <row r="17" spans="2:29" ht="18" thickBot="1">
      <c r="B17" s="308"/>
      <c r="C17" s="306"/>
      <c r="D17" s="311"/>
      <c r="E17" s="53" t="s">
        <v>341</v>
      </c>
      <c r="F17" s="312" t="s">
        <v>346</v>
      </c>
      <c r="G17" s="293"/>
      <c r="H17" s="50">
        <v>4</v>
      </c>
      <c r="I17" s="51" t="s">
        <v>343</v>
      </c>
      <c r="J17" s="52">
        <v>3</v>
      </c>
      <c r="K17" s="312"/>
      <c r="L17" s="292"/>
      <c r="M17" s="248"/>
      <c r="N17" s="249"/>
      <c r="O17" s="291"/>
      <c r="P17" s="292"/>
      <c r="Q17" s="248">
        <v>3</v>
      </c>
      <c r="R17" s="249"/>
      <c r="S17" s="291"/>
      <c r="T17" s="292"/>
      <c r="U17" s="248"/>
      <c r="V17" s="293"/>
      <c r="W17" s="48">
        <f t="shared" si="0"/>
        <v>3</v>
      </c>
      <c r="X17" s="360"/>
      <c r="Y17" s="276"/>
    </row>
    <row r="18" spans="2:29" ht="18" thickBot="1">
      <c r="B18" s="308"/>
      <c r="C18" s="306"/>
      <c r="D18" s="260" t="s">
        <v>347</v>
      </c>
      <c r="E18" s="39" t="s">
        <v>12</v>
      </c>
      <c r="F18" s="262" t="s">
        <v>236</v>
      </c>
      <c r="G18" s="263"/>
      <c r="H18" s="40">
        <v>3</v>
      </c>
      <c r="I18" s="54">
        <v>3</v>
      </c>
      <c r="J18" s="42">
        <v>3</v>
      </c>
      <c r="K18" s="361">
        <v>3</v>
      </c>
      <c r="L18" s="284"/>
      <c r="M18" s="281"/>
      <c r="N18" s="282"/>
      <c r="O18" s="283"/>
      <c r="P18" s="284"/>
      <c r="Q18" s="281"/>
      <c r="R18" s="282"/>
      <c r="S18" s="283"/>
      <c r="T18" s="284"/>
      <c r="U18" s="281"/>
      <c r="V18" s="285"/>
      <c r="W18" s="43">
        <f t="shared" si="0"/>
        <v>3</v>
      </c>
      <c r="X18" s="359">
        <f>SUM(W18:W19)</f>
        <v>6</v>
      </c>
      <c r="Y18" s="276">
        <v>6</v>
      </c>
    </row>
    <row r="19" spans="2:29" ht="18" thickBot="1">
      <c r="B19" s="308"/>
      <c r="C19" s="306"/>
      <c r="D19" s="261"/>
      <c r="E19" s="55" t="s">
        <v>12</v>
      </c>
      <c r="F19" s="363" t="s">
        <v>348</v>
      </c>
      <c r="G19" s="364"/>
      <c r="H19" s="56">
        <v>3</v>
      </c>
      <c r="I19" s="57">
        <v>3</v>
      </c>
      <c r="J19" s="58">
        <v>3</v>
      </c>
      <c r="K19" s="312"/>
      <c r="L19" s="292"/>
      <c r="M19" s="248">
        <v>3</v>
      </c>
      <c r="N19" s="249"/>
      <c r="O19" s="291"/>
      <c r="P19" s="292"/>
      <c r="Q19" s="248"/>
      <c r="R19" s="249"/>
      <c r="S19" s="291"/>
      <c r="T19" s="292"/>
      <c r="U19" s="248"/>
      <c r="V19" s="293"/>
      <c r="W19" s="59">
        <f t="shared" si="0"/>
        <v>3</v>
      </c>
      <c r="X19" s="362"/>
      <c r="Y19" s="276"/>
      <c r="AA19" s="304"/>
      <c r="AB19" s="304"/>
      <c r="AC19" s="31"/>
    </row>
    <row r="20" spans="2:29" ht="18" thickBot="1">
      <c r="B20" s="308"/>
      <c r="C20" s="306"/>
      <c r="D20" s="261"/>
      <c r="E20" s="39" t="s">
        <v>12</v>
      </c>
      <c r="F20" s="262" t="s">
        <v>239</v>
      </c>
      <c r="G20" s="263"/>
      <c r="H20" s="40">
        <v>4</v>
      </c>
      <c r="I20" s="54" t="s">
        <v>340</v>
      </c>
      <c r="J20" s="42">
        <v>3</v>
      </c>
      <c r="K20" s="262"/>
      <c r="L20" s="290"/>
      <c r="M20" s="277"/>
      <c r="N20" s="278"/>
      <c r="O20" s="289">
        <v>3</v>
      </c>
      <c r="P20" s="290"/>
      <c r="Q20" s="277"/>
      <c r="R20" s="278"/>
      <c r="S20" s="289"/>
      <c r="T20" s="290"/>
      <c r="U20" s="277"/>
      <c r="V20" s="263"/>
      <c r="W20" s="43">
        <f t="shared" si="0"/>
        <v>3</v>
      </c>
      <c r="X20" s="359">
        <f>SUM(W20:W21)</f>
        <v>6</v>
      </c>
      <c r="Y20" s="276">
        <v>12</v>
      </c>
    </row>
    <row r="21" spans="2:29" ht="18" thickBot="1">
      <c r="B21" s="308"/>
      <c r="C21" s="306"/>
      <c r="D21" s="311"/>
      <c r="E21" s="53" t="s">
        <v>12</v>
      </c>
      <c r="F21" s="312" t="s">
        <v>349</v>
      </c>
      <c r="G21" s="293"/>
      <c r="H21" s="50">
        <v>4</v>
      </c>
      <c r="I21" s="51" t="s">
        <v>340</v>
      </c>
      <c r="J21" s="52">
        <v>3</v>
      </c>
      <c r="K21" s="312"/>
      <c r="L21" s="292"/>
      <c r="M21" s="248"/>
      <c r="N21" s="249"/>
      <c r="O21" s="291"/>
      <c r="P21" s="292"/>
      <c r="Q21" s="248">
        <v>3</v>
      </c>
      <c r="R21" s="249"/>
      <c r="S21" s="291"/>
      <c r="T21" s="292"/>
      <c r="U21" s="248"/>
      <c r="V21" s="293"/>
      <c r="W21" s="59">
        <f t="shared" si="0"/>
        <v>3</v>
      </c>
      <c r="X21" s="362"/>
      <c r="Y21" s="276"/>
    </row>
    <row r="22" spans="2:29" ht="18" thickBot="1">
      <c r="B22" s="308"/>
      <c r="C22" s="306"/>
      <c r="D22" s="260" t="s">
        <v>26</v>
      </c>
      <c r="E22" s="39" t="s">
        <v>12</v>
      </c>
      <c r="F22" s="262" t="s">
        <v>257</v>
      </c>
      <c r="G22" s="263"/>
      <c r="H22" s="40">
        <v>4</v>
      </c>
      <c r="I22" s="54" t="s">
        <v>340</v>
      </c>
      <c r="J22" s="42">
        <v>3</v>
      </c>
      <c r="K22" s="262">
        <v>3</v>
      </c>
      <c r="L22" s="290"/>
      <c r="M22" s="277"/>
      <c r="N22" s="278"/>
      <c r="O22" s="289"/>
      <c r="P22" s="290"/>
      <c r="Q22" s="277"/>
      <c r="R22" s="278"/>
      <c r="S22" s="289"/>
      <c r="T22" s="290"/>
      <c r="U22" s="277"/>
      <c r="V22" s="263"/>
      <c r="W22" s="43">
        <f t="shared" si="0"/>
        <v>3</v>
      </c>
      <c r="X22" s="305">
        <f>SUM(W22:W23)</f>
        <v>6</v>
      </c>
      <c r="Y22" s="276"/>
    </row>
    <row r="23" spans="2:29" ht="18" thickBot="1">
      <c r="B23" s="308"/>
      <c r="C23" s="306"/>
      <c r="D23" s="261"/>
      <c r="E23" s="44" t="s">
        <v>12</v>
      </c>
      <c r="F23" s="256" t="s">
        <v>350</v>
      </c>
      <c r="G23" s="257"/>
      <c r="H23" s="45">
        <v>4</v>
      </c>
      <c r="I23" s="46" t="s">
        <v>340</v>
      </c>
      <c r="J23" s="47">
        <v>3</v>
      </c>
      <c r="K23" s="256"/>
      <c r="L23" s="251"/>
      <c r="M23" s="258">
        <v>3</v>
      </c>
      <c r="N23" s="259"/>
      <c r="O23" s="250"/>
      <c r="P23" s="251"/>
      <c r="Q23" s="258"/>
      <c r="R23" s="259"/>
      <c r="S23" s="250"/>
      <c r="T23" s="251"/>
      <c r="U23" s="258"/>
      <c r="V23" s="257"/>
      <c r="W23" s="48">
        <f t="shared" si="0"/>
        <v>3</v>
      </c>
      <c r="X23" s="306"/>
      <c r="Y23" s="276"/>
    </row>
    <row r="24" spans="2:29" ht="16.5" customHeight="1" thickBot="1">
      <c r="B24" s="308"/>
      <c r="C24" s="306"/>
      <c r="D24" s="260" t="s">
        <v>8</v>
      </c>
      <c r="E24" s="39" t="s">
        <v>352</v>
      </c>
      <c r="F24" s="262" t="s">
        <v>353</v>
      </c>
      <c r="G24" s="263"/>
      <c r="H24" s="40">
        <v>3</v>
      </c>
      <c r="I24" s="54" t="s">
        <v>354</v>
      </c>
      <c r="J24" s="42">
        <f t="shared" ref="J24" si="3">SUM(K24:V24)</f>
        <v>2</v>
      </c>
      <c r="K24" s="262">
        <v>2</v>
      </c>
      <c r="L24" s="290"/>
      <c r="M24" s="277"/>
      <c r="N24" s="278"/>
      <c r="O24" s="289"/>
      <c r="P24" s="290"/>
      <c r="Q24" s="277"/>
      <c r="R24" s="278"/>
      <c r="S24" s="289"/>
      <c r="T24" s="290"/>
      <c r="U24" s="277"/>
      <c r="V24" s="263"/>
      <c r="W24" s="43">
        <f>SUM(K24:V24)</f>
        <v>2</v>
      </c>
      <c r="X24" s="365">
        <f>SUM(W24:W28)</f>
        <v>11</v>
      </c>
      <c r="Y24" s="276">
        <v>8</v>
      </c>
    </row>
    <row r="25" spans="2:29" ht="18" thickBot="1">
      <c r="B25" s="308"/>
      <c r="C25" s="306"/>
      <c r="D25" s="261"/>
      <c r="E25" s="44" t="s">
        <v>352</v>
      </c>
      <c r="F25" s="256" t="s">
        <v>355</v>
      </c>
      <c r="G25" s="257"/>
      <c r="H25" s="45">
        <v>3</v>
      </c>
      <c r="I25" s="46" t="s">
        <v>354</v>
      </c>
      <c r="J25" s="47">
        <v>3</v>
      </c>
      <c r="K25" s="256"/>
      <c r="L25" s="251"/>
      <c r="M25" s="258">
        <v>3</v>
      </c>
      <c r="N25" s="259"/>
      <c r="O25" s="250"/>
      <c r="P25" s="251"/>
      <c r="Q25" s="258"/>
      <c r="R25" s="259"/>
      <c r="S25" s="250"/>
      <c r="T25" s="251"/>
      <c r="U25" s="258"/>
      <c r="V25" s="257"/>
      <c r="W25" s="48">
        <f t="shared" ref="W25:W28" si="4">SUM(K25:V25)</f>
        <v>3</v>
      </c>
      <c r="X25" s="366"/>
      <c r="Y25" s="276"/>
    </row>
    <row r="26" spans="2:29" ht="18" thickBot="1">
      <c r="B26" s="308"/>
      <c r="C26" s="306"/>
      <c r="D26" s="261"/>
      <c r="E26" s="159" t="s">
        <v>341</v>
      </c>
      <c r="F26" s="256" t="s">
        <v>372</v>
      </c>
      <c r="G26" s="257"/>
      <c r="H26" s="45">
        <v>2</v>
      </c>
      <c r="I26" s="46" t="s">
        <v>357</v>
      </c>
      <c r="J26" s="158">
        <v>1</v>
      </c>
      <c r="K26" s="256"/>
      <c r="L26" s="251"/>
      <c r="M26" s="258"/>
      <c r="N26" s="259"/>
      <c r="O26" s="250">
        <v>1</v>
      </c>
      <c r="P26" s="251"/>
      <c r="Q26" s="258"/>
      <c r="R26" s="259"/>
      <c r="S26" s="250"/>
      <c r="T26" s="251"/>
      <c r="U26" s="258"/>
      <c r="V26" s="257"/>
      <c r="W26" s="48">
        <f t="shared" si="4"/>
        <v>1</v>
      </c>
      <c r="X26" s="366"/>
      <c r="Y26" s="276"/>
    </row>
    <row r="27" spans="2:29" ht="18" thickBot="1">
      <c r="B27" s="308"/>
      <c r="C27" s="306"/>
      <c r="D27" s="261"/>
      <c r="E27" s="159" t="s">
        <v>341</v>
      </c>
      <c r="F27" s="256" t="s">
        <v>521</v>
      </c>
      <c r="G27" s="257"/>
      <c r="H27" s="45">
        <v>2</v>
      </c>
      <c r="I27" s="46" t="s">
        <v>357</v>
      </c>
      <c r="J27" s="47">
        <v>2</v>
      </c>
      <c r="K27" s="256"/>
      <c r="L27" s="251"/>
      <c r="M27" s="258"/>
      <c r="N27" s="259"/>
      <c r="O27" s="250"/>
      <c r="P27" s="251"/>
      <c r="Q27" s="258">
        <v>2</v>
      </c>
      <c r="R27" s="259"/>
      <c r="S27" s="250"/>
      <c r="T27" s="251"/>
      <c r="U27" s="258"/>
      <c r="V27" s="257"/>
      <c r="W27" s="48">
        <f t="shared" si="4"/>
        <v>2</v>
      </c>
      <c r="X27" s="366"/>
      <c r="Y27" s="276"/>
    </row>
    <row r="28" spans="2:29" ht="18" thickBot="1">
      <c r="B28" s="308"/>
      <c r="C28" s="306"/>
      <c r="D28" s="311"/>
      <c r="E28" s="44" t="s">
        <v>351</v>
      </c>
      <c r="F28" s="368" t="s">
        <v>356</v>
      </c>
      <c r="G28" s="288"/>
      <c r="H28" s="45">
        <v>3</v>
      </c>
      <c r="I28" s="162" t="s">
        <v>354</v>
      </c>
      <c r="J28" s="47">
        <v>3</v>
      </c>
      <c r="K28" s="312"/>
      <c r="L28" s="292"/>
      <c r="M28" s="248"/>
      <c r="N28" s="249"/>
      <c r="O28" s="291"/>
      <c r="P28" s="292"/>
      <c r="Q28" s="248"/>
      <c r="R28" s="249"/>
      <c r="S28" s="291">
        <v>3</v>
      </c>
      <c r="T28" s="292"/>
      <c r="U28" s="248"/>
      <c r="V28" s="293"/>
      <c r="W28" s="59">
        <f t="shared" si="4"/>
        <v>3</v>
      </c>
      <c r="X28" s="367"/>
      <c r="Y28" s="276"/>
    </row>
    <row r="29" spans="2:29" ht="18" thickBot="1">
      <c r="B29" s="308"/>
      <c r="C29" s="306"/>
      <c r="D29" s="260" t="s">
        <v>28</v>
      </c>
      <c r="E29" s="39" t="s">
        <v>352</v>
      </c>
      <c r="F29" s="262" t="s">
        <v>9</v>
      </c>
      <c r="G29" s="263"/>
      <c r="H29" s="40">
        <v>3</v>
      </c>
      <c r="I29" s="54" t="s">
        <v>354</v>
      </c>
      <c r="J29" s="42">
        <v>2</v>
      </c>
      <c r="K29" s="262">
        <v>2</v>
      </c>
      <c r="L29" s="290"/>
      <c r="M29" s="277"/>
      <c r="N29" s="278"/>
      <c r="O29" s="289"/>
      <c r="P29" s="290"/>
      <c r="Q29" s="277"/>
      <c r="R29" s="278"/>
      <c r="S29" s="289"/>
      <c r="T29" s="290"/>
      <c r="U29" s="277"/>
      <c r="V29" s="263"/>
      <c r="W29" s="286">
        <f>SUM(K29:V32)</f>
        <v>10</v>
      </c>
      <c r="X29" s="287"/>
      <c r="Y29" s="276">
        <v>6</v>
      </c>
    </row>
    <row r="30" spans="2:29" ht="18" thickBot="1">
      <c r="B30" s="308"/>
      <c r="C30" s="306"/>
      <c r="D30" s="261"/>
      <c r="E30" s="49" t="s">
        <v>341</v>
      </c>
      <c r="F30" s="256" t="s">
        <v>283</v>
      </c>
      <c r="G30" s="257"/>
      <c r="H30" s="160">
        <v>3</v>
      </c>
      <c r="I30" s="46" t="s">
        <v>354</v>
      </c>
      <c r="J30" s="161">
        <v>3</v>
      </c>
      <c r="K30" s="256"/>
      <c r="L30" s="251"/>
      <c r="M30" s="258">
        <v>3</v>
      </c>
      <c r="N30" s="259"/>
      <c r="O30" s="250"/>
      <c r="P30" s="251"/>
      <c r="Q30" s="258"/>
      <c r="R30" s="259"/>
      <c r="S30" s="165"/>
      <c r="T30" s="166"/>
      <c r="U30" s="167"/>
      <c r="V30" s="168"/>
      <c r="W30" s="369"/>
      <c r="X30" s="370"/>
      <c r="Y30" s="276"/>
    </row>
    <row r="31" spans="2:29" ht="18" thickBot="1">
      <c r="B31" s="308"/>
      <c r="C31" s="306"/>
      <c r="D31" s="261"/>
      <c r="E31" s="49" t="s">
        <v>341</v>
      </c>
      <c r="F31" s="256" t="s">
        <v>284</v>
      </c>
      <c r="G31" s="257"/>
      <c r="H31" s="160">
        <v>3</v>
      </c>
      <c r="I31" s="60" t="s">
        <v>354</v>
      </c>
      <c r="J31" s="161">
        <v>3</v>
      </c>
      <c r="K31" s="256"/>
      <c r="L31" s="251"/>
      <c r="M31" s="258"/>
      <c r="N31" s="259"/>
      <c r="O31" s="250">
        <v>3</v>
      </c>
      <c r="P31" s="251"/>
      <c r="Q31" s="258"/>
      <c r="R31" s="259"/>
      <c r="S31" s="165"/>
      <c r="T31" s="166"/>
      <c r="U31" s="167"/>
      <c r="V31" s="168"/>
      <c r="W31" s="369"/>
      <c r="X31" s="370"/>
      <c r="Y31" s="276"/>
    </row>
    <row r="32" spans="2:29" ht="18" thickBot="1">
      <c r="B32" s="308"/>
      <c r="C32" s="306"/>
      <c r="D32" s="261"/>
      <c r="E32" s="49" t="s">
        <v>351</v>
      </c>
      <c r="F32" s="256" t="s">
        <v>287</v>
      </c>
      <c r="G32" s="257"/>
      <c r="H32" s="45">
        <v>3</v>
      </c>
      <c r="I32" s="46" t="s">
        <v>354</v>
      </c>
      <c r="J32" s="47">
        <v>2</v>
      </c>
      <c r="K32" s="256"/>
      <c r="L32" s="251"/>
      <c r="M32" s="258"/>
      <c r="N32" s="259"/>
      <c r="O32" s="250"/>
      <c r="P32" s="251"/>
      <c r="Q32" s="258">
        <v>2</v>
      </c>
      <c r="R32" s="259"/>
      <c r="S32" s="250"/>
      <c r="T32" s="251"/>
      <c r="U32" s="258"/>
      <c r="V32" s="257"/>
      <c r="W32" s="369"/>
      <c r="X32" s="370"/>
      <c r="Y32" s="276"/>
    </row>
    <row r="33" spans="2:29" ht="16.5" customHeight="1" thickBot="1">
      <c r="B33" s="308"/>
      <c r="C33" s="306"/>
      <c r="D33" s="371" t="s">
        <v>358</v>
      </c>
      <c r="E33" s="39" t="s">
        <v>341</v>
      </c>
      <c r="F33" s="262" t="s">
        <v>522</v>
      </c>
      <c r="G33" s="263"/>
      <c r="H33" s="40">
        <v>4</v>
      </c>
      <c r="I33" s="54" t="s">
        <v>370</v>
      </c>
      <c r="J33" s="42">
        <v>3</v>
      </c>
      <c r="K33" s="262"/>
      <c r="L33" s="290"/>
      <c r="M33" s="277"/>
      <c r="N33" s="278"/>
      <c r="O33" s="289">
        <v>3</v>
      </c>
      <c r="P33" s="290"/>
      <c r="Q33" s="277"/>
      <c r="R33" s="278"/>
      <c r="S33" s="289"/>
      <c r="T33" s="290"/>
      <c r="U33" s="277"/>
      <c r="V33" s="263"/>
      <c r="W33" s="286">
        <f>SUM(K33:V36)</f>
        <v>12</v>
      </c>
      <c r="X33" s="287"/>
      <c r="Y33" s="276">
        <v>8</v>
      </c>
    </row>
    <row r="34" spans="2:29" ht="16.5" customHeight="1" thickBot="1">
      <c r="B34" s="308"/>
      <c r="C34" s="306"/>
      <c r="D34" s="372"/>
      <c r="E34" s="49" t="s">
        <v>341</v>
      </c>
      <c r="F34" s="256" t="s">
        <v>289</v>
      </c>
      <c r="G34" s="257"/>
      <c r="H34" s="160">
        <v>4</v>
      </c>
      <c r="I34" s="157" t="s">
        <v>343</v>
      </c>
      <c r="J34" s="161">
        <v>3</v>
      </c>
      <c r="K34" s="256"/>
      <c r="L34" s="251"/>
      <c r="M34" s="258"/>
      <c r="N34" s="259"/>
      <c r="O34" s="250"/>
      <c r="P34" s="251"/>
      <c r="Q34" s="258">
        <v>3</v>
      </c>
      <c r="R34" s="259"/>
      <c r="S34" s="250"/>
      <c r="T34" s="251"/>
      <c r="U34" s="258"/>
      <c r="V34" s="257"/>
      <c r="W34" s="369"/>
      <c r="X34" s="370"/>
      <c r="Y34" s="276"/>
    </row>
    <row r="35" spans="2:29" ht="16.5" customHeight="1" thickBot="1">
      <c r="B35" s="308"/>
      <c r="C35" s="306"/>
      <c r="D35" s="372"/>
      <c r="E35" s="49" t="s">
        <v>341</v>
      </c>
      <c r="F35" s="256" t="s">
        <v>335</v>
      </c>
      <c r="G35" s="257"/>
      <c r="H35" s="160">
        <v>4</v>
      </c>
      <c r="I35" s="157" t="s">
        <v>343</v>
      </c>
      <c r="J35" s="161">
        <v>3</v>
      </c>
      <c r="K35" s="169"/>
      <c r="L35" s="170"/>
      <c r="M35" s="171"/>
      <c r="N35" s="172"/>
      <c r="O35" s="152"/>
      <c r="P35" s="149"/>
      <c r="Q35" s="258">
        <v>3</v>
      </c>
      <c r="R35" s="259"/>
      <c r="S35" s="152"/>
      <c r="T35" s="149"/>
      <c r="U35" s="150"/>
      <c r="V35" s="153"/>
      <c r="W35" s="369"/>
      <c r="X35" s="370"/>
      <c r="Y35" s="276"/>
    </row>
    <row r="36" spans="2:29" ht="18" thickBot="1">
      <c r="B36" s="309"/>
      <c r="C36" s="310"/>
      <c r="D36" s="372"/>
      <c r="E36" s="49" t="s">
        <v>352</v>
      </c>
      <c r="F36" s="256" t="s">
        <v>50</v>
      </c>
      <c r="G36" s="257"/>
      <c r="H36" s="45">
        <v>4</v>
      </c>
      <c r="I36" s="46" t="s">
        <v>343</v>
      </c>
      <c r="J36" s="47">
        <v>3</v>
      </c>
      <c r="K36" s="312"/>
      <c r="L36" s="292"/>
      <c r="M36" s="248"/>
      <c r="N36" s="249"/>
      <c r="O36" s="250"/>
      <c r="P36" s="251"/>
      <c r="Q36" s="258"/>
      <c r="R36" s="259"/>
      <c r="S36" s="250">
        <v>3</v>
      </c>
      <c r="T36" s="251"/>
      <c r="U36" s="258"/>
      <c r="V36" s="257"/>
      <c r="W36" s="369"/>
      <c r="X36" s="370"/>
      <c r="Y36" s="276"/>
    </row>
    <row r="37" spans="2:29" ht="24.75" customHeight="1" thickBot="1">
      <c r="B37" s="269" t="s">
        <v>365</v>
      </c>
      <c r="C37" s="373"/>
      <c r="D37" s="373"/>
      <c r="E37" s="373"/>
      <c r="F37" s="373"/>
      <c r="G37" s="374"/>
      <c r="H37" s="34">
        <f>SUM(H9:H36)</f>
        <v>99</v>
      </c>
      <c r="I37" s="18"/>
      <c r="J37" s="35">
        <f>SUM(J9:J36)</f>
        <v>78</v>
      </c>
      <c r="K37" s="375">
        <f>SUM(K9:L36)</f>
        <v>19</v>
      </c>
      <c r="L37" s="267"/>
      <c r="M37" s="267">
        <f>SUM(M9:N36)</f>
        <v>21</v>
      </c>
      <c r="N37" s="279"/>
      <c r="O37" s="280">
        <f>SUM(O9:P36)</f>
        <v>13</v>
      </c>
      <c r="P37" s="267"/>
      <c r="Q37" s="267">
        <f>SUM(Q9:R36)</f>
        <v>19</v>
      </c>
      <c r="R37" s="275"/>
      <c r="S37" s="270">
        <f>SUM(S9:T36)</f>
        <v>6</v>
      </c>
      <c r="T37" s="267"/>
      <c r="U37" s="267">
        <f>SUM(U9:V36)</f>
        <v>0</v>
      </c>
      <c r="V37" s="268"/>
      <c r="W37" s="269">
        <f>SUM(K37:V37)</f>
        <v>78</v>
      </c>
      <c r="X37" s="270"/>
      <c r="Y37" s="35">
        <f>SUM(Y9:Y36)</f>
        <v>64</v>
      </c>
      <c r="AA37" s="376" t="b">
        <f>W37&gt;=Y37</f>
        <v>1</v>
      </c>
      <c r="AB37" s="377"/>
    </row>
    <row r="38" spans="2:29" ht="17.25" customHeight="1">
      <c r="B38" s="378" t="s">
        <v>359</v>
      </c>
      <c r="C38" s="379"/>
      <c r="D38" s="394" t="s">
        <v>360</v>
      </c>
      <c r="E38" s="395"/>
      <c r="F38" s="382" t="s">
        <v>535</v>
      </c>
      <c r="G38" s="383"/>
      <c r="H38" s="174"/>
      <c r="I38" s="175" t="s">
        <v>541</v>
      </c>
      <c r="J38" s="144">
        <v>2</v>
      </c>
      <c r="K38" s="361">
        <v>2</v>
      </c>
      <c r="L38" s="284"/>
      <c r="M38" s="281"/>
      <c r="N38" s="282"/>
      <c r="O38" s="283"/>
      <c r="P38" s="284"/>
      <c r="Q38" s="281"/>
      <c r="R38" s="282"/>
      <c r="S38" s="283"/>
      <c r="T38" s="284"/>
      <c r="U38" s="281"/>
      <c r="V38" s="285"/>
      <c r="W38" s="286">
        <f>SUM(K38:V38)</f>
        <v>2</v>
      </c>
      <c r="X38" s="287"/>
      <c r="Y38" s="384">
        <v>80</v>
      </c>
    </row>
    <row r="39" spans="2:29" ht="17.25" customHeight="1" thickBot="1">
      <c r="B39" s="380"/>
      <c r="C39" s="381"/>
      <c r="D39" s="242" t="s">
        <v>360</v>
      </c>
      <c r="E39" s="243"/>
      <c r="F39" s="244" t="s">
        <v>530</v>
      </c>
      <c r="G39" s="245"/>
      <c r="H39" s="50"/>
      <c r="I39" s="176" t="s">
        <v>540</v>
      </c>
      <c r="J39" s="52">
        <v>2</v>
      </c>
      <c r="K39" s="177"/>
      <c r="L39" s="178"/>
      <c r="M39" s="248">
        <v>2</v>
      </c>
      <c r="N39" s="249"/>
      <c r="O39" s="181"/>
      <c r="P39" s="178"/>
      <c r="Q39" s="179"/>
      <c r="R39" s="182"/>
      <c r="S39" s="180"/>
      <c r="T39" s="178"/>
      <c r="U39" s="179"/>
      <c r="V39" s="183"/>
      <c r="W39" s="254">
        <f>SUM(K39:V39)</f>
        <v>2</v>
      </c>
      <c r="X39" s="255"/>
      <c r="Y39" s="385"/>
    </row>
    <row r="40" spans="2:29" ht="17.25" customHeight="1">
      <c r="B40" s="380"/>
      <c r="C40" s="381"/>
      <c r="D40" s="64" t="s">
        <v>154</v>
      </c>
      <c r="E40" s="69" t="s">
        <v>361</v>
      </c>
      <c r="F40" s="386" t="s">
        <v>532</v>
      </c>
      <c r="G40" s="387"/>
      <c r="H40" s="160"/>
      <c r="I40" s="184" t="s">
        <v>540</v>
      </c>
      <c r="J40" s="161">
        <v>8</v>
      </c>
      <c r="K40" s="368">
        <v>8</v>
      </c>
      <c r="L40" s="266"/>
      <c r="M40" s="273"/>
      <c r="N40" s="265"/>
      <c r="O40" s="294"/>
      <c r="P40" s="266"/>
      <c r="Q40" s="273"/>
      <c r="R40" s="274"/>
      <c r="S40" s="265"/>
      <c r="T40" s="266"/>
      <c r="U40" s="273"/>
      <c r="V40" s="288"/>
      <c r="W40" s="271">
        <f t="shared" ref="W40:W47" si="5">SUM(K40:V40)</f>
        <v>8</v>
      </c>
      <c r="X40" s="272"/>
      <c r="Y40" s="385"/>
    </row>
    <row r="41" spans="2:29" ht="17.25" customHeight="1">
      <c r="B41" s="380"/>
      <c r="C41" s="381"/>
      <c r="D41" s="61" t="s">
        <v>154</v>
      </c>
      <c r="E41" s="62" t="s">
        <v>361</v>
      </c>
      <c r="F41" s="246" t="s">
        <v>533</v>
      </c>
      <c r="G41" s="247"/>
      <c r="H41" s="160"/>
      <c r="I41" s="184" t="s">
        <v>540</v>
      </c>
      <c r="J41" s="161">
        <v>6</v>
      </c>
      <c r="K41" s="256"/>
      <c r="L41" s="251"/>
      <c r="M41" s="258">
        <v>6</v>
      </c>
      <c r="N41" s="259"/>
      <c r="O41" s="250"/>
      <c r="P41" s="251"/>
      <c r="Q41" s="258"/>
      <c r="R41" s="259"/>
      <c r="S41" s="250"/>
      <c r="T41" s="251"/>
      <c r="U41" s="258"/>
      <c r="V41" s="257"/>
      <c r="W41" s="252">
        <f t="shared" si="5"/>
        <v>6</v>
      </c>
      <c r="X41" s="253"/>
      <c r="Y41" s="385"/>
    </row>
    <row r="42" spans="2:29" ht="17.25" customHeight="1">
      <c r="B42" s="380"/>
      <c r="C42" s="381"/>
      <c r="D42" s="61" t="s">
        <v>154</v>
      </c>
      <c r="E42" s="62" t="s">
        <v>361</v>
      </c>
      <c r="F42" s="246" t="s">
        <v>531</v>
      </c>
      <c r="G42" s="247"/>
      <c r="H42" s="160"/>
      <c r="I42" s="184" t="s">
        <v>540</v>
      </c>
      <c r="J42" s="161">
        <v>8</v>
      </c>
      <c r="K42" s="148"/>
      <c r="L42" s="149"/>
      <c r="M42" s="150"/>
      <c r="N42" s="151"/>
      <c r="O42" s="250">
        <v>8</v>
      </c>
      <c r="P42" s="251"/>
      <c r="Q42" s="150"/>
      <c r="R42" s="151"/>
      <c r="S42" s="152"/>
      <c r="T42" s="149"/>
      <c r="U42" s="150"/>
      <c r="V42" s="153"/>
      <c r="W42" s="252">
        <f>SUM(K42:V42)</f>
        <v>8</v>
      </c>
      <c r="X42" s="253"/>
      <c r="Y42" s="385"/>
    </row>
    <row r="43" spans="2:29" ht="17.25" customHeight="1" thickBot="1">
      <c r="B43" s="380"/>
      <c r="C43" s="381"/>
      <c r="D43" s="61" t="s">
        <v>154</v>
      </c>
      <c r="E43" s="173" t="s">
        <v>361</v>
      </c>
      <c r="F43" s="388" t="s">
        <v>534</v>
      </c>
      <c r="G43" s="389"/>
      <c r="H43" s="50"/>
      <c r="I43" s="188" t="s">
        <v>540</v>
      </c>
      <c r="J43" s="145">
        <v>8</v>
      </c>
      <c r="K43" s="312"/>
      <c r="L43" s="292"/>
      <c r="M43" s="248"/>
      <c r="N43" s="249"/>
      <c r="O43" s="291">
        <v>8</v>
      </c>
      <c r="P43" s="292"/>
      <c r="Q43" s="248"/>
      <c r="R43" s="249"/>
      <c r="S43" s="291"/>
      <c r="T43" s="292"/>
      <c r="U43" s="248"/>
      <c r="V43" s="293"/>
      <c r="W43" s="254">
        <f t="shared" si="5"/>
        <v>8</v>
      </c>
      <c r="X43" s="255"/>
      <c r="Y43" s="385"/>
    </row>
    <row r="44" spans="2:29" ht="17.25" customHeight="1">
      <c r="B44" s="380"/>
      <c r="C44" s="381"/>
      <c r="D44" s="65" t="s">
        <v>154</v>
      </c>
      <c r="E44" s="66" t="s">
        <v>362</v>
      </c>
      <c r="F44" s="390" t="s">
        <v>536</v>
      </c>
      <c r="G44" s="391"/>
      <c r="H44" s="160"/>
      <c r="I44" s="189" t="s">
        <v>540</v>
      </c>
      <c r="J44" s="42">
        <v>14</v>
      </c>
      <c r="K44" s="368"/>
      <c r="L44" s="266"/>
      <c r="M44" s="273"/>
      <c r="N44" s="274"/>
      <c r="O44" s="294"/>
      <c r="P44" s="266"/>
      <c r="Q44" s="273"/>
      <c r="R44" s="274"/>
      <c r="S44" s="294">
        <v>7</v>
      </c>
      <c r="T44" s="266"/>
      <c r="U44" s="273">
        <v>7</v>
      </c>
      <c r="V44" s="288"/>
      <c r="W44" s="271">
        <f t="shared" si="5"/>
        <v>14</v>
      </c>
      <c r="X44" s="272"/>
      <c r="Y44" s="385"/>
    </row>
    <row r="45" spans="2:29" ht="17.25" customHeight="1">
      <c r="B45" s="380"/>
      <c r="C45" s="381"/>
      <c r="D45" s="71" t="s">
        <v>154</v>
      </c>
      <c r="E45" s="62" t="s">
        <v>362</v>
      </c>
      <c r="F45" s="392" t="s">
        <v>537</v>
      </c>
      <c r="G45" s="393"/>
      <c r="H45" s="160"/>
      <c r="I45" s="184" t="s">
        <v>540</v>
      </c>
      <c r="J45" s="161">
        <v>10</v>
      </c>
      <c r="K45" s="256"/>
      <c r="L45" s="251"/>
      <c r="M45" s="258"/>
      <c r="N45" s="264"/>
      <c r="O45" s="250"/>
      <c r="P45" s="251"/>
      <c r="Q45" s="258">
        <v>10</v>
      </c>
      <c r="R45" s="259"/>
      <c r="S45" s="264"/>
      <c r="T45" s="251"/>
      <c r="U45" s="258"/>
      <c r="V45" s="257"/>
      <c r="W45" s="252">
        <f t="shared" si="5"/>
        <v>10</v>
      </c>
      <c r="X45" s="253"/>
      <c r="Y45" s="385"/>
    </row>
    <row r="46" spans="2:29" ht="17.25" customHeight="1">
      <c r="B46" s="380"/>
      <c r="C46" s="381"/>
      <c r="D46" s="63" t="s">
        <v>154</v>
      </c>
      <c r="E46" s="62" t="s">
        <v>362</v>
      </c>
      <c r="F46" s="392" t="s">
        <v>538</v>
      </c>
      <c r="G46" s="393"/>
      <c r="H46" s="160"/>
      <c r="I46" s="190" t="s">
        <v>540</v>
      </c>
      <c r="J46" s="47">
        <v>19</v>
      </c>
      <c r="K46" s="256"/>
      <c r="L46" s="251"/>
      <c r="M46" s="258"/>
      <c r="N46" s="264"/>
      <c r="O46" s="250"/>
      <c r="P46" s="251"/>
      <c r="Q46" s="258"/>
      <c r="R46" s="259"/>
      <c r="S46" s="264">
        <v>8</v>
      </c>
      <c r="T46" s="251"/>
      <c r="U46" s="258">
        <v>11</v>
      </c>
      <c r="V46" s="257"/>
      <c r="W46" s="252">
        <f t="shared" si="5"/>
        <v>19</v>
      </c>
      <c r="X46" s="253"/>
      <c r="Y46" s="385"/>
    </row>
    <row r="47" spans="2:29" ht="16.5" customHeight="1" thickBot="1">
      <c r="B47" s="380"/>
      <c r="C47" s="381"/>
      <c r="D47" s="63" t="s">
        <v>154</v>
      </c>
      <c r="E47" s="62" t="s">
        <v>361</v>
      </c>
      <c r="F47" s="392" t="s">
        <v>539</v>
      </c>
      <c r="G47" s="393"/>
      <c r="H47" s="45"/>
      <c r="I47" s="190" t="s">
        <v>540</v>
      </c>
      <c r="J47" s="47">
        <v>19</v>
      </c>
      <c r="K47" s="256"/>
      <c r="L47" s="251"/>
      <c r="M47" s="258"/>
      <c r="N47" s="264"/>
      <c r="O47" s="250"/>
      <c r="P47" s="251"/>
      <c r="Q47" s="258"/>
      <c r="R47" s="259"/>
      <c r="S47" s="264">
        <v>8</v>
      </c>
      <c r="T47" s="251"/>
      <c r="U47" s="258">
        <v>11</v>
      </c>
      <c r="V47" s="257"/>
      <c r="W47" s="252">
        <f t="shared" si="5"/>
        <v>19</v>
      </c>
      <c r="X47" s="253"/>
      <c r="Y47" s="385"/>
    </row>
    <row r="48" spans="2:29" ht="24.75" customHeight="1">
      <c r="B48" s="396" t="s">
        <v>366</v>
      </c>
      <c r="C48" s="397"/>
      <c r="D48" s="397"/>
      <c r="E48" s="397"/>
      <c r="F48" s="397"/>
      <c r="G48" s="398"/>
      <c r="H48" s="402">
        <f>SUM(H38:H47)</f>
        <v>0</v>
      </c>
      <c r="I48" s="404">
        <f>SUM(I38:I47)</f>
        <v>0</v>
      </c>
      <c r="J48" s="406">
        <f>SUM(J38:J47)</f>
        <v>96</v>
      </c>
      <c r="K48" s="396">
        <f>SUM(K38:L47)</f>
        <v>10</v>
      </c>
      <c r="L48" s="408"/>
      <c r="M48" s="410">
        <f>SUM(M38:N47)</f>
        <v>8</v>
      </c>
      <c r="N48" s="397"/>
      <c r="O48" s="412">
        <f>SUM(O38:P47)</f>
        <v>16</v>
      </c>
      <c r="P48" s="408"/>
      <c r="Q48" s="410">
        <f>SUM(Q38:R47)</f>
        <v>10</v>
      </c>
      <c r="R48" s="414"/>
      <c r="S48" s="397">
        <f>SUM(S38:T47)</f>
        <v>23</v>
      </c>
      <c r="T48" s="408"/>
      <c r="U48" s="410">
        <f>SUM(U38:V47)</f>
        <v>29</v>
      </c>
      <c r="V48" s="398"/>
      <c r="W48" s="396">
        <f>SUM(K48:V49)</f>
        <v>96</v>
      </c>
      <c r="X48" s="398"/>
      <c r="Y48" s="384">
        <f>SUM(Y38:Y47)</f>
        <v>80</v>
      </c>
      <c r="AC48" s="31"/>
    </row>
    <row r="49" spans="2:29" ht="18" thickBot="1">
      <c r="B49" s="399"/>
      <c r="C49" s="400"/>
      <c r="D49" s="400"/>
      <c r="E49" s="400"/>
      <c r="F49" s="400"/>
      <c r="G49" s="401"/>
      <c r="H49" s="403"/>
      <c r="I49" s="405"/>
      <c r="J49" s="407"/>
      <c r="K49" s="399"/>
      <c r="L49" s="409"/>
      <c r="M49" s="411"/>
      <c r="N49" s="400"/>
      <c r="O49" s="413"/>
      <c r="P49" s="409"/>
      <c r="Q49" s="411"/>
      <c r="R49" s="415"/>
      <c r="S49" s="400"/>
      <c r="T49" s="409"/>
      <c r="U49" s="411"/>
      <c r="V49" s="401"/>
      <c r="W49" s="399"/>
      <c r="X49" s="401"/>
      <c r="Y49" s="416"/>
      <c r="AC49" s="70"/>
    </row>
    <row r="50" spans="2:29" ht="17.25" customHeight="1" thickBot="1">
      <c r="B50" s="269"/>
      <c r="C50" s="373"/>
      <c r="D50" s="373"/>
      <c r="E50" s="373"/>
      <c r="F50" s="373"/>
      <c r="G50" s="374"/>
      <c r="H50" s="32">
        <f>SUM(H37,H48)</f>
        <v>99</v>
      </c>
      <c r="I50" s="33">
        <f>SUM(I37,I48)</f>
        <v>0</v>
      </c>
      <c r="J50" s="35">
        <f>SUM(J37,J48)</f>
        <v>174</v>
      </c>
      <c r="K50" s="269">
        <f>SUM(K37,K48)</f>
        <v>29</v>
      </c>
      <c r="L50" s="270"/>
      <c r="M50" s="279">
        <f>SUM(M37,M48)</f>
        <v>29</v>
      </c>
      <c r="N50" s="436"/>
      <c r="O50" s="437">
        <f>SUM(O37,O48)</f>
        <v>29</v>
      </c>
      <c r="P50" s="270"/>
      <c r="Q50" s="279">
        <f>SUM(Q37,Q48)</f>
        <v>29</v>
      </c>
      <c r="R50" s="436"/>
      <c r="S50" s="437">
        <f>SUM(S37,S48)</f>
        <v>29</v>
      </c>
      <c r="T50" s="270"/>
      <c r="U50" s="279">
        <f>SUM(U37,U48)</f>
        <v>29</v>
      </c>
      <c r="V50" s="374"/>
      <c r="W50" s="269">
        <f>SUM(K50:V50)</f>
        <v>174</v>
      </c>
      <c r="X50" s="374"/>
      <c r="Y50" s="11">
        <f>Y48+Y37</f>
        <v>144</v>
      </c>
      <c r="AA50" s="304" t="s">
        <v>155</v>
      </c>
      <c r="AB50" s="304"/>
    </row>
    <row r="51" spans="2:29" ht="18.75" customHeight="1" thickBot="1">
      <c r="B51" s="418" t="s">
        <v>367</v>
      </c>
      <c r="C51" s="419"/>
      <c r="D51" s="419"/>
      <c r="E51" s="420"/>
      <c r="F51" s="427" t="s">
        <v>363</v>
      </c>
      <c r="G51" s="428"/>
      <c r="H51" s="428"/>
      <c r="I51" s="428"/>
      <c r="J51" s="429"/>
      <c r="K51" s="262">
        <v>16</v>
      </c>
      <c r="L51" s="290"/>
      <c r="M51" s="277">
        <v>16</v>
      </c>
      <c r="N51" s="278"/>
      <c r="O51" s="289">
        <v>16</v>
      </c>
      <c r="P51" s="290"/>
      <c r="Q51" s="277">
        <v>16</v>
      </c>
      <c r="R51" s="278"/>
      <c r="S51" s="289">
        <v>16</v>
      </c>
      <c r="T51" s="290"/>
      <c r="U51" s="277">
        <v>16</v>
      </c>
      <c r="V51" s="263"/>
      <c r="W51" s="418">
        <f>SUM(K51:V53)</f>
        <v>288</v>
      </c>
      <c r="X51" s="420"/>
      <c r="Y51" s="384">
        <f>Y54*16</f>
        <v>288</v>
      </c>
      <c r="AA51" s="417"/>
      <c r="AB51" s="417"/>
    </row>
    <row r="52" spans="2:29" ht="17.25" customHeight="1" thickBot="1">
      <c r="B52" s="421"/>
      <c r="C52" s="422"/>
      <c r="D52" s="422"/>
      <c r="E52" s="423"/>
      <c r="F52" s="433" t="s">
        <v>63</v>
      </c>
      <c r="G52" s="434"/>
      <c r="H52" s="434"/>
      <c r="I52" s="434"/>
      <c r="J52" s="435"/>
      <c r="K52" s="256">
        <v>16</v>
      </c>
      <c r="L52" s="251"/>
      <c r="M52" s="258">
        <v>16</v>
      </c>
      <c r="N52" s="259"/>
      <c r="O52" s="250">
        <v>16</v>
      </c>
      <c r="P52" s="251"/>
      <c r="Q52" s="258">
        <v>16</v>
      </c>
      <c r="R52" s="259"/>
      <c r="S52" s="250">
        <v>16</v>
      </c>
      <c r="T52" s="251"/>
      <c r="U52" s="258">
        <v>16</v>
      </c>
      <c r="V52" s="257"/>
      <c r="W52" s="421"/>
      <c r="X52" s="423"/>
      <c r="Y52" s="385"/>
      <c r="AA52" s="376" t="b">
        <f>W50&gt;=Y50</f>
        <v>1</v>
      </c>
      <c r="AB52" s="377"/>
    </row>
    <row r="53" spans="2:29" ht="17.25" customHeight="1">
      <c r="B53" s="421"/>
      <c r="C53" s="422"/>
      <c r="D53" s="422"/>
      <c r="E53" s="423"/>
      <c r="F53" s="433" t="s">
        <v>11</v>
      </c>
      <c r="G53" s="434"/>
      <c r="H53" s="434"/>
      <c r="I53" s="434"/>
      <c r="J53" s="435"/>
      <c r="K53" s="256">
        <v>16</v>
      </c>
      <c r="L53" s="251"/>
      <c r="M53" s="258">
        <v>16</v>
      </c>
      <c r="N53" s="259"/>
      <c r="O53" s="250">
        <v>16</v>
      </c>
      <c r="P53" s="251"/>
      <c r="Q53" s="258">
        <v>16</v>
      </c>
      <c r="R53" s="259"/>
      <c r="S53" s="250">
        <v>16</v>
      </c>
      <c r="T53" s="251"/>
      <c r="U53" s="258">
        <v>16</v>
      </c>
      <c r="V53" s="257"/>
      <c r="W53" s="430"/>
      <c r="X53" s="431"/>
      <c r="Y53" s="432"/>
    </row>
    <row r="54" spans="2:29" ht="17.25" customHeight="1" thickBot="1">
      <c r="B54" s="424"/>
      <c r="C54" s="425"/>
      <c r="D54" s="425"/>
      <c r="E54" s="426"/>
      <c r="F54" s="441" t="s">
        <v>149</v>
      </c>
      <c r="G54" s="442"/>
      <c r="H54" s="442"/>
      <c r="I54" s="442"/>
      <c r="J54" s="443"/>
      <c r="K54" s="444">
        <v>3</v>
      </c>
      <c r="L54" s="445"/>
      <c r="M54" s="446">
        <v>3</v>
      </c>
      <c r="N54" s="447"/>
      <c r="O54" s="448">
        <v>3</v>
      </c>
      <c r="P54" s="445"/>
      <c r="Q54" s="446">
        <v>3</v>
      </c>
      <c r="R54" s="447"/>
      <c r="S54" s="448">
        <v>3</v>
      </c>
      <c r="T54" s="445"/>
      <c r="U54" s="446">
        <v>3</v>
      </c>
      <c r="V54" s="449"/>
      <c r="W54" s="441">
        <f>SUM(K54:V54)</f>
        <v>18</v>
      </c>
      <c r="X54" s="443"/>
      <c r="Y54" s="72">
        <v>18</v>
      </c>
      <c r="AA54" s="304" t="s">
        <v>156</v>
      </c>
      <c r="AB54" s="304"/>
    </row>
    <row r="55" spans="2:29" ht="17.25" customHeight="1" thickBot="1">
      <c r="B55" s="269"/>
      <c r="C55" s="373"/>
      <c r="D55" s="373"/>
      <c r="E55" s="373"/>
      <c r="F55" s="373"/>
      <c r="G55" s="373"/>
      <c r="H55" s="373"/>
      <c r="I55" s="373"/>
      <c r="J55" s="374"/>
      <c r="K55" s="269">
        <v>32</v>
      </c>
      <c r="L55" s="270"/>
      <c r="M55" s="279">
        <v>32</v>
      </c>
      <c r="N55" s="436"/>
      <c r="O55" s="437">
        <v>32</v>
      </c>
      <c r="P55" s="270"/>
      <c r="Q55" s="279">
        <v>32</v>
      </c>
      <c r="R55" s="436"/>
      <c r="S55" s="437">
        <v>32</v>
      </c>
      <c r="T55" s="270"/>
      <c r="U55" s="279">
        <v>32</v>
      </c>
      <c r="V55" s="374"/>
      <c r="W55" s="269">
        <f>SUM(K55:V55)</f>
        <v>192</v>
      </c>
      <c r="X55" s="374"/>
      <c r="Y55" s="36">
        <f>W55</f>
        <v>192</v>
      </c>
      <c r="AA55" s="376" t="b">
        <f>W54&gt;=Y54</f>
        <v>1</v>
      </c>
      <c r="AB55" s="377"/>
    </row>
    <row r="56" spans="2:29" ht="17.25" customHeight="1" thickBot="1">
      <c r="B56" s="269"/>
      <c r="C56" s="373"/>
      <c r="D56" s="373"/>
      <c r="E56" s="373"/>
      <c r="F56" s="373"/>
      <c r="G56" s="373"/>
      <c r="H56" s="373"/>
      <c r="I56" s="373"/>
      <c r="J56" s="374"/>
      <c r="K56" s="269">
        <f>SUM(K55:N55)</f>
        <v>64</v>
      </c>
      <c r="L56" s="373"/>
      <c r="M56" s="373"/>
      <c r="N56" s="436"/>
      <c r="O56" s="437">
        <f>SUM(O55:R55)</f>
        <v>64</v>
      </c>
      <c r="P56" s="373"/>
      <c r="Q56" s="373"/>
      <c r="R56" s="436"/>
      <c r="S56" s="437">
        <f>SUM(S55:V55)</f>
        <v>64</v>
      </c>
      <c r="T56" s="373"/>
      <c r="U56" s="373"/>
      <c r="V56" s="374"/>
      <c r="W56" s="269">
        <f>SUM(K56:V56)</f>
        <v>192</v>
      </c>
      <c r="X56" s="374"/>
      <c r="Y56" s="11"/>
      <c r="AA56" s="304" t="s">
        <v>153</v>
      </c>
      <c r="AB56" s="304"/>
    </row>
    <row r="57" spans="2:29" ht="17.25" customHeight="1" thickBot="1">
      <c r="AA57" s="376" t="b">
        <f>W55&gt;=Y55</f>
        <v>1</v>
      </c>
      <c r="AB57" s="377"/>
    </row>
    <row r="58" spans="2:29" ht="17.25" customHeight="1"/>
    <row r="59" spans="2:29" ht="17.25" customHeight="1"/>
    <row r="60" spans="2:29" ht="17.25" customHeight="1"/>
    <row r="62" spans="2:29" ht="24.9" customHeight="1"/>
    <row r="63" spans="2:29" ht="24.9" customHeight="1"/>
    <row r="64" spans="2:29" ht="32.25" customHeight="1"/>
    <row r="65" ht="24.9" customHeight="1"/>
    <row r="67" ht="16.5" customHeight="1"/>
    <row r="68" ht="17.2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244.5" customHeight="1"/>
  </sheetData>
  <mergeCells count="407">
    <mergeCell ref="AB14:AD14"/>
    <mergeCell ref="AA8:AD8"/>
    <mergeCell ref="B56:J56"/>
    <mergeCell ref="K56:N56"/>
    <mergeCell ref="O56:R56"/>
    <mergeCell ref="S56:V56"/>
    <mergeCell ref="W56:X56"/>
    <mergeCell ref="AA56:AB56"/>
    <mergeCell ref="F54:J54"/>
    <mergeCell ref="K54:L54"/>
    <mergeCell ref="M54:N54"/>
    <mergeCell ref="O54:P54"/>
    <mergeCell ref="Q54:R54"/>
    <mergeCell ref="S54:T54"/>
    <mergeCell ref="U54:V54"/>
    <mergeCell ref="W54:X54"/>
    <mergeCell ref="AA54:AB54"/>
    <mergeCell ref="S52:T52"/>
    <mergeCell ref="U52:V52"/>
    <mergeCell ref="AA52:AB52"/>
    <mergeCell ref="F53:J53"/>
    <mergeCell ref="K53:L53"/>
    <mergeCell ref="M53:N53"/>
    <mergeCell ref="B50:G50"/>
    <mergeCell ref="K50:L50"/>
    <mergeCell ref="M50:N50"/>
    <mergeCell ref="O50:P50"/>
    <mergeCell ref="Q50:R50"/>
    <mergeCell ref="S50:T50"/>
    <mergeCell ref="U50:V50"/>
    <mergeCell ref="AA57:AB57"/>
    <mergeCell ref="B55:J55"/>
    <mergeCell ref="K55:L55"/>
    <mergeCell ref="M55:N55"/>
    <mergeCell ref="O55:P55"/>
    <mergeCell ref="Q55:R55"/>
    <mergeCell ref="S55:T55"/>
    <mergeCell ref="U55:V55"/>
    <mergeCell ref="W55:X55"/>
    <mergeCell ref="AA55:AB55"/>
    <mergeCell ref="U48:V49"/>
    <mergeCell ref="W48:X49"/>
    <mergeCell ref="Y48:Y49"/>
    <mergeCell ref="W50:X50"/>
    <mergeCell ref="AA50:AB51"/>
    <mergeCell ref="B51:E54"/>
    <mergeCell ref="F51:J51"/>
    <mergeCell ref="K51:L51"/>
    <mergeCell ref="M51:N51"/>
    <mergeCell ref="O51:P51"/>
    <mergeCell ref="Q51:R51"/>
    <mergeCell ref="S51:T51"/>
    <mergeCell ref="U51:V51"/>
    <mergeCell ref="W51:X53"/>
    <mergeCell ref="Y51:Y53"/>
    <mergeCell ref="F52:J52"/>
    <mergeCell ref="K52:L52"/>
    <mergeCell ref="M52:N52"/>
    <mergeCell ref="O52:P52"/>
    <mergeCell ref="Q52:R52"/>
    <mergeCell ref="O53:P53"/>
    <mergeCell ref="Q53:R53"/>
    <mergeCell ref="S53:T53"/>
    <mergeCell ref="U53:V53"/>
    <mergeCell ref="B48:G49"/>
    <mergeCell ref="H48:H49"/>
    <mergeCell ref="I48:I49"/>
    <mergeCell ref="J48:J49"/>
    <mergeCell ref="K48:L49"/>
    <mergeCell ref="M48:N49"/>
    <mergeCell ref="O48:P49"/>
    <mergeCell ref="Q48:R49"/>
    <mergeCell ref="S48:T49"/>
    <mergeCell ref="B37:G37"/>
    <mergeCell ref="K37:L37"/>
    <mergeCell ref="AA37:AB37"/>
    <mergeCell ref="B38:C47"/>
    <mergeCell ref="F38:G38"/>
    <mergeCell ref="K38:L38"/>
    <mergeCell ref="Y38:Y47"/>
    <mergeCell ref="F40:G40"/>
    <mergeCell ref="K40:L40"/>
    <mergeCell ref="F41:G41"/>
    <mergeCell ref="K41:L41"/>
    <mergeCell ref="F43:G43"/>
    <mergeCell ref="K43:L43"/>
    <mergeCell ref="F44:G44"/>
    <mergeCell ref="K44:L44"/>
    <mergeCell ref="F45:G45"/>
    <mergeCell ref="K45:L45"/>
    <mergeCell ref="F46:G46"/>
    <mergeCell ref="K46:L46"/>
    <mergeCell ref="F47:G47"/>
    <mergeCell ref="K47:L47"/>
    <mergeCell ref="D38:E38"/>
    <mergeCell ref="M47:N47"/>
    <mergeCell ref="O47:P47"/>
    <mergeCell ref="K29:L29"/>
    <mergeCell ref="W29:X32"/>
    <mergeCell ref="Y29:Y32"/>
    <mergeCell ref="F32:G32"/>
    <mergeCell ref="K32:L32"/>
    <mergeCell ref="D33:D36"/>
    <mergeCell ref="F33:G33"/>
    <mergeCell ref="K33:L33"/>
    <mergeCell ref="W33:X36"/>
    <mergeCell ref="Y33:Y36"/>
    <mergeCell ref="F34:G34"/>
    <mergeCell ref="K34:L34"/>
    <mergeCell ref="F36:G36"/>
    <mergeCell ref="K36:L36"/>
    <mergeCell ref="O32:P32"/>
    <mergeCell ref="Q32:R32"/>
    <mergeCell ref="S32:T32"/>
    <mergeCell ref="U32:V32"/>
    <mergeCell ref="M29:N29"/>
    <mergeCell ref="O29:P29"/>
    <mergeCell ref="Q29:R29"/>
    <mergeCell ref="S29:T29"/>
    <mergeCell ref="F23:G23"/>
    <mergeCell ref="K23:L23"/>
    <mergeCell ref="D24:D28"/>
    <mergeCell ref="F24:G24"/>
    <mergeCell ref="K24:L24"/>
    <mergeCell ref="X24:X28"/>
    <mergeCell ref="F25:G25"/>
    <mergeCell ref="K25:L25"/>
    <mergeCell ref="F26:G26"/>
    <mergeCell ref="K26:L26"/>
    <mergeCell ref="F27:G27"/>
    <mergeCell ref="K27:L27"/>
    <mergeCell ref="F28:G28"/>
    <mergeCell ref="K28:L28"/>
    <mergeCell ref="O26:P26"/>
    <mergeCell ref="Q26:R26"/>
    <mergeCell ref="S26:T26"/>
    <mergeCell ref="U26:V26"/>
    <mergeCell ref="M26:N26"/>
    <mergeCell ref="M28:N28"/>
    <mergeCell ref="O28:P28"/>
    <mergeCell ref="Q28:R28"/>
    <mergeCell ref="S28:T28"/>
    <mergeCell ref="U28:V28"/>
    <mergeCell ref="S12:T12"/>
    <mergeCell ref="U12:V12"/>
    <mergeCell ref="X15:X17"/>
    <mergeCell ref="F16:G16"/>
    <mergeCell ref="K16:L16"/>
    <mergeCell ref="F17:G17"/>
    <mergeCell ref="K17:L17"/>
    <mergeCell ref="D18:D21"/>
    <mergeCell ref="F18:G18"/>
    <mergeCell ref="K18:L18"/>
    <mergeCell ref="X18:X19"/>
    <mergeCell ref="F19:G19"/>
    <mergeCell ref="K19:L19"/>
    <mergeCell ref="F20:G20"/>
    <mergeCell ref="K20:L20"/>
    <mergeCell ref="X20:X21"/>
    <mergeCell ref="F21:G21"/>
    <mergeCell ref="K21:L21"/>
    <mergeCell ref="U19:V19"/>
    <mergeCell ref="M19:N19"/>
    <mergeCell ref="O19:P19"/>
    <mergeCell ref="S19:T19"/>
    <mergeCell ref="O8:P8"/>
    <mergeCell ref="Q8:R8"/>
    <mergeCell ref="X12:X14"/>
    <mergeCell ref="F13:G13"/>
    <mergeCell ref="K13:L13"/>
    <mergeCell ref="F14:G14"/>
    <mergeCell ref="K14:L14"/>
    <mergeCell ref="X9:X11"/>
    <mergeCell ref="O9:P9"/>
    <mergeCell ref="Q9:R9"/>
    <mergeCell ref="S9:T9"/>
    <mergeCell ref="U9:V9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M12:N12"/>
    <mergeCell ref="O12:P12"/>
    <mergeCell ref="Q12:R12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8:T8"/>
    <mergeCell ref="U8:V8"/>
    <mergeCell ref="S7:V7"/>
    <mergeCell ref="W7:X8"/>
    <mergeCell ref="Y7:Y8"/>
    <mergeCell ref="F8:G8"/>
    <mergeCell ref="K8:L8"/>
    <mergeCell ref="I7:I8"/>
    <mergeCell ref="J7:J8"/>
    <mergeCell ref="M8:N8"/>
    <mergeCell ref="M27:N27"/>
    <mergeCell ref="O27:P27"/>
    <mergeCell ref="Q27:R27"/>
    <mergeCell ref="S27:T27"/>
    <mergeCell ref="U27:V27"/>
    <mergeCell ref="M24:N24"/>
    <mergeCell ref="O24:P24"/>
    <mergeCell ref="Q24:R24"/>
    <mergeCell ref="S24:T24"/>
    <mergeCell ref="U24:V24"/>
    <mergeCell ref="M25:N25"/>
    <mergeCell ref="O25:P25"/>
    <mergeCell ref="Q25:R25"/>
    <mergeCell ref="S25:T25"/>
    <mergeCell ref="U25:V25"/>
    <mergeCell ref="B9:C36"/>
    <mergeCell ref="D9:D11"/>
    <mergeCell ref="F9:G9"/>
    <mergeCell ref="K9:L9"/>
    <mergeCell ref="F10:G10"/>
    <mergeCell ref="K10:L10"/>
    <mergeCell ref="M23:N23"/>
    <mergeCell ref="O23:P23"/>
    <mergeCell ref="Q23:R23"/>
    <mergeCell ref="M22:N22"/>
    <mergeCell ref="O22:P22"/>
    <mergeCell ref="Q22:R22"/>
    <mergeCell ref="Q19:R19"/>
    <mergeCell ref="F11:G11"/>
    <mergeCell ref="K11:L11"/>
    <mergeCell ref="D12:D14"/>
    <mergeCell ref="F12:G12"/>
    <mergeCell ref="K12:L12"/>
    <mergeCell ref="D15:D17"/>
    <mergeCell ref="F15:G15"/>
    <mergeCell ref="K15:L15"/>
    <mergeCell ref="D22:D23"/>
    <mergeCell ref="F22:G22"/>
    <mergeCell ref="K22:L22"/>
    <mergeCell ref="Y20:Y23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U20:V20"/>
    <mergeCell ref="S22:T22"/>
    <mergeCell ref="U22:V22"/>
    <mergeCell ref="S23:T23"/>
    <mergeCell ref="U23:V23"/>
    <mergeCell ref="X22:X23"/>
    <mergeCell ref="Y18:Y19"/>
    <mergeCell ref="AA19:AB19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Y9:Y17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M9:N9"/>
    <mergeCell ref="X2:Y2"/>
    <mergeCell ref="B2:U2"/>
    <mergeCell ref="V2:W2"/>
    <mergeCell ref="AA2:AA5"/>
    <mergeCell ref="S47:T47"/>
    <mergeCell ref="U46:V46"/>
    <mergeCell ref="W46:X46"/>
    <mergeCell ref="U47:V47"/>
    <mergeCell ref="W45:X45"/>
    <mergeCell ref="M44:N44"/>
    <mergeCell ref="O44:P44"/>
    <mergeCell ref="M45:N45"/>
    <mergeCell ref="O45:P45"/>
    <mergeCell ref="Q44:R44"/>
    <mergeCell ref="S44:T44"/>
    <mergeCell ref="Q33:R33"/>
    <mergeCell ref="Q34:R34"/>
    <mergeCell ref="S33:T33"/>
    <mergeCell ref="S34:T34"/>
    <mergeCell ref="U33:V33"/>
    <mergeCell ref="U34:V34"/>
    <mergeCell ref="U13:V13"/>
    <mergeCell ref="M10:N10"/>
    <mergeCell ref="O10:P10"/>
    <mergeCell ref="Q10:R10"/>
    <mergeCell ref="S10:T10"/>
    <mergeCell ref="U10:V10"/>
    <mergeCell ref="U29:V29"/>
    <mergeCell ref="S46:T46"/>
    <mergeCell ref="M46:N46"/>
    <mergeCell ref="O46:P46"/>
    <mergeCell ref="U45:V45"/>
    <mergeCell ref="M41:N41"/>
    <mergeCell ref="M43:N43"/>
    <mergeCell ref="O41:P41"/>
    <mergeCell ref="O43:P43"/>
    <mergeCell ref="S41:T41"/>
    <mergeCell ref="U41:V41"/>
    <mergeCell ref="M11:N11"/>
    <mergeCell ref="O11:P11"/>
    <mergeCell ref="Q11:R11"/>
    <mergeCell ref="S11:T11"/>
    <mergeCell ref="U11:V11"/>
    <mergeCell ref="O40:P40"/>
    <mergeCell ref="Q36:R36"/>
    <mergeCell ref="S36:T36"/>
    <mergeCell ref="U43:V43"/>
    <mergeCell ref="Q45:R45"/>
    <mergeCell ref="W47:X47"/>
    <mergeCell ref="Q46:R46"/>
    <mergeCell ref="Q47:R47"/>
    <mergeCell ref="Y24:Y28"/>
    <mergeCell ref="M33:N33"/>
    <mergeCell ref="M34:N34"/>
    <mergeCell ref="O36:P36"/>
    <mergeCell ref="M37:N37"/>
    <mergeCell ref="O37:P37"/>
    <mergeCell ref="O34:P34"/>
    <mergeCell ref="M36:N36"/>
    <mergeCell ref="M38:N38"/>
    <mergeCell ref="O38:P38"/>
    <mergeCell ref="M40:N40"/>
    <mergeCell ref="Q38:R38"/>
    <mergeCell ref="S38:T38"/>
    <mergeCell ref="U38:V38"/>
    <mergeCell ref="W38:X38"/>
    <mergeCell ref="U40:V40"/>
    <mergeCell ref="O33:P33"/>
    <mergeCell ref="U44:V44"/>
    <mergeCell ref="W44:X44"/>
    <mergeCell ref="Q43:R43"/>
    <mergeCell ref="S43:T43"/>
    <mergeCell ref="S45:T45"/>
    <mergeCell ref="S40:T40"/>
    <mergeCell ref="U36:V36"/>
    <mergeCell ref="U37:V37"/>
    <mergeCell ref="W37:X37"/>
    <mergeCell ref="W43:X43"/>
    <mergeCell ref="W40:X40"/>
    <mergeCell ref="Q40:R40"/>
    <mergeCell ref="Q37:R37"/>
    <mergeCell ref="S37:T37"/>
    <mergeCell ref="D39:E39"/>
    <mergeCell ref="F39:G39"/>
    <mergeCell ref="F42:G42"/>
    <mergeCell ref="M39:N39"/>
    <mergeCell ref="O42:P42"/>
    <mergeCell ref="W42:X42"/>
    <mergeCell ref="W39:X39"/>
    <mergeCell ref="F30:G30"/>
    <mergeCell ref="F31:G31"/>
    <mergeCell ref="F35:G35"/>
    <mergeCell ref="K30:L30"/>
    <mergeCell ref="M30:N30"/>
    <mergeCell ref="O31:P31"/>
    <mergeCell ref="Q31:R31"/>
    <mergeCell ref="Q30:R30"/>
    <mergeCell ref="O30:P30"/>
    <mergeCell ref="M31:N31"/>
    <mergeCell ref="K31:L31"/>
    <mergeCell ref="Q35:R35"/>
    <mergeCell ref="W41:X41"/>
    <mergeCell ref="Q41:R41"/>
    <mergeCell ref="M32:N32"/>
    <mergeCell ref="D29:D32"/>
    <mergeCell ref="F29:G29"/>
  </mergeCells>
  <phoneticPr fontId="9" type="noConversion"/>
  <conditionalFormatting sqref="AA37:AB37 AC49 AA52:AB52 AA55:AB55 AA57:AB57">
    <cfRule type="containsText" dxfId="2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48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22"/>
  <sheetViews>
    <sheetView showGridLines="0" view="pageBreakPreview" topLeftCell="A4" zoomScaleNormal="85" zoomScaleSheetLayoutView="100" workbookViewId="0">
      <selection activeCell="H21" sqref="H21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85" t="s">
        <v>151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</row>
    <row r="3" spans="2:33" ht="27" customHeight="1" thickBot="1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486" t="s">
        <v>129</v>
      </c>
      <c r="O3" s="487"/>
      <c r="P3" s="488"/>
      <c r="Q3" s="486" t="s">
        <v>127</v>
      </c>
      <c r="R3" s="487"/>
      <c r="S3" s="488"/>
      <c r="T3" s="489" t="s">
        <v>130</v>
      </c>
      <c r="U3" s="490"/>
    </row>
    <row r="4" spans="2:33" ht="27" customHeight="1" thickBot="1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491" t="s">
        <v>523</v>
      </c>
      <c r="O4" s="492"/>
      <c r="P4" s="493"/>
      <c r="Q4" s="494" t="s">
        <v>524</v>
      </c>
      <c r="R4" s="495"/>
      <c r="S4" s="496"/>
      <c r="T4" s="497">
        <v>2027</v>
      </c>
      <c r="U4" s="498"/>
    </row>
    <row r="5" spans="2:33" ht="24" customHeight="1" thickBot="1">
      <c r="B5" s="499"/>
      <c r="C5" s="499"/>
    </row>
    <row r="6" spans="2:33" ht="20.25" customHeight="1">
      <c r="B6" s="500" t="s">
        <v>13</v>
      </c>
      <c r="C6" s="503" t="s">
        <v>140</v>
      </c>
      <c r="D6" s="465" t="s">
        <v>14</v>
      </c>
      <c r="E6" s="465" t="s">
        <v>15</v>
      </c>
      <c r="F6" s="465" t="s">
        <v>141</v>
      </c>
      <c r="G6" s="465" t="s">
        <v>142</v>
      </c>
      <c r="H6" s="468" t="s">
        <v>58</v>
      </c>
      <c r="I6" s="468"/>
      <c r="J6" s="468"/>
      <c r="K6" s="468"/>
      <c r="L6" s="468" t="s">
        <v>59</v>
      </c>
      <c r="M6" s="468"/>
      <c r="N6" s="468"/>
      <c r="O6" s="468"/>
      <c r="P6" s="468" t="s">
        <v>60</v>
      </c>
      <c r="Q6" s="468"/>
      <c r="R6" s="468"/>
      <c r="S6" s="468"/>
      <c r="T6" s="476" t="s">
        <v>139</v>
      </c>
      <c r="U6" s="469" t="s">
        <v>126</v>
      </c>
      <c r="W6" s="472" t="s">
        <v>131</v>
      </c>
      <c r="X6" s="473"/>
      <c r="Y6" s="473"/>
      <c r="Z6" s="473"/>
      <c r="AA6" s="473"/>
      <c r="AB6" s="473"/>
      <c r="AC6" s="473"/>
      <c r="AD6" s="473"/>
      <c r="AE6" s="473"/>
      <c r="AF6" s="474"/>
      <c r="AG6" s="13"/>
    </row>
    <row r="7" spans="2:33" ht="16.5" customHeight="1">
      <c r="B7" s="501"/>
      <c r="C7" s="504"/>
      <c r="D7" s="466"/>
      <c r="E7" s="466"/>
      <c r="F7" s="466"/>
      <c r="G7" s="466"/>
      <c r="H7" s="475" t="s">
        <v>124</v>
      </c>
      <c r="I7" s="475"/>
      <c r="J7" s="475" t="s">
        <v>62</v>
      </c>
      <c r="K7" s="475"/>
      <c r="L7" s="475" t="s">
        <v>124</v>
      </c>
      <c r="M7" s="475"/>
      <c r="N7" s="475" t="s">
        <v>62</v>
      </c>
      <c r="O7" s="475"/>
      <c r="P7" s="475" t="s">
        <v>124</v>
      </c>
      <c r="Q7" s="475"/>
      <c r="R7" s="475" t="s">
        <v>62</v>
      </c>
      <c r="S7" s="475"/>
      <c r="T7" s="477"/>
      <c r="U7" s="470"/>
      <c r="W7" s="462" t="s">
        <v>132</v>
      </c>
      <c r="X7" s="463"/>
      <c r="Y7" s="463"/>
      <c r="Z7" s="463"/>
      <c r="AA7" s="463"/>
      <c r="AB7" s="463"/>
      <c r="AC7" s="463"/>
      <c r="AD7" s="463"/>
      <c r="AE7" s="463"/>
      <c r="AF7" s="464"/>
      <c r="AG7" s="13"/>
    </row>
    <row r="8" spans="2:33" ht="17.25" customHeight="1" thickBot="1">
      <c r="B8" s="502"/>
      <c r="C8" s="505"/>
      <c r="D8" s="467"/>
      <c r="E8" s="467"/>
      <c r="F8" s="467"/>
      <c r="G8" s="467"/>
      <c r="H8" s="27" t="s">
        <v>138</v>
      </c>
      <c r="I8" s="27" t="s">
        <v>125</v>
      </c>
      <c r="J8" s="27" t="s">
        <v>138</v>
      </c>
      <c r="K8" s="27" t="s">
        <v>125</v>
      </c>
      <c r="L8" s="27" t="s">
        <v>138</v>
      </c>
      <c r="M8" s="27" t="s">
        <v>125</v>
      </c>
      <c r="N8" s="27" t="s">
        <v>138</v>
      </c>
      <c r="O8" s="27" t="s">
        <v>125</v>
      </c>
      <c r="P8" s="27" t="s">
        <v>138</v>
      </c>
      <c r="Q8" s="27" t="s">
        <v>125</v>
      </c>
      <c r="R8" s="27" t="s">
        <v>138</v>
      </c>
      <c r="S8" s="27" t="s">
        <v>125</v>
      </c>
      <c r="T8" s="478"/>
      <c r="U8" s="47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79" t="s">
        <v>580</v>
      </c>
      <c r="C9" s="482">
        <v>14</v>
      </c>
      <c r="D9" s="216" t="s">
        <v>560</v>
      </c>
      <c r="E9" s="216" t="s">
        <v>561</v>
      </c>
      <c r="F9" s="194">
        <v>50</v>
      </c>
      <c r="G9" s="194">
        <v>2</v>
      </c>
      <c r="H9" s="195"/>
      <c r="I9" s="195">
        <f>H9*16</f>
        <v>0</v>
      </c>
      <c r="J9" s="195"/>
      <c r="K9" s="195">
        <f>J9*16</f>
        <v>0</v>
      </c>
      <c r="L9" s="195"/>
      <c r="M9" s="195"/>
      <c r="N9" s="195"/>
      <c r="O9" s="195">
        <f>N9*16</f>
        <v>0</v>
      </c>
      <c r="P9" s="195">
        <v>7</v>
      </c>
      <c r="Q9" s="195">
        <f>P9*16</f>
        <v>112</v>
      </c>
      <c r="R9" s="195"/>
      <c r="S9" s="195">
        <f>R9*16</f>
        <v>0</v>
      </c>
      <c r="T9" s="196">
        <f>SUM(H9,J9,L9,N9,P9,R9)</f>
        <v>7</v>
      </c>
      <c r="U9" s="197">
        <f>SUM(I9,K9,M9,O9,Q9,S9)</f>
        <v>112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80"/>
      <c r="C10" s="483"/>
      <c r="D10" s="217" t="s">
        <v>562</v>
      </c>
      <c r="E10" s="218" t="s">
        <v>563</v>
      </c>
      <c r="F10" s="198">
        <v>50</v>
      </c>
      <c r="G10" s="198">
        <v>2</v>
      </c>
      <c r="H10" s="200"/>
      <c r="I10" s="200">
        <f t="shared" ref="I10" si="0">H10*16</f>
        <v>0</v>
      </c>
      <c r="J10" s="200"/>
      <c r="K10" s="200">
        <f t="shared" ref="K10" si="1">J10*16</f>
        <v>0</v>
      </c>
      <c r="L10" s="200"/>
      <c r="M10" s="200">
        <f t="shared" ref="M10" si="2">L10*16</f>
        <v>0</v>
      </c>
      <c r="N10" s="200"/>
      <c r="O10" s="200"/>
      <c r="P10" s="200"/>
      <c r="Q10" s="200">
        <f t="shared" ref="Q10" si="3">P10*16</f>
        <v>0</v>
      </c>
      <c r="R10" s="200">
        <v>7</v>
      </c>
      <c r="S10" s="200">
        <f t="shared" ref="S10" si="4">R10*16</f>
        <v>112</v>
      </c>
      <c r="T10" s="201">
        <f t="shared" ref="T10" si="5">SUM(H10,J10,L10,N10,P10,R10)</f>
        <v>7</v>
      </c>
      <c r="U10" s="202">
        <f t="shared" ref="U10" si="6">SUM(I10,K10,M10,O10,Q10,S10)</f>
        <v>112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481"/>
      <c r="C11" s="484"/>
      <c r="D11" s="456" t="s">
        <v>16</v>
      </c>
      <c r="E11" s="456"/>
      <c r="F11" s="155"/>
      <c r="G11" s="155"/>
      <c r="H11" s="26"/>
      <c r="I11" s="26"/>
      <c r="J11" s="26"/>
      <c r="K11" s="26"/>
      <c r="L11" s="26"/>
      <c r="M11" s="26">
        <f>SUM(M9:M10)</f>
        <v>0</v>
      </c>
      <c r="N11" s="26"/>
      <c r="O11" s="26"/>
      <c r="P11" s="26">
        <f t="shared" ref="P11:U11" si="7">SUM(P9:P10)</f>
        <v>7</v>
      </c>
      <c r="Q11" s="26">
        <f t="shared" si="7"/>
        <v>112</v>
      </c>
      <c r="R11" s="26">
        <f t="shared" si="7"/>
        <v>7</v>
      </c>
      <c r="S11" s="26">
        <f t="shared" si="7"/>
        <v>112</v>
      </c>
      <c r="T11" s="206">
        <f t="shared" si="7"/>
        <v>14</v>
      </c>
      <c r="U11" s="206">
        <f t="shared" si="7"/>
        <v>224</v>
      </c>
    </row>
    <row r="12" spans="2:33">
      <c r="B12" s="457" t="s">
        <v>581</v>
      </c>
      <c r="C12" s="459">
        <v>10</v>
      </c>
      <c r="D12" s="216" t="s">
        <v>564</v>
      </c>
      <c r="E12" s="216" t="s">
        <v>565</v>
      </c>
      <c r="F12" s="194">
        <v>40</v>
      </c>
      <c r="G12" s="194">
        <v>3</v>
      </c>
      <c r="H12" s="195"/>
      <c r="I12" s="195"/>
      <c r="J12" s="195"/>
      <c r="K12" s="195"/>
      <c r="L12" s="195"/>
      <c r="M12" s="195"/>
      <c r="N12" s="195">
        <v>5</v>
      </c>
      <c r="O12" s="195">
        <f>N12*16</f>
        <v>80</v>
      </c>
      <c r="P12" s="195"/>
      <c r="Q12" s="195"/>
      <c r="R12" s="195"/>
      <c r="S12" s="195"/>
      <c r="T12" s="207">
        <f>SUM(H12,J12,L12,N12,P12+R12)</f>
        <v>5</v>
      </c>
      <c r="U12" s="208">
        <f>SUM(I12,K12,M12,O12,Q12,S12)</f>
        <v>80</v>
      </c>
      <c r="W12" s="29"/>
    </row>
    <row r="13" spans="2:33">
      <c r="B13" s="450"/>
      <c r="C13" s="453"/>
      <c r="D13" s="218" t="s">
        <v>566</v>
      </c>
      <c r="E13" s="218" t="s">
        <v>567</v>
      </c>
      <c r="F13" s="198">
        <v>50</v>
      </c>
      <c r="G13" s="198">
        <v>2</v>
      </c>
      <c r="H13" s="200"/>
      <c r="I13" s="200"/>
      <c r="J13" s="200"/>
      <c r="K13" s="200"/>
      <c r="L13" s="200"/>
      <c r="M13" s="200"/>
      <c r="N13" s="200">
        <v>5</v>
      </c>
      <c r="O13" s="203">
        <f>N13*16</f>
        <v>80</v>
      </c>
      <c r="P13" s="200"/>
      <c r="Q13" s="200"/>
      <c r="R13" s="200"/>
      <c r="S13" s="200"/>
      <c r="T13" s="209">
        <f>SUM(H13,J13,L13,N13,P13+R13)</f>
        <v>5</v>
      </c>
      <c r="U13" s="226">
        <f>SUM(I13,K13,M13,O13,Q13,S13)</f>
        <v>80</v>
      </c>
    </row>
    <row r="14" spans="2:33" ht="18" thickBot="1">
      <c r="B14" s="452"/>
      <c r="C14" s="455"/>
      <c r="D14" s="456" t="s">
        <v>16</v>
      </c>
      <c r="E14" s="456"/>
      <c r="F14" s="155"/>
      <c r="G14" s="155"/>
      <c r="H14" s="26"/>
      <c r="I14" s="26"/>
      <c r="J14" s="26"/>
      <c r="K14" s="26"/>
      <c r="L14" s="26"/>
      <c r="M14" s="26"/>
      <c r="N14" s="26">
        <f>SUM(N12:N13)</f>
        <v>10</v>
      </c>
      <c r="O14" s="26">
        <f>SUM(O12:O13)</f>
        <v>160</v>
      </c>
      <c r="P14" s="26"/>
      <c r="Q14" s="26"/>
      <c r="R14" s="26"/>
      <c r="S14" s="26"/>
      <c r="T14" s="211">
        <f>SUM(T12:T13)</f>
        <v>10</v>
      </c>
      <c r="U14" s="212">
        <f>SUM(U12:U13)</f>
        <v>160</v>
      </c>
    </row>
    <row r="15" spans="2:33" ht="18" thickBot="1">
      <c r="B15" s="457" t="s">
        <v>582</v>
      </c>
      <c r="C15" s="459">
        <v>19</v>
      </c>
      <c r="D15" s="221" t="s">
        <v>572</v>
      </c>
      <c r="E15" s="217" t="s">
        <v>573</v>
      </c>
      <c r="F15" s="199">
        <v>40</v>
      </c>
      <c r="G15" s="199">
        <v>2</v>
      </c>
      <c r="H15" s="203"/>
      <c r="I15" s="203"/>
      <c r="J15" s="203"/>
      <c r="K15" s="203"/>
      <c r="L15" s="203"/>
      <c r="M15" s="203"/>
      <c r="N15" s="203"/>
      <c r="O15" s="203"/>
      <c r="P15" s="203">
        <v>8</v>
      </c>
      <c r="Q15" s="203">
        <f>P15*16</f>
        <v>128</v>
      </c>
      <c r="R15" s="203"/>
      <c r="S15" s="203"/>
      <c r="T15" s="209">
        <f>SUM(H15,J15,L15,N15,P15,R15)</f>
        <v>8</v>
      </c>
      <c r="U15" s="210">
        <f>SUM(I15,K15,M15,O15,Q15,S15)</f>
        <v>128</v>
      </c>
    </row>
    <row r="16" spans="2:33">
      <c r="B16" s="458"/>
      <c r="C16" s="460"/>
      <c r="D16" s="219" t="s">
        <v>568</v>
      </c>
      <c r="E16" s="216" t="s">
        <v>569</v>
      </c>
      <c r="F16" s="199">
        <v>45</v>
      </c>
      <c r="G16" s="199">
        <v>5</v>
      </c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>
        <v>6</v>
      </c>
      <c r="S16" s="203">
        <f>R16*16</f>
        <v>96</v>
      </c>
      <c r="T16" s="209">
        <f t="shared" ref="T16:T21" si="8">SUM(H16,J16,L16,N16,P16,R16)</f>
        <v>6</v>
      </c>
      <c r="U16" s="210">
        <f t="shared" ref="U16:U17" si="9">SUM(I16,K16,M16,O16,Q16,S16)</f>
        <v>96</v>
      </c>
    </row>
    <row r="17" spans="2:21">
      <c r="B17" s="458"/>
      <c r="C17" s="460"/>
      <c r="D17" s="220" t="s">
        <v>570</v>
      </c>
      <c r="E17" s="218" t="s">
        <v>571</v>
      </c>
      <c r="F17" s="199">
        <v>40</v>
      </c>
      <c r="G17" s="199">
        <v>3</v>
      </c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>
        <v>5</v>
      </c>
      <c r="S17" s="203">
        <f>R17*16</f>
        <v>80</v>
      </c>
      <c r="T17" s="209">
        <f t="shared" si="8"/>
        <v>5</v>
      </c>
      <c r="U17" s="210">
        <f t="shared" si="9"/>
        <v>80</v>
      </c>
    </row>
    <row r="18" spans="2:21" ht="18" thickBot="1">
      <c r="B18" s="452"/>
      <c r="C18" s="455"/>
      <c r="D18" s="461" t="s">
        <v>16</v>
      </c>
      <c r="E18" s="456"/>
      <c r="F18" s="155"/>
      <c r="G18" s="155"/>
      <c r="H18" s="26"/>
      <c r="I18" s="26"/>
      <c r="J18" s="26"/>
      <c r="K18" s="26"/>
      <c r="L18" s="26"/>
      <c r="M18" s="26"/>
      <c r="N18" s="26"/>
      <c r="O18" s="26"/>
      <c r="P18" s="26">
        <f t="shared" ref="P18:U18" si="10">SUM(P15:P17)</f>
        <v>8</v>
      </c>
      <c r="Q18" s="26">
        <f t="shared" si="10"/>
        <v>128</v>
      </c>
      <c r="R18" s="26">
        <f t="shared" si="10"/>
        <v>11</v>
      </c>
      <c r="S18" s="232">
        <f t="shared" si="10"/>
        <v>176</v>
      </c>
      <c r="T18" s="233">
        <f t="shared" si="10"/>
        <v>19</v>
      </c>
      <c r="U18" s="212">
        <f t="shared" si="10"/>
        <v>304</v>
      </c>
    </row>
    <row r="19" spans="2:21">
      <c r="B19" s="450" t="s">
        <v>574</v>
      </c>
      <c r="C19" s="453">
        <v>16</v>
      </c>
      <c r="D19" s="221" t="s">
        <v>575</v>
      </c>
      <c r="E19" s="222" t="s">
        <v>576</v>
      </c>
      <c r="F19" s="199">
        <v>40</v>
      </c>
      <c r="G19" s="199">
        <v>2</v>
      </c>
      <c r="H19" s="203"/>
      <c r="I19" s="203"/>
      <c r="J19" s="203"/>
      <c r="K19" s="203"/>
      <c r="L19" s="203"/>
      <c r="M19" s="203"/>
      <c r="N19" s="203"/>
      <c r="O19" s="203"/>
      <c r="P19" s="213">
        <v>8</v>
      </c>
      <c r="Q19" s="213">
        <f>P19*16</f>
        <v>128</v>
      </c>
      <c r="R19" s="213"/>
      <c r="S19" s="213"/>
      <c r="T19" s="209">
        <f t="shared" si="8"/>
        <v>8</v>
      </c>
      <c r="U19" s="210">
        <f>SUM(I19,K19,M19,O19,Q19)</f>
        <v>128</v>
      </c>
    </row>
    <row r="20" spans="2:21">
      <c r="B20" s="450"/>
      <c r="C20" s="453"/>
      <c r="D20" s="220" t="s">
        <v>577</v>
      </c>
      <c r="E20" s="223" t="s">
        <v>578</v>
      </c>
      <c r="F20" s="199">
        <v>30</v>
      </c>
      <c r="G20" s="199">
        <v>2</v>
      </c>
      <c r="H20" s="203"/>
      <c r="I20" s="203"/>
      <c r="J20" s="203"/>
      <c r="K20" s="203"/>
      <c r="L20" s="203"/>
      <c r="M20" s="203"/>
      <c r="N20" s="203"/>
      <c r="O20" s="203"/>
      <c r="P20" s="213"/>
      <c r="Q20" s="213"/>
      <c r="R20" s="213">
        <v>6</v>
      </c>
      <c r="S20" s="213">
        <f>R20*16</f>
        <v>96</v>
      </c>
      <c r="T20" s="209">
        <f t="shared" si="8"/>
        <v>6</v>
      </c>
      <c r="U20" s="210">
        <f>SUM(I20,K20,M20,O20,Q20,S20)</f>
        <v>96</v>
      </c>
    </row>
    <row r="21" spans="2:21">
      <c r="B21" s="451"/>
      <c r="C21" s="454"/>
      <c r="D21" s="224" t="s">
        <v>579</v>
      </c>
      <c r="E21" s="225" t="s">
        <v>649</v>
      </c>
      <c r="F21" s="214">
        <v>30</v>
      </c>
      <c r="G21" s="198">
        <v>3</v>
      </c>
      <c r="H21" s="200"/>
      <c r="I21" s="200"/>
      <c r="J21" s="200"/>
      <c r="K21" s="200"/>
      <c r="L21" s="200"/>
      <c r="M21" s="200"/>
      <c r="N21" s="200"/>
      <c r="O21" s="200"/>
      <c r="P21" s="215"/>
      <c r="Q21" s="215"/>
      <c r="R21" s="215">
        <v>5</v>
      </c>
      <c r="S21" s="213">
        <f>R21*16</f>
        <v>80</v>
      </c>
      <c r="T21" s="209">
        <f t="shared" si="8"/>
        <v>5</v>
      </c>
      <c r="U21" s="210">
        <f>SUM(I21,K21,M21,O21,Q21,S21)</f>
        <v>80</v>
      </c>
    </row>
    <row r="22" spans="2:21" ht="18" thickBot="1">
      <c r="B22" s="452"/>
      <c r="C22" s="455"/>
      <c r="D22" s="456" t="s">
        <v>16</v>
      </c>
      <c r="E22" s="456"/>
      <c r="F22" s="155"/>
      <c r="G22" s="155"/>
      <c r="H22" s="26"/>
      <c r="I22" s="26"/>
      <c r="J22" s="26"/>
      <c r="K22" s="26"/>
      <c r="L22" s="26"/>
      <c r="M22" s="26"/>
      <c r="N22" s="26"/>
      <c r="O22" s="26"/>
      <c r="P22" s="26">
        <f>SUM(P19:P21)</f>
        <v>8</v>
      </c>
      <c r="Q22" s="26"/>
      <c r="R22" s="26">
        <f>SUM(R19:R21)</f>
        <v>11</v>
      </c>
      <c r="S22" s="26"/>
      <c r="T22" s="211">
        <f>SUM(T19:T21)</f>
        <v>19</v>
      </c>
      <c r="U22" s="212">
        <f>SUM(U19:U21)</f>
        <v>304</v>
      </c>
    </row>
  </sheetData>
  <mergeCells count="39"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2:B14"/>
    <mergeCell ref="C12:C14"/>
    <mergeCell ref="D14:E14"/>
    <mergeCell ref="D11:E11"/>
    <mergeCell ref="B9:B11"/>
    <mergeCell ref="C9:C11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19:B22"/>
    <mergeCell ref="C19:C22"/>
    <mergeCell ref="D22:E22"/>
    <mergeCell ref="B15:B18"/>
    <mergeCell ref="C15:C18"/>
    <mergeCell ref="D18:E1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862E-FFE5-47E5-9438-44134E8BEE77}">
  <sheetPr>
    <pageSetUpPr fitToPage="1"/>
  </sheetPr>
  <dimension ref="B1:AD91"/>
  <sheetViews>
    <sheetView view="pageBreakPreview" zoomScale="85" zoomScaleNormal="100" zoomScaleSheetLayoutView="85" workbookViewId="0">
      <pane ySplit="8" topLeftCell="A29" activePane="bottomLeft" state="frozen"/>
      <selection pane="bottomLeft" activeCell="H37" sqref="H37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97" t="s">
        <v>520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8"/>
      <c r="V2" s="299" t="s">
        <v>130</v>
      </c>
      <c r="W2" s="300"/>
      <c r="X2" s="295">
        <v>2027</v>
      </c>
      <c r="Y2" s="296"/>
      <c r="AA2" s="301" t="s">
        <v>143</v>
      </c>
      <c r="AB2" s="19" t="s">
        <v>144</v>
      </c>
      <c r="AC2" s="30" t="s">
        <v>152</v>
      </c>
      <c r="AD2" s="20" t="s">
        <v>145</v>
      </c>
    </row>
    <row r="3" spans="2:30" ht="18" thickBot="1">
      <c r="B3" s="347" t="s">
        <v>364</v>
      </c>
      <c r="C3" s="349" t="s">
        <v>53</v>
      </c>
      <c r="D3" s="350"/>
      <c r="E3" s="350"/>
      <c r="F3" s="349" t="s">
        <v>64</v>
      </c>
      <c r="G3" s="353"/>
      <c r="H3" s="349" t="s">
        <v>54</v>
      </c>
      <c r="I3" s="350"/>
      <c r="J3" s="350"/>
      <c r="K3" s="349" t="s">
        <v>55</v>
      </c>
      <c r="L3" s="350"/>
      <c r="M3" s="350"/>
      <c r="N3" s="350"/>
      <c r="O3" s="353"/>
      <c r="P3" s="355" t="s">
        <v>56</v>
      </c>
      <c r="Q3" s="356"/>
      <c r="R3" s="356"/>
      <c r="S3" s="356"/>
      <c r="T3" s="356"/>
      <c r="U3" s="356"/>
      <c r="V3" s="356"/>
      <c r="W3" s="356"/>
      <c r="X3" s="356"/>
      <c r="Y3" s="357"/>
      <c r="AA3" s="302"/>
      <c r="AB3" s="21" t="s">
        <v>146</v>
      </c>
      <c r="AC3" s="37" t="s">
        <v>526</v>
      </c>
      <c r="AD3" s="22" t="s">
        <v>529</v>
      </c>
    </row>
    <row r="4" spans="2:30" ht="18" thickBot="1">
      <c r="B4" s="348"/>
      <c r="C4" s="351"/>
      <c r="D4" s="352"/>
      <c r="E4" s="352"/>
      <c r="F4" s="351"/>
      <c r="G4" s="354"/>
      <c r="H4" s="351"/>
      <c r="I4" s="352"/>
      <c r="J4" s="352"/>
      <c r="K4" s="351"/>
      <c r="L4" s="352"/>
      <c r="M4" s="352"/>
      <c r="N4" s="352"/>
      <c r="O4" s="354"/>
      <c r="P4" s="355" t="s">
        <v>127</v>
      </c>
      <c r="Q4" s="356"/>
      <c r="R4" s="356"/>
      <c r="S4" s="356"/>
      <c r="T4" s="355" t="s">
        <v>61</v>
      </c>
      <c r="U4" s="356"/>
      <c r="V4" s="357"/>
      <c r="W4" s="356" t="s">
        <v>128</v>
      </c>
      <c r="X4" s="356"/>
      <c r="Y4" s="357"/>
      <c r="AA4" s="302"/>
      <c r="AB4" s="23" t="s">
        <v>147</v>
      </c>
      <c r="AC4" s="38"/>
      <c r="AD4" s="22"/>
    </row>
    <row r="5" spans="2:30" ht="26.25" customHeight="1" thickBot="1">
      <c r="B5" s="73" t="s">
        <v>518</v>
      </c>
      <c r="C5" s="313" t="s">
        <v>523</v>
      </c>
      <c r="D5" s="314"/>
      <c r="E5" s="315"/>
      <c r="F5" s="313" t="s">
        <v>150</v>
      </c>
      <c r="G5" s="316"/>
      <c r="H5" s="317" t="s">
        <v>542</v>
      </c>
      <c r="I5" s="314"/>
      <c r="J5" s="315"/>
      <c r="K5" s="313"/>
      <c r="L5" s="314"/>
      <c r="M5" s="314"/>
      <c r="N5" s="314"/>
      <c r="O5" s="316"/>
      <c r="P5" s="317" t="s">
        <v>544</v>
      </c>
      <c r="Q5" s="314"/>
      <c r="R5" s="314"/>
      <c r="S5" s="315"/>
      <c r="T5" s="313" t="s">
        <v>554</v>
      </c>
      <c r="U5" s="314"/>
      <c r="V5" s="315"/>
      <c r="W5" s="510" t="s">
        <v>543</v>
      </c>
      <c r="X5" s="511"/>
      <c r="Y5" s="512"/>
      <c r="AA5" s="303"/>
      <c r="AB5" s="163" t="s">
        <v>148</v>
      </c>
      <c r="AC5" s="164" t="s">
        <v>528</v>
      </c>
      <c r="AD5" s="154" t="s">
        <v>527</v>
      </c>
    </row>
    <row r="6" spans="2:30" ht="15.75" customHeight="1" thickBot="1">
      <c r="U6" s="321"/>
      <c r="V6" s="321"/>
      <c r="W6" s="321"/>
      <c r="X6" s="321"/>
      <c r="Y6" s="321"/>
    </row>
    <row r="7" spans="2:30" s="10" customFormat="1" ht="22.5" customHeight="1">
      <c r="B7" s="322" t="s">
        <v>2</v>
      </c>
      <c r="C7" s="323"/>
      <c r="D7" s="326" t="s">
        <v>120</v>
      </c>
      <c r="E7" s="328" t="s">
        <v>57</v>
      </c>
      <c r="F7" s="329"/>
      <c r="G7" s="330"/>
      <c r="H7" s="331" t="s">
        <v>133</v>
      </c>
      <c r="I7" s="334" t="s">
        <v>134</v>
      </c>
      <c r="J7" s="341" t="s">
        <v>135</v>
      </c>
      <c r="K7" s="333" t="s">
        <v>58</v>
      </c>
      <c r="L7" s="334"/>
      <c r="M7" s="334"/>
      <c r="N7" s="335"/>
      <c r="O7" s="336" t="s">
        <v>59</v>
      </c>
      <c r="P7" s="334"/>
      <c r="Q7" s="334"/>
      <c r="R7" s="335"/>
      <c r="S7" s="333" t="s">
        <v>60</v>
      </c>
      <c r="T7" s="334"/>
      <c r="U7" s="334"/>
      <c r="V7" s="340"/>
      <c r="W7" s="331" t="s">
        <v>136</v>
      </c>
      <c r="X7" s="341"/>
      <c r="Y7" s="330" t="s">
        <v>137</v>
      </c>
      <c r="Z7" s="9"/>
    </row>
    <row r="8" spans="2:30" s="10" customFormat="1" ht="22.5" customHeight="1" thickBot="1">
      <c r="B8" s="324"/>
      <c r="C8" s="325"/>
      <c r="D8" s="327"/>
      <c r="E8" s="25" t="s">
        <v>18</v>
      </c>
      <c r="F8" s="344" t="s">
        <v>19</v>
      </c>
      <c r="G8" s="345"/>
      <c r="H8" s="332"/>
      <c r="I8" s="338"/>
      <c r="J8" s="342"/>
      <c r="K8" s="337" t="s">
        <v>0</v>
      </c>
      <c r="L8" s="338"/>
      <c r="M8" s="338" t="s">
        <v>62</v>
      </c>
      <c r="N8" s="346"/>
      <c r="O8" s="358" t="s">
        <v>0</v>
      </c>
      <c r="P8" s="338"/>
      <c r="Q8" s="338" t="s">
        <v>62</v>
      </c>
      <c r="R8" s="346"/>
      <c r="S8" s="337" t="s">
        <v>0</v>
      </c>
      <c r="T8" s="338"/>
      <c r="U8" s="338" t="s">
        <v>62</v>
      </c>
      <c r="V8" s="339"/>
      <c r="W8" s="332"/>
      <c r="X8" s="342"/>
      <c r="Y8" s="343"/>
      <c r="AA8" s="440" t="s">
        <v>504</v>
      </c>
      <c r="AB8" s="440"/>
      <c r="AC8" s="440"/>
      <c r="AD8" s="440"/>
    </row>
    <row r="9" spans="2:30" ht="16.5" customHeight="1" thickBot="1">
      <c r="B9" s="307" t="s">
        <v>339</v>
      </c>
      <c r="C9" s="305"/>
      <c r="D9" s="260" t="s">
        <v>21</v>
      </c>
      <c r="E9" s="39" t="s">
        <v>12</v>
      </c>
      <c r="F9" s="262" t="s">
        <v>203</v>
      </c>
      <c r="G9" s="263"/>
      <c r="H9" s="40">
        <v>4</v>
      </c>
      <c r="I9" s="41" t="s">
        <v>340</v>
      </c>
      <c r="J9" s="42">
        <v>3</v>
      </c>
      <c r="K9" s="262">
        <v>3</v>
      </c>
      <c r="L9" s="290"/>
      <c r="M9" s="277"/>
      <c r="N9" s="278"/>
      <c r="O9" s="289"/>
      <c r="P9" s="290"/>
      <c r="Q9" s="277"/>
      <c r="R9" s="278"/>
      <c r="S9" s="289"/>
      <c r="T9" s="290"/>
      <c r="U9" s="277"/>
      <c r="V9" s="263"/>
      <c r="W9" s="43">
        <f>SUM(K9:V9)</f>
        <v>3</v>
      </c>
      <c r="X9" s="359">
        <f>SUM(W9:W11)</f>
        <v>9</v>
      </c>
      <c r="Y9" s="276">
        <v>24</v>
      </c>
      <c r="AA9" s="134" t="s">
        <v>18</v>
      </c>
      <c r="AB9" s="135" t="s">
        <v>511</v>
      </c>
      <c r="AC9" s="135" t="s">
        <v>512</v>
      </c>
      <c r="AD9" s="136" t="s">
        <v>513</v>
      </c>
    </row>
    <row r="10" spans="2:30" ht="18" thickBot="1">
      <c r="B10" s="308"/>
      <c r="C10" s="306"/>
      <c r="D10" s="261"/>
      <c r="E10" s="44" t="s">
        <v>12</v>
      </c>
      <c r="F10" s="256" t="s">
        <v>204</v>
      </c>
      <c r="G10" s="257"/>
      <c r="H10" s="45">
        <v>4</v>
      </c>
      <c r="I10" s="46" t="s">
        <v>340</v>
      </c>
      <c r="J10" s="47">
        <v>3</v>
      </c>
      <c r="K10" s="256"/>
      <c r="L10" s="251"/>
      <c r="M10" s="258">
        <v>3</v>
      </c>
      <c r="N10" s="259"/>
      <c r="O10" s="250"/>
      <c r="P10" s="251"/>
      <c r="Q10" s="258"/>
      <c r="R10" s="259"/>
      <c r="S10" s="250"/>
      <c r="T10" s="251"/>
      <c r="U10" s="258"/>
      <c r="V10" s="257"/>
      <c r="W10" s="48">
        <f t="shared" ref="W10:W23" si="0">SUM(K10:V10)</f>
        <v>3</v>
      </c>
      <c r="X10" s="360"/>
      <c r="Y10" s="276"/>
      <c r="AA10" s="137" t="s">
        <v>506</v>
      </c>
      <c r="AB10" s="138">
        <v>4</v>
      </c>
      <c r="AC10" s="138">
        <v>-1</v>
      </c>
      <c r="AD10" s="22" t="s">
        <v>340</v>
      </c>
    </row>
    <row r="11" spans="2:30" ht="18" thickBot="1">
      <c r="B11" s="308"/>
      <c r="C11" s="306"/>
      <c r="D11" s="311"/>
      <c r="E11" s="49" t="s">
        <v>341</v>
      </c>
      <c r="F11" s="312" t="s">
        <v>342</v>
      </c>
      <c r="G11" s="293"/>
      <c r="H11" s="50">
        <v>4</v>
      </c>
      <c r="I11" s="51" t="s">
        <v>343</v>
      </c>
      <c r="J11" s="52">
        <v>3</v>
      </c>
      <c r="K11" s="312"/>
      <c r="L11" s="292"/>
      <c r="M11" s="248"/>
      <c r="N11" s="249"/>
      <c r="O11" s="291"/>
      <c r="P11" s="292"/>
      <c r="Q11" s="248">
        <v>3</v>
      </c>
      <c r="R11" s="249"/>
      <c r="S11" s="291"/>
      <c r="T11" s="292"/>
      <c r="U11" s="248"/>
      <c r="V11" s="293"/>
      <c r="W11" s="48">
        <f t="shared" si="0"/>
        <v>3</v>
      </c>
      <c r="X11" s="360"/>
      <c r="Y11" s="276"/>
      <c r="AA11" s="137" t="s">
        <v>507</v>
      </c>
      <c r="AB11" s="138">
        <v>3</v>
      </c>
      <c r="AC11" s="138"/>
      <c r="AD11" s="22">
        <v>3</v>
      </c>
    </row>
    <row r="12" spans="2:30" ht="18" thickBot="1">
      <c r="B12" s="308"/>
      <c r="C12" s="306"/>
      <c r="D12" s="260" t="s">
        <v>5</v>
      </c>
      <c r="E12" s="39" t="s">
        <v>12</v>
      </c>
      <c r="F12" s="262" t="s">
        <v>215</v>
      </c>
      <c r="G12" s="263"/>
      <c r="H12" s="40">
        <v>4</v>
      </c>
      <c r="I12" s="41" t="s">
        <v>340</v>
      </c>
      <c r="J12" s="42">
        <v>3</v>
      </c>
      <c r="K12" s="262">
        <v>3</v>
      </c>
      <c r="L12" s="290"/>
      <c r="M12" s="277"/>
      <c r="N12" s="278"/>
      <c r="O12" s="289"/>
      <c r="P12" s="290"/>
      <c r="Q12" s="277"/>
      <c r="R12" s="278"/>
      <c r="S12" s="289"/>
      <c r="T12" s="290"/>
      <c r="U12" s="277"/>
      <c r="V12" s="263"/>
      <c r="W12" s="43">
        <f t="shared" si="0"/>
        <v>3</v>
      </c>
      <c r="X12" s="359">
        <f t="shared" ref="X12" si="1">SUM(W12:W14)</f>
        <v>9</v>
      </c>
      <c r="Y12" s="276"/>
      <c r="AA12" s="137" t="s">
        <v>508</v>
      </c>
      <c r="AB12" s="138">
        <v>4</v>
      </c>
      <c r="AC12" s="138" t="s">
        <v>517</v>
      </c>
      <c r="AD12" s="22" t="s">
        <v>343</v>
      </c>
    </row>
    <row r="13" spans="2:30" ht="18" thickBot="1">
      <c r="B13" s="308"/>
      <c r="C13" s="306"/>
      <c r="D13" s="261"/>
      <c r="E13" s="44" t="s">
        <v>12</v>
      </c>
      <c r="F13" s="256" t="s">
        <v>217</v>
      </c>
      <c r="G13" s="257"/>
      <c r="H13" s="45">
        <v>4</v>
      </c>
      <c r="I13" s="46" t="s">
        <v>340</v>
      </c>
      <c r="J13" s="47">
        <v>3</v>
      </c>
      <c r="K13" s="256"/>
      <c r="L13" s="251"/>
      <c r="M13" s="258">
        <v>3</v>
      </c>
      <c r="N13" s="259"/>
      <c r="O13" s="250"/>
      <c r="P13" s="251"/>
      <c r="Q13" s="258"/>
      <c r="R13" s="259"/>
      <c r="S13" s="250"/>
      <c r="T13" s="251"/>
      <c r="U13" s="258"/>
      <c r="V13" s="257"/>
      <c r="W13" s="48">
        <f t="shared" si="0"/>
        <v>3</v>
      </c>
      <c r="X13" s="360"/>
      <c r="Y13" s="276"/>
      <c r="AA13" s="137" t="s">
        <v>509</v>
      </c>
      <c r="AB13" s="138">
        <v>3</v>
      </c>
      <c r="AC13" s="138" t="s">
        <v>517</v>
      </c>
      <c r="AD13" s="22" t="s">
        <v>354</v>
      </c>
    </row>
    <row r="14" spans="2:30" ht="18" thickBot="1">
      <c r="B14" s="308"/>
      <c r="C14" s="306"/>
      <c r="D14" s="311"/>
      <c r="E14" s="49" t="s">
        <v>341</v>
      </c>
      <c r="F14" s="312" t="s">
        <v>344</v>
      </c>
      <c r="G14" s="293"/>
      <c r="H14" s="50">
        <v>4</v>
      </c>
      <c r="I14" s="51" t="s">
        <v>343</v>
      </c>
      <c r="J14" s="52">
        <v>3</v>
      </c>
      <c r="K14" s="312"/>
      <c r="L14" s="292"/>
      <c r="M14" s="248"/>
      <c r="N14" s="249"/>
      <c r="O14" s="291">
        <v>3</v>
      </c>
      <c r="P14" s="292"/>
      <c r="Q14" s="248"/>
      <c r="R14" s="249"/>
      <c r="S14" s="291"/>
      <c r="T14" s="292"/>
      <c r="U14" s="248"/>
      <c r="V14" s="293"/>
      <c r="W14" s="48">
        <f t="shared" si="0"/>
        <v>3</v>
      </c>
      <c r="X14" s="360"/>
      <c r="Y14" s="276"/>
      <c r="AA14" s="139" t="s">
        <v>510</v>
      </c>
      <c r="AB14" s="438" t="s">
        <v>519</v>
      </c>
      <c r="AC14" s="438"/>
      <c r="AD14" s="439"/>
    </row>
    <row r="15" spans="2:30" ht="18" thickBot="1">
      <c r="B15" s="308"/>
      <c r="C15" s="306"/>
      <c r="D15" s="260" t="s">
        <v>6</v>
      </c>
      <c r="E15" s="39" t="s">
        <v>12</v>
      </c>
      <c r="F15" s="262" t="s">
        <v>222</v>
      </c>
      <c r="G15" s="263"/>
      <c r="H15" s="40">
        <v>4</v>
      </c>
      <c r="I15" s="41" t="s">
        <v>340</v>
      </c>
      <c r="J15" s="42">
        <v>3</v>
      </c>
      <c r="K15" s="262">
        <v>3</v>
      </c>
      <c r="L15" s="290"/>
      <c r="M15" s="277"/>
      <c r="N15" s="278"/>
      <c r="O15" s="289"/>
      <c r="P15" s="290"/>
      <c r="Q15" s="277"/>
      <c r="R15" s="278"/>
      <c r="S15" s="289"/>
      <c r="T15" s="290"/>
      <c r="U15" s="277"/>
      <c r="V15" s="263"/>
      <c r="W15" s="43">
        <f t="shared" si="0"/>
        <v>3</v>
      </c>
      <c r="X15" s="359">
        <f t="shared" ref="X15" si="2">SUM(W15:W17)</f>
        <v>9</v>
      </c>
      <c r="Y15" s="276"/>
    </row>
    <row r="16" spans="2:30" ht="18" thickBot="1">
      <c r="B16" s="308"/>
      <c r="C16" s="306"/>
      <c r="D16" s="261"/>
      <c r="E16" s="44" t="s">
        <v>12</v>
      </c>
      <c r="F16" s="256" t="s">
        <v>228</v>
      </c>
      <c r="G16" s="257"/>
      <c r="H16" s="45">
        <v>4</v>
      </c>
      <c r="I16" s="46" t="s">
        <v>340</v>
      </c>
      <c r="J16" s="47">
        <v>3</v>
      </c>
      <c r="K16" s="256"/>
      <c r="L16" s="251"/>
      <c r="M16" s="258">
        <v>3</v>
      </c>
      <c r="N16" s="259"/>
      <c r="O16" s="250"/>
      <c r="P16" s="251"/>
      <c r="Q16" s="258"/>
      <c r="R16" s="259"/>
      <c r="S16" s="250"/>
      <c r="T16" s="251"/>
      <c r="U16" s="258"/>
      <c r="V16" s="257"/>
      <c r="W16" s="48">
        <f t="shared" si="0"/>
        <v>3</v>
      </c>
      <c r="X16" s="360"/>
      <c r="Y16" s="276"/>
    </row>
    <row r="17" spans="2:29" ht="18" thickBot="1">
      <c r="B17" s="308"/>
      <c r="C17" s="306"/>
      <c r="D17" s="311"/>
      <c r="E17" s="53" t="s">
        <v>341</v>
      </c>
      <c r="F17" s="312" t="s">
        <v>346</v>
      </c>
      <c r="G17" s="293"/>
      <c r="H17" s="50">
        <v>4</v>
      </c>
      <c r="I17" s="51" t="s">
        <v>343</v>
      </c>
      <c r="J17" s="52">
        <v>3</v>
      </c>
      <c r="K17" s="312"/>
      <c r="L17" s="292"/>
      <c r="M17" s="248"/>
      <c r="N17" s="249"/>
      <c r="O17" s="291"/>
      <c r="P17" s="292"/>
      <c r="Q17" s="248">
        <v>3</v>
      </c>
      <c r="R17" s="249"/>
      <c r="S17" s="291"/>
      <c r="T17" s="292"/>
      <c r="U17" s="248"/>
      <c r="V17" s="293"/>
      <c r="W17" s="48">
        <f t="shared" si="0"/>
        <v>3</v>
      </c>
      <c r="X17" s="360"/>
      <c r="Y17" s="276"/>
    </row>
    <row r="18" spans="2:29" ht="18" thickBot="1">
      <c r="B18" s="308"/>
      <c r="C18" s="306"/>
      <c r="D18" s="260" t="s">
        <v>347</v>
      </c>
      <c r="E18" s="39" t="s">
        <v>12</v>
      </c>
      <c r="F18" s="262" t="s">
        <v>236</v>
      </c>
      <c r="G18" s="263"/>
      <c r="H18" s="40">
        <v>3</v>
      </c>
      <c r="I18" s="54">
        <v>3</v>
      </c>
      <c r="J18" s="42">
        <v>3</v>
      </c>
      <c r="K18" s="361">
        <v>3</v>
      </c>
      <c r="L18" s="284"/>
      <c r="M18" s="281"/>
      <c r="N18" s="282"/>
      <c r="O18" s="283"/>
      <c r="P18" s="284"/>
      <c r="Q18" s="281"/>
      <c r="R18" s="282"/>
      <c r="S18" s="283"/>
      <c r="T18" s="284"/>
      <c r="U18" s="281"/>
      <c r="V18" s="285"/>
      <c r="W18" s="43">
        <f t="shared" si="0"/>
        <v>3</v>
      </c>
      <c r="X18" s="359">
        <f>SUM(W18:W19)</f>
        <v>6</v>
      </c>
      <c r="Y18" s="276">
        <v>6</v>
      </c>
    </row>
    <row r="19" spans="2:29" ht="18" thickBot="1">
      <c r="B19" s="308"/>
      <c r="C19" s="306"/>
      <c r="D19" s="261"/>
      <c r="E19" s="55" t="s">
        <v>12</v>
      </c>
      <c r="F19" s="363" t="s">
        <v>237</v>
      </c>
      <c r="G19" s="364"/>
      <c r="H19" s="56">
        <v>3</v>
      </c>
      <c r="I19" s="57">
        <v>3</v>
      </c>
      <c r="J19" s="146">
        <v>3</v>
      </c>
      <c r="K19" s="312"/>
      <c r="L19" s="292"/>
      <c r="M19" s="248">
        <v>3</v>
      </c>
      <c r="N19" s="249"/>
      <c r="O19" s="291"/>
      <c r="P19" s="292"/>
      <c r="Q19" s="248"/>
      <c r="R19" s="249"/>
      <c r="S19" s="291"/>
      <c r="T19" s="292"/>
      <c r="U19" s="248"/>
      <c r="V19" s="293"/>
      <c r="W19" s="59">
        <f t="shared" si="0"/>
        <v>3</v>
      </c>
      <c r="X19" s="362"/>
      <c r="Y19" s="276"/>
      <c r="AA19" s="304"/>
      <c r="AB19" s="304"/>
      <c r="AC19" s="143"/>
    </row>
    <row r="20" spans="2:29" ht="18" thickBot="1">
      <c r="B20" s="308"/>
      <c r="C20" s="306"/>
      <c r="D20" s="261"/>
      <c r="E20" s="39" t="s">
        <v>12</v>
      </c>
      <c r="F20" s="262" t="s">
        <v>239</v>
      </c>
      <c r="G20" s="263"/>
      <c r="H20" s="40">
        <v>4</v>
      </c>
      <c r="I20" s="54" t="s">
        <v>340</v>
      </c>
      <c r="J20" s="42">
        <v>3</v>
      </c>
      <c r="K20" s="262"/>
      <c r="L20" s="290"/>
      <c r="M20" s="277"/>
      <c r="N20" s="278"/>
      <c r="O20" s="289">
        <v>3</v>
      </c>
      <c r="P20" s="290"/>
      <c r="Q20" s="277"/>
      <c r="R20" s="278"/>
      <c r="S20" s="289"/>
      <c r="T20" s="290"/>
      <c r="U20" s="277"/>
      <c r="V20" s="263"/>
      <c r="W20" s="43">
        <f t="shared" si="0"/>
        <v>3</v>
      </c>
      <c r="X20" s="359">
        <f>SUM(W20:W21)</f>
        <v>6</v>
      </c>
      <c r="Y20" s="276">
        <v>12</v>
      </c>
    </row>
    <row r="21" spans="2:29" ht="18" thickBot="1">
      <c r="B21" s="308"/>
      <c r="C21" s="306"/>
      <c r="D21" s="311"/>
      <c r="E21" s="53" t="s">
        <v>12</v>
      </c>
      <c r="F21" s="312" t="s">
        <v>240</v>
      </c>
      <c r="G21" s="293"/>
      <c r="H21" s="50">
        <v>4</v>
      </c>
      <c r="I21" s="51" t="s">
        <v>340</v>
      </c>
      <c r="J21" s="52">
        <v>3</v>
      </c>
      <c r="K21" s="312"/>
      <c r="L21" s="292"/>
      <c r="M21" s="248"/>
      <c r="N21" s="249"/>
      <c r="O21" s="291"/>
      <c r="P21" s="292"/>
      <c r="Q21" s="248">
        <v>3</v>
      </c>
      <c r="R21" s="249"/>
      <c r="S21" s="291"/>
      <c r="T21" s="292"/>
      <c r="U21" s="248"/>
      <c r="V21" s="293"/>
      <c r="W21" s="59">
        <f t="shared" si="0"/>
        <v>3</v>
      </c>
      <c r="X21" s="362"/>
      <c r="Y21" s="276"/>
    </row>
    <row r="22" spans="2:29" ht="18" thickBot="1">
      <c r="B22" s="308"/>
      <c r="C22" s="306"/>
      <c r="D22" s="260" t="s">
        <v>26</v>
      </c>
      <c r="E22" s="39" t="s">
        <v>12</v>
      </c>
      <c r="F22" s="262" t="s">
        <v>257</v>
      </c>
      <c r="G22" s="263"/>
      <c r="H22" s="40">
        <v>4</v>
      </c>
      <c r="I22" s="54" t="s">
        <v>340</v>
      </c>
      <c r="J22" s="42">
        <v>3</v>
      </c>
      <c r="K22" s="262">
        <v>3</v>
      </c>
      <c r="L22" s="290"/>
      <c r="M22" s="277"/>
      <c r="N22" s="278"/>
      <c r="O22" s="289"/>
      <c r="P22" s="290"/>
      <c r="Q22" s="277"/>
      <c r="R22" s="278"/>
      <c r="S22" s="289"/>
      <c r="T22" s="290"/>
      <c r="U22" s="277"/>
      <c r="V22" s="263"/>
      <c r="W22" s="43">
        <f t="shared" si="0"/>
        <v>3</v>
      </c>
      <c r="X22" s="305">
        <f>SUM(W22:W23)</f>
        <v>6</v>
      </c>
      <c r="Y22" s="276"/>
    </row>
    <row r="23" spans="2:29" ht="18" thickBot="1">
      <c r="B23" s="308"/>
      <c r="C23" s="306"/>
      <c r="D23" s="261"/>
      <c r="E23" s="44" t="s">
        <v>12</v>
      </c>
      <c r="F23" s="256" t="s">
        <v>258</v>
      </c>
      <c r="G23" s="257"/>
      <c r="H23" s="45">
        <v>4</v>
      </c>
      <c r="I23" s="46" t="s">
        <v>340</v>
      </c>
      <c r="J23" s="47">
        <v>3</v>
      </c>
      <c r="K23" s="256"/>
      <c r="L23" s="251"/>
      <c r="M23" s="258">
        <v>3</v>
      </c>
      <c r="N23" s="259"/>
      <c r="O23" s="250"/>
      <c r="P23" s="251"/>
      <c r="Q23" s="258"/>
      <c r="R23" s="259"/>
      <c r="S23" s="250"/>
      <c r="T23" s="251"/>
      <c r="U23" s="258"/>
      <c r="V23" s="257"/>
      <c r="W23" s="48">
        <f t="shared" si="0"/>
        <v>3</v>
      </c>
      <c r="X23" s="306"/>
      <c r="Y23" s="276"/>
    </row>
    <row r="24" spans="2:29" ht="16.5" customHeight="1" thickBot="1">
      <c r="B24" s="308"/>
      <c r="C24" s="306"/>
      <c r="D24" s="260" t="s">
        <v>8</v>
      </c>
      <c r="E24" s="39" t="s">
        <v>352</v>
      </c>
      <c r="F24" s="262" t="s">
        <v>353</v>
      </c>
      <c r="G24" s="263"/>
      <c r="H24" s="40">
        <v>3</v>
      </c>
      <c r="I24" s="54" t="s">
        <v>354</v>
      </c>
      <c r="J24" s="42">
        <f t="shared" ref="J24" si="3">SUM(K24:V24)</f>
        <v>2</v>
      </c>
      <c r="K24" s="262">
        <v>2</v>
      </c>
      <c r="L24" s="290"/>
      <c r="M24" s="277"/>
      <c r="N24" s="278"/>
      <c r="O24" s="289"/>
      <c r="P24" s="290"/>
      <c r="Q24" s="277"/>
      <c r="R24" s="278"/>
      <c r="S24" s="289"/>
      <c r="T24" s="290"/>
      <c r="U24" s="277"/>
      <c r="V24" s="263"/>
      <c r="W24" s="43">
        <f>SUM(K24:V24)</f>
        <v>2</v>
      </c>
      <c r="X24" s="365">
        <f>SUM(W24:W28)</f>
        <v>11</v>
      </c>
      <c r="Y24" s="276">
        <v>8</v>
      </c>
    </row>
    <row r="25" spans="2:29" ht="18" thickBot="1">
      <c r="B25" s="308"/>
      <c r="C25" s="306"/>
      <c r="D25" s="261"/>
      <c r="E25" s="44" t="s">
        <v>352</v>
      </c>
      <c r="F25" s="256" t="s">
        <v>355</v>
      </c>
      <c r="G25" s="257"/>
      <c r="H25" s="45">
        <v>3</v>
      </c>
      <c r="I25" s="46" t="s">
        <v>354</v>
      </c>
      <c r="J25" s="47">
        <v>3</v>
      </c>
      <c r="K25" s="256"/>
      <c r="L25" s="251"/>
      <c r="M25" s="258">
        <v>3</v>
      </c>
      <c r="N25" s="259"/>
      <c r="O25" s="250"/>
      <c r="P25" s="251"/>
      <c r="Q25" s="258"/>
      <c r="R25" s="259"/>
      <c r="S25" s="250"/>
      <c r="T25" s="251"/>
      <c r="U25" s="258"/>
      <c r="V25" s="257"/>
      <c r="W25" s="48">
        <f t="shared" ref="W25:W28" si="4">SUM(K25:V25)</f>
        <v>3</v>
      </c>
      <c r="X25" s="366"/>
      <c r="Y25" s="276"/>
    </row>
    <row r="26" spans="2:29" ht="18" thickBot="1">
      <c r="B26" s="308"/>
      <c r="C26" s="306"/>
      <c r="D26" s="261"/>
      <c r="E26" s="159" t="s">
        <v>341</v>
      </c>
      <c r="F26" s="256" t="s">
        <v>372</v>
      </c>
      <c r="G26" s="257"/>
      <c r="H26" s="45">
        <v>2</v>
      </c>
      <c r="I26" s="46" t="s">
        <v>357</v>
      </c>
      <c r="J26" s="158">
        <v>1</v>
      </c>
      <c r="K26" s="256"/>
      <c r="L26" s="251"/>
      <c r="M26" s="258"/>
      <c r="N26" s="259"/>
      <c r="O26" s="250">
        <v>1</v>
      </c>
      <c r="P26" s="251"/>
      <c r="Q26" s="258"/>
      <c r="R26" s="259"/>
      <c r="S26" s="250"/>
      <c r="T26" s="251"/>
      <c r="U26" s="258"/>
      <c r="V26" s="257"/>
      <c r="W26" s="48">
        <f t="shared" si="4"/>
        <v>1</v>
      </c>
      <c r="X26" s="366"/>
      <c r="Y26" s="276"/>
    </row>
    <row r="27" spans="2:29" ht="18" thickBot="1">
      <c r="B27" s="308"/>
      <c r="C27" s="306"/>
      <c r="D27" s="261"/>
      <c r="E27" s="159" t="s">
        <v>341</v>
      </c>
      <c r="F27" s="256" t="s">
        <v>521</v>
      </c>
      <c r="G27" s="257"/>
      <c r="H27" s="45">
        <v>2</v>
      </c>
      <c r="I27" s="46" t="s">
        <v>357</v>
      </c>
      <c r="J27" s="47">
        <v>2</v>
      </c>
      <c r="K27" s="256"/>
      <c r="L27" s="251"/>
      <c r="M27" s="258"/>
      <c r="N27" s="259"/>
      <c r="O27" s="250"/>
      <c r="P27" s="251"/>
      <c r="Q27" s="258">
        <v>2</v>
      </c>
      <c r="R27" s="259"/>
      <c r="S27" s="250"/>
      <c r="T27" s="251"/>
      <c r="U27" s="258"/>
      <c r="V27" s="257"/>
      <c r="W27" s="48">
        <f t="shared" si="4"/>
        <v>2</v>
      </c>
      <c r="X27" s="366"/>
      <c r="Y27" s="276"/>
    </row>
    <row r="28" spans="2:29" ht="18" thickBot="1">
      <c r="B28" s="308"/>
      <c r="C28" s="306"/>
      <c r="D28" s="311"/>
      <c r="E28" s="44" t="s">
        <v>351</v>
      </c>
      <c r="F28" s="368" t="s">
        <v>356</v>
      </c>
      <c r="G28" s="288"/>
      <c r="H28" s="45">
        <v>3</v>
      </c>
      <c r="I28" s="162" t="s">
        <v>354</v>
      </c>
      <c r="J28" s="47">
        <v>3</v>
      </c>
      <c r="K28" s="312"/>
      <c r="L28" s="292"/>
      <c r="M28" s="248"/>
      <c r="N28" s="249"/>
      <c r="O28" s="291"/>
      <c r="P28" s="292"/>
      <c r="Q28" s="248"/>
      <c r="R28" s="249"/>
      <c r="S28" s="291">
        <v>3</v>
      </c>
      <c r="T28" s="292"/>
      <c r="U28" s="248"/>
      <c r="V28" s="293"/>
      <c r="W28" s="59">
        <f t="shared" si="4"/>
        <v>3</v>
      </c>
      <c r="X28" s="367"/>
      <c r="Y28" s="276"/>
    </row>
    <row r="29" spans="2:29" ht="18" thickBot="1">
      <c r="B29" s="308"/>
      <c r="C29" s="306"/>
      <c r="D29" s="260" t="s">
        <v>28</v>
      </c>
      <c r="E29" s="39" t="s">
        <v>352</v>
      </c>
      <c r="F29" s="262" t="s">
        <v>9</v>
      </c>
      <c r="G29" s="263"/>
      <c r="H29" s="40">
        <v>3</v>
      </c>
      <c r="I29" s="54" t="s">
        <v>354</v>
      </c>
      <c r="J29" s="42">
        <v>2</v>
      </c>
      <c r="K29" s="262">
        <v>2</v>
      </c>
      <c r="L29" s="290"/>
      <c r="M29" s="277"/>
      <c r="N29" s="278"/>
      <c r="O29" s="289"/>
      <c r="P29" s="290"/>
      <c r="Q29" s="277"/>
      <c r="R29" s="278"/>
      <c r="S29" s="289"/>
      <c r="T29" s="290"/>
      <c r="U29" s="277"/>
      <c r="V29" s="263"/>
      <c r="W29" s="286">
        <f>SUM(K29:V32)</f>
        <v>10</v>
      </c>
      <c r="X29" s="287"/>
      <c r="Y29" s="276">
        <v>6</v>
      </c>
    </row>
    <row r="30" spans="2:29" ht="18" thickBot="1">
      <c r="B30" s="308"/>
      <c r="C30" s="306"/>
      <c r="D30" s="261"/>
      <c r="E30" s="49" t="s">
        <v>341</v>
      </c>
      <c r="F30" s="256" t="s">
        <v>283</v>
      </c>
      <c r="G30" s="257"/>
      <c r="H30" s="160">
        <v>3</v>
      </c>
      <c r="I30" s="46" t="s">
        <v>354</v>
      </c>
      <c r="J30" s="161">
        <v>3</v>
      </c>
      <c r="K30" s="256"/>
      <c r="L30" s="251"/>
      <c r="M30" s="258">
        <v>3</v>
      </c>
      <c r="N30" s="259"/>
      <c r="O30" s="250"/>
      <c r="P30" s="251"/>
      <c r="Q30" s="258"/>
      <c r="R30" s="259"/>
      <c r="S30" s="165"/>
      <c r="T30" s="166"/>
      <c r="U30" s="167"/>
      <c r="V30" s="168"/>
      <c r="W30" s="369"/>
      <c r="X30" s="370"/>
      <c r="Y30" s="276"/>
    </row>
    <row r="31" spans="2:29" ht="18" thickBot="1">
      <c r="B31" s="308"/>
      <c r="C31" s="306"/>
      <c r="D31" s="261"/>
      <c r="E31" s="49" t="s">
        <v>341</v>
      </c>
      <c r="F31" s="256" t="s">
        <v>284</v>
      </c>
      <c r="G31" s="257"/>
      <c r="H31" s="160">
        <v>3</v>
      </c>
      <c r="I31" s="60" t="s">
        <v>354</v>
      </c>
      <c r="J31" s="161">
        <v>3</v>
      </c>
      <c r="K31" s="256"/>
      <c r="L31" s="251"/>
      <c r="M31" s="258"/>
      <c r="N31" s="259"/>
      <c r="O31" s="250">
        <v>3</v>
      </c>
      <c r="P31" s="251"/>
      <c r="Q31" s="258"/>
      <c r="R31" s="259"/>
      <c r="S31" s="165"/>
      <c r="T31" s="166"/>
      <c r="U31" s="167"/>
      <c r="V31" s="168"/>
      <c r="W31" s="369"/>
      <c r="X31" s="370"/>
      <c r="Y31" s="276"/>
    </row>
    <row r="32" spans="2:29" ht="18" thickBot="1">
      <c r="B32" s="308"/>
      <c r="C32" s="306"/>
      <c r="D32" s="261"/>
      <c r="E32" s="49" t="s">
        <v>351</v>
      </c>
      <c r="F32" s="256" t="s">
        <v>287</v>
      </c>
      <c r="G32" s="257"/>
      <c r="H32" s="45">
        <v>3</v>
      </c>
      <c r="I32" s="46" t="s">
        <v>354</v>
      </c>
      <c r="J32" s="47">
        <v>2</v>
      </c>
      <c r="K32" s="256"/>
      <c r="L32" s="251"/>
      <c r="M32" s="258"/>
      <c r="N32" s="259"/>
      <c r="O32" s="250"/>
      <c r="P32" s="251"/>
      <c r="Q32" s="258">
        <v>2</v>
      </c>
      <c r="R32" s="259"/>
      <c r="S32" s="250"/>
      <c r="T32" s="251"/>
      <c r="U32" s="258"/>
      <c r="V32" s="257"/>
      <c r="W32" s="369"/>
      <c r="X32" s="370"/>
      <c r="Y32" s="276"/>
    </row>
    <row r="33" spans="2:28" ht="16.5" customHeight="1" thickBot="1">
      <c r="B33" s="308"/>
      <c r="C33" s="306"/>
      <c r="D33" s="371" t="s">
        <v>358</v>
      </c>
      <c r="E33" s="39" t="s">
        <v>341</v>
      </c>
      <c r="F33" s="262" t="s">
        <v>522</v>
      </c>
      <c r="G33" s="263"/>
      <c r="H33" s="40">
        <v>4</v>
      </c>
      <c r="I33" s="54" t="s">
        <v>370</v>
      </c>
      <c r="J33" s="42">
        <v>3</v>
      </c>
      <c r="K33" s="262"/>
      <c r="L33" s="290"/>
      <c r="M33" s="277"/>
      <c r="N33" s="278"/>
      <c r="O33" s="289">
        <v>3</v>
      </c>
      <c r="P33" s="290"/>
      <c r="Q33" s="277"/>
      <c r="R33" s="278"/>
      <c r="S33" s="289"/>
      <c r="T33" s="290"/>
      <c r="U33" s="277"/>
      <c r="V33" s="263"/>
      <c r="W33" s="286">
        <f>SUM(K33:V36)</f>
        <v>12</v>
      </c>
      <c r="X33" s="287"/>
      <c r="Y33" s="276">
        <v>8</v>
      </c>
    </row>
    <row r="34" spans="2:28" ht="16.5" customHeight="1" thickBot="1">
      <c r="B34" s="308"/>
      <c r="C34" s="306"/>
      <c r="D34" s="372"/>
      <c r="E34" s="49" t="s">
        <v>341</v>
      </c>
      <c r="F34" s="256" t="s">
        <v>289</v>
      </c>
      <c r="G34" s="257"/>
      <c r="H34" s="160">
        <v>4</v>
      </c>
      <c r="I34" s="157" t="s">
        <v>343</v>
      </c>
      <c r="J34" s="161">
        <v>3</v>
      </c>
      <c r="K34" s="256"/>
      <c r="L34" s="251"/>
      <c r="M34" s="258"/>
      <c r="N34" s="259"/>
      <c r="O34" s="250"/>
      <c r="P34" s="251"/>
      <c r="Q34" s="258">
        <v>3</v>
      </c>
      <c r="R34" s="259"/>
      <c r="S34" s="250"/>
      <c r="T34" s="251"/>
      <c r="U34" s="258"/>
      <c r="V34" s="257"/>
      <c r="W34" s="369"/>
      <c r="X34" s="370"/>
      <c r="Y34" s="276"/>
    </row>
    <row r="35" spans="2:28" ht="16.5" customHeight="1" thickBot="1">
      <c r="B35" s="308"/>
      <c r="C35" s="306"/>
      <c r="D35" s="372"/>
      <c r="E35" s="49" t="s">
        <v>341</v>
      </c>
      <c r="F35" s="256" t="s">
        <v>335</v>
      </c>
      <c r="G35" s="257"/>
      <c r="H35" s="160">
        <v>4</v>
      </c>
      <c r="I35" s="157" t="s">
        <v>343</v>
      </c>
      <c r="J35" s="161">
        <v>3</v>
      </c>
      <c r="K35" s="169"/>
      <c r="L35" s="170"/>
      <c r="M35" s="171"/>
      <c r="N35" s="172"/>
      <c r="O35" s="152"/>
      <c r="P35" s="149"/>
      <c r="Q35" s="258">
        <v>3</v>
      </c>
      <c r="R35" s="259"/>
      <c r="S35" s="152"/>
      <c r="T35" s="149"/>
      <c r="U35" s="150"/>
      <c r="V35" s="153"/>
      <c r="W35" s="369"/>
      <c r="X35" s="370"/>
      <c r="Y35" s="276"/>
    </row>
    <row r="36" spans="2:28" ht="18" thickBot="1">
      <c r="B36" s="309"/>
      <c r="C36" s="310"/>
      <c r="D36" s="372"/>
      <c r="E36" s="49" t="s">
        <v>352</v>
      </c>
      <c r="F36" s="256" t="s">
        <v>50</v>
      </c>
      <c r="G36" s="257"/>
      <c r="H36" s="45">
        <v>4</v>
      </c>
      <c r="I36" s="46" t="s">
        <v>343</v>
      </c>
      <c r="J36" s="47">
        <v>3</v>
      </c>
      <c r="K36" s="312"/>
      <c r="L36" s="292"/>
      <c r="M36" s="248"/>
      <c r="N36" s="249"/>
      <c r="O36" s="250"/>
      <c r="P36" s="251"/>
      <c r="Q36" s="258"/>
      <c r="R36" s="259"/>
      <c r="S36" s="250">
        <v>3</v>
      </c>
      <c r="T36" s="251"/>
      <c r="U36" s="258"/>
      <c r="V36" s="257"/>
      <c r="W36" s="369"/>
      <c r="X36" s="370"/>
      <c r="Y36" s="276"/>
    </row>
    <row r="37" spans="2:28" ht="24.75" customHeight="1" thickBot="1">
      <c r="B37" s="269" t="s">
        <v>365</v>
      </c>
      <c r="C37" s="373"/>
      <c r="D37" s="373"/>
      <c r="E37" s="373"/>
      <c r="F37" s="373"/>
      <c r="G37" s="374"/>
      <c r="H37" s="142">
        <f>SUM(H9:H36)</f>
        <v>99</v>
      </c>
      <c r="I37" s="18"/>
      <c r="J37" s="141">
        <f>SUM(J9:J36)</f>
        <v>78</v>
      </c>
      <c r="K37" s="375">
        <f>SUM(K9:L36)</f>
        <v>19</v>
      </c>
      <c r="L37" s="267"/>
      <c r="M37" s="267">
        <f>SUM(M9:N36)</f>
        <v>21</v>
      </c>
      <c r="N37" s="279"/>
      <c r="O37" s="280">
        <f>SUM(O9:P36)</f>
        <v>13</v>
      </c>
      <c r="P37" s="267"/>
      <c r="Q37" s="267">
        <f>SUM(Q9:R36)</f>
        <v>19</v>
      </c>
      <c r="R37" s="275"/>
      <c r="S37" s="270">
        <f>SUM(S9:T36)</f>
        <v>6</v>
      </c>
      <c r="T37" s="267"/>
      <c r="U37" s="267">
        <f>SUM(U9:V36)</f>
        <v>0</v>
      </c>
      <c r="V37" s="268"/>
      <c r="W37" s="269">
        <f>SUM(K37:V37)</f>
        <v>78</v>
      </c>
      <c r="X37" s="270"/>
      <c r="Y37" s="141">
        <f>SUM(Y9:Y36)</f>
        <v>64</v>
      </c>
      <c r="AA37" s="376" t="b">
        <f>W37&gt;=Y37</f>
        <v>1</v>
      </c>
      <c r="AB37" s="377"/>
    </row>
    <row r="38" spans="2:28" ht="17.25" customHeight="1">
      <c r="B38" s="378" t="s">
        <v>359</v>
      </c>
      <c r="C38" s="379"/>
      <c r="D38" s="394" t="s">
        <v>360</v>
      </c>
      <c r="E38" s="395"/>
      <c r="F38" s="382" t="s">
        <v>535</v>
      </c>
      <c r="G38" s="383"/>
      <c r="H38" s="174"/>
      <c r="I38" s="175" t="s">
        <v>541</v>
      </c>
      <c r="J38" s="144">
        <v>2</v>
      </c>
      <c r="K38" s="361">
        <v>2</v>
      </c>
      <c r="L38" s="284"/>
      <c r="M38" s="281"/>
      <c r="N38" s="282"/>
      <c r="O38" s="283"/>
      <c r="P38" s="284"/>
      <c r="Q38" s="281"/>
      <c r="R38" s="282"/>
      <c r="S38" s="283"/>
      <c r="T38" s="284"/>
      <c r="U38" s="281"/>
      <c r="V38" s="285"/>
      <c r="W38" s="286">
        <f>SUM(K38:V38)</f>
        <v>2</v>
      </c>
      <c r="X38" s="287"/>
      <c r="Y38" s="384">
        <v>80</v>
      </c>
    </row>
    <row r="39" spans="2:28" ht="17.25" customHeight="1" thickBot="1">
      <c r="B39" s="380"/>
      <c r="C39" s="381"/>
      <c r="D39" s="242" t="s">
        <v>360</v>
      </c>
      <c r="E39" s="243"/>
      <c r="F39" s="244" t="s">
        <v>530</v>
      </c>
      <c r="G39" s="245"/>
      <c r="H39" s="50"/>
      <c r="I39" s="176" t="s">
        <v>540</v>
      </c>
      <c r="J39" s="52">
        <v>2</v>
      </c>
      <c r="K39" s="177"/>
      <c r="L39" s="178"/>
      <c r="M39" s="248">
        <v>2</v>
      </c>
      <c r="N39" s="249"/>
      <c r="O39" s="181"/>
      <c r="P39" s="178"/>
      <c r="Q39" s="179"/>
      <c r="R39" s="182"/>
      <c r="S39" s="180"/>
      <c r="T39" s="178"/>
      <c r="U39" s="179"/>
      <c r="V39" s="183"/>
      <c r="W39" s="254">
        <f>SUM(K39:V39)</f>
        <v>2</v>
      </c>
      <c r="X39" s="255"/>
      <c r="Y39" s="385"/>
    </row>
    <row r="40" spans="2:28" ht="17.25" customHeight="1">
      <c r="B40" s="380"/>
      <c r="C40" s="381"/>
      <c r="D40" s="64" t="s">
        <v>68</v>
      </c>
      <c r="E40" s="69" t="s">
        <v>361</v>
      </c>
      <c r="F40" s="386" t="s">
        <v>545</v>
      </c>
      <c r="G40" s="387"/>
      <c r="H40" s="160"/>
      <c r="I40" s="184" t="s">
        <v>540</v>
      </c>
      <c r="J40" s="161">
        <v>2</v>
      </c>
      <c r="K40" s="368">
        <v>2</v>
      </c>
      <c r="L40" s="266"/>
      <c r="M40" s="273"/>
      <c r="N40" s="265"/>
      <c r="O40" s="294"/>
      <c r="P40" s="266"/>
      <c r="Q40" s="273"/>
      <c r="R40" s="274"/>
      <c r="S40" s="265"/>
      <c r="T40" s="266"/>
      <c r="U40" s="273"/>
      <c r="V40" s="288"/>
      <c r="W40" s="271">
        <f t="shared" ref="W40:W45" si="5">SUM(K40:V40)</f>
        <v>2</v>
      </c>
      <c r="X40" s="272"/>
      <c r="Y40" s="385"/>
    </row>
    <row r="41" spans="2:28" ht="17.25" customHeight="1">
      <c r="B41" s="380"/>
      <c r="C41" s="381"/>
      <c r="D41" s="61" t="s">
        <v>68</v>
      </c>
      <c r="E41" s="62" t="s">
        <v>361</v>
      </c>
      <c r="F41" s="246" t="s">
        <v>546</v>
      </c>
      <c r="G41" s="247"/>
      <c r="H41" s="160"/>
      <c r="I41" s="184" t="s">
        <v>540</v>
      </c>
      <c r="J41" s="161">
        <v>6</v>
      </c>
      <c r="K41" s="256">
        <v>6</v>
      </c>
      <c r="L41" s="251"/>
      <c r="M41" s="258"/>
      <c r="N41" s="259"/>
      <c r="O41" s="250"/>
      <c r="P41" s="251"/>
      <c r="Q41" s="258"/>
      <c r="R41" s="259"/>
      <c r="S41" s="250"/>
      <c r="T41" s="251"/>
      <c r="U41" s="258"/>
      <c r="V41" s="257"/>
      <c r="W41" s="252">
        <f t="shared" si="5"/>
        <v>6</v>
      </c>
      <c r="X41" s="253"/>
      <c r="Y41" s="385"/>
    </row>
    <row r="42" spans="2:28" ht="17.25" customHeight="1">
      <c r="B42" s="380"/>
      <c r="C42" s="381"/>
      <c r="D42" s="61" t="s">
        <v>72</v>
      </c>
      <c r="E42" s="62" t="s">
        <v>361</v>
      </c>
      <c r="F42" s="392" t="s">
        <v>552</v>
      </c>
      <c r="G42" s="393"/>
      <c r="H42" s="160"/>
      <c r="I42" s="184" t="s">
        <v>540</v>
      </c>
      <c r="J42" s="161">
        <v>6</v>
      </c>
      <c r="K42" s="148"/>
      <c r="L42" s="149"/>
      <c r="M42" s="258">
        <v>6</v>
      </c>
      <c r="N42" s="259"/>
      <c r="O42" s="152"/>
      <c r="P42" s="149"/>
      <c r="Q42" s="150"/>
      <c r="R42" s="151"/>
      <c r="S42" s="152"/>
      <c r="T42" s="149"/>
      <c r="U42" s="150"/>
      <c r="V42" s="153"/>
      <c r="W42" s="252">
        <f t="shared" ref="W42:W44" si="6">SUM(K42:V42)</f>
        <v>6</v>
      </c>
      <c r="X42" s="253"/>
      <c r="Y42" s="385"/>
    </row>
    <row r="43" spans="2:28" ht="17.25" customHeight="1">
      <c r="B43" s="380"/>
      <c r="C43" s="381"/>
      <c r="D43" s="61" t="s">
        <v>68</v>
      </c>
      <c r="E43" s="62" t="s">
        <v>361</v>
      </c>
      <c r="F43" s="392" t="s">
        <v>548</v>
      </c>
      <c r="G43" s="393"/>
      <c r="H43" s="160"/>
      <c r="I43" s="184" t="s">
        <v>540</v>
      </c>
      <c r="J43" s="161">
        <v>6</v>
      </c>
      <c r="K43" s="148"/>
      <c r="L43" s="149"/>
      <c r="M43" s="150"/>
      <c r="N43" s="151"/>
      <c r="O43" s="250">
        <v>6</v>
      </c>
      <c r="P43" s="251"/>
      <c r="Q43" s="150"/>
      <c r="R43" s="151"/>
      <c r="S43" s="152"/>
      <c r="T43" s="149"/>
      <c r="U43" s="150"/>
      <c r="V43" s="153"/>
      <c r="W43" s="252">
        <f t="shared" si="6"/>
        <v>6</v>
      </c>
      <c r="X43" s="253"/>
      <c r="Y43" s="385"/>
    </row>
    <row r="44" spans="2:28" ht="17.25" customHeight="1" thickBot="1">
      <c r="B44" s="380"/>
      <c r="C44" s="381"/>
      <c r="D44" s="68" t="s">
        <v>68</v>
      </c>
      <c r="E44" s="67" t="s">
        <v>361</v>
      </c>
      <c r="F44" s="506" t="s">
        <v>547</v>
      </c>
      <c r="G44" s="507"/>
      <c r="H44" s="50"/>
      <c r="I44" s="176" t="s">
        <v>541</v>
      </c>
      <c r="J44" s="52">
        <v>10</v>
      </c>
      <c r="K44" s="177"/>
      <c r="L44" s="178"/>
      <c r="M44" s="179"/>
      <c r="N44" s="182"/>
      <c r="O44" s="291">
        <v>10</v>
      </c>
      <c r="P44" s="292"/>
      <c r="Q44" s="248"/>
      <c r="R44" s="249"/>
      <c r="S44" s="181"/>
      <c r="T44" s="178"/>
      <c r="U44" s="179"/>
      <c r="V44" s="183"/>
      <c r="W44" s="252">
        <f t="shared" si="6"/>
        <v>10</v>
      </c>
      <c r="X44" s="253"/>
      <c r="Y44" s="385"/>
    </row>
    <row r="45" spans="2:28" ht="17.25" customHeight="1">
      <c r="B45" s="380"/>
      <c r="C45" s="381"/>
      <c r="D45" s="71" t="s">
        <v>68</v>
      </c>
      <c r="E45" s="69" t="s">
        <v>362</v>
      </c>
      <c r="F45" s="508" t="s">
        <v>638</v>
      </c>
      <c r="G45" s="509"/>
      <c r="H45" s="160"/>
      <c r="I45" s="184" t="s">
        <v>540</v>
      </c>
      <c r="J45" s="161">
        <v>6</v>
      </c>
      <c r="K45" s="368"/>
      <c r="L45" s="266"/>
      <c r="M45" s="273"/>
      <c r="N45" s="274"/>
      <c r="O45" s="294"/>
      <c r="P45" s="266"/>
      <c r="Q45" s="273">
        <v>6</v>
      </c>
      <c r="R45" s="274"/>
      <c r="S45" s="294"/>
      <c r="T45" s="266"/>
      <c r="U45" s="273"/>
      <c r="V45" s="288"/>
      <c r="W45" s="271">
        <f t="shared" si="5"/>
        <v>6</v>
      </c>
      <c r="X45" s="272"/>
      <c r="Y45" s="385"/>
    </row>
    <row r="46" spans="2:28" ht="17.25" customHeight="1">
      <c r="B46" s="380"/>
      <c r="C46" s="381"/>
      <c r="D46" s="71" t="s">
        <v>68</v>
      </c>
      <c r="E46" s="69" t="s">
        <v>362</v>
      </c>
      <c r="F46" s="508" t="s">
        <v>553</v>
      </c>
      <c r="G46" s="509"/>
      <c r="H46" s="160"/>
      <c r="I46" s="184" t="s">
        <v>541</v>
      </c>
      <c r="J46" s="161">
        <v>8</v>
      </c>
      <c r="K46" s="191"/>
      <c r="L46" s="185"/>
      <c r="M46" s="186"/>
      <c r="N46" s="192"/>
      <c r="O46" s="187"/>
      <c r="P46" s="185"/>
      <c r="Q46" s="258">
        <v>4</v>
      </c>
      <c r="R46" s="259"/>
      <c r="S46" s="250">
        <v>4</v>
      </c>
      <c r="T46" s="251"/>
      <c r="U46" s="186"/>
      <c r="V46" s="168"/>
      <c r="W46" s="271">
        <f t="shared" ref="W46" si="7">SUM(K46:V46)</f>
        <v>8</v>
      </c>
      <c r="X46" s="272"/>
      <c r="Y46" s="385"/>
    </row>
    <row r="47" spans="2:28" ht="17.25" customHeight="1">
      <c r="B47" s="380"/>
      <c r="C47" s="381"/>
      <c r="D47" s="63" t="s">
        <v>68</v>
      </c>
      <c r="E47" s="62" t="s">
        <v>362</v>
      </c>
      <c r="F47" s="392" t="s">
        <v>549</v>
      </c>
      <c r="G47" s="393"/>
      <c r="H47" s="160"/>
      <c r="I47" s="184" t="s">
        <v>541</v>
      </c>
      <c r="J47" s="161">
        <v>20</v>
      </c>
      <c r="K47" s="191"/>
      <c r="L47" s="166"/>
      <c r="M47" s="167"/>
      <c r="N47" s="192"/>
      <c r="O47" s="165"/>
      <c r="P47" s="166"/>
      <c r="Q47" s="167"/>
      <c r="R47" s="193"/>
      <c r="S47" s="250">
        <v>5</v>
      </c>
      <c r="T47" s="251"/>
      <c r="U47" s="258">
        <v>15</v>
      </c>
      <c r="V47" s="257"/>
      <c r="W47" s="271">
        <f t="shared" ref="W47" si="8">SUM(K47:V47)</f>
        <v>20</v>
      </c>
      <c r="X47" s="272"/>
      <c r="Y47" s="385"/>
    </row>
    <row r="48" spans="2:28" ht="17.25" customHeight="1">
      <c r="B48" s="380"/>
      <c r="C48" s="381"/>
      <c r="D48" s="64" t="s">
        <v>68</v>
      </c>
      <c r="E48" s="62" t="s">
        <v>362</v>
      </c>
      <c r="F48" s="392" t="s">
        <v>550</v>
      </c>
      <c r="G48" s="393"/>
      <c r="H48" s="160"/>
      <c r="I48" s="184" t="s">
        <v>540</v>
      </c>
      <c r="J48" s="161">
        <v>14</v>
      </c>
      <c r="K48" s="256"/>
      <c r="L48" s="251"/>
      <c r="M48" s="258"/>
      <c r="N48" s="264"/>
      <c r="O48" s="250"/>
      <c r="P48" s="251"/>
      <c r="Q48" s="258"/>
      <c r="R48" s="259"/>
      <c r="S48" s="264">
        <v>14</v>
      </c>
      <c r="T48" s="251"/>
      <c r="U48" s="258"/>
      <c r="V48" s="257"/>
      <c r="W48" s="271">
        <f t="shared" ref="W48" si="9">SUM(K48:V48)</f>
        <v>14</v>
      </c>
      <c r="X48" s="272"/>
      <c r="Y48" s="385"/>
    </row>
    <row r="49" spans="2:29" ht="17.25" customHeight="1" thickBot="1">
      <c r="B49" s="380"/>
      <c r="C49" s="381"/>
      <c r="D49" s="63" t="s">
        <v>68</v>
      </c>
      <c r="E49" s="62" t="s">
        <v>362</v>
      </c>
      <c r="F49" s="392" t="s">
        <v>551</v>
      </c>
      <c r="G49" s="393"/>
      <c r="H49" s="160"/>
      <c r="I49" s="190" t="s">
        <v>540</v>
      </c>
      <c r="J49" s="47">
        <v>14</v>
      </c>
      <c r="K49" s="256"/>
      <c r="L49" s="251"/>
      <c r="M49" s="258"/>
      <c r="N49" s="264"/>
      <c r="O49" s="250"/>
      <c r="P49" s="251"/>
      <c r="Q49" s="258"/>
      <c r="R49" s="259"/>
      <c r="S49" s="264"/>
      <c r="T49" s="251"/>
      <c r="U49" s="258">
        <v>14</v>
      </c>
      <c r="V49" s="257"/>
      <c r="W49" s="271">
        <f t="shared" ref="W49" si="10">SUM(K49:V49)</f>
        <v>14</v>
      </c>
      <c r="X49" s="272"/>
      <c r="Y49" s="385"/>
    </row>
    <row r="50" spans="2:29" ht="24.75" customHeight="1">
      <c r="B50" s="396" t="s">
        <v>366</v>
      </c>
      <c r="C50" s="397"/>
      <c r="D50" s="397"/>
      <c r="E50" s="397"/>
      <c r="F50" s="397"/>
      <c r="G50" s="398"/>
      <c r="H50" s="402">
        <f>SUM(H38:H49)</f>
        <v>0</v>
      </c>
      <c r="I50" s="404">
        <f>SUM(I38:I49)</f>
        <v>0</v>
      </c>
      <c r="J50" s="406">
        <f>SUM(J38:J49)</f>
        <v>96</v>
      </c>
      <c r="K50" s="396">
        <f>SUM(K38:L49)</f>
        <v>10</v>
      </c>
      <c r="L50" s="408"/>
      <c r="M50" s="410">
        <f>SUM(M38:N49)</f>
        <v>8</v>
      </c>
      <c r="N50" s="397"/>
      <c r="O50" s="412">
        <f>SUM(O38:P49)</f>
        <v>16</v>
      </c>
      <c r="P50" s="408"/>
      <c r="Q50" s="410">
        <f>SUM(Q38:R49)</f>
        <v>10</v>
      </c>
      <c r="R50" s="414"/>
      <c r="S50" s="397">
        <f>SUM(S38:T49)</f>
        <v>23</v>
      </c>
      <c r="T50" s="408"/>
      <c r="U50" s="410">
        <f>SUM(U38:V49)</f>
        <v>29</v>
      </c>
      <c r="V50" s="398"/>
      <c r="W50" s="396">
        <f>SUM(K50:V51)</f>
        <v>96</v>
      </c>
      <c r="X50" s="398"/>
      <c r="Y50" s="384">
        <f>SUM(Y38:Y49)</f>
        <v>80</v>
      </c>
      <c r="AC50" s="143"/>
    </row>
    <row r="51" spans="2:29" ht="18" thickBot="1">
      <c r="B51" s="399"/>
      <c r="C51" s="400"/>
      <c r="D51" s="400"/>
      <c r="E51" s="400"/>
      <c r="F51" s="400"/>
      <c r="G51" s="401"/>
      <c r="H51" s="403"/>
      <c r="I51" s="405"/>
      <c r="J51" s="407"/>
      <c r="K51" s="399"/>
      <c r="L51" s="409"/>
      <c r="M51" s="411"/>
      <c r="N51" s="400"/>
      <c r="O51" s="413"/>
      <c r="P51" s="409"/>
      <c r="Q51" s="411"/>
      <c r="R51" s="415"/>
      <c r="S51" s="400"/>
      <c r="T51" s="409"/>
      <c r="U51" s="411"/>
      <c r="V51" s="401"/>
      <c r="W51" s="399"/>
      <c r="X51" s="401"/>
      <c r="Y51" s="416"/>
      <c r="AC51" s="70"/>
    </row>
    <row r="52" spans="2:29" ht="17.25" customHeight="1" thickBot="1">
      <c r="B52" s="269"/>
      <c r="C52" s="373"/>
      <c r="D52" s="373"/>
      <c r="E52" s="373"/>
      <c r="F52" s="373"/>
      <c r="G52" s="374"/>
      <c r="H52" s="147">
        <f>SUM(H37,H50)</f>
        <v>99</v>
      </c>
      <c r="I52" s="140">
        <f>SUM(I37,I50)</f>
        <v>0</v>
      </c>
      <c r="J52" s="141">
        <f>SUM(J37,J50)</f>
        <v>174</v>
      </c>
      <c r="K52" s="269">
        <f>SUM(K37,K50)</f>
        <v>29</v>
      </c>
      <c r="L52" s="270"/>
      <c r="M52" s="279">
        <f>SUM(M37,M50)</f>
        <v>29</v>
      </c>
      <c r="N52" s="436"/>
      <c r="O52" s="437">
        <f>SUM(O37,O50)</f>
        <v>29</v>
      </c>
      <c r="P52" s="270"/>
      <c r="Q52" s="279">
        <f>SUM(Q37,Q50)</f>
        <v>29</v>
      </c>
      <c r="R52" s="436"/>
      <c r="S52" s="437">
        <f>SUM(S37,S50)</f>
        <v>29</v>
      </c>
      <c r="T52" s="270"/>
      <c r="U52" s="279">
        <f>SUM(U37,U50)</f>
        <v>29</v>
      </c>
      <c r="V52" s="374"/>
      <c r="W52" s="269">
        <f>SUM(K52:V52)</f>
        <v>174</v>
      </c>
      <c r="X52" s="374"/>
      <c r="Y52" s="11">
        <f>Y50+Y37</f>
        <v>144</v>
      </c>
      <c r="AA52" s="304" t="s">
        <v>155</v>
      </c>
      <c r="AB52" s="304"/>
    </row>
    <row r="53" spans="2:29" ht="18.75" customHeight="1" thickBot="1">
      <c r="B53" s="418" t="s">
        <v>367</v>
      </c>
      <c r="C53" s="419"/>
      <c r="D53" s="419"/>
      <c r="E53" s="420"/>
      <c r="F53" s="427" t="s">
        <v>363</v>
      </c>
      <c r="G53" s="428"/>
      <c r="H53" s="428"/>
      <c r="I53" s="428"/>
      <c r="J53" s="429"/>
      <c r="K53" s="262">
        <v>16</v>
      </c>
      <c r="L53" s="290"/>
      <c r="M53" s="277">
        <v>16</v>
      </c>
      <c r="N53" s="278"/>
      <c r="O53" s="289">
        <v>16</v>
      </c>
      <c r="P53" s="290"/>
      <c r="Q53" s="277">
        <v>16</v>
      </c>
      <c r="R53" s="278"/>
      <c r="S53" s="289">
        <v>16</v>
      </c>
      <c r="T53" s="290"/>
      <c r="U53" s="277">
        <v>16</v>
      </c>
      <c r="V53" s="263"/>
      <c r="W53" s="418">
        <f>SUM(K53:V55)</f>
        <v>288</v>
      </c>
      <c r="X53" s="420"/>
      <c r="Y53" s="384">
        <f>Y56*16</f>
        <v>288</v>
      </c>
      <c r="AA53" s="417"/>
      <c r="AB53" s="417"/>
    </row>
    <row r="54" spans="2:29" ht="17.25" customHeight="1" thickBot="1">
      <c r="B54" s="421"/>
      <c r="C54" s="422"/>
      <c r="D54" s="422"/>
      <c r="E54" s="423"/>
      <c r="F54" s="433" t="s">
        <v>63</v>
      </c>
      <c r="G54" s="434"/>
      <c r="H54" s="434"/>
      <c r="I54" s="434"/>
      <c r="J54" s="435"/>
      <c r="K54" s="256">
        <v>16</v>
      </c>
      <c r="L54" s="251"/>
      <c r="M54" s="258">
        <v>16</v>
      </c>
      <c r="N54" s="259"/>
      <c r="O54" s="250">
        <v>16</v>
      </c>
      <c r="P54" s="251"/>
      <c r="Q54" s="258">
        <v>16</v>
      </c>
      <c r="R54" s="259"/>
      <c r="S54" s="250">
        <v>16</v>
      </c>
      <c r="T54" s="251"/>
      <c r="U54" s="258">
        <v>16</v>
      </c>
      <c r="V54" s="257"/>
      <c r="W54" s="421"/>
      <c r="X54" s="423"/>
      <c r="Y54" s="385"/>
      <c r="AA54" s="376" t="b">
        <f>W52&gt;=Y52</f>
        <v>1</v>
      </c>
      <c r="AB54" s="377"/>
    </row>
    <row r="55" spans="2:29" ht="17.25" customHeight="1">
      <c r="B55" s="421"/>
      <c r="C55" s="422"/>
      <c r="D55" s="422"/>
      <c r="E55" s="423"/>
      <c r="F55" s="433" t="s">
        <v>11</v>
      </c>
      <c r="G55" s="434"/>
      <c r="H55" s="434"/>
      <c r="I55" s="434"/>
      <c r="J55" s="435"/>
      <c r="K55" s="256">
        <v>16</v>
      </c>
      <c r="L55" s="251"/>
      <c r="M55" s="258">
        <v>16</v>
      </c>
      <c r="N55" s="259"/>
      <c r="O55" s="250">
        <v>16</v>
      </c>
      <c r="P55" s="251"/>
      <c r="Q55" s="258">
        <v>16</v>
      </c>
      <c r="R55" s="259"/>
      <c r="S55" s="250">
        <v>16</v>
      </c>
      <c r="T55" s="251"/>
      <c r="U55" s="258">
        <v>16</v>
      </c>
      <c r="V55" s="257"/>
      <c r="W55" s="430"/>
      <c r="X55" s="431"/>
      <c r="Y55" s="432"/>
    </row>
    <row r="56" spans="2:29" ht="17.25" customHeight="1" thickBot="1">
      <c r="B56" s="424"/>
      <c r="C56" s="425"/>
      <c r="D56" s="425"/>
      <c r="E56" s="426"/>
      <c r="F56" s="441" t="s">
        <v>149</v>
      </c>
      <c r="G56" s="442"/>
      <c r="H56" s="442"/>
      <c r="I56" s="442"/>
      <c r="J56" s="443"/>
      <c r="K56" s="444">
        <v>3</v>
      </c>
      <c r="L56" s="445"/>
      <c r="M56" s="446">
        <v>3</v>
      </c>
      <c r="N56" s="447"/>
      <c r="O56" s="448">
        <v>3</v>
      </c>
      <c r="P56" s="445"/>
      <c r="Q56" s="446">
        <v>3</v>
      </c>
      <c r="R56" s="447"/>
      <c r="S56" s="448">
        <v>3</v>
      </c>
      <c r="T56" s="445"/>
      <c r="U56" s="446">
        <v>3</v>
      </c>
      <c r="V56" s="449"/>
      <c r="W56" s="441">
        <f>SUM(K56:V56)</f>
        <v>18</v>
      </c>
      <c r="X56" s="443"/>
      <c r="Y56" s="72">
        <v>18</v>
      </c>
      <c r="AA56" s="304" t="s">
        <v>156</v>
      </c>
      <c r="AB56" s="304"/>
    </row>
    <row r="57" spans="2:29" ht="17.25" customHeight="1" thickBot="1">
      <c r="B57" s="269"/>
      <c r="C57" s="373"/>
      <c r="D57" s="373"/>
      <c r="E57" s="373"/>
      <c r="F57" s="373"/>
      <c r="G57" s="373"/>
      <c r="H57" s="373"/>
      <c r="I57" s="373"/>
      <c r="J57" s="374"/>
      <c r="K57" s="269">
        <v>32</v>
      </c>
      <c r="L57" s="270"/>
      <c r="M57" s="279">
        <v>32</v>
      </c>
      <c r="N57" s="436"/>
      <c r="O57" s="437">
        <v>32</v>
      </c>
      <c r="P57" s="270"/>
      <c r="Q57" s="279">
        <v>32</v>
      </c>
      <c r="R57" s="436"/>
      <c r="S57" s="437">
        <v>32</v>
      </c>
      <c r="T57" s="270"/>
      <c r="U57" s="279">
        <v>32</v>
      </c>
      <c r="V57" s="374"/>
      <c r="W57" s="269">
        <f>SUM(K57:V57)</f>
        <v>192</v>
      </c>
      <c r="X57" s="374"/>
      <c r="Y57" s="36">
        <f>W57</f>
        <v>192</v>
      </c>
      <c r="AA57" s="376" t="b">
        <f>W56&gt;=Y56</f>
        <v>1</v>
      </c>
      <c r="AB57" s="377"/>
    </row>
    <row r="58" spans="2:29" ht="17.25" customHeight="1" thickBot="1">
      <c r="B58" s="269"/>
      <c r="C58" s="373"/>
      <c r="D58" s="373"/>
      <c r="E58" s="373"/>
      <c r="F58" s="373"/>
      <c r="G58" s="373"/>
      <c r="H58" s="373"/>
      <c r="I58" s="373"/>
      <c r="J58" s="374"/>
      <c r="K58" s="269">
        <f>SUM(K57:N57)</f>
        <v>64</v>
      </c>
      <c r="L58" s="373"/>
      <c r="M58" s="373"/>
      <c r="N58" s="436"/>
      <c r="O58" s="437">
        <f>SUM(O57:R57)</f>
        <v>64</v>
      </c>
      <c r="P58" s="373"/>
      <c r="Q58" s="373"/>
      <c r="R58" s="436"/>
      <c r="S58" s="437">
        <f>SUM(S57:V57)</f>
        <v>64</v>
      </c>
      <c r="T58" s="373"/>
      <c r="U58" s="373"/>
      <c r="V58" s="374"/>
      <c r="W58" s="269">
        <f>SUM(K58:V58)</f>
        <v>192</v>
      </c>
      <c r="X58" s="374"/>
      <c r="Y58" s="11"/>
      <c r="AA58" s="304" t="s">
        <v>153</v>
      </c>
      <c r="AB58" s="304"/>
    </row>
    <row r="59" spans="2:29" ht="17.25" customHeight="1" thickBot="1">
      <c r="AA59" s="376" t="b">
        <f>W57&gt;=Y57</f>
        <v>1</v>
      </c>
      <c r="AB59" s="377"/>
    </row>
    <row r="60" spans="2:29" ht="17.25" customHeight="1"/>
    <row r="61" spans="2:29" ht="17.25" customHeight="1"/>
    <row r="62" spans="2:29" ht="17.25" customHeight="1"/>
    <row r="64" spans="2:29" ht="24.9" customHeight="1"/>
    <row r="65" ht="24.9" customHeight="1"/>
    <row r="66" ht="32.25" customHeight="1"/>
    <row r="67" ht="24.9" customHeight="1"/>
    <row r="69" ht="16.5" customHeight="1"/>
    <row r="70" ht="17.2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244.5" customHeight="1"/>
  </sheetData>
  <mergeCells count="406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X22:X23"/>
    <mergeCell ref="F23:G23"/>
    <mergeCell ref="K23:L23"/>
    <mergeCell ref="M23:N23"/>
    <mergeCell ref="O23:P23"/>
    <mergeCell ref="Q23:R23"/>
    <mergeCell ref="S23:T23"/>
    <mergeCell ref="U23:V23"/>
    <mergeCell ref="X24:X28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S26:T26"/>
    <mergeCell ref="W29:X32"/>
    <mergeCell ref="Y29:Y32"/>
    <mergeCell ref="F30:G30"/>
    <mergeCell ref="K30:L30"/>
    <mergeCell ref="M30:N30"/>
    <mergeCell ref="O30:P30"/>
    <mergeCell ref="Q30:R30"/>
    <mergeCell ref="F31:G31"/>
    <mergeCell ref="F29:G29"/>
    <mergeCell ref="K29:L29"/>
    <mergeCell ref="M29:N29"/>
    <mergeCell ref="O29:P29"/>
    <mergeCell ref="Q29:R29"/>
    <mergeCell ref="K31:L31"/>
    <mergeCell ref="M31:N31"/>
    <mergeCell ref="O31:P31"/>
    <mergeCell ref="Q31:R31"/>
    <mergeCell ref="U32:V32"/>
    <mergeCell ref="F32:G32"/>
    <mergeCell ref="K32:L32"/>
    <mergeCell ref="M32:N32"/>
    <mergeCell ref="O32:P32"/>
    <mergeCell ref="Q32:R32"/>
    <mergeCell ref="S32:T32"/>
    <mergeCell ref="D29:D32"/>
    <mergeCell ref="W33:X36"/>
    <mergeCell ref="Y33:Y36"/>
    <mergeCell ref="F34:G34"/>
    <mergeCell ref="K34:L34"/>
    <mergeCell ref="M34:N34"/>
    <mergeCell ref="O34:P34"/>
    <mergeCell ref="Q34:R34"/>
    <mergeCell ref="S34:T34"/>
    <mergeCell ref="U34:V34"/>
    <mergeCell ref="F35:G35"/>
    <mergeCell ref="U36:V36"/>
    <mergeCell ref="D33:D36"/>
    <mergeCell ref="F33:G33"/>
    <mergeCell ref="K33:L33"/>
    <mergeCell ref="M33:N33"/>
    <mergeCell ref="O33:P33"/>
    <mergeCell ref="Q33:R33"/>
    <mergeCell ref="S33:T33"/>
    <mergeCell ref="U33:V33"/>
    <mergeCell ref="Q35:R35"/>
    <mergeCell ref="S29:T29"/>
    <mergeCell ref="U29:V29"/>
    <mergeCell ref="B37:G37"/>
    <mergeCell ref="K37:L37"/>
    <mergeCell ref="M37:N37"/>
    <mergeCell ref="O37:P37"/>
    <mergeCell ref="Q37:R37"/>
    <mergeCell ref="S37:T37"/>
    <mergeCell ref="U37:V37"/>
    <mergeCell ref="F36:G36"/>
    <mergeCell ref="K36:L36"/>
    <mergeCell ref="M36:N36"/>
    <mergeCell ref="O36:P36"/>
    <mergeCell ref="Q36:R36"/>
    <mergeCell ref="S36:T36"/>
    <mergeCell ref="W37:X37"/>
    <mergeCell ref="AA37:AB37"/>
    <mergeCell ref="B38:C49"/>
    <mergeCell ref="D38:E38"/>
    <mergeCell ref="F38:G38"/>
    <mergeCell ref="K38:L38"/>
    <mergeCell ref="M38:N38"/>
    <mergeCell ref="O38:P38"/>
    <mergeCell ref="Q38:R38"/>
    <mergeCell ref="S38:T38"/>
    <mergeCell ref="F46:G46"/>
    <mergeCell ref="Q46:R46"/>
    <mergeCell ref="S46:T46"/>
    <mergeCell ref="W42:X42"/>
    <mergeCell ref="W43:X43"/>
    <mergeCell ref="W44:X44"/>
    <mergeCell ref="W46:X46"/>
    <mergeCell ref="W47:X47"/>
    <mergeCell ref="U38:V38"/>
    <mergeCell ref="W38:X38"/>
    <mergeCell ref="Y38:Y49"/>
    <mergeCell ref="D39:E39"/>
    <mergeCell ref="F39:G39"/>
    <mergeCell ref="M39:N39"/>
    <mergeCell ref="W39:X39"/>
    <mergeCell ref="F40:G40"/>
    <mergeCell ref="K40:L40"/>
    <mergeCell ref="M40:N40"/>
    <mergeCell ref="S41:T41"/>
    <mergeCell ref="U41:V41"/>
    <mergeCell ref="W41:X41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Q41:R41"/>
    <mergeCell ref="F45:G45"/>
    <mergeCell ref="K45:L45"/>
    <mergeCell ref="M45:N45"/>
    <mergeCell ref="O45:P45"/>
    <mergeCell ref="Q45:R45"/>
    <mergeCell ref="S45:T45"/>
    <mergeCell ref="U45:V45"/>
    <mergeCell ref="W45:X45"/>
    <mergeCell ref="F42:G42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S50:T51"/>
    <mergeCell ref="U50:V51"/>
    <mergeCell ref="W50:X51"/>
    <mergeCell ref="Y50:Y51"/>
    <mergeCell ref="B52:G52"/>
    <mergeCell ref="K52:L52"/>
    <mergeCell ref="M52:N52"/>
    <mergeCell ref="O52:P52"/>
    <mergeCell ref="Q52:R52"/>
    <mergeCell ref="S52:T52"/>
    <mergeCell ref="B50:G51"/>
    <mergeCell ref="H50:H51"/>
    <mergeCell ref="I50:I51"/>
    <mergeCell ref="J50:J51"/>
    <mergeCell ref="K50:L51"/>
    <mergeCell ref="M50:N51"/>
    <mergeCell ref="O50:P51"/>
    <mergeCell ref="Q50:R51"/>
    <mergeCell ref="U52:V52"/>
    <mergeCell ref="W52:X52"/>
    <mergeCell ref="AA52:AB53"/>
    <mergeCell ref="B53:E56"/>
    <mergeCell ref="F53:J53"/>
    <mergeCell ref="K53:L53"/>
    <mergeCell ref="M53:N53"/>
    <mergeCell ref="O53:P53"/>
    <mergeCell ref="Q53:R53"/>
    <mergeCell ref="S53:T53"/>
    <mergeCell ref="AA54:AB54"/>
    <mergeCell ref="F55:J55"/>
    <mergeCell ref="K55:L55"/>
    <mergeCell ref="M55:N55"/>
    <mergeCell ref="O55:P55"/>
    <mergeCell ref="Q55:R55"/>
    <mergeCell ref="S55:T55"/>
    <mergeCell ref="U55:V55"/>
    <mergeCell ref="U53:V53"/>
    <mergeCell ref="W53:X55"/>
    <mergeCell ref="Y53:Y55"/>
    <mergeCell ref="F54:J54"/>
    <mergeCell ref="K54:L54"/>
    <mergeCell ref="M54:N54"/>
    <mergeCell ref="O54:P54"/>
    <mergeCell ref="Q54:R54"/>
    <mergeCell ref="S54:T54"/>
    <mergeCell ref="U54:V54"/>
    <mergeCell ref="O57:P57"/>
    <mergeCell ref="Q57:R57"/>
    <mergeCell ref="S57:T57"/>
    <mergeCell ref="U57:V57"/>
    <mergeCell ref="F56:J56"/>
    <mergeCell ref="K56:L56"/>
    <mergeCell ref="M56:N56"/>
    <mergeCell ref="O56:P56"/>
    <mergeCell ref="Q56:R56"/>
    <mergeCell ref="S56:T56"/>
    <mergeCell ref="U47:V47"/>
    <mergeCell ref="AA59:AB59"/>
    <mergeCell ref="F43:G43"/>
    <mergeCell ref="F47:G47"/>
    <mergeCell ref="F44:G44"/>
    <mergeCell ref="M42:N42"/>
    <mergeCell ref="O43:P43"/>
    <mergeCell ref="O44:P44"/>
    <mergeCell ref="Q44:R44"/>
    <mergeCell ref="S47:T47"/>
    <mergeCell ref="W57:X57"/>
    <mergeCell ref="AA57:AB57"/>
    <mergeCell ref="B58:J58"/>
    <mergeCell ref="K58:N58"/>
    <mergeCell ref="O58:R58"/>
    <mergeCell ref="S58:V58"/>
    <mergeCell ref="W58:X58"/>
    <mergeCell ref="AA58:AB58"/>
    <mergeCell ref="U56:V56"/>
    <mergeCell ref="W56:X56"/>
    <mergeCell ref="AA56:AB56"/>
    <mergeCell ref="B57:J57"/>
    <mergeCell ref="K57:L57"/>
    <mergeCell ref="M57:N57"/>
  </mergeCells>
  <phoneticPr fontId="9" type="noConversion"/>
  <conditionalFormatting sqref="AA37:AB37 AC51 AA54:AB54 AA57:AB57 AA59:AB59">
    <cfRule type="containsText" dxfId="1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3FBA605-6D6D-4D9F-8A2D-18B14EA1A757}">
          <x14:formula1>
            <xm:f>삭제금지!$J$2:$J$59</xm:f>
          </x14:formula1>
          <xm:sqref>H5:J5</xm:sqref>
        </x14:dataValidation>
        <x14:dataValidation type="list" allowBlank="1" showInputMessage="1" showErrorMessage="1" xr:uid="{D92CD0DE-EA98-4533-8C55-81E4E3DF80A0}">
          <x14:formula1>
            <xm:f>삭제금지!$I$2:$I$18</xm:f>
          </x14:formula1>
          <xm:sqref>F5:G5</xm:sqref>
        </x14:dataValidation>
        <x14:dataValidation type="list" allowBlank="1" showInputMessage="1" showErrorMessage="1" xr:uid="{993A69B7-D7D7-457E-99C0-4B0FCFFB6863}">
          <x14:formula1>
            <xm:f>삭제금지!$K$2:$K$59</xm:f>
          </x14:formula1>
          <xm:sqref>K5:O5</xm:sqref>
        </x14:dataValidation>
        <x14:dataValidation type="list" allowBlank="1" showInputMessage="1" showErrorMessage="1" xr:uid="{8E5FF051-DD7A-48E1-8CA6-8DE812459A2E}">
          <x14:formula1>
            <xm:f>삭제금지!$H$2:$H$18</xm:f>
          </x14:formula1>
          <xm:sqref>B5</xm:sqref>
        </x14:dataValidation>
        <x14:dataValidation type="list" allowBlank="1" showInputMessage="1" showErrorMessage="1" xr:uid="{DE47020A-154D-41EB-9FCE-244D48E5B958}">
          <x14:formula1>
            <xm:f>삭제금지!$L$2:$L$4</xm:f>
          </x14:formula1>
          <xm:sqref>T5:V5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35BA-B469-45BC-B19E-0675B2C29589}">
  <sheetPr>
    <pageSetUpPr fitToPage="1"/>
  </sheetPr>
  <dimension ref="B2:AG31"/>
  <sheetViews>
    <sheetView showGridLines="0" view="pageBreakPreview" topLeftCell="A7" zoomScaleNormal="85" zoomScaleSheetLayoutView="100" workbookViewId="0">
      <selection activeCell="E16" sqref="E16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85" t="s">
        <v>151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</row>
    <row r="3" spans="2:33" ht="27" customHeight="1" thickBot="1"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486" t="s">
        <v>129</v>
      </c>
      <c r="O3" s="487"/>
      <c r="P3" s="488"/>
      <c r="Q3" s="486" t="s">
        <v>127</v>
      </c>
      <c r="R3" s="487"/>
      <c r="S3" s="488"/>
      <c r="T3" s="489" t="s">
        <v>130</v>
      </c>
      <c r="U3" s="490"/>
    </row>
    <row r="4" spans="2:33" ht="27" customHeight="1" thickBot="1"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491" t="s">
        <v>523</v>
      </c>
      <c r="O4" s="492"/>
      <c r="P4" s="493"/>
      <c r="Q4" s="494" t="s">
        <v>544</v>
      </c>
      <c r="R4" s="495"/>
      <c r="S4" s="496"/>
      <c r="T4" s="497">
        <v>2027</v>
      </c>
      <c r="U4" s="498"/>
    </row>
    <row r="5" spans="2:33" ht="24" customHeight="1" thickBot="1">
      <c r="B5" s="499"/>
      <c r="C5" s="499"/>
    </row>
    <row r="6" spans="2:33" ht="20.25" customHeight="1">
      <c r="B6" s="500" t="s">
        <v>13</v>
      </c>
      <c r="C6" s="503" t="s">
        <v>140</v>
      </c>
      <c r="D6" s="465" t="s">
        <v>14</v>
      </c>
      <c r="E6" s="465" t="s">
        <v>15</v>
      </c>
      <c r="F6" s="465" t="s">
        <v>141</v>
      </c>
      <c r="G6" s="465" t="s">
        <v>142</v>
      </c>
      <c r="H6" s="468" t="s">
        <v>58</v>
      </c>
      <c r="I6" s="468"/>
      <c r="J6" s="468"/>
      <c r="K6" s="468"/>
      <c r="L6" s="468" t="s">
        <v>59</v>
      </c>
      <c r="M6" s="468"/>
      <c r="N6" s="468"/>
      <c r="O6" s="468"/>
      <c r="P6" s="468" t="s">
        <v>60</v>
      </c>
      <c r="Q6" s="468"/>
      <c r="R6" s="468"/>
      <c r="S6" s="468"/>
      <c r="T6" s="476" t="s">
        <v>139</v>
      </c>
      <c r="U6" s="469" t="s">
        <v>126</v>
      </c>
      <c r="W6" s="472" t="s">
        <v>131</v>
      </c>
      <c r="X6" s="473"/>
      <c r="Y6" s="473"/>
      <c r="Z6" s="473"/>
      <c r="AA6" s="473"/>
      <c r="AB6" s="473"/>
      <c r="AC6" s="473"/>
      <c r="AD6" s="473"/>
      <c r="AE6" s="473"/>
      <c r="AF6" s="474"/>
      <c r="AG6" s="13"/>
    </row>
    <row r="7" spans="2:33" ht="16.5" customHeight="1">
      <c r="B7" s="501"/>
      <c r="C7" s="504"/>
      <c r="D7" s="466"/>
      <c r="E7" s="466"/>
      <c r="F7" s="466"/>
      <c r="G7" s="466"/>
      <c r="H7" s="475" t="s">
        <v>124</v>
      </c>
      <c r="I7" s="475"/>
      <c r="J7" s="475" t="s">
        <v>62</v>
      </c>
      <c r="K7" s="475"/>
      <c r="L7" s="475" t="s">
        <v>124</v>
      </c>
      <c r="M7" s="475"/>
      <c r="N7" s="475" t="s">
        <v>62</v>
      </c>
      <c r="O7" s="475"/>
      <c r="P7" s="475" t="s">
        <v>124</v>
      </c>
      <c r="Q7" s="475"/>
      <c r="R7" s="475" t="s">
        <v>62</v>
      </c>
      <c r="S7" s="475"/>
      <c r="T7" s="477"/>
      <c r="U7" s="470"/>
      <c r="W7" s="462" t="s">
        <v>132</v>
      </c>
      <c r="X7" s="463"/>
      <c r="Y7" s="463"/>
      <c r="Z7" s="463"/>
      <c r="AA7" s="463"/>
      <c r="AB7" s="463"/>
      <c r="AC7" s="463"/>
      <c r="AD7" s="463"/>
      <c r="AE7" s="463"/>
      <c r="AF7" s="464"/>
      <c r="AG7" s="13"/>
    </row>
    <row r="8" spans="2:33" ht="17.25" customHeight="1" thickBot="1">
      <c r="B8" s="502"/>
      <c r="C8" s="505"/>
      <c r="D8" s="467"/>
      <c r="E8" s="467"/>
      <c r="F8" s="467"/>
      <c r="G8" s="467"/>
      <c r="H8" s="27" t="s">
        <v>138</v>
      </c>
      <c r="I8" s="27" t="s">
        <v>125</v>
      </c>
      <c r="J8" s="27" t="s">
        <v>138</v>
      </c>
      <c r="K8" s="27" t="s">
        <v>125</v>
      </c>
      <c r="L8" s="27" t="s">
        <v>138</v>
      </c>
      <c r="M8" s="27" t="s">
        <v>125</v>
      </c>
      <c r="N8" s="27" t="s">
        <v>138</v>
      </c>
      <c r="O8" s="27" t="s">
        <v>125</v>
      </c>
      <c r="P8" s="27" t="s">
        <v>138</v>
      </c>
      <c r="Q8" s="27" t="s">
        <v>125</v>
      </c>
      <c r="R8" s="27" t="s">
        <v>138</v>
      </c>
      <c r="S8" s="27" t="s">
        <v>125</v>
      </c>
      <c r="T8" s="478"/>
      <c r="U8" s="47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79" t="s">
        <v>638</v>
      </c>
      <c r="C9" s="482">
        <v>6</v>
      </c>
      <c r="D9" s="216" t="s">
        <v>639</v>
      </c>
      <c r="E9" s="216" t="s">
        <v>640</v>
      </c>
      <c r="F9" s="216">
        <v>90</v>
      </c>
      <c r="G9" s="216">
        <v>2</v>
      </c>
      <c r="H9" s="195"/>
      <c r="I9" s="195">
        <f>H9*16</f>
        <v>0</v>
      </c>
      <c r="J9" s="195"/>
      <c r="K9" s="195">
        <f>J9*16</f>
        <v>0</v>
      </c>
      <c r="L9" s="195"/>
      <c r="M9" s="195"/>
      <c r="N9" s="195">
        <v>3</v>
      </c>
      <c r="O9" s="195">
        <f>N9*16</f>
        <v>48</v>
      </c>
      <c r="P9" s="195"/>
      <c r="Q9" s="195">
        <f>O12</f>
        <v>64</v>
      </c>
      <c r="R9" s="195"/>
      <c r="S9" s="195">
        <f>R9*16</f>
        <v>0</v>
      </c>
      <c r="T9" s="196">
        <f>SUM(H9,J9,L9,N9,P9,R9)</f>
        <v>3</v>
      </c>
      <c r="U9" s="197">
        <f>SUM(I9,K9,M9,O9,Q9,S9)</f>
        <v>112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80"/>
      <c r="C10" s="483"/>
      <c r="D10" s="217" t="s">
        <v>641</v>
      </c>
      <c r="E10" s="218" t="s">
        <v>642</v>
      </c>
      <c r="F10" s="217">
        <v>50</v>
      </c>
      <c r="G10" s="217">
        <v>3</v>
      </c>
      <c r="H10" s="200"/>
      <c r="I10" s="200">
        <f t="shared" ref="I10" si="0">H10*16</f>
        <v>0</v>
      </c>
      <c r="J10" s="200"/>
      <c r="K10" s="200">
        <f t="shared" ref="K10" si="1">J10*16</f>
        <v>0</v>
      </c>
      <c r="L10" s="200"/>
      <c r="M10" s="200">
        <f t="shared" ref="M10" si="2">L10*16</f>
        <v>0</v>
      </c>
      <c r="N10" s="200">
        <v>3</v>
      </c>
      <c r="O10" s="203">
        <f>N10*16</f>
        <v>48</v>
      </c>
      <c r="P10" s="200"/>
      <c r="Q10" s="200">
        <f t="shared" ref="Q10" si="3">P10*16</f>
        <v>0</v>
      </c>
      <c r="R10" s="200"/>
      <c r="S10" s="200"/>
      <c r="T10" s="201">
        <f t="shared" ref="T10" si="4">SUM(H10,J10,L10,N10,P10,R10)</f>
        <v>3</v>
      </c>
      <c r="U10" s="202">
        <f t="shared" ref="U10" si="5">SUM(I10,K10,M10,O10,Q10,S10)</f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8" thickBot="1">
      <c r="B11" s="481"/>
      <c r="C11" s="484"/>
      <c r="D11" s="456" t="s">
        <v>16</v>
      </c>
      <c r="E11" s="456"/>
      <c r="F11" s="227"/>
      <c r="G11" s="227"/>
      <c r="H11" s="26"/>
      <c r="I11" s="26"/>
      <c r="J11" s="26"/>
      <c r="K11" s="26"/>
      <c r="L11" s="26"/>
      <c r="M11" s="26">
        <f>SUM(M9:M10)</f>
        <v>0</v>
      </c>
      <c r="N11" s="26">
        <f>SUM(N9:N10)</f>
        <v>6</v>
      </c>
      <c r="O11" s="26">
        <f>SUM(O9:O10)</f>
        <v>96</v>
      </c>
      <c r="P11" s="26">
        <f t="shared" ref="P11" si="6">SUM(P9:P10)</f>
        <v>0</v>
      </c>
      <c r="Q11" s="26">
        <f t="shared" ref="Q11" si="7">SUM(Q9:Q10)</f>
        <v>64</v>
      </c>
      <c r="R11" s="26"/>
      <c r="S11" s="26"/>
      <c r="T11" s="206">
        <f t="shared" ref="T11" si="8">SUM(T9:T10)</f>
        <v>6</v>
      </c>
      <c r="U11" s="206">
        <f t="shared" ref="U11" si="9">SUM(U9:U10)</f>
        <v>160</v>
      </c>
    </row>
    <row r="12" spans="2:33" ht="16.5" customHeight="1">
      <c r="B12" s="479" t="s">
        <v>553</v>
      </c>
      <c r="C12" s="482">
        <v>8</v>
      </c>
      <c r="D12" s="216" t="s">
        <v>583</v>
      </c>
      <c r="E12" s="216" t="s">
        <v>648</v>
      </c>
      <c r="F12" s="216">
        <v>60</v>
      </c>
      <c r="G12" s="216">
        <v>5</v>
      </c>
      <c r="H12" s="195"/>
      <c r="I12" s="195">
        <f>H12*16</f>
        <v>0</v>
      </c>
      <c r="J12" s="195"/>
      <c r="K12" s="195">
        <f>J12*16</f>
        <v>0</v>
      </c>
      <c r="L12" s="195"/>
      <c r="M12" s="195"/>
      <c r="N12" s="195">
        <v>4</v>
      </c>
      <c r="O12" s="195">
        <f>N12*16</f>
        <v>64</v>
      </c>
      <c r="P12" s="195"/>
      <c r="Q12" s="195"/>
      <c r="R12" s="195"/>
      <c r="S12" s="195">
        <f>R12*16</f>
        <v>0</v>
      </c>
      <c r="T12" s="196">
        <f>SUM(H12,J12,L12,N12,P12,R12)</f>
        <v>4</v>
      </c>
      <c r="U12" s="197">
        <f>SUM(I12,K12,M12,O12,Q12,S12)</f>
        <v>64</v>
      </c>
      <c r="W12" s="12"/>
      <c r="X12" s="13"/>
      <c r="Y12" s="13"/>
      <c r="Z12" s="13"/>
      <c r="AA12" s="13"/>
      <c r="AB12" s="13"/>
      <c r="AC12" s="13"/>
      <c r="AD12" s="13"/>
      <c r="AE12" s="13"/>
      <c r="AF12" s="17"/>
      <c r="AG12" s="13"/>
    </row>
    <row r="13" spans="2:33" ht="16.5" customHeight="1">
      <c r="B13" s="480"/>
      <c r="C13" s="483"/>
      <c r="D13" s="217" t="s">
        <v>584</v>
      </c>
      <c r="E13" s="218" t="s">
        <v>585</v>
      </c>
      <c r="F13" s="217">
        <v>50</v>
      </c>
      <c r="G13" s="217">
        <v>2</v>
      </c>
      <c r="H13" s="200"/>
      <c r="I13" s="200">
        <f t="shared" ref="I13" si="10">H13*16</f>
        <v>0</v>
      </c>
      <c r="J13" s="200"/>
      <c r="K13" s="200">
        <f t="shared" ref="K13" si="11">J13*16</f>
        <v>0</v>
      </c>
      <c r="L13" s="200"/>
      <c r="M13" s="200">
        <f t="shared" ref="M13" si="12">L13*16</f>
        <v>0</v>
      </c>
      <c r="N13" s="200"/>
      <c r="O13" s="200"/>
      <c r="P13" s="200">
        <v>4</v>
      </c>
      <c r="Q13" s="200">
        <f t="shared" ref="Q13" si="13">P13*16</f>
        <v>64</v>
      </c>
      <c r="R13" s="200"/>
      <c r="S13" s="200">
        <f t="shared" ref="S13" si="14">R13*16</f>
        <v>0</v>
      </c>
      <c r="T13" s="201">
        <f t="shared" ref="T13:U13" si="15">SUM(H13,J13,L13,N13,P13,R13)</f>
        <v>4</v>
      </c>
      <c r="U13" s="202">
        <f t="shared" si="15"/>
        <v>64</v>
      </c>
      <c r="W13" s="12"/>
      <c r="X13" s="13"/>
      <c r="Y13" s="13"/>
      <c r="Z13" s="13"/>
      <c r="AA13" s="13"/>
      <c r="AB13" s="13"/>
      <c r="AC13" s="13"/>
      <c r="AD13" s="13"/>
      <c r="AE13" s="13"/>
      <c r="AF13" s="17"/>
      <c r="AG13" s="13"/>
    </row>
    <row r="14" spans="2:33" ht="18" thickBot="1">
      <c r="B14" s="481"/>
      <c r="C14" s="484"/>
      <c r="D14" s="456" t="s">
        <v>16</v>
      </c>
      <c r="E14" s="456"/>
      <c r="F14" s="227"/>
      <c r="G14" s="227"/>
      <c r="H14" s="26"/>
      <c r="I14" s="26"/>
      <c r="J14" s="26"/>
      <c r="K14" s="26"/>
      <c r="L14" s="26"/>
      <c r="M14" s="26">
        <f>SUM(M12:M13)</f>
        <v>0</v>
      </c>
      <c r="N14" s="26">
        <f>SUM(N12:N13)</f>
        <v>4</v>
      </c>
      <c r="O14" s="26">
        <f>SUM(O12:O13)</f>
        <v>64</v>
      </c>
      <c r="P14" s="26">
        <f t="shared" ref="P14:U14" si="16">SUM(P12:P13)</f>
        <v>4</v>
      </c>
      <c r="Q14" s="26">
        <f t="shared" si="16"/>
        <v>64</v>
      </c>
      <c r="R14" s="26">
        <f t="shared" si="16"/>
        <v>0</v>
      </c>
      <c r="S14" s="26">
        <f t="shared" si="16"/>
        <v>0</v>
      </c>
      <c r="T14" s="206">
        <f t="shared" si="16"/>
        <v>8</v>
      </c>
      <c r="U14" s="206">
        <f t="shared" si="16"/>
        <v>128</v>
      </c>
    </row>
    <row r="15" spans="2:33" ht="18" thickBot="1">
      <c r="B15" s="457" t="s">
        <v>586</v>
      </c>
      <c r="C15" s="459">
        <v>20</v>
      </c>
      <c r="D15" s="216" t="s">
        <v>587</v>
      </c>
      <c r="E15" s="216" t="s">
        <v>588</v>
      </c>
      <c r="F15" s="216">
        <v>40</v>
      </c>
      <c r="G15" s="216">
        <v>5</v>
      </c>
      <c r="H15" s="195"/>
      <c r="I15" s="195"/>
      <c r="J15" s="195"/>
      <c r="K15" s="195"/>
      <c r="L15" s="195"/>
      <c r="M15" s="195"/>
      <c r="N15" s="195"/>
      <c r="O15" s="231">
        <f>N15*16</f>
        <v>0</v>
      </c>
      <c r="P15" s="195">
        <v>5</v>
      </c>
      <c r="Q15" s="195">
        <f>P15*16</f>
        <v>80</v>
      </c>
      <c r="R15" s="195"/>
      <c r="S15" s="195"/>
      <c r="T15" s="207">
        <f>SUM(H15,J15,L15,N15,P15+R15)</f>
        <v>5</v>
      </c>
      <c r="U15" s="208">
        <f>SUM(I15,K15,M15,O15,Q15,S15)</f>
        <v>80</v>
      </c>
      <c r="W15" s="29"/>
    </row>
    <row r="16" spans="2:33" ht="18" thickBot="1">
      <c r="B16" s="450"/>
      <c r="C16" s="453"/>
      <c r="D16" s="218" t="s">
        <v>589</v>
      </c>
      <c r="E16" s="218" t="s">
        <v>590</v>
      </c>
      <c r="F16" s="218">
        <v>45</v>
      </c>
      <c r="G16" s="218">
        <v>4</v>
      </c>
      <c r="H16" s="203"/>
      <c r="I16" s="203"/>
      <c r="J16" s="203"/>
      <c r="K16" s="203"/>
      <c r="L16" s="203"/>
      <c r="M16" s="203"/>
      <c r="N16" s="203"/>
      <c r="O16" s="200"/>
      <c r="P16" s="203"/>
      <c r="Q16" s="203"/>
      <c r="R16" s="203">
        <v>5</v>
      </c>
      <c r="S16" s="203">
        <f>R16*16</f>
        <v>80</v>
      </c>
      <c r="T16" s="209">
        <f>SUM(R16)</f>
        <v>5</v>
      </c>
      <c r="U16" s="208">
        <f>SUM(I16,K16,M16,O16,Q16,S16)</f>
        <v>80</v>
      </c>
      <c r="W16" s="29"/>
    </row>
    <row r="17" spans="2:23">
      <c r="B17" s="450"/>
      <c r="C17" s="453"/>
      <c r="D17" s="218" t="s">
        <v>591</v>
      </c>
      <c r="E17" s="218" t="s">
        <v>592</v>
      </c>
      <c r="F17" s="218">
        <v>30</v>
      </c>
      <c r="G17" s="218">
        <v>7</v>
      </c>
      <c r="H17" s="203"/>
      <c r="I17" s="203"/>
      <c r="J17" s="203"/>
      <c r="K17" s="203"/>
      <c r="L17" s="203"/>
      <c r="M17" s="203"/>
      <c r="N17" s="203"/>
      <c r="O17" s="200"/>
      <c r="P17" s="203"/>
      <c r="Q17" s="203"/>
      <c r="R17" s="203">
        <v>5</v>
      </c>
      <c r="S17" s="203">
        <f t="shared" ref="S17:S18" si="17">R17*16</f>
        <v>80</v>
      </c>
      <c r="T17" s="209">
        <f>SUM(R17)</f>
        <v>5</v>
      </c>
      <c r="U17" s="208">
        <f>SUM(I17,K17,M17,O17,Q17,S17)</f>
        <v>80</v>
      </c>
      <c r="W17" s="29"/>
    </row>
    <row r="18" spans="2:23">
      <c r="B18" s="450"/>
      <c r="C18" s="453"/>
      <c r="D18" s="218" t="s">
        <v>593</v>
      </c>
      <c r="E18" s="218" t="s">
        <v>594</v>
      </c>
      <c r="F18" s="218">
        <v>30</v>
      </c>
      <c r="G18" s="218">
        <v>3</v>
      </c>
      <c r="H18" s="200"/>
      <c r="I18" s="200"/>
      <c r="J18" s="200"/>
      <c r="K18" s="200"/>
      <c r="L18" s="200"/>
      <c r="M18" s="200"/>
      <c r="N18" s="200"/>
      <c r="O18" s="203">
        <f>N18*16</f>
        <v>0</v>
      </c>
      <c r="P18" s="200"/>
      <c r="Q18" s="200"/>
      <c r="R18" s="200">
        <v>5</v>
      </c>
      <c r="S18" s="203">
        <f t="shared" si="17"/>
        <v>80</v>
      </c>
      <c r="T18" s="209">
        <f>SUM(H18,J18,L18,N18,P18+R18)</f>
        <v>5</v>
      </c>
      <c r="U18" s="226">
        <f>SUM(I18,K18,M18,O18,Q18,S18)</f>
        <v>80</v>
      </c>
    </row>
    <row r="19" spans="2:23" ht="18" thickBot="1">
      <c r="B19" s="452"/>
      <c r="C19" s="455"/>
      <c r="D19" s="456" t="s">
        <v>16</v>
      </c>
      <c r="E19" s="456"/>
      <c r="F19" s="227"/>
      <c r="G19" s="227"/>
      <c r="H19" s="26"/>
      <c r="I19" s="26"/>
      <c r="J19" s="26"/>
      <c r="K19" s="26"/>
      <c r="L19" s="26"/>
      <c r="M19" s="26"/>
      <c r="N19" s="26">
        <f t="shared" ref="N19:U19" si="18">SUM(N15:N18)</f>
        <v>0</v>
      </c>
      <c r="O19" s="26">
        <f t="shared" si="18"/>
        <v>0</v>
      </c>
      <c r="P19" s="26">
        <f t="shared" si="18"/>
        <v>5</v>
      </c>
      <c r="Q19" s="26">
        <f t="shared" si="18"/>
        <v>80</v>
      </c>
      <c r="R19" s="26">
        <f t="shared" si="18"/>
        <v>15</v>
      </c>
      <c r="S19" s="26">
        <f t="shared" si="18"/>
        <v>240</v>
      </c>
      <c r="T19" s="211">
        <f t="shared" si="18"/>
        <v>20</v>
      </c>
      <c r="U19" s="212">
        <f t="shared" si="18"/>
        <v>320</v>
      </c>
    </row>
    <row r="20" spans="2:23">
      <c r="B20" s="457" t="s">
        <v>595</v>
      </c>
      <c r="C20" s="459">
        <v>14</v>
      </c>
      <c r="D20" s="219" t="s">
        <v>596</v>
      </c>
      <c r="E20" s="216" t="s">
        <v>597</v>
      </c>
      <c r="F20" s="216">
        <v>50</v>
      </c>
      <c r="G20" s="228">
        <v>5</v>
      </c>
      <c r="H20" s="203"/>
      <c r="I20" s="203"/>
      <c r="J20" s="203"/>
      <c r="K20" s="203"/>
      <c r="L20" s="203"/>
      <c r="M20" s="203"/>
      <c r="N20" s="203"/>
      <c r="O20" s="203"/>
      <c r="P20" s="203">
        <v>2</v>
      </c>
      <c r="Q20" s="203">
        <f>P20*16</f>
        <v>32</v>
      </c>
      <c r="R20" s="203"/>
      <c r="S20" s="203"/>
      <c r="T20" s="209">
        <f>SUM(H20,J20,L20,N20,P20,R20)</f>
        <v>2</v>
      </c>
      <c r="U20" s="210">
        <f>SUM(I20,K20,M20,O20,Q20,S20)</f>
        <v>32</v>
      </c>
    </row>
    <row r="21" spans="2:23">
      <c r="B21" s="450"/>
      <c r="C21" s="453"/>
      <c r="D21" s="220" t="s">
        <v>598</v>
      </c>
      <c r="E21" s="218" t="s">
        <v>599</v>
      </c>
      <c r="F21" s="218">
        <v>46</v>
      </c>
      <c r="G21" s="229">
        <v>4</v>
      </c>
      <c r="H21" s="203"/>
      <c r="I21" s="203"/>
      <c r="J21" s="203"/>
      <c r="K21" s="203"/>
      <c r="L21" s="203"/>
      <c r="M21" s="203"/>
      <c r="N21" s="203"/>
      <c r="O21" s="203"/>
      <c r="P21" s="203">
        <v>4</v>
      </c>
      <c r="Q21" s="203">
        <f t="shared" ref="Q21:Q24" si="19">P21*16</f>
        <v>64</v>
      </c>
      <c r="R21" s="203"/>
      <c r="S21" s="203"/>
      <c r="T21" s="209">
        <f t="shared" ref="T21:T24" si="20">SUM(H21,J21,L21,N21,P21,R21)</f>
        <v>4</v>
      </c>
      <c r="U21" s="210">
        <f t="shared" ref="U21:U24" si="21">SUM(I21,K21,M21,O21,Q21,S21)</f>
        <v>64</v>
      </c>
    </row>
    <row r="22" spans="2:23">
      <c r="B22" s="450"/>
      <c r="C22" s="453"/>
      <c r="D22" s="220" t="s">
        <v>600</v>
      </c>
      <c r="E22" s="218" t="s">
        <v>601</v>
      </c>
      <c r="F22" s="218">
        <v>30</v>
      </c>
      <c r="G22" s="229">
        <v>3</v>
      </c>
      <c r="H22" s="203"/>
      <c r="I22" s="203"/>
      <c r="J22" s="203"/>
      <c r="K22" s="203"/>
      <c r="L22" s="203"/>
      <c r="M22" s="203"/>
      <c r="N22" s="203"/>
      <c r="O22" s="203"/>
      <c r="P22" s="203">
        <v>2</v>
      </c>
      <c r="Q22" s="203">
        <f t="shared" si="19"/>
        <v>32</v>
      </c>
      <c r="R22" s="203"/>
      <c r="S22" s="203"/>
      <c r="T22" s="209">
        <f t="shared" si="20"/>
        <v>2</v>
      </c>
      <c r="U22" s="210">
        <f t="shared" si="21"/>
        <v>32</v>
      </c>
    </row>
    <row r="23" spans="2:23">
      <c r="B23" s="458"/>
      <c r="C23" s="460"/>
      <c r="D23" s="220" t="s">
        <v>602</v>
      </c>
      <c r="E23" s="218" t="s">
        <v>603</v>
      </c>
      <c r="F23" s="218">
        <v>60</v>
      </c>
      <c r="G23" s="218">
        <v>5</v>
      </c>
      <c r="H23" s="203"/>
      <c r="I23" s="203"/>
      <c r="J23" s="203"/>
      <c r="K23" s="203"/>
      <c r="L23" s="203"/>
      <c r="M23" s="203"/>
      <c r="N23" s="203"/>
      <c r="O23" s="203"/>
      <c r="P23" s="203">
        <v>2</v>
      </c>
      <c r="Q23" s="203">
        <f t="shared" si="19"/>
        <v>32</v>
      </c>
      <c r="R23" s="203"/>
      <c r="S23" s="203">
        <f>R23*16</f>
        <v>0</v>
      </c>
      <c r="T23" s="209">
        <f t="shared" si="20"/>
        <v>2</v>
      </c>
      <c r="U23" s="210">
        <f t="shared" si="21"/>
        <v>32</v>
      </c>
    </row>
    <row r="24" spans="2:23">
      <c r="B24" s="458"/>
      <c r="C24" s="460"/>
      <c r="D24" s="221" t="s">
        <v>604</v>
      </c>
      <c r="E24" s="217" t="s">
        <v>605</v>
      </c>
      <c r="F24" s="217">
        <v>60</v>
      </c>
      <c r="G24" s="217">
        <v>4</v>
      </c>
      <c r="H24" s="203"/>
      <c r="I24" s="203"/>
      <c r="J24" s="203"/>
      <c r="K24" s="203"/>
      <c r="L24" s="203"/>
      <c r="M24" s="203"/>
      <c r="N24" s="203"/>
      <c r="O24" s="203"/>
      <c r="P24" s="203">
        <v>4</v>
      </c>
      <c r="Q24" s="203">
        <f t="shared" si="19"/>
        <v>64</v>
      </c>
      <c r="R24" s="203"/>
      <c r="S24" s="203">
        <f>R24*16</f>
        <v>0</v>
      </c>
      <c r="T24" s="209">
        <f t="shared" si="20"/>
        <v>4</v>
      </c>
      <c r="U24" s="210">
        <f t="shared" si="21"/>
        <v>64</v>
      </c>
    </row>
    <row r="25" spans="2:23" ht="18" thickBot="1">
      <c r="B25" s="452"/>
      <c r="C25" s="455"/>
      <c r="D25" s="461" t="s">
        <v>16</v>
      </c>
      <c r="E25" s="456"/>
      <c r="F25" s="227"/>
      <c r="G25" s="227"/>
      <c r="H25" s="26"/>
      <c r="I25" s="26"/>
      <c r="J25" s="26"/>
      <c r="K25" s="26"/>
      <c r="L25" s="26"/>
      <c r="M25" s="26"/>
      <c r="N25" s="26"/>
      <c r="O25" s="26"/>
      <c r="P25" s="26">
        <f t="shared" ref="P25:U25" si="22">SUM(P20:P24)</f>
        <v>14</v>
      </c>
      <c r="Q25" s="26">
        <f t="shared" si="22"/>
        <v>224</v>
      </c>
      <c r="R25" s="26">
        <f t="shared" si="22"/>
        <v>0</v>
      </c>
      <c r="S25" s="232">
        <f t="shared" si="22"/>
        <v>0</v>
      </c>
      <c r="T25" s="233">
        <f t="shared" si="22"/>
        <v>14</v>
      </c>
      <c r="U25" s="212">
        <f t="shared" si="22"/>
        <v>224</v>
      </c>
    </row>
    <row r="26" spans="2:23">
      <c r="B26" s="450" t="s">
        <v>606</v>
      </c>
      <c r="C26" s="453">
        <v>14</v>
      </c>
      <c r="D26" s="221" t="s">
        <v>607</v>
      </c>
      <c r="E26" s="222" t="s">
        <v>608</v>
      </c>
      <c r="F26" s="217">
        <v>30</v>
      </c>
      <c r="G26" s="218">
        <v>5</v>
      </c>
      <c r="H26" s="203"/>
      <c r="I26" s="203"/>
      <c r="J26" s="203"/>
      <c r="K26" s="203"/>
      <c r="L26" s="203"/>
      <c r="M26" s="203"/>
      <c r="N26" s="203"/>
      <c r="O26" s="203"/>
      <c r="P26" s="213"/>
      <c r="Q26" s="213">
        <f>P26*16</f>
        <v>0</v>
      </c>
      <c r="R26" s="213">
        <v>2</v>
      </c>
      <c r="S26" s="213">
        <f>R26*16</f>
        <v>32</v>
      </c>
      <c r="T26" s="209">
        <f t="shared" ref="T26:T30" si="23">SUM(H26,J26,L26,N26,P26,R26)</f>
        <v>2</v>
      </c>
      <c r="U26" s="210">
        <f>SUM(I26,K26,M26,O26,S26)</f>
        <v>32</v>
      </c>
    </row>
    <row r="27" spans="2:23">
      <c r="B27" s="450"/>
      <c r="C27" s="453"/>
      <c r="D27" s="220" t="s">
        <v>609</v>
      </c>
      <c r="E27" s="230" t="s">
        <v>610</v>
      </c>
      <c r="F27" s="218">
        <v>30</v>
      </c>
      <c r="G27" s="218">
        <v>5</v>
      </c>
      <c r="H27" s="203"/>
      <c r="I27" s="203"/>
      <c r="J27" s="203"/>
      <c r="K27" s="203"/>
      <c r="L27" s="203"/>
      <c r="M27" s="203"/>
      <c r="N27" s="203"/>
      <c r="O27" s="203"/>
      <c r="P27" s="213"/>
      <c r="Q27" s="213"/>
      <c r="R27" s="213">
        <v>2</v>
      </c>
      <c r="S27" s="213">
        <f t="shared" ref="S27:S30" si="24">R27*16</f>
        <v>32</v>
      </c>
      <c r="T27" s="209">
        <f t="shared" si="23"/>
        <v>2</v>
      </c>
      <c r="U27" s="210">
        <f t="shared" ref="U27:U30" si="25">SUM(I27,K27,M27,O27,S27)</f>
        <v>32</v>
      </c>
    </row>
    <row r="28" spans="2:23">
      <c r="B28" s="450"/>
      <c r="C28" s="453"/>
      <c r="D28" s="220" t="s">
        <v>611</v>
      </c>
      <c r="E28" s="217" t="s">
        <v>612</v>
      </c>
      <c r="F28" s="218">
        <v>30</v>
      </c>
      <c r="G28" s="218">
        <v>2</v>
      </c>
      <c r="H28" s="203"/>
      <c r="I28" s="203"/>
      <c r="J28" s="203"/>
      <c r="K28" s="203"/>
      <c r="L28" s="203"/>
      <c r="M28" s="203"/>
      <c r="N28" s="203"/>
      <c r="O28" s="203"/>
      <c r="P28" s="213"/>
      <c r="Q28" s="213"/>
      <c r="R28" s="213">
        <v>4</v>
      </c>
      <c r="S28" s="213">
        <f t="shared" si="24"/>
        <v>64</v>
      </c>
      <c r="T28" s="209">
        <f t="shared" si="23"/>
        <v>4</v>
      </c>
      <c r="U28" s="210">
        <f t="shared" si="25"/>
        <v>64</v>
      </c>
    </row>
    <row r="29" spans="2:23">
      <c r="B29" s="450"/>
      <c r="C29" s="453"/>
      <c r="D29" s="220" t="s">
        <v>613</v>
      </c>
      <c r="E29" s="223" t="s">
        <v>614</v>
      </c>
      <c r="F29" s="218">
        <v>40</v>
      </c>
      <c r="G29" s="218">
        <v>3</v>
      </c>
      <c r="H29" s="203"/>
      <c r="I29" s="203"/>
      <c r="J29" s="203"/>
      <c r="K29" s="203"/>
      <c r="L29" s="203"/>
      <c r="M29" s="203"/>
      <c r="N29" s="203"/>
      <c r="O29" s="203"/>
      <c r="P29" s="213"/>
      <c r="Q29" s="213"/>
      <c r="R29" s="213">
        <v>4</v>
      </c>
      <c r="S29" s="213">
        <f t="shared" si="24"/>
        <v>64</v>
      </c>
      <c r="T29" s="209">
        <f t="shared" si="23"/>
        <v>4</v>
      </c>
      <c r="U29" s="210">
        <f t="shared" si="25"/>
        <v>64</v>
      </c>
    </row>
    <row r="30" spans="2:23">
      <c r="B30" s="451"/>
      <c r="C30" s="454"/>
      <c r="D30" s="224" t="s">
        <v>615</v>
      </c>
      <c r="E30" s="225" t="s">
        <v>616</v>
      </c>
      <c r="F30" s="217">
        <v>30</v>
      </c>
      <c r="G30" s="218">
        <v>2</v>
      </c>
      <c r="H30" s="200"/>
      <c r="I30" s="200"/>
      <c r="J30" s="200"/>
      <c r="K30" s="200"/>
      <c r="L30" s="200"/>
      <c r="M30" s="200"/>
      <c r="N30" s="200"/>
      <c r="O30" s="200"/>
      <c r="P30" s="215"/>
      <c r="Q30" s="215"/>
      <c r="R30" s="215">
        <v>2</v>
      </c>
      <c r="S30" s="213">
        <f t="shared" si="24"/>
        <v>32</v>
      </c>
      <c r="T30" s="209">
        <f t="shared" si="23"/>
        <v>2</v>
      </c>
      <c r="U30" s="210">
        <f t="shared" si="25"/>
        <v>32</v>
      </c>
    </row>
    <row r="31" spans="2:23" ht="18" thickBot="1">
      <c r="B31" s="452"/>
      <c r="C31" s="455"/>
      <c r="D31" s="456" t="s">
        <v>16</v>
      </c>
      <c r="E31" s="456"/>
      <c r="F31" s="227"/>
      <c r="G31" s="227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>
        <f>SUM(R26:R30)</f>
        <v>14</v>
      </c>
      <c r="S31" s="26">
        <f>SUM(S26:S30)</f>
        <v>224</v>
      </c>
      <c r="T31" s="211">
        <f>SUM(T26:T30)</f>
        <v>14</v>
      </c>
      <c r="U31" s="212">
        <f>SUM(U26:U30)</f>
        <v>224</v>
      </c>
    </row>
  </sheetData>
  <mergeCells count="42">
    <mergeCell ref="B9:B11"/>
    <mergeCell ref="C9:C11"/>
    <mergeCell ref="D11:E11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12:B14"/>
    <mergeCell ref="C12:C14"/>
    <mergeCell ref="D14:E14"/>
    <mergeCell ref="B15:B19"/>
    <mergeCell ref="C15:C19"/>
    <mergeCell ref="D19:E19"/>
    <mergeCell ref="B20:B25"/>
    <mergeCell ref="C20:C25"/>
    <mergeCell ref="D25:E25"/>
    <mergeCell ref="B26:B31"/>
    <mergeCell ref="C26:C31"/>
    <mergeCell ref="D31:E31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6C82-FEEE-4543-84C3-8099EC30A572}">
  <sheetPr>
    <pageSetUpPr fitToPage="1"/>
  </sheetPr>
  <dimension ref="B1:AD91"/>
  <sheetViews>
    <sheetView view="pageBreakPreview" zoomScale="85" zoomScaleNormal="100" zoomScaleSheetLayoutView="85" workbookViewId="0">
      <pane ySplit="8" topLeftCell="A41" activePane="bottomLeft" state="frozen"/>
      <selection pane="bottomLeft" activeCell="T5" sqref="T5:V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97" t="s">
        <v>520</v>
      </c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8"/>
      <c r="V2" s="299" t="s">
        <v>130</v>
      </c>
      <c r="W2" s="300"/>
      <c r="X2" s="295">
        <v>2027</v>
      </c>
      <c r="Y2" s="296"/>
      <c r="AA2" s="301" t="s">
        <v>143</v>
      </c>
      <c r="AB2" s="19" t="s">
        <v>144</v>
      </c>
      <c r="AC2" s="30" t="s">
        <v>152</v>
      </c>
      <c r="AD2" s="20" t="s">
        <v>145</v>
      </c>
    </row>
    <row r="3" spans="2:30" ht="18" thickBot="1">
      <c r="B3" s="347" t="s">
        <v>364</v>
      </c>
      <c r="C3" s="349" t="s">
        <v>53</v>
      </c>
      <c r="D3" s="350"/>
      <c r="E3" s="350"/>
      <c r="F3" s="349" t="s">
        <v>64</v>
      </c>
      <c r="G3" s="353"/>
      <c r="H3" s="349" t="s">
        <v>54</v>
      </c>
      <c r="I3" s="350"/>
      <c r="J3" s="350"/>
      <c r="K3" s="349" t="s">
        <v>55</v>
      </c>
      <c r="L3" s="350"/>
      <c r="M3" s="350"/>
      <c r="N3" s="350"/>
      <c r="O3" s="353"/>
      <c r="P3" s="355" t="s">
        <v>56</v>
      </c>
      <c r="Q3" s="356"/>
      <c r="R3" s="356"/>
      <c r="S3" s="356"/>
      <c r="T3" s="356"/>
      <c r="U3" s="356"/>
      <c r="V3" s="356"/>
      <c r="W3" s="356"/>
      <c r="X3" s="356"/>
      <c r="Y3" s="357"/>
      <c r="AA3" s="302"/>
      <c r="AB3" s="21" t="s">
        <v>146</v>
      </c>
      <c r="AC3" s="37" t="s">
        <v>526</v>
      </c>
      <c r="AD3" s="22" t="s">
        <v>529</v>
      </c>
    </row>
    <row r="4" spans="2:30" ht="18" thickBot="1">
      <c r="B4" s="348"/>
      <c r="C4" s="351"/>
      <c r="D4" s="352"/>
      <c r="E4" s="352"/>
      <c r="F4" s="351"/>
      <c r="G4" s="354"/>
      <c r="H4" s="351"/>
      <c r="I4" s="352"/>
      <c r="J4" s="352"/>
      <c r="K4" s="351"/>
      <c r="L4" s="352"/>
      <c r="M4" s="352"/>
      <c r="N4" s="352"/>
      <c r="O4" s="354"/>
      <c r="P4" s="355" t="s">
        <v>127</v>
      </c>
      <c r="Q4" s="356"/>
      <c r="R4" s="356"/>
      <c r="S4" s="356"/>
      <c r="T4" s="355" t="s">
        <v>61</v>
      </c>
      <c r="U4" s="356"/>
      <c r="V4" s="357"/>
      <c r="W4" s="356" t="s">
        <v>128</v>
      </c>
      <c r="X4" s="356"/>
      <c r="Y4" s="357"/>
      <c r="AA4" s="302"/>
      <c r="AB4" s="23" t="s">
        <v>147</v>
      </c>
      <c r="AC4" s="38"/>
      <c r="AD4" s="22"/>
    </row>
    <row r="5" spans="2:30" ht="26.25" customHeight="1" thickBot="1">
      <c r="B5" s="73" t="s">
        <v>518</v>
      </c>
      <c r="C5" s="313" t="s">
        <v>523</v>
      </c>
      <c r="D5" s="314"/>
      <c r="E5" s="315"/>
      <c r="F5" s="313" t="s">
        <v>150</v>
      </c>
      <c r="G5" s="316"/>
      <c r="H5" s="317" t="s">
        <v>542</v>
      </c>
      <c r="I5" s="314"/>
      <c r="J5" s="315"/>
      <c r="K5" s="313" t="s">
        <v>542</v>
      </c>
      <c r="L5" s="314"/>
      <c r="M5" s="314"/>
      <c r="N5" s="314"/>
      <c r="O5" s="316"/>
      <c r="P5" s="317" t="s">
        <v>544</v>
      </c>
      <c r="Q5" s="314"/>
      <c r="R5" s="314"/>
      <c r="S5" s="315"/>
      <c r="T5" s="313" t="s">
        <v>555</v>
      </c>
      <c r="U5" s="314"/>
      <c r="V5" s="315"/>
      <c r="W5" s="513" t="s">
        <v>556</v>
      </c>
      <c r="X5" s="514"/>
      <c r="Y5" s="515"/>
      <c r="AA5" s="303"/>
      <c r="AB5" s="163" t="s">
        <v>148</v>
      </c>
      <c r="AC5" s="164" t="s">
        <v>528</v>
      </c>
      <c r="AD5" s="154" t="s">
        <v>527</v>
      </c>
    </row>
    <row r="6" spans="2:30" ht="15.75" customHeight="1" thickBot="1">
      <c r="U6" s="321"/>
      <c r="V6" s="321"/>
      <c r="W6" s="321"/>
      <c r="X6" s="321"/>
      <c r="Y6" s="321"/>
    </row>
    <row r="7" spans="2:30" s="10" customFormat="1" ht="22.5" customHeight="1">
      <c r="B7" s="322" t="s">
        <v>2</v>
      </c>
      <c r="C7" s="323"/>
      <c r="D7" s="326" t="s">
        <v>120</v>
      </c>
      <c r="E7" s="328" t="s">
        <v>57</v>
      </c>
      <c r="F7" s="329"/>
      <c r="G7" s="330"/>
      <c r="H7" s="331" t="s">
        <v>133</v>
      </c>
      <c r="I7" s="334" t="s">
        <v>134</v>
      </c>
      <c r="J7" s="341" t="s">
        <v>135</v>
      </c>
      <c r="K7" s="333" t="s">
        <v>58</v>
      </c>
      <c r="L7" s="334"/>
      <c r="M7" s="334"/>
      <c r="N7" s="335"/>
      <c r="O7" s="336" t="s">
        <v>59</v>
      </c>
      <c r="P7" s="334"/>
      <c r="Q7" s="334"/>
      <c r="R7" s="335"/>
      <c r="S7" s="333" t="s">
        <v>60</v>
      </c>
      <c r="T7" s="334"/>
      <c r="U7" s="334"/>
      <c r="V7" s="340"/>
      <c r="W7" s="331" t="s">
        <v>136</v>
      </c>
      <c r="X7" s="341"/>
      <c r="Y7" s="330" t="s">
        <v>137</v>
      </c>
      <c r="Z7" s="9"/>
    </row>
    <row r="8" spans="2:30" s="10" customFormat="1" ht="22.5" customHeight="1" thickBot="1">
      <c r="B8" s="324"/>
      <c r="C8" s="325"/>
      <c r="D8" s="327"/>
      <c r="E8" s="25" t="s">
        <v>18</v>
      </c>
      <c r="F8" s="344" t="s">
        <v>19</v>
      </c>
      <c r="G8" s="345"/>
      <c r="H8" s="332"/>
      <c r="I8" s="338"/>
      <c r="J8" s="342"/>
      <c r="K8" s="337" t="s">
        <v>0</v>
      </c>
      <c r="L8" s="338"/>
      <c r="M8" s="338" t="s">
        <v>62</v>
      </c>
      <c r="N8" s="346"/>
      <c r="O8" s="358" t="s">
        <v>0</v>
      </c>
      <c r="P8" s="338"/>
      <c r="Q8" s="338" t="s">
        <v>62</v>
      </c>
      <c r="R8" s="346"/>
      <c r="S8" s="337" t="s">
        <v>0</v>
      </c>
      <c r="T8" s="338"/>
      <c r="U8" s="338" t="s">
        <v>62</v>
      </c>
      <c r="V8" s="339"/>
      <c r="W8" s="332"/>
      <c r="X8" s="342"/>
      <c r="Y8" s="343"/>
      <c r="AA8" s="440" t="s">
        <v>504</v>
      </c>
      <c r="AB8" s="440"/>
      <c r="AC8" s="440"/>
      <c r="AD8" s="440"/>
    </row>
    <row r="9" spans="2:30" ht="16.5" customHeight="1" thickBot="1">
      <c r="B9" s="307" t="s">
        <v>339</v>
      </c>
      <c r="C9" s="305"/>
      <c r="D9" s="260" t="s">
        <v>21</v>
      </c>
      <c r="E9" s="39" t="s">
        <v>12</v>
      </c>
      <c r="F9" s="262" t="s">
        <v>203</v>
      </c>
      <c r="G9" s="263"/>
      <c r="H9" s="40">
        <v>4</v>
      </c>
      <c r="I9" s="41" t="s">
        <v>340</v>
      </c>
      <c r="J9" s="42">
        <v>3</v>
      </c>
      <c r="K9" s="262">
        <v>3</v>
      </c>
      <c r="L9" s="290"/>
      <c r="M9" s="277"/>
      <c r="N9" s="278"/>
      <c r="O9" s="289"/>
      <c r="P9" s="290"/>
      <c r="Q9" s="277"/>
      <c r="R9" s="278"/>
      <c r="S9" s="289"/>
      <c r="T9" s="290"/>
      <c r="U9" s="277"/>
      <c r="V9" s="263"/>
      <c r="W9" s="43">
        <f>SUM(K9:V9)</f>
        <v>3</v>
      </c>
      <c r="X9" s="359">
        <f>SUM(W9:W11)</f>
        <v>9</v>
      </c>
      <c r="Y9" s="276">
        <v>24</v>
      </c>
      <c r="AA9" s="134" t="s">
        <v>18</v>
      </c>
      <c r="AB9" s="135" t="s">
        <v>511</v>
      </c>
      <c r="AC9" s="135" t="s">
        <v>512</v>
      </c>
      <c r="AD9" s="136" t="s">
        <v>513</v>
      </c>
    </row>
    <row r="10" spans="2:30" ht="18" thickBot="1">
      <c r="B10" s="308"/>
      <c r="C10" s="306"/>
      <c r="D10" s="261"/>
      <c r="E10" s="44" t="s">
        <v>12</v>
      </c>
      <c r="F10" s="256" t="s">
        <v>204</v>
      </c>
      <c r="G10" s="257"/>
      <c r="H10" s="45">
        <v>4</v>
      </c>
      <c r="I10" s="46" t="s">
        <v>340</v>
      </c>
      <c r="J10" s="47">
        <v>3</v>
      </c>
      <c r="K10" s="256"/>
      <c r="L10" s="251"/>
      <c r="M10" s="258">
        <v>3</v>
      </c>
      <c r="N10" s="259"/>
      <c r="O10" s="250"/>
      <c r="P10" s="251"/>
      <c r="Q10" s="258"/>
      <c r="R10" s="259"/>
      <c r="S10" s="250"/>
      <c r="T10" s="251"/>
      <c r="U10" s="258"/>
      <c r="V10" s="257"/>
      <c r="W10" s="48">
        <f t="shared" ref="W10:W23" si="0">SUM(K10:V10)</f>
        <v>3</v>
      </c>
      <c r="X10" s="360"/>
      <c r="Y10" s="276"/>
      <c r="AA10" s="137" t="s">
        <v>506</v>
      </c>
      <c r="AB10" s="138">
        <v>4</v>
      </c>
      <c r="AC10" s="138">
        <v>-1</v>
      </c>
      <c r="AD10" s="22" t="s">
        <v>340</v>
      </c>
    </row>
    <row r="11" spans="2:30" ht="18" thickBot="1">
      <c r="B11" s="308"/>
      <c r="C11" s="306"/>
      <c r="D11" s="311"/>
      <c r="E11" s="49" t="s">
        <v>341</v>
      </c>
      <c r="F11" s="312" t="s">
        <v>342</v>
      </c>
      <c r="G11" s="293"/>
      <c r="H11" s="50">
        <v>4</v>
      </c>
      <c r="I11" s="51" t="s">
        <v>343</v>
      </c>
      <c r="J11" s="52">
        <v>3</v>
      </c>
      <c r="K11" s="312"/>
      <c r="L11" s="292"/>
      <c r="M11" s="248"/>
      <c r="N11" s="249"/>
      <c r="O11" s="291"/>
      <c r="P11" s="292"/>
      <c r="Q11" s="248">
        <v>3</v>
      </c>
      <c r="R11" s="249"/>
      <c r="S11" s="291"/>
      <c r="T11" s="292"/>
      <c r="U11" s="248"/>
      <c r="V11" s="293"/>
      <c r="W11" s="48">
        <f t="shared" si="0"/>
        <v>3</v>
      </c>
      <c r="X11" s="360"/>
      <c r="Y11" s="276"/>
      <c r="AA11" s="137" t="s">
        <v>507</v>
      </c>
      <c r="AB11" s="138">
        <v>3</v>
      </c>
      <c r="AC11" s="138"/>
      <c r="AD11" s="22">
        <v>3</v>
      </c>
    </row>
    <row r="12" spans="2:30" ht="18" thickBot="1">
      <c r="B12" s="308"/>
      <c r="C12" s="306"/>
      <c r="D12" s="260" t="s">
        <v>5</v>
      </c>
      <c r="E12" s="39" t="s">
        <v>12</v>
      </c>
      <c r="F12" s="262" t="s">
        <v>215</v>
      </c>
      <c r="G12" s="263"/>
      <c r="H12" s="40">
        <v>4</v>
      </c>
      <c r="I12" s="41" t="s">
        <v>340</v>
      </c>
      <c r="J12" s="42">
        <v>3</v>
      </c>
      <c r="K12" s="262">
        <v>3</v>
      </c>
      <c r="L12" s="290"/>
      <c r="M12" s="277"/>
      <c r="N12" s="278"/>
      <c r="O12" s="289"/>
      <c r="P12" s="290"/>
      <c r="Q12" s="277"/>
      <c r="R12" s="278"/>
      <c r="S12" s="289"/>
      <c r="T12" s="290"/>
      <c r="U12" s="277"/>
      <c r="V12" s="263"/>
      <c r="W12" s="43">
        <f t="shared" si="0"/>
        <v>3</v>
      </c>
      <c r="X12" s="359">
        <f t="shared" ref="X12" si="1">SUM(W12:W14)</f>
        <v>9</v>
      </c>
      <c r="Y12" s="276"/>
      <c r="AA12" s="137" t="s">
        <v>508</v>
      </c>
      <c r="AB12" s="138">
        <v>4</v>
      </c>
      <c r="AC12" s="138" t="s">
        <v>517</v>
      </c>
      <c r="AD12" s="22" t="s">
        <v>343</v>
      </c>
    </row>
    <row r="13" spans="2:30" ht="18" thickBot="1">
      <c r="B13" s="308"/>
      <c r="C13" s="306"/>
      <c r="D13" s="261"/>
      <c r="E13" s="44" t="s">
        <v>12</v>
      </c>
      <c r="F13" s="256" t="s">
        <v>217</v>
      </c>
      <c r="G13" s="257"/>
      <c r="H13" s="45">
        <v>4</v>
      </c>
      <c r="I13" s="46" t="s">
        <v>340</v>
      </c>
      <c r="J13" s="47">
        <v>3</v>
      </c>
      <c r="K13" s="256"/>
      <c r="L13" s="251"/>
      <c r="M13" s="258">
        <v>3</v>
      </c>
      <c r="N13" s="259"/>
      <c r="O13" s="250"/>
      <c r="P13" s="251"/>
      <c r="Q13" s="258"/>
      <c r="R13" s="259"/>
      <c r="S13" s="250"/>
      <c r="T13" s="251"/>
      <c r="U13" s="258"/>
      <c r="V13" s="257"/>
      <c r="W13" s="48">
        <f t="shared" si="0"/>
        <v>3</v>
      </c>
      <c r="X13" s="360"/>
      <c r="Y13" s="276"/>
      <c r="AA13" s="137" t="s">
        <v>509</v>
      </c>
      <c r="AB13" s="138">
        <v>3</v>
      </c>
      <c r="AC13" s="138" t="s">
        <v>517</v>
      </c>
      <c r="AD13" s="22" t="s">
        <v>354</v>
      </c>
    </row>
    <row r="14" spans="2:30" ht="18" thickBot="1">
      <c r="B14" s="308"/>
      <c r="C14" s="306"/>
      <c r="D14" s="311"/>
      <c r="E14" s="49" t="s">
        <v>341</v>
      </c>
      <c r="F14" s="312" t="s">
        <v>344</v>
      </c>
      <c r="G14" s="293"/>
      <c r="H14" s="50">
        <v>4</v>
      </c>
      <c r="I14" s="51" t="s">
        <v>343</v>
      </c>
      <c r="J14" s="52">
        <v>3</v>
      </c>
      <c r="K14" s="312"/>
      <c r="L14" s="292"/>
      <c r="M14" s="248"/>
      <c r="N14" s="249"/>
      <c r="O14" s="291">
        <v>3</v>
      </c>
      <c r="P14" s="292"/>
      <c r="Q14" s="248"/>
      <c r="R14" s="249"/>
      <c r="S14" s="291"/>
      <c r="T14" s="292"/>
      <c r="U14" s="248"/>
      <c r="V14" s="293"/>
      <c r="W14" s="48">
        <f t="shared" si="0"/>
        <v>3</v>
      </c>
      <c r="X14" s="360"/>
      <c r="Y14" s="276"/>
      <c r="AA14" s="139" t="s">
        <v>510</v>
      </c>
      <c r="AB14" s="438" t="s">
        <v>519</v>
      </c>
      <c r="AC14" s="438"/>
      <c r="AD14" s="439"/>
    </row>
    <row r="15" spans="2:30" ht="18" thickBot="1">
      <c r="B15" s="308"/>
      <c r="C15" s="306"/>
      <c r="D15" s="260" t="s">
        <v>6</v>
      </c>
      <c r="E15" s="39" t="s">
        <v>12</v>
      </c>
      <c r="F15" s="262" t="s">
        <v>222</v>
      </c>
      <c r="G15" s="263"/>
      <c r="H15" s="40">
        <v>4</v>
      </c>
      <c r="I15" s="41" t="s">
        <v>340</v>
      </c>
      <c r="J15" s="42">
        <v>3</v>
      </c>
      <c r="K15" s="262">
        <v>3</v>
      </c>
      <c r="L15" s="290"/>
      <c r="M15" s="277"/>
      <c r="N15" s="278"/>
      <c r="O15" s="289"/>
      <c r="P15" s="290"/>
      <c r="Q15" s="277"/>
      <c r="R15" s="278"/>
      <c r="S15" s="289"/>
      <c r="T15" s="290"/>
      <c r="U15" s="277"/>
      <c r="V15" s="263"/>
      <c r="W15" s="43">
        <f t="shared" si="0"/>
        <v>3</v>
      </c>
      <c r="X15" s="359">
        <f t="shared" ref="X15" si="2">SUM(W15:W17)</f>
        <v>9</v>
      </c>
      <c r="Y15" s="276"/>
    </row>
    <row r="16" spans="2:30" ht="18" thickBot="1">
      <c r="B16" s="308"/>
      <c r="C16" s="306"/>
      <c r="D16" s="261"/>
      <c r="E16" s="44" t="s">
        <v>12</v>
      </c>
      <c r="F16" s="256" t="s">
        <v>228</v>
      </c>
      <c r="G16" s="257"/>
      <c r="H16" s="45">
        <v>4</v>
      </c>
      <c r="I16" s="46" t="s">
        <v>340</v>
      </c>
      <c r="J16" s="47">
        <v>3</v>
      </c>
      <c r="K16" s="256"/>
      <c r="L16" s="251"/>
      <c r="M16" s="258">
        <v>3</v>
      </c>
      <c r="N16" s="259"/>
      <c r="O16" s="250"/>
      <c r="P16" s="251"/>
      <c r="Q16" s="258"/>
      <c r="R16" s="259"/>
      <c r="S16" s="250"/>
      <c r="T16" s="251"/>
      <c r="U16" s="258"/>
      <c r="V16" s="257"/>
      <c r="W16" s="48">
        <f t="shared" si="0"/>
        <v>3</v>
      </c>
      <c r="X16" s="360"/>
      <c r="Y16" s="276"/>
    </row>
    <row r="17" spans="2:29" ht="18" thickBot="1">
      <c r="B17" s="308"/>
      <c r="C17" s="306"/>
      <c r="D17" s="311"/>
      <c r="E17" s="53" t="s">
        <v>341</v>
      </c>
      <c r="F17" s="312" t="s">
        <v>346</v>
      </c>
      <c r="G17" s="293"/>
      <c r="H17" s="50">
        <v>4</v>
      </c>
      <c r="I17" s="51" t="s">
        <v>343</v>
      </c>
      <c r="J17" s="52">
        <v>3</v>
      </c>
      <c r="K17" s="312"/>
      <c r="L17" s="292"/>
      <c r="M17" s="248"/>
      <c r="N17" s="249"/>
      <c r="O17" s="291"/>
      <c r="P17" s="292"/>
      <c r="Q17" s="248">
        <v>3</v>
      </c>
      <c r="R17" s="249"/>
      <c r="S17" s="291"/>
      <c r="T17" s="292"/>
      <c r="U17" s="248"/>
      <c r="V17" s="293"/>
      <c r="W17" s="48">
        <f t="shared" si="0"/>
        <v>3</v>
      </c>
      <c r="X17" s="360"/>
      <c r="Y17" s="276"/>
    </row>
    <row r="18" spans="2:29" ht="18" thickBot="1">
      <c r="B18" s="308"/>
      <c r="C18" s="306"/>
      <c r="D18" s="260" t="s">
        <v>347</v>
      </c>
      <c r="E18" s="39" t="s">
        <v>12</v>
      </c>
      <c r="F18" s="262" t="s">
        <v>236</v>
      </c>
      <c r="G18" s="263"/>
      <c r="H18" s="40">
        <v>3</v>
      </c>
      <c r="I18" s="54">
        <v>3</v>
      </c>
      <c r="J18" s="42">
        <v>3</v>
      </c>
      <c r="K18" s="361">
        <v>3</v>
      </c>
      <c r="L18" s="284"/>
      <c r="M18" s="281"/>
      <c r="N18" s="282"/>
      <c r="O18" s="283"/>
      <c r="P18" s="284"/>
      <c r="Q18" s="281"/>
      <c r="R18" s="282"/>
      <c r="S18" s="283"/>
      <c r="T18" s="284"/>
      <c r="U18" s="281"/>
      <c r="V18" s="285"/>
      <c r="W18" s="43">
        <f t="shared" si="0"/>
        <v>3</v>
      </c>
      <c r="X18" s="359">
        <f>SUM(W18:W19)</f>
        <v>6</v>
      </c>
      <c r="Y18" s="276">
        <v>6</v>
      </c>
    </row>
    <row r="19" spans="2:29" ht="18" thickBot="1">
      <c r="B19" s="308"/>
      <c r="C19" s="306"/>
      <c r="D19" s="261"/>
      <c r="E19" s="55" t="s">
        <v>12</v>
      </c>
      <c r="F19" s="363" t="s">
        <v>237</v>
      </c>
      <c r="G19" s="364"/>
      <c r="H19" s="56">
        <v>3</v>
      </c>
      <c r="I19" s="57">
        <v>3</v>
      </c>
      <c r="J19" s="146">
        <v>3</v>
      </c>
      <c r="K19" s="312"/>
      <c r="L19" s="292"/>
      <c r="M19" s="248">
        <v>3</v>
      </c>
      <c r="N19" s="249"/>
      <c r="O19" s="291"/>
      <c r="P19" s="292"/>
      <c r="Q19" s="248"/>
      <c r="R19" s="249"/>
      <c r="S19" s="291"/>
      <c r="T19" s="292"/>
      <c r="U19" s="248"/>
      <c r="V19" s="293"/>
      <c r="W19" s="59">
        <f t="shared" si="0"/>
        <v>3</v>
      </c>
      <c r="X19" s="362"/>
      <c r="Y19" s="276"/>
      <c r="AA19" s="304"/>
      <c r="AB19" s="304"/>
      <c r="AC19" s="143"/>
    </row>
    <row r="20" spans="2:29" ht="18" thickBot="1">
      <c r="B20" s="308"/>
      <c r="C20" s="306"/>
      <c r="D20" s="261"/>
      <c r="E20" s="39" t="s">
        <v>12</v>
      </c>
      <c r="F20" s="262" t="s">
        <v>239</v>
      </c>
      <c r="G20" s="263"/>
      <c r="H20" s="40">
        <v>4</v>
      </c>
      <c r="I20" s="54" t="s">
        <v>340</v>
      </c>
      <c r="J20" s="42">
        <v>3</v>
      </c>
      <c r="K20" s="262"/>
      <c r="L20" s="290"/>
      <c r="M20" s="277"/>
      <c r="N20" s="278"/>
      <c r="O20" s="289">
        <v>3</v>
      </c>
      <c r="P20" s="290"/>
      <c r="Q20" s="277"/>
      <c r="R20" s="278"/>
      <c r="S20" s="289"/>
      <c r="T20" s="290"/>
      <c r="U20" s="277"/>
      <c r="V20" s="263"/>
      <c r="W20" s="43">
        <f t="shared" si="0"/>
        <v>3</v>
      </c>
      <c r="X20" s="359">
        <f>SUM(W20:W21)</f>
        <v>6</v>
      </c>
      <c r="Y20" s="276">
        <v>12</v>
      </c>
    </row>
    <row r="21" spans="2:29" ht="18" thickBot="1">
      <c r="B21" s="308"/>
      <c r="C21" s="306"/>
      <c r="D21" s="311"/>
      <c r="E21" s="53" t="s">
        <v>12</v>
      </c>
      <c r="F21" s="312" t="s">
        <v>240</v>
      </c>
      <c r="G21" s="293"/>
      <c r="H21" s="50">
        <v>4</v>
      </c>
      <c r="I21" s="51" t="s">
        <v>340</v>
      </c>
      <c r="J21" s="52">
        <v>3</v>
      </c>
      <c r="K21" s="312"/>
      <c r="L21" s="292"/>
      <c r="M21" s="248"/>
      <c r="N21" s="249"/>
      <c r="O21" s="291"/>
      <c r="P21" s="292"/>
      <c r="Q21" s="248">
        <v>3</v>
      </c>
      <c r="R21" s="249"/>
      <c r="S21" s="291"/>
      <c r="T21" s="292"/>
      <c r="U21" s="248"/>
      <c r="V21" s="293"/>
      <c r="W21" s="59">
        <f t="shared" si="0"/>
        <v>3</v>
      </c>
      <c r="X21" s="362"/>
      <c r="Y21" s="276"/>
    </row>
    <row r="22" spans="2:29" ht="18" thickBot="1">
      <c r="B22" s="308"/>
      <c r="C22" s="306"/>
      <c r="D22" s="260" t="s">
        <v>26</v>
      </c>
      <c r="E22" s="39" t="s">
        <v>12</v>
      </c>
      <c r="F22" s="262" t="s">
        <v>257</v>
      </c>
      <c r="G22" s="263"/>
      <c r="H22" s="40">
        <v>4</v>
      </c>
      <c r="I22" s="54" t="s">
        <v>340</v>
      </c>
      <c r="J22" s="42">
        <v>3</v>
      </c>
      <c r="K22" s="262">
        <v>3</v>
      </c>
      <c r="L22" s="290"/>
      <c r="M22" s="277"/>
      <c r="N22" s="278"/>
      <c r="O22" s="289"/>
      <c r="P22" s="290"/>
      <c r="Q22" s="277"/>
      <c r="R22" s="278"/>
      <c r="S22" s="289"/>
      <c r="T22" s="290"/>
      <c r="U22" s="277"/>
      <c r="V22" s="263"/>
      <c r="W22" s="43">
        <f t="shared" si="0"/>
        <v>3</v>
      </c>
      <c r="X22" s="305">
        <f>SUM(W22:W23)</f>
        <v>6</v>
      </c>
      <c r="Y22" s="276"/>
    </row>
    <row r="23" spans="2:29" ht="18" thickBot="1">
      <c r="B23" s="308"/>
      <c r="C23" s="306"/>
      <c r="D23" s="261"/>
      <c r="E23" s="44" t="s">
        <v>12</v>
      </c>
      <c r="F23" s="256" t="s">
        <v>258</v>
      </c>
      <c r="G23" s="257"/>
      <c r="H23" s="45">
        <v>4</v>
      </c>
      <c r="I23" s="46" t="s">
        <v>340</v>
      </c>
      <c r="J23" s="47">
        <v>3</v>
      </c>
      <c r="K23" s="256"/>
      <c r="L23" s="251"/>
      <c r="M23" s="258">
        <v>3</v>
      </c>
      <c r="N23" s="259"/>
      <c r="O23" s="250"/>
      <c r="P23" s="251"/>
      <c r="Q23" s="258"/>
      <c r="R23" s="259"/>
      <c r="S23" s="250"/>
      <c r="T23" s="251"/>
      <c r="U23" s="258"/>
      <c r="V23" s="257"/>
      <c r="W23" s="48">
        <f t="shared" si="0"/>
        <v>3</v>
      </c>
      <c r="X23" s="306"/>
      <c r="Y23" s="276"/>
    </row>
    <row r="24" spans="2:29" ht="16.5" customHeight="1" thickBot="1">
      <c r="B24" s="308"/>
      <c r="C24" s="306"/>
      <c r="D24" s="260" t="s">
        <v>8</v>
      </c>
      <c r="E24" s="39" t="s">
        <v>352</v>
      </c>
      <c r="F24" s="262" t="s">
        <v>353</v>
      </c>
      <c r="G24" s="263"/>
      <c r="H24" s="40">
        <v>3</v>
      </c>
      <c r="I24" s="54" t="s">
        <v>354</v>
      </c>
      <c r="J24" s="42">
        <f t="shared" ref="J24" si="3">SUM(K24:V24)</f>
        <v>2</v>
      </c>
      <c r="K24" s="262">
        <v>2</v>
      </c>
      <c r="L24" s="290"/>
      <c r="M24" s="277"/>
      <c r="N24" s="278"/>
      <c r="O24" s="289"/>
      <c r="P24" s="290"/>
      <c r="Q24" s="277"/>
      <c r="R24" s="278"/>
      <c r="S24" s="289"/>
      <c r="T24" s="290"/>
      <c r="U24" s="277"/>
      <c r="V24" s="263"/>
      <c r="W24" s="43">
        <f>SUM(K24:V24)</f>
        <v>2</v>
      </c>
      <c r="X24" s="365">
        <f>SUM(W24:W28)</f>
        <v>11</v>
      </c>
      <c r="Y24" s="276">
        <v>8</v>
      </c>
    </row>
    <row r="25" spans="2:29" ht="18" thickBot="1">
      <c r="B25" s="308"/>
      <c r="C25" s="306"/>
      <c r="D25" s="261"/>
      <c r="E25" s="44" t="s">
        <v>352</v>
      </c>
      <c r="F25" s="256" t="s">
        <v>355</v>
      </c>
      <c r="G25" s="257"/>
      <c r="H25" s="45">
        <v>3</v>
      </c>
      <c r="I25" s="46" t="s">
        <v>354</v>
      </c>
      <c r="J25" s="47">
        <v>3</v>
      </c>
      <c r="K25" s="256"/>
      <c r="L25" s="251"/>
      <c r="M25" s="258">
        <v>3</v>
      </c>
      <c r="N25" s="259"/>
      <c r="O25" s="250"/>
      <c r="P25" s="251"/>
      <c r="Q25" s="258"/>
      <c r="R25" s="259"/>
      <c r="S25" s="250"/>
      <c r="T25" s="251"/>
      <c r="U25" s="258"/>
      <c r="V25" s="257"/>
      <c r="W25" s="48">
        <f t="shared" ref="W25:W28" si="4">SUM(K25:V25)</f>
        <v>3</v>
      </c>
      <c r="X25" s="366"/>
      <c r="Y25" s="276"/>
    </row>
    <row r="26" spans="2:29" ht="18" thickBot="1">
      <c r="B26" s="308"/>
      <c r="C26" s="306"/>
      <c r="D26" s="261"/>
      <c r="E26" s="159" t="s">
        <v>341</v>
      </c>
      <c r="F26" s="256" t="s">
        <v>372</v>
      </c>
      <c r="G26" s="257"/>
      <c r="H26" s="45">
        <v>2</v>
      </c>
      <c r="I26" s="46" t="s">
        <v>357</v>
      </c>
      <c r="J26" s="158">
        <v>1</v>
      </c>
      <c r="K26" s="256"/>
      <c r="L26" s="251"/>
      <c r="M26" s="258"/>
      <c r="N26" s="259"/>
      <c r="O26" s="250">
        <v>1</v>
      </c>
      <c r="P26" s="251"/>
      <c r="Q26" s="258"/>
      <c r="R26" s="259"/>
      <c r="S26" s="250"/>
      <c r="T26" s="251"/>
      <c r="U26" s="258"/>
      <c r="V26" s="257"/>
      <c r="W26" s="48">
        <f t="shared" si="4"/>
        <v>1</v>
      </c>
      <c r="X26" s="366"/>
      <c r="Y26" s="276"/>
    </row>
    <row r="27" spans="2:29" ht="18" thickBot="1">
      <c r="B27" s="308"/>
      <c r="C27" s="306"/>
      <c r="D27" s="261"/>
      <c r="E27" s="159" t="s">
        <v>341</v>
      </c>
      <c r="F27" s="256" t="s">
        <v>521</v>
      </c>
      <c r="G27" s="257"/>
      <c r="H27" s="45">
        <v>2</v>
      </c>
      <c r="I27" s="46" t="s">
        <v>357</v>
      </c>
      <c r="J27" s="47">
        <v>2</v>
      </c>
      <c r="K27" s="256"/>
      <c r="L27" s="251"/>
      <c r="M27" s="258"/>
      <c r="N27" s="259"/>
      <c r="O27" s="250"/>
      <c r="P27" s="251"/>
      <c r="Q27" s="258">
        <v>2</v>
      </c>
      <c r="R27" s="259"/>
      <c r="S27" s="250"/>
      <c r="T27" s="251"/>
      <c r="U27" s="258"/>
      <c r="V27" s="257"/>
      <c r="W27" s="48">
        <f t="shared" si="4"/>
        <v>2</v>
      </c>
      <c r="X27" s="366"/>
      <c r="Y27" s="276"/>
    </row>
    <row r="28" spans="2:29" ht="18" thickBot="1">
      <c r="B28" s="308"/>
      <c r="C28" s="306"/>
      <c r="D28" s="311"/>
      <c r="E28" s="44" t="s">
        <v>351</v>
      </c>
      <c r="F28" s="368" t="s">
        <v>356</v>
      </c>
      <c r="G28" s="288"/>
      <c r="H28" s="45">
        <v>3</v>
      </c>
      <c r="I28" s="162" t="s">
        <v>354</v>
      </c>
      <c r="J28" s="47">
        <v>3</v>
      </c>
      <c r="K28" s="312"/>
      <c r="L28" s="292"/>
      <c r="M28" s="248"/>
      <c r="N28" s="249"/>
      <c r="O28" s="291"/>
      <c r="P28" s="292"/>
      <c r="Q28" s="248"/>
      <c r="R28" s="249"/>
      <c r="S28" s="291">
        <v>3</v>
      </c>
      <c r="T28" s="292"/>
      <c r="U28" s="248"/>
      <c r="V28" s="293"/>
      <c r="W28" s="59">
        <f t="shared" si="4"/>
        <v>3</v>
      </c>
      <c r="X28" s="367"/>
      <c r="Y28" s="276"/>
    </row>
    <row r="29" spans="2:29" ht="18" thickBot="1">
      <c r="B29" s="308"/>
      <c r="C29" s="306"/>
      <c r="D29" s="260" t="s">
        <v>28</v>
      </c>
      <c r="E29" s="39" t="s">
        <v>352</v>
      </c>
      <c r="F29" s="262" t="s">
        <v>9</v>
      </c>
      <c r="G29" s="263"/>
      <c r="H29" s="40">
        <v>3</v>
      </c>
      <c r="I29" s="54" t="s">
        <v>354</v>
      </c>
      <c r="J29" s="42">
        <v>2</v>
      </c>
      <c r="K29" s="262">
        <v>2</v>
      </c>
      <c r="L29" s="290"/>
      <c r="M29" s="277"/>
      <c r="N29" s="278"/>
      <c r="O29" s="289"/>
      <c r="P29" s="290"/>
      <c r="Q29" s="277"/>
      <c r="R29" s="278"/>
      <c r="S29" s="289"/>
      <c r="T29" s="290"/>
      <c r="U29" s="277"/>
      <c r="V29" s="263"/>
      <c r="W29" s="286">
        <f>SUM(K29:V32)</f>
        <v>10</v>
      </c>
      <c r="X29" s="287"/>
      <c r="Y29" s="276">
        <v>6</v>
      </c>
    </row>
    <row r="30" spans="2:29" ht="18" thickBot="1">
      <c r="B30" s="308"/>
      <c r="C30" s="306"/>
      <c r="D30" s="261"/>
      <c r="E30" s="49" t="s">
        <v>341</v>
      </c>
      <c r="F30" s="256" t="s">
        <v>283</v>
      </c>
      <c r="G30" s="257"/>
      <c r="H30" s="160">
        <v>3</v>
      </c>
      <c r="I30" s="46" t="s">
        <v>354</v>
      </c>
      <c r="J30" s="161">
        <v>3</v>
      </c>
      <c r="K30" s="256"/>
      <c r="L30" s="251"/>
      <c r="M30" s="258">
        <v>3</v>
      </c>
      <c r="N30" s="259"/>
      <c r="O30" s="250"/>
      <c r="P30" s="251"/>
      <c r="Q30" s="258"/>
      <c r="R30" s="259"/>
      <c r="S30" s="165"/>
      <c r="T30" s="166"/>
      <c r="U30" s="167"/>
      <c r="V30" s="168"/>
      <c r="W30" s="369"/>
      <c r="X30" s="370"/>
      <c r="Y30" s="276"/>
    </row>
    <row r="31" spans="2:29" ht="18" thickBot="1">
      <c r="B31" s="308"/>
      <c r="C31" s="306"/>
      <c r="D31" s="261"/>
      <c r="E31" s="49" t="s">
        <v>341</v>
      </c>
      <c r="F31" s="256" t="s">
        <v>284</v>
      </c>
      <c r="G31" s="257"/>
      <c r="H31" s="160">
        <v>3</v>
      </c>
      <c r="I31" s="60" t="s">
        <v>354</v>
      </c>
      <c r="J31" s="161">
        <v>3</v>
      </c>
      <c r="K31" s="256"/>
      <c r="L31" s="251"/>
      <c r="M31" s="258"/>
      <c r="N31" s="259"/>
      <c r="O31" s="250">
        <v>3</v>
      </c>
      <c r="P31" s="251"/>
      <c r="Q31" s="258"/>
      <c r="R31" s="259"/>
      <c r="S31" s="165"/>
      <c r="T31" s="166"/>
      <c r="U31" s="167"/>
      <c r="V31" s="168"/>
      <c r="W31" s="369"/>
      <c r="X31" s="370"/>
      <c r="Y31" s="276"/>
    </row>
    <row r="32" spans="2:29" ht="18" thickBot="1">
      <c r="B32" s="308"/>
      <c r="C32" s="306"/>
      <c r="D32" s="261"/>
      <c r="E32" s="49" t="s">
        <v>351</v>
      </c>
      <c r="F32" s="256" t="s">
        <v>287</v>
      </c>
      <c r="G32" s="257"/>
      <c r="H32" s="45">
        <v>3</v>
      </c>
      <c r="I32" s="46" t="s">
        <v>354</v>
      </c>
      <c r="J32" s="47">
        <v>2</v>
      </c>
      <c r="K32" s="256"/>
      <c r="L32" s="251"/>
      <c r="M32" s="258"/>
      <c r="N32" s="259"/>
      <c r="O32" s="250"/>
      <c r="P32" s="251"/>
      <c r="Q32" s="258">
        <v>2</v>
      </c>
      <c r="R32" s="259"/>
      <c r="S32" s="250"/>
      <c r="T32" s="251"/>
      <c r="U32" s="258"/>
      <c r="V32" s="257"/>
      <c r="W32" s="369"/>
      <c r="X32" s="370"/>
      <c r="Y32" s="276"/>
    </row>
    <row r="33" spans="2:28" ht="16.5" customHeight="1" thickBot="1">
      <c r="B33" s="308"/>
      <c r="C33" s="306"/>
      <c r="D33" s="371" t="s">
        <v>358</v>
      </c>
      <c r="E33" s="39" t="s">
        <v>341</v>
      </c>
      <c r="F33" s="262" t="s">
        <v>522</v>
      </c>
      <c r="G33" s="263"/>
      <c r="H33" s="40">
        <v>4</v>
      </c>
      <c r="I33" s="54" t="s">
        <v>370</v>
      </c>
      <c r="J33" s="42">
        <v>3</v>
      </c>
      <c r="K33" s="262"/>
      <c r="L33" s="290"/>
      <c r="M33" s="277"/>
      <c r="N33" s="278"/>
      <c r="O33" s="289">
        <v>3</v>
      </c>
      <c r="P33" s="290"/>
      <c r="Q33" s="277"/>
      <c r="R33" s="278"/>
      <c r="S33" s="289"/>
      <c r="T33" s="290"/>
      <c r="U33" s="277"/>
      <c r="V33" s="263"/>
      <c r="W33" s="286">
        <f>SUM(K33:V36)</f>
        <v>12</v>
      </c>
      <c r="X33" s="287"/>
      <c r="Y33" s="276">
        <v>8</v>
      </c>
    </row>
    <row r="34" spans="2:28" ht="16.5" customHeight="1" thickBot="1">
      <c r="B34" s="308"/>
      <c r="C34" s="306"/>
      <c r="D34" s="372"/>
      <c r="E34" s="49" t="s">
        <v>341</v>
      </c>
      <c r="F34" s="256" t="s">
        <v>289</v>
      </c>
      <c r="G34" s="257"/>
      <c r="H34" s="160">
        <v>4</v>
      </c>
      <c r="I34" s="157" t="s">
        <v>343</v>
      </c>
      <c r="J34" s="161">
        <v>3</v>
      </c>
      <c r="K34" s="256"/>
      <c r="L34" s="251"/>
      <c r="M34" s="258"/>
      <c r="N34" s="259"/>
      <c r="O34" s="250"/>
      <c r="P34" s="251"/>
      <c r="Q34" s="258">
        <v>3</v>
      </c>
      <c r="R34" s="259"/>
      <c r="S34" s="250"/>
      <c r="T34" s="251"/>
      <c r="U34" s="258"/>
      <c r="V34" s="257"/>
      <c r="W34" s="369"/>
      <c r="X34" s="370"/>
      <c r="Y34" s="276"/>
    </row>
    <row r="35" spans="2:28" ht="16.5" customHeight="1" thickBot="1">
      <c r="B35" s="308"/>
      <c r="C35" s="306"/>
      <c r="D35" s="372"/>
      <c r="E35" s="49" t="s">
        <v>341</v>
      </c>
      <c r="F35" s="256" t="s">
        <v>335</v>
      </c>
      <c r="G35" s="257"/>
      <c r="H35" s="160">
        <v>4</v>
      </c>
      <c r="I35" s="157" t="s">
        <v>343</v>
      </c>
      <c r="J35" s="161">
        <v>3</v>
      </c>
      <c r="K35" s="169"/>
      <c r="L35" s="170"/>
      <c r="M35" s="171"/>
      <c r="N35" s="172"/>
      <c r="O35" s="152"/>
      <c r="P35" s="149"/>
      <c r="Q35" s="258">
        <v>3</v>
      </c>
      <c r="R35" s="259"/>
      <c r="S35" s="152"/>
      <c r="T35" s="149"/>
      <c r="U35" s="150"/>
      <c r="V35" s="153"/>
      <c r="W35" s="369"/>
      <c r="X35" s="370"/>
      <c r="Y35" s="276"/>
    </row>
    <row r="36" spans="2:28" ht="18" thickBot="1">
      <c r="B36" s="309"/>
      <c r="C36" s="310"/>
      <c r="D36" s="372"/>
      <c r="E36" s="49" t="s">
        <v>352</v>
      </c>
      <c r="F36" s="256" t="s">
        <v>50</v>
      </c>
      <c r="G36" s="257"/>
      <c r="H36" s="45">
        <v>4</v>
      </c>
      <c r="I36" s="46" t="s">
        <v>343</v>
      </c>
      <c r="J36" s="47">
        <v>3</v>
      </c>
      <c r="K36" s="312"/>
      <c r="L36" s="292"/>
      <c r="M36" s="248"/>
      <c r="N36" s="249"/>
      <c r="O36" s="250"/>
      <c r="P36" s="251"/>
      <c r="Q36" s="258"/>
      <c r="R36" s="259"/>
      <c r="S36" s="250">
        <v>3</v>
      </c>
      <c r="T36" s="251"/>
      <c r="U36" s="258"/>
      <c r="V36" s="257"/>
      <c r="W36" s="369"/>
      <c r="X36" s="370"/>
      <c r="Y36" s="276"/>
    </row>
    <row r="37" spans="2:28" ht="24.75" customHeight="1" thickBot="1">
      <c r="B37" s="269" t="s">
        <v>365</v>
      </c>
      <c r="C37" s="373"/>
      <c r="D37" s="373"/>
      <c r="E37" s="373"/>
      <c r="F37" s="373"/>
      <c r="G37" s="374"/>
      <c r="H37" s="142">
        <f>SUM(H9:H36)</f>
        <v>99</v>
      </c>
      <c r="I37" s="18"/>
      <c r="J37" s="141">
        <f>SUM(J9:J36)</f>
        <v>78</v>
      </c>
      <c r="K37" s="375">
        <f>SUM(K9:L36)</f>
        <v>19</v>
      </c>
      <c r="L37" s="267"/>
      <c r="M37" s="267">
        <f>SUM(M9:N36)</f>
        <v>21</v>
      </c>
      <c r="N37" s="279"/>
      <c r="O37" s="280">
        <f>SUM(O9:P36)</f>
        <v>13</v>
      </c>
      <c r="P37" s="267"/>
      <c r="Q37" s="267">
        <f>SUM(Q9:R36)</f>
        <v>19</v>
      </c>
      <c r="R37" s="275"/>
      <c r="S37" s="270">
        <f>SUM(S9:T36)</f>
        <v>6</v>
      </c>
      <c r="T37" s="267"/>
      <c r="U37" s="267">
        <f>SUM(U9:V36)</f>
        <v>0</v>
      </c>
      <c r="V37" s="268"/>
      <c r="W37" s="269">
        <f>SUM(K37:V37)</f>
        <v>78</v>
      </c>
      <c r="X37" s="270"/>
      <c r="Y37" s="141">
        <f>SUM(Y9:Y36)</f>
        <v>64</v>
      </c>
      <c r="AA37" s="376" t="b">
        <f>W37&gt;=Y37</f>
        <v>1</v>
      </c>
      <c r="AB37" s="377"/>
    </row>
    <row r="38" spans="2:28" ht="17.25" customHeight="1">
      <c r="B38" s="378" t="s">
        <v>359</v>
      </c>
      <c r="C38" s="379"/>
      <c r="D38" s="394" t="s">
        <v>360</v>
      </c>
      <c r="E38" s="395"/>
      <c r="F38" s="382" t="s">
        <v>535</v>
      </c>
      <c r="G38" s="383"/>
      <c r="H38" s="174"/>
      <c r="I38" s="175" t="s">
        <v>541</v>
      </c>
      <c r="J38" s="144">
        <v>2</v>
      </c>
      <c r="K38" s="361">
        <v>2</v>
      </c>
      <c r="L38" s="284"/>
      <c r="M38" s="281"/>
      <c r="N38" s="282"/>
      <c r="O38" s="283"/>
      <c r="P38" s="284"/>
      <c r="Q38" s="281"/>
      <c r="R38" s="282"/>
      <c r="S38" s="283"/>
      <c r="T38" s="284"/>
      <c r="U38" s="281"/>
      <c r="V38" s="285"/>
      <c r="W38" s="286">
        <f>SUM(K38:V38)</f>
        <v>2</v>
      </c>
      <c r="X38" s="287"/>
      <c r="Y38" s="384">
        <v>80</v>
      </c>
    </row>
    <row r="39" spans="2:28" ht="17.25" customHeight="1" thickBot="1">
      <c r="B39" s="380"/>
      <c r="C39" s="381"/>
      <c r="D39" s="242" t="s">
        <v>360</v>
      </c>
      <c r="E39" s="243"/>
      <c r="F39" s="244" t="s">
        <v>530</v>
      </c>
      <c r="G39" s="245"/>
      <c r="H39" s="50"/>
      <c r="I39" s="176" t="s">
        <v>540</v>
      </c>
      <c r="J39" s="52">
        <v>2</v>
      </c>
      <c r="K39" s="177"/>
      <c r="L39" s="178"/>
      <c r="M39" s="248">
        <v>2</v>
      </c>
      <c r="N39" s="249"/>
      <c r="O39" s="181"/>
      <c r="P39" s="178"/>
      <c r="Q39" s="179"/>
      <c r="R39" s="182"/>
      <c r="S39" s="180"/>
      <c r="T39" s="178"/>
      <c r="U39" s="179"/>
      <c r="V39" s="183"/>
      <c r="W39" s="254">
        <f>SUM(K39:V39)</f>
        <v>2</v>
      </c>
      <c r="X39" s="255"/>
      <c r="Y39" s="385"/>
    </row>
    <row r="40" spans="2:28" ht="17.25" customHeight="1">
      <c r="B40" s="380"/>
      <c r="C40" s="381"/>
      <c r="D40" s="64" t="s">
        <v>68</v>
      </c>
      <c r="E40" s="69" t="s">
        <v>361</v>
      </c>
      <c r="F40" s="386" t="s">
        <v>545</v>
      </c>
      <c r="G40" s="387"/>
      <c r="H40" s="160"/>
      <c r="I40" s="184" t="s">
        <v>540</v>
      </c>
      <c r="J40" s="161">
        <v>2</v>
      </c>
      <c r="K40" s="368">
        <v>2</v>
      </c>
      <c r="L40" s="266"/>
      <c r="M40" s="273"/>
      <c r="N40" s="265"/>
      <c r="O40" s="294"/>
      <c r="P40" s="266"/>
      <c r="Q40" s="273"/>
      <c r="R40" s="274"/>
      <c r="S40" s="265"/>
      <c r="T40" s="266"/>
      <c r="U40" s="273"/>
      <c r="V40" s="288"/>
      <c r="W40" s="271">
        <f t="shared" ref="W40:W49" si="5">SUM(K40:V40)</f>
        <v>2</v>
      </c>
      <c r="X40" s="272"/>
      <c r="Y40" s="385"/>
    </row>
    <row r="41" spans="2:28" ht="17.25" customHeight="1">
      <c r="B41" s="380"/>
      <c r="C41" s="381"/>
      <c r="D41" s="61" t="s">
        <v>68</v>
      </c>
      <c r="E41" s="62" t="s">
        <v>361</v>
      </c>
      <c r="F41" s="246" t="s">
        <v>546</v>
      </c>
      <c r="G41" s="247"/>
      <c r="H41" s="160"/>
      <c r="I41" s="184" t="s">
        <v>540</v>
      </c>
      <c r="J41" s="161">
        <v>6</v>
      </c>
      <c r="K41" s="256">
        <v>6</v>
      </c>
      <c r="L41" s="251"/>
      <c r="M41" s="258"/>
      <c r="N41" s="259"/>
      <c r="O41" s="250"/>
      <c r="P41" s="251"/>
      <c r="Q41" s="258"/>
      <c r="R41" s="259"/>
      <c r="S41" s="250"/>
      <c r="T41" s="251"/>
      <c r="U41" s="258"/>
      <c r="V41" s="257"/>
      <c r="W41" s="252">
        <f t="shared" si="5"/>
        <v>6</v>
      </c>
      <c r="X41" s="253"/>
      <c r="Y41" s="385"/>
    </row>
    <row r="42" spans="2:28" ht="17.25" customHeight="1">
      <c r="B42" s="380"/>
      <c r="C42" s="381"/>
      <c r="D42" s="61" t="s">
        <v>72</v>
      </c>
      <c r="E42" s="62" t="s">
        <v>361</v>
      </c>
      <c r="F42" s="392" t="s">
        <v>552</v>
      </c>
      <c r="G42" s="393"/>
      <c r="H42" s="160"/>
      <c r="I42" s="184" t="s">
        <v>540</v>
      </c>
      <c r="J42" s="161">
        <v>6</v>
      </c>
      <c r="K42" s="148"/>
      <c r="L42" s="149"/>
      <c r="M42" s="258">
        <v>6</v>
      </c>
      <c r="N42" s="259"/>
      <c r="O42" s="152"/>
      <c r="P42" s="149"/>
      <c r="Q42" s="150"/>
      <c r="R42" s="151"/>
      <c r="S42" s="152"/>
      <c r="T42" s="149"/>
      <c r="U42" s="150"/>
      <c r="V42" s="153"/>
      <c r="W42" s="252">
        <f t="shared" ref="W42:W44" si="6">SUM(K42:V42)</f>
        <v>6</v>
      </c>
      <c r="X42" s="253"/>
      <c r="Y42" s="385"/>
    </row>
    <row r="43" spans="2:28" ht="17.25" customHeight="1">
      <c r="B43" s="380"/>
      <c r="C43" s="381"/>
      <c r="D43" s="61" t="s">
        <v>68</v>
      </c>
      <c r="E43" s="62" t="s">
        <v>361</v>
      </c>
      <c r="F43" s="392" t="s">
        <v>548</v>
      </c>
      <c r="G43" s="393"/>
      <c r="H43" s="160"/>
      <c r="I43" s="184" t="s">
        <v>540</v>
      </c>
      <c r="J43" s="161">
        <v>6</v>
      </c>
      <c r="K43" s="148"/>
      <c r="L43" s="149"/>
      <c r="M43" s="150"/>
      <c r="N43" s="151"/>
      <c r="O43" s="250">
        <v>6</v>
      </c>
      <c r="P43" s="251"/>
      <c r="Q43" s="150"/>
      <c r="R43" s="151"/>
      <c r="S43" s="152"/>
      <c r="T43" s="149"/>
      <c r="U43" s="150"/>
      <c r="V43" s="153"/>
      <c r="W43" s="252">
        <f t="shared" si="6"/>
        <v>6</v>
      </c>
      <c r="X43" s="253"/>
      <c r="Y43" s="385"/>
    </row>
    <row r="44" spans="2:28" ht="17.25" customHeight="1" thickBot="1">
      <c r="B44" s="380"/>
      <c r="C44" s="381"/>
      <c r="D44" s="68" t="s">
        <v>68</v>
      </c>
      <c r="E44" s="67" t="s">
        <v>361</v>
      </c>
      <c r="F44" s="506" t="s">
        <v>547</v>
      </c>
      <c r="G44" s="507"/>
      <c r="H44" s="50"/>
      <c r="I44" s="176" t="s">
        <v>541</v>
      </c>
      <c r="J44" s="52">
        <v>10</v>
      </c>
      <c r="K44" s="177"/>
      <c r="L44" s="178"/>
      <c r="M44" s="179"/>
      <c r="N44" s="182"/>
      <c r="O44" s="291">
        <v>10</v>
      </c>
      <c r="P44" s="292"/>
      <c r="Q44" s="248"/>
      <c r="R44" s="249"/>
      <c r="S44" s="181"/>
      <c r="T44" s="178"/>
      <c r="U44" s="179"/>
      <c r="V44" s="183"/>
      <c r="W44" s="252">
        <f t="shared" si="6"/>
        <v>10</v>
      </c>
      <c r="X44" s="253"/>
      <c r="Y44" s="385"/>
    </row>
    <row r="45" spans="2:28" ht="17.25" customHeight="1">
      <c r="B45" s="380"/>
      <c r="C45" s="381"/>
      <c r="D45" s="71" t="s">
        <v>68</v>
      </c>
      <c r="E45" s="69" t="s">
        <v>362</v>
      </c>
      <c r="F45" s="508" t="s">
        <v>638</v>
      </c>
      <c r="G45" s="509"/>
      <c r="H45" s="160"/>
      <c r="I45" s="184" t="s">
        <v>540</v>
      </c>
      <c r="J45" s="161">
        <v>6</v>
      </c>
      <c r="K45" s="368"/>
      <c r="L45" s="266"/>
      <c r="M45" s="273"/>
      <c r="N45" s="274"/>
      <c r="O45" s="294"/>
      <c r="P45" s="266"/>
      <c r="Q45" s="273">
        <v>6</v>
      </c>
      <c r="R45" s="274"/>
      <c r="S45" s="294"/>
      <c r="T45" s="266"/>
      <c r="U45" s="273"/>
      <c r="V45" s="288"/>
      <c r="W45" s="271">
        <f t="shared" si="5"/>
        <v>6</v>
      </c>
      <c r="X45" s="272"/>
      <c r="Y45" s="385"/>
    </row>
    <row r="46" spans="2:28" ht="17.25" customHeight="1">
      <c r="B46" s="380"/>
      <c r="C46" s="381"/>
      <c r="D46" s="71" t="s">
        <v>68</v>
      </c>
      <c r="E46" s="69" t="s">
        <v>362</v>
      </c>
      <c r="F46" s="508" t="s">
        <v>553</v>
      </c>
      <c r="G46" s="509"/>
      <c r="H46" s="160"/>
      <c r="I46" s="184" t="s">
        <v>541</v>
      </c>
      <c r="J46" s="161">
        <v>4</v>
      </c>
      <c r="K46" s="191"/>
      <c r="L46" s="185"/>
      <c r="M46" s="186"/>
      <c r="N46" s="192"/>
      <c r="O46" s="187"/>
      <c r="P46" s="185"/>
      <c r="Q46" s="258">
        <v>4</v>
      </c>
      <c r="R46" s="259"/>
      <c r="S46" s="187"/>
      <c r="T46" s="185"/>
      <c r="U46" s="186"/>
      <c r="V46" s="168"/>
      <c r="W46" s="271">
        <f t="shared" ref="W46:W47" si="7">SUM(K46:V46)</f>
        <v>4</v>
      </c>
      <c r="X46" s="272"/>
      <c r="Y46" s="385"/>
    </row>
    <row r="47" spans="2:28" ht="17.25" customHeight="1">
      <c r="B47" s="380"/>
      <c r="C47" s="381"/>
      <c r="D47" s="63" t="s">
        <v>68</v>
      </c>
      <c r="E47" s="62" t="s">
        <v>362</v>
      </c>
      <c r="F47" s="392" t="s">
        <v>557</v>
      </c>
      <c r="G47" s="393"/>
      <c r="H47" s="160"/>
      <c r="I47" s="184" t="s">
        <v>541</v>
      </c>
      <c r="J47" s="161">
        <v>20</v>
      </c>
      <c r="K47" s="191"/>
      <c r="L47" s="166"/>
      <c r="M47" s="167"/>
      <c r="N47" s="192"/>
      <c r="O47" s="165"/>
      <c r="P47" s="166"/>
      <c r="Q47" s="167"/>
      <c r="R47" s="193"/>
      <c r="S47" s="250">
        <v>7</v>
      </c>
      <c r="T47" s="251"/>
      <c r="U47" s="258">
        <v>13</v>
      </c>
      <c r="V47" s="257"/>
      <c r="W47" s="271">
        <f t="shared" si="7"/>
        <v>20</v>
      </c>
      <c r="X47" s="272"/>
      <c r="Y47" s="385"/>
    </row>
    <row r="48" spans="2:28" ht="17.25" customHeight="1">
      <c r="B48" s="380"/>
      <c r="C48" s="381"/>
      <c r="D48" s="64" t="s">
        <v>68</v>
      </c>
      <c r="E48" s="62" t="s">
        <v>362</v>
      </c>
      <c r="F48" s="392" t="s">
        <v>558</v>
      </c>
      <c r="G48" s="393"/>
      <c r="H48" s="160"/>
      <c r="I48" s="184" t="s">
        <v>540</v>
      </c>
      <c r="J48" s="161">
        <v>28</v>
      </c>
      <c r="K48" s="256"/>
      <c r="L48" s="251"/>
      <c r="M48" s="258"/>
      <c r="N48" s="264"/>
      <c r="O48" s="250"/>
      <c r="P48" s="251"/>
      <c r="Q48" s="258"/>
      <c r="R48" s="259"/>
      <c r="S48" s="264">
        <v>12</v>
      </c>
      <c r="T48" s="251"/>
      <c r="U48" s="258">
        <v>16</v>
      </c>
      <c r="V48" s="257"/>
      <c r="W48" s="252">
        <f t="shared" si="5"/>
        <v>28</v>
      </c>
      <c r="X48" s="253"/>
      <c r="Y48" s="385"/>
    </row>
    <row r="49" spans="2:29" ht="17.25" customHeight="1" thickBot="1">
      <c r="B49" s="380"/>
      <c r="C49" s="381"/>
      <c r="D49" s="63" t="s">
        <v>68</v>
      </c>
      <c r="E49" s="62" t="s">
        <v>362</v>
      </c>
      <c r="F49" s="392" t="s">
        <v>559</v>
      </c>
      <c r="G49" s="393"/>
      <c r="H49" s="160"/>
      <c r="I49" s="190" t="s">
        <v>540</v>
      </c>
      <c r="J49" s="47">
        <v>4</v>
      </c>
      <c r="K49" s="256"/>
      <c r="L49" s="251"/>
      <c r="M49" s="258"/>
      <c r="N49" s="264"/>
      <c r="O49" s="250"/>
      <c r="P49" s="251"/>
      <c r="Q49" s="258"/>
      <c r="R49" s="259"/>
      <c r="S49" s="264">
        <v>4</v>
      </c>
      <c r="T49" s="251"/>
      <c r="U49" s="258"/>
      <c r="V49" s="257"/>
      <c r="W49" s="252">
        <f t="shared" si="5"/>
        <v>4</v>
      </c>
      <c r="X49" s="253"/>
      <c r="Y49" s="385"/>
    </row>
    <row r="50" spans="2:29" ht="24.75" customHeight="1">
      <c r="B50" s="396" t="s">
        <v>366</v>
      </c>
      <c r="C50" s="397"/>
      <c r="D50" s="397"/>
      <c r="E50" s="397"/>
      <c r="F50" s="397"/>
      <c r="G50" s="398"/>
      <c r="H50" s="402">
        <f>SUM(H38:H49)</f>
        <v>0</v>
      </c>
      <c r="I50" s="404">
        <f>SUM(I38:I49)</f>
        <v>0</v>
      </c>
      <c r="J50" s="406">
        <f>SUM(J38:J49)</f>
        <v>96</v>
      </c>
      <c r="K50" s="396">
        <f>SUM(K38:L49)</f>
        <v>10</v>
      </c>
      <c r="L50" s="408"/>
      <c r="M50" s="410">
        <f>SUM(M38:N49)</f>
        <v>8</v>
      </c>
      <c r="N50" s="397"/>
      <c r="O50" s="412">
        <f>SUM(O38:P49)</f>
        <v>16</v>
      </c>
      <c r="P50" s="408"/>
      <c r="Q50" s="410">
        <f>SUM(Q38:R49)</f>
        <v>10</v>
      </c>
      <c r="R50" s="414"/>
      <c r="S50" s="397">
        <f>SUM(S38:T49)</f>
        <v>23</v>
      </c>
      <c r="T50" s="408"/>
      <c r="U50" s="410">
        <f>SUM(U38:V49)</f>
        <v>29</v>
      </c>
      <c r="V50" s="398"/>
      <c r="W50" s="396">
        <f>SUM(K50:V51)</f>
        <v>96</v>
      </c>
      <c r="X50" s="398"/>
      <c r="Y50" s="384">
        <f>SUM(Y38:Y49)</f>
        <v>80</v>
      </c>
      <c r="AC50" s="143"/>
    </row>
    <row r="51" spans="2:29" ht="18" thickBot="1">
      <c r="B51" s="399"/>
      <c r="C51" s="400"/>
      <c r="D51" s="400"/>
      <c r="E51" s="400"/>
      <c r="F51" s="400"/>
      <c r="G51" s="401"/>
      <c r="H51" s="403"/>
      <c r="I51" s="405"/>
      <c r="J51" s="407"/>
      <c r="K51" s="399"/>
      <c r="L51" s="409"/>
      <c r="M51" s="411"/>
      <c r="N51" s="400"/>
      <c r="O51" s="413"/>
      <c r="P51" s="409"/>
      <c r="Q51" s="411"/>
      <c r="R51" s="415"/>
      <c r="S51" s="400"/>
      <c r="T51" s="409"/>
      <c r="U51" s="411"/>
      <c r="V51" s="401"/>
      <c r="W51" s="399"/>
      <c r="X51" s="401"/>
      <c r="Y51" s="416"/>
      <c r="AC51" s="70"/>
    </row>
    <row r="52" spans="2:29" ht="17.25" customHeight="1" thickBot="1">
      <c r="B52" s="269"/>
      <c r="C52" s="373"/>
      <c r="D52" s="373"/>
      <c r="E52" s="373"/>
      <c r="F52" s="373"/>
      <c r="G52" s="374"/>
      <c r="H52" s="147">
        <f>SUM(H37,H50)</f>
        <v>99</v>
      </c>
      <c r="I52" s="140">
        <f>SUM(I37,I50)</f>
        <v>0</v>
      </c>
      <c r="J52" s="141">
        <f>SUM(J37,J50)</f>
        <v>174</v>
      </c>
      <c r="K52" s="269">
        <f>SUM(K37,K50)</f>
        <v>29</v>
      </c>
      <c r="L52" s="270"/>
      <c r="M52" s="279">
        <f>SUM(M37,M50)</f>
        <v>29</v>
      </c>
      <c r="N52" s="436"/>
      <c r="O52" s="437">
        <f>SUM(O37,O50)</f>
        <v>29</v>
      </c>
      <c r="P52" s="270"/>
      <c r="Q52" s="279">
        <f>SUM(Q37,Q50)</f>
        <v>29</v>
      </c>
      <c r="R52" s="436"/>
      <c r="S52" s="437">
        <f>SUM(S37,S50)</f>
        <v>29</v>
      </c>
      <c r="T52" s="270"/>
      <c r="U52" s="279">
        <f>SUM(U37,U50)</f>
        <v>29</v>
      </c>
      <c r="V52" s="374"/>
      <c r="W52" s="269">
        <f>SUM(K52:V52)</f>
        <v>174</v>
      </c>
      <c r="X52" s="374"/>
      <c r="Y52" s="11">
        <f>Y50+Y37</f>
        <v>144</v>
      </c>
      <c r="AA52" s="304" t="s">
        <v>155</v>
      </c>
      <c r="AB52" s="304"/>
    </row>
    <row r="53" spans="2:29" ht="18.75" customHeight="1" thickBot="1">
      <c r="B53" s="418" t="s">
        <v>367</v>
      </c>
      <c r="C53" s="419"/>
      <c r="D53" s="419"/>
      <c r="E53" s="420"/>
      <c r="F53" s="427" t="s">
        <v>363</v>
      </c>
      <c r="G53" s="428"/>
      <c r="H53" s="428"/>
      <c r="I53" s="428"/>
      <c r="J53" s="429"/>
      <c r="K53" s="262">
        <v>16</v>
      </c>
      <c r="L53" s="290"/>
      <c r="M53" s="277">
        <v>16</v>
      </c>
      <c r="N53" s="278"/>
      <c r="O53" s="289">
        <v>16</v>
      </c>
      <c r="P53" s="290"/>
      <c r="Q53" s="277">
        <v>16</v>
      </c>
      <c r="R53" s="278"/>
      <c r="S53" s="289">
        <v>16</v>
      </c>
      <c r="T53" s="290"/>
      <c r="U53" s="277">
        <v>16</v>
      </c>
      <c r="V53" s="263"/>
      <c r="W53" s="418">
        <f>SUM(K53:V55)</f>
        <v>288</v>
      </c>
      <c r="X53" s="420"/>
      <c r="Y53" s="384">
        <f>Y56*16</f>
        <v>288</v>
      </c>
      <c r="AA53" s="417"/>
      <c r="AB53" s="417"/>
    </row>
    <row r="54" spans="2:29" ht="17.25" customHeight="1" thickBot="1">
      <c r="B54" s="421"/>
      <c r="C54" s="422"/>
      <c r="D54" s="422"/>
      <c r="E54" s="423"/>
      <c r="F54" s="433" t="s">
        <v>63</v>
      </c>
      <c r="G54" s="434"/>
      <c r="H54" s="434"/>
      <c r="I54" s="434"/>
      <c r="J54" s="435"/>
      <c r="K54" s="256">
        <v>16</v>
      </c>
      <c r="L54" s="251"/>
      <c r="M54" s="258">
        <v>16</v>
      </c>
      <c r="N54" s="259"/>
      <c r="O54" s="250">
        <v>16</v>
      </c>
      <c r="P54" s="251"/>
      <c r="Q54" s="258">
        <v>16</v>
      </c>
      <c r="R54" s="259"/>
      <c r="S54" s="250">
        <v>16</v>
      </c>
      <c r="T54" s="251"/>
      <c r="U54" s="258">
        <v>16</v>
      </c>
      <c r="V54" s="257"/>
      <c r="W54" s="421"/>
      <c r="X54" s="423"/>
      <c r="Y54" s="385"/>
      <c r="AA54" s="376" t="b">
        <f>W52&gt;=Y52</f>
        <v>1</v>
      </c>
      <c r="AB54" s="377"/>
    </row>
    <row r="55" spans="2:29" ht="17.25" customHeight="1">
      <c r="B55" s="421"/>
      <c r="C55" s="422"/>
      <c r="D55" s="422"/>
      <c r="E55" s="423"/>
      <c r="F55" s="433" t="s">
        <v>11</v>
      </c>
      <c r="G55" s="434"/>
      <c r="H55" s="434"/>
      <c r="I55" s="434"/>
      <c r="J55" s="435"/>
      <c r="K55" s="256">
        <v>16</v>
      </c>
      <c r="L55" s="251"/>
      <c r="M55" s="258">
        <v>16</v>
      </c>
      <c r="N55" s="259"/>
      <c r="O55" s="250">
        <v>16</v>
      </c>
      <c r="P55" s="251"/>
      <c r="Q55" s="258">
        <v>16</v>
      </c>
      <c r="R55" s="259"/>
      <c r="S55" s="250">
        <v>16</v>
      </c>
      <c r="T55" s="251"/>
      <c r="U55" s="258">
        <v>16</v>
      </c>
      <c r="V55" s="257"/>
      <c r="W55" s="430"/>
      <c r="X55" s="431"/>
      <c r="Y55" s="432"/>
    </row>
    <row r="56" spans="2:29" ht="17.25" customHeight="1" thickBot="1">
      <c r="B56" s="424"/>
      <c r="C56" s="425"/>
      <c r="D56" s="425"/>
      <c r="E56" s="426"/>
      <c r="F56" s="441" t="s">
        <v>149</v>
      </c>
      <c r="G56" s="442"/>
      <c r="H56" s="442"/>
      <c r="I56" s="442"/>
      <c r="J56" s="443"/>
      <c r="K56" s="444">
        <v>3</v>
      </c>
      <c r="L56" s="445"/>
      <c r="M56" s="446">
        <v>3</v>
      </c>
      <c r="N56" s="447"/>
      <c r="O56" s="448">
        <v>3</v>
      </c>
      <c r="P56" s="445"/>
      <c r="Q56" s="446">
        <v>3</v>
      </c>
      <c r="R56" s="447"/>
      <c r="S56" s="448">
        <v>3</v>
      </c>
      <c r="T56" s="445"/>
      <c r="U56" s="446">
        <v>3</v>
      </c>
      <c r="V56" s="449"/>
      <c r="W56" s="441">
        <f>SUM(K56:V56)</f>
        <v>18</v>
      </c>
      <c r="X56" s="443"/>
      <c r="Y56" s="72">
        <v>18</v>
      </c>
      <c r="AA56" s="304" t="s">
        <v>156</v>
      </c>
      <c r="AB56" s="304"/>
    </row>
    <row r="57" spans="2:29" ht="17.25" customHeight="1" thickBot="1">
      <c r="B57" s="269"/>
      <c r="C57" s="373"/>
      <c r="D57" s="373"/>
      <c r="E57" s="373"/>
      <c r="F57" s="373"/>
      <c r="G57" s="373"/>
      <c r="H57" s="373"/>
      <c r="I57" s="373"/>
      <c r="J57" s="374"/>
      <c r="K57" s="269">
        <v>32</v>
      </c>
      <c r="L57" s="270"/>
      <c r="M57" s="279">
        <v>32</v>
      </c>
      <c r="N57" s="436"/>
      <c r="O57" s="437">
        <v>32</v>
      </c>
      <c r="P57" s="270"/>
      <c r="Q57" s="279">
        <v>32</v>
      </c>
      <c r="R57" s="436"/>
      <c r="S57" s="437">
        <v>32</v>
      </c>
      <c r="T57" s="270"/>
      <c r="U57" s="279">
        <v>32</v>
      </c>
      <c r="V57" s="374"/>
      <c r="W57" s="269">
        <f>SUM(K57:V57)</f>
        <v>192</v>
      </c>
      <c r="X57" s="374"/>
      <c r="Y57" s="36">
        <f>W57</f>
        <v>192</v>
      </c>
      <c r="AA57" s="376" t="b">
        <f>W56&gt;=Y56</f>
        <v>1</v>
      </c>
      <c r="AB57" s="377"/>
    </row>
    <row r="58" spans="2:29" ht="17.25" customHeight="1" thickBot="1">
      <c r="B58" s="269"/>
      <c r="C58" s="373"/>
      <c r="D58" s="373"/>
      <c r="E58" s="373"/>
      <c r="F58" s="373"/>
      <c r="G58" s="373"/>
      <c r="H58" s="373"/>
      <c r="I58" s="373"/>
      <c r="J58" s="374"/>
      <c r="K58" s="269">
        <f>SUM(K57:N57)</f>
        <v>64</v>
      </c>
      <c r="L58" s="373"/>
      <c r="M58" s="373"/>
      <c r="N58" s="436"/>
      <c r="O58" s="437">
        <f>SUM(O57:R57)</f>
        <v>64</v>
      </c>
      <c r="P58" s="373"/>
      <c r="Q58" s="373"/>
      <c r="R58" s="436"/>
      <c r="S58" s="437">
        <f>SUM(S57:V57)</f>
        <v>64</v>
      </c>
      <c r="T58" s="373"/>
      <c r="U58" s="373"/>
      <c r="V58" s="374"/>
      <c r="W58" s="269">
        <f>SUM(K58:V58)</f>
        <v>192</v>
      </c>
      <c r="X58" s="374"/>
      <c r="Y58" s="11"/>
      <c r="AA58" s="304" t="s">
        <v>153</v>
      </c>
      <c r="AB58" s="304"/>
    </row>
    <row r="59" spans="2:29" ht="17.25" customHeight="1" thickBot="1">
      <c r="AA59" s="376" t="b">
        <f>W57&gt;=Y57</f>
        <v>1</v>
      </c>
      <c r="AB59" s="377"/>
    </row>
    <row r="60" spans="2:29" ht="17.25" customHeight="1"/>
    <row r="61" spans="2:29" ht="17.25" customHeight="1"/>
    <row r="62" spans="2:29" ht="17.25" customHeight="1"/>
    <row r="64" spans="2:29" ht="24.9" customHeight="1"/>
    <row r="65" ht="24.9" customHeight="1"/>
    <row r="66" ht="32.25" customHeight="1"/>
    <row r="67" ht="24.9" customHeight="1"/>
    <row r="69" ht="16.5" customHeight="1"/>
    <row r="70" ht="17.2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244.5" customHeight="1"/>
  </sheetData>
  <mergeCells count="405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AA8:AD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S14:T14"/>
    <mergeCell ref="U14:V14"/>
    <mergeCell ref="U11:V11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M17:N17"/>
    <mergeCell ref="O17:P17"/>
    <mergeCell ref="Q17:R17"/>
    <mergeCell ref="O12:P12"/>
    <mergeCell ref="Q12:R12"/>
    <mergeCell ref="F14:G14"/>
    <mergeCell ref="K14:L14"/>
    <mergeCell ref="M14:N14"/>
    <mergeCell ref="O14:P14"/>
    <mergeCell ref="Q14:R14"/>
    <mergeCell ref="K12:L12"/>
    <mergeCell ref="M12:N12"/>
    <mergeCell ref="S18:T18"/>
    <mergeCell ref="U18:V18"/>
    <mergeCell ref="F21:G21"/>
    <mergeCell ref="AB14:AD14"/>
    <mergeCell ref="D15:D17"/>
    <mergeCell ref="F15:G15"/>
    <mergeCell ref="K15:L15"/>
    <mergeCell ref="M15:N15"/>
    <mergeCell ref="O15:P15"/>
    <mergeCell ref="Q15:R15"/>
    <mergeCell ref="D12:D14"/>
    <mergeCell ref="S15:T15"/>
    <mergeCell ref="U15:V15"/>
    <mergeCell ref="X15:X17"/>
    <mergeCell ref="F16:G16"/>
    <mergeCell ref="K16:L16"/>
    <mergeCell ref="M16:N16"/>
    <mergeCell ref="O16:P16"/>
    <mergeCell ref="Q16:R16"/>
    <mergeCell ref="S16:T16"/>
    <mergeCell ref="U16:V16"/>
    <mergeCell ref="U17:V17"/>
    <mergeCell ref="F17:G17"/>
    <mergeCell ref="K17:L17"/>
    <mergeCell ref="S17:T17"/>
    <mergeCell ref="S21:T21"/>
    <mergeCell ref="U21:V21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S22:T22"/>
    <mergeCell ref="U22:V22"/>
    <mergeCell ref="D22:D23"/>
    <mergeCell ref="F22:G22"/>
    <mergeCell ref="K22:L22"/>
    <mergeCell ref="M22:N22"/>
    <mergeCell ref="O22:P22"/>
    <mergeCell ref="Q22:R22"/>
    <mergeCell ref="K21:L21"/>
    <mergeCell ref="M21:N21"/>
    <mergeCell ref="O21:P21"/>
    <mergeCell ref="Q21:R21"/>
    <mergeCell ref="D18:D21"/>
    <mergeCell ref="F18:G18"/>
    <mergeCell ref="K18:L18"/>
    <mergeCell ref="M18:N18"/>
    <mergeCell ref="O18:P18"/>
    <mergeCell ref="Q18:R18"/>
    <mergeCell ref="X22:X23"/>
    <mergeCell ref="F23:G23"/>
    <mergeCell ref="K23:L23"/>
    <mergeCell ref="M23:N23"/>
    <mergeCell ref="O23:P23"/>
    <mergeCell ref="Q23:R23"/>
    <mergeCell ref="S23:T23"/>
    <mergeCell ref="U23:V23"/>
    <mergeCell ref="X24:X28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S26:T26"/>
    <mergeCell ref="W29:X32"/>
    <mergeCell ref="Y29:Y32"/>
    <mergeCell ref="F30:G30"/>
    <mergeCell ref="K30:L30"/>
    <mergeCell ref="M30:N30"/>
    <mergeCell ref="O30:P30"/>
    <mergeCell ref="Q30:R30"/>
    <mergeCell ref="F31:G31"/>
    <mergeCell ref="F29:G29"/>
    <mergeCell ref="K29:L29"/>
    <mergeCell ref="M29:N29"/>
    <mergeCell ref="O29:P29"/>
    <mergeCell ref="Q29:R29"/>
    <mergeCell ref="K31:L31"/>
    <mergeCell ref="M31:N31"/>
    <mergeCell ref="O31:P31"/>
    <mergeCell ref="Q31:R31"/>
    <mergeCell ref="U32:V32"/>
    <mergeCell ref="F32:G32"/>
    <mergeCell ref="K32:L32"/>
    <mergeCell ref="M32:N32"/>
    <mergeCell ref="O32:P32"/>
    <mergeCell ref="Q32:R32"/>
    <mergeCell ref="S32:T32"/>
    <mergeCell ref="D29:D32"/>
    <mergeCell ref="W33:X36"/>
    <mergeCell ref="Y33:Y36"/>
    <mergeCell ref="F34:G34"/>
    <mergeCell ref="K34:L34"/>
    <mergeCell ref="M34:N34"/>
    <mergeCell ref="O34:P34"/>
    <mergeCell ref="Q34:R34"/>
    <mergeCell ref="S34:T34"/>
    <mergeCell ref="U34:V34"/>
    <mergeCell ref="F35:G35"/>
    <mergeCell ref="U36:V36"/>
    <mergeCell ref="D33:D36"/>
    <mergeCell ref="F33:G33"/>
    <mergeCell ref="K33:L33"/>
    <mergeCell ref="M33:N33"/>
    <mergeCell ref="O33:P33"/>
    <mergeCell ref="Q33:R33"/>
    <mergeCell ref="S33:T33"/>
    <mergeCell ref="U33:V33"/>
    <mergeCell ref="Q35:R35"/>
    <mergeCell ref="S29:T29"/>
    <mergeCell ref="U29:V29"/>
    <mergeCell ref="B37:G37"/>
    <mergeCell ref="K37:L37"/>
    <mergeCell ref="M37:N37"/>
    <mergeCell ref="O37:P37"/>
    <mergeCell ref="Q37:R37"/>
    <mergeCell ref="S37:T37"/>
    <mergeCell ref="U37:V37"/>
    <mergeCell ref="F36:G36"/>
    <mergeCell ref="K36:L36"/>
    <mergeCell ref="M36:N36"/>
    <mergeCell ref="O36:P36"/>
    <mergeCell ref="Q36:R36"/>
    <mergeCell ref="S36:T36"/>
    <mergeCell ref="W37:X37"/>
    <mergeCell ref="AA37:AB37"/>
    <mergeCell ref="B38:C49"/>
    <mergeCell ref="D38:E38"/>
    <mergeCell ref="F38:G38"/>
    <mergeCell ref="K38:L38"/>
    <mergeCell ref="M38:N38"/>
    <mergeCell ref="O38:P38"/>
    <mergeCell ref="Q38:R38"/>
    <mergeCell ref="S38:T38"/>
    <mergeCell ref="F46:G46"/>
    <mergeCell ref="Q46:R46"/>
    <mergeCell ref="W42:X42"/>
    <mergeCell ref="W43:X43"/>
    <mergeCell ref="W44:X44"/>
    <mergeCell ref="W46:X46"/>
    <mergeCell ref="W47:X47"/>
    <mergeCell ref="U38:V38"/>
    <mergeCell ref="W38:X38"/>
    <mergeCell ref="Y38:Y49"/>
    <mergeCell ref="D39:E39"/>
    <mergeCell ref="F39:G39"/>
    <mergeCell ref="M39:N39"/>
    <mergeCell ref="W39:X39"/>
    <mergeCell ref="F40:G40"/>
    <mergeCell ref="K40:L40"/>
    <mergeCell ref="M40:N40"/>
    <mergeCell ref="S41:T41"/>
    <mergeCell ref="U41:V41"/>
    <mergeCell ref="W41:X41"/>
    <mergeCell ref="F42:G42"/>
    <mergeCell ref="M42:N42"/>
    <mergeCell ref="F43:G43"/>
    <mergeCell ref="O43:P43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Q41:R41"/>
    <mergeCell ref="S45:T45"/>
    <mergeCell ref="U45:V45"/>
    <mergeCell ref="W45:X45"/>
    <mergeCell ref="F47:G47"/>
    <mergeCell ref="S47:T47"/>
    <mergeCell ref="U47:V47"/>
    <mergeCell ref="F44:G44"/>
    <mergeCell ref="O44:P44"/>
    <mergeCell ref="Q44:R44"/>
    <mergeCell ref="F45:G45"/>
    <mergeCell ref="K45:L45"/>
    <mergeCell ref="M45:N45"/>
    <mergeCell ref="O45:P45"/>
    <mergeCell ref="Q45:R45"/>
    <mergeCell ref="U48:V48"/>
    <mergeCell ref="W48:X48"/>
    <mergeCell ref="F49:G49"/>
    <mergeCell ref="K49:L49"/>
    <mergeCell ref="M49:N49"/>
    <mergeCell ref="O49:P49"/>
    <mergeCell ref="Q49:R49"/>
    <mergeCell ref="S49:T49"/>
    <mergeCell ref="U49:V49"/>
    <mergeCell ref="W49:X49"/>
    <mergeCell ref="F48:G48"/>
    <mergeCell ref="K48:L48"/>
    <mergeCell ref="M48:N48"/>
    <mergeCell ref="O48:P48"/>
    <mergeCell ref="Q48:R48"/>
    <mergeCell ref="S48:T48"/>
    <mergeCell ref="O50:P51"/>
    <mergeCell ref="Q50:R51"/>
    <mergeCell ref="S50:T51"/>
    <mergeCell ref="U50:V51"/>
    <mergeCell ref="W50:X51"/>
    <mergeCell ref="Y50:Y51"/>
    <mergeCell ref="B50:G51"/>
    <mergeCell ref="H50:H51"/>
    <mergeCell ref="I50:I51"/>
    <mergeCell ref="J50:J51"/>
    <mergeCell ref="K50:L51"/>
    <mergeCell ref="M50:N51"/>
    <mergeCell ref="U52:V52"/>
    <mergeCell ref="W52:X52"/>
    <mergeCell ref="AA52:AB53"/>
    <mergeCell ref="B53:E56"/>
    <mergeCell ref="F53:J53"/>
    <mergeCell ref="K53:L53"/>
    <mergeCell ref="M53:N53"/>
    <mergeCell ref="O53:P53"/>
    <mergeCell ref="Q53:R53"/>
    <mergeCell ref="S53:T53"/>
    <mergeCell ref="B52:G52"/>
    <mergeCell ref="K52:L52"/>
    <mergeCell ref="M52:N52"/>
    <mergeCell ref="O52:P52"/>
    <mergeCell ref="Q52:R52"/>
    <mergeCell ref="S52:T52"/>
    <mergeCell ref="AA54:AB54"/>
    <mergeCell ref="F55:J55"/>
    <mergeCell ref="K55:L55"/>
    <mergeCell ref="M55:N55"/>
    <mergeCell ref="O55:P55"/>
    <mergeCell ref="Q55:R55"/>
    <mergeCell ref="S55:T55"/>
    <mergeCell ref="U55:V55"/>
    <mergeCell ref="U53:V53"/>
    <mergeCell ref="W53:X55"/>
    <mergeCell ref="Y53:Y55"/>
    <mergeCell ref="F54:J54"/>
    <mergeCell ref="K54:L54"/>
    <mergeCell ref="M54:N54"/>
    <mergeCell ref="O54:P54"/>
    <mergeCell ref="Q54:R54"/>
    <mergeCell ref="S54:T54"/>
    <mergeCell ref="U54:V54"/>
    <mergeCell ref="U56:V56"/>
    <mergeCell ref="W56:X56"/>
    <mergeCell ref="AA56:AB56"/>
    <mergeCell ref="B57:J57"/>
    <mergeCell ref="K57:L57"/>
    <mergeCell ref="M57:N57"/>
    <mergeCell ref="O57:P57"/>
    <mergeCell ref="Q57:R57"/>
    <mergeCell ref="S57:T57"/>
    <mergeCell ref="U57:V57"/>
    <mergeCell ref="F56:J56"/>
    <mergeCell ref="K56:L56"/>
    <mergeCell ref="M56:N56"/>
    <mergeCell ref="O56:P56"/>
    <mergeCell ref="Q56:R56"/>
    <mergeCell ref="S56:T56"/>
    <mergeCell ref="AA59:AB59"/>
    <mergeCell ref="W57:X57"/>
    <mergeCell ref="AA57:AB57"/>
    <mergeCell ref="B58:J58"/>
    <mergeCell ref="K58:N58"/>
    <mergeCell ref="O58:R58"/>
    <mergeCell ref="S58:V58"/>
    <mergeCell ref="W58:X58"/>
    <mergeCell ref="AA58:AB58"/>
  </mergeCells>
  <phoneticPr fontId="9" type="noConversion"/>
  <conditionalFormatting sqref="AA37:AB37 AC51 AA54:AB54 AA57:AB57 AA59:AB59">
    <cfRule type="containsText" dxfId="0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C3401E5-3466-4A40-96C3-52FAD41DBE2F}">
          <x14:formula1>
            <xm:f>삭제금지!$H$2:$H$18</xm:f>
          </x14:formula1>
          <xm:sqref>B5</xm:sqref>
        </x14:dataValidation>
        <x14:dataValidation type="list" allowBlank="1" showInputMessage="1" showErrorMessage="1" xr:uid="{62C76869-DEA4-4944-B51E-969D0E9D954C}">
          <x14:formula1>
            <xm:f>삭제금지!$K$2:$K$59</xm:f>
          </x14:formula1>
          <xm:sqref>K5:O5</xm:sqref>
        </x14:dataValidation>
        <x14:dataValidation type="list" allowBlank="1" showInputMessage="1" showErrorMessage="1" xr:uid="{772822E6-DB62-4577-855F-DF345364FE23}">
          <x14:formula1>
            <xm:f>삭제금지!$I$2:$I$18</xm:f>
          </x14:formula1>
          <xm:sqref>F5:G5</xm:sqref>
        </x14:dataValidation>
        <x14:dataValidation type="list" allowBlank="1" showInputMessage="1" showErrorMessage="1" xr:uid="{27FC6498-1854-46E3-9572-E4BA72BA42D7}">
          <x14:formula1>
            <xm:f>삭제금지!$J$2:$J$59</xm:f>
          </x14:formula1>
          <xm:sqref>H5:J5</xm:sqref>
        </x14:dataValidation>
        <x14:dataValidation type="list" allowBlank="1" showInputMessage="1" showErrorMessage="1" xr:uid="{64274195-40C0-4CCB-B836-FAF228342F28}">
          <x14:formula1>
            <xm:f>삭제금지!$L$2:$L$4</xm:f>
          </x14:formula1>
          <xm:sqref>T5:V5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30AD-B764-47CC-AD53-8FE368BAB1FC}">
  <sheetPr>
    <pageSetUpPr fitToPage="1"/>
  </sheetPr>
  <dimension ref="B2:AG26"/>
  <sheetViews>
    <sheetView showGridLines="0" view="pageBreakPreview" zoomScaleNormal="85" zoomScaleSheetLayoutView="100" workbookViewId="0">
      <selection activeCell="F13" sqref="F13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85" t="s">
        <v>151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</row>
    <row r="3" spans="2:33" ht="27" customHeight="1" thickBot="1"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486" t="s">
        <v>129</v>
      </c>
      <c r="O3" s="487"/>
      <c r="P3" s="488"/>
      <c r="Q3" s="486" t="s">
        <v>127</v>
      </c>
      <c r="R3" s="487"/>
      <c r="S3" s="488"/>
      <c r="T3" s="489" t="s">
        <v>130</v>
      </c>
      <c r="U3" s="490"/>
    </row>
    <row r="4" spans="2:33" ht="27" customHeight="1" thickBot="1"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491" t="s">
        <v>523</v>
      </c>
      <c r="O4" s="492"/>
      <c r="P4" s="493"/>
      <c r="Q4" s="494" t="s">
        <v>647</v>
      </c>
      <c r="R4" s="495"/>
      <c r="S4" s="496"/>
      <c r="T4" s="497">
        <v>2027</v>
      </c>
      <c r="U4" s="498"/>
    </row>
    <row r="5" spans="2:33" ht="24" customHeight="1" thickBot="1">
      <c r="B5" s="499"/>
      <c r="C5" s="499"/>
    </row>
    <row r="6" spans="2:33" ht="20.25" customHeight="1">
      <c r="B6" s="500" t="s">
        <v>13</v>
      </c>
      <c r="C6" s="503" t="s">
        <v>140</v>
      </c>
      <c r="D6" s="465" t="s">
        <v>14</v>
      </c>
      <c r="E6" s="465" t="s">
        <v>15</v>
      </c>
      <c r="F6" s="465" t="s">
        <v>141</v>
      </c>
      <c r="G6" s="465" t="s">
        <v>142</v>
      </c>
      <c r="H6" s="468" t="s">
        <v>58</v>
      </c>
      <c r="I6" s="468"/>
      <c r="J6" s="468"/>
      <c r="K6" s="468"/>
      <c r="L6" s="468" t="s">
        <v>59</v>
      </c>
      <c r="M6" s="468"/>
      <c r="N6" s="468"/>
      <c r="O6" s="468"/>
      <c r="P6" s="468" t="s">
        <v>60</v>
      </c>
      <c r="Q6" s="468"/>
      <c r="R6" s="468"/>
      <c r="S6" s="468"/>
      <c r="T6" s="476" t="s">
        <v>139</v>
      </c>
      <c r="U6" s="469" t="s">
        <v>126</v>
      </c>
      <c r="W6" s="472" t="s">
        <v>131</v>
      </c>
      <c r="X6" s="473"/>
      <c r="Y6" s="473"/>
      <c r="Z6" s="473"/>
      <c r="AA6" s="473"/>
      <c r="AB6" s="473"/>
      <c r="AC6" s="473"/>
      <c r="AD6" s="473"/>
      <c r="AE6" s="473"/>
      <c r="AF6" s="474"/>
      <c r="AG6" s="13"/>
    </row>
    <row r="7" spans="2:33" ht="16.5" customHeight="1">
      <c r="B7" s="501"/>
      <c r="C7" s="504"/>
      <c r="D7" s="466"/>
      <c r="E7" s="466"/>
      <c r="F7" s="466"/>
      <c r="G7" s="466"/>
      <c r="H7" s="475" t="s">
        <v>124</v>
      </c>
      <c r="I7" s="475"/>
      <c r="J7" s="475" t="s">
        <v>62</v>
      </c>
      <c r="K7" s="475"/>
      <c r="L7" s="475" t="s">
        <v>124</v>
      </c>
      <c r="M7" s="475"/>
      <c r="N7" s="475" t="s">
        <v>62</v>
      </c>
      <c r="O7" s="475"/>
      <c r="P7" s="475" t="s">
        <v>124</v>
      </c>
      <c r="Q7" s="475"/>
      <c r="R7" s="475" t="s">
        <v>62</v>
      </c>
      <c r="S7" s="475"/>
      <c r="T7" s="477"/>
      <c r="U7" s="470"/>
      <c r="W7" s="462" t="s">
        <v>132</v>
      </c>
      <c r="X7" s="463"/>
      <c r="Y7" s="463"/>
      <c r="Z7" s="463"/>
      <c r="AA7" s="463"/>
      <c r="AB7" s="463"/>
      <c r="AC7" s="463"/>
      <c r="AD7" s="463"/>
      <c r="AE7" s="463"/>
      <c r="AF7" s="464"/>
      <c r="AG7" s="13"/>
    </row>
    <row r="8" spans="2:33" ht="16.8" customHeight="1" thickBot="1">
      <c r="B8" s="502"/>
      <c r="C8" s="505"/>
      <c r="D8" s="467"/>
      <c r="E8" s="467"/>
      <c r="F8" s="467"/>
      <c r="G8" s="467"/>
      <c r="H8" s="27" t="s">
        <v>138</v>
      </c>
      <c r="I8" s="27" t="s">
        <v>125</v>
      </c>
      <c r="J8" s="27" t="s">
        <v>138</v>
      </c>
      <c r="K8" s="27" t="s">
        <v>125</v>
      </c>
      <c r="L8" s="27" t="s">
        <v>138</v>
      </c>
      <c r="M8" s="27" t="s">
        <v>125</v>
      </c>
      <c r="N8" s="27" t="s">
        <v>138</v>
      </c>
      <c r="O8" s="27" t="s">
        <v>125</v>
      </c>
      <c r="P8" s="27" t="s">
        <v>138</v>
      </c>
      <c r="Q8" s="27" t="s">
        <v>125</v>
      </c>
      <c r="R8" s="27" t="s">
        <v>138</v>
      </c>
      <c r="S8" s="27" t="s">
        <v>125</v>
      </c>
      <c r="T8" s="478"/>
      <c r="U8" s="47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79" t="s">
        <v>643</v>
      </c>
      <c r="C9" s="482">
        <v>6</v>
      </c>
      <c r="D9" s="216" t="s">
        <v>645</v>
      </c>
      <c r="E9" s="216" t="s">
        <v>646</v>
      </c>
      <c r="F9" s="216">
        <v>45</v>
      </c>
      <c r="G9" s="216">
        <v>2</v>
      </c>
      <c r="H9" s="195"/>
      <c r="I9" s="195">
        <f>H9*16</f>
        <v>0</v>
      </c>
      <c r="J9" s="195"/>
      <c r="K9" s="195">
        <f>J9*16</f>
        <v>0</v>
      </c>
      <c r="L9" s="195"/>
      <c r="M9" s="195"/>
      <c r="N9" s="195">
        <v>2</v>
      </c>
      <c r="O9" s="195">
        <f>N9*16</f>
        <v>32</v>
      </c>
      <c r="P9" s="195"/>
      <c r="Q9" s="195"/>
      <c r="R9" s="195"/>
      <c r="S9" s="195">
        <f>R9*16</f>
        <v>0</v>
      </c>
      <c r="T9" s="196">
        <f>SUM(H9,J9,L9,N9,P9,R9)</f>
        <v>2</v>
      </c>
      <c r="U9" s="197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80"/>
      <c r="C10" s="483"/>
      <c r="D10" s="217" t="s">
        <v>639</v>
      </c>
      <c r="E10" s="218" t="s">
        <v>640</v>
      </c>
      <c r="F10" s="217">
        <v>90</v>
      </c>
      <c r="G10" s="217">
        <v>2</v>
      </c>
      <c r="H10" s="203"/>
      <c r="I10" s="203"/>
      <c r="J10" s="203"/>
      <c r="K10" s="203"/>
      <c r="L10" s="203"/>
      <c r="M10" s="203"/>
      <c r="N10" s="203">
        <v>4</v>
      </c>
      <c r="O10" s="203">
        <f>N10*16</f>
        <v>64</v>
      </c>
      <c r="P10" s="203"/>
      <c r="Q10" s="203"/>
      <c r="R10" s="203"/>
      <c r="S10" s="203"/>
      <c r="T10" s="204">
        <f>SUM(H10,J10,L10,N10,P10,R10)</f>
        <v>4</v>
      </c>
      <c r="U10" s="205">
        <f>SUM(I10,K10,M10,O10,Q10,S10)</f>
        <v>64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6.5" customHeight="1" thickBot="1">
      <c r="B11" s="481"/>
      <c r="C11" s="484"/>
      <c r="D11" s="456" t="s">
        <v>16</v>
      </c>
      <c r="E11" s="456"/>
      <c r="F11" s="227"/>
      <c r="G11" s="227"/>
      <c r="H11" s="235"/>
      <c r="I11" s="235">
        <f t="shared" ref="I11" si="0">H11*16</f>
        <v>0</v>
      </c>
      <c r="J11" s="235"/>
      <c r="K11" s="235">
        <f t="shared" ref="K11" si="1">J11*16</f>
        <v>0</v>
      </c>
      <c r="L11" s="235"/>
      <c r="M11" s="235">
        <f t="shared" ref="M11" si="2">L11*16</f>
        <v>0</v>
      </c>
      <c r="N11" s="232">
        <f>SUM(N9:N10)</f>
        <v>6</v>
      </c>
      <c r="O11" s="232">
        <f>SUM(O9:O10)</f>
        <v>96</v>
      </c>
      <c r="P11" s="232"/>
      <c r="Q11" s="232">
        <f t="shared" ref="Q11" si="3">P11*16</f>
        <v>0</v>
      </c>
      <c r="R11" s="232"/>
      <c r="S11" s="232">
        <f t="shared" ref="S11" si="4">R11*16</f>
        <v>0</v>
      </c>
      <c r="T11" s="239">
        <f t="shared" ref="T11" si="5">SUM(H11,J11,L11,N11,P11,R11)</f>
        <v>6</v>
      </c>
      <c r="U11" s="240">
        <f t="shared" ref="U11" si="6">SUM(I11,K11,M11,O11,Q11,S11)</f>
        <v>96</v>
      </c>
      <c r="W11" s="12"/>
      <c r="X11" s="13"/>
      <c r="Y11" s="13"/>
      <c r="Z11" s="13"/>
      <c r="AA11" s="13"/>
      <c r="AB11" s="13"/>
      <c r="AC11" s="13"/>
      <c r="AD11" s="13"/>
      <c r="AE11" s="13"/>
      <c r="AF11" s="17"/>
      <c r="AG11" s="13"/>
    </row>
    <row r="12" spans="2:33" ht="16.5" customHeight="1">
      <c r="B12" s="479" t="s">
        <v>553</v>
      </c>
      <c r="C12" s="482">
        <v>4</v>
      </c>
      <c r="D12" s="216" t="s">
        <v>617</v>
      </c>
      <c r="E12" s="216" t="s">
        <v>618</v>
      </c>
      <c r="F12" s="216">
        <v>50</v>
      </c>
      <c r="G12" s="216">
        <v>2</v>
      </c>
      <c r="H12" s="195"/>
      <c r="I12" s="195">
        <f>H12*16</f>
        <v>0</v>
      </c>
      <c r="J12" s="195"/>
      <c r="K12" s="195">
        <f>J12*16</f>
        <v>0</v>
      </c>
      <c r="L12" s="195"/>
      <c r="M12" s="195"/>
      <c r="N12" s="195">
        <v>2</v>
      </c>
      <c r="O12" s="195">
        <f>N12*16</f>
        <v>32</v>
      </c>
      <c r="P12" s="195"/>
      <c r="Q12" s="195"/>
      <c r="R12" s="195"/>
      <c r="S12" s="195">
        <f>R12*16</f>
        <v>0</v>
      </c>
      <c r="T12" s="196">
        <f>SUM(H12,J12,L12,N12,P12,R12)</f>
        <v>2</v>
      </c>
      <c r="U12" s="197">
        <f>SUM(I12,K12,M12,O12,Q12,S12)</f>
        <v>32</v>
      </c>
      <c r="W12" s="12"/>
      <c r="X12" s="13"/>
      <c r="Y12" s="13"/>
      <c r="Z12" s="13"/>
      <c r="AA12" s="13"/>
      <c r="AB12" s="13"/>
      <c r="AC12" s="13"/>
      <c r="AD12" s="13"/>
      <c r="AE12" s="13"/>
      <c r="AF12" s="17"/>
      <c r="AG12" s="13"/>
    </row>
    <row r="13" spans="2:33" ht="16.5" customHeight="1">
      <c r="B13" s="480"/>
      <c r="C13" s="483"/>
      <c r="D13" s="217" t="s">
        <v>584</v>
      </c>
      <c r="E13" s="218" t="s">
        <v>585</v>
      </c>
      <c r="F13" s="217">
        <v>50</v>
      </c>
      <c r="G13" s="217">
        <v>2</v>
      </c>
      <c r="H13" s="203"/>
      <c r="I13" s="203"/>
      <c r="J13" s="203"/>
      <c r="K13" s="203"/>
      <c r="L13" s="203"/>
      <c r="M13" s="203"/>
      <c r="N13" s="203">
        <v>2</v>
      </c>
      <c r="O13" s="203">
        <f>N13*16</f>
        <v>32</v>
      </c>
      <c r="P13" s="203"/>
      <c r="Q13" s="203"/>
      <c r="R13" s="203"/>
      <c r="S13" s="203"/>
      <c r="T13" s="204">
        <f>SUM(H13,J13,L13,N13,P13,R13)</f>
        <v>2</v>
      </c>
      <c r="U13" s="205">
        <f>SUM(I13,K13,M13,O13,Q13,S13)</f>
        <v>32</v>
      </c>
      <c r="W13" s="12"/>
      <c r="X13" s="13"/>
      <c r="Y13" s="13"/>
      <c r="Z13" s="13"/>
      <c r="AA13" s="13"/>
      <c r="AB13" s="13"/>
      <c r="AC13" s="13"/>
      <c r="AD13" s="13"/>
      <c r="AE13" s="13"/>
      <c r="AF13" s="17"/>
      <c r="AG13" s="13"/>
    </row>
    <row r="14" spans="2:33" ht="16.5" customHeight="1" thickBot="1">
      <c r="B14" s="481"/>
      <c r="C14" s="484"/>
      <c r="D14" s="456" t="s">
        <v>16</v>
      </c>
      <c r="E14" s="456"/>
      <c r="F14" s="227"/>
      <c r="G14" s="227"/>
      <c r="H14" s="235"/>
      <c r="I14" s="235">
        <f t="shared" ref="I14" si="7">H14*16</f>
        <v>0</v>
      </c>
      <c r="J14" s="235"/>
      <c r="K14" s="235">
        <f t="shared" ref="K14" si="8">J14*16</f>
        <v>0</v>
      </c>
      <c r="L14" s="235"/>
      <c r="M14" s="235">
        <f t="shared" ref="M14" si="9">L14*16</f>
        <v>0</v>
      </c>
      <c r="N14" s="232">
        <f>SUM(N12:N13)</f>
        <v>4</v>
      </c>
      <c r="O14" s="232">
        <f>SUM(O12:O13)</f>
        <v>64</v>
      </c>
      <c r="P14" s="232"/>
      <c r="Q14" s="232">
        <f t="shared" ref="Q14" si="10">P14*16</f>
        <v>0</v>
      </c>
      <c r="R14" s="232"/>
      <c r="S14" s="232">
        <f t="shared" ref="S14" si="11">R14*16</f>
        <v>0</v>
      </c>
      <c r="T14" s="239">
        <f t="shared" ref="T14:U14" si="12">SUM(H14,J14,L14,N14,P14,R14)</f>
        <v>4</v>
      </c>
      <c r="U14" s="240">
        <f t="shared" si="12"/>
        <v>64</v>
      </c>
      <c r="W14" s="12"/>
      <c r="X14" s="13"/>
      <c r="Y14" s="13"/>
      <c r="Z14" s="13"/>
      <c r="AA14" s="13"/>
      <c r="AB14" s="13"/>
      <c r="AC14" s="13"/>
      <c r="AD14" s="13"/>
      <c r="AE14" s="13"/>
      <c r="AF14" s="17"/>
      <c r="AG14" s="13"/>
    </row>
    <row r="15" spans="2:33">
      <c r="B15" s="450" t="s">
        <v>644</v>
      </c>
      <c r="C15" s="453">
        <v>20</v>
      </c>
      <c r="D15" s="216" t="s">
        <v>619</v>
      </c>
      <c r="E15" s="216" t="s">
        <v>620</v>
      </c>
      <c r="F15" s="218">
        <v>60</v>
      </c>
      <c r="G15" s="218">
        <v>2</v>
      </c>
      <c r="H15" s="234"/>
      <c r="I15" s="234"/>
      <c r="J15" s="234"/>
      <c r="K15" s="234"/>
      <c r="L15" s="234"/>
      <c r="M15" s="234"/>
      <c r="N15" s="234"/>
      <c r="O15" s="234"/>
      <c r="P15" s="236">
        <v>7</v>
      </c>
      <c r="Q15" s="236">
        <f>P15*16</f>
        <v>112</v>
      </c>
      <c r="R15" s="234"/>
      <c r="S15" s="234"/>
      <c r="T15" s="237">
        <f>SUM(H15,J15,L15,N15,P15)</f>
        <v>7</v>
      </c>
      <c r="U15" s="238">
        <f>SUM(O15,Q15,S15)</f>
        <v>112</v>
      </c>
    </row>
    <row r="16" spans="2:33">
      <c r="B16" s="450"/>
      <c r="C16" s="453"/>
      <c r="D16" s="218" t="s">
        <v>621</v>
      </c>
      <c r="E16" s="218" t="s">
        <v>622</v>
      </c>
      <c r="F16" s="218">
        <v>60</v>
      </c>
      <c r="G16" s="218">
        <v>3</v>
      </c>
      <c r="H16" s="203"/>
      <c r="I16" s="203"/>
      <c r="J16" s="203"/>
      <c r="K16" s="203"/>
      <c r="L16" s="203"/>
      <c r="M16" s="203"/>
      <c r="N16" s="203"/>
      <c r="O16" s="200">
        <f>N16*16</f>
        <v>0</v>
      </c>
      <c r="P16" s="203"/>
      <c r="Q16" s="236">
        <f t="shared" ref="Q16:Q17" si="13">P16*16</f>
        <v>0</v>
      </c>
      <c r="R16" s="203">
        <v>6</v>
      </c>
      <c r="S16" s="203">
        <f>R16*16</f>
        <v>96</v>
      </c>
      <c r="T16" s="209">
        <f>SUM(H16,J16,L16,N16,P16+R16)</f>
        <v>6</v>
      </c>
      <c r="U16" s="238">
        <f t="shared" ref="U16:U17" si="14">SUM(O16,Q16,S16)</f>
        <v>96</v>
      </c>
      <c r="W16" s="29"/>
    </row>
    <row r="17" spans="2:21">
      <c r="B17" s="450"/>
      <c r="C17" s="453"/>
      <c r="D17" s="218" t="s">
        <v>623</v>
      </c>
      <c r="E17" s="218" t="s">
        <v>624</v>
      </c>
      <c r="F17" s="218">
        <v>30</v>
      </c>
      <c r="G17" s="218">
        <v>3</v>
      </c>
      <c r="H17" s="200"/>
      <c r="I17" s="200"/>
      <c r="J17" s="200"/>
      <c r="K17" s="200"/>
      <c r="L17" s="200"/>
      <c r="M17" s="200"/>
      <c r="N17" s="200"/>
      <c r="O17" s="203">
        <f>N17*16</f>
        <v>0</v>
      </c>
      <c r="P17" s="200"/>
      <c r="Q17" s="236">
        <f t="shared" si="13"/>
        <v>0</v>
      </c>
      <c r="R17" s="200">
        <v>7</v>
      </c>
      <c r="S17" s="203">
        <f>R17*16</f>
        <v>112</v>
      </c>
      <c r="T17" s="209">
        <f>SUM(H17,J17,L17,N17,P17+R17)</f>
        <v>7</v>
      </c>
      <c r="U17" s="238">
        <f t="shared" si="14"/>
        <v>112</v>
      </c>
    </row>
    <row r="18" spans="2:21" ht="18" thickBot="1">
      <c r="B18" s="452"/>
      <c r="C18" s="455"/>
      <c r="D18" s="456" t="s">
        <v>16</v>
      </c>
      <c r="E18" s="456"/>
      <c r="F18" s="227"/>
      <c r="G18" s="227"/>
      <c r="H18" s="26"/>
      <c r="I18" s="26"/>
      <c r="J18" s="26"/>
      <c r="K18" s="26"/>
      <c r="L18" s="26"/>
      <c r="M18" s="26"/>
      <c r="N18" s="26">
        <f>SUM(N16:N17)</f>
        <v>0</v>
      </c>
      <c r="O18" s="26">
        <f>SUM(O16:O17)</f>
        <v>0</v>
      </c>
      <c r="P18" s="26">
        <f t="shared" ref="P18:U18" si="15">SUM(P15:P17)</f>
        <v>7</v>
      </c>
      <c r="Q18" s="26">
        <f t="shared" si="15"/>
        <v>112</v>
      </c>
      <c r="R18" s="26">
        <f t="shared" si="15"/>
        <v>13</v>
      </c>
      <c r="S18" s="26">
        <f t="shared" si="15"/>
        <v>208</v>
      </c>
      <c r="T18" s="211">
        <f t="shared" si="15"/>
        <v>20</v>
      </c>
      <c r="U18" s="212">
        <f t="shared" si="15"/>
        <v>320</v>
      </c>
    </row>
    <row r="19" spans="2:21">
      <c r="B19" s="457" t="s">
        <v>625</v>
      </c>
      <c r="C19" s="459">
        <v>28</v>
      </c>
      <c r="D19" s="219" t="s">
        <v>626</v>
      </c>
      <c r="E19" s="216" t="s">
        <v>627</v>
      </c>
      <c r="F19" s="216">
        <v>60</v>
      </c>
      <c r="G19" s="228">
        <v>2</v>
      </c>
      <c r="H19" s="203"/>
      <c r="I19" s="203"/>
      <c r="J19" s="203"/>
      <c r="K19" s="203"/>
      <c r="L19" s="203"/>
      <c r="M19" s="203"/>
      <c r="N19" s="203"/>
      <c r="O19" s="203"/>
      <c r="P19" s="203">
        <v>6</v>
      </c>
      <c r="Q19" s="203">
        <f>P19*16</f>
        <v>96</v>
      </c>
      <c r="R19" s="203"/>
      <c r="S19" s="203"/>
      <c r="T19" s="209">
        <f>SUM(H19,J19,L19,N19,P19,R19)</f>
        <v>6</v>
      </c>
      <c r="U19" s="210">
        <f>SUM(I19,K19,M19,O19,Q19,S19)</f>
        <v>96</v>
      </c>
    </row>
    <row r="20" spans="2:21">
      <c r="B20" s="450"/>
      <c r="C20" s="453"/>
      <c r="D20" s="220" t="s">
        <v>628</v>
      </c>
      <c r="E20" s="218" t="s">
        <v>629</v>
      </c>
      <c r="F20" s="218">
        <v>60</v>
      </c>
      <c r="G20" s="229">
        <v>2</v>
      </c>
      <c r="H20" s="203"/>
      <c r="I20" s="203"/>
      <c r="J20" s="203"/>
      <c r="K20" s="203"/>
      <c r="L20" s="203"/>
      <c r="M20" s="203"/>
      <c r="N20" s="203"/>
      <c r="O20" s="203"/>
      <c r="P20" s="203">
        <v>6</v>
      </c>
      <c r="Q20" s="203">
        <f>P20*16</f>
        <v>96</v>
      </c>
      <c r="R20" s="203"/>
      <c r="S20" s="203"/>
      <c r="T20" s="209">
        <f>SUM(H20,J20,L20,N20,P20,R20)</f>
        <v>6</v>
      </c>
      <c r="U20" s="210">
        <f>SUM(I20,K20,M20,O20,Q20,S20)</f>
        <v>96</v>
      </c>
    </row>
    <row r="21" spans="2:21">
      <c r="B21" s="450"/>
      <c r="C21" s="453"/>
      <c r="D21" s="220" t="s">
        <v>630</v>
      </c>
      <c r="E21" s="218" t="s">
        <v>631</v>
      </c>
      <c r="F21" s="218">
        <v>60</v>
      </c>
      <c r="G21" s="229">
        <v>2</v>
      </c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>
        <v>10</v>
      </c>
      <c r="S21" s="203">
        <f>R21*16</f>
        <v>160</v>
      </c>
      <c r="T21" s="209">
        <f t="shared" ref="T21:U25" si="16">SUM(H21,J21,L21,N21,P21,R21)</f>
        <v>10</v>
      </c>
      <c r="U21" s="210">
        <f t="shared" si="16"/>
        <v>160</v>
      </c>
    </row>
    <row r="22" spans="2:21">
      <c r="B22" s="458"/>
      <c r="C22" s="460"/>
      <c r="D22" s="221" t="s">
        <v>632</v>
      </c>
      <c r="E22" s="217" t="s">
        <v>633</v>
      </c>
      <c r="F22" s="217">
        <v>30</v>
      </c>
      <c r="G22" s="217">
        <v>2</v>
      </c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>
        <v>6</v>
      </c>
      <c r="S22" s="203">
        <f>R22*16</f>
        <v>96</v>
      </c>
      <c r="T22" s="209">
        <f t="shared" si="16"/>
        <v>6</v>
      </c>
      <c r="U22" s="210">
        <f t="shared" si="16"/>
        <v>96</v>
      </c>
    </row>
    <row r="23" spans="2:21" ht="18" thickBot="1">
      <c r="B23" s="452"/>
      <c r="C23" s="455"/>
      <c r="D23" s="461" t="s">
        <v>16</v>
      </c>
      <c r="E23" s="456"/>
      <c r="F23" s="227"/>
      <c r="G23" s="227"/>
      <c r="H23" s="26"/>
      <c r="I23" s="26"/>
      <c r="J23" s="26"/>
      <c r="K23" s="26"/>
      <c r="L23" s="26"/>
      <c r="M23" s="26"/>
      <c r="N23" s="26"/>
      <c r="O23" s="26"/>
      <c r="P23" s="26">
        <f t="shared" ref="P23:U23" si="17">SUM(P19:P22)</f>
        <v>12</v>
      </c>
      <c r="Q23" s="26">
        <f t="shared" si="17"/>
        <v>192</v>
      </c>
      <c r="R23" s="26">
        <f t="shared" si="17"/>
        <v>16</v>
      </c>
      <c r="S23" s="232">
        <f t="shared" si="17"/>
        <v>256</v>
      </c>
      <c r="T23" s="241">
        <f t="shared" si="17"/>
        <v>28</v>
      </c>
      <c r="U23" s="212">
        <f t="shared" si="17"/>
        <v>448</v>
      </c>
    </row>
    <row r="24" spans="2:21">
      <c r="B24" s="450" t="s">
        <v>559</v>
      </c>
      <c r="C24" s="453">
        <v>4</v>
      </c>
      <c r="D24" s="221" t="s">
        <v>634</v>
      </c>
      <c r="E24" s="222" t="s">
        <v>635</v>
      </c>
      <c r="F24" s="217">
        <v>30</v>
      </c>
      <c r="G24" s="218">
        <v>2</v>
      </c>
      <c r="H24" s="203"/>
      <c r="I24" s="203"/>
      <c r="J24" s="203"/>
      <c r="K24" s="203"/>
      <c r="L24" s="203"/>
      <c r="M24" s="203"/>
      <c r="N24" s="203"/>
      <c r="O24" s="203"/>
      <c r="P24" s="213">
        <v>2</v>
      </c>
      <c r="Q24" s="213">
        <f>P24*16</f>
        <v>32</v>
      </c>
      <c r="R24" s="213"/>
      <c r="S24" s="213"/>
      <c r="T24" s="209">
        <f t="shared" si="16"/>
        <v>2</v>
      </c>
      <c r="U24" s="210">
        <f>SUM(I24,K24,M24,O24,Q24)</f>
        <v>32</v>
      </c>
    </row>
    <row r="25" spans="2:21">
      <c r="B25" s="451"/>
      <c r="C25" s="454"/>
      <c r="D25" s="224" t="s">
        <v>636</v>
      </c>
      <c r="E25" s="225" t="s">
        <v>637</v>
      </c>
      <c r="F25" s="217">
        <v>30</v>
      </c>
      <c r="G25" s="218">
        <v>4</v>
      </c>
      <c r="H25" s="200"/>
      <c r="I25" s="200"/>
      <c r="J25" s="200"/>
      <c r="K25" s="200"/>
      <c r="L25" s="200"/>
      <c r="M25" s="200"/>
      <c r="N25" s="200"/>
      <c r="O25" s="200"/>
      <c r="P25" s="213">
        <v>2</v>
      </c>
      <c r="Q25" s="213">
        <f>P25*16</f>
        <v>32</v>
      </c>
      <c r="R25" s="215"/>
      <c r="S25" s="213">
        <f>R25*16</f>
        <v>0</v>
      </c>
      <c r="T25" s="209">
        <f t="shared" si="16"/>
        <v>2</v>
      </c>
      <c r="U25" s="210">
        <f>SUM(I25,K25,M25,O25,Q25,S25)</f>
        <v>32</v>
      </c>
    </row>
    <row r="26" spans="2:21" ht="18" thickBot="1">
      <c r="B26" s="452"/>
      <c r="C26" s="455"/>
      <c r="D26" s="456" t="s">
        <v>16</v>
      </c>
      <c r="E26" s="456"/>
      <c r="F26" s="227"/>
      <c r="G26" s="227"/>
      <c r="H26" s="26"/>
      <c r="I26" s="26"/>
      <c r="J26" s="26"/>
      <c r="K26" s="26"/>
      <c r="L26" s="26"/>
      <c r="M26" s="26"/>
      <c r="N26" s="26"/>
      <c r="O26" s="26"/>
      <c r="P26" s="26">
        <f>SUM(P24:P25)</f>
        <v>4</v>
      </c>
      <c r="Q26" s="26">
        <f>SUM(Q24:Q25)</f>
        <v>64</v>
      </c>
      <c r="R26" s="26"/>
      <c r="S26" s="26"/>
      <c r="T26" s="211">
        <f>SUM(T24:T25)</f>
        <v>4</v>
      </c>
      <c r="U26" s="212">
        <f>SUM(U24:U25)</f>
        <v>64</v>
      </c>
    </row>
  </sheetData>
  <mergeCells count="42">
    <mergeCell ref="T6:T8"/>
    <mergeCell ref="U6:U8"/>
    <mergeCell ref="B5:C5"/>
    <mergeCell ref="B6:B8"/>
    <mergeCell ref="C6:C8"/>
    <mergeCell ref="D6:D8"/>
    <mergeCell ref="F6:F8"/>
    <mergeCell ref="B2:U2"/>
    <mergeCell ref="N3:P3"/>
    <mergeCell ref="Q3:S3"/>
    <mergeCell ref="T3:U3"/>
    <mergeCell ref="N4:P4"/>
    <mergeCell ref="Q4:S4"/>
    <mergeCell ref="T4:U4"/>
    <mergeCell ref="B12:B14"/>
    <mergeCell ref="C12:C14"/>
    <mergeCell ref="D14:E14"/>
    <mergeCell ref="B9:B11"/>
    <mergeCell ref="C9:C11"/>
    <mergeCell ref="D11:E11"/>
    <mergeCell ref="B15:B18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C15:C18"/>
    <mergeCell ref="D18:E18"/>
    <mergeCell ref="E6:E8"/>
    <mergeCell ref="B19:B23"/>
    <mergeCell ref="C19:C23"/>
    <mergeCell ref="D23:E23"/>
    <mergeCell ref="B24:B26"/>
    <mergeCell ref="C24:C26"/>
    <mergeCell ref="D26:E26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203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340</v>
      </c>
      <c r="G2" s="5"/>
      <c r="H2" s="3" t="s">
        <v>74</v>
      </c>
      <c r="I2" s="3" t="s">
        <v>66</v>
      </c>
      <c r="J2" s="3" t="s">
        <v>167</v>
      </c>
      <c r="K2" s="3" t="s">
        <v>167</v>
      </c>
      <c r="L2" s="3" t="s">
        <v>123</v>
      </c>
    </row>
    <row r="3" spans="1:12">
      <c r="A3" s="3" t="s">
        <v>204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340</v>
      </c>
      <c r="G3" s="5"/>
      <c r="H3" s="3" t="s">
        <v>75</v>
      </c>
      <c r="I3" s="3" t="s">
        <v>67</v>
      </c>
      <c r="J3" s="3" t="s">
        <v>168</v>
      </c>
      <c r="K3" s="3" t="s">
        <v>168</v>
      </c>
      <c r="L3" s="3" t="s">
        <v>118</v>
      </c>
    </row>
    <row r="4" spans="1:12">
      <c r="A4" s="3" t="s">
        <v>206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343</v>
      </c>
      <c r="G4" s="5"/>
      <c r="H4" s="3" t="s">
        <v>76</v>
      </c>
      <c r="I4" s="3" t="s">
        <v>157</v>
      </c>
      <c r="J4" s="3" t="s">
        <v>93</v>
      </c>
      <c r="K4" s="3" t="s">
        <v>93</v>
      </c>
      <c r="L4" s="3" t="s">
        <v>119</v>
      </c>
    </row>
    <row r="5" spans="1:12">
      <c r="A5" s="3" t="s">
        <v>207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343</v>
      </c>
      <c r="G5" s="5"/>
      <c r="H5" s="3" t="s">
        <v>77</v>
      </c>
      <c r="I5" s="3" t="s">
        <v>158</v>
      </c>
      <c r="J5" s="3" t="s">
        <v>169</v>
      </c>
      <c r="K5" s="3" t="s">
        <v>169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343</v>
      </c>
      <c r="G6" s="5"/>
      <c r="H6" s="3" t="s">
        <v>78</v>
      </c>
      <c r="I6" s="3" t="s">
        <v>159</v>
      </c>
      <c r="J6" s="3" t="s">
        <v>170</v>
      </c>
      <c r="K6" s="3" t="s">
        <v>170</v>
      </c>
      <c r="L6" s="8"/>
    </row>
    <row r="7" spans="1:12">
      <c r="A7" s="3" t="s">
        <v>208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343</v>
      </c>
      <c r="G7" s="5"/>
      <c r="H7" s="3" t="s">
        <v>79</v>
      </c>
      <c r="I7" s="3" t="s">
        <v>165</v>
      </c>
      <c r="J7" s="3" t="s">
        <v>94</v>
      </c>
      <c r="K7" s="3" t="s">
        <v>94</v>
      </c>
      <c r="L7" s="5"/>
    </row>
    <row r="8" spans="1:12">
      <c r="A8" s="3" t="s">
        <v>209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343</v>
      </c>
      <c r="G8" s="5"/>
      <c r="H8" s="3" t="s">
        <v>80</v>
      </c>
      <c r="I8" s="3" t="s">
        <v>160</v>
      </c>
      <c r="J8" s="3" t="s">
        <v>171</v>
      </c>
      <c r="K8" s="3" t="s">
        <v>171</v>
      </c>
      <c r="L8" s="5"/>
    </row>
    <row r="9" spans="1:12">
      <c r="A9" s="3" t="s">
        <v>210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343</v>
      </c>
      <c r="G9" s="5"/>
      <c r="H9" s="3" t="s">
        <v>81</v>
      </c>
      <c r="I9" s="3" t="s">
        <v>68</v>
      </c>
      <c r="J9" s="3" t="s">
        <v>172</v>
      </c>
      <c r="K9" s="3" t="s">
        <v>172</v>
      </c>
      <c r="L9" s="5"/>
    </row>
    <row r="10" spans="1:12">
      <c r="A10" s="3" t="s">
        <v>211</v>
      </c>
      <c r="B10" s="3" t="s">
        <v>17</v>
      </c>
      <c r="C10" s="3" t="s">
        <v>21</v>
      </c>
      <c r="D10" s="3" t="s">
        <v>214</v>
      </c>
      <c r="E10" s="3">
        <v>4</v>
      </c>
      <c r="F10" s="7" t="s">
        <v>343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212</v>
      </c>
      <c r="B11" s="3" t="s">
        <v>17</v>
      </c>
      <c r="C11" s="3" t="s">
        <v>21</v>
      </c>
      <c r="D11" s="3" t="s">
        <v>214</v>
      </c>
      <c r="E11" s="3">
        <v>4</v>
      </c>
      <c r="F11" s="7" t="s">
        <v>343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213</v>
      </c>
      <c r="B12" s="3" t="s">
        <v>17</v>
      </c>
      <c r="C12" s="3" t="s">
        <v>21</v>
      </c>
      <c r="D12" s="3" t="s">
        <v>214</v>
      </c>
      <c r="E12" s="3">
        <v>4</v>
      </c>
      <c r="F12" s="7" t="s">
        <v>343</v>
      </c>
      <c r="G12" s="5"/>
      <c r="H12" s="3" t="s">
        <v>84</v>
      </c>
      <c r="I12" s="3" t="s">
        <v>161</v>
      </c>
      <c r="J12" s="3" t="s">
        <v>96</v>
      </c>
      <c r="K12" s="3" t="s">
        <v>96</v>
      </c>
      <c r="L12" s="5"/>
    </row>
    <row r="13" spans="1:12">
      <c r="A13" s="3" t="s">
        <v>215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340</v>
      </c>
      <c r="G13" s="5"/>
      <c r="H13" s="3" t="s">
        <v>85</v>
      </c>
      <c r="I13" s="3" t="s">
        <v>71</v>
      </c>
      <c r="J13" s="3" t="s">
        <v>173</v>
      </c>
      <c r="K13" s="3" t="s">
        <v>173</v>
      </c>
      <c r="L13" s="5"/>
    </row>
    <row r="14" spans="1:12">
      <c r="A14" s="3" t="s">
        <v>217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340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218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343</v>
      </c>
      <c r="G15" s="5"/>
      <c r="H15" s="3" t="s">
        <v>87</v>
      </c>
      <c r="I15" s="3" t="s">
        <v>162</v>
      </c>
      <c r="J15" s="3" t="s">
        <v>174</v>
      </c>
      <c r="K15" s="3" t="s">
        <v>174</v>
      </c>
      <c r="L15" s="5"/>
    </row>
    <row r="16" spans="1:12">
      <c r="A16" s="3" t="s">
        <v>219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343</v>
      </c>
      <c r="G16" s="5"/>
      <c r="H16" s="3" t="s">
        <v>88</v>
      </c>
      <c r="I16" s="3" t="s">
        <v>163</v>
      </c>
      <c r="J16" s="3" t="s">
        <v>175</v>
      </c>
      <c r="K16" s="3" t="s">
        <v>175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343</v>
      </c>
      <c r="G17" s="5"/>
      <c r="H17" s="3" t="s">
        <v>89</v>
      </c>
      <c r="I17" s="3" t="s">
        <v>164</v>
      </c>
      <c r="J17" s="3" t="s">
        <v>176</v>
      </c>
      <c r="K17" s="3" t="s">
        <v>176</v>
      </c>
      <c r="L17" s="5"/>
    </row>
    <row r="18" spans="1:12">
      <c r="A18" s="3" t="s">
        <v>220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343</v>
      </c>
      <c r="G18" s="5"/>
      <c r="H18" s="3" t="s">
        <v>90</v>
      </c>
      <c r="I18" s="3" t="s">
        <v>166</v>
      </c>
      <c r="J18" s="3" t="s">
        <v>177</v>
      </c>
      <c r="K18" s="3" t="s">
        <v>177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343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343</v>
      </c>
      <c r="G20" s="5"/>
      <c r="J20" s="3" t="s">
        <v>178</v>
      </c>
      <c r="K20" s="3" t="s">
        <v>178</v>
      </c>
      <c r="L20" s="5"/>
    </row>
    <row r="21" spans="1:12">
      <c r="A21" s="3" t="s">
        <v>221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343</v>
      </c>
      <c r="G21" s="5"/>
      <c r="J21" s="3" t="s">
        <v>98</v>
      </c>
      <c r="K21" s="3" t="s">
        <v>98</v>
      </c>
      <c r="L21" s="5"/>
    </row>
    <row r="22" spans="1:12">
      <c r="A22" s="3" t="s">
        <v>223</v>
      </c>
      <c r="B22" s="3" t="s">
        <v>17</v>
      </c>
      <c r="C22" s="3" t="s">
        <v>5</v>
      </c>
      <c r="D22" s="3" t="s">
        <v>224</v>
      </c>
      <c r="E22" s="3">
        <v>4</v>
      </c>
      <c r="F22" s="7" t="s">
        <v>343</v>
      </c>
      <c r="G22" s="5"/>
      <c r="H22" s="3"/>
      <c r="I22" s="3"/>
      <c r="J22" s="3" t="s">
        <v>179</v>
      </c>
      <c r="K22" s="3" t="s">
        <v>179</v>
      </c>
      <c r="L22" s="5"/>
    </row>
    <row r="23" spans="1:12">
      <c r="A23" s="3" t="s">
        <v>225</v>
      </c>
      <c r="B23" s="3" t="s">
        <v>17</v>
      </c>
      <c r="C23" s="3" t="s">
        <v>5</v>
      </c>
      <c r="D23" s="3" t="s">
        <v>214</v>
      </c>
      <c r="E23" s="3">
        <v>4</v>
      </c>
      <c r="F23" s="7" t="s">
        <v>343</v>
      </c>
      <c r="G23" s="5"/>
      <c r="H23" s="3"/>
      <c r="I23" s="3"/>
      <c r="J23" s="3" t="s">
        <v>180</v>
      </c>
      <c r="K23" s="3" t="s">
        <v>180</v>
      </c>
      <c r="L23" s="5"/>
    </row>
    <row r="24" spans="1:12">
      <c r="A24" s="3" t="s">
        <v>226</v>
      </c>
      <c r="B24" s="3" t="s">
        <v>17</v>
      </c>
      <c r="C24" s="3" t="s">
        <v>5</v>
      </c>
      <c r="D24" s="3" t="s">
        <v>214</v>
      </c>
      <c r="E24" s="3">
        <v>4</v>
      </c>
      <c r="F24" s="7" t="s">
        <v>343</v>
      </c>
      <c r="G24" s="5"/>
      <c r="H24" s="3"/>
      <c r="I24" s="3"/>
      <c r="J24" s="3" t="s">
        <v>181</v>
      </c>
      <c r="K24" s="3" t="s">
        <v>181</v>
      </c>
      <c r="L24" s="5"/>
    </row>
    <row r="25" spans="1:12">
      <c r="A25" s="3" t="s">
        <v>227</v>
      </c>
      <c r="B25" s="3" t="s">
        <v>17</v>
      </c>
      <c r="C25" s="3" t="s">
        <v>5</v>
      </c>
      <c r="D25" s="3" t="s">
        <v>214</v>
      </c>
      <c r="E25" s="3">
        <v>4</v>
      </c>
      <c r="F25" s="7" t="s">
        <v>343</v>
      </c>
      <c r="G25" s="5"/>
      <c r="H25" s="3"/>
      <c r="I25" s="3"/>
      <c r="J25" s="3" t="s">
        <v>182</v>
      </c>
      <c r="K25" s="3" t="s">
        <v>182</v>
      </c>
      <c r="L25" s="5"/>
    </row>
    <row r="26" spans="1:12">
      <c r="A26" s="3" t="s">
        <v>222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340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228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343</v>
      </c>
      <c r="G27" s="5"/>
      <c r="H27" s="5"/>
      <c r="I27" s="5"/>
      <c r="J27" s="3" t="s">
        <v>183</v>
      </c>
      <c r="K27" s="3" t="s">
        <v>183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343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343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343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343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229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343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230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343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231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343</v>
      </c>
      <c r="G34" s="5"/>
      <c r="H34" s="5"/>
      <c r="I34" s="5"/>
      <c r="J34" s="3" t="s">
        <v>184</v>
      </c>
      <c r="K34" s="3" t="s">
        <v>184</v>
      </c>
      <c r="L34" s="5"/>
    </row>
    <row r="35" spans="1:12">
      <c r="A35" s="3" t="s">
        <v>232</v>
      </c>
      <c r="B35" s="3" t="s">
        <v>17</v>
      </c>
      <c r="C35" s="3" t="s">
        <v>6</v>
      </c>
      <c r="D35" s="3" t="s">
        <v>224</v>
      </c>
      <c r="E35" s="3">
        <v>4</v>
      </c>
      <c r="F35" s="7" t="s">
        <v>343</v>
      </c>
      <c r="G35" s="5"/>
      <c r="H35" s="5"/>
      <c r="I35" s="5"/>
      <c r="J35" s="3" t="s">
        <v>185</v>
      </c>
      <c r="K35" s="3" t="s">
        <v>185</v>
      </c>
      <c r="L35" s="5"/>
    </row>
    <row r="36" spans="1:12">
      <c r="A36" s="3" t="s">
        <v>233</v>
      </c>
      <c r="B36" s="3" t="s">
        <v>17</v>
      </c>
      <c r="C36" s="3" t="s">
        <v>6</v>
      </c>
      <c r="D36" s="3" t="s">
        <v>214</v>
      </c>
      <c r="E36" s="3">
        <v>4</v>
      </c>
      <c r="F36" s="7" t="s">
        <v>343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234</v>
      </c>
      <c r="B37" s="3" t="s">
        <v>17</v>
      </c>
      <c r="C37" s="3" t="s">
        <v>6</v>
      </c>
      <c r="D37" s="3" t="s">
        <v>214</v>
      </c>
      <c r="E37" s="3">
        <v>4</v>
      </c>
      <c r="F37" s="7" t="s">
        <v>343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235</v>
      </c>
      <c r="B38" s="3" t="s">
        <v>17</v>
      </c>
      <c r="C38" s="3" t="s">
        <v>6</v>
      </c>
      <c r="D38" s="3" t="s">
        <v>214</v>
      </c>
      <c r="E38" s="3">
        <v>4</v>
      </c>
      <c r="F38" s="7" t="s">
        <v>343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236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369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237</v>
      </c>
      <c r="B40" s="3" t="s">
        <v>17</v>
      </c>
      <c r="C40" s="3" t="s">
        <v>7</v>
      </c>
      <c r="D40" s="3" t="s">
        <v>238</v>
      </c>
      <c r="E40" s="3">
        <v>3</v>
      </c>
      <c r="F40" s="7" t="s">
        <v>369</v>
      </c>
      <c r="G40" s="5"/>
      <c r="H40" s="5"/>
      <c r="I40" s="5"/>
      <c r="J40" s="3" t="s">
        <v>187</v>
      </c>
      <c r="K40" s="3" t="s">
        <v>187</v>
      </c>
      <c r="L40" s="5"/>
    </row>
    <row r="41" spans="1:12" ht="17.25" customHeight="1">
      <c r="A41" s="3" t="s">
        <v>239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340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240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340</v>
      </c>
      <c r="G42" s="5"/>
      <c r="H42" s="5"/>
      <c r="I42" s="5"/>
      <c r="J42" s="3" t="s">
        <v>188</v>
      </c>
      <c r="K42" s="3" t="s">
        <v>188</v>
      </c>
      <c r="L42" s="5"/>
    </row>
    <row r="43" spans="1:12" ht="17.25" customHeight="1">
      <c r="A43" s="3" t="s">
        <v>252</v>
      </c>
      <c r="B43" s="3" t="s">
        <v>17</v>
      </c>
      <c r="C43" s="3" t="s">
        <v>25</v>
      </c>
      <c r="D43" s="3" t="s">
        <v>256</v>
      </c>
      <c r="E43" s="3">
        <v>4</v>
      </c>
      <c r="F43" s="7" t="s">
        <v>343</v>
      </c>
      <c r="G43" s="5"/>
      <c r="H43" s="5"/>
      <c r="I43" s="5"/>
      <c r="J43" s="3" t="s">
        <v>189</v>
      </c>
      <c r="K43" s="3" t="s">
        <v>189</v>
      </c>
      <c r="L43" s="5"/>
    </row>
    <row r="44" spans="1:12" ht="17.25" customHeight="1">
      <c r="A44" s="3" t="s">
        <v>253</v>
      </c>
      <c r="B44" s="3" t="s">
        <v>17</v>
      </c>
      <c r="C44" s="3" t="s">
        <v>25</v>
      </c>
      <c r="D44" s="3" t="s">
        <v>256</v>
      </c>
      <c r="E44" s="3">
        <v>4</v>
      </c>
      <c r="F44" s="7" t="s">
        <v>343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254</v>
      </c>
      <c r="B45" s="3" t="s">
        <v>17</v>
      </c>
      <c r="C45" s="3" t="s">
        <v>25</v>
      </c>
      <c r="D45" s="3" t="s">
        <v>256</v>
      </c>
      <c r="E45" s="3">
        <v>4</v>
      </c>
      <c r="F45" s="7" t="s">
        <v>343</v>
      </c>
      <c r="G45" s="5"/>
      <c r="H45" s="5"/>
      <c r="I45" s="5"/>
      <c r="J45" s="3" t="s">
        <v>190</v>
      </c>
      <c r="K45" s="3" t="s">
        <v>190</v>
      </c>
      <c r="L45" s="5"/>
    </row>
    <row r="46" spans="1:12" ht="17.25" customHeight="1">
      <c r="A46" s="3" t="s">
        <v>255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343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241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343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242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343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243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343</v>
      </c>
      <c r="G49" s="5"/>
      <c r="H49" s="5"/>
      <c r="I49" s="5"/>
      <c r="J49" s="5" t="s">
        <v>191</v>
      </c>
      <c r="K49" s="5" t="s">
        <v>191</v>
      </c>
      <c r="L49" s="5"/>
    </row>
    <row r="50" spans="1:12">
      <c r="A50" s="3" t="s">
        <v>244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343</v>
      </c>
      <c r="G50" s="5"/>
      <c r="H50" s="5"/>
      <c r="I50" s="5"/>
      <c r="J50" s="5" t="s">
        <v>192</v>
      </c>
      <c r="K50" s="5" t="s">
        <v>192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343</v>
      </c>
      <c r="G51" s="5"/>
      <c r="H51" s="5"/>
      <c r="I51" s="5"/>
      <c r="J51" s="5" t="s">
        <v>193</v>
      </c>
      <c r="K51" s="5" t="s">
        <v>193</v>
      </c>
      <c r="L51" s="5"/>
    </row>
    <row r="52" spans="1:12">
      <c r="A52" s="3" t="s">
        <v>245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343</v>
      </c>
      <c r="G52" s="5"/>
      <c r="H52" s="5"/>
      <c r="I52" s="5"/>
      <c r="J52" s="5" t="s">
        <v>194</v>
      </c>
      <c r="K52" s="5" t="s">
        <v>194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343</v>
      </c>
      <c r="G53" s="5"/>
      <c r="H53" s="5"/>
      <c r="I53" s="5"/>
      <c r="J53" s="5" t="s">
        <v>195</v>
      </c>
      <c r="K53" s="5" t="s">
        <v>195</v>
      </c>
      <c r="L53" s="5"/>
    </row>
    <row r="54" spans="1:12">
      <c r="A54" s="3" t="s">
        <v>246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343</v>
      </c>
      <c r="G54" s="5"/>
      <c r="H54" s="5"/>
      <c r="I54" s="5"/>
      <c r="J54" s="5" t="s">
        <v>196</v>
      </c>
      <c r="K54" s="5" t="s">
        <v>196</v>
      </c>
      <c r="L54" s="5"/>
    </row>
    <row r="55" spans="1:12">
      <c r="A55" s="3" t="s">
        <v>247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343</v>
      </c>
      <c r="G55" s="5"/>
      <c r="H55" s="5"/>
      <c r="I55" s="5"/>
      <c r="J55" s="5" t="s">
        <v>198</v>
      </c>
      <c r="K55" s="5" t="s">
        <v>198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214</v>
      </c>
      <c r="E56" s="3">
        <v>4</v>
      </c>
      <c r="F56" s="7" t="s">
        <v>343</v>
      </c>
      <c r="G56" s="5"/>
      <c r="H56" s="5"/>
      <c r="I56" s="5"/>
      <c r="J56" s="5" t="s">
        <v>197</v>
      </c>
      <c r="K56" s="5" t="s">
        <v>197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214</v>
      </c>
      <c r="E57" s="3">
        <v>4</v>
      </c>
      <c r="F57" s="7" t="s">
        <v>343</v>
      </c>
      <c r="G57" s="5"/>
      <c r="H57" s="5"/>
      <c r="I57" s="5"/>
      <c r="J57" s="5" t="s">
        <v>199</v>
      </c>
      <c r="K57" s="5" t="s">
        <v>199</v>
      </c>
      <c r="L57" s="5"/>
    </row>
    <row r="58" spans="1:12">
      <c r="A58" s="3" t="s">
        <v>248</v>
      </c>
      <c r="B58" s="3" t="s">
        <v>17</v>
      </c>
      <c r="C58" s="3" t="s">
        <v>25</v>
      </c>
      <c r="D58" s="3" t="s">
        <v>214</v>
      </c>
      <c r="E58" s="3">
        <v>4</v>
      </c>
      <c r="F58" s="7" t="s">
        <v>343</v>
      </c>
      <c r="G58" s="5"/>
      <c r="H58" s="5"/>
      <c r="I58" s="5"/>
      <c r="J58" s="5" t="s">
        <v>200</v>
      </c>
      <c r="K58" s="5" t="s">
        <v>200</v>
      </c>
      <c r="L58" s="5"/>
    </row>
    <row r="59" spans="1:12">
      <c r="A59" s="3" t="s">
        <v>249</v>
      </c>
      <c r="B59" s="3" t="s">
        <v>17</v>
      </c>
      <c r="C59" s="3" t="s">
        <v>25</v>
      </c>
      <c r="D59" s="3" t="s">
        <v>214</v>
      </c>
      <c r="E59" s="3">
        <v>4</v>
      </c>
      <c r="F59" s="7" t="s">
        <v>343</v>
      </c>
      <c r="G59" s="5"/>
      <c r="H59" s="5"/>
      <c r="I59" s="5"/>
      <c r="J59" s="5" t="s">
        <v>201</v>
      </c>
      <c r="K59" s="5" t="s">
        <v>201</v>
      </c>
      <c r="L59" s="5"/>
    </row>
    <row r="60" spans="1:12">
      <c r="A60" s="3" t="s">
        <v>250</v>
      </c>
      <c r="B60" s="3" t="s">
        <v>17</v>
      </c>
      <c r="C60" s="3" t="s">
        <v>25</v>
      </c>
      <c r="D60" s="3" t="s">
        <v>214</v>
      </c>
      <c r="E60" s="3">
        <v>4</v>
      </c>
      <c r="F60" s="7" t="s">
        <v>343</v>
      </c>
      <c r="G60" s="5"/>
      <c r="H60" s="5"/>
      <c r="I60" s="5"/>
      <c r="J60" s="3"/>
      <c r="K60" s="3"/>
      <c r="L60" s="5"/>
    </row>
    <row r="61" spans="1:12">
      <c r="A61" s="3" t="s">
        <v>251</v>
      </c>
      <c r="B61" s="3" t="s">
        <v>17</v>
      </c>
      <c r="C61" s="3" t="s">
        <v>25</v>
      </c>
      <c r="D61" s="3" t="s">
        <v>214</v>
      </c>
      <c r="E61" s="3">
        <v>4</v>
      </c>
      <c r="F61" s="7" t="s">
        <v>343</v>
      </c>
      <c r="G61" s="5"/>
      <c r="H61" s="5"/>
      <c r="I61" s="5"/>
      <c r="J61" s="3"/>
      <c r="K61" s="3"/>
      <c r="L61" s="5"/>
    </row>
    <row r="62" spans="1:12">
      <c r="A62" s="3" t="s">
        <v>257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340</v>
      </c>
      <c r="G62" s="5"/>
      <c r="H62" s="5"/>
      <c r="I62" s="5"/>
      <c r="L62" s="5"/>
    </row>
    <row r="63" spans="1:12">
      <c r="A63" s="3" t="s">
        <v>258</v>
      </c>
      <c r="B63" s="3" t="s">
        <v>17</v>
      </c>
      <c r="C63" s="3" t="s">
        <v>26</v>
      </c>
      <c r="D63" s="3" t="s">
        <v>238</v>
      </c>
      <c r="E63" s="3">
        <v>4</v>
      </c>
      <c r="F63" s="7" t="s">
        <v>340</v>
      </c>
      <c r="G63" s="5"/>
      <c r="H63" s="5"/>
      <c r="I63" s="5"/>
      <c r="J63" s="3"/>
      <c r="K63" s="3"/>
      <c r="L63" s="5"/>
    </row>
    <row r="64" spans="1:12">
      <c r="A64" s="3" t="s">
        <v>259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340</v>
      </c>
      <c r="G64" s="5"/>
      <c r="H64" s="5"/>
      <c r="I64" s="5"/>
      <c r="L64" s="5"/>
    </row>
    <row r="65" spans="1:12">
      <c r="A65" s="3" t="s">
        <v>260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340</v>
      </c>
      <c r="G65" s="5"/>
      <c r="H65" s="5"/>
      <c r="I65" s="5"/>
      <c r="J65" s="3"/>
      <c r="K65" s="3"/>
      <c r="L65" s="5"/>
    </row>
    <row r="66" spans="1:12">
      <c r="A66" s="3" t="s">
        <v>261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343</v>
      </c>
      <c r="G66" s="5"/>
      <c r="H66" s="5"/>
      <c r="I66" s="5"/>
      <c r="J66" s="3"/>
      <c r="K66" s="3"/>
      <c r="L66" s="5"/>
    </row>
    <row r="67" spans="1:12">
      <c r="A67" s="3" t="s">
        <v>262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343</v>
      </c>
      <c r="G67" s="5"/>
      <c r="H67" s="5"/>
      <c r="I67" s="5"/>
      <c r="J67" s="3"/>
      <c r="K67" s="3"/>
      <c r="L67" s="5"/>
    </row>
    <row r="68" spans="1:12">
      <c r="A68" s="3" t="s">
        <v>263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343</v>
      </c>
      <c r="G68" s="5"/>
      <c r="H68" s="5"/>
      <c r="I68" s="5"/>
      <c r="J68" s="3"/>
      <c r="K68" s="3"/>
      <c r="L68" s="5"/>
    </row>
    <row r="69" spans="1:12">
      <c r="A69" s="3" t="s">
        <v>264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343</v>
      </c>
      <c r="G69" s="5"/>
      <c r="H69" s="5"/>
      <c r="I69" s="5"/>
      <c r="L69" s="5"/>
    </row>
    <row r="70" spans="1:12">
      <c r="A70" s="3" t="s">
        <v>265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343</v>
      </c>
      <c r="G70" s="5"/>
      <c r="H70" s="5"/>
      <c r="I70" s="5"/>
      <c r="L70" s="5"/>
    </row>
    <row r="71" spans="1:12">
      <c r="A71" s="3" t="s">
        <v>266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343</v>
      </c>
      <c r="G71" s="5"/>
      <c r="H71" s="5"/>
      <c r="I71" s="5"/>
      <c r="L71" s="5"/>
    </row>
    <row r="72" spans="1:12">
      <c r="A72" s="3" t="s">
        <v>267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343</v>
      </c>
      <c r="G72" s="5"/>
      <c r="H72" s="5"/>
      <c r="I72" s="5"/>
      <c r="L72" s="5"/>
    </row>
    <row r="73" spans="1:12">
      <c r="A73" s="3" t="s">
        <v>268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343</v>
      </c>
      <c r="G73" s="5"/>
      <c r="H73" s="5"/>
      <c r="I73" s="5"/>
      <c r="L73" s="5"/>
    </row>
    <row r="74" spans="1:12">
      <c r="A74" s="3" t="s">
        <v>269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343</v>
      </c>
      <c r="G74" s="5"/>
      <c r="H74" s="5"/>
      <c r="I74" s="5"/>
      <c r="L74" s="5"/>
    </row>
    <row r="75" spans="1:12">
      <c r="A75" s="3" t="s">
        <v>270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343</v>
      </c>
      <c r="G75" s="5"/>
      <c r="H75" s="5"/>
      <c r="I75" s="5"/>
      <c r="L75" s="5"/>
    </row>
    <row r="76" spans="1:12">
      <c r="A76" s="3" t="s">
        <v>271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343</v>
      </c>
      <c r="G76" s="5"/>
      <c r="H76" s="5"/>
      <c r="I76" s="5"/>
      <c r="L76" s="5"/>
    </row>
    <row r="77" spans="1:12">
      <c r="A77" s="3" t="s">
        <v>272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343</v>
      </c>
      <c r="G77" s="5"/>
      <c r="H77" s="5"/>
      <c r="I77" s="5"/>
      <c r="L77" s="5"/>
    </row>
    <row r="78" spans="1:12">
      <c r="A78" s="3" t="s">
        <v>273</v>
      </c>
      <c r="B78" s="3" t="s">
        <v>17</v>
      </c>
      <c r="C78" s="3" t="s">
        <v>26</v>
      </c>
      <c r="D78" s="3" t="s">
        <v>276</v>
      </c>
      <c r="E78" s="3">
        <v>4</v>
      </c>
      <c r="F78" s="7" t="s">
        <v>343</v>
      </c>
      <c r="G78" s="5"/>
      <c r="H78" s="5"/>
      <c r="I78" s="5"/>
      <c r="L78" s="5"/>
    </row>
    <row r="79" spans="1:12">
      <c r="A79" s="3" t="s">
        <v>274</v>
      </c>
      <c r="B79" s="3" t="s">
        <v>17</v>
      </c>
      <c r="C79" s="3" t="s">
        <v>26</v>
      </c>
      <c r="D79" s="3" t="s">
        <v>214</v>
      </c>
      <c r="E79" s="3">
        <v>4</v>
      </c>
      <c r="F79" s="7" t="s">
        <v>343</v>
      </c>
      <c r="G79" s="5"/>
      <c r="H79" s="5"/>
      <c r="I79" s="5"/>
      <c r="L79" s="5"/>
    </row>
    <row r="80" spans="1:12">
      <c r="A80" s="3" t="s">
        <v>275</v>
      </c>
      <c r="B80" s="3" t="s">
        <v>17</v>
      </c>
      <c r="C80" s="3" t="s">
        <v>26</v>
      </c>
      <c r="D80" s="3" t="s">
        <v>214</v>
      </c>
      <c r="E80" s="3">
        <v>4</v>
      </c>
      <c r="F80" s="7" t="s">
        <v>343</v>
      </c>
      <c r="G80" s="5"/>
      <c r="H80" s="5"/>
      <c r="I80" s="5"/>
      <c r="L80" s="5"/>
    </row>
    <row r="81" spans="1:12">
      <c r="A81" s="3" t="s">
        <v>277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354</v>
      </c>
      <c r="G81" s="5"/>
      <c r="H81" s="5"/>
      <c r="I81" s="5"/>
      <c r="L81" s="5"/>
    </row>
    <row r="82" spans="1:12">
      <c r="A82" s="3" t="s">
        <v>278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354</v>
      </c>
      <c r="G82" s="5"/>
      <c r="H82" s="5"/>
      <c r="I82" s="5"/>
      <c r="L82" s="5"/>
    </row>
    <row r="83" spans="1:12">
      <c r="A83" s="3" t="s">
        <v>279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354</v>
      </c>
      <c r="G83" s="5"/>
      <c r="H83" s="5"/>
      <c r="I83" s="5"/>
      <c r="L83" s="5"/>
    </row>
    <row r="84" spans="1:12">
      <c r="A84" s="3" t="s">
        <v>280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354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357</v>
      </c>
      <c r="G85" s="5"/>
      <c r="H85" s="5"/>
      <c r="I85" s="5"/>
      <c r="J85" s="5"/>
      <c r="K85" s="5"/>
      <c r="L85" s="5"/>
    </row>
    <row r="86" spans="1:12">
      <c r="A86" s="3" t="s">
        <v>281</v>
      </c>
      <c r="B86" s="3" t="s">
        <v>17</v>
      </c>
      <c r="C86" s="3" t="s">
        <v>8</v>
      </c>
      <c r="D86" s="3" t="s">
        <v>214</v>
      </c>
      <c r="E86" s="3">
        <v>3</v>
      </c>
      <c r="F86" s="7" t="s">
        <v>354</v>
      </c>
      <c r="G86" s="5"/>
      <c r="H86" s="5"/>
      <c r="I86" s="5"/>
      <c r="J86" s="5"/>
      <c r="K86" s="5"/>
      <c r="L86" s="5"/>
    </row>
    <row r="87" spans="1:12">
      <c r="A87" s="3" t="s">
        <v>282</v>
      </c>
      <c r="B87" s="3" t="s">
        <v>17</v>
      </c>
      <c r="C87" s="3" t="s">
        <v>8</v>
      </c>
      <c r="D87" s="3" t="s">
        <v>214</v>
      </c>
      <c r="E87" s="3">
        <v>2</v>
      </c>
      <c r="F87" s="7" t="s">
        <v>357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354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354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354</v>
      </c>
      <c r="G90" s="5"/>
      <c r="H90" s="5"/>
      <c r="I90" s="5"/>
      <c r="J90" s="5"/>
      <c r="K90" s="5"/>
      <c r="L90" s="5"/>
    </row>
    <row r="91" spans="1:12">
      <c r="A91" s="3" t="s">
        <v>283</v>
      </c>
      <c r="B91" s="3" t="s">
        <v>17</v>
      </c>
      <c r="C91" s="3" t="s">
        <v>28</v>
      </c>
      <c r="D91" s="3" t="s">
        <v>224</v>
      </c>
      <c r="E91" s="3">
        <v>3</v>
      </c>
      <c r="F91" s="7" t="s">
        <v>354</v>
      </c>
      <c r="G91" s="5"/>
      <c r="H91" s="5"/>
      <c r="I91" s="5"/>
      <c r="J91" s="5"/>
      <c r="K91" s="5"/>
      <c r="L91" s="5"/>
    </row>
    <row r="92" spans="1:12">
      <c r="A92" s="3" t="s">
        <v>284</v>
      </c>
      <c r="B92" s="3" t="s">
        <v>17</v>
      </c>
      <c r="C92" s="3" t="s">
        <v>28</v>
      </c>
      <c r="D92" s="3" t="s">
        <v>224</v>
      </c>
      <c r="E92" s="3">
        <v>3</v>
      </c>
      <c r="F92" s="7" t="s">
        <v>354</v>
      </c>
      <c r="G92" s="5"/>
      <c r="H92" s="5"/>
      <c r="I92" s="5"/>
      <c r="J92" s="5"/>
      <c r="K92" s="5"/>
      <c r="L92" s="5"/>
    </row>
    <row r="93" spans="1:12">
      <c r="A93" s="3" t="s">
        <v>285</v>
      </c>
      <c r="B93" s="3" t="s">
        <v>17</v>
      </c>
      <c r="C93" s="3" t="s">
        <v>28</v>
      </c>
      <c r="D93" s="3" t="s">
        <v>224</v>
      </c>
      <c r="E93" s="3">
        <v>3</v>
      </c>
      <c r="F93" s="7" t="s">
        <v>354</v>
      </c>
      <c r="G93" s="5"/>
      <c r="H93" s="5"/>
      <c r="I93" s="5"/>
      <c r="J93" s="5"/>
      <c r="K93" s="5"/>
      <c r="L93" s="5"/>
    </row>
    <row r="94" spans="1:12">
      <c r="A94" s="3" t="s">
        <v>286</v>
      </c>
      <c r="B94" s="3" t="s">
        <v>17</v>
      </c>
      <c r="C94" s="3" t="s">
        <v>28</v>
      </c>
      <c r="D94" s="3" t="s">
        <v>224</v>
      </c>
      <c r="E94" s="3">
        <v>3</v>
      </c>
      <c r="F94" s="7" t="s">
        <v>354</v>
      </c>
      <c r="G94" s="5"/>
      <c r="H94" s="5"/>
      <c r="I94" s="5"/>
      <c r="J94" s="5"/>
      <c r="K94" s="5"/>
      <c r="L94" s="5"/>
    </row>
    <row r="95" spans="1:12">
      <c r="A95" s="3" t="s">
        <v>287</v>
      </c>
      <c r="B95" s="3" t="s">
        <v>17</v>
      </c>
      <c r="C95" s="3" t="s">
        <v>28</v>
      </c>
      <c r="D95" s="3" t="s">
        <v>214</v>
      </c>
      <c r="E95" s="3">
        <v>3</v>
      </c>
      <c r="F95" s="7" t="s">
        <v>354</v>
      </c>
      <c r="G95" s="5"/>
      <c r="H95" s="5"/>
      <c r="I95" s="5"/>
      <c r="J95" s="5"/>
      <c r="K95" s="5"/>
      <c r="L95" s="5"/>
    </row>
    <row r="96" spans="1:12">
      <c r="A96" s="3" t="s">
        <v>288</v>
      </c>
      <c r="B96" s="3" t="s">
        <v>17</v>
      </c>
      <c r="C96" s="3" t="s">
        <v>28</v>
      </c>
      <c r="D96" s="3" t="s">
        <v>214</v>
      </c>
      <c r="E96" s="3">
        <v>3</v>
      </c>
      <c r="F96" s="7" t="s">
        <v>354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343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343</v>
      </c>
      <c r="G98" s="5"/>
      <c r="H98" s="5"/>
      <c r="I98" s="5"/>
      <c r="J98" s="5"/>
      <c r="K98" s="5"/>
      <c r="L98" s="5"/>
    </row>
    <row r="99" spans="1:12">
      <c r="A99" s="3" t="s">
        <v>289</v>
      </c>
      <c r="B99" s="3" t="s">
        <v>17</v>
      </c>
      <c r="C99" s="3" t="s">
        <v>10</v>
      </c>
      <c r="D99" s="3" t="s">
        <v>224</v>
      </c>
      <c r="E99" s="3">
        <v>4</v>
      </c>
      <c r="F99" s="7" t="s">
        <v>343</v>
      </c>
      <c r="G99" s="5"/>
      <c r="H99" s="5"/>
      <c r="I99" s="5"/>
      <c r="J99" s="5"/>
      <c r="K99" s="5"/>
      <c r="L99" s="5"/>
    </row>
    <row r="100" spans="1:12">
      <c r="A100" s="3" t="s">
        <v>290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343</v>
      </c>
      <c r="G100" s="5"/>
      <c r="H100" s="5"/>
      <c r="I100" s="5"/>
      <c r="J100" s="5"/>
      <c r="K100" s="5"/>
      <c r="L100" s="5"/>
    </row>
    <row r="101" spans="1:12">
      <c r="A101" s="3" t="s">
        <v>291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343</v>
      </c>
      <c r="G101" s="5"/>
      <c r="H101" s="5"/>
      <c r="I101" s="5"/>
      <c r="J101" s="5"/>
      <c r="K101" s="5"/>
      <c r="L101" s="5"/>
    </row>
    <row r="102" spans="1:12">
      <c r="A102" s="3" t="s">
        <v>292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343</v>
      </c>
      <c r="G102" s="5"/>
      <c r="H102" s="5"/>
      <c r="I102" s="5"/>
      <c r="J102" s="5"/>
      <c r="K102" s="5"/>
      <c r="L102" s="5"/>
    </row>
    <row r="103" spans="1:12">
      <c r="A103" s="3" t="s">
        <v>293</v>
      </c>
      <c r="B103" s="3" t="s">
        <v>17</v>
      </c>
      <c r="C103" s="3" t="s">
        <v>10</v>
      </c>
      <c r="D103" s="3" t="s">
        <v>214</v>
      </c>
      <c r="E103" s="3">
        <v>4</v>
      </c>
      <c r="F103" s="7" t="s">
        <v>343</v>
      </c>
      <c r="G103" s="5"/>
      <c r="H103" s="5"/>
      <c r="I103" s="5"/>
      <c r="J103" s="5"/>
      <c r="K103" s="5"/>
      <c r="L103" s="5"/>
    </row>
    <row r="104" spans="1:12">
      <c r="A104" s="3" t="s">
        <v>294</v>
      </c>
      <c r="B104" s="3" t="s">
        <v>17</v>
      </c>
      <c r="C104" s="3" t="s">
        <v>10</v>
      </c>
      <c r="D104" s="3" t="s">
        <v>214</v>
      </c>
      <c r="E104" s="3">
        <v>4</v>
      </c>
      <c r="F104" s="7" t="s">
        <v>343</v>
      </c>
      <c r="G104" s="5"/>
      <c r="H104" s="5"/>
      <c r="I104" s="5"/>
      <c r="J104" s="5"/>
      <c r="K104" s="5"/>
      <c r="L104" s="5"/>
    </row>
    <row r="105" spans="1:12">
      <c r="A105" s="3" t="s">
        <v>295</v>
      </c>
      <c r="B105" s="3" t="s">
        <v>17</v>
      </c>
      <c r="C105" s="3" t="s">
        <v>10</v>
      </c>
      <c r="D105" s="3" t="s">
        <v>214</v>
      </c>
      <c r="E105" s="3">
        <v>4</v>
      </c>
      <c r="F105" s="7" t="s">
        <v>343</v>
      </c>
      <c r="G105" s="5"/>
      <c r="H105" s="5"/>
      <c r="I105" s="5"/>
      <c r="J105" s="5"/>
      <c r="K105" s="5"/>
      <c r="L105" s="5"/>
    </row>
    <row r="106" spans="1:12">
      <c r="A106" s="3" t="s">
        <v>296</v>
      </c>
      <c r="B106" s="3" t="s">
        <v>17</v>
      </c>
      <c r="C106" s="3" t="s">
        <v>10</v>
      </c>
      <c r="D106" s="3" t="s">
        <v>214</v>
      </c>
      <c r="E106" s="3">
        <v>2</v>
      </c>
      <c r="F106" s="7" t="s">
        <v>357</v>
      </c>
      <c r="G106" s="5"/>
      <c r="H106" s="5"/>
      <c r="I106" s="5"/>
      <c r="J106" s="5"/>
      <c r="K106" s="5"/>
      <c r="L106" s="5"/>
    </row>
    <row r="107" spans="1:12">
      <c r="A107" s="3" t="s">
        <v>297</v>
      </c>
      <c r="B107" s="3" t="s">
        <v>17</v>
      </c>
      <c r="C107" s="3" t="s">
        <v>10</v>
      </c>
      <c r="D107" s="3" t="s">
        <v>214</v>
      </c>
      <c r="E107" s="3">
        <v>4</v>
      </c>
      <c r="F107" s="7" t="s">
        <v>343</v>
      </c>
      <c r="G107" s="5"/>
      <c r="H107" s="5"/>
      <c r="I107" s="5"/>
      <c r="J107" s="5"/>
      <c r="K107" s="5"/>
      <c r="L107" s="5"/>
    </row>
    <row r="108" spans="1:12">
      <c r="A108" s="3" t="s">
        <v>298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343</v>
      </c>
      <c r="G108" s="5"/>
      <c r="H108" s="5"/>
      <c r="I108" s="5"/>
      <c r="J108" s="5"/>
      <c r="K108" s="5"/>
      <c r="L108" s="5"/>
    </row>
    <row r="109" spans="1:12">
      <c r="A109" s="3" t="s">
        <v>299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343</v>
      </c>
      <c r="G109" s="5"/>
      <c r="H109" s="5"/>
      <c r="I109" s="5"/>
      <c r="J109" s="5"/>
      <c r="K109" s="5"/>
      <c r="L109" s="5"/>
    </row>
    <row r="110" spans="1:12">
      <c r="A110" s="3" t="s">
        <v>300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343</v>
      </c>
      <c r="G110" s="5"/>
      <c r="H110" s="5"/>
      <c r="I110" s="5"/>
      <c r="J110" s="5"/>
      <c r="K110" s="5"/>
      <c r="L110" s="5"/>
    </row>
    <row r="111" spans="1:12">
      <c r="A111" s="3" t="s">
        <v>301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343</v>
      </c>
      <c r="G111" s="5"/>
      <c r="H111" s="5"/>
      <c r="I111" s="5"/>
      <c r="J111" s="5"/>
      <c r="K111" s="5"/>
      <c r="L111" s="5"/>
    </row>
    <row r="112" spans="1:12">
      <c r="A112" s="3" t="s">
        <v>302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343</v>
      </c>
      <c r="G112" s="5"/>
      <c r="H112" s="5"/>
      <c r="I112" s="5"/>
      <c r="J112" s="5"/>
      <c r="K112" s="5"/>
      <c r="L112" s="5"/>
    </row>
    <row r="113" spans="1:12">
      <c r="A113" s="3" t="s">
        <v>303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343</v>
      </c>
      <c r="G113" s="5"/>
      <c r="H113" s="5"/>
      <c r="I113" s="5"/>
      <c r="J113" s="5"/>
      <c r="K113" s="5"/>
      <c r="L113" s="5"/>
    </row>
    <row r="114" spans="1:12">
      <c r="A114" s="3" t="s">
        <v>304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343</v>
      </c>
      <c r="G114" s="5"/>
      <c r="H114" s="5"/>
      <c r="I114" s="5"/>
      <c r="J114" s="5"/>
      <c r="K114" s="5"/>
      <c r="L114" s="5"/>
    </row>
    <row r="115" spans="1:12">
      <c r="A115" s="3" t="s">
        <v>305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343</v>
      </c>
      <c r="G115" s="5"/>
      <c r="H115" s="5"/>
      <c r="I115" s="5"/>
      <c r="J115" s="5"/>
      <c r="K115" s="5"/>
      <c r="L115" s="5"/>
    </row>
    <row r="116" spans="1:12">
      <c r="A116" s="3" t="s">
        <v>306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343</v>
      </c>
      <c r="G116" s="5"/>
      <c r="H116" s="5"/>
      <c r="I116" s="5"/>
      <c r="J116" s="5"/>
      <c r="K116" s="5"/>
      <c r="L116" s="5"/>
    </row>
    <row r="117" spans="1:12">
      <c r="A117" s="3" t="s">
        <v>307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343</v>
      </c>
      <c r="G117" s="5"/>
      <c r="H117" s="5"/>
      <c r="I117" s="5"/>
      <c r="J117" s="5"/>
      <c r="K117" s="5"/>
      <c r="L117" s="5"/>
    </row>
    <row r="118" spans="1:12">
      <c r="A118" s="3" t="s">
        <v>308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343</v>
      </c>
      <c r="G118" s="5"/>
      <c r="H118" s="5"/>
      <c r="I118" s="5"/>
      <c r="J118" s="5"/>
      <c r="K118" s="5"/>
      <c r="L118" s="5"/>
    </row>
    <row r="119" spans="1:12">
      <c r="A119" s="3" t="s">
        <v>309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343</v>
      </c>
      <c r="G119" s="5"/>
      <c r="H119" s="5"/>
      <c r="I119" s="5"/>
      <c r="J119" s="5"/>
      <c r="K119" s="5"/>
      <c r="L119" s="5"/>
    </row>
    <row r="120" spans="1:12">
      <c r="A120" s="3" t="s">
        <v>310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343</v>
      </c>
      <c r="G120" s="5"/>
      <c r="H120" s="5"/>
      <c r="I120" s="5"/>
      <c r="J120" s="5"/>
      <c r="K120" s="5"/>
      <c r="L120" s="5"/>
    </row>
    <row r="121" spans="1:12">
      <c r="A121" s="3" t="s">
        <v>311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343</v>
      </c>
      <c r="G121" s="5"/>
      <c r="H121" s="5"/>
      <c r="I121" s="5"/>
      <c r="J121" s="5"/>
      <c r="K121" s="5"/>
      <c r="L121" s="5"/>
    </row>
    <row r="122" spans="1:12">
      <c r="A122" s="3" t="s">
        <v>312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343</v>
      </c>
      <c r="G122" s="5"/>
      <c r="H122" s="5"/>
      <c r="I122" s="5"/>
      <c r="J122" s="5"/>
      <c r="K122" s="5"/>
      <c r="L122" s="5"/>
    </row>
    <row r="123" spans="1:12">
      <c r="A123" s="3" t="s">
        <v>313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343</v>
      </c>
      <c r="G123" s="5"/>
      <c r="H123" s="5"/>
      <c r="I123" s="5"/>
      <c r="J123" s="5"/>
      <c r="K123" s="5"/>
      <c r="L123" s="5"/>
    </row>
    <row r="124" spans="1:12">
      <c r="A124" s="3" t="s">
        <v>314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343</v>
      </c>
      <c r="G124" s="5"/>
      <c r="H124" s="5"/>
      <c r="I124" s="5"/>
      <c r="J124" s="5"/>
      <c r="K124" s="5"/>
      <c r="L124" s="5"/>
    </row>
    <row r="125" spans="1:12">
      <c r="A125" s="3" t="s">
        <v>315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343</v>
      </c>
      <c r="G125" s="5"/>
      <c r="H125" s="5"/>
      <c r="I125" s="5"/>
      <c r="J125" s="5"/>
      <c r="K125" s="5"/>
      <c r="L125" s="5"/>
    </row>
    <row r="126" spans="1:12">
      <c r="A126" s="3" t="s">
        <v>317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343</v>
      </c>
      <c r="G126" s="5"/>
      <c r="H126" s="5"/>
      <c r="I126" s="5"/>
      <c r="J126" s="5"/>
      <c r="K126" s="5"/>
      <c r="L126" s="5"/>
    </row>
    <row r="127" spans="1:12">
      <c r="A127" s="3" t="s">
        <v>316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343</v>
      </c>
      <c r="G127" s="5"/>
      <c r="H127" s="5"/>
      <c r="I127" s="5"/>
      <c r="J127" s="5"/>
      <c r="K127" s="5"/>
      <c r="L127" s="5"/>
    </row>
    <row r="128" spans="1:12">
      <c r="A128" s="3" t="s">
        <v>318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343</v>
      </c>
      <c r="G128" s="5"/>
      <c r="H128" s="5"/>
      <c r="I128" s="5"/>
      <c r="J128" s="5"/>
      <c r="K128" s="5"/>
      <c r="L128" s="5"/>
    </row>
    <row r="129" spans="1:12">
      <c r="A129" s="3" t="s">
        <v>319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343</v>
      </c>
      <c r="G129" s="5"/>
      <c r="H129" s="5"/>
      <c r="I129" s="5"/>
      <c r="J129" s="5"/>
      <c r="K129" s="5"/>
      <c r="L129" s="5"/>
    </row>
    <row r="130" spans="1:12">
      <c r="A130" s="3" t="s">
        <v>320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343</v>
      </c>
      <c r="G130" s="5"/>
      <c r="H130" s="5"/>
      <c r="I130" s="5"/>
      <c r="J130" s="5"/>
      <c r="K130" s="5"/>
      <c r="L130" s="5"/>
    </row>
    <row r="131" spans="1:12">
      <c r="A131" s="3" t="s">
        <v>324</v>
      </c>
      <c r="B131" s="3" t="s">
        <v>17</v>
      </c>
      <c r="C131" s="3" t="s">
        <v>30</v>
      </c>
      <c r="D131" s="3" t="s">
        <v>214</v>
      </c>
      <c r="E131" s="3">
        <v>4</v>
      </c>
      <c r="F131" s="7" t="s">
        <v>343</v>
      </c>
      <c r="G131" s="5"/>
      <c r="H131" s="5"/>
      <c r="I131" s="5"/>
      <c r="J131" s="5"/>
      <c r="K131" s="5"/>
      <c r="L131" s="5"/>
    </row>
    <row r="132" spans="1:12">
      <c r="A132" s="3" t="s">
        <v>325</v>
      </c>
      <c r="B132" s="3" t="s">
        <v>17</v>
      </c>
      <c r="C132" s="3" t="s">
        <v>30</v>
      </c>
      <c r="D132" s="3" t="s">
        <v>214</v>
      </c>
      <c r="E132" s="3">
        <v>4</v>
      </c>
      <c r="F132" s="7" t="s">
        <v>343</v>
      </c>
      <c r="G132" s="5"/>
      <c r="H132" s="5"/>
      <c r="I132" s="5"/>
      <c r="J132" s="5"/>
      <c r="K132" s="5"/>
      <c r="L132" s="5"/>
    </row>
    <row r="133" spans="1:12">
      <c r="A133" s="3" t="s">
        <v>326</v>
      </c>
      <c r="B133" s="3" t="s">
        <v>17</v>
      </c>
      <c r="C133" s="3" t="s">
        <v>30</v>
      </c>
      <c r="D133" s="3" t="s">
        <v>214</v>
      </c>
      <c r="E133" s="3">
        <v>4</v>
      </c>
      <c r="F133" s="7" t="s">
        <v>343</v>
      </c>
      <c r="G133" s="5"/>
      <c r="H133" s="5"/>
      <c r="I133" s="5"/>
      <c r="J133" s="5"/>
      <c r="K133" s="5"/>
      <c r="L133" s="5"/>
    </row>
    <row r="134" spans="1:12">
      <c r="A134" s="3" t="s">
        <v>327</v>
      </c>
      <c r="B134" s="3" t="s">
        <v>17</v>
      </c>
      <c r="C134" s="3" t="s">
        <v>30</v>
      </c>
      <c r="D134" s="3" t="s">
        <v>214</v>
      </c>
      <c r="E134" s="3">
        <v>4</v>
      </c>
      <c r="F134" s="7" t="s">
        <v>343</v>
      </c>
      <c r="G134" s="5"/>
      <c r="H134" s="5"/>
      <c r="I134" s="5"/>
      <c r="J134" s="5"/>
      <c r="K134" s="5"/>
      <c r="L134" s="5"/>
    </row>
    <row r="135" spans="1:12">
      <c r="A135" s="3" t="s">
        <v>328</v>
      </c>
      <c r="B135" s="3" t="s">
        <v>17</v>
      </c>
      <c r="C135" s="3" t="s">
        <v>30</v>
      </c>
      <c r="D135" s="3" t="s">
        <v>214</v>
      </c>
      <c r="E135" s="3">
        <v>4</v>
      </c>
      <c r="F135" s="7" t="s">
        <v>343</v>
      </c>
      <c r="G135" s="5"/>
      <c r="H135" s="5"/>
      <c r="I135" s="5"/>
      <c r="J135" s="5"/>
      <c r="K135" s="5"/>
      <c r="L135" s="5"/>
    </row>
    <row r="136" spans="1:12">
      <c r="A136" s="3" t="s">
        <v>329</v>
      </c>
      <c r="B136" s="3" t="s">
        <v>17</v>
      </c>
      <c r="C136" s="3" t="s">
        <v>30</v>
      </c>
      <c r="D136" s="3" t="s">
        <v>214</v>
      </c>
      <c r="E136" s="3">
        <v>4</v>
      </c>
      <c r="F136" s="7" t="s">
        <v>343</v>
      </c>
      <c r="G136" s="5"/>
      <c r="H136" s="5"/>
      <c r="I136" s="5"/>
      <c r="J136" s="5"/>
      <c r="K136" s="5"/>
      <c r="L136" s="5"/>
    </row>
    <row r="137" spans="1:12">
      <c r="A137" s="3" t="s">
        <v>330</v>
      </c>
      <c r="B137" s="3" t="s">
        <v>17</v>
      </c>
      <c r="C137" s="3" t="s">
        <v>30</v>
      </c>
      <c r="D137" s="3" t="s">
        <v>214</v>
      </c>
      <c r="E137" s="3">
        <v>4</v>
      </c>
      <c r="F137" s="7" t="s">
        <v>343</v>
      </c>
      <c r="G137" s="5"/>
      <c r="H137" s="5"/>
      <c r="I137" s="5"/>
      <c r="J137" s="5"/>
      <c r="K137" s="5"/>
      <c r="L137" s="5"/>
    </row>
    <row r="138" spans="1:12">
      <c r="A138" s="3" t="s">
        <v>331</v>
      </c>
      <c r="B138" s="3" t="s">
        <v>17</v>
      </c>
      <c r="C138" s="3" t="s">
        <v>30</v>
      </c>
      <c r="D138" s="3" t="s">
        <v>214</v>
      </c>
      <c r="E138" s="3">
        <v>4</v>
      </c>
      <c r="F138" s="7" t="s">
        <v>343</v>
      </c>
      <c r="G138" s="5"/>
      <c r="H138" s="5"/>
      <c r="I138" s="5"/>
      <c r="J138" s="5"/>
      <c r="K138" s="5"/>
      <c r="L138" s="5"/>
    </row>
    <row r="139" spans="1:12">
      <c r="A139" s="3" t="s">
        <v>322</v>
      </c>
      <c r="B139" s="3" t="s">
        <v>17</v>
      </c>
      <c r="C139" s="3" t="s">
        <v>322</v>
      </c>
      <c r="D139" s="3" t="s">
        <v>256</v>
      </c>
      <c r="E139" s="3">
        <v>4</v>
      </c>
      <c r="F139" s="7" t="s">
        <v>343</v>
      </c>
      <c r="G139" s="5"/>
      <c r="H139" s="5"/>
      <c r="I139" s="5"/>
      <c r="J139" s="5"/>
      <c r="K139" s="5"/>
      <c r="L139" s="5"/>
    </row>
    <row r="140" spans="1:12">
      <c r="A140" s="3" t="s">
        <v>321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343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354</v>
      </c>
      <c r="G141" s="5"/>
      <c r="H141" s="5"/>
      <c r="I141" s="5"/>
      <c r="J141" s="5"/>
      <c r="K141" s="5"/>
      <c r="L141" s="5"/>
    </row>
    <row r="142" spans="1:12">
      <c r="A142" s="3" t="s">
        <v>332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354</v>
      </c>
      <c r="G142" s="5"/>
      <c r="H142" s="5"/>
      <c r="I142" s="5"/>
      <c r="J142" s="5"/>
      <c r="K142" s="5"/>
      <c r="L142" s="5"/>
    </row>
    <row r="143" spans="1:12">
      <c r="A143" s="3" t="s">
        <v>333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354</v>
      </c>
      <c r="G143" s="5"/>
      <c r="H143" s="5"/>
      <c r="I143" s="5"/>
      <c r="J143" s="5"/>
      <c r="K143" s="5"/>
      <c r="L143" s="5"/>
    </row>
    <row r="144" spans="1:12">
      <c r="A144" s="3" t="s">
        <v>334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354</v>
      </c>
      <c r="G144" s="5"/>
      <c r="H144" s="5"/>
      <c r="I144" s="5"/>
      <c r="J144" s="5"/>
      <c r="K144" s="5"/>
      <c r="L144" s="5"/>
    </row>
    <row r="145" spans="1:12">
      <c r="A145" s="3" t="s">
        <v>335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354</v>
      </c>
      <c r="G145" s="5"/>
      <c r="H145" s="5"/>
      <c r="I145" s="5"/>
      <c r="J145" s="5"/>
      <c r="K145" s="5"/>
      <c r="L145" s="5"/>
    </row>
    <row r="146" spans="1:12">
      <c r="A146" s="3" t="s">
        <v>336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354</v>
      </c>
      <c r="G146" s="5"/>
      <c r="H146" s="5"/>
      <c r="I146" s="5"/>
      <c r="J146" s="5"/>
      <c r="K146" s="5"/>
      <c r="L146" s="5"/>
    </row>
    <row r="147" spans="1:12">
      <c r="A147" s="3" t="s">
        <v>337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354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354</v>
      </c>
      <c r="G148" s="5"/>
      <c r="H148" s="5"/>
      <c r="I148" s="5"/>
      <c r="J148" s="5"/>
      <c r="K148" s="5"/>
      <c r="L148" s="5"/>
    </row>
    <row r="149" spans="1:12">
      <c r="A149" s="3" t="s">
        <v>338</v>
      </c>
      <c r="B149" s="3" t="s">
        <v>17</v>
      </c>
      <c r="C149" s="3" t="s">
        <v>32</v>
      </c>
      <c r="D149" s="3" t="s">
        <v>276</v>
      </c>
      <c r="E149" s="3">
        <v>3</v>
      </c>
      <c r="F149" s="7" t="s">
        <v>354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214</v>
      </c>
      <c r="E150" s="3">
        <v>3</v>
      </c>
      <c r="F150" s="7" t="s">
        <v>354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  <pageSetUpPr fitToPage="1"/>
  </sheetPr>
  <dimension ref="A1:Z999"/>
  <sheetViews>
    <sheetView showGridLines="0" workbookViewId="0">
      <pane ySplit="2" topLeftCell="A32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5" customWidth="1"/>
    <col min="2" max="2" width="7.5" style="75" customWidth="1"/>
    <col min="3" max="3" width="0.8984375" style="75" customWidth="1"/>
    <col min="4" max="4" width="4" style="75" customWidth="1"/>
    <col min="5" max="5" width="5.8984375" style="75" customWidth="1"/>
    <col min="6" max="6" width="5.59765625" style="75" customWidth="1"/>
    <col min="7" max="7" width="11.19921875" style="75" customWidth="1"/>
    <col min="8" max="8" width="9.09765625" style="75" customWidth="1"/>
    <col min="9" max="9" width="12.69921875" style="75" customWidth="1"/>
    <col min="10" max="10" width="1.3984375" style="75" customWidth="1"/>
    <col min="11" max="11" width="1" style="75" customWidth="1"/>
    <col min="12" max="12" width="10.69921875" style="75" customWidth="1"/>
    <col min="13" max="13" width="10.09765625" style="75" customWidth="1"/>
    <col min="14" max="14" width="16.59765625" style="75" customWidth="1"/>
    <col min="15" max="15" width="8.3984375" style="75" customWidth="1"/>
    <col min="16" max="16" width="9.5" style="75" customWidth="1"/>
    <col min="17" max="17" width="1.19921875" style="75" customWidth="1"/>
    <col min="18" max="18" width="0.5" style="75" customWidth="1"/>
    <col min="19" max="26" width="0" style="75" hidden="1" customWidth="1"/>
    <col min="27" max="16384" width="11" style="75" hidden="1"/>
  </cols>
  <sheetData>
    <row r="1" spans="2:26" ht="15.6"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2:26" ht="36.6" thickBot="1">
      <c r="B2" s="520" t="s">
        <v>373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74"/>
      <c r="S2" s="74"/>
      <c r="T2" s="74"/>
      <c r="U2" s="74"/>
      <c r="V2" s="74"/>
      <c r="W2" s="74"/>
      <c r="X2" s="74"/>
      <c r="Y2" s="74"/>
      <c r="Z2" s="74"/>
    </row>
    <row r="3" spans="2:26" ht="24" customHeight="1" thickBot="1">
      <c r="B3" s="76" t="s">
        <v>374</v>
      </c>
      <c r="C3" s="522" t="s">
        <v>375</v>
      </c>
      <c r="D3" s="523"/>
      <c r="E3" s="523"/>
      <c r="F3" s="523"/>
      <c r="G3" s="523"/>
      <c r="H3" s="523"/>
      <c r="I3" s="523"/>
      <c r="J3" s="524"/>
      <c r="K3" s="525" t="s">
        <v>376</v>
      </c>
      <c r="L3" s="526"/>
      <c r="M3" s="526"/>
      <c r="N3" s="526"/>
      <c r="O3" s="526"/>
      <c r="P3" s="526"/>
      <c r="Q3" s="527"/>
      <c r="R3" s="74"/>
      <c r="S3" s="74"/>
      <c r="T3" s="74"/>
      <c r="U3" s="74"/>
      <c r="V3" s="74"/>
      <c r="W3" s="74"/>
      <c r="X3" s="74"/>
      <c r="Y3" s="74"/>
      <c r="Z3" s="74"/>
    </row>
    <row r="4" spans="2:26" ht="15.6">
      <c r="B4" s="528" t="s">
        <v>377</v>
      </c>
      <c r="C4" s="77" t="s">
        <v>378</v>
      </c>
      <c r="D4" s="78"/>
      <c r="E4" s="78"/>
      <c r="F4" s="78"/>
      <c r="G4" s="78"/>
      <c r="H4" s="78"/>
      <c r="I4" s="78"/>
      <c r="J4" s="79"/>
      <c r="K4" s="80" t="s">
        <v>378</v>
      </c>
      <c r="L4" s="78"/>
      <c r="M4" s="78"/>
      <c r="N4" s="78"/>
      <c r="O4" s="78"/>
      <c r="P4" s="78"/>
      <c r="Q4" s="79"/>
      <c r="R4" s="74"/>
      <c r="S4" s="74"/>
      <c r="T4" s="74"/>
      <c r="U4" s="74"/>
      <c r="V4" s="74"/>
      <c r="W4" s="74"/>
      <c r="X4" s="74"/>
      <c r="Y4" s="74"/>
      <c r="Z4" s="74"/>
    </row>
    <row r="5" spans="2:26" ht="18.75" customHeight="1">
      <c r="B5" s="529"/>
      <c r="C5" s="81"/>
      <c r="D5" s="516" t="s">
        <v>379</v>
      </c>
      <c r="E5" s="517"/>
      <c r="F5" s="517"/>
      <c r="G5" s="518"/>
      <c r="H5" s="519" t="s">
        <v>380</v>
      </c>
      <c r="I5" s="517"/>
      <c r="J5" s="82"/>
      <c r="K5" s="83"/>
      <c r="L5" s="516" t="s">
        <v>379</v>
      </c>
      <c r="M5" s="517"/>
      <c r="N5" s="518"/>
      <c r="O5" s="519" t="s">
        <v>381</v>
      </c>
      <c r="P5" s="517"/>
      <c r="Q5" s="82"/>
      <c r="R5" s="74"/>
      <c r="S5" s="74"/>
      <c r="T5" s="74"/>
      <c r="U5" s="74"/>
      <c r="V5" s="74"/>
      <c r="W5" s="74"/>
      <c r="X5" s="74"/>
      <c r="Y5" s="74"/>
      <c r="Z5" s="74"/>
    </row>
    <row r="6" spans="2:26" ht="18.75" customHeight="1">
      <c r="B6" s="529"/>
      <c r="C6" s="81"/>
      <c r="D6" s="516" t="s">
        <v>382</v>
      </c>
      <c r="E6" s="517"/>
      <c r="F6" s="517"/>
      <c r="G6" s="518"/>
      <c r="H6" s="519" t="s">
        <v>383</v>
      </c>
      <c r="I6" s="517"/>
      <c r="J6" s="82"/>
      <c r="K6" s="83"/>
      <c r="L6" s="516" t="s">
        <v>382</v>
      </c>
      <c r="M6" s="517"/>
      <c r="N6" s="518"/>
      <c r="O6" s="519" t="s">
        <v>384</v>
      </c>
      <c r="P6" s="517"/>
      <c r="Q6" s="82"/>
      <c r="R6" s="74"/>
      <c r="S6" s="74"/>
      <c r="T6" s="74"/>
      <c r="U6" s="74"/>
      <c r="V6" s="74"/>
      <c r="W6" s="74"/>
      <c r="X6" s="74"/>
      <c r="Y6" s="74"/>
      <c r="Z6" s="74"/>
    </row>
    <row r="7" spans="2:26" ht="18.75" customHeight="1">
      <c r="B7" s="529"/>
      <c r="C7" s="81"/>
      <c r="D7" s="516" t="s">
        <v>385</v>
      </c>
      <c r="E7" s="517"/>
      <c r="F7" s="517"/>
      <c r="G7" s="518"/>
      <c r="H7" s="519" t="s">
        <v>386</v>
      </c>
      <c r="I7" s="517"/>
      <c r="J7" s="82"/>
      <c r="K7" s="83"/>
      <c r="L7" s="516" t="s">
        <v>385</v>
      </c>
      <c r="M7" s="517"/>
      <c r="N7" s="518"/>
      <c r="O7" s="519" t="s">
        <v>387</v>
      </c>
      <c r="P7" s="517"/>
      <c r="Q7" s="82"/>
      <c r="R7" s="74"/>
      <c r="S7" s="74"/>
      <c r="T7" s="74"/>
      <c r="U7" s="74"/>
      <c r="V7" s="74"/>
      <c r="W7" s="74"/>
      <c r="X7" s="74"/>
      <c r="Y7" s="74"/>
      <c r="Z7" s="74"/>
    </row>
    <row r="8" spans="2:26" ht="18.75" customHeight="1">
      <c r="B8" s="529"/>
      <c r="C8" s="81"/>
      <c r="D8" s="516" t="s">
        <v>388</v>
      </c>
      <c r="E8" s="517"/>
      <c r="F8" s="517"/>
      <c r="G8" s="518"/>
      <c r="H8" s="519" t="s">
        <v>389</v>
      </c>
      <c r="I8" s="517"/>
      <c r="J8" s="82"/>
      <c r="K8" s="83"/>
      <c r="L8" s="516" t="s">
        <v>388</v>
      </c>
      <c r="M8" s="517"/>
      <c r="N8" s="518"/>
      <c r="O8" s="519" t="s">
        <v>389</v>
      </c>
      <c r="P8" s="517"/>
      <c r="Q8" s="82"/>
      <c r="R8" s="74"/>
      <c r="S8" s="74"/>
      <c r="T8" s="74"/>
      <c r="U8" s="74"/>
      <c r="V8" s="74"/>
      <c r="W8" s="74"/>
      <c r="X8" s="74"/>
      <c r="Y8" s="74"/>
      <c r="Z8" s="74"/>
    </row>
    <row r="9" spans="2:26" ht="8.25" customHeight="1" thickBot="1">
      <c r="B9" s="530"/>
      <c r="C9" s="84"/>
      <c r="D9" s="85"/>
      <c r="E9" s="85"/>
      <c r="F9" s="85"/>
      <c r="G9" s="85"/>
      <c r="H9" s="85"/>
      <c r="I9" s="85"/>
      <c r="J9" s="86"/>
      <c r="K9" s="87"/>
      <c r="L9" s="85"/>
      <c r="M9" s="85"/>
      <c r="N9" s="85"/>
      <c r="O9" s="85"/>
      <c r="P9" s="85"/>
      <c r="Q9" s="86"/>
      <c r="R9" s="74"/>
      <c r="S9" s="74"/>
      <c r="T9" s="74"/>
      <c r="U9" s="74"/>
      <c r="V9" s="74"/>
      <c r="W9" s="74"/>
      <c r="X9" s="74"/>
      <c r="Y9" s="74"/>
      <c r="Z9" s="74"/>
    </row>
    <row r="10" spans="2:26" ht="6.75" customHeight="1">
      <c r="B10" s="528" t="s">
        <v>390</v>
      </c>
      <c r="C10" s="77"/>
      <c r="D10" s="78"/>
      <c r="E10" s="78"/>
      <c r="F10" s="78"/>
      <c r="G10" s="78"/>
      <c r="H10" s="78"/>
      <c r="I10" s="78"/>
      <c r="J10" s="79"/>
      <c r="K10" s="80"/>
      <c r="L10" s="78"/>
      <c r="M10" s="78"/>
      <c r="N10" s="78"/>
      <c r="O10" s="78"/>
      <c r="P10" s="78"/>
      <c r="Q10" s="79"/>
      <c r="R10" s="74"/>
      <c r="S10" s="74"/>
      <c r="T10" s="74"/>
      <c r="U10" s="74"/>
      <c r="V10" s="74"/>
      <c r="W10" s="74"/>
      <c r="X10" s="74"/>
      <c r="Y10" s="74"/>
      <c r="Z10" s="74"/>
    </row>
    <row r="11" spans="2:26" ht="16.5" customHeight="1">
      <c r="B11" s="529"/>
      <c r="C11" s="81"/>
      <c r="D11" s="516" t="s">
        <v>323</v>
      </c>
      <c r="E11" s="517"/>
      <c r="F11" s="517"/>
      <c r="G11" s="519" t="s">
        <v>391</v>
      </c>
      <c r="H11" s="517"/>
      <c r="I11" s="517"/>
      <c r="J11" s="82"/>
      <c r="K11" s="83"/>
      <c r="L11" s="531" t="s">
        <v>323</v>
      </c>
      <c r="M11" s="532"/>
      <c r="N11" s="535" t="s">
        <v>392</v>
      </c>
      <c r="O11" s="536"/>
      <c r="P11" s="536"/>
      <c r="Q11" s="82"/>
      <c r="R11" s="74"/>
      <c r="S11" s="74"/>
      <c r="T11" s="74"/>
      <c r="U11" s="74"/>
      <c r="V11" s="74"/>
      <c r="W11" s="74"/>
      <c r="X11" s="74"/>
      <c r="Y11" s="74"/>
      <c r="Z11" s="74"/>
    </row>
    <row r="12" spans="2:26" ht="16.5" customHeight="1">
      <c r="B12" s="529"/>
      <c r="C12" s="81"/>
      <c r="D12" s="516" t="s">
        <v>393</v>
      </c>
      <c r="E12" s="517"/>
      <c r="F12" s="517"/>
      <c r="G12" s="519" t="s">
        <v>394</v>
      </c>
      <c r="H12" s="517"/>
      <c r="I12" s="517"/>
      <c r="J12" s="82"/>
      <c r="K12" s="83"/>
      <c r="L12" s="533"/>
      <c r="M12" s="534"/>
      <c r="N12" s="537"/>
      <c r="O12" s="533"/>
      <c r="P12" s="533"/>
      <c r="Q12" s="82"/>
      <c r="R12" s="74"/>
      <c r="S12" s="74"/>
      <c r="T12" s="74"/>
      <c r="U12" s="74"/>
      <c r="V12" s="74"/>
      <c r="W12" s="74"/>
      <c r="X12" s="74"/>
      <c r="Y12" s="74"/>
      <c r="Z12" s="74"/>
    </row>
    <row r="13" spans="2:26" ht="16.5" customHeight="1">
      <c r="B13" s="529"/>
      <c r="C13" s="81"/>
      <c r="D13" s="516" t="s">
        <v>395</v>
      </c>
      <c r="E13" s="517"/>
      <c r="F13" s="517"/>
      <c r="G13" s="519" t="s">
        <v>396</v>
      </c>
      <c r="H13" s="517"/>
      <c r="I13" s="517"/>
      <c r="J13" s="82"/>
      <c r="K13" s="83"/>
      <c r="L13" s="516" t="s">
        <v>397</v>
      </c>
      <c r="M13" s="518"/>
      <c r="N13" s="519" t="s">
        <v>396</v>
      </c>
      <c r="O13" s="517"/>
      <c r="P13" s="517"/>
      <c r="Q13" s="82"/>
      <c r="R13" s="74"/>
      <c r="S13" s="74"/>
      <c r="T13" s="74"/>
      <c r="U13" s="74"/>
      <c r="V13" s="74"/>
      <c r="W13" s="74"/>
      <c r="X13" s="74"/>
      <c r="Y13" s="74"/>
      <c r="Z13" s="74"/>
    </row>
    <row r="14" spans="2:26" ht="6.75" customHeight="1" thickBot="1">
      <c r="B14" s="530"/>
      <c r="C14" s="84"/>
      <c r="D14" s="85"/>
      <c r="E14" s="85"/>
      <c r="F14" s="85"/>
      <c r="G14" s="85"/>
      <c r="H14" s="85"/>
      <c r="I14" s="85"/>
      <c r="J14" s="86"/>
      <c r="K14" s="87"/>
      <c r="L14" s="85"/>
      <c r="M14" s="85"/>
      <c r="N14" s="85"/>
      <c r="O14" s="85"/>
      <c r="P14" s="85"/>
      <c r="Q14" s="86"/>
      <c r="R14" s="74"/>
      <c r="S14" s="74"/>
      <c r="T14" s="74"/>
      <c r="U14" s="74"/>
      <c r="V14" s="74"/>
      <c r="W14" s="74"/>
      <c r="X14" s="74"/>
      <c r="Y14" s="74"/>
      <c r="Z14" s="74"/>
    </row>
    <row r="15" spans="2:26" ht="6.75" customHeight="1">
      <c r="B15" s="528" t="s">
        <v>398</v>
      </c>
      <c r="C15" s="77"/>
      <c r="D15" s="78"/>
      <c r="E15" s="78"/>
      <c r="F15" s="78"/>
      <c r="G15" s="78"/>
      <c r="H15" s="78"/>
      <c r="I15" s="78"/>
      <c r="J15" s="79"/>
      <c r="K15" s="80"/>
      <c r="L15" s="78"/>
      <c r="M15" s="78"/>
      <c r="N15" s="78"/>
      <c r="O15" s="78"/>
      <c r="P15" s="78"/>
      <c r="Q15" s="79"/>
      <c r="R15" s="74"/>
      <c r="S15" s="74"/>
      <c r="T15" s="74"/>
      <c r="U15" s="74"/>
      <c r="V15" s="74"/>
      <c r="W15" s="74"/>
      <c r="X15" s="74"/>
      <c r="Y15" s="74"/>
      <c r="Z15" s="74"/>
    </row>
    <row r="16" spans="2:26" ht="20.25" customHeight="1">
      <c r="B16" s="529"/>
      <c r="C16" s="81"/>
      <c r="D16" s="516" t="s">
        <v>399</v>
      </c>
      <c r="E16" s="517"/>
      <c r="F16" s="517"/>
      <c r="G16" s="518"/>
      <c r="H16" s="519">
        <v>1</v>
      </c>
      <c r="I16" s="517"/>
      <c r="J16" s="82"/>
      <c r="K16" s="83"/>
      <c r="L16" s="516" t="s">
        <v>399</v>
      </c>
      <c r="M16" s="517"/>
      <c r="N16" s="518"/>
      <c r="O16" s="519" t="s">
        <v>400</v>
      </c>
      <c r="P16" s="517"/>
      <c r="Q16" s="82"/>
      <c r="R16" s="74"/>
      <c r="S16" s="74"/>
      <c r="T16" s="74"/>
      <c r="U16" s="74"/>
      <c r="V16" s="74"/>
      <c r="W16" s="74"/>
      <c r="X16" s="74"/>
      <c r="Y16" s="74"/>
      <c r="Z16" s="74"/>
    </row>
    <row r="17" spans="2:26" ht="20.25" customHeight="1">
      <c r="B17" s="529"/>
      <c r="C17" s="81"/>
      <c r="D17" s="516" t="s">
        <v>401</v>
      </c>
      <c r="E17" s="517"/>
      <c r="F17" s="517"/>
      <c r="G17" s="518"/>
      <c r="H17" s="519">
        <v>179</v>
      </c>
      <c r="I17" s="517"/>
      <c r="J17" s="82"/>
      <c r="K17" s="83"/>
      <c r="L17" s="516" t="s">
        <v>402</v>
      </c>
      <c r="M17" s="517"/>
      <c r="N17" s="518"/>
      <c r="O17" s="519" t="s">
        <v>403</v>
      </c>
      <c r="P17" s="517"/>
      <c r="Q17" s="82"/>
      <c r="R17" s="74"/>
      <c r="S17" s="74"/>
      <c r="T17" s="74"/>
      <c r="U17" s="74"/>
      <c r="V17" s="74"/>
      <c r="W17" s="74"/>
      <c r="X17" s="74"/>
      <c r="Y17" s="74"/>
      <c r="Z17" s="74"/>
    </row>
    <row r="18" spans="2:26" ht="20.25" customHeight="1">
      <c r="B18" s="529"/>
      <c r="C18" s="81"/>
      <c r="D18" s="516" t="s">
        <v>404</v>
      </c>
      <c r="E18" s="517"/>
      <c r="F18" s="517"/>
      <c r="G18" s="518"/>
      <c r="H18" s="519">
        <v>368</v>
      </c>
      <c r="I18" s="517"/>
      <c r="J18" s="82"/>
      <c r="K18" s="83"/>
      <c r="L18" s="516" t="s">
        <v>405</v>
      </c>
      <c r="M18" s="517"/>
      <c r="N18" s="518"/>
      <c r="O18" s="519" t="s">
        <v>406</v>
      </c>
      <c r="P18" s="517"/>
      <c r="Q18" s="82"/>
      <c r="R18" s="74"/>
      <c r="S18" s="74"/>
      <c r="T18" s="74"/>
      <c r="U18" s="74"/>
      <c r="V18" s="74"/>
      <c r="W18" s="74"/>
      <c r="X18" s="74"/>
      <c r="Y18" s="74"/>
      <c r="Z18" s="74"/>
    </row>
    <row r="19" spans="2:26" ht="20.25" customHeight="1">
      <c r="B19" s="529"/>
      <c r="C19" s="81"/>
      <c r="D19" s="516" t="s">
        <v>407</v>
      </c>
      <c r="E19" s="517"/>
      <c r="F19" s="517"/>
      <c r="G19" s="518"/>
      <c r="H19" s="519">
        <v>548</v>
      </c>
      <c r="I19" s="517"/>
      <c r="J19" s="82"/>
      <c r="K19" s="83"/>
      <c r="L19" s="516" t="s">
        <v>407</v>
      </c>
      <c r="M19" s="517"/>
      <c r="N19" s="518"/>
      <c r="O19" s="519" t="s">
        <v>408</v>
      </c>
      <c r="P19" s="517"/>
      <c r="Q19" s="82"/>
      <c r="R19" s="74"/>
      <c r="S19" s="74"/>
      <c r="T19" s="74"/>
      <c r="U19" s="74"/>
      <c r="V19" s="74"/>
      <c r="W19" s="74"/>
      <c r="X19" s="74"/>
      <c r="Y19" s="74"/>
      <c r="Z19" s="74"/>
    </row>
    <row r="20" spans="2:26" ht="5.25" customHeight="1" thickBot="1">
      <c r="B20" s="530"/>
      <c r="C20" s="84"/>
      <c r="D20" s="85"/>
      <c r="E20" s="85"/>
      <c r="F20" s="85"/>
      <c r="G20" s="85"/>
      <c r="H20" s="85"/>
      <c r="I20" s="85"/>
      <c r="J20" s="86"/>
      <c r="K20" s="87"/>
      <c r="L20" s="85"/>
      <c r="M20" s="85"/>
      <c r="N20" s="85"/>
      <c r="O20" s="85"/>
      <c r="P20" s="85"/>
      <c r="Q20" s="86"/>
      <c r="R20" s="74"/>
      <c r="S20" s="74"/>
      <c r="T20" s="74"/>
      <c r="U20" s="74"/>
      <c r="V20" s="74"/>
      <c r="W20" s="74"/>
      <c r="X20" s="74"/>
      <c r="Y20" s="74"/>
      <c r="Z20" s="74"/>
    </row>
    <row r="21" spans="2:26" ht="5.25" customHeight="1">
      <c r="B21" s="528" t="s">
        <v>409</v>
      </c>
      <c r="C21" s="77"/>
      <c r="D21" s="78"/>
      <c r="E21" s="78"/>
      <c r="F21" s="78"/>
      <c r="G21" s="78"/>
      <c r="H21" s="78"/>
      <c r="I21" s="78"/>
      <c r="J21" s="79"/>
      <c r="K21" s="80"/>
      <c r="L21" s="78"/>
      <c r="M21" s="78"/>
      <c r="N21" s="78"/>
      <c r="O21" s="78"/>
      <c r="P21" s="78"/>
      <c r="Q21" s="79"/>
      <c r="R21" s="74"/>
      <c r="S21" s="74"/>
      <c r="T21" s="74"/>
      <c r="U21" s="74"/>
      <c r="V21" s="74"/>
      <c r="W21" s="74"/>
      <c r="X21" s="74"/>
      <c r="Y21" s="74"/>
      <c r="Z21" s="74"/>
    </row>
    <row r="22" spans="2:26" ht="31.8" thickBot="1">
      <c r="B22" s="529"/>
      <c r="C22" s="81"/>
      <c r="D22" s="88"/>
      <c r="E22" s="89"/>
      <c r="F22" s="90" t="s">
        <v>410</v>
      </c>
      <c r="G22" s="90" t="s">
        <v>411</v>
      </c>
      <c r="H22" s="90" t="s">
        <v>412</v>
      </c>
      <c r="I22" s="91" t="s">
        <v>413</v>
      </c>
      <c r="J22" s="92"/>
      <c r="K22" s="93"/>
      <c r="L22" s="88"/>
      <c r="M22" s="90" t="s">
        <v>411</v>
      </c>
      <c r="N22" s="90" t="s">
        <v>414</v>
      </c>
      <c r="O22" s="538" t="s">
        <v>413</v>
      </c>
      <c r="P22" s="539"/>
      <c r="Q22" s="82"/>
      <c r="R22" s="74"/>
      <c r="S22" s="74"/>
      <c r="T22" s="74"/>
      <c r="U22" s="74"/>
      <c r="V22" s="74"/>
      <c r="W22" s="74"/>
      <c r="X22" s="74"/>
      <c r="Y22" s="74"/>
      <c r="Z22" s="74"/>
    </row>
    <row r="23" spans="2:26" ht="16.2" thickTop="1">
      <c r="B23" s="529"/>
      <c r="C23" s="81"/>
      <c r="D23" s="540" t="s">
        <v>411</v>
      </c>
      <c r="E23" s="542" t="s">
        <v>415</v>
      </c>
      <c r="F23" s="542" t="s">
        <v>416</v>
      </c>
      <c r="G23" s="94" t="s">
        <v>417</v>
      </c>
      <c r="H23" s="94" t="s">
        <v>418</v>
      </c>
      <c r="I23" s="545">
        <v>24</v>
      </c>
      <c r="J23" s="92"/>
      <c r="K23" s="93"/>
      <c r="L23" s="540" t="s">
        <v>419</v>
      </c>
      <c r="M23" s="95" t="s">
        <v>417</v>
      </c>
      <c r="N23" s="95" t="s">
        <v>420</v>
      </c>
      <c r="O23" s="545">
        <v>24</v>
      </c>
      <c r="P23" s="553"/>
      <c r="Q23" s="82"/>
      <c r="R23" s="74"/>
      <c r="S23" s="74"/>
      <c r="T23" s="74"/>
      <c r="U23" s="74"/>
      <c r="V23" s="74"/>
      <c r="W23" s="74"/>
      <c r="X23" s="74"/>
      <c r="Y23" s="74"/>
      <c r="Z23" s="74"/>
    </row>
    <row r="24" spans="2:26" ht="15.6">
      <c r="B24" s="529"/>
      <c r="C24" s="81"/>
      <c r="D24" s="541"/>
      <c r="E24" s="543"/>
      <c r="F24" s="543"/>
      <c r="G24" s="96" t="s">
        <v>421</v>
      </c>
      <c r="H24" s="96" t="s">
        <v>422</v>
      </c>
      <c r="I24" s="546"/>
      <c r="J24" s="92"/>
      <c r="K24" s="93"/>
      <c r="L24" s="541"/>
      <c r="M24" s="97" t="s">
        <v>421</v>
      </c>
      <c r="N24" s="97" t="s">
        <v>423</v>
      </c>
      <c r="O24" s="546"/>
      <c r="P24" s="554"/>
      <c r="Q24" s="82"/>
      <c r="R24" s="74"/>
      <c r="S24" s="74"/>
      <c r="T24" s="74"/>
      <c r="U24" s="74"/>
      <c r="V24" s="74"/>
      <c r="W24" s="74"/>
      <c r="X24" s="74"/>
      <c r="Y24" s="74"/>
      <c r="Z24" s="74"/>
    </row>
    <row r="25" spans="2:26" ht="15.6">
      <c r="B25" s="529"/>
      <c r="C25" s="81"/>
      <c r="D25" s="541"/>
      <c r="E25" s="543"/>
      <c r="F25" s="543"/>
      <c r="G25" s="96" t="s">
        <v>424</v>
      </c>
      <c r="H25" s="96" t="s">
        <v>425</v>
      </c>
      <c r="I25" s="547"/>
      <c r="J25" s="92"/>
      <c r="K25" s="93"/>
      <c r="L25" s="541"/>
      <c r="M25" s="97" t="s">
        <v>424</v>
      </c>
      <c r="N25" s="97" t="s">
        <v>426</v>
      </c>
      <c r="O25" s="537"/>
      <c r="P25" s="533"/>
      <c r="Q25" s="82"/>
      <c r="R25" s="74"/>
      <c r="S25" s="74"/>
      <c r="T25" s="74"/>
      <c r="U25" s="74"/>
      <c r="V25" s="74"/>
      <c r="W25" s="74"/>
      <c r="X25" s="74"/>
      <c r="Y25" s="74"/>
      <c r="Z25" s="74"/>
    </row>
    <row r="26" spans="2:26" ht="15.6">
      <c r="B26" s="529"/>
      <c r="C26" s="81"/>
      <c r="D26" s="541"/>
      <c r="E26" s="543"/>
      <c r="F26" s="544"/>
      <c r="G26" s="98" t="s">
        <v>427</v>
      </c>
      <c r="H26" s="98" t="s">
        <v>428</v>
      </c>
      <c r="I26" s="99">
        <v>6</v>
      </c>
      <c r="J26" s="92"/>
      <c r="K26" s="93"/>
      <c r="L26" s="541"/>
      <c r="M26" s="555" t="s">
        <v>429</v>
      </c>
      <c r="N26" s="100" t="s">
        <v>430</v>
      </c>
      <c r="O26" s="556">
        <v>6</v>
      </c>
      <c r="P26" s="557"/>
      <c r="Q26" s="82"/>
      <c r="R26" s="74"/>
      <c r="S26" s="74"/>
      <c r="T26" s="74"/>
      <c r="U26" s="74"/>
      <c r="V26" s="74"/>
      <c r="W26" s="74"/>
      <c r="X26" s="74"/>
      <c r="Y26" s="74"/>
      <c r="Z26" s="74"/>
    </row>
    <row r="27" spans="2:26" ht="46.8">
      <c r="B27" s="529"/>
      <c r="C27" s="81"/>
      <c r="D27" s="541"/>
      <c r="E27" s="543"/>
      <c r="F27" s="555" t="s">
        <v>431</v>
      </c>
      <c r="G27" s="100" t="s">
        <v>429</v>
      </c>
      <c r="H27" s="100" t="s">
        <v>432</v>
      </c>
      <c r="I27" s="558">
        <v>12</v>
      </c>
      <c r="J27" s="92"/>
      <c r="K27" s="93"/>
      <c r="L27" s="541"/>
      <c r="M27" s="544"/>
      <c r="N27" s="98" t="s">
        <v>433</v>
      </c>
      <c r="O27" s="559">
        <v>12</v>
      </c>
      <c r="P27" s="560"/>
      <c r="Q27" s="82"/>
      <c r="R27" s="74"/>
      <c r="S27" s="74"/>
      <c r="T27" s="74"/>
      <c r="U27" s="74"/>
      <c r="V27" s="74"/>
      <c r="W27" s="74"/>
      <c r="X27" s="74"/>
      <c r="Y27" s="74"/>
      <c r="Z27" s="74"/>
    </row>
    <row r="28" spans="2:26" ht="31.2">
      <c r="B28" s="529"/>
      <c r="C28" s="81"/>
      <c r="D28" s="541"/>
      <c r="E28" s="543"/>
      <c r="F28" s="544"/>
      <c r="G28" s="98" t="s">
        <v>434</v>
      </c>
      <c r="H28" s="98" t="s">
        <v>435</v>
      </c>
      <c r="I28" s="537"/>
      <c r="J28" s="92"/>
      <c r="K28" s="93"/>
      <c r="L28" s="541"/>
      <c r="M28" s="97" t="s">
        <v>434</v>
      </c>
      <c r="N28" s="97" t="s">
        <v>436</v>
      </c>
      <c r="O28" s="537"/>
      <c r="P28" s="533"/>
      <c r="Q28" s="82"/>
      <c r="R28" s="74"/>
      <c r="S28" s="74"/>
      <c r="T28" s="74"/>
      <c r="U28" s="74"/>
      <c r="V28" s="74"/>
      <c r="W28" s="74"/>
      <c r="X28" s="74"/>
      <c r="Y28" s="74"/>
      <c r="Z28" s="74"/>
    </row>
    <row r="29" spans="2:26" ht="15.6">
      <c r="B29" s="529"/>
      <c r="C29" s="81"/>
      <c r="D29" s="541"/>
      <c r="E29" s="543"/>
      <c r="F29" s="555" t="s">
        <v>437</v>
      </c>
      <c r="G29" s="100" t="s">
        <v>438</v>
      </c>
      <c r="H29" s="101"/>
      <c r="I29" s="102">
        <v>8</v>
      </c>
      <c r="J29" s="92"/>
      <c r="K29" s="93"/>
      <c r="L29" s="541"/>
      <c r="M29" s="97" t="s">
        <v>438</v>
      </c>
      <c r="N29" s="103"/>
      <c r="O29" s="550">
        <v>8</v>
      </c>
      <c r="P29" s="517"/>
      <c r="Q29" s="82"/>
      <c r="R29" s="74"/>
      <c r="S29" s="74"/>
      <c r="T29" s="74"/>
      <c r="U29" s="74"/>
      <c r="V29" s="74"/>
      <c r="W29" s="74"/>
      <c r="X29" s="74"/>
      <c r="Y29" s="74"/>
      <c r="Z29" s="74"/>
    </row>
    <row r="30" spans="2:26" ht="15.6">
      <c r="B30" s="529"/>
      <c r="C30" s="81"/>
      <c r="D30" s="541"/>
      <c r="E30" s="543"/>
      <c r="F30" s="544"/>
      <c r="G30" s="98" t="s">
        <v>439</v>
      </c>
      <c r="H30" s="104"/>
      <c r="I30" s="99">
        <v>6</v>
      </c>
      <c r="J30" s="92"/>
      <c r="K30" s="93"/>
      <c r="L30" s="541"/>
      <c r="M30" s="97" t="s">
        <v>439</v>
      </c>
      <c r="N30" s="103"/>
      <c r="O30" s="550">
        <v>6</v>
      </c>
      <c r="P30" s="517"/>
      <c r="Q30" s="82"/>
      <c r="R30" s="74"/>
      <c r="S30" s="74"/>
      <c r="T30" s="74"/>
      <c r="U30" s="74"/>
      <c r="V30" s="74"/>
      <c r="W30" s="74"/>
      <c r="X30" s="74"/>
      <c r="Y30" s="74"/>
      <c r="Z30" s="74"/>
    </row>
    <row r="31" spans="2:26" ht="62.4">
      <c r="B31" s="529"/>
      <c r="C31" s="81"/>
      <c r="D31" s="541"/>
      <c r="E31" s="543"/>
      <c r="F31" s="97" t="s">
        <v>440</v>
      </c>
      <c r="G31" s="97" t="s">
        <v>441</v>
      </c>
      <c r="H31" s="103"/>
      <c r="I31" s="105">
        <v>10</v>
      </c>
      <c r="J31" s="92"/>
      <c r="K31" s="93"/>
      <c r="L31" s="541"/>
      <c r="M31" s="97" t="s">
        <v>442</v>
      </c>
      <c r="N31" s="103"/>
      <c r="O31" s="550">
        <v>8</v>
      </c>
      <c r="P31" s="517"/>
      <c r="Q31" s="82"/>
      <c r="R31" s="74"/>
      <c r="S31" s="74"/>
      <c r="T31" s="74"/>
      <c r="U31" s="74"/>
      <c r="V31" s="74"/>
      <c r="W31" s="74"/>
      <c r="X31" s="74"/>
      <c r="Y31" s="74"/>
      <c r="Z31" s="74"/>
    </row>
    <row r="32" spans="2:26" ht="18.75" customHeight="1">
      <c r="B32" s="529"/>
      <c r="C32" s="81"/>
      <c r="D32" s="541"/>
      <c r="E32" s="544"/>
      <c r="F32" s="551" t="s">
        <v>407</v>
      </c>
      <c r="G32" s="517"/>
      <c r="H32" s="518"/>
      <c r="I32" s="106">
        <v>66</v>
      </c>
      <c r="J32" s="92"/>
      <c r="K32" s="93"/>
      <c r="L32" s="534"/>
      <c r="M32" s="551" t="s">
        <v>407</v>
      </c>
      <c r="N32" s="518"/>
      <c r="O32" s="552">
        <v>64</v>
      </c>
      <c r="P32" s="517"/>
      <c r="Q32" s="82"/>
      <c r="R32" s="74"/>
      <c r="S32" s="74"/>
      <c r="T32" s="74"/>
      <c r="U32" s="74"/>
      <c r="V32" s="74"/>
      <c r="W32" s="74"/>
      <c r="X32" s="74"/>
      <c r="Y32" s="74"/>
      <c r="Z32" s="74"/>
    </row>
    <row r="33" spans="2:26" ht="35.25" customHeight="1">
      <c r="B33" s="529"/>
      <c r="C33" s="81"/>
      <c r="D33" s="534"/>
      <c r="E33" s="107" t="s">
        <v>443</v>
      </c>
      <c r="F33" s="551" t="s">
        <v>444</v>
      </c>
      <c r="G33" s="517"/>
      <c r="H33" s="518"/>
      <c r="I33" s="106">
        <v>86</v>
      </c>
      <c r="J33" s="92"/>
      <c r="K33" s="93"/>
      <c r="L33" s="108" t="s">
        <v>445</v>
      </c>
      <c r="M33" s="551" t="s">
        <v>446</v>
      </c>
      <c r="N33" s="518"/>
      <c r="O33" s="552">
        <v>80</v>
      </c>
      <c r="P33" s="517"/>
      <c r="Q33" s="82"/>
      <c r="R33" s="74"/>
      <c r="S33" s="74"/>
      <c r="T33" s="74"/>
      <c r="U33" s="74"/>
      <c r="V33" s="74"/>
      <c r="W33" s="74"/>
      <c r="X33" s="74"/>
      <c r="Y33" s="74"/>
      <c r="Z33" s="74"/>
    </row>
    <row r="34" spans="2:26" ht="21.75" customHeight="1">
      <c r="B34" s="529"/>
      <c r="C34" s="81"/>
      <c r="D34" s="548" t="s">
        <v>385</v>
      </c>
      <c r="E34" s="517"/>
      <c r="F34" s="517"/>
      <c r="G34" s="517"/>
      <c r="H34" s="518"/>
      <c r="I34" s="109">
        <v>22</v>
      </c>
      <c r="J34" s="92"/>
      <c r="K34" s="93"/>
      <c r="L34" s="548" t="s">
        <v>385</v>
      </c>
      <c r="M34" s="517"/>
      <c r="N34" s="518"/>
      <c r="O34" s="549">
        <v>30</v>
      </c>
      <c r="P34" s="517"/>
      <c r="Q34" s="82"/>
      <c r="R34" s="74"/>
      <c r="S34" s="74"/>
      <c r="T34" s="74"/>
      <c r="U34" s="74"/>
      <c r="V34" s="74"/>
      <c r="W34" s="74"/>
      <c r="X34" s="74"/>
      <c r="Y34" s="74"/>
      <c r="Z34" s="74"/>
    </row>
    <row r="35" spans="2:26" ht="24" customHeight="1">
      <c r="B35" s="529"/>
      <c r="C35" s="81"/>
      <c r="D35" s="548" t="s">
        <v>388</v>
      </c>
      <c r="E35" s="517"/>
      <c r="F35" s="517"/>
      <c r="G35" s="517"/>
      <c r="H35" s="518"/>
      <c r="I35" s="109">
        <v>18</v>
      </c>
      <c r="J35" s="92"/>
      <c r="K35" s="93"/>
      <c r="L35" s="548" t="s">
        <v>388</v>
      </c>
      <c r="M35" s="517"/>
      <c r="N35" s="518"/>
      <c r="O35" s="549">
        <v>18</v>
      </c>
      <c r="P35" s="517"/>
      <c r="Q35" s="82"/>
      <c r="R35" s="74"/>
      <c r="S35" s="74"/>
      <c r="T35" s="74"/>
      <c r="U35" s="74"/>
      <c r="V35" s="74"/>
      <c r="W35" s="74"/>
      <c r="X35" s="74"/>
      <c r="Y35" s="74"/>
      <c r="Z35" s="74"/>
    </row>
    <row r="36" spans="2:26" ht="15.6">
      <c r="B36" s="529"/>
      <c r="C36" s="81"/>
      <c r="D36" s="561" t="s">
        <v>447</v>
      </c>
      <c r="E36" s="517"/>
      <c r="F36" s="517"/>
      <c r="G36" s="517"/>
      <c r="H36" s="518"/>
      <c r="I36" s="106">
        <v>192</v>
      </c>
      <c r="J36" s="92"/>
      <c r="K36" s="93"/>
      <c r="L36" s="561" t="s">
        <v>447</v>
      </c>
      <c r="M36" s="517"/>
      <c r="N36" s="518"/>
      <c r="O36" s="552">
        <v>192</v>
      </c>
      <c r="P36" s="517"/>
      <c r="Q36" s="82"/>
      <c r="R36" s="74"/>
      <c r="S36" s="74"/>
      <c r="T36" s="74"/>
      <c r="U36" s="74"/>
      <c r="V36" s="74"/>
      <c r="W36" s="74"/>
      <c r="X36" s="74"/>
      <c r="Y36" s="74"/>
      <c r="Z36" s="74"/>
    </row>
    <row r="37" spans="2:26" ht="5.25" customHeight="1" thickBot="1">
      <c r="B37" s="530"/>
      <c r="C37" s="84"/>
      <c r="D37" s="85"/>
      <c r="E37" s="85"/>
      <c r="F37" s="85"/>
      <c r="G37" s="85"/>
      <c r="H37" s="85"/>
      <c r="I37" s="85"/>
      <c r="J37" s="86"/>
      <c r="K37" s="87"/>
      <c r="L37" s="85"/>
      <c r="M37" s="85"/>
      <c r="N37" s="85"/>
      <c r="O37" s="85"/>
      <c r="P37" s="85"/>
      <c r="Q37" s="86"/>
      <c r="R37" s="74"/>
      <c r="S37" s="74"/>
      <c r="T37" s="74"/>
      <c r="U37" s="74"/>
      <c r="V37" s="74"/>
      <c r="W37" s="74"/>
      <c r="X37" s="74"/>
      <c r="Y37" s="74"/>
      <c r="Z37" s="74"/>
    </row>
    <row r="38" spans="2:26" ht="5.25" customHeight="1">
      <c r="B38" s="528" t="s">
        <v>448</v>
      </c>
      <c r="C38" s="77"/>
      <c r="D38" s="78"/>
      <c r="E38" s="78"/>
      <c r="F38" s="78"/>
      <c r="G38" s="78"/>
      <c r="H38" s="78"/>
      <c r="I38" s="78"/>
      <c r="J38" s="79"/>
      <c r="K38" s="80"/>
      <c r="L38" s="78"/>
      <c r="M38" s="78"/>
      <c r="N38" s="78"/>
      <c r="O38" s="78"/>
      <c r="P38" s="78"/>
      <c r="Q38" s="79"/>
      <c r="R38" s="74"/>
      <c r="S38" s="74"/>
      <c r="T38" s="74"/>
      <c r="U38" s="74"/>
      <c r="V38" s="74"/>
      <c r="W38" s="74"/>
      <c r="X38" s="74"/>
      <c r="Y38" s="74"/>
      <c r="Z38" s="74"/>
    </row>
    <row r="39" spans="2:26" ht="15.6">
      <c r="B39" s="529"/>
      <c r="C39" s="81" t="s">
        <v>449</v>
      </c>
      <c r="D39" s="110"/>
      <c r="E39" s="110"/>
      <c r="F39" s="110"/>
      <c r="G39" s="110"/>
      <c r="H39" s="110"/>
      <c r="I39" s="110"/>
      <c r="J39" s="82"/>
      <c r="K39" s="83"/>
      <c r="L39" s="110" t="s">
        <v>450</v>
      </c>
      <c r="M39" s="110"/>
      <c r="N39" s="110"/>
      <c r="O39" s="110"/>
      <c r="P39" s="110"/>
      <c r="Q39" s="82"/>
      <c r="R39" s="74"/>
      <c r="S39" s="74"/>
      <c r="T39" s="74"/>
      <c r="U39" s="74"/>
      <c r="V39" s="74"/>
      <c r="W39" s="74"/>
      <c r="X39" s="74"/>
      <c r="Y39" s="74"/>
      <c r="Z39" s="74"/>
    </row>
    <row r="40" spans="2:26" ht="15.6">
      <c r="B40" s="529"/>
      <c r="C40" s="81" t="s">
        <v>451</v>
      </c>
      <c r="D40" s="110"/>
      <c r="E40" s="110"/>
      <c r="F40" s="110"/>
      <c r="G40" s="110"/>
      <c r="H40" s="110"/>
      <c r="I40" s="110"/>
      <c r="J40" s="82"/>
      <c r="K40" s="83"/>
      <c r="L40" s="110" t="s">
        <v>452</v>
      </c>
      <c r="M40" s="110"/>
      <c r="N40" s="110"/>
      <c r="O40" s="110"/>
      <c r="P40" s="110"/>
      <c r="Q40" s="82"/>
      <c r="R40" s="74"/>
      <c r="S40" s="74"/>
      <c r="T40" s="74"/>
      <c r="U40" s="74"/>
      <c r="V40" s="74"/>
      <c r="W40" s="74"/>
      <c r="X40" s="74"/>
      <c r="Y40" s="74"/>
      <c r="Z40" s="74"/>
    </row>
    <row r="41" spans="2:26" ht="5.25" customHeight="1" thickBot="1">
      <c r="B41" s="530"/>
      <c r="C41" s="84"/>
      <c r="D41" s="85"/>
      <c r="E41" s="85"/>
      <c r="F41" s="85"/>
      <c r="G41" s="85"/>
      <c r="H41" s="85"/>
      <c r="I41" s="85"/>
      <c r="J41" s="86"/>
      <c r="K41" s="87"/>
      <c r="L41" s="85"/>
      <c r="M41" s="85"/>
      <c r="N41" s="85"/>
      <c r="O41" s="85"/>
      <c r="P41" s="85"/>
      <c r="Q41" s="86"/>
      <c r="R41" s="74"/>
      <c r="S41" s="74"/>
      <c r="T41" s="74"/>
      <c r="U41" s="74"/>
      <c r="V41" s="74"/>
      <c r="W41" s="74"/>
      <c r="X41" s="74"/>
      <c r="Y41" s="74"/>
      <c r="Z41" s="74"/>
    </row>
    <row r="42" spans="2:26" ht="5.25" customHeight="1">
      <c r="B42" s="528" t="s">
        <v>453</v>
      </c>
      <c r="C42" s="77"/>
      <c r="D42" s="78"/>
      <c r="E42" s="78"/>
      <c r="F42" s="78"/>
      <c r="G42" s="78"/>
      <c r="H42" s="78"/>
      <c r="I42" s="78"/>
      <c r="J42" s="79"/>
      <c r="K42" s="80"/>
      <c r="L42" s="78"/>
      <c r="M42" s="78"/>
      <c r="N42" s="78"/>
      <c r="O42" s="78"/>
      <c r="P42" s="78"/>
      <c r="Q42" s="79"/>
      <c r="R42" s="74"/>
      <c r="S42" s="74"/>
      <c r="T42" s="74"/>
      <c r="U42" s="74"/>
      <c r="V42" s="74"/>
      <c r="W42" s="74"/>
      <c r="X42" s="74"/>
      <c r="Y42" s="74"/>
      <c r="Z42" s="74"/>
    </row>
    <row r="43" spans="2:26" ht="15.6">
      <c r="B43" s="529"/>
      <c r="C43" s="81"/>
      <c r="D43" s="110" t="s">
        <v>454</v>
      </c>
      <c r="E43" s="110"/>
      <c r="F43" s="110"/>
      <c r="G43" s="110"/>
      <c r="H43" s="110"/>
      <c r="I43" s="110"/>
      <c r="J43" s="82"/>
      <c r="K43" s="83"/>
      <c r="L43" s="110" t="s">
        <v>455</v>
      </c>
      <c r="M43" s="110"/>
      <c r="N43" s="110"/>
      <c r="O43" s="110"/>
      <c r="P43" s="110"/>
      <c r="Q43" s="82"/>
      <c r="R43" s="74"/>
      <c r="S43" s="74"/>
      <c r="T43" s="74"/>
      <c r="U43" s="74"/>
      <c r="V43" s="74"/>
      <c r="W43" s="74"/>
      <c r="X43" s="74"/>
      <c r="Y43" s="74"/>
      <c r="Z43" s="74"/>
    </row>
    <row r="44" spans="2:26" ht="15.6">
      <c r="B44" s="529"/>
      <c r="C44" s="81"/>
      <c r="D44" s="110" t="s">
        <v>456</v>
      </c>
      <c r="E44" s="111"/>
      <c r="F44" s="111"/>
      <c r="G44" s="111"/>
      <c r="H44" s="111"/>
      <c r="I44" s="111"/>
      <c r="J44" s="82"/>
      <c r="K44" s="83"/>
      <c r="L44" s="110"/>
      <c r="M44" s="110"/>
      <c r="N44" s="110"/>
      <c r="O44" s="110"/>
      <c r="P44" s="110"/>
      <c r="Q44" s="82"/>
      <c r="R44" s="74"/>
      <c r="S44" s="74"/>
      <c r="T44" s="74"/>
      <c r="U44" s="74"/>
      <c r="V44" s="74"/>
      <c r="W44" s="74"/>
      <c r="X44" s="74"/>
      <c r="Y44" s="74"/>
      <c r="Z44" s="74"/>
    </row>
    <row r="45" spans="2:26" ht="15.6">
      <c r="B45" s="529"/>
      <c r="C45" s="81"/>
      <c r="D45" s="562" t="s">
        <v>374</v>
      </c>
      <c r="E45" s="517"/>
      <c r="F45" s="518"/>
      <c r="G45" s="563" t="s">
        <v>457</v>
      </c>
      <c r="H45" s="518"/>
      <c r="I45" s="112" t="s">
        <v>458</v>
      </c>
      <c r="J45" s="82"/>
      <c r="K45" s="83"/>
      <c r="L45" s="562" t="s">
        <v>374</v>
      </c>
      <c r="M45" s="518"/>
      <c r="N45" s="563" t="s">
        <v>457</v>
      </c>
      <c r="O45" s="518"/>
      <c r="P45" s="112" t="s">
        <v>459</v>
      </c>
      <c r="Q45" s="82"/>
      <c r="R45" s="74"/>
      <c r="S45" s="74"/>
      <c r="T45" s="74"/>
      <c r="U45" s="74"/>
      <c r="V45" s="74"/>
      <c r="W45" s="74"/>
      <c r="X45" s="74"/>
      <c r="Y45" s="74"/>
      <c r="Z45" s="74"/>
    </row>
    <row r="46" spans="2:26" ht="38.25" customHeight="1">
      <c r="B46" s="529"/>
      <c r="C46" s="81"/>
      <c r="D46" s="516" t="s">
        <v>460</v>
      </c>
      <c r="E46" s="518"/>
      <c r="F46" s="113">
        <v>1</v>
      </c>
      <c r="G46" s="564" t="s">
        <v>461</v>
      </c>
      <c r="H46" s="518"/>
      <c r="I46" s="565">
        <v>86</v>
      </c>
      <c r="J46" s="82"/>
      <c r="K46" s="83"/>
      <c r="L46" s="114" t="s">
        <v>460</v>
      </c>
      <c r="M46" s="113">
        <v>3</v>
      </c>
      <c r="N46" s="564" t="s">
        <v>462</v>
      </c>
      <c r="O46" s="518"/>
      <c r="P46" s="565">
        <v>80</v>
      </c>
      <c r="Q46" s="82"/>
      <c r="R46" s="74"/>
      <c r="S46" s="74"/>
      <c r="T46" s="74"/>
      <c r="U46" s="74"/>
      <c r="V46" s="74"/>
      <c r="W46" s="74"/>
      <c r="X46" s="74"/>
      <c r="Y46" s="74"/>
      <c r="Z46" s="74"/>
    </row>
    <row r="47" spans="2:26" ht="16.5" customHeight="1">
      <c r="B47" s="529"/>
      <c r="C47" s="81"/>
      <c r="D47" s="516" t="s">
        <v>463</v>
      </c>
      <c r="E47" s="518"/>
      <c r="F47" s="113">
        <v>179</v>
      </c>
      <c r="G47" s="519" t="s">
        <v>446</v>
      </c>
      <c r="H47" s="518"/>
      <c r="I47" s="546"/>
      <c r="J47" s="82"/>
      <c r="K47" s="83"/>
      <c r="L47" s="114" t="s">
        <v>464</v>
      </c>
      <c r="M47" s="113">
        <v>216</v>
      </c>
      <c r="N47" s="519" t="s">
        <v>446</v>
      </c>
      <c r="O47" s="518"/>
      <c r="P47" s="546"/>
      <c r="Q47" s="82"/>
      <c r="R47" s="74"/>
      <c r="S47" s="74"/>
      <c r="T47" s="74"/>
      <c r="U47" s="74"/>
      <c r="V47" s="74"/>
      <c r="W47" s="74"/>
      <c r="X47" s="74"/>
      <c r="Y47" s="74"/>
      <c r="Z47" s="74"/>
    </row>
    <row r="48" spans="2:26" ht="16.5" customHeight="1">
      <c r="B48" s="529"/>
      <c r="C48" s="81"/>
      <c r="D48" s="516" t="s">
        <v>465</v>
      </c>
      <c r="E48" s="518"/>
      <c r="F48" s="113">
        <v>368</v>
      </c>
      <c r="G48" s="519" t="s">
        <v>446</v>
      </c>
      <c r="H48" s="518"/>
      <c r="I48" s="537"/>
      <c r="J48" s="82"/>
      <c r="K48" s="83"/>
      <c r="L48" s="114" t="s">
        <v>466</v>
      </c>
      <c r="M48" s="113">
        <v>309</v>
      </c>
      <c r="N48" s="519" t="s">
        <v>446</v>
      </c>
      <c r="O48" s="518"/>
      <c r="P48" s="537"/>
      <c r="Q48" s="82"/>
      <c r="R48" s="74"/>
      <c r="S48" s="74"/>
      <c r="T48" s="74"/>
      <c r="U48" s="74"/>
      <c r="V48" s="74"/>
      <c r="W48" s="74"/>
      <c r="X48" s="74"/>
      <c r="Y48" s="74"/>
      <c r="Z48" s="74"/>
    </row>
    <row r="49" spans="2:26" ht="5.25" customHeight="1" thickBot="1">
      <c r="B49" s="530"/>
      <c r="C49" s="84"/>
      <c r="D49" s="85"/>
      <c r="E49" s="85"/>
      <c r="F49" s="85"/>
      <c r="G49" s="85"/>
      <c r="H49" s="85"/>
      <c r="I49" s="85"/>
      <c r="J49" s="86"/>
      <c r="K49" s="87"/>
      <c r="L49" s="85"/>
      <c r="M49" s="85"/>
      <c r="N49" s="85"/>
      <c r="O49" s="85"/>
      <c r="P49" s="85"/>
      <c r="Q49" s="86"/>
      <c r="R49" s="74"/>
      <c r="S49" s="74"/>
      <c r="T49" s="74"/>
      <c r="U49" s="74"/>
      <c r="V49" s="74"/>
      <c r="W49" s="74"/>
      <c r="X49" s="74"/>
      <c r="Y49" s="74"/>
      <c r="Z49" s="74"/>
    </row>
    <row r="50" spans="2:26" ht="5.25" customHeight="1">
      <c r="B50" s="528" t="s">
        <v>467</v>
      </c>
      <c r="C50" s="77"/>
      <c r="D50" s="78"/>
      <c r="E50" s="78"/>
      <c r="F50" s="78"/>
      <c r="G50" s="78"/>
      <c r="H50" s="78"/>
      <c r="I50" s="78"/>
      <c r="J50" s="79"/>
      <c r="K50" s="80"/>
      <c r="L50" s="78"/>
      <c r="M50" s="78"/>
      <c r="N50" s="78"/>
      <c r="O50" s="78"/>
      <c r="P50" s="78"/>
      <c r="Q50" s="79"/>
      <c r="R50" s="74"/>
      <c r="S50" s="74"/>
      <c r="T50" s="74"/>
      <c r="U50" s="74"/>
      <c r="V50" s="74"/>
      <c r="W50" s="74"/>
      <c r="X50" s="74"/>
      <c r="Y50" s="74"/>
      <c r="Z50" s="74"/>
    </row>
    <row r="51" spans="2:26" ht="26.4">
      <c r="B51" s="529"/>
      <c r="C51" s="81"/>
      <c r="D51" s="567" t="s">
        <v>374</v>
      </c>
      <c r="E51" s="517"/>
      <c r="F51" s="518"/>
      <c r="G51" s="115" t="s">
        <v>468</v>
      </c>
      <c r="H51" s="115" t="s">
        <v>469</v>
      </c>
      <c r="I51" s="116" t="s">
        <v>470</v>
      </c>
      <c r="J51" s="92"/>
      <c r="K51" s="93"/>
      <c r="L51" s="567" t="s">
        <v>374</v>
      </c>
      <c r="M51" s="518"/>
      <c r="N51" s="115" t="s">
        <v>468</v>
      </c>
      <c r="O51" s="115" t="s">
        <v>469</v>
      </c>
      <c r="P51" s="116" t="s">
        <v>471</v>
      </c>
      <c r="Q51" s="82"/>
      <c r="R51" s="74"/>
      <c r="S51" s="74"/>
      <c r="T51" s="74"/>
      <c r="U51" s="74"/>
      <c r="V51" s="74"/>
      <c r="W51" s="74"/>
      <c r="X51" s="74"/>
      <c r="Y51" s="74"/>
      <c r="Z51" s="74"/>
    </row>
    <row r="52" spans="2:26" ht="15.6">
      <c r="B52" s="529"/>
      <c r="C52" s="81"/>
      <c r="D52" s="566" t="s">
        <v>472</v>
      </c>
      <c r="E52" s="517"/>
      <c r="F52" s="518"/>
      <c r="G52" s="117">
        <v>8</v>
      </c>
      <c r="H52" s="117">
        <v>-2</v>
      </c>
      <c r="I52" s="118" t="s">
        <v>473</v>
      </c>
      <c r="J52" s="92"/>
      <c r="K52" s="93"/>
      <c r="L52" s="566" t="s">
        <v>472</v>
      </c>
      <c r="M52" s="518"/>
      <c r="N52" s="117">
        <v>4</v>
      </c>
      <c r="O52" s="117">
        <v>-1</v>
      </c>
      <c r="P52" s="118" t="s">
        <v>368</v>
      </c>
      <c r="Q52" s="82"/>
      <c r="R52" s="74"/>
      <c r="S52" s="74"/>
      <c r="T52" s="74"/>
      <c r="U52" s="74"/>
      <c r="V52" s="74"/>
      <c r="W52" s="74"/>
      <c r="X52" s="74"/>
      <c r="Y52" s="74"/>
      <c r="Z52" s="74"/>
    </row>
    <row r="53" spans="2:26" ht="27.75" customHeight="1">
      <c r="B53" s="529"/>
      <c r="C53" s="81"/>
      <c r="D53" s="566" t="s">
        <v>474</v>
      </c>
      <c r="E53" s="517"/>
      <c r="F53" s="518"/>
      <c r="G53" s="117">
        <v>6</v>
      </c>
      <c r="H53" s="119"/>
      <c r="I53" s="118" t="s">
        <v>475</v>
      </c>
      <c r="J53" s="92"/>
      <c r="K53" s="93"/>
      <c r="L53" s="566" t="s">
        <v>476</v>
      </c>
      <c r="M53" s="518"/>
      <c r="N53" s="117">
        <v>3</v>
      </c>
      <c r="O53" s="119"/>
      <c r="P53" s="118">
        <v>3</v>
      </c>
      <c r="Q53" s="82"/>
      <c r="R53" s="74"/>
      <c r="S53" s="74"/>
      <c r="T53" s="74"/>
      <c r="U53" s="74"/>
      <c r="V53" s="74"/>
      <c r="W53" s="74"/>
      <c r="X53" s="74"/>
      <c r="Y53" s="74"/>
      <c r="Z53" s="74"/>
    </row>
    <row r="54" spans="2:26" ht="15.6">
      <c r="B54" s="529"/>
      <c r="C54" s="81"/>
      <c r="D54" s="566" t="s">
        <v>477</v>
      </c>
      <c r="E54" s="517"/>
      <c r="F54" s="518"/>
      <c r="G54" s="117">
        <v>5</v>
      </c>
      <c r="H54" s="117" t="s">
        <v>478</v>
      </c>
      <c r="I54" s="118" t="s">
        <v>479</v>
      </c>
      <c r="J54" s="92"/>
      <c r="K54" s="93"/>
      <c r="L54" s="566" t="s">
        <v>480</v>
      </c>
      <c r="M54" s="518"/>
      <c r="N54" s="117">
        <v>4</v>
      </c>
      <c r="O54" s="117" t="s">
        <v>481</v>
      </c>
      <c r="P54" s="118" t="s">
        <v>370</v>
      </c>
      <c r="Q54" s="82"/>
      <c r="R54" s="74"/>
      <c r="S54" s="74"/>
      <c r="T54" s="74"/>
      <c r="U54" s="74"/>
      <c r="V54" s="74"/>
      <c r="W54" s="74"/>
      <c r="X54" s="74"/>
      <c r="Y54" s="74"/>
      <c r="Z54" s="74"/>
    </row>
    <row r="55" spans="2:26" ht="15.6">
      <c r="B55" s="529"/>
      <c r="C55" s="81"/>
      <c r="D55" s="566" t="s">
        <v>482</v>
      </c>
      <c r="E55" s="517"/>
      <c r="F55" s="518"/>
      <c r="G55" s="117">
        <v>5</v>
      </c>
      <c r="H55" s="117" t="s">
        <v>483</v>
      </c>
      <c r="I55" s="118" t="s">
        <v>484</v>
      </c>
      <c r="J55" s="92"/>
      <c r="K55" s="93"/>
      <c r="L55" s="566" t="s">
        <v>485</v>
      </c>
      <c r="M55" s="518"/>
      <c r="N55" s="117">
        <v>3</v>
      </c>
      <c r="O55" s="117" t="s">
        <v>481</v>
      </c>
      <c r="P55" s="118" t="s">
        <v>371</v>
      </c>
      <c r="Q55" s="82"/>
      <c r="R55" s="74"/>
      <c r="S55" s="74"/>
      <c r="T55" s="74"/>
      <c r="U55" s="74"/>
      <c r="V55" s="74"/>
      <c r="W55" s="74"/>
      <c r="X55" s="74"/>
      <c r="Y55" s="74"/>
      <c r="Z55" s="74"/>
    </row>
    <row r="56" spans="2:26" ht="15.6">
      <c r="B56" s="529"/>
      <c r="C56" s="81"/>
      <c r="D56" s="566" t="s">
        <v>486</v>
      </c>
      <c r="E56" s="517"/>
      <c r="F56" s="518"/>
      <c r="G56" s="117">
        <v>5</v>
      </c>
      <c r="H56" s="117" t="s">
        <v>483</v>
      </c>
      <c r="I56" s="118" t="s">
        <v>484</v>
      </c>
      <c r="J56" s="92"/>
      <c r="K56" s="93"/>
      <c r="L56" s="566" t="s">
        <v>397</v>
      </c>
      <c r="M56" s="518"/>
      <c r="N56" s="564" t="s">
        <v>487</v>
      </c>
      <c r="O56" s="517"/>
      <c r="P56" s="517"/>
      <c r="Q56" s="82"/>
      <c r="R56" s="74"/>
      <c r="S56" s="74"/>
      <c r="T56" s="74"/>
      <c r="U56" s="74"/>
      <c r="V56" s="74"/>
      <c r="W56" s="74"/>
      <c r="X56" s="74"/>
      <c r="Y56" s="74"/>
      <c r="Z56" s="74"/>
    </row>
    <row r="57" spans="2:26" ht="15.6">
      <c r="B57" s="529"/>
      <c r="C57" s="81"/>
      <c r="D57" s="566" t="s">
        <v>395</v>
      </c>
      <c r="E57" s="517"/>
      <c r="F57" s="518"/>
      <c r="G57" s="564" t="s">
        <v>487</v>
      </c>
      <c r="H57" s="517"/>
      <c r="I57" s="517"/>
      <c r="J57" s="92"/>
      <c r="K57" s="93"/>
      <c r="L57" s="120"/>
      <c r="M57" s="110"/>
      <c r="N57" s="110"/>
      <c r="O57" s="110"/>
      <c r="P57" s="110"/>
      <c r="Q57" s="82"/>
      <c r="R57" s="74"/>
      <c r="S57" s="74"/>
      <c r="T57" s="74"/>
      <c r="U57" s="74"/>
      <c r="V57" s="74"/>
      <c r="W57" s="74"/>
      <c r="X57" s="74"/>
      <c r="Y57" s="74"/>
      <c r="Z57" s="74"/>
    </row>
    <row r="58" spans="2:26" ht="15.6">
      <c r="B58" s="529"/>
      <c r="C58" s="81"/>
      <c r="D58" s="110"/>
      <c r="E58" s="110"/>
      <c r="F58" s="110"/>
      <c r="G58" s="110"/>
      <c r="H58" s="110"/>
      <c r="I58" s="110"/>
      <c r="J58" s="82"/>
      <c r="K58" s="83"/>
      <c r="L58" s="110"/>
      <c r="M58" s="110"/>
      <c r="N58" s="110"/>
      <c r="O58" s="110"/>
      <c r="P58" s="110"/>
      <c r="Q58" s="82"/>
      <c r="R58" s="74"/>
      <c r="S58" s="74"/>
      <c r="T58" s="74"/>
      <c r="U58" s="74"/>
      <c r="V58" s="74"/>
      <c r="W58" s="74"/>
      <c r="X58" s="74"/>
      <c r="Y58" s="74"/>
      <c r="Z58" s="74"/>
    </row>
    <row r="59" spans="2:26" ht="33.75" customHeight="1">
      <c r="B59" s="529"/>
      <c r="C59" s="81"/>
      <c r="D59" s="569" t="s">
        <v>488</v>
      </c>
      <c r="E59" s="554"/>
      <c r="F59" s="554"/>
      <c r="G59" s="554"/>
      <c r="H59" s="554"/>
      <c r="I59" s="554"/>
      <c r="J59" s="82"/>
      <c r="K59" s="83"/>
      <c r="L59" s="569" t="s">
        <v>489</v>
      </c>
      <c r="M59" s="569"/>
      <c r="N59" s="569"/>
      <c r="O59" s="569"/>
      <c r="P59" s="569"/>
      <c r="Q59" s="82"/>
      <c r="R59" s="74"/>
      <c r="S59" s="74"/>
      <c r="T59" s="74"/>
      <c r="U59" s="74"/>
      <c r="V59" s="74"/>
      <c r="W59" s="74"/>
      <c r="X59" s="74"/>
      <c r="Y59" s="74"/>
      <c r="Z59" s="74"/>
    </row>
    <row r="60" spans="2:26" ht="5.25" customHeight="1" thickBot="1">
      <c r="B60" s="530"/>
      <c r="C60" s="84"/>
      <c r="D60" s="85"/>
      <c r="E60" s="85"/>
      <c r="F60" s="85"/>
      <c r="G60" s="85"/>
      <c r="H60" s="85"/>
      <c r="I60" s="85"/>
      <c r="J60" s="86"/>
      <c r="K60" s="87"/>
      <c r="L60" s="85"/>
      <c r="M60" s="85"/>
      <c r="N60" s="85"/>
      <c r="O60" s="85"/>
      <c r="P60" s="85"/>
      <c r="Q60" s="86"/>
      <c r="R60" s="74"/>
      <c r="S60" s="74"/>
      <c r="T60" s="74"/>
      <c r="U60" s="74"/>
      <c r="V60" s="74"/>
      <c r="W60" s="74"/>
      <c r="X60" s="74"/>
      <c r="Y60" s="74"/>
      <c r="Z60" s="74"/>
    </row>
    <row r="61" spans="2:26" ht="5.25" customHeight="1">
      <c r="B61" s="571" t="s">
        <v>490</v>
      </c>
      <c r="C61" s="81"/>
      <c r="D61" s="110"/>
      <c r="E61" s="110"/>
      <c r="F61" s="110"/>
      <c r="G61" s="110"/>
      <c r="H61" s="110"/>
      <c r="I61" s="110"/>
      <c r="J61" s="110"/>
      <c r="K61" s="80"/>
      <c r="L61" s="78"/>
      <c r="M61" s="78"/>
      <c r="N61" s="78"/>
      <c r="O61" s="78"/>
      <c r="P61" s="78"/>
      <c r="Q61" s="79"/>
      <c r="R61" s="74"/>
      <c r="S61" s="74"/>
      <c r="T61" s="74"/>
      <c r="U61" s="74"/>
      <c r="V61" s="74"/>
      <c r="W61" s="74"/>
      <c r="X61" s="74"/>
      <c r="Y61" s="74"/>
      <c r="Z61" s="74"/>
    </row>
    <row r="62" spans="2:26" ht="15.6">
      <c r="B62" s="572"/>
      <c r="C62" s="81"/>
      <c r="D62" s="110"/>
      <c r="E62" s="110"/>
      <c r="F62" s="110"/>
      <c r="G62" s="110"/>
      <c r="H62" s="110"/>
      <c r="I62" s="110"/>
      <c r="J62" s="110"/>
      <c r="K62" s="83"/>
      <c r="L62" s="110" t="s">
        <v>491</v>
      </c>
      <c r="M62" s="110"/>
      <c r="N62" s="110"/>
      <c r="O62" s="110"/>
      <c r="P62" s="110"/>
      <c r="Q62" s="82"/>
      <c r="R62" s="74"/>
      <c r="S62" s="74"/>
      <c r="T62" s="74"/>
      <c r="U62" s="74"/>
      <c r="V62" s="74"/>
      <c r="W62" s="74"/>
      <c r="X62" s="74"/>
      <c r="Y62" s="74"/>
      <c r="Z62" s="74"/>
    </row>
    <row r="63" spans="2:26" ht="15.6">
      <c r="B63" s="572"/>
      <c r="C63" s="81"/>
      <c r="D63" s="110"/>
      <c r="E63" s="110"/>
      <c r="F63" s="110"/>
      <c r="G63" s="110"/>
      <c r="H63" s="110"/>
      <c r="I63" s="110"/>
      <c r="J63" s="110"/>
      <c r="K63" s="83"/>
      <c r="L63" s="110" t="s">
        <v>492</v>
      </c>
      <c r="M63" s="110"/>
      <c r="N63" s="110"/>
      <c r="O63" s="110"/>
      <c r="P63" s="110"/>
      <c r="Q63" s="82"/>
      <c r="R63" s="74"/>
      <c r="S63" s="74"/>
      <c r="T63" s="74"/>
      <c r="U63" s="74"/>
      <c r="V63" s="74"/>
      <c r="W63" s="74"/>
      <c r="X63" s="74"/>
      <c r="Y63" s="74"/>
      <c r="Z63" s="74"/>
    </row>
    <row r="64" spans="2:26" ht="15.6">
      <c r="B64" s="572"/>
      <c r="C64" s="81"/>
      <c r="D64" s="110"/>
      <c r="E64" s="110"/>
      <c r="F64" s="110"/>
      <c r="G64" s="110"/>
      <c r="H64" s="110"/>
      <c r="I64" s="110"/>
      <c r="J64" s="110"/>
      <c r="K64" s="83"/>
      <c r="L64" s="573" t="s">
        <v>374</v>
      </c>
      <c r="M64" s="574" t="s">
        <v>493</v>
      </c>
      <c r="N64" s="518"/>
      <c r="O64" s="574" t="s">
        <v>494</v>
      </c>
      <c r="P64" s="517"/>
      <c r="Q64" s="82"/>
      <c r="R64" s="74"/>
      <c r="S64" s="74"/>
      <c r="T64" s="74"/>
      <c r="U64" s="74"/>
      <c r="V64" s="74"/>
      <c r="W64" s="74"/>
      <c r="X64" s="74"/>
      <c r="Y64" s="74"/>
      <c r="Z64" s="74"/>
    </row>
    <row r="65" spans="2:26" ht="15.6">
      <c r="B65" s="572"/>
      <c r="C65" s="81"/>
      <c r="D65" s="110"/>
      <c r="E65" s="110"/>
      <c r="F65" s="110"/>
      <c r="G65" s="110"/>
      <c r="H65" s="110"/>
      <c r="I65" s="110"/>
      <c r="J65" s="110"/>
      <c r="K65" s="83"/>
      <c r="L65" s="534"/>
      <c r="M65" s="113" t="s">
        <v>0</v>
      </c>
      <c r="N65" s="113" t="s">
        <v>495</v>
      </c>
      <c r="O65" s="113" t="s">
        <v>0</v>
      </c>
      <c r="P65" s="121" t="s">
        <v>495</v>
      </c>
      <c r="Q65" s="82"/>
      <c r="R65" s="74"/>
      <c r="S65" s="74"/>
      <c r="T65" s="74"/>
      <c r="U65" s="74"/>
      <c r="V65" s="74"/>
      <c r="W65" s="74"/>
      <c r="X65" s="74"/>
      <c r="Y65" s="74"/>
      <c r="Z65" s="74"/>
    </row>
    <row r="66" spans="2:26" ht="15.6">
      <c r="B66" s="572"/>
      <c r="C66" s="81"/>
      <c r="D66" s="110"/>
      <c r="E66" s="110"/>
      <c r="F66" s="110"/>
      <c r="G66" s="110"/>
      <c r="H66" s="110"/>
      <c r="I66" s="110"/>
      <c r="J66" s="110"/>
      <c r="K66" s="83"/>
      <c r="L66" s="122" t="s">
        <v>202</v>
      </c>
      <c r="M66" s="123">
        <v>2</v>
      </c>
      <c r="N66" s="123">
        <v>2</v>
      </c>
      <c r="O66" s="123">
        <v>4</v>
      </c>
      <c r="P66" s="112">
        <v>0</v>
      </c>
      <c r="Q66" s="82"/>
      <c r="R66" s="74"/>
      <c r="S66" s="74"/>
      <c r="T66" s="74"/>
      <c r="U66" s="74"/>
      <c r="V66" s="74"/>
      <c r="W66" s="74"/>
      <c r="X66" s="74"/>
      <c r="Y66" s="74"/>
      <c r="Z66" s="74"/>
    </row>
    <row r="67" spans="2:26" ht="15.6">
      <c r="B67" s="572"/>
      <c r="C67" s="81"/>
      <c r="D67" s="110"/>
      <c r="E67" s="110"/>
      <c r="F67" s="110"/>
      <c r="G67" s="110"/>
      <c r="H67" s="110"/>
      <c r="I67" s="110"/>
      <c r="J67" s="110"/>
      <c r="K67" s="83"/>
      <c r="L67" s="122" t="s">
        <v>216</v>
      </c>
      <c r="M67" s="123">
        <v>2</v>
      </c>
      <c r="N67" s="123">
        <v>2</v>
      </c>
      <c r="O67" s="123">
        <v>0</v>
      </c>
      <c r="P67" s="112">
        <v>4</v>
      </c>
      <c r="Q67" s="82"/>
      <c r="R67" s="74"/>
      <c r="S67" s="74"/>
      <c r="T67" s="74"/>
      <c r="U67" s="74"/>
      <c r="V67" s="74"/>
      <c r="W67" s="74"/>
      <c r="X67" s="74"/>
      <c r="Y67" s="74"/>
      <c r="Z67" s="74"/>
    </row>
    <row r="68" spans="2:26" ht="15.6">
      <c r="B68" s="572"/>
      <c r="C68" s="81"/>
      <c r="D68" s="110"/>
      <c r="E68" s="110"/>
      <c r="F68" s="110"/>
      <c r="G68" s="110"/>
      <c r="H68" s="110"/>
      <c r="I68" s="110"/>
      <c r="J68" s="110"/>
      <c r="K68" s="83"/>
      <c r="L68" s="122" t="s">
        <v>205</v>
      </c>
      <c r="M68" s="123">
        <v>2</v>
      </c>
      <c r="N68" s="123">
        <v>2</v>
      </c>
      <c r="O68" s="123">
        <v>4</v>
      </c>
      <c r="P68" s="112">
        <v>0</v>
      </c>
      <c r="Q68" s="82"/>
      <c r="R68" s="74"/>
      <c r="S68" s="74"/>
      <c r="T68" s="74"/>
      <c r="U68" s="74"/>
      <c r="V68" s="74"/>
      <c r="W68" s="74"/>
      <c r="X68" s="74"/>
      <c r="Y68" s="74"/>
      <c r="Z68" s="74"/>
    </row>
    <row r="69" spans="2:26" ht="15.6">
      <c r="B69" s="572"/>
      <c r="C69" s="81"/>
      <c r="D69" s="110"/>
      <c r="E69" s="110"/>
      <c r="F69" s="110"/>
      <c r="G69" s="110"/>
      <c r="H69" s="110"/>
      <c r="I69" s="110"/>
      <c r="J69" s="110"/>
      <c r="K69" s="83"/>
      <c r="L69" s="110" t="s">
        <v>496</v>
      </c>
      <c r="M69" s="110"/>
      <c r="N69" s="110"/>
      <c r="O69" s="110"/>
      <c r="P69" s="110"/>
      <c r="Q69" s="82"/>
      <c r="R69" s="74"/>
      <c r="S69" s="74"/>
      <c r="T69" s="74"/>
      <c r="U69" s="74"/>
      <c r="V69" s="74"/>
      <c r="W69" s="74"/>
      <c r="X69" s="74"/>
      <c r="Y69" s="74"/>
      <c r="Z69" s="74"/>
    </row>
    <row r="70" spans="2:26" ht="15.6">
      <c r="B70" s="572"/>
      <c r="C70" s="81"/>
      <c r="D70" s="110"/>
      <c r="E70" s="110"/>
      <c r="F70" s="110"/>
      <c r="G70" s="110"/>
      <c r="H70" s="110"/>
      <c r="I70" s="110"/>
      <c r="J70" s="110"/>
      <c r="K70" s="83"/>
      <c r="L70" s="573" t="s">
        <v>374</v>
      </c>
      <c r="M70" s="574" t="s">
        <v>493</v>
      </c>
      <c r="N70" s="518"/>
      <c r="O70" s="574" t="s">
        <v>494</v>
      </c>
      <c r="P70" s="517"/>
      <c r="Q70" s="82"/>
      <c r="R70" s="74"/>
      <c r="S70" s="74"/>
      <c r="T70" s="74"/>
      <c r="U70" s="74"/>
      <c r="V70" s="74"/>
      <c r="W70" s="74"/>
      <c r="X70" s="74"/>
      <c r="Y70" s="74"/>
      <c r="Z70" s="74"/>
    </row>
    <row r="71" spans="2:26" ht="15.6">
      <c r="B71" s="572"/>
      <c r="C71" s="81"/>
      <c r="D71" s="110"/>
      <c r="E71" s="110"/>
      <c r="F71" s="110"/>
      <c r="G71" s="110"/>
      <c r="H71" s="110"/>
      <c r="I71" s="110"/>
      <c r="J71" s="110"/>
      <c r="K71" s="83"/>
      <c r="L71" s="534"/>
      <c r="M71" s="113" t="s">
        <v>0</v>
      </c>
      <c r="N71" s="113" t="s">
        <v>495</v>
      </c>
      <c r="O71" s="113" t="s">
        <v>0</v>
      </c>
      <c r="P71" s="121" t="s">
        <v>495</v>
      </c>
      <c r="Q71" s="82"/>
      <c r="R71" s="74"/>
      <c r="S71" s="74"/>
      <c r="T71" s="74"/>
      <c r="U71" s="74"/>
      <c r="V71" s="74"/>
      <c r="W71" s="74"/>
      <c r="X71" s="74"/>
      <c r="Y71" s="74"/>
      <c r="Z71" s="74"/>
    </row>
    <row r="72" spans="2:26" ht="15.6">
      <c r="B72" s="572"/>
      <c r="C72" s="81"/>
      <c r="D72" s="110"/>
      <c r="E72" s="110"/>
      <c r="F72" s="110"/>
      <c r="G72" s="110"/>
      <c r="H72" s="110"/>
      <c r="I72" s="110"/>
      <c r="J72" s="110"/>
      <c r="K72" s="83"/>
      <c r="L72" s="122" t="s">
        <v>460</v>
      </c>
      <c r="M72" s="123">
        <v>1</v>
      </c>
      <c r="N72" s="123">
        <v>1</v>
      </c>
      <c r="O72" s="123">
        <v>2</v>
      </c>
      <c r="P72" s="112">
        <v>0</v>
      </c>
      <c r="Q72" s="82"/>
      <c r="R72" s="74"/>
      <c r="S72" s="74"/>
      <c r="T72" s="74"/>
      <c r="U72" s="74"/>
      <c r="V72" s="74"/>
      <c r="W72" s="74"/>
      <c r="X72" s="74"/>
      <c r="Y72" s="74"/>
      <c r="Z72" s="74"/>
    </row>
    <row r="73" spans="2:26" ht="15.6">
      <c r="B73" s="572"/>
      <c r="C73" s="81"/>
      <c r="D73" s="110"/>
      <c r="E73" s="110"/>
      <c r="F73" s="110"/>
      <c r="G73" s="110"/>
      <c r="H73" s="110"/>
      <c r="I73" s="110"/>
      <c r="J73" s="110"/>
      <c r="K73" s="83"/>
      <c r="L73" s="122" t="s">
        <v>464</v>
      </c>
      <c r="M73" s="123">
        <v>2</v>
      </c>
      <c r="N73" s="123">
        <v>2</v>
      </c>
      <c r="O73" s="123">
        <v>0</v>
      </c>
      <c r="P73" s="112">
        <v>4</v>
      </c>
      <c r="Q73" s="82"/>
      <c r="R73" s="74"/>
      <c r="S73" s="74"/>
      <c r="T73" s="74"/>
      <c r="U73" s="74"/>
      <c r="V73" s="74"/>
      <c r="W73" s="74"/>
      <c r="X73" s="74"/>
      <c r="Y73" s="74"/>
      <c r="Z73" s="74"/>
    </row>
    <row r="74" spans="2:26" ht="15.6">
      <c r="B74" s="572"/>
      <c r="C74" s="81"/>
      <c r="D74" s="110"/>
      <c r="E74" s="110"/>
      <c r="F74" s="110"/>
      <c r="G74" s="110"/>
      <c r="H74" s="110"/>
      <c r="I74" s="110"/>
      <c r="J74" s="110"/>
      <c r="K74" s="83"/>
      <c r="L74" s="575" t="s">
        <v>497</v>
      </c>
      <c r="M74" s="568" t="s">
        <v>498</v>
      </c>
      <c r="N74" s="568" t="s">
        <v>498</v>
      </c>
      <c r="O74" s="124">
        <v>8</v>
      </c>
      <c r="P74" s="125">
        <v>0</v>
      </c>
      <c r="Q74" s="82"/>
      <c r="R74" s="74"/>
      <c r="S74" s="74"/>
      <c r="T74" s="74"/>
      <c r="U74" s="74"/>
      <c r="V74" s="74"/>
      <c r="W74" s="74"/>
      <c r="X74" s="74"/>
      <c r="Y74" s="74"/>
      <c r="Z74" s="74"/>
    </row>
    <row r="75" spans="2:26" ht="15.6">
      <c r="B75" s="572"/>
      <c r="C75" s="81"/>
      <c r="D75" s="110"/>
      <c r="E75" s="110"/>
      <c r="F75" s="110"/>
      <c r="G75" s="110"/>
      <c r="H75" s="110"/>
      <c r="I75" s="110"/>
      <c r="J75" s="110"/>
      <c r="K75" s="83"/>
      <c r="L75" s="576"/>
      <c r="M75" s="544"/>
      <c r="N75" s="544"/>
      <c r="O75" s="124">
        <v>4</v>
      </c>
      <c r="P75" s="125">
        <v>4</v>
      </c>
      <c r="Q75" s="82"/>
      <c r="R75" s="74"/>
      <c r="S75" s="74"/>
      <c r="T75" s="74"/>
      <c r="U75" s="74"/>
      <c r="V75" s="74"/>
      <c r="W75" s="74"/>
      <c r="X75" s="74"/>
      <c r="Y75" s="74"/>
      <c r="Z75" s="74"/>
    </row>
    <row r="76" spans="2:26" ht="33.75" customHeight="1">
      <c r="B76" s="572"/>
      <c r="C76" s="81"/>
      <c r="D76" s="110"/>
      <c r="E76" s="110"/>
      <c r="F76" s="110"/>
      <c r="G76" s="110"/>
      <c r="H76" s="110"/>
      <c r="I76" s="110"/>
      <c r="J76" s="110"/>
      <c r="K76" s="83"/>
      <c r="L76" s="569" t="s">
        <v>499</v>
      </c>
      <c r="M76" s="554"/>
      <c r="N76" s="554"/>
      <c r="O76" s="554"/>
      <c r="P76" s="554"/>
      <c r="Q76" s="82"/>
      <c r="R76" s="74"/>
      <c r="S76" s="74"/>
      <c r="T76" s="74"/>
      <c r="U76" s="74"/>
      <c r="V76" s="74"/>
      <c r="W76" s="74"/>
      <c r="X76" s="74"/>
      <c r="Y76" s="74"/>
      <c r="Z76" s="74"/>
    </row>
    <row r="77" spans="2:26" ht="5.25" customHeight="1">
      <c r="B77" s="572"/>
      <c r="C77" s="126"/>
      <c r="D77" s="127"/>
      <c r="E77" s="127"/>
      <c r="F77" s="127"/>
      <c r="G77" s="127"/>
      <c r="H77" s="127"/>
      <c r="I77" s="127"/>
      <c r="J77" s="127"/>
      <c r="K77" s="128"/>
      <c r="L77" s="127"/>
      <c r="M77" s="127"/>
      <c r="N77" s="127"/>
      <c r="O77" s="127"/>
      <c r="P77" s="127"/>
      <c r="Q77" s="129"/>
      <c r="R77" s="74"/>
      <c r="S77" s="74"/>
      <c r="T77" s="74"/>
      <c r="U77" s="74"/>
      <c r="V77" s="74"/>
      <c r="W77" s="74"/>
      <c r="X77" s="74"/>
      <c r="Y77" s="74"/>
      <c r="Z77" s="74"/>
    </row>
    <row r="78" spans="2:26" ht="5.25" customHeight="1">
      <c r="B78" s="570" t="s">
        <v>500</v>
      </c>
      <c r="C78" s="130"/>
      <c r="D78" s="131"/>
      <c r="E78" s="131"/>
      <c r="F78" s="131"/>
      <c r="G78" s="131"/>
      <c r="H78" s="131"/>
      <c r="I78" s="131"/>
      <c r="J78" s="131"/>
      <c r="K78" s="132"/>
      <c r="L78" s="131"/>
      <c r="M78" s="131"/>
      <c r="N78" s="131"/>
      <c r="O78" s="131"/>
      <c r="P78" s="131"/>
      <c r="Q78" s="133"/>
      <c r="R78" s="74"/>
      <c r="S78" s="74"/>
      <c r="T78" s="74"/>
      <c r="U78" s="74"/>
      <c r="V78" s="74"/>
      <c r="W78" s="74"/>
      <c r="X78" s="74"/>
      <c r="Y78" s="74"/>
      <c r="Z78" s="74"/>
    </row>
    <row r="79" spans="2:26" ht="15.6">
      <c r="B79" s="529"/>
      <c r="C79" s="81"/>
      <c r="D79" s="110" t="s">
        <v>501</v>
      </c>
      <c r="E79" s="110"/>
      <c r="F79" s="110"/>
      <c r="G79" s="110"/>
      <c r="H79" s="110"/>
      <c r="I79" s="110"/>
      <c r="J79" s="110"/>
      <c r="K79" s="83"/>
      <c r="L79" s="110" t="s">
        <v>502</v>
      </c>
      <c r="M79" s="110"/>
      <c r="N79" s="110"/>
      <c r="O79" s="110"/>
      <c r="P79" s="110"/>
      <c r="Q79" s="82"/>
      <c r="R79" s="74"/>
      <c r="S79" s="74"/>
      <c r="T79" s="74"/>
      <c r="U79" s="74"/>
      <c r="V79" s="74"/>
      <c r="W79" s="74"/>
      <c r="X79" s="74"/>
      <c r="Y79" s="74"/>
      <c r="Z79" s="74"/>
    </row>
    <row r="80" spans="2:26" ht="15.6">
      <c r="B80" s="529"/>
      <c r="C80" s="81"/>
      <c r="D80" s="110"/>
      <c r="E80" s="110"/>
      <c r="F80" s="110"/>
      <c r="G80" s="110"/>
      <c r="H80" s="110"/>
      <c r="I80" s="110"/>
      <c r="J80" s="110"/>
      <c r="K80" s="83"/>
      <c r="L80" s="110" t="s">
        <v>503</v>
      </c>
      <c r="M80" s="110"/>
      <c r="N80" s="110"/>
      <c r="O80" s="110"/>
      <c r="P80" s="110"/>
      <c r="Q80" s="82"/>
      <c r="R80" s="74"/>
      <c r="S80" s="74"/>
      <c r="T80" s="74"/>
      <c r="U80" s="74"/>
      <c r="V80" s="74"/>
      <c r="W80" s="74"/>
      <c r="X80" s="74"/>
      <c r="Y80" s="74"/>
      <c r="Z80" s="74"/>
    </row>
    <row r="81" spans="2:26" ht="5.25" customHeight="1" thickBot="1">
      <c r="B81" s="530"/>
      <c r="C81" s="84"/>
      <c r="D81" s="85"/>
      <c r="E81" s="85"/>
      <c r="F81" s="85"/>
      <c r="G81" s="85"/>
      <c r="H81" s="85"/>
      <c r="I81" s="85"/>
      <c r="J81" s="85"/>
      <c r="K81" s="87"/>
      <c r="L81" s="85"/>
      <c r="M81" s="85"/>
      <c r="N81" s="85"/>
      <c r="O81" s="85"/>
      <c r="P81" s="85"/>
      <c r="Q81" s="86"/>
      <c r="R81" s="74"/>
      <c r="S81" s="74"/>
      <c r="T81" s="74"/>
      <c r="U81" s="74"/>
      <c r="V81" s="74"/>
      <c r="W81" s="74"/>
      <c r="X81" s="74"/>
      <c r="Y81" s="74"/>
      <c r="Z81" s="74"/>
    </row>
    <row r="82" spans="2:26" ht="4.5" customHeight="1"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2:26" ht="15.6" hidden="1"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2:26" ht="15.6" hidden="1"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2:26" ht="15.6" hidden="1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2:26" ht="15.6" hidden="1"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2:26" ht="15.6" hidden="1"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2:26" ht="15.6" hidden="1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2:26" ht="15.6" hidden="1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2:26" ht="15.6" hidden="1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2:26" ht="15.6" hidden="1"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2:26" ht="15.6" hidden="1"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2:26" ht="15.6" hidden="1"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2:26" ht="15.6" hidden="1"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2:26" ht="15.6" hidden="1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2:26" ht="15.6" hidden="1"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2:26" ht="15.6" hidden="1"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2:26" ht="15.6" hidden="1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2:26" ht="15.6" hidden="1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2:26" ht="15.6" hidden="1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2:26" ht="15.6" hidden="1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2:26" ht="15.6" hidden="1"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2:26" ht="15.6" hidden="1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2:26" ht="15.6" hidden="1"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2:26" ht="15.6" hidden="1"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2:26" ht="15.6" hidden="1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2:26" ht="15.6" hidden="1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2:26" ht="15.6" hidden="1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2:26" ht="15.6" hidden="1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2:26" ht="15.6" hidden="1"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2:26" ht="15.6" hidden="1"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2:26" ht="15.6" hidden="1"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2:26" ht="15.6" hidden="1"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2:26" ht="15.6" hidden="1"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2:26" ht="15.6" hidden="1"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2:26" ht="15.6" hidden="1"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2:26" ht="15.6" hidden="1"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2:26" ht="15.6" hidden="1"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2:26" ht="15.6" hidden="1"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2:26" ht="15.6" hidden="1"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2:26" ht="15.6" hidden="1"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2:26" ht="15.6" hidden="1"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2:26" ht="15.6" hidden="1"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2:26" ht="15.6" hidden="1"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2:26" ht="15.6" hidden="1"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2:26" ht="15.6" hidden="1"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2:26" ht="15.6" hidden="1"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2:26" ht="15.6" hidden="1"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2:26" ht="15.6" hidden="1"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2:26" ht="15.6" hidden="1"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2:26" ht="15.6" hidden="1"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2:26" ht="15.6" hidden="1"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2:26" ht="15.6" hidden="1"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2:26" ht="15.6" hidden="1"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2:26" ht="15.6" hidden="1"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2:26" ht="15.6" hidden="1"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2:26" ht="15.6" hidden="1"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2:26" ht="15.6" hidden="1"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2:26" ht="15.6" hidden="1"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2:26" ht="15.6" hidden="1"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2:26" ht="15.6" hidden="1"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2:26" ht="15.6" hidden="1"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2:26" ht="15.6" hidden="1"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2:26" ht="15.6" hidden="1"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2:26" ht="15.6" hidden="1"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2:26" ht="15.6" hidden="1"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2:26" ht="15.6" hidden="1"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2:26" ht="15.6" hidden="1"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2:26" ht="15.6" hidden="1"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2:26" ht="15.6" hidden="1"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2:26" ht="15.6" hidden="1"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2:26" ht="15.6" hidden="1"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2:26" ht="15.6" hidden="1"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2:26" ht="15.6" hidden="1"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2:26" ht="15.6" hidden="1"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2:26" ht="15.6" hidden="1"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2:26" ht="15.6" hidden="1"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2:26" ht="15.6" hidden="1"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2:26" ht="15.6" hidden="1"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2:26" ht="15.6" hidden="1"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2:26" ht="15.6" hidden="1"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2:26" ht="15.6" hidden="1"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2:26" ht="15.6" hidden="1"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2:26" ht="15.6" hidden="1"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2:26" ht="15.6" hidden="1"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2:26" ht="15.6" hidden="1"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2:26" ht="15.6" hidden="1"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2:26" ht="15.6" hidden="1"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2:26" ht="15.6" hidden="1"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2:26" ht="15.6" hidden="1"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2:26" ht="15.6" hidden="1"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2:26" ht="15.6" hidden="1"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2:26" ht="15.6" hidden="1"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2:26" ht="15.6" hidden="1"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2:26" ht="15.6" hidden="1"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2:26" ht="15.6" hidden="1"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2:26" ht="15.6" hidden="1"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2:26" ht="15.6" hidden="1"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2:26" ht="15.6" hidden="1"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2:26" ht="15.6" hidden="1"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2:26" ht="15.6" hidden="1"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2:26" ht="15.6" hidden="1"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2:26" ht="15.6" hidden="1"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2:26" ht="15.6" hidden="1"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2:26" ht="15.6" hidden="1"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2:26" ht="15.6" hidden="1"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2:26" ht="15.6" hidden="1"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2:26" ht="15.6" hidden="1"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2:26" ht="15.6" hidden="1"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2:26" ht="15.6" hidden="1"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2:26" ht="15.6" hidden="1"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2:26" ht="15.6" hidden="1"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2:26" ht="15.6" hidden="1"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2:26" ht="15.6" hidden="1"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2:26" ht="15.6" hidden="1"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2:26" ht="15.6" hidden="1"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2:26" ht="15.6" hidden="1"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2:26" ht="15.6" hidden="1"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2:26" ht="15.6" hidden="1"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2:26" ht="15.6" hidden="1"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2:26" ht="15.6" hidden="1"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2:26" ht="15.6" hidden="1"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2:26" ht="15.6" hidden="1"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2:26" ht="15.6" hidden="1"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2:26" ht="15.6" hidden="1"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2:26" ht="15.6" hidden="1"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2:26" ht="15.6" hidden="1"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2:26" ht="15.6" hidden="1"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2:26" ht="15.6" hidden="1"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2:26" ht="15.6" hidden="1"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2:26" ht="15.6" hidden="1"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2:26" ht="15.6" hidden="1"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2:26" ht="15.6" hidden="1"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2:26" ht="15.6" hidden="1"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2:26" ht="15.6" hidden="1"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2:26" ht="15.6" hidden="1"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2:26" ht="15.6" hidden="1"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2:26" ht="15.6" hidden="1"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2:26" ht="15.6" hidden="1"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2:26" ht="15.6" hidden="1"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2:26" ht="15.6" hidden="1"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2:26" ht="15.6" hidden="1"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2:26" ht="15.6" hidden="1"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2:26" ht="15.6" hidden="1"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2:26" ht="15.6" hidden="1"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2:26" ht="15.6" hidden="1"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2:26" ht="15.6" hidden="1"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2:26" ht="15.6" hidden="1"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2:26" ht="15.6" hidden="1"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2:26" ht="15.6" hidden="1"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2:26" ht="15.6" hidden="1"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2:26" ht="15.6" hidden="1"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2:26" ht="15.6" hidden="1"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2:26" ht="15.6" hidden="1"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2:26" ht="15.6" hidden="1"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2:26" ht="15.6" hidden="1"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2:26" ht="15.6" hidden="1"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2:26" ht="15.6" hidden="1"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2:26" ht="15.6" hidden="1"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2:26" ht="15.6" hidden="1"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2:26" ht="15.6" hidden="1"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2:26" ht="15.6" hidden="1"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2:26" ht="15.6" hidden="1"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2:26" ht="15.6" hidden="1"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2:26" ht="15.6" hidden="1"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2:26" ht="15.6" hidden="1"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2:26" ht="15.6" hidden="1"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2:26" ht="15.6" hidden="1"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2:26" ht="15.6" hidden="1"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2:26" ht="15.6" hidden="1"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2:26" ht="15.6" hidden="1"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2:26" ht="15.6" hidden="1"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2:26" ht="15.6" hidden="1"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2:26" ht="15.6" hidden="1"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2:26" ht="15.6" hidden="1"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2:26" ht="15.6" hidden="1"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2:26" ht="15.6" hidden="1"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2:26" ht="15.6" hidden="1"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2:26" ht="15.6" hidden="1"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2:26" ht="15.6" hidden="1"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2:26" ht="15.6" hidden="1"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2:26" ht="15.6" hidden="1"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2:26" ht="15.6" hidden="1"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2:26" ht="15.6" hidden="1"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2:26" ht="15.6" hidden="1"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2:26" ht="15.6" hidden="1"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2:26" ht="15.6" hidden="1"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2:26" ht="15.6" hidden="1"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2:26" ht="15.6" hidden="1"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2:26" ht="15.6" hidden="1"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2:26" ht="15.6" hidden="1"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2:26" ht="15.6" hidden="1"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2:26" ht="15.6" hidden="1"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2:26" ht="15.6" hidden="1"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2:26" ht="15.6" hidden="1"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2:26" ht="15.6" hidden="1"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2:26" ht="15.6" hidden="1"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2:26" ht="15.6" hidden="1"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2:26" ht="15.6" hidden="1"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2:26" ht="15.6" hidden="1"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2:26" ht="15.6" hidden="1"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2:26" ht="15.6" hidden="1"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2:26" ht="15.6" hidden="1"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2:26" ht="15.6" hidden="1"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2:26" ht="15.6" hidden="1"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2:26" ht="15.6" hidden="1"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2:26" ht="15.6" hidden="1"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2:26" ht="15.6" hidden="1"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2:26" ht="15.6" hidden="1"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2:26" ht="15.6" hidden="1"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2:26" ht="15.6" hidden="1"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2:26" ht="15.6" hidden="1"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2:26" ht="15.6" hidden="1"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2:26" ht="15.6" hidden="1"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2:26" ht="15.6" hidden="1"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2:26" ht="15.6" hidden="1"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2:26" ht="15.6" hidden="1"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2:26" ht="15.6" hidden="1"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2:26" ht="15.6" hidden="1"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2:26" ht="15.6" hidden="1"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2:26" ht="15.6" hidden="1"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2:26" ht="15.6" hidden="1"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2:26" ht="15.6" hidden="1"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2:26" ht="15.6" hidden="1"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2:26" ht="15.6" hidden="1"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2:26" ht="15.6" hidden="1"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2:26" ht="15.6" hidden="1"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2:26" ht="15.6" hidden="1"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2:26" ht="15.6" hidden="1"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2:26" ht="15.6" hidden="1"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2:26" ht="15.6" hidden="1"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2:26" ht="15.6" hidden="1"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2:26" ht="15.6" hidden="1"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2:26" ht="15.6" hidden="1"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2:26" ht="15.6" hidden="1"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2:26" ht="15.6" hidden="1"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2:26" ht="15.6" hidden="1"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2:26" ht="15.6" hidden="1"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2:26" ht="15.6" hidden="1"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2:26" ht="15.6" hidden="1"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2:26" ht="15.6" hidden="1"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2:26" ht="15.6" hidden="1"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2:26" ht="15.6" hidden="1"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2:26" ht="15.6" hidden="1"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2:26" ht="15.6" hidden="1"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2:26" ht="15.6" hidden="1"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2:26" ht="15.6" hidden="1"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2:26" ht="15.6" hidden="1"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2:26" ht="15.6" hidden="1"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2:26" ht="15.6" hidden="1"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2:26" ht="15.6" hidden="1"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2:26" ht="15.6" hidden="1"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2:26" ht="15.6" hidden="1"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2:26" ht="15.6" hidden="1"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2:26" ht="15.6" hidden="1"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2:26" ht="15.6" hidden="1"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2:26" ht="15.6" hidden="1"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2:26" ht="15.6" hidden="1"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2:26" ht="15.6" hidden="1"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2:26" ht="15.6" hidden="1"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2:26" ht="15.6" hidden="1"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2:26" ht="15.6" hidden="1"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2:26" ht="15.6" hidden="1"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2:26" ht="15.6" hidden="1"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2:26" ht="15.6" hidden="1"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2:26" ht="15.6" hidden="1"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2:26" ht="15.6" hidden="1"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2:26" ht="15.6" hidden="1"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2:26" ht="15.6" hidden="1"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2:26" ht="15.6" hidden="1"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2:26" ht="15.6" hidden="1"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2:26" ht="15.6" hidden="1"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2:26" ht="15.6" hidden="1"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2:26" ht="15.6" hidden="1"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2:26" ht="15.6" hidden="1"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2:26" ht="15.6" hidden="1"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2:26" ht="15.6" hidden="1"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2:26" ht="15.6" hidden="1"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2:26" ht="15.6" hidden="1"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2:26" ht="15.6" hidden="1"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2:26" ht="15.6" hidden="1"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2:26" ht="15.6" hidden="1"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2:26" ht="15.6" hidden="1"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2:26" ht="15.6" hidden="1"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2:26" ht="15.6" hidden="1"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2:26" ht="15.6" hidden="1"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2:26" ht="15.6" hidden="1"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2:26" ht="15.6" hidden="1"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2:26" ht="15.6" hidden="1"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2:26" ht="15.6" hidden="1"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2:26" ht="15.6" hidden="1"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2:26" ht="15.6" hidden="1"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2:26" ht="15.6" hidden="1"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2:26" ht="15.6" hidden="1"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2:26" ht="15.6" hidden="1"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2:26" ht="15.6" hidden="1"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2:26" ht="15.6" hidden="1"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2:26" ht="15.6" hidden="1"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2:26" ht="15.6" hidden="1"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2:26" ht="15.6" hidden="1"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2:26" ht="15.6" hidden="1"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2:26" ht="15.6" hidden="1"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2:26" ht="15.6" hidden="1"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2:26" ht="15.6" hidden="1"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2:26" ht="15.6" hidden="1"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2:26" ht="15.6" hidden="1"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2:26" ht="15.6" hidden="1"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2:26" ht="15.6" hidden="1"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2:26" ht="15.6" hidden="1"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2:26" ht="15.6" hidden="1"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2:26" ht="15.6" hidden="1"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2:26" ht="15.6" hidden="1"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2:26" ht="15.6" hidden="1"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2:26" ht="15.6" hidden="1"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2:26" ht="15.6" hidden="1"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2:26" ht="15.6" hidden="1"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2:26" ht="15.6" hidden="1"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2:26" ht="15.6" hidden="1"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2:26" ht="15.6" hidden="1"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2:26" ht="15.6" hidden="1"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2:26" ht="15.6" hidden="1"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2:26" ht="15.6" hidden="1"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2:26" ht="15.6" hidden="1"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2:26" ht="15.6" hidden="1"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2:26" ht="15.6" hidden="1"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2:26" ht="15.6" hidden="1"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2:26" ht="15.6" hidden="1"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2:26" ht="15.6" hidden="1"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2:26" ht="15.6" hidden="1"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2:26" ht="15.6" hidden="1"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2:26" ht="15.6" hidden="1"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2:26" ht="15.6" hidden="1"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2:26" ht="15.6" hidden="1"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2:26" ht="15.6" hidden="1"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2:26" ht="15.6" hidden="1"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2:26" ht="15.6" hidden="1"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2:26" ht="15.6" hidden="1"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2:26" ht="15.6" hidden="1"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2:26" ht="15.6" hidden="1"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2:26" ht="15.6" hidden="1"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2:26" ht="15.6" hidden="1"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2:26" ht="15.6" hidden="1"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2:26" ht="15.6" hidden="1"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2:26" ht="15.6" hidden="1"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2:26" ht="15.6" hidden="1"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2:26" ht="15.6" hidden="1"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2:26" ht="15.6" hidden="1"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2:26" ht="15.6" hidden="1"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2:26" ht="15.6" hidden="1"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2:26" ht="15.6" hidden="1"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2:26" ht="15.6" hidden="1"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2:26" ht="15.6" hidden="1"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2:26" ht="15.6" hidden="1"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2:26" ht="15.6" hidden="1"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2:26" ht="15.6" hidden="1"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2:26" ht="15.6" hidden="1"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2:26" ht="15.6" hidden="1"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2:26" ht="15.6" hidden="1"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2:26" ht="15.6" hidden="1"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2:26" ht="15.6" hidden="1"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2:26" ht="15.6" hidden="1"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2:26" ht="15.6" hidden="1"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2:26" ht="15.6" hidden="1"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2:26" ht="15.6" hidden="1"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2:26" ht="15.6" hidden="1"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2:26" ht="15.6" hidden="1"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2:26" ht="15.6" hidden="1"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2:26" ht="15.6" hidden="1"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2:26" ht="15.6" hidden="1"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2:26" ht="15.6" hidden="1"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2:26" ht="15.6" hidden="1"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2:26" ht="15.6" hidden="1"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2:26" ht="15.6" hidden="1"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2:26" ht="15.6" hidden="1"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2:26" ht="15.6" hidden="1"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2:26" ht="15.6" hidden="1"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2:26" ht="15.6" hidden="1"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2:26" ht="15.6" hidden="1"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2:26" ht="15.6" hidden="1"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2:26" ht="15.6" hidden="1"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2:26" ht="15.6" hidden="1"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2:26" ht="15.6" hidden="1"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2:26" ht="15.6" hidden="1"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2:26" ht="15.6" hidden="1"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2:26" ht="15.6" hidden="1"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2:26" ht="15.6" hidden="1"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2:26" ht="15.6" hidden="1"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2:26" ht="15.6" hidden="1"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2:26" ht="15.6" hidden="1"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2:26" ht="15.6" hidden="1"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2:26" ht="15.6" hidden="1"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2:26" ht="15.6" hidden="1"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2:26" ht="15.6" hidden="1"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2:26" ht="15.6" hidden="1"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2:26" ht="15.6" hidden="1"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2:26" ht="15.6" hidden="1"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2:26" ht="15.6" hidden="1"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2:26" ht="15.6" hidden="1"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2:26" ht="15.6" hidden="1"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2:26" ht="15.6" hidden="1"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2:26" ht="15.6" hidden="1"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2:26" ht="15.6" hidden="1"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2:26" ht="15.6" hidden="1"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2:26" ht="15.6" hidden="1"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2:26" ht="15.6" hidden="1"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2:26" ht="15.6" hidden="1"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2:26" ht="15.6" hidden="1"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2:26" ht="15.6" hidden="1"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2:26" ht="15.6" hidden="1"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2:26" ht="15.6" hidden="1"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2:26" ht="15.6" hidden="1"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2:26" ht="15.6" hidden="1"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2:26" ht="15.6" hidden="1"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2:26" ht="15.6" hidden="1"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2:26" ht="15.6" hidden="1"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2:26" ht="15.6" hidden="1"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2:26" ht="15.6" hidden="1"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2:26" ht="15.6" hidden="1"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2:26" ht="15.6" hidden="1"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2:26" ht="15.6" hidden="1"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2:26" ht="15.6" hidden="1"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2:26" ht="15.6" hidden="1"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2:26" ht="15.6" hidden="1"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2:26" ht="15.6" hidden="1"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2:26" ht="15.6" hidden="1"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2:26" ht="15.6" hidden="1"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2:26" ht="15.6" hidden="1"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2:26" ht="15.6" hidden="1"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2:26" ht="15.6" hidden="1"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2:26" ht="15.6" hidden="1"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2:26" ht="15.6" hidden="1"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2:26" ht="15.6" hidden="1"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2:26" ht="15.6" hidden="1"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2:26" ht="15.6" hidden="1"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2:26" ht="15.6" hidden="1"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2:26" ht="15.6" hidden="1"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2:26" ht="15.6" hidden="1"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2:26" ht="15.6" hidden="1"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2:26" ht="15.6" hidden="1"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2:26" ht="15.6" hidden="1"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2:26" ht="15.6" hidden="1"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2:26" ht="15.6" hidden="1"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2:26" ht="15.6" hidden="1"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2:26" ht="15.6" hidden="1"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2:26" ht="15.6" hidden="1"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2:26" ht="15.6" hidden="1"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2:26" ht="15.6" hidden="1"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2:26" ht="15.6" hidden="1"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2:26" ht="15.6" hidden="1"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2:26" ht="15.6" hidden="1"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2:26" ht="15.6" hidden="1"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2:26" ht="15.6" hidden="1"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2:26" ht="15.6" hidden="1"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2:26" ht="15.6" hidden="1"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2:26" ht="15.6" hidden="1"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2:26" ht="15.6" hidden="1"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2:26" ht="15.6" hidden="1"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2:26" ht="15.6" hidden="1"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2:26" ht="15.6" hidden="1"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2:26" ht="15.6" hidden="1"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2:26" ht="15.6" hidden="1"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2:26" ht="15.6" hidden="1"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2:26" ht="15.6" hidden="1"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2:26" ht="15.6" hidden="1"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2:26" ht="15.6" hidden="1"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2:26" ht="15.6" hidden="1"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2:26" ht="15.6" hidden="1"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2:26" ht="15.6" hidden="1"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2:26" ht="15.6" hidden="1"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2:26" ht="15.6" hidden="1"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2:26" ht="15.6" hidden="1"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2:26" ht="15.6" hidden="1"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2:26" ht="15.6" hidden="1"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2:26" ht="15.6" hidden="1"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2:26" ht="15.6" hidden="1"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2:26" ht="15.6" hidden="1"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2:26" ht="15.6" hidden="1"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2:26" ht="15.6" hidden="1"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2:26" ht="15.6" hidden="1"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2:26" ht="15.6" hidden="1"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2:26" ht="15.6" hidden="1"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2:26" ht="15.6" hidden="1"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2:26" ht="15.6" hidden="1"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2:26" ht="15.6" hidden="1"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2:26" ht="15.6" hidden="1"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2:26" ht="15.6" hidden="1"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2:26" ht="15.6" hidden="1"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2:26" ht="15.6" hidden="1"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2:26" ht="15.6" hidden="1"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2:26" ht="15.6" hidden="1"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2:26" ht="15.6" hidden="1"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2:26" ht="15.6" hidden="1"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2:26" ht="15.6" hidden="1"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2:26" ht="15.6" hidden="1"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2:26" ht="15.6" hidden="1"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2:26" ht="15.6" hidden="1"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2:26" ht="15.6" hidden="1"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2:26" ht="15.6" hidden="1"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2:26" ht="15.6" hidden="1"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2:26" ht="15.6" hidden="1"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2:26" ht="15.6" hidden="1"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2:26" ht="15.6" hidden="1"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2:26" ht="15.6" hidden="1"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2:26" ht="15.6" hidden="1"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2:26" ht="15.6" hidden="1"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2:26" ht="15.6" hidden="1"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2:26" ht="15.6" hidden="1"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2:26" ht="15.6" hidden="1"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2:26" ht="15.6" hidden="1"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2:26" ht="15.6" hidden="1"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2:26" ht="15.6" hidden="1"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2:26" ht="15.6" hidden="1"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2:26" ht="15.6" hidden="1"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2:26" ht="15.6" hidden="1"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2:26" ht="15.6" hidden="1"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2:26" ht="15.6" hidden="1"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2:26" ht="15.6" hidden="1"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2:26" ht="15.6" hidden="1"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2:26" ht="15.6" hidden="1"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2:26" ht="15.6" hidden="1"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2:26" ht="15.6" hidden="1"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2:26" ht="15.6" hidden="1"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2:26" ht="15.6" hidden="1"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2:26" ht="15.6" hidden="1"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2:26" ht="15.6" hidden="1"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2:26" ht="15.6" hidden="1"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2:26" ht="15.6" hidden="1"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2:26" ht="15.6" hidden="1"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2:26" ht="15.6" hidden="1"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2:26" ht="15.6" hidden="1"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2:26" ht="15.6" hidden="1"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2:26" ht="15.6" hidden="1"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2:26" ht="15.6" hidden="1"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2:26" ht="15.6" hidden="1"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2:26" ht="15.6" hidden="1"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2:26" ht="15.6" hidden="1"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2:26" ht="15.6" hidden="1"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2:26" ht="15.6" hidden="1"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2:26" ht="15.6" hidden="1"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2:26" ht="15.6" hidden="1"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2:26" ht="15.6" hidden="1"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2:26" ht="15.6" hidden="1"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2:26" ht="15.6" hidden="1"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2:26" ht="15.6" hidden="1"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2:26" ht="15.6" hidden="1"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2:26" ht="15.6" hidden="1"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2:26" ht="15.6" hidden="1"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2:26" ht="15.6" hidden="1"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2:26" ht="15.6" hidden="1"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2:26" ht="15.6" hidden="1"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2:26" ht="15.6" hidden="1"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2:26" ht="15.6" hidden="1"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2:26" ht="15.6" hidden="1"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2:26" ht="15.6" hidden="1"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2:26" ht="15.6" hidden="1"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2:26" ht="15.6" hidden="1"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2:26" ht="15.6" hidden="1"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2:26" ht="15.6" hidden="1"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2:26" ht="15.6" hidden="1"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2:26" ht="15.6" hidden="1"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2:26" ht="15.6" hidden="1"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2:26" ht="15.6" hidden="1"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2:26" ht="15.6" hidden="1"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2:26" ht="15.6" hidden="1"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2:26" ht="15.6" hidden="1"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2:26" ht="15.6" hidden="1"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2:26" ht="15.6" hidden="1"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2:26" ht="15.6" hidden="1"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2:26" ht="15.6" hidden="1"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2:26" ht="15.6" hidden="1"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2:26" ht="15.6" hidden="1"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2:26" ht="15.6" hidden="1"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2:26" ht="15.6" hidden="1"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2:26" ht="15.6" hidden="1"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2:26" ht="15.6" hidden="1"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2:26" ht="15.6" hidden="1"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2:26" ht="15.6" hidden="1"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2:26" ht="15.6" hidden="1"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2:26" ht="15.6" hidden="1"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2:26" ht="15.6" hidden="1"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2:26" ht="15.6" hidden="1"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2:26" ht="15.6" hidden="1"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2:26" ht="15.6" hidden="1"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2:26" ht="15.6" hidden="1"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2:26" ht="15.6" hidden="1"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2:26" ht="15.6" hidden="1"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2:26" ht="15.6" hidden="1"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2:26" ht="15.6" hidden="1"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2:26" ht="15.6" hidden="1"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2:26" ht="15.6" hidden="1"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2:26" ht="15.6" hidden="1"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2:26" ht="15.6" hidden="1"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2:26" ht="15.6" hidden="1"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2:26" ht="15.6" hidden="1"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2:26" ht="15.6" hidden="1"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2:26" ht="15.6" hidden="1"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2:26" ht="15.6" hidden="1"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2:26" ht="15.6" hidden="1"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2:26" ht="15.6" hidden="1"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2:26" ht="15.6" hidden="1"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2:26" ht="15.6" hidden="1"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2:26" ht="15.6" hidden="1"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2:26" ht="15.6" hidden="1"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2:26" ht="15.6" hidden="1"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2:26" ht="15.6" hidden="1"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2:26" ht="15.6" hidden="1"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2:26" ht="15.6" hidden="1"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2:26" ht="15.6" hidden="1"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2:26" ht="15.6" hidden="1"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2:26" ht="15.6" hidden="1"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2:26" ht="15.6" hidden="1"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2:26" ht="15.6" hidden="1"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2:26" ht="15.6" hidden="1"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2:26" ht="15.6" hidden="1"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2:26" ht="15.6" hidden="1"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2:26" ht="15.6" hidden="1"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2:26" ht="15.6" hidden="1"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2:26" ht="15.6" hidden="1"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2:26" ht="15.6" hidden="1"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2:26" ht="15.6" hidden="1"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2:26" ht="15.6" hidden="1"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2:26" ht="15.6" hidden="1"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2:26" ht="15.6" hidden="1"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2:26" ht="15.6" hidden="1"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2:26" ht="15.6" hidden="1"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2:26" ht="15.6" hidden="1"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2:26" ht="15.6" hidden="1"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2:26" ht="15.6" hidden="1"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2:26" ht="15.6" hidden="1"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2:26" ht="15.6" hidden="1"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2:26" ht="15.6" hidden="1"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2:26" ht="15.6" hidden="1"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2:26" ht="15.6" hidden="1"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2:26" ht="15.6" hidden="1"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2:26" ht="15.6" hidden="1"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2:26" ht="15.6" hidden="1"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2:26" ht="15.6" hidden="1"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2:26" ht="15.6" hidden="1"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2:26" ht="15.6" hidden="1"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2:26" ht="15.6" hidden="1"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2:26" ht="15.6" hidden="1"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2:26" ht="15.6" hidden="1"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2:26" ht="15.6" hidden="1"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2:26" ht="15.6" hidden="1"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2:26" ht="15.6" hidden="1"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2:26" ht="15.6" hidden="1"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2:26" ht="15.6" hidden="1"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2:26" ht="15.6" hidden="1"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2:26" ht="15.6" hidden="1"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2:26" ht="15.6" hidden="1"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2:26" ht="15.6" hidden="1"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2:26" ht="15.6" hidden="1"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2:26" ht="15.6" hidden="1"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2:26" ht="15.6" hidden="1"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2:26" ht="15.6" hidden="1"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2:26" ht="15.6" hidden="1"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2:26" ht="15.6" hidden="1"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2:26" ht="15.6" hidden="1"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2:26" ht="15.6" hidden="1"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2:26" ht="15.6" hidden="1"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2:26" ht="15.6" hidden="1"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2:26" ht="15.6" hidden="1"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2:26" ht="15.6" hidden="1"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2:26" ht="15.6" hidden="1"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2:26" ht="15.6" hidden="1"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2:26" ht="15.6" hidden="1"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2:26" ht="15.6" hidden="1"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2:26" ht="15.6" hidden="1"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2:26" ht="15.6" hidden="1"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2:26" ht="15.6" hidden="1"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2:26" ht="15.6" hidden="1"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2:26" ht="15.6" hidden="1"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2:26" ht="15.6" hidden="1"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2:26" ht="15.6" hidden="1"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2:26" ht="15.6" hidden="1"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2:26" ht="15.6" hidden="1"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2:26" ht="15.6" hidden="1"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2:26" ht="15.6" hidden="1"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2:26" ht="15.6" hidden="1"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2:26" ht="15.6" hidden="1"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2:26" ht="15.6" hidden="1"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2:26" ht="15.6" hidden="1"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2:26" ht="15.6" hidden="1"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2:26" ht="15.6" hidden="1"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2:26" ht="15.6" hidden="1"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2:26" ht="15.6" hidden="1"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2:26" ht="15.6" hidden="1"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2:26" ht="15.6" hidden="1"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2:26" ht="15.6" hidden="1"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2:26" ht="15.6" hidden="1"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2:26" ht="15.6" hidden="1"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2:26" ht="15.6" hidden="1"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2:26" ht="15.6" hidden="1"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2:26" ht="15.6" hidden="1"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2:26" ht="15.6" hidden="1"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2:26" ht="15.6" hidden="1"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2:26" ht="15.6" hidden="1"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2:26" ht="15.6" hidden="1"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2:26" ht="15.6" hidden="1"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2:26" ht="15.6" hidden="1"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2:26" ht="15.6" hidden="1"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2:26" ht="15.6" hidden="1"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2:26" ht="15.6" hidden="1"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2:26" ht="15.6" hidden="1"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2:26" ht="15.6" hidden="1"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2:26" ht="15.6" hidden="1"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2:26" ht="15.6" hidden="1"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2:26" ht="15.6" hidden="1"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2:26" ht="15.6" hidden="1"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2:26" ht="15.6" hidden="1"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2:26" ht="15.6" hidden="1"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2:26" ht="15.6" hidden="1"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2:26" ht="15.6" hidden="1"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2:26" ht="15.6" hidden="1"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2:26" ht="15.6" hidden="1"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2:26" ht="15.6" hidden="1"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2:26" ht="15.6" hidden="1"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2:26" ht="15.6" hidden="1"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2:26" ht="15.6" hidden="1"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2:26" ht="15.6" hidden="1"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2:26" ht="15.6" hidden="1"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2:26" ht="15.6" hidden="1"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2:26" ht="15.6" hidden="1"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2:26" ht="15.6" hidden="1"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2:26" ht="15.6" hidden="1"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2:26" ht="15.6" hidden="1"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2:26" ht="15.6" hidden="1"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2:26" ht="15.6" hidden="1"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2:26" ht="15.6" hidden="1"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2:26" ht="15.6" hidden="1"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2:26" ht="15.6" hidden="1"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2:26" ht="15.6" hidden="1"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2:26" ht="15.6" hidden="1"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2:26" ht="15.6" hidden="1"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2:26" ht="15.6" hidden="1"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2:26" ht="15.6" hidden="1"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2:26" ht="15.6" hidden="1"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2:26" ht="15.6" hidden="1"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2:26" ht="15.6" hidden="1"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2:26" ht="15.6" hidden="1"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2:26" ht="15.6" hidden="1"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2:26" ht="15.6" hidden="1"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2:26" ht="15.6" hidden="1"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2:26" ht="15.6" hidden="1"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2:26" ht="15.6" hidden="1"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2:26" ht="15.6" hidden="1"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2:26" ht="15.6" hidden="1"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2:26" ht="15.6" hidden="1"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2:26" ht="15.6" hidden="1"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2:26" ht="15.6" hidden="1"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2:26" ht="15.6" hidden="1"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2:26" ht="15.6" hidden="1"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2:26" ht="15.6" hidden="1"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2:26" ht="15.6" hidden="1"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2:26" ht="15.6" hidden="1"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2:26" ht="15.6" hidden="1"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2:26" ht="15.6" hidden="1"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2:26" ht="15.6" hidden="1"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2:26" ht="15.6" hidden="1"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2:26" ht="15.6" hidden="1"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2:26" ht="15.6" hidden="1"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2:26" ht="15.6" hidden="1"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2:26" ht="15.6" hidden="1"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2:26" ht="15.6" hidden="1"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2:26" ht="15.6" hidden="1"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2:26" ht="15.6" hidden="1"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2:26" ht="15.6" hidden="1"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2:26" ht="15.6" hidden="1"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2:26" ht="15.6" hidden="1"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2:26" ht="15.6" hidden="1"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2:26" ht="15.6" hidden="1"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2:26" ht="15.6" hidden="1"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2:26" ht="15.6" hidden="1"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2:26" ht="15.6" hidden="1"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2:26" ht="15.6" hidden="1"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2:26" ht="15.6" hidden="1"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2:26" ht="15.6" hidden="1"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2:26" ht="15.6" hidden="1"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2:26" ht="15.6" hidden="1"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2:26" ht="15.6" hidden="1"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2:26" ht="15.6" hidden="1"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2:26" ht="15.6" hidden="1"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2:26" ht="15.6" hidden="1"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2:26" ht="15.6" hidden="1"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2:26" ht="15.6" hidden="1"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2:26" ht="15.6" hidden="1"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2:26" ht="15.6" hidden="1"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2:26" ht="15.6" hidden="1"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2:26" ht="15.6" hidden="1"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2:26" ht="15.6" hidden="1"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2:26" ht="15.6" hidden="1"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2:26" ht="15.6" hidden="1"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2:26" ht="15.6" hidden="1"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2:26" ht="15.6" hidden="1"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2:26" ht="15.6" hidden="1"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2:26" ht="15.6" hidden="1"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2:26" ht="15.6" hidden="1"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2:26" ht="15.6" hidden="1"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2:26" ht="15.6" hidden="1"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2:26" ht="15.6" hidden="1"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2:26" ht="15.6" hidden="1"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2:26" ht="15.6" hidden="1"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2:26" ht="15.6" hidden="1"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2:26" ht="15.6" hidden="1"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2:26" ht="15.6" hidden="1"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2:26" ht="15.6" hidden="1"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2:26" ht="15.6" hidden="1"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2:26" ht="15.6" hidden="1"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2:26" ht="15.6" hidden="1"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2:26" ht="15.6" hidden="1"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2:26" ht="15.6" hidden="1"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2:26" ht="15.6" hidden="1"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2:26" ht="15.6" hidden="1"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2:26" ht="15.6" hidden="1"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2:26" ht="15.6" hidden="1"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2:26" ht="15.6" hidden="1"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2:26" ht="15.6" hidden="1"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2:26" ht="15.6" hidden="1"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2:26" ht="15.6" hidden="1"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2:26" ht="15.6" hidden="1"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2:26" ht="15.6" hidden="1"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2:26" ht="15.6" hidden="1"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2:26" ht="15.6" hidden="1"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2:26" ht="15.6" hidden="1"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2:26" ht="15.6" hidden="1"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2:26" ht="15.6" hidden="1"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2:26" ht="15.6" hidden="1"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2:26" ht="15.6" hidden="1"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2:26" ht="15.6" hidden="1"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2:26" ht="15.6" hidden="1"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2:26" ht="15.6" hidden="1"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2:26" ht="15.6" hidden="1"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2:26" ht="15.6" hidden="1"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2:26" ht="15.6" hidden="1"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2:26" ht="15.6" hidden="1"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2:26" ht="15.6" hidden="1"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2:26" ht="15.6" hidden="1"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2:26" ht="15.6" hidden="1"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2:26" ht="15.6" hidden="1"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2:26" ht="15.6" hidden="1"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2:26" ht="15.6" hidden="1"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2:26" ht="15.6" hidden="1"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2:26" ht="15.6" hidden="1"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2:26" ht="15.6" hidden="1"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2:26" ht="15.6" hidden="1"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2:26" ht="15.6" hidden="1"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2:26" ht="15.6" hidden="1"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2:26" ht="15.6" hidden="1"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2:26" ht="15.6" hidden="1"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2:26" ht="15.6" hidden="1"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2:26" ht="15.6" hidden="1"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2:26" ht="15.6" hidden="1"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2:26" ht="15.6" hidden="1"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2:26" ht="15.6" hidden="1"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2:26" ht="15.6" hidden="1"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2:26" ht="15.6" hidden="1"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2:26" ht="15.6" hidden="1"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2:26" ht="15.6" hidden="1"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2:26" ht="15.6" hidden="1"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2:26" ht="15.6" hidden="1"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2:26" ht="15.6" hidden="1"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2:26" ht="15.6" hidden="1"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2:26" ht="15.6" hidden="1"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2:26" ht="15.6" hidden="1"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2:26" ht="15.6" hidden="1"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2:26" ht="15.6" hidden="1"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2:26" ht="15.6" hidden="1"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2:26" ht="15.6" hidden="1"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2:26" ht="15.6" hidden="1"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2:26" ht="15.6" hidden="1"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2:26" ht="15.6" hidden="1"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2:26" ht="15.6" hidden="1"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2:26" ht="15.6" hidden="1"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2:26" ht="15.6" hidden="1"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2:26" ht="15.6" hidden="1"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2:26" ht="15.6" hidden="1"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2:26" ht="15.6" hidden="1"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2:26" ht="15.6" hidden="1"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2:26" ht="15.6" hidden="1"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2:26" ht="15.6" hidden="1"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2:26" ht="15.6" hidden="1"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2:26" ht="15.6" hidden="1"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2:26" ht="15.6" hidden="1"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2:26" ht="15.6" hidden="1"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2:26" ht="15.6" hidden="1"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2:26" ht="15.6" hidden="1"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2:26" ht="15.6" hidden="1"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2:26" ht="15.6" hidden="1"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2:26" ht="15.6" hidden="1"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2:26" ht="15.6" hidden="1"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2:26" ht="15.6" hidden="1"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2:26" ht="15.6" hidden="1"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2:26" ht="15.6" hidden="1"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2:26" ht="15.6" hidden="1"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2:26" ht="15.6" hidden="1"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2:26" ht="15.6" hidden="1"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2:26" ht="15.6" hidden="1"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2:26" ht="15.6" hidden="1"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2:26" ht="15.6" hidden="1"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2:26" ht="15.6" hidden="1"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2:26" ht="15.6" hidden="1"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2:26" ht="15.6" hidden="1"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2:26" ht="15.6" hidden="1"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2:26" ht="15.6" hidden="1"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2:26" ht="15.6" hidden="1"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2:26" ht="15.6" hidden="1"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2:26" ht="15.6" hidden="1"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2:26" ht="15.6" hidden="1"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2:26" ht="15.6" hidden="1"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2:26" ht="15.6" hidden="1"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2:26" ht="15.6" hidden="1"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2:26" ht="15.6" hidden="1"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2:26" ht="15.6" hidden="1"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2:26" ht="15.6" hidden="1"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2:26" ht="15.6" hidden="1"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2:26" ht="15.6" hidden="1"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2:26" ht="15.6" hidden="1"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2:26" ht="15.6" hidden="1"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2:26" ht="15.6" hidden="1"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25" right="0.25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교육과정편제표(신재생에너지과)</vt:lpstr>
      <vt:lpstr>실무과목 능력단위(신재생에너지과)</vt:lpstr>
      <vt:lpstr>교육과정편제표(IoT기계과)</vt:lpstr>
      <vt:lpstr>실무과목 능력단위(IoT기계과)</vt:lpstr>
      <vt:lpstr>교육과정편제표(IoT기계과-도제코스)</vt:lpstr>
      <vt:lpstr>실무과목 능력단위(IoT기계과-도제코스)</vt:lpstr>
      <vt:lpstr>삭제금지</vt:lpstr>
      <vt:lpstr>(참고1) 편성 기준🔐</vt:lpstr>
      <vt:lpstr>'교육과정편제표(IoT기계과)'!Print_Area</vt:lpstr>
      <vt:lpstr>'교육과정편제표(IoT기계과-도제코스)'!Print_Area</vt:lpstr>
      <vt:lpstr>'교육과정편제표(신재생에너지과)'!Print_Area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2026-10-13T07:07:02Z</cp:lastPrinted>
  <dcterms:created xsi:type="dcterms:W3CDTF">2020-03-04T02:26:59Z</dcterms:created>
  <dcterms:modified xsi:type="dcterms:W3CDTF">2026-10-21T02:49:34Z</dcterms:modified>
</cp:coreProperties>
</file>