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교육과정\"/>
    </mc:Choice>
  </mc:AlternateContent>
  <xr:revisionPtr revIDLastSave="0" documentId="8_{3336325D-32AC-43E0-B2B6-7E1265B7C70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교육과정편제표(회계사무과)" sheetId="1" r:id="rId1"/>
    <sheet name="교육과정편제표(회계사무과_도제)" sheetId="2" r:id="rId2"/>
    <sheet name="교육과정편제표(AI융합경영과)" sheetId="3" r:id="rId3"/>
    <sheet name="교육과정편제표(AI콘텐츠과)" sheetId="4" r:id="rId4"/>
    <sheet name="실무과목 능력단위(회계사무과_회계사무원)" sheetId="5" r:id="rId5"/>
    <sheet name="실무과목 능력단위(회계사무과_경영지원사무원)" sheetId="6" r:id="rId6"/>
    <sheet name="실무과목 능력단위(회계사무과_도제)" sheetId="7" r:id="rId7"/>
    <sheet name="실무과목 능력단위(AI융합경영과)" sheetId="8" r:id="rId8"/>
    <sheet name="실무과목 능력단위(AI콘텐츠과_챗크리에이터)" sheetId="9" r:id="rId9"/>
    <sheet name="실무과목 능력단위(AI콘텐츠과_AI디자이너)" sheetId="10" r:id="rId10"/>
    <sheet name="삭제금지" sheetId="11" r:id="rId11"/>
    <sheet name="(참고1) 편성 기준🔐" sheetId="12" r:id="rId12"/>
  </sheets>
  <definedNames>
    <definedName name="_xlnm._FilterDatabase" localSheetId="10" hidden="1">삭제금지!$A$1:$F$151</definedName>
    <definedName name="_xlnm.Print_Area" localSheetId="2">'교육과정편제표(AI융합경영과)'!$A$1:$AE$71</definedName>
    <definedName name="_xlnm.Print_Area" localSheetId="3">'교육과정편제표(AI콘텐츠과)'!$A$1:$AE$72</definedName>
    <definedName name="_xlnm.Print_Area" localSheetId="0">'교육과정편제표(회계사무과)'!$A$1:$AE$73</definedName>
    <definedName name="_xlnm.Print_Area" localSheetId="1">'교육과정편제표(회계사무과_도제)'!$A$1:$AE$60</definedName>
    <definedName name="_xlnm.Print_Area" localSheetId="7">'실무과목 능력단위(AI융합경영과)'!$A$1:$AG$32</definedName>
    <definedName name="_xlnm.Print_Area" localSheetId="9">'실무과목 능력단위(AI콘텐츠과_AI디자이너)'!$A$1:$AG$40</definedName>
    <definedName name="_xlnm.Print_Area" localSheetId="8">'실무과목 능력단위(AI콘텐츠과_챗크리에이터)'!$A$1:$AG$40</definedName>
    <definedName name="_xlnm.Print_Area" localSheetId="5">'실무과목 능력단위(회계사무과_경영지원사무원)'!$A$1:$AG$37</definedName>
    <definedName name="_xlnm.Print_Area" localSheetId="6">'실무과목 능력단위(회계사무과_도제)'!$A$1:$AG$33</definedName>
    <definedName name="_xlnm.Print_Area" localSheetId="4">'실무과목 능력단위(회계사무과_회계사무원)'!$A$1:$AG$42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3" i="8" l="1"/>
  <c r="R37" i="10"/>
  <c r="P37" i="10"/>
  <c r="N37" i="10"/>
  <c r="L37" i="10"/>
  <c r="K37" i="10"/>
  <c r="J37" i="10"/>
  <c r="H37" i="10"/>
  <c r="T36" i="10"/>
  <c r="S36" i="10"/>
  <c r="Q36" i="10"/>
  <c r="O36" i="10"/>
  <c r="M36" i="10"/>
  <c r="K36" i="10"/>
  <c r="I36" i="10"/>
  <c r="U36" i="10" s="1"/>
  <c r="T35" i="10"/>
  <c r="S35" i="10"/>
  <c r="Q35" i="10"/>
  <c r="O35" i="10"/>
  <c r="M35" i="10"/>
  <c r="K35" i="10"/>
  <c r="I35" i="10"/>
  <c r="U35" i="10" s="1"/>
  <c r="T34" i="10"/>
  <c r="S34" i="10"/>
  <c r="Q34" i="10"/>
  <c r="O34" i="10"/>
  <c r="M34" i="10"/>
  <c r="K34" i="10"/>
  <c r="I34" i="10"/>
  <c r="U34" i="10" s="1"/>
  <c r="T33" i="10"/>
  <c r="S33" i="10"/>
  <c r="Q33" i="10"/>
  <c r="O33" i="10"/>
  <c r="M33" i="10"/>
  <c r="K33" i="10"/>
  <c r="I33" i="10"/>
  <c r="U33" i="10" s="1"/>
  <c r="T32" i="10"/>
  <c r="T37" i="10" s="1"/>
  <c r="S32" i="10"/>
  <c r="S37" i="10" s="1"/>
  <c r="Q32" i="10"/>
  <c r="Q37" i="10" s="1"/>
  <c r="O32" i="10"/>
  <c r="M32" i="10"/>
  <c r="M37" i="10" s="1"/>
  <c r="K32" i="10"/>
  <c r="I32" i="10"/>
  <c r="I37" i="10" s="1"/>
  <c r="R31" i="10"/>
  <c r="P31" i="10"/>
  <c r="N31" i="10"/>
  <c r="L31" i="10"/>
  <c r="J31" i="10"/>
  <c r="H31" i="10"/>
  <c r="T30" i="10"/>
  <c r="S30" i="10"/>
  <c r="Q30" i="10"/>
  <c r="O30" i="10"/>
  <c r="M30" i="10"/>
  <c r="K30" i="10"/>
  <c r="I30" i="10"/>
  <c r="T29" i="10"/>
  <c r="S29" i="10"/>
  <c r="Q29" i="10"/>
  <c r="O29" i="10"/>
  <c r="M29" i="10"/>
  <c r="M31" i="10" s="1"/>
  <c r="K29" i="10"/>
  <c r="I29" i="10"/>
  <c r="T28" i="10"/>
  <c r="T31" i="10" s="1"/>
  <c r="S28" i="10"/>
  <c r="S31" i="10" s="1"/>
  <c r="Q28" i="10"/>
  <c r="O28" i="10"/>
  <c r="M28" i="10"/>
  <c r="K28" i="10"/>
  <c r="I28" i="10"/>
  <c r="I31" i="10" s="1"/>
  <c r="R27" i="10"/>
  <c r="P27" i="10"/>
  <c r="N27" i="10"/>
  <c r="L27" i="10"/>
  <c r="J27" i="10"/>
  <c r="H27" i="10"/>
  <c r="T26" i="10"/>
  <c r="S26" i="10"/>
  <c r="Q26" i="10"/>
  <c r="O26" i="10"/>
  <c r="M26" i="10"/>
  <c r="K26" i="10"/>
  <c r="I26" i="10"/>
  <c r="T25" i="10"/>
  <c r="S25" i="10"/>
  <c r="Q25" i="10"/>
  <c r="O25" i="10"/>
  <c r="M25" i="10"/>
  <c r="K25" i="10"/>
  <c r="K27" i="10" s="1"/>
  <c r="I25" i="10"/>
  <c r="T24" i="10"/>
  <c r="S24" i="10"/>
  <c r="S27" i="10" s="1"/>
  <c r="Q24" i="10"/>
  <c r="O24" i="10"/>
  <c r="M24" i="10"/>
  <c r="K24" i="10"/>
  <c r="I24" i="10"/>
  <c r="T23" i="10"/>
  <c r="T27" i="10" s="1"/>
  <c r="S23" i="10"/>
  <c r="Q23" i="10"/>
  <c r="Q27" i="10" s="1"/>
  <c r="O23" i="10"/>
  <c r="M23" i="10"/>
  <c r="K23" i="10"/>
  <c r="I23" i="10"/>
  <c r="I27" i="10" s="1"/>
  <c r="R22" i="10"/>
  <c r="P22" i="10"/>
  <c r="N22" i="10"/>
  <c r="L22" i="10"/>
  <c r="J22" i="10"/>
  <c r="H22" i="10"/>
  <c r="T21" i="10"/>
  <c r="S21" i="10"/>
  <c r="Q21" i="10"/>
  <c r="O21" i="10"/>
  <c r="M21" i="10"/>
  <c r="M22" i="10" s="1"/>
  <c r="K21" i="10"/>
  <c r="I21" i="10"/>
  <c r="U21" i="10" s="1"/>
  <c r="T20" i="10"/>
  <c r="S20" i="10"/>
  <c r="Q20" i="10"/>
  <c r="O20" i="10"/>
  <c r="M20" i="10"/>
  <c r="K20" i="10"/>
  <c r="I20" i="10"/>
  <c r="U20" i="10" s="1"/>
  <c r="T19" i="10"/>
  <c r="T22" i="10" s="1"/>
  <c r="S19" i="10"/>
  <c r="S22" i="10" s="1"/>
  <c r="Q19" i="10"/>
  <c r="Q22" i="10" s="1"/>
  <c r="O19" i="10"/>
  <c r="O22" i="10" s="1"/>
  <c r="M19" i="10"/>
  <c r="K19" i="10"/>
  <c r="I19" i="10"/>
  <c r="R18" i="10"/>
  <c r="P18" i="10"/>
  <c r="N18" i="10"/>
  <c r="L18" i="10"/>
  <c r="J18" i="10"/>
  <c r="H18" i="10"/>
  <c r="T17" i="10"/>
  <c r="S17" i="10"/>
  <c r="Q17" i="10"/>
  <c r="O17" i="10"/>
  <c r="M17" i="10"/>
  <c r="K17" i="10"/>
  <c r="I17" i="10"/>
  <c r="T16" i="10"/>
  <c r="S16" i="10"/>
  <c r="S18" i="10" s="1"/>
  <c r="Q16" i="10"/>
  <c r="Q18" i="10" s="1"/>
  <c r="O16" i="10"/>
  <c r="M16" i="10"/>
  <c r="K16" i="10"/>
  <c r="I16" i="10"/>
  <c r="T15" i="10"/>
  <c r="S15" i="10"/>
  <c r="Q15" i="10"/>
  <c r="O15" i="10"/>
  <c r="U15" i="10" s="1"/>
  <c r="M15" i="10"/>
  <c r="K15" i="10"/>
  <c r="I15" i="10"/>
  <c r="T14" i="10"/>
  <c r="S14" i="10"/>
  <c r="Q14" i="10"/>
  <c r="O14" i="10"/>
  <c r="M14" i="10"/>
  <c r="M18" i="10" s="1"/>
  <c r="K14" i="10"/>
  <c r="K18" i="10" s="1"/>
  <c r="I14" i="10"/>
  <c r="R13" i="10"/>
  <c r="P13" i="10"/>
  <c r="N13" i="10"/>
  <c r="L13" i="10"/>
  <c r="J13" i="10"/>
  <c r="H13" i="10"/>
  <c r="T12" i="10"/>
  <c r="S12" i="10"/>
  <c r="Q12" i="10"/>
  <c r="O12" i="10"/>
  <c r="M12" i="10"/>
  <c r="K12" i="10"/>
  <c r="I12" i="10"/>
  <c r="T11" i="10"/>
  <c r="S11" i="10"/>
  <c r="Q11" i="10"/>
  <c r="O11" i="10"/>
  <c r="M11" i="10"/>
  <c r="M13" i="10" s="1"/>
  <c r="K11" i="10"/>
  <c r="I11" i="10"/>
  <c r="T10" i="10"/>
  <c r="S10" i="10"/>
  <c r="Q10" i="10"/>
  <c r="O10" i="10"/>
  <c r="M10" i="10"/>
  <c r="K10" i="10"/>
  <c r="I10" i="10"/>
  <c r="T9" i="10"/>
  <c r="T13" i="10" s="1"/>
  <c r="S9" i="10"/>
  <c r="S13" i="10" s="1"/>
  <c r="Q9" i="10"/>
  <c r="O9" i="10"/>
  <c r="M9" i="10"/>
  <c r="K9" i="10"/>
  <c r="I9" i="10"/>
  <c r="U9" i="10" s="1"/>
  <c r="R37" i="9"/>
  <c r="P37" i="9"/>
  <c r="N37" i="9"/>
  <c r="L37" i="9"/>
  <c r="J37" i="9"/>
  <c r="H37" i="9"/>
  <c r="T36" i="9"/>
  <c r="S36" i="9"/>
  <c r="Q36" i="9"/>
  <c r="O36" i="9"/>
  <c r="M36" i="9"/>
  <c r="K36" i="9"/>
  <c r="I36" i="9"/>
  <c r="T35" i="9"/>
  <c r="S35" i="9"/>
  <c r="Q35" i="9"/>
  <c r="O35" i="9"/>
  <c r="M35" i="9"/>
  <c r="K35" i="9"/>
  <c r="K37" i="9" s="1"/>
  <c r="I35" i="9"/>
  <c r="T34" i="9"/>
  <c r="S34" i="9"/>
  <c r="Q34" i="9"/>
  <c r="O34" i="9"/>
  <c r="M34" i="9"/>
  <c r="K34" i="9"/>
  <c r="I34" i="9"/>
  <c r="T33" i="9"/>
  <c r="S33" i="9"/>
  <c r="Q33" i="9"/>
  <c r="O33" i="9"/>
  <c r="M33" i="9"/>
  <c r="K33" i="9"/>
  <c r="I33" i="9"/>
  <c r="I37" i="9" s="1"/>
  <c r="T32" i="9"/>
  <c r="S32" i="9"/>
  <c r="S37" i="9" s="1"/>
  <c r="Q32" i="9"/>
  <c r="Q37" i="9" s="1"/>
  <c r="O32" i="9"/>
  <c r="O37" i="9" s="1"/>
  <c r="M32" i="9"/>
  <c r="K32" i="9"/>
  <c r="I32" i="9"/>
  <c r="R31" i="9"/>
  <c r="P31" i="9"/>
  <c r="N31" i="9"/>
  <c r="L31" i="9"/>
  <c r="J31" i="9"/>
  <c r="H31" i="9"/>
  <c r="T30" i="9"/>
  <c r="S30" i="9"/>
  <c r="Q30" i="9"/>
  <c r="O30" i="9"/>
  <c r="M30" i="9"/>
  <c r="K30" i="9"/>
  <c r="I30" i="9"/>
  <c r="T29" i="9"/>
  <c r="S29" i="9"/>
  <c r="Q29" i="9"/>
  <c r="O29" i="9"/>
  <c r="M29" i="9"/>
  <c r="K29" i="9"/>
  <c r="I29" i="9"/>
  <c r="T28" i="9"/>
  <c r="T31" i="9" s="1"/>
  <c r="S28" i="9"/>
  <c r="Q28" i="9"/>
  <c r="Q31" i="9" s="1"/>
  <c r="O28" i="9"/>
  <c r="O31" i="9" s="1"/>
  <c r="M28" i="9"/>
  <c r="M31" i="9" s="1"/>
  <c r="K28" i="9"/>
  <c r="I28" i="9"/>
  <c r="R27" i="9"/>
  <c r="P27" i="9"/>
  <c r="N27" i="9"/>
  <c r="L27" i="9"/>
  <c r="J27" i="9"/>
  <c r="H27" i="9"/>
  <c r="T26" i="9"/>
  <c r="S26" i="9"/>
  <c r="Q26" i="9"/>
  <c r="O26" i="9"/>
  <c r="U26" i="9" s="1"/>
  <c r="M26" i="9"/>
  <c r="K26" i="9"/>
  <c r="I26" i="9"/>
  <c r="T25" i="9"/>
  <c r="S25" i="9"/>
  <c r="Q25" i="9"/>
  <c r="O25" i="9"/>
  <c r="M25" i="9"/>
  <c r="K25" i="9"/>
  <c r="I25" i="9"/>
  <c r="T24" i="9"/>
  <c r="S24" i="9"/>
  <c r="Q24" i="9"/>
  <c r="O24" i="9"/>
  <c r="M24" i="9"/>
  <c r="K24" i="9"/>
  <c r="K27" i="9" s="1"/>
  <c r="I24" i="9"/>
  <c r="T23" i="9"/>
  <c r="S23" i="9"/>
  <c r="S27" i="9" s="1"/>
  <c r="Q23" i="9"/>
  <c r="O23" i="9"/>
  <c r="M23" i="9"/>
  <c r="K23" i="9"/>
  <c r="I23" i="9"/>
  <c r="I27" i="9" s="1"/>
  <c r="R22" i="9"/>
  <c r="P22" i="9"/>
  <c r="N22" i="9"/>
  <c r="L22" i="9"/>
  <c r="J22" i="9"/>
  <c r="H22" i="9"/>
  <c r="T21" i="9"/>
  <c r="S21" i="9"/>
  <c r="Q21" i="9"/>
  <c r="O21" i="9"/>
  <c r="M21" i="9"/>
  <c r="K21" i="9"/>
  <c r="I21" i="9"/>
  <c r="U21" i="9" s="1"/>
  <c r="T20" i="9"/>
  <c r="S20" i="9"/>
  <c r="Q20" i="9"/>
  <c r="O20" i="9"/>
  <c r="M20" i="9"/>
  <c r="K20" i="9"/>
  <c r="I20" i="9"/>
  <c r="T19" i="9"/>
  <c r="T22" i="9" s="1"/>
  <c r="S19" i="9"/>
  <c r="Q19" i="9"/>
  <c r="O19" i="9"/>
  <c r="M19" i="9"/>
  <c r="M22" i="9" s="1"/>
  <c r="K19" i="9"/>
  <c r="I19" i="9"/>
  <c r="R18" i="9"/>
  <c r="P18" i="9"/>
  <c r="N18" i="9"/>
  <c r="L18" i="9"/>
  <c r="J18" i="9"/>
  <c r="I18" i="9"/>
  <c r="H18" i="9"/>
  <c r="T17" i="9"/>
  <c r="S17" i="9"/>
  <c r="Q17" i="9"/>
  <c r="O17" i="9"/>
  <c r="M17" i="9"/>
  <c r="K17" i="9"/>
  <c r="I17" i="9"/>
  <c r="T16" i="9"/>
  <c r="S16" i="9"/>
  <c r="Q16" i="9"/>
  <c r="O16" i="9"/>
  <c r="M16" i="9"/>
  <c r="K16" i="9"/>
  <c r="K18" i="9" s="1"/>
  <c r="I16" i="9"/>
  <c r="T15" i="9"/>
  <c r="S15" i="9"/>
  <c r="Q15" i="9"/>
  <c r="O15" i="9"/>
  <c r="M15" i="9"/>
  <c r="K15" i="9"/>
  <c r="I15" i="9"/>
  <c r="T14" i="9"/>
  <c r="T18" i="9" s="1"/>
  <c r="S14" i="9"/>
  <c r="S18" i="9" s="1"/>
  <c r="Q14" i="9"/>
  <c r="O14" i="9"/>
  <c r="O18" i="9" s="1"/>
  <c r="M14" i="9"/>
  <c r="K14" i="9"/>
  <c r="I14" i="9"/>
  <c r="R13" i="9"/>
  <c r="P13" i="9"/>
  <c r="N13" i="9"/>
  <c r="L13" i="9"/>
  <c r="J13" i="9"/>
  <c r="H13" i="9"/>
  <c r="T12" i="9"/>
  <c r="S12" i="9"/>
  <c r="Q12" i="9"/>
  <c r="O12" i="9"/>
  <c r="M12" i="9"/>
  <c r="K12" i="9"/>
  <c r="I12" i="9"/>
  <c r="T11" i="9"/>
  <c r="S11" i="9"/>
  <c r="Q11" i="9"/>
  <c r="O11" i="9"/>
  <c r="M11" i="9"/>
  <c r="K11" i="9"/>
  <c r="I11" i="9"/>
  <c r="T10" i="9"/>
  <c r="T13" i="9" s="1"/>
  <c r="S10" i="9"/>
  <c r="Q10" i="9"/>
  <c r="Q13" i="9" s="1"/>
  <c r="O10" i="9"/>
  <c r="M10" i="9"/>
  <c r="K10" i="9"/>
  <c r="I10" i="9"/>
  <c r="T9" i="9"/>
  <c r="S9" i="9"/>
  <c r="Q9" i="9"/>
  <c r="O9" i="9"/>
  <c r="O13" i="9" s="1"/>
  <c r="M9" i="9"/>
  <c r="M13" i="9" s="1"/>
  <c r="K9" i="9"/>
  <c r="K13" i="9" s="1"/>
  <c r="I9" i="9"/>
  <c r="R29" i="8"/>
  <c r="P29" i="8"/>
  <c r="N29" i="8"/>
  <c r="L29" i="8"/>
  <c r="J29" i="8"/>
  <c r="H29" i="8"/>
  <c r="T28" i="8"/>
  <c r="S28" i="8"/>
  <c r="Q28" i="8"/>
  <c r="O28" i="8"/>
  <c r="M28" i="8"/>
  <c r="K28" i="8"/>
  <c r="I28" i="8"/>
  <c r="T27" i="8"/>
  <c r="S27" i="8"/>
  <c r="Q27" i="8"/>
  <c r="O27" i="8"/>
  <c r="M27" i="8"/>
  <c r="K27" i="8"/>
  <c r="I27" i="8"/>
  <c r="T26" i="8"/>
  <c r="S26" i="8"/>
  <c r="Q26" i="8"/>
  <c r="O26" i="8"/>
  <c r="M26" i="8"/>
  <c r="K26" i="8"/>
  <c r="I26" i="8"/>
  <c r="T25" i="8"/>
  <c r="S25" i="8"/>
  <c r="Q25" i="8"/>
  <c r="O25" i="8"/>
  <c r="M25" i="8"/>
  <c r="K25" i="8"/>
  <c r="I25" i="8"/>
  <c r="R24" i="8"/>
  <c r="P24" i="8"/>
  <c r="N24" i="8"/>
  <c r="L24" i="8"/>
  <c r="J24" i="8"/>
  <c r="H24" i="8"/>
  <c r="T23" i="8"/>
  <c r="S23" i="8"/>
  <c r="Q23" i="8"/>
  <c r="O23" i="8"/>
  <c r="M23" i="8"/>
  <c r="K23" i="8"/>
  <c r="I23" i="8"/>
  <c r="T22" i="8"/>
  <c r="S22" i="8"/>
  <c r="Q22" i="8"/>
  <c r="O22" i="8"/>
  <c r="M22" i="8"/>
  <c r="K22" i="8"/>
  <c r="I22" i="8"/>
  <c r="T21" i="8"/>
  <c r="S21" i="8"/>
  <c r="Q21" i="8"/>
  <c r="O21" i="8"/>
  <c r="M21" i="8"/>
  <c r="K21" i="8"/>
  <c r="I21" i="8"/>
  <c r="R20" i="8"/>
  <c r="P20" i="8"/>
  <c r="N20" i="8"/>
  <c r="L20" i="8"/>
  <c r="J20" i="8"/>
  <c r="H20" i="8"/>
  <c r="T19" i="8"/>
  <c r="S19" i="8"/>
  <c r="Q19" i="8"/>
  <c r="O19" i="8"/>
  <c r="M19" i="8"/>
  <c r="K19" i="8"/>
  <c r="K20" i="8" s="1"/>
  <c r="I19" i="8"/>
  <c r="T18" i="8"/>
  <c r="S18" i="8"/>
  <c r="S20" i="8" s="1"/>
  <c r="Q18" i="8"/>
  <c r="O18" i="8"/>
  <c r="O20" i="8" s="1"/>
  <c r="M18" i="8"/>
  <c r="K18" i="8"/>
  <c r="I18" i="8"/>
  <c r="R17" i="8"/>
  <c r="P17" i="8"/>
  <c r="N17" i="8"/>
  <c r="L17" i="8"/>
  <c r="J17" i="8"/>
  <c r="H17" i="8"/>
  <c r="T16" i="8"/>
  <c r="S16" i="8"/>
  <c r="Q16" i="8"/>
  <c r="O16" i="8"/>
  <c r="M16" i="8"/>
  <c r="K16" i="8"/>
  <c r="I16" i="8"/>
  <c r="T15" i="8"/>
  <c r="S15" i="8"/>
  <c r="Q15" i="8"/>
  <c r="O15" i="8"/>
  <c r="M15" i="8"/>
  <c r="K15" i="8"/>
  <c r="I15" i="8"/>
  <c r="T14" i="8"/>
  <c r="S14" i="8"/>
  <c r="Q14" i="8"/>
  <c r="O14" i="8"/>
  <c r="M14" i="8"/>
  <c r="K14" i="8"/>
  <c r="I14" i="8"/>
  <c r="R13" i="8"/>
  <c r="P13" i="8"/>
  <c r="N13" i="8"/>
  <c r="L13" i="8"/>
  <c r="J13" i="8"/>
  <c r="H13" i="8"/>
  <c r="T12" i="8"/>
  <c r="S12" i="8"/>
  <c r="Q12" i="8"/>
  <c r="O12" i="8"/>
  <c r="M12" i="8"/>
  <c r="K12" i="8"/>
  <c r="I12" i="8"/>
  <c r="T11" i="8"/>
  <c r="S11" i="8"/>
  <c r="Q11" i="8"/>
  <c r="O11" i="8"/>
  <c r="M11" i="8"/>
  <c r="K11" i="8"/>
  <c r="I11" i="8"/>
  <c r="T10" i="8"/>
  <c r="S10" i="8"/>
  <c r="Q10" i="8"/>
  <c r="O10" i="8"/>
  <c r="M10" i="8"/>
  <c r="K10" i="8"/>
  <c r="I10" i="8"/>
  <c r="T9" i="8"/>
  <c r="S9" i="8"/>
  <c r="Q9" i="8"/>
  <c r="O9" i="8"/>
  <c r="M9" i="8"/>
  <c r="K9" i="8"/>
  <c r="I9" i="8"/>
  <c r="R30" i="7"/>
  <c r="P30" i="7"/>
  <c r="N30" i="7"/>
  <c r="L30" i="7"/>
  <c r="J30" i="7"/>
  <c r="H30" i="7"/>
  <c r="T29" i="7"/>
  <c r="S29" i="7"/>
  <c r="Q29" i="7"/>
  <c r="O29" i="7"/>
  <c r="M29" i="7"/>
  <c r="K29" i="7"/>
  <c r="I29" i="7"/>
  <c r="T28" i="7"/>
  <c r="T30" i="7" s="1"/>
  <c r="S28" i="7"/>
  <c r="Q28" i="7"/>
  <c r="O28" i="7"/>
  <c r="M28" i="7"/>
  <c r="M30" i="7" s="1"/>
  <c r="K28" i="7"/>
  <c r="K30" i="7" s="1"/>
  <c r="I28" i="7"/>
  <c r="I30" i="7" s="1"/>
  <c r="R27" i="7"/>
  <c r="P27" i="7"/>
  <c r="N27" i="7"/>
  <c r="L27" i="7"/>
  <c r="J27" i="7"/>
  <c r="H27" i="7"/>
  <c r="T26" i="7"/>
  <c r="S26" i="7"/>
  <c r="Q26" i="7"/>
  <c r="O26" i="7"/>
  <c r="O27" i="7" s="1"/>
  <c r="M26" i="7"/>
  <c r="U26" i="7" s="1"/>
  <c r="K26" i="7"/>
  <c r="I26" i="7"/>
  <c r="T25" i="7"/>
  <c r="S25" i="7"/>
  <c r="Q25" i="7"/>
  <c r="O25" i="7"/>
  <c r="M25" i="7"/>
  <c r="K25" i="7"/>
  <c r="I25" i="7"/>
  <c r="T24" i="7"/>
  <c r="S24" i="7"/>
  <c r="Q24" i="7"/>
  <c r="O24" i="7"/>
  <c r="M24" i="7"/>
  <c r="K24" i="7"/>
  <c r="I24" i="7"/>
  <c r="T23" i="7"/>
  <c r="S23" i="7"/>
  <c r="S27" i="7" s="1"/>
  <c r="Q23" i="7"/>
  <c r="O23" i="7"/>
  <c r="M23" i="7"/>
  <c r="K23" i="7"/>
  <c r="K27" i="7" s="1"/>
  <c r="I23" i="7"/>
  <c r="R22" i="7"/>
  <c r="P22" i="7"/>
  <c r="N22" i="7"/>
  <c r="L22" i="7"/>
  <c r="J22" i="7"/>
  <c r="H22" i="7"/>
  <c r="T21" i="7"/>
  <c r="S21" i="7"/>
  <c r="Q21" i="7"/>
  <c r="O21" i="7"/>
  <c r="M21" i="7"/>
  <c r="M22" i="7" s="1"/>
  <c r="K21" i="7"/>
  <c r="I21" i="7"/>
  <c r="U21" i="7" s="1"/>
  <c r="T20" i="7"/>
  <c r="T22" i="7" s="1"/>
  <c r="S20" i="7"/>
  <c r="Q20" i="7"/>
  <c r="O20" i="7"/>
  <c r="M20" i="7"/>
  <c r="K20" i="7"/>
  <c r="I20" i="7"/>
  <c r="U20" i="7" s="1"/>
  <c r="T19" i="7"/>
  <c r="S19" i="7"/>
  <c r="Q19" i="7"/>
  <c r="O19" i="7"/>
  <c r="M19" i="7"/>
  <c r="K19" i="7"/>
  <c r="I19" i="7"/>
  <c r="T18" i="7"/>
  <c r="S18" i="7"/>
  <c r="Q18" i="7"/>
  <c r="Q22" i="7" s="1"/>
  <c r="O18" i="7"/>
  <c r="O22" i="7" s="1"/>
  <c r="M18" i="7"/>
  <c r="K18" i="7"/>
  <c r="I18" i="7"/>
  <c r="R17" i="7"/>
  <c r="P17" i="7"/>
  <c r="N17" i="7"/>
  <c r="L17" i="7"/>
  <c r="J17" i="7"/>
  <c r="H17" i="7"/>
  <c r="T16" i="7"/>
  <c r="S16" i="7"/>
  <c r="Q16" i="7"/>
  <c r="O16" i="7"/>
  <c r="U16" i="7" s="1"/>
  <c r="M16" i="7"/>
  <c r="K16" i="7"/>
  <c r="I16" i="7"/>
  <c r="T15" i="7"/>
  <c r="S15" i="7"/>
  <c r="S17" i="7" s="1"/>
  <c r="Q15" i="7"/>
  <c r="O15" i="7"/>
  <c r="M15" i="7"/>
  <c r="K15" i="7"/>
  <c r="I15" i="7"/>
  <c r="T14" i="7"/>
  <c r="S14" i="7"/>
  <c r="Q14" i="7"/>
  <c r="O14" i="7"/>
  <c r="M14" i="7"/>
  <c r="K14" i="7"/>
  <c r="I14" i="7"/>
  <c r="T13" i="7"/>
  <c r="S13" i="7"/>
  <c r="Q13" i="7"/>
  <c r="O13" i="7"/>
  <c r="M13" i="7"/>
  <c r="K13" i="7"/>
  <c r="K17" i="7" s="1"/>
  <c r="I13" i="7"/>
  <c r="I17" i="7" s="1"/>
  <c r="R12" i="7"/>
  <c r="P12" i="7"/>
  <c r="N12" i="7"/>
  <c r="L12" i="7"/>
  <c r="J12" i="7"/>
  <c r="H12" i="7"/>
  <c r="T11" i="7"/>
  <c r="S11" i="7"/>
  <c r="Q11" i="7"/>
  <c r="O11" i="7"/>
  <c r="M11" i="7"/>
  <c r="K11" i="7"/>
  <c r="I11" i="7"/>
  <c r="U11" i="7" s="1"/>
  <c r="T10" i="7"/>
  <c r="S10" i="7"/>
  <c r="Q10" i="7"/>
  <c r="O10" i="7"/>
  <c r="M10" i="7"/>
  <c r="M12" i="7" s="1"/>
  <c r="K10" i="7"/>
  <c r="I10" i="7"/>
  <c r="U10" i="7" s="1"/>
  <c r="T9" i="7"/>
  <c r="T12" i="7" s="1"/>
  <c r="S9" i="7"/>
  <c r="S12" i="7" s="1"/>
  <c r="Q9" i="7"/>
  <c r="O9" i="7"/>
  <c r="M9" i="7"/>
  <c r="K9" i="7"/>
  <c r="I9" i="7"/>
  <c r="U9" i="7" s="1"/>
  <c r="R34" i="6"/>
  <c r="P34" i="6"/>
  <c r="N34" i="6"/>
  <c r="L34" i="6"/>
  <c r="J34" i="6"/>
  <c r="H34" i="6"/>
  <c r="T33" i="6"/>
  <c r="S33" i="6"/>
  <c r="Q33" i="6"/>
  <c r="O33" i="6"/>
  <c r="M33" i="6"/>
  <c r="K33" i="6"/>
  <c r="K34" i="6" s="1"/>
  <c r="I33" i="6"/>
  <c r="T32" i="6"/>
  <c r="T34" i="6" s="1"/>
  <c r="S32" i="6"/>
  <c r="S34" i="6" s="1"/>
  <c r="Q32" i="6"/>
  <c r="Q34" i="6" s="1"/>
  <c r="O32" i="6"/>
  <c r="O34" i="6" s="1"/>
  <c r="M32" i="6"/>
  <c r="K32" i="6"/>
  <c r="I32" i="6"/>
  <c r="I34" i="6" s="1"/>
  <c r="R31" i="6"/>
  <c r="P31" i="6"/>
  <c r="N31" i="6"/>
  <c r="L31" i="6"/>
  <c r="J31" i="6"/>
  <c r="H31" i="6"/>
  <c r="T30" i="6"/>
  <c r="S30" i="6"/>
  <c r="Q30" i="6"/>
  <c r="O30" i="6"/>
  <c r="M30" i="6"/>
  <c r="M31" i="6" s="1"/>
  <c r="K30" i="6"/>
  <c r="I30" i="6"/>
  <c r="U30" i="6" s="1"/>
  <c r="T29" i="6"/>
  <c r="S29" i="6"/>
  <c r="Q29" i="6"/>
  <c r="O29" i="6"/>
  <c r="M29" i="6"/>
  <c r="K29" i="6"/>
  <c r="I29" i="6"/>
  <c r="U29" i="6" s="1"/>
  <c r="T28" i="6"/>
  <c r="S28" i="6"/>
  <c r="Q28" i="6"/>
  <c r="O28" i="6"/>
  <c r="M28" i="6"/>
  <c r="K28" i="6"/>
  <c r="I28" i="6"/>
  <c r="T27" i="6"/>
  <c r="T31" i="6" s="1"/>
  <c r="S27" i="6"/>
  <c r="Q27" i="6"/>
  <c r="Q31" i="6" s="1"/>
  <c r="O27" i="6"/>
  <c r="O31" i="6" s="1"/>
  <c r="M27" i="6"/>
  <c r="K27" i="6"/>
  <c r="I27" i="6"/>
  <c r="R26" i="6"/>
  <c r="P26" i="6"/>
  <c r="N26" i="6"/>
  <c r="L26" i="6"/>
  <c r="J26" i="6"/>
  <c r="H26" i="6"/>
  <c r="T25" i="6"/>
  <c r="S25" i="6"/>
  <c r="Q25" i="6"/>
  <c r="O25" i="6"/>
  <c r="M25" i="6"/>
  <c r="K25" i="6"/>
  <c r="I25" i="6"/>
  <c r="T24" i="6"/>
  <c r="S24" i="6"/>
  <c r="S26" i="6" s="1"/>
  <c r="Q24" i="6"/>
  <c r="O24" i="6"/>
  <c r="U24" i="6" s="1"/>
  <c r="M24" i="6"/>
  <c r="K24" i="6"/>
  <c r="I24" i="6"/>
  <c r="T23" i="6"/>
  <c r="S23" i="6"/>
  <c r="Q23" i="6"/>
  <c r="O23" i="6"/>
  <c r="M23" i="6"/>
  <c r="K23" i="6"/>
  <c r="I23" i="6"/>
  <c r="T22" i="6"/>
  <c r="S22" i="6"/>
  <c r="Q22" i="6"/>
  <c r="O22" i="6"/>
  <c r="M22" i="6"/>
  <c r="K22" i="6"/>
  <c r="K26" i="6" s="1"/>
  <c r="I22" i="6"/>
  <c r="I26" i="6" s="1"/>
  <c r="R21" i="6"/>
  <c r="P21" i="6"/>
  <c r="N21" i="6"/>
  <c r="L21" i="6"/>
  <c r="J21" i="6"/>
  <c r="H21" i="6"/>
  <c r="T20" i="6"/>
  <c r="S20" i="6"/>
  <c r="Q20" i="6"/>
  <c r="O20" i="6"/>
  <c r="M20" i="6"/>
  <c r="K20" i="6"/>
  <c r="I20" i="6"/>
  <c r="T19" i="6"/>
  <c r="S19" i="6"/>
  <c r="Q19" i="6"/>
  <c r="O19" i="6"/>
  <c r="M19" i="6"/>
  <c r="M21" i="6" s="1"/>
  <c r="K19" i="6"/>
  <c r="I19" i="6"/>
  <c r="U19" i="6" s="1"/>
  <c r="T18" i="6"/>
  <c r="T21" i="6" s="1"/>
  <c r="S18" i="6"/>
  <c r="S21" i="6" s="1"/>
  <c r="Q18" i="6"/>
  <c r="Q21" i="6" s="1"/>
  <c r="O18" i="6"/>
  <c r="M18" i="6"/>
  <c r="K18" i="6"/>
  <c r="I18" i="6"/>
  <c r="U18" i="6" s="1"/>
  <c r="S17" i="6"/>
  <c r="R17" i="6"/>
  <c r="P17" i="6"/>
  <c r="N17" i="6"/>
  <c r="L17" i="6"/>
  <c r="J17" i="6"/>
  <c r="H17" i="6"/>
  <c r="T16" i="6"/>
  <c r="S16" i="6"/>
  <c r="Q16" i="6"/>
  <c r="O16" i="6"/>
  <c r="M16" i="6"/>
  <c r="K16" i="6"/>
  <c r="I16" i="6"/>
  <c r="U15" i="6"/>
  <c r="T15" i="6"/>
  <c r="S15" i="6"/>
  <c r="Q15" i="6"/>
  <c r="O15" i="6"/>
  <c r="M15" i="6"/>
  <c r="K15" i="6"/>
  <c r="I15" i="6"/>
  <c r="U14" i="6"/>
  <c r="T14" i="6"/>
  <c r="T17" i="6" s="1"/>
  <c r="S14" i="6"/>
  <c r="Q14" i="6"/>
  <c r="Q17" i="6" s="1"/>
  <c r="O14" i="6"/>
  <c r="O17" i="6" s="1"/>
  <c r="M14" i="6"/>
  <c r="M17" i="6" s="1"/>
  <c r="K14" i="6"/>
  <c r="K17" i="6" s="1"/>
  <c r="I14" i="6"/>
  <c r="I17" i="6" s="1"/>
  <c r="R13" i="6"/>
  <c r="P13" i="6"/>
  <c r="N13" i="6"/>
  <c r="L13" i="6"/>
  <c r="J13" i="6"/>
  <c r="H13" i="6"/>
  <c r="T12" i="6"/>
  <c r="S12" i="6"/>
  <c r="Q12" i="6"/>
  <c r="O12" i="6"/>
  <c r="M12" i="6"/>
  <c r="K12" i="6"/>
  <c r="I12" i="6"/>
  <c r="T11" i="6"/>
  <c r="T13" i="6" s="1"/>
  <c r="S11" i="6"/>
  <c r="Q11" i="6"/>
  <c r="O11" i="6"/>
  <c r="M11" i="6"/>
  <c r="K11" i="6"/>
  <c r="I11" i="6"/>
  <c r="T10" i="6"/>
  <c r="S10" i="6"/>
  <c r="Q10" i="6"/>
  <c r="O10" i="6"/>
  <c r="M10" i="6"/>
  <c r="K10" i="6"/>
  <c r="I10" i="6"/>
  <c r="T9" i="6"/>
  <c r="S9" i="6"/>
  <c r="Q9" i="6"/>
  <c r="Q13" i="6" s="1"/>
  <c r="O9" i="6"/>
  <c r="O13" i="6" s="1"/>
  <c r="M9" i="6"/>
  <c r="M13" i="6" s="1"/>
  <c r="K9" i="6"/>
  <c r="I9" i="6"/>
  <c r="R39" i="5"/>
  <c r="P39" i="5"/>
  <c r="N39" i="5"/>
  <c r="L39" i="5"/>
  <c r="J39" i="5"/>
  <c r="H39" i="5"/>
  <c r="T38" i="5"/>
  <c r="S38" i="5"/>
  <c r="Q38" i="5"/>
  <c r="O38" i="5"/>
  <c r="M38" i="5"/>
  <c r="K38" i="5"/>
  <c r="I38" i="5"/>
  <c r="T37" i="5"/>
  <c r="S37" i="5"/>
  <c r="Q37" i="5"/>
  <c r="O37" i="5"/>
  <c r="M37" i="5"/>
  <c r="K37" i="5"/>
  <c r="I37" i="5"/>
  <c r="T36" i="5"/>
  <c r="S36" i="5"/>
  <c r="Q36" i="5"/>
  <c r="O36" i="5"/>
  <c r="M36" i="5"/>
  <c r="K36" i="5"/>
  <c r="I36" i="5"/>
  <c r="U36" i="5" s="1"/>
  <c r="T35" i="5"/>
  <c r="T39" i="5" s="1"/>
  <c r="S35" i="5"/>
  <c r="S39" i="5" s="1"/>
  <c r="Q35" i="5"/>
  <c r="O35" i="5"/>
  <c r="M35" i="5"/>
  <c r="K35" i="5"/>
  <c r="K39" i="5" s="1"/>
  <c r="I35" i="5"/>
  <c r="R34" i="5"/>
  <c r="P34" i="5"/>
  <c r="N34" i="5"/>
  <c r="L34" i="5"/>
  <c r="J34" i="5"/>
  <c r="H34" i="5"/>
  <c r="T33" i="5"/>
  <c r="S33" i="5"/>
  <c r="Q33" i="5"/>
  <c r="O33" i="5"/>
  <c r="M33" i="5"/>
  <c r="K33" i="5"/>
  <c r="I33" i="5"/>
  <c r="T32" i="5"/>
  <c r="S32" i="5"/>
  <c r="Q32" i="5"/>
  <c r="O32" i="5"/>
  <c r="M32" i="5"/>
  <c r="K32" i="5"/>
  <c r="I32" i="5"/>
  <c r="T31" i="5"/>
  <c r="S31" i="5"/>
  <c r="Q31" i="5"/>
  <c r="O31" i="5"/>
  <c r="M31" i="5"/>
  <c r="K31" i="5"/>
  <c r="I31" i="5"/>
  <c r="T30" i="5"/>
  <c r="S30" i="5"/>
  <c r="Q30" i="5"/>
  <c r="O30" i="5"/>
  <c r="M30" i="5"/>
  <c r="M34" i="5" s="1"/>
  <c r="K30" i="5"/>
  <c r="I30" i="5"/>
  <c r="R29" i="5"/>
  <c r="P29" i="5"/>
  <c r="N29" i="5"/>
  <c r="L29" i="5"/>
  <c r="J29" i="5"/>
  <c r="H29" i="5"/>
  <c r="T28" i="5"/>
  <c r="S28" i="5"/>
  <c r="Q28" i="5"/>
  <c r="O28" i="5"/>
  <c r="U28" i="5" s="1"/>
  <c r="M28" i="5"/>
  <c r="K28" i="5"/>
  <c r="I28" i="5"/>
  <c r="T27" i="5"/>
  <c r="T29" i="5" s="1"/>
  <c r="S27" i="5"/>
  <c r="S29" i="5" s="1"/>
  <c r="Q27" i="5"/>
  <c r="Q29" i="5" s="1"/>
  <c r="O27" i="5"/>
  <c r="O29" i="5" s="1"/>
  <c r="M27" i="5"/>
  <c r="M29" i="5" s="1"/>
  <c r="K27" i="5"/>
  <c r="K29" i="5" s="1"/>
  <c r="I27" i="5"/>
  <c r="I29" i="5" s="1"/>
  <c r="R26" i="5"/>
  <c r="P26" i="5"/>
  <c r="N26" i="5"/>
  <c r="L26" i="5"/>
  <c r="J26" i="5"/>
  <c r="H26" i="5"/>
  <c r="T25" i="5"/>
  <c r="S25" i="5"/>
  <c r="Q25" i="5"/>
  <c r="O25" i="5"/>
  <c r="M25" i="5"/>
  <c r="K25" i="5"/>
  <c r="I25" i="5"/>
  <c r="T24" i="5"/>
  <c r="S24" i="5"/>
  <c r="Q24" i="5"/>
  <c r="O24" i="5"/>
  <c r="M24" i="5"/>
  <c r="K24" i="5"/>
  <c r="I24" i="5"/>
  <c r="T23" i="5"/>
  <c r="S23" i="5"/>
  <c r="Q23" i="5"/>
  <c r="O23" i="5"/>
  <c r="M23" i="5"/>
  <c r="K23" i="5"/>
  <c r="I23" i="5"/>
  <c r="T22" i="5"/>
  <c r="T26" i="5" s="1"/>
  <c r="S22" i="5"/>
  <c r="S26" i="5" s="1"/>
  <c r="Q22" i="5"/>
  <c r="O22" i="5"/>
  <c r="M22" i="5"/>
  <c r="K22" i="5"/>
  <c r="I22" i="5"/>
  <c r="U22" i="5" s="1"/>
  <c r="S21" i="5"/>
  <c r="R21" i="5"/>
  <c r="P21" i="5"/>
  <c r="N21" i="5"/>
  <c r="L21" i="5"/>
  <c r="J21" i="5"/>
  <c r="H21" i="5"/>
  <c r="U20" i="5"/>
  <c r="T20" i="5"/>
  <c r="S20" i="5"/>
  <c r="Q20" i="5"/>
  <c r="O20" i="5"/>
  <c r="M20" i="5"/>
  <c r="K20" i="5"/>
  <c r="I20" i="5"/>
  <c r="U19" i="5"/>
  <c r="T19" i="5"/>
  <c r="S19" i="5"/>
  <c r="Q19" i="5"/>
  <c r="O19" i="5"/>
  <c r="M19" i="5"/>
  <c r="K19" i="5"/>
  <c r="I19" i="5"/>
  <c r="U18" i="5"/>
  <c r="U21" i="5" s="1"/>
  <c r="T18" i="5"/>
  <c r="T21" i="5" s="1"/>
  <c r="S18" i="5"/>
  <c r="Q18" i="5"/>
  <c r="Q21" i="5" s="1"/>
  <c r="O18" i="5"/>
  <c r="O21" i="5" s="1"/>
  <c r="M18" i="5"/>
  <c r="M21" i="5" s="1"/>
  <c r="K18" i="5"/>
  <c r="K21" i="5" s="1"/>
  <c r="I18" i="5"/>
  <c r="I21" i="5" s="1"/>
  <c r="T17" i="5"/>
  <c r="R17" i="5"/>
  <c r="P17" i="5"/>
  <c r="N17" i="5"/>
  <c r="L17" i="5"/>
  <c r="J17" i="5"/>
  <c r="H17" i="5"/>
  <c r="T16" i="5"/>
  <c r="S16" i="5"/>
  <c r="Q16" i="5"/>
  <c r="O16" i="5"/>
  <c r="M16" i="5"/>
  <c r="K16" i="5"/>
  <c r="I16" i="5"/>
  <c r="T15" i="5"/>
  <c r="S15" i="5"/>
  <c r="Q15" i="5"/>
  <c r="O15" i="5"/>
  <c r="M15" i="5"/>
  <c r="K15" i="5"/>
  <c r="I15" i="5"/>
  <c r="T14" i="5"/>
  <c r="S14" i="5"/>
  <c r="Q14" i="5"/>
  <c r="O14" i="5"/>
  <c r="M14" i="5"/>
  <c r="U14" i="5" s="1"/>
  <c r="K14" i="5"/>
  <c r="I14" i="5"/>
  <c r="R13" i="5"/>
  <c r="P13" i="5"/>
  <c r="N13" i="5"/>
  <c r="L13" i="5"/>
  <c r="J13" i="5"/>
  <c r="H13" i="5"/>
  <c r="T12" i="5"/>
  <c r="S12" i="5"/>
  <c r="Q12" i="5"/>
  <c r="O12" i="5"/>
  <c r="M12" i="5"/>
  <c r="M13" i="5" s="1"/>
  <c r="K12" i="5"/>
  <c r="I12" i="5"/>
  <c r="T11" i="5"/>
  <c r="S11" i="5"/>
  <c r="Q11" i="5"/>
  <c r="O11" i="5"/>
  <c r="M11" i="5"/>
  <c r="K11" i="5"/>
  <c r="I11" i="5"/>
  <c r="U11" i="5" s="1"/>
  <c r="T10" i="5"/>
  <c r="S10" i="5"/>
  <c r="Q10" i="5"/>
  <c r="O10" i="5"/>
  <c r="M10" i="5"/>
  <c r="K10" i="5"/>
  <c r="I10" i="5"/>
  <c r="U10" i="5" s="1"/>
  <c r="T9" i="5"/>
  <c r="T13" i="5" s="1"/>
  <c r="S9" i="5"/>
  <c r="S13" i="5" s="1"/>
  <c r="Q9" i="5"/>
  <c r="Q13" i="5" s="1"/>
  <c r="O9" i="5"/>
  <c r="M9" i="5"/>
  <c r="K9" i="5"/>
  <c r="I9" i="5"/>
  <c r="U9" i="5" s="1"/>
  <c r="AA69" i="4"/>
  <c r="W69" i="4"/>
  <c r="Y66" i="4"/>
  <c r="W66" i="4"/>
  <c r="M65" i="4"/>
  <c r="M70" i="4" s="1"/>
  <c r="Y64" i="4"/>
  <c r="U64" i="4"/>
  <c r="S64" i="4"/>
  <c r="Q64" i="4"/>
  <c r="O64" i="4"/>
  <c r="M64" i="4"/>
  <c r="K64" i="4"/>
  <c r="W64" i="4" s="1"/>
  <c r="J63" i="4"/>
  <c r="W62" i="4"/>
  <c r="J62" i="4"/>
  <c r="J61" i="4"/>
  <c r="W60" i="4"/>
  <c r="J60" i="4"/>
  <c r="W59" i="4"/>
  <c r="J59" i="4"/>
  <c r="W58" i="4"/>
  <c r="J58" i="4"/>
  <c r="J57" i="4"/>
  <c r="W56" i="4"/>
  <c r="J56" i="4"/>
  <c r="J55" i="4"/>
  <c r="W54" i="4"/>
  <c r="J54" i="4"/>
  <c r="W53" i="4"/>
  <c r="J53" i="4"/>
  <c r="W52" i="4"/>
  <c r="J52" i="4"/>
  <c r="W51" i="4"/>
  <c r="J51" i="4"/>
  <c r="W50" i="4"/>
  <c r="J50" i="4"/>
  <c r="W49" i="4"/>
  <c r="J49" i="4"/>
  <c r="W48" i="4"/>
  <c r="J48" i="4"/>
  <c r="W47" i="4"/>
  <c r="J47" i="4"/>
  <c r="W46" i="4"/>
  <c r="J46" i="4"/>
  <c r="W45" i="4"/>
  <c r="J45" i="4"/>
  <c r="W44" i="4"/>
  <c r="J44" i="4"/>
  <c r="W43" i="4"/>
  <c r="J43" i="4"/>
  <c r="W42" i="4"/>
  <c r="J42" i="4"/>
  <c r="J64" i="4" s="1"/>
  <c r="W41" i="4"/>
  <c r="J41" i="4"/>
  <c r="W40" i="4"/>
  <c r="J40" i="4"/>
  <c r="Y39" i="4"/>
  <c r="Y65" i="4" s="1"/>
  <c r="U39" i="4"/>
  <c r="U65" i="4" s="1"/>
  <c r="U70" i="4" s="1"/>
  <c r="S39" i="4"/>
  <c r="S65" i="4" s="1"/>
  <c r="S70" i="4" s="1"/>
  <c r="S71" i="4" s="1"/>
  <c r="Q39" i="4"/>
  <c r="Q65" i="4" s="1"/>
  <c r="Q70" i="4" s="1"/>
  <c r="O39" i="4"/>
  <c r="O65" i="4" s="1"/>
  <c r="O70" i="4" s="1"/>
  <c r="O71" i="4" s="1"/>
  <c r="M39" i="4"/>
  <c r="K39" i="4"/>
  <c r="K65" i="4" s="1"/>
  <c r="J38" i="4"/>
  <c r="J37" i="4"/>
  <c r="W36" i="4"/>
  <c r="J36" i="4"/>
  <c r="J35" i="4"/>
  <c r="J34" i="4"/>
  <c r="J33" i="4"/>
  <c r="W32" i="4"/>
  <c r="J32" i="4"/>
  <c r="W31" i="4"/>
  <c r="J31" i="4"/>
  <c r="W30" i="4"/>
  <c r="J30" i="4"/>
  <c r="W29" i="4"/>
  <c r="J29" i="4"/>
  <c r="W28" i="4"/>
  <c r="J28" i="4"/>
  <c r="X27" i="4"/>
  <c r="W27" i="4"/>
  <c r="J27" i="4"/>
  <c r="W26" i="4"/>
  <c r="J26" i="4"/>
  <c r="X25" i="4"/>
  <c r="W25" i="4"/>
  <c r="J25" i="4"/>
  <c r="W24" i="4"/>
  <c r="X23" i="4" s="1"/>
  <c r="J24" i="4"/>
  <c r="W23" i="4"/>
  <c r="J23" i="4"/>
  <c r="W22" i="4"/>
  <c r="J22" i="4"/>
  <c r="W21" i="4"/>
  <c r="X21" i="4" s="1"/>
  <c r="J21" i="4"/>
  <c r="W20" i="4"/>
  <c r="J20" i="4"/>
  <c r="W19" i="4"/>
  <c r="J19" i="4"/>
  <c r="W18" i="4"/>
  <c r="J18" i="4"/>
  <c r="X17" i="4"/>
  <c r="W17" i="4"/>
  <c r="J17" i="4"/>
  <c r="W16" i="4"/>
  <c r="J16" i="4"/>
  <c r="W15" i="4"/>
  <c r="J15" i="4"/>
  <c r="W14" i="4"/>
  <c r="J14" i="4"/>
  <c r="W13" i="4"/>
  <c r="X13" i="4" s="1"/>
  <c r="J13" i="4"/>
  <c r="W12" i="4"/>
  <c r="J12" i="4"/>
  <c r="W11" i="4"/>
  <c r="J11" i="4"/>
  <c r="W10" i="4"/>
  <c r="X9" i="4" s="1"/>
  <c r="J10" i="4"/>
  <c r="W9" i="4"/>
  <c r="J9" i="4"/>
  <c r="J39" i="4" s="1"/>
  <c r="J65" i="4" s="1"/>
  <c r="W68" i="3"/>
  <c r="AA68" i="3" s="1"/>
  <c r="Y65" i="3"/>
  <c r="W65" i="3"/>
  <c r="U64" i="3"/>
  <c r="U69" i="3" s="1"/>
  <c r="K64" i="3"/>
  <c r="Y63" i="3"/>
  <c r="U63" i="3"/>
  <c r="S63" i="3"/>
  <c r="Q63" i="3"/>
  <c r="O63" i="3"/>
  <c r="M63" i="3"/>
  <c r="W63" i="3" s="1"/>
  <c r="K63" i="3"/>
  <c r="J62" i="3"/>
  <c r="W61" i="3"/>
  <c r="J61" i="3"/>
  <c r="J60" i="3"/>
  <c r="W59" i="3"/>
  <c r="J59" i="3"/>
  <c r="W58" i="3"/>
  <c r="J58" i="3"/>
  <c r="W57" i="3"/>
  <c r="J57" i="3"/>
  <c r="W56" i="3"/>
  <c r="J56" i="3"/>
  <c r="W55" i="3"/>
  <c r="J55" i="3"/>
  <c r="W54" i="3"/>
  <c r="J54" i="3"/>
  <c r="W53" i="3"/>
  <c r="J53" i="3"/>
  <c r="W52" i="3"/>
  <c r="J52" i="3"/>
  <c r="W51" i="3"/>
  <c r="J51" i="3"/>
  <c r="W50" i="3"/>
  <c r="J50" i="3"/>
  <c r="W49" i="3"/>
  <c r="J49" i="3"/>
  <c r="W48" i="3"/>
  <c r="J48" i="3"/>
  <c r="W47" i="3"/>
  <c r="J47" i="3"/>
  <c r="W46" i="3"/>
  <c r="J46" i="3"/>
  <c r="W45" i="3"/>
  <c r="J45" i="3"/>
  <c r="W44" i="3"/>
  <c r="J44" i="3"/>
  <c r="W43" i="3"/>
  <c r="J43" i="3"/>
  <c r="W42" i="3"/>
  <c r="J42" i="3"/>
  <c r="W41" i="3"/>
  <c r="J41" i="3"/>
  <c r="W40" i="3"/>
  <c r="J40" i="3"/>
  <c r="J63" i="3" s="1"/>
  <c r="Y39" i="3"/>
  <c r="Y64" i="3" s="1"/>
  <c r="U39" i="3"/>
  <c r="S39" i="3"/>
  <c r="S64" i="3" s="1"/>
  <c r="S69" i="3" s="1"/>
  <c r="Q39" i="3"/>
  <c r="Q64" i="3" s="1"/>
  <c r="Q69" i="3" s="1"/>
  <c r="O39" i="3"/>
  <c r="O64" i="3" s="1"/>
  <c r="O69" i="3" s="1"/>
  <c r="M39" i="3"/>
  <c r="M64" i="3" s="1"/>
  <c r="M69" i="3" s="1"/>
  <c r="K39" i="3"/>
  <c r="W39" i="3" s="1"/>
  <c r="AA39" i="3" s="1"/>
  <c r="J38" i="3"/>
  <c r="J37" i="3"/>
  <c r="W36" i="3"/>
  <c r="J36" i="3"/>
  <c r="J35" i="3"/>
  <c r="J34" i="3"/>
  <c r="J33" i="3"/>
  <c r="W32" i="3"/>
  <c r="J32" i="3"/>
  <c r="W31" i="3"/>
  <c r="J31" i="3"/>
  <c r="W30" i="3"/>
  <c r="J30" i="3"/>
  <c r="W29" i="3"/>
  <c r="J29" i="3"/>
  <c r="W28" i="3"/>
  <c r="J28" i="3"/>
  <c r="W27" i="3"/>
  <c r="X27" i="3" s="1"/>
  <c r="J27" i="3"/>
  <c r="W26" i="3"/>
  <c r="J26" i="3"/>
  <c r="W25" i="3"/>
  <c r="X25" i="3" s="1"/>
  <c r="J25" i="3"/>
  <c r="W24" i="3"/>
  <c r="J24" i="3"/>
  <c r="X23" i="3"/>
  <c r="W23" i="3"/>
  <c r="J23" i="3"/>
  <c r="W22" i="3"/>
  <c r="J22" i="3"/>
  <c r="W21" i="3"/>
  <c r="X21" i="3" s="1"/>
  <c r="J21" i="3"/>
  <c r="W20" i="3"/>
  <c r="J20" i="3"/>
  <c r="W19" i="3"/>
  <c r="J19" i="3"/>
  <c r="W18" i="3"/>
  <c r="J18" i="3"/>
  <c r="W17" i="3"/>
  <c r="X17" i="3" s="1"/>
  <c r="J17" i="3"/>
  <c r="W16" i="3"/>
  <c r="J16" i="3"/>
  <c r="W15" i="3"/>
  <c r="J15" i="3"/>
  <c r="J39" i="3" s="1"/>
  <c r="J64" i="3" s="1"/>
  <c r="W14" i="3"/>
  <c r="J14" i="3"/>
  <c r="X13" i="3"/>
  <c r="W13" i="3"/>
  <c r="J13" i="3"/>
  <c r="W12" i="3"/>
  <c r="J12" i="3"/>
  <c r="W11" i="3"/>
  <c r="X9" i="3" s="1"/>
  <c r="J11" i="3"/>
  <c r="W10" i="3"/>
  <c r="J10" i="3"/>
  <c r="W9" i="3"/>
  <c r="J9" i="3"/>
  <c r="AA57" i="2"/>
  <c r="W57" i="2"/>
  <c r="Y54" i="2"/>
  <c r="W54" i="2"/>
  <c r="Y53" i="2"/>
  <c r="S53" i="2"/>
  <c r="S58" i="2" s="1"/>
  <c r="Y52" i="2"/>
  <c r="U52" i="2"/>
  <c r="S52" i="2"/>
  <c r="Q52" i="2"/>
  <c r="O52" i="2"/>
  <c r="M52" i="2"/>
  <c r="K52" i="2"/>
  <c r="W52" i="2" s="1"/>
  <c r="W51" i="2"/>
  <c r="J51" i="2"/>
  <c r="W50" i="2"/>
  <c r="J50" i="2"/>
  <c r="W49" i="2"/>
  <c r="J49" i="2"/>
  <c r="W48" i="2"/>
  <c r="J48" i="2"/>
  <c r="W47" i="2"/>
  <c r="J47" i="2"/>
  <c r="W46" i="2"/>
  <c r="J46" i="2"/>
  <c r="W45" i="2"/>
  <c r="J45" i="2"/>
  <c r="W44" i="2"/>
  <c r="J44" i="2"/>
  <c r="W43" i="2"/>
  <c r="J43" i="2"/>
  <c r="W42" i="2"/>
  <c r="J42" i="2"/>
  <c r="W41" i="2"/>
  <c r="J41" i="2"/>
  <c r="W40" i="2"/>
  <c r="J40" i="2"/>
  <c r="J52" i="2" s="1"/>
  <c r="Y39" i="2"/>
  <c r="U39" i="2"/>
  <c r="U53" i="2" s="1"/>
  <c r="U58" i="2" s="1"/>
  <c r="S39" i="2"/>
  <c r="Q39" i="2"/>
  <c r="Q53" i="2" s="1"/>
  <c r="Q58" i="2" s="1"/>
  <c r="O39" i="2"/>
  <c r="W39" i="2" s="1"/>
  <c r="AA39" i="2" s="1"/>
  <c r="M39" i="2"/>
  <c r="M53" i="2" s="1"/>
  <c r="M58" i="2" s="1"/>
  <c r="K39" i="2"/>
  <c r="K53" i="2" s="1"/>
  <c r="J38" i="2"/>
  <c r="J37" i="2"/>
  <c r="W36" i="2"/>
  <c r="J36" i="2"/>
  <c r="J35" i="2"/>
  <c r="J34" i="2"/>
  <c r="J33" i="2"/>
  <c r="W32" i="2"/>
  <c r="J32" i="2"/>
  <c r="W31" i="2"/>
  <c r="J31" i="2"/>
  <c r="W30" i="2"/>
  <c r="J30" i="2"/>
  <c r="W29" i="2"/>
  <c r="J29" i="2"/>
  <c r="W28" i="2"/>
  <c r="X27" i="2" s="1"/>
  <c r="J28" i="2"/>
  <c r="W27" i="2"/>
  <c r="J27" i="2"/>
  <c r="W26" i="2"/>
  <c r="J26" i="2"/>
  <c r="W25" i="2"/>
  <c r="X25" i="2" s="1"/>
  <c r="J25" i="2"/>
  <c r="W24" i="2"/>
  <c r="J24" i="2"/>
  <c r="W23" i="2"/>
  <c r="X23" i="2" s="1"/>
  <c r="J23" i="2"/>
  <c r="W22" i="2"/>
  <c r="J22" i="2"/>
  <c r="X21" i="2"/>
  <c r="W21" i="2"/>
  <c r="J21" i="2"/>
  <c r="W20" i="2"/>
  <c r="J20" i="2"/>
  <c r="W19" i="2"/>
  <c r="J19" i="2"/>
  <c r="W18" i="2"/>
  <c r="X17" i="2" s="1"/>
  <c r="J18" i="2"/>
  <c r="W17" i="2"/>
  <c r="J17" i="2"/>
  <c r="W16" i="2"/>
  <c r="J16" i="2"/>
  <c r="W15" i="2"/>
  <c r="J15" i="2"/>
  <c r="W14" i="2"/>
  <c r="J14" i="2"/>
  <c r="W13" i="2"/>
  <c r="X13" i="2" s="1"/>
  <c r="J13" i="2"/>
  <c r="J39" i="2" s="1"/>
  <c r="J53" i="2" s="1"/>
  <c r="W12" i="2"/>
  <c r="J12" i="2"/>
  <c r="W11" i="2"/>
  <c r="J11" i="2"/>
  <c r="W10" i="2"/>
  <c r="J10" i="2"/>
  <c r="W9" i="2"/>
  <c r="X9" i="2" s="1"/>
  <c r="J9" i="2"/>
  <c r="W70" i="1"/>
  <c r="AA70" i="1" s="1"/>
  <c r="Y67" i="1"/>
  <c r="W67" i="1"/>
  <c r="O66" i="1"/>
  <c r="O71" i="1" s="1"/>
  <c r="Y65" i="1"/>
  <c r="U65" i="1"/>
  <c r="S65" i="1"/>
  <c r="Q65" i="1"/>
  <c r="O65" i="1"/>
  <c r="M65" i="1"/>
  <c r="K65" i="1"/>
  <c r="W65" i="1" s="1"/>
  <c r="J64" i="1"/>
  <c r="W63" i="1"/>
  <c r="J63" i="1"/>
  <c r="J62" i="1"/>
  <c r="W61" i="1"/>
  <c r="J61" i="1"/>
  <c r="J60" i="1"/>
  <c r="W59" i="1"/>
  <c r="J59" i="1"/>
  <c r="W58" i="1"/>
  <c r="J58" i="1"/>
  <c r="J57" i="1"/>
  <c r="W56" i="1"/>
  <c r="J56" i="1"/>
  <c r="J55" i="1"/>
  <c r="W54" i="1"/>
  <c r="J54" i="1"/>
  <c r="W53" i="1"/>
  <c r="J53" i="1"/>
  <c r="W52" i="1"/>
  <c r="J52" i="1"/>
  <c r="W51" i="1"/>
  <c r="J51" i="1"/>
  <c r="W50" i="1"/>
  <c r="J50" i="1"/>
  <c r="W49" i="1"/>
  <c r="J49" i="1"/>
  <c r="W48" i="1"/>
  <c r="J48" i="1"/>
  <c r="W47" i="1"/>
  <c r="J47" i="1"/>
  <c r="W46" i="1"/>
  <c r="J46" i="1"/>
  <c r="W45" i="1"/>
  <c r="J45" i="1"/>
  <c r="W44" i="1"/>
  <c r="J44" i="1"/>
  <c r="W43" i="1"/>
  <c r="J43" i="1"/>
  <c r="W42" i="1"/>
  <c r="J42" i="1"/>
  <c r="W41" i="1"/>
  <c r="J41" i="1"/>
  <c r="W40" i="1"/>
  <c r="J40" i="1"/>
  <c r="J65" i="1" s="1"/>
  <c r="Y39" i="1"/>
  <c r="Y66" i="1" s="1"/>
  <c r="U39" i="1"/>
  <c r="U66" i="1" s="1"/>
  <c r="U71" i="1" s="1"/>
  <c r="S39" i="1"/>
  <c r="S66" i="1" s="1"/>
  <c r="S71" i="1" s="1"/>
  <c r="S72" i="1" s="1"/>
  <c r="Q39" i="1"/>
  <c r="Q66" i="1" s="1"/>
  <c r="Q71" i="1" s="1"/>
  <c r="O39" i="1"/>
  <c r="W39" i="1" s="1"/>
  <c r="AA39" i="1" s="1"/>
  <c r="M39" i="1"/>
  <c r="M66" i="1" s="1"/>
  <c r="M71" i="1" s="1"/>
  <c r="K39" i="1"/>
  <c r="K66" i="1" s="1"/>
  <c r="J38" i="1"/>
  <c r="J37" i="1"/>
  <c r="W36" i="1"/>
  <c r="J36" i="1"/>
  <c r="J35" i="1"/>
  <c r="J34" i="1"/>
  <c r="J33" i="1"/>
  <c r="W32" i="1"/>
  <c r="J32" i="1"/>
  <c r="W31" i="1"/>
  <c r="J31" i="1"/>
  <c r="W30" i="1"/>
  <c r="J30" i="1"/>
  <c r="W29" i="1"/>
  <c r="J29" i="1"/>
  <c r="W28" i="1"/>
  <c r="J28" i="1"/>
  <c r="W27" i="1"/>
  <c r="X27" i="1" s="1"/>
  <c r="J27" i="1"/>
  <c r="W26" i="1"/>
  <c r="J26" i="1"/>
  <c r="W25" i="1"/>
  <c r="X25" i="1" s="1"/>
  <c r="J25" i="1"/>
  <c r="W24" i="1"/>
  <c r="J24" i="1"/>
  <c r="W23" i="1"/>
  <c r="X23" i="1" s="1"/>
  <c r="J23" i="1"/>
  <c r="W22" i="1"/>
  <c r="J22" i="1"/>
  <c r="X21" i="1"/>
  <c r="W21" i="1"/>
  <c r="J21" i="1"/>
  <c r="W20" i="1"/>
  <c r="J20" i="1"/>
  <c r="W19" i="1"/>
  <c r="J19" i="1"/>
  <c r="W18" i="1"/>
  <c r="X17" i="1" s="1"/>
  <c r="J18" i="1"/>
  <c r="W17" i="1"/>
  <c r="J17" i="1"/>
  <c r="W16" i="1"/>
  <c r="J16" i="1"/>
  <c r="W15" i="1"/>
  <c r="J15" i="1"/>
  <c r="W14" i="1"/>
  <c r="J14" i="1"/>
  <c r="W13" i="1"/>
  <c r="X13" i="1" s="1"/>
  <c r="J13" i="1"/>
  <c r="J39" i="1" s="1"/>
  <c r="W12" i="1"/>
  <c r="J12" i="1"/>
  <c r="W11" i="1"/>
  <c r="J11" i="1"/>
  <c r="W10" i="1"/>
  <c r="J10" i="1"/>
  <c r="W9" i="1"/>
  <c r="X9" i="1" s="1"/>
  <c r="J9" i="1"/>
  <c r="O34" i="5" l="1"/>
  <c r="S34" i="5"/>
  <c r="U16" i="5"/>
  <c r="U27" i="5"/>
  <c r="U29" i="5" s="1"/>
  <c r="T34" i="5"/>
  <c r="O39" i="5"/>
  <c r="M26" i="5"/>
  <c r="K13" i="5"/>
  <c r="U33" i="5"/>
  <c r="O13" i="5"/>
  <c r="O26" i="5"/>
  <c r="U31" i="5"/>
  <c r="Q39" i="5"/>
  <c r="Q17" i="5"/>
  <c r="Q34" i="5"/>
  <c r="S17" i="5"/>
  <c r="M39" i="5"/>
  <c r="Q26" i="5"/>
  <c r="U38" i="5"/>
  <c r="O17" i="5"/>
  <c r="U12" i="5"/>
  <c r="U25" i="5"/>
  <c r="U37" i="5"/>
  <c r="Q26" i="6"/>
  <c r="U10" i="6"/>
  <c r="U16" i="6"/>
  <c r="U17" i="6" s="1"/>
  <c r="O21" i="6"/>
  <c r="K31" i="6"/>
  <c r="U23" i="6"/>
  <c r="U33" i="6"/>
  <c r="U9" i="6"/>
  <c r="M26" i="6"/>
  <c r="S13" i="6"/>
  <c r="I21" i="6"/>
  <c r="U25" i="6"/>
  <c r="I12" i="7"/>
  <c r="S22" i="7"/>
  <c r="I27" i="7"/>
  <c r="M17" i="7"/>
  <c r="U24" i="7"/>
  <c r="Q17" i="7"/>
  <c r="O30" i="7"/>
  <c r="O17" i="7"/>
  <c r="O12" i="7"/>
  <c r="K22" i="7"/>
  <c r="Q27" i="7"/>
  <c r="U15" i="7"/>
  <c r="S30" i="7"/>
  <c r="U25" i="7"/>
  <c r="U14" i="7"/>
  <c r="K12" i="7"/>
  <c r="U19" i="7"/>
  <c r="T27" i="7"/>
  <c r="K13" i="8"/>
  <c r="S29" i="8"/>
  <c r="M17" i="8"/>
  <c r="T20" i="8"/>
  <c r="M24" i="8"/>
  <c r="K29" i="8"/>
  <c r="S24" i="8"/>
  <c r="T24" i="8"/>
  <c r="S13" i="8"/>
  <c r="Q17" i="8"/>
  <c r="T17" i="8"/>
  <c r="I24" i="8"/>
  <c r="U22" i="8"/>
  <c r="O17" i="8"/>
  <c r="Q20" i="8"/>
  <c r="U28" i="8"/>
  <c r="M29" i="8"/>
  <c r="O13" i="8"/>
  <c r="U15" i="8"/>
  <c r="U19" i="8"/>
  <c r="K24" i="8"/>
  <c r="O29" i="8"/>
  <c r="Q13" i="8"/>
  <c r="Q29" i="8"/>
  <c r="I13" i="8"/>
  <c r="S17" i="8"/>
  <c r="U27" i="8"/>
  <c r="U16" i="8"/>
  <c r="I20" i="8"/>
  <c r="K17" i="8"/>
  <c r="O24" i="8"/>
  <c r="U12" i="8"/>
  <c r="I29" i="8"/>
  <c r="U11" i="8"/>
  <c r="U10" i="8"/>
  <c r="U21" i="8"/>
  <c r="U26" i="8"/>
  <c r="K31" i="10"/>
  <c r="O37" i="10"/>
  <c r="U12" i="10"/>
  <c r="I13" i="10"/>
  <c r="I18" i="10"/>
  <c r="U17" i="10"/>
  <c r="U16" i="10"/>
  <c r="U30" i="10"/>
  <c r="O18" i="10"/>
  <c r="U26" i="10"/>
  <c r="U24" i="10"/>
  <c r="O31" i="10"/>
  <c r="K13" i="10"/>
  <c r="U25" i="10"/>
  <c r="O13" i="10"/>
  <c r="K22" i="10"/>
  <c r="O27" i="10"/>
  <c r="U32" i="10"/>
  <c r="U37" i="10" s="1"/>
  <c r="S13" i="9"/>
  <c r="M27" i="9"/>
  <c r="U30" i="9"/>
  <c r="U35" i="9"/>
  <c r="O22" i="9"/>
  <c r="K31" i="9"/>
  <c r="Q18" i="9"/>
  <c r="S22" i="9"/>
  <c r="U25" i="9"/>
  <c r="U36" i="9"/>
  <c r="U17" i="9"/>
  <c r="U11" i="9"/>
  <c r="U16" i="9"/>
  <c r="K22" i="9"/>
  <c r="O27" i="9"/>
  <c r="U29" i="9"/>
  <c r="U34" i="9"/>
  <c r="I22" i="9"/>
  <c r="S31" i="9"/>
  <c r="T37" i="9"/>
  <c r="U12" i="9"/>
  <c r="U24" i="9"/>
  <c r="U10" i="9"/>
  <c r="U15" i="9"/>
  <c r="Q27" i="9"/>
  <c r="U33" i="9"/>
  <c r="O72" i="1"/>
  <c r="U13" i="5"/>
  <c r="S59" i="2"/>
  <c r="W65" i="4"/>
  <c r="AA65" i="4" s="1"/>
  <c r="K70" i="4"/>
  <c r="O70" i="3"/>
  <c r="W64" i="3"/>
  <c r="AA64" i="3" s="1"/>
  <c r="K58" i="2"/>
  <c r="J66" i="1"/>
  <c r="W66" i="1"/>
  <c r="AA66" i="1" s="1"/>
  <c r="K71" i="1"/>
  <c r="S70" i="3"/>
  <c r="M17" i="5"/>
  <c r="I39" i="5"/>
  <c r="U14" i="8"/>
  <c r="I17" i="8"/>
  <c r="U18" i="8"/>
  <c r="M20" i="8"/>
  <c r="U9" i="9"/>
  <c r="I13" i="9"/>
  <c r="U14" i="9"/>
  <c r="M18" i="9"/>
  <c r="U32" i="9"/>
  <c r="M37" i="9"/>
  <c r="I13" i="5"/>
  <c r="K26" i="5"/>
  <c r="U30" i="5"/>
  <c r="S31" i="6"/>
  <c r="U12" i="7"/>
  <c r="Q30" i="7"/>
  <c r="Q22" i="9"/>
  <c r="T27" i="9"/>
  <c r="U11" i="10"/>
  <c r="K34" i="5"/>
  <c r="K13" i="6"/>
  <c r="K21" i="6"/>
  <c r="U23" i="7"/>
  <c r="U27" i="7" s="1"/>
  <c r="M27" i="7"/>
  <c r="T13" i="8"/>
  <c r="Q24" i="8"/>
  <c r="T29" i="8"/>
  <c r="U10" i="10"/>
  <c r="U13" i="10" s="1"/>
  <c r="U29" i="10"/>
  <c r="O53" i="2"/>
  <c r="O58" i="2" s="1"/>
  <c r="O59" i="2" s="1"/>
  <c r="O26" i="6"/>
  <c r="U22" i="6"/>
  <c r="U28" i="6"/>
  <c r="U32" i="6"/>
  <c r="U34" i="6" s="1"/>
  <c r="M34" i="6"/>
  <c r="U18" i="7"/>
  <c r="I22" i="7"/>
  <c r="U27" i="6"/>
  <c r="I31" i="6"/>
  <c r="U29" i="7"/>
  <c r="U23" i="8"/>
  <c r="U20" i="9"/>
  <c r="K69" i="3"/>
  <c r="I17" i="5"/>
  <c r="I26" i="5"/>
  <c r="Q12" i="7"/>
  <c r="T17" i="7"/>
  <c r="U28" i="7"/>
  <c r="U30" i="7" s="1"/>
  <c r="U19" i="9"/>
  <c r="U19" i="10"/>
  <c r="U22" i="10" s="1"/>
  <c r="I22" i="10"/>
  <c r="W39" i="4"/>
  <c r="AA39" i="4" s="1"/>
  <c r="U15" i="5"/>
  <c r="U17" i="5" s="1"/>
  <c r="U24" i="5"/>
  <c r="I34" i="5"/>
  <c r="U12" i="6"/>
  <c r="I13" i="6"/>
  <c r="T26" i="6"/>
  <c r="T18" i="10"/>
  <c r="U23" i="10"/>
  <c r="U27" i="10" s="1"/>
  <c r="M27" i="10"/>
  <c r="Q31" i="10"/>
  <c r="K17" i="5"/>
  <c r="U23" i="5"/>
  <c r="U32" i="5"/>
  <c r="U35" i="5"/>
  <c r="U11" i="6"/>
  <c r="U13" i="6" s="1"/>
  <c r="U20" i="6"/>
  <c r="U21" i="6" s="1"/>
  <c r="U28" i="9"/>
  <c r="U31" i="9" s="1"/>
  <c r="I31" i="9"/>
  <c r="Q13" i="10"/>
  <c r="U13" i="7"/>
  <c r="U9" i="8"/>
  <c r="U25" i="8"/>
  <c r="U23" i="9"/>
  <c r="U27" i="9" s="1"/>
  <c r="U14" i="10"/>
  <c r="U18" i="10" s="1"/>
  <c r="U28" i="10"/>
  <c r="U39" i="5" l="1"/>
  <c r="U26" i="5"/>
  <c r="U34" i="5"/>
  <c r="U26" i="6"/>
  <c r="U31" i="6"/>
  <c r="U22" i="7"/>
  <c r="U17" i="7"/>
  <c r="U13" i="8"/>
  <c r="U24" i="8"/>
  <c r="U29" i="8"/>
  <c r="U17" i="8"/>
  <c r="U20" i="8"/>
  <c r="U18" i="9"/>
  <c r="U13" i="9"/>
  <c r="U22" i="9"/>
  <c r="U37" i="9"/>
  <c r="K70" i="3"/>
  <c r="W70" i="3" s="1"/>
  <c r="W69" i="3"/>
  <c r="AA70" i="3" s="1"/>
  <c r="K72" i="1"/>
  <c r="W72" i="1" s="1"/>
  <c r="W71" i="1"/>
  <c r="AA72" i="1" s="1"/>
  <c r="K71" i="4"/>
  <c r="W71" i="4" s="1"/>
  <c r="W70" i="4"/>
  <c r="AA71" i="4" s="1"/>
  <c r="W53" i="2"/>
  <c r="AA53" i="2" s="1"/>
  <c r="U31" i="10"/>
  <c r="K59" i="2"/>
  <c r="W59" i="2" s="1"/>
  <c r="W58" i="2"/>
  <c r="AA5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52" authorId="0" shapeId="0" xr:uid="{00000000-0006-0000-0300-000002000000}">
      <text>
        <r>
          <rPr>
            <sz val="10"/>
            <rFont val="Noto Sans CJK SC"/>
            <family val="2"/>
          </rPr>
          <t>비고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고시외</t>
        </r>
      </text>
    </comment>
    <comment ref="F57" authorId="0" shapeId="0" xr:uid="{00000000-0006-0000-0300-000003000000}">
      <text>
        <r>
          <rPr>
            <sz val="10"/>
            <rFont val="Noto Sans CJK SC"/>
            <family val="2"/>
          </rPr>
          <t>비고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고시외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6" authorId="0" shapeId="0" xr:uid="{00000000-0006-0000-0700-000006000000}">
      <text>
        <r>
          <rPr>
            <sz val="10"/>
            <rFont val="Noto Sans CJK SC"/>
            <family val="2"/>
          </rPr>
          <t>출처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한국산업인력공단 국가직무능력표준 정보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공공데이터포털</t>
        </r>
        <r>
          <rPr>
            <sz val="10"/>
            <rFont val="Arial"/>
            <family val="2"/>
          </rPr>
          <t xml:space="preserve">, 2025-12-31 </t>
        </r>
        <r>
          <rPr>
            <sz val="10"/>
            <rFont val="Noto Sans CJK SC"/>
            <family val="2"/>
          </rPr>
          <t>기준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Noto Sans CJK SC"/>
            <family val="2"/>
          </rPr>
          <t>코드가 같은 능력단위의 훈련시간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수준을 입력</t>
        </r>
        <r>
          <rPr>
            <sz val="10"/>
            <rFont val="Arial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<sst xmlns="http://schemas.openxmlformats.org/spreadsheetml/2006/main" count="2603" uniqueCount="672">
  <si>
    <r>
      <rPr>
        <b/>
        <sz val="20"/>
        <color theme="1"/>
        <rFont val="맑은 고딕"/>
        <family val="3"/>
        <charset val="129"/>
      </rPr>
      <t>2027</t>
    </r>
    <r>
      <rPr>
        <b/>
        <sz val="20"/>
        <color theme="1"/>
        <rFont val="Noto Sans CJK SC"/>
        <family val="2"/>
      </rPr>
      <t>학년도 교육과정 편제 및 학점배당표</t>
    </r>
    <r>
      <rPr>
        <b/>
        <sz val="20"/>
        <color theme="1"/>
        <rFont val="맑은 고딕"/>
        <family val="3"/>
        <charset val="129"/>
      </rPr>
      <t>(</t>
    </r>
    <r>
      <rPr>
        <b/>
        <sz val="20"/>
        <color theme="1"/>
        <rFont val="Noto Sans CJK SC"/>
        <family val="2"/>
      </rPr>
      <t>마이스터고</t>
    </r>
    <r>
      <rPr>
        <b/>
        <sz val="20"/>
        <color theme="1"/>
        <rFont val="맑은 고딕"/>
        <family val="3"/>
        <charset val="129"/>
      </rPr>
      <t>/</t>
    </r>
    <r>
      <rPr>
        <b/>
        <sz val="20"/>
        <color theme="1"/>
        <rFont val="Noto Sans CJK SC"/>
        <family val="2"/>
      </rPr>
      <t>특성화고</t>
    </r>
    <r>
      <rPr>
        <b/>
        <sz val="20"/>
        <color theme="1"/>
        <rFont val="맑은 고딕"/>
        <family val="3"/>
        <charset val="129"/>
      </rPr>
      <t>)</t>
    </r>
  </si>
  <si>
    <t>입학년도</t>
  </si>
  <si>
    <t>담당자
연락처</t>
  </si>
  <si>
    <t>직</t>
  </si>
  <si>
    <t>성명</t>
  </si>
  <si>
    <t>내선번호</t>
  </si>
  <si>
    <t>시도명</t>
  </si>
  <si>
    <t>학교명</t>
  </si>
  <si>
    <t>교과군</t>
  </si>
  <si>
    <t>기준학과1</t>
  </si>
  <si>
    <t>기준학과2</t>
  </si>
  <si>
    <t>학과</t>
  </si>
  <si>
    <t>교감</t>
  </si>
  <si>
    <t>양재호</t>
  </si>
  <si>
    <t>041-351-9005</t>
  </si>
  <si>
    <t>학과명</t>
  </si>
  <si>
    <t>과정</t>
  </si>
  <si>
    <t>인력양성유형</t>
  </si>
  <si>
    <t>교육과정부장</t>
  </si>
  <si>
    <t>황채림</t>
  </si>
  <si>
    <t>041-351-9059</t>
  </si>
  <si>
    <t>충남</t>
  </si>
  <si>
    <t>당진정보고등학교</t>
  </si>
  <si>
    <t>경영·금융</t>
  </si>
  <si>
    <t>세무회계과</t>
  </si>
  <si>
    <t>경영사무과</t>
  </si>
  <si>
    <t>회계사무과</t>
  </si>
  <si>
    <t>일반</t>
  </si>
  <si>
    <t>교육과정담당</t>
  </si>
  <si>
    <t>김혜연</t>
  </si>
  <si>
    <t>041-351-9057</t>
  </si>
  <si>
    <t>교과영역</t>
  </si>
  <si>
    <t>교과(군)</t>
  </si>
  <si>
    <t>과목</t>
  </si>
  <si>
    <t>기준 
학점</t>
  </si>
  <si>
    <t>운영
가능
학점</t>
  </si>
  <si>
    <t>운영
학점</t>
  </si>
  <si>
    <r>
      <rPr>
        <b/>
        <sz val="10"/>
        <color rgb="FF000000"/>
        <rFont val="맑은 고딕"/>
        <family val="3"/>
        <charset val="129"/>
      </rPr>
      <t>1</t>
    </r>
    <r>
      <rPr>
        <b/>
        <sz val="10"/>
        <color rgb="FF000000"/>
        <rFont val="Noto Sans CJK SC"/>
        <family val="2"/>
      </rPr>
      <t>학년</t>
    </r>
  </si>
  <si>
    <r>
      <rPr>
        <b/>
        <sz val="10"/>
        <color rgb="FF000000"/>
        <rFont val="맑은 고딕"/>
        <family val="3"/>
        <charset val="129"/>
      </rPr>
      <t>2</t>
    </r>
    <r>
      <rPr>
        <b/>
        <sz val="10"/>
        <color rgb="FF000000"/>
        <rFont val="Noto Sans CJK SC"/>
        <family val="2"/>
      </rPr>
      <t>학년</t>
    </r>
  </si>
  <si>
    <r>
      <rPr>
        <b/>
        <sz val="10"/>
        <color rgb="FF000000"/>
        <rFont val="맑은 고딕"/>
        <family val="3"/>
        <charset val="129"/>
      </rPr>
      <t>3</t>
    </r>
    <r>
      <rPr>
        <b/>
        <sz val="10"/>
        <color rgb="FF000000"/>
        <rFont val="Noto Sans CJK SC"/>
        <family val="2"/>
      </rPr>
      <t>학년</t>
    </r>
  </si>
  <si>
    <t>이수
학점</t>
  </si>
  <si>
    <t>필수
이수
학점</t>
  </si>
  <si>
    <t>구분</t>
  </si>
  <si>
    <t>과목명</t>
  </si>
  <si>
    <r>
      <rPr>
        <b/>
        <sz val="10"/>
        <color rgb="FF000000"/>
        <rFont val="맑은 고딕"/>
        <family val="3"/>
        <charset val="129"/>
      </rPr>
      <t>1</t>
    </r>
    <r>
      <rPr>
        <b/>
        <sz val="10"/>
        <color rgb="FF000000"/>
        <rFont val="Noto Sans CJK SC"/>
        <family val="2"/>
      </rPr>
      <t>학기</t>
    </r>
  </si>
  <si>
    <r>
      <rPr>
        <b/>
        <sz val="10"/>
        <color rgb="FF000000"/>
        <rFont val="맑은 고딕"/>
        <family val="3"/>
        <charset val="129"/>
      </rPr>
      <t>2</t>
    </r>
    <r>
      <rPr>
        <b/>
        <sz val="10"/>
        <color rgb="FF000000"/>
        <rFont val="Noto Sans CJK SC"/>
        <family val="2"/>
      </rPr>
      <t>학기</t>
    </r>
  </si>
  <si>
    <t>이수학점 편성 범위</t>
  </si>
  <si>
    <t>보통</t>
  </si>
  <si>
    <t>국어</t>
  </si>
  <si>
    <t>공통</t>
  </si>
  <si>
    <t>공통국어1</t>
  </si>
  <si>
    <t>3~4</t>
  </si>
  <si>
    <t>기준학점</t>
  </si>
  <si>
    <t>증감</t>
  </si>
  <si>
    <t>편성가능 학점</t>
  </si>
  <si>
    <t>공통국어2</t>
  </si>
  <si>
    <t>공통과목</t>
  </si>
  <si>
    <t>일반선택</t>
  </si>
  <si>
    <t>독서와 작문</t>
  </si>
  <si>
    <t>3~5</t>
  </si>
  <si>
    <t>한국사 1,2</t>
  </si>
  <si>
    <t>진로선택</t>
  </si>
  <si>
    <t>직무 의사소통</t>
  </si>
  <si>
    <t>선택과목</t>
  </si>
  <si>
    <t>±1</t>
  </si>
  <si>
    <t>수학</t>
  </si>
  <si>
    <t>기본수학1</t>
  </si>
  <si>
    <t>체육, 예술, 교양 교과군</t>
  </si>
  <si>
    <t>2~4</t>
  </si>
  <si>
    <t>기본수학2</t>
  </si>
  <si>
    <t>전문교과</t>
  </si>
  <si>
    <t>학교장</t>
  </si>
  <si>
    <t>융합선택</t>
  </si>
  <si>
    <t>수학과 문화</t>
  </si>
  <si>
    <t>직무 수학</t>
  </si>
  <si>
    <t>영어</t>
  </si>
  <si>
    <t>기본영어1</t>
  </si>
  <si>
    <t>기본영어2</t>
  </si>
  <si>
    <t>미디어 영어</t>
  </si>
  <si>
    <t>직무 영어</t>
  </si>
  <si>
    <t>사회(역사/도덕 포함)</t>
  </si>
  <si>
    <t>한국사1</t>
  </si>
  <si>
    <t>3~</t>
  </si>
  <si>
    <t>한국사2</t>
  </si>
  <si>
    <t>통합사회1</t>
  </si>
  <si>
    <t>통합사회2</t>
  </si>
  <si>
    <t>과학</t>
  </si>
  <si>
    <t>통합과학1</t>
  </si>
  <si>
    <t>통합과학2</t>
  </si>
  <si>
    <t>체육</t>
  </si>
  <si>
    <t>체육1</t>
  </si>
  <si>
    <t>체육2</t>
  </si>
  <si>
    <t>스포츠 생활1</t>
  </si>
  <si>
    <t>스포츠 생활2</t>
  </si>
  <si>
    <t>스포츠 과학</t>
  </si>
  <si>
    <t>1~2</t>
  </si>
  <si>
    <t>예술</t>
  </si>
  <si>
    <t>음악</t>
  </si>
  <si>
    <t>음악 감상과 비평</t>
  </si>
  <si>
    <t>미술</t>
  </si>
  <si>
    <t>미술 창작</t>
  </si>
  <si>
    <t>기술･가정/정보/제2외국어/한문/교양</t>
  </si>
  <si>
    <t>기술 가정</t>
  </si>
  <si>
    <t>중국어</t>
  </si>
  <si>
    <t>전문공통</t>
  </si>
  <si>
    <t>디지털과 직업생활
('창의 경영 대체')</t>
  </si>
  <si>
    <t>합계</t>
  </si>
  <si>
    <t>전문</t>
  </si>
  <si>
    <t>성공적인 직업생활</t>
  </si>
  <si>
    <t>전공일반</t>
  </si>
  <si>
    <t>회계 원리</t>
  </si>
  <si>
    <t>상업 경제</t>
  </si>
  <si>
    <t>사무 관리</t>
  </si>
  <si>
    <t>회계 정보 처리 시스템</t>
  </si>
  <si>
    <t>기업과 경영</t>
  </si>
  <si>
    <t>금융 일반</t>
  </si>
  <si>
    <t>기업 자원 통합 관리</t>
  </si>
  <si>
    <t>비즈니스 커뮤니케이션</t>
  </si>
  <si>
    <t>전공실무</t>
  </si>
  <si>
    <t>회계 실무</t>
  </si>
  <si>
    <t>사무 행정</t>
  </si>
  <si>
    <t>총무</t>
  </si>
  <si>
    <t>비서</t>
  </si>
  <si>
    <t>인사</t>
  </si>
  <si>
    <r>
      <rPr>
        <sz val="10"/>
        <color rgb="FF000000"/>
        <rFont val="맑은 고딕"/>
        <family val="3"/>
        <charset val="129"/>
      </rPr>
      <t>2</t>
    </r>
    <r>
      <rPr>
        <sz val="10"/>
        <color rgb="FF000000"/>
        <rFont val="Noto Sans CJK SC"/>
        <family val="2"/>
      </rPr>
      <t xml:space="preserve">학년
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택</t>
    </r>
    <r>
      <rPr>
        <sz val="10"/>
        <color rgb="FF000000"/>
        <rFont val="맑은 고딕"/>
        <family val="3"/>
        <charset val="129"/>
      </rPr>
      <t>1)</t>
    </r>
  </si>
  <si>
    <t>회계사무원코스</t>
  </si>
  <si>
    <t>세무 일반</t>
  </si>
  <si>
    <t>예산·자금</t>
  </si>
  <si>
    <t>경영지원사무원코스</t>
  </si>
  <si>
    <t>노무관리</t>
  </si>
  <si>
    <t>전자 상거래 일반</t>
  </si>
  <si>
    <r>
      <rPr>
        <sz val="10"/>
        <color rgb="FF000000"/>
        <rFont val="맑은 고딕"/>
        <family val="3"/>
        <charset val="129"/>
      </rPr>
      <t>3</t>
    </r>
    <r>
      <rPr>
        <sz val="10"/>
        <color rgb="FF000000"/>
        <rFont val="Noto Sans CJK SC"/>
        <family val="2"/>
      </rPr>
      <t xml:space="preserve">학년
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택</t>
    </r>
    <r>
      <rPr>
        <sz val="10"/>
        <color rgb="FF000000"/>
        <rFont val="맑은 고딕"/>
        <family val="3"/>
        <charset val="129"/>
      </rPr>
      <t>1)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</si>
  <si>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학과내</t>
    </r>
    <r>
      <rPr>
        <sz val="10"/>
        <color rgb="FF000000"/>
        <rFont val="맑은 고딕"/>
        <family val="3"/>
        <charset val="129"/>
      </rPr>
      <t xml:space="preserve">]
</t>
    </r>
    <r>
      <rPr>
        <sz val="10"/>
        <color rgb="FF000000"/>
        <rFont val="Noto Sans CJK SC"/>
        <family val="2"/>
      </rPr>
      <t>회계사무원코스</t>
    </r>
  </si>
  <si>
    <t>세무 실무</t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</si>
  <si>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학과내</t>
    </r>
    <r>
      <rPr>
        <sz val="10"/>
        <color rgb="FF000000"/>
        <rFont val="맑은 고딕"/>
        <family val="3"/>
        <charset val="129"/>
      </rPr>
      <t xml:space="preserve">]
</t>
    </r>
    <r>
      <rPr>
        <sz val="10"/>
        <color rgb="FF000000"/>
        <rFont val="Noto Sans CJK SC"/>
        <family val="2"/>
      </rPr>
      <t>경영지원사무원코스</t>
    </r>
  </si>
  <si>
    <t>마케팅과 광고</t>
  </si>
  <si>
    <t>창업 일반</t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</si>
  <si>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학과간</t>
    </r>
    <r>
      <rPr>
        <sz val="10"/>
        <color rgb="FF000000"/>
        <rFont val="맑은 고딕"/>
        <family val="3"/>
        <charset val="129"/>
      </rPr>
      <t>]
AI</t>
    </r>
    <r>
      <rPr>
        <sz val="10"/>
        <color rgb="FF000000"/>
        <rFont val="Noto Sans CJK SC"/>
        <family val="2"/>
      </rPr>
      <t>콘텐츠과 융합</t>
    </r>
  </si>
  <si>
    <t>문화·예술·디자인·방송</t>
  </si>
  <si>
    <t>디자인 일반</t>
  </si>
  <si>
    <t>미디어 콘텐츠 일반</t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</si>
  <si>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학과간</t>
    </r>
    <r>
      <rPr>
        <sz val="10"/>
        <color rgb="FF000000"/>
        <rFont val="맑은 고딕"/>
        <family val="3"/>
        <charset val="129"/>
      </rPr>
      <t>]
AI</t>
    </r>
    <r>
      <rPr>
        <sz val="10"/>
        <color rgb="FF000000"/>
        <rFont val="Noto Sans CJK SC"/>
        <family val="2"/>
      </rPr>
      <t>융합경영과 융합</t>
    </r>
  </si>
  <si>
    <t>정보·통신</t>
  </si>
  <si>
    <t>인공지능 기초</t>
  </si>
  <si>
    <t>프로그래밍</t>
  </si>
  <si>
    <t>총이수 합계</t>
  </si>
  <si>
    <t>교과최소학점 충족</t>
  </si>
  <si>
    <t>창의적체험활동</t>
  </si>
  <si>
    <t>자율·자치활동</t>
  </si>
  <si>
    <t>동아리활동</t>
  </si>
  <si>
    <t>진로활동</t>
  </si>
  <si>
    <t>창체최소학점 충족</t>
  </si>
  <si>
    <t>학기별 이수학점</t>
  </si>
  <si>
    <t>총 이수학점(최소학점수) 충족</t>
  </si>
  <si>
    <t>도제</t>
  </si>
  <si>
    <t>학과내선택</t>
  </si>
  <si>
    <t>도제코스</t>
  </si>
  <si>
    <t>회계실무</t>
  </si>
  <si>
    <t>사무행정</t>
  </si>
  <si>
    <t>세무실무</t>
  </si>
  <si>
    <t>교과최소학점</t>
  </si>
  <si>
    <t>창체최소학점</t>
  </si>
  <si>
    <t>최소학점수</t>
  </si>
  <si>
    <t>금융정보화</t>
  </si>
  <si>
    <r>
      <rPr>
        <sz val="10"/>
        <color theme="1"/>
        <rFont val="맑은 고딕"/>
        <family val="3"/>
        <charset val="129"/>
      </rPr>
      <t>AI</t>
    </r>
    <r>
      <rPr>
        <sz val="10"/>
        <color theme="1"/>
        <rFont val="Noto Sans CJK SC"/>
        <family val="2"/>
      </rPr>
      <t>융합경영과</t>
    </r>
  </si>
  <si>
    <t>컴퓨터 시스템 일반</t>
  </si>
  <si>
    <t>고객 관리</t>
  </si>
  <si>
    <t>빅데이터 이해</t>
  </si>
  <si>
    <t>경영데이터 시각화</t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</si>
  <si>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학과내</t>
    </r>
    <r>
      <rPr>
        <sz val="10"/>
        <color rgb="FF000000"/>
        <rFont val="맑은 고딕"/>
        <family val="3"/>
        <charset val="129"/>
      </rPr>
      <t xml:space="preserve">]
</t>
    </r>
    <r>
      <rPr>
        <sz val="10"/>
        <color rgb="FF000000"/>
        <rFont val="Noto Sans CJK SC"/>
        <family val="2"/>
      </rPr>
      <t>전공심화</t>
    </r>
  </si>
  <si>
    <t>프로젝트 실습</t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</si>
  <si>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학과간</t>
    </r>
    <r>
      <rPr>
        <sz val="10"/>
        <color rgb="FF000000"/>
        <rFont val="맑은 고딕"/>
        <family val="3"/>
        <charset val="129"/>
      </rPr>
      <t xml:space="preserve">]
</t>
    </r>
    <r>
      <rPr>
        <sz val="10"/>
        <color rgb="FF000000"/>
        <rFont val="Noto Sans CJK SC"/>
        <family val="2"/>
      </rPr>
      <t>회계사무과 융합</t>
    </r>
  </si>
  <si>
    <t>기업자원통합관리</t>
  </si>
  <si>
    <t>세무일반</t>
  </si>
  <si>
    <t>마케팅과</t>
  </si>
  <si>
    <r>
      <rPr>
        <sz val="10"/>
        <color theme="1"/>
        <rFont val="맑은 고딕"/>
        <family val="3"/>
        <charset val="129"/>
      </rPr>
      <t>AI</t>
    </r>
    <r>
      <rPr>
        <sz val="10"/>
        <color theme="1"/>
        <rFont val="Noto Sans CJK SC"/>
        <family val="2"/>
      </rPr>
      <t>콘텐츠과</t>
    </r>
  </si>
  <si>
    <r>
      <rPr>
        <sz val="8"/>
        <rFont val="맑은 고딕"/>
        <family val="3"/>
        <charset val="129"/>
      </rPr>
      <t xml:space="preserve">AI </t>
    </r>
    <r>
      <rPr>
        <sz val="8"/>
        <rFont val="Noto Sans CJK SC"/>
        <family val="2"/>
      </rPr>
      <t>활용 마케팅 사무원</t>
    </r>
    <r>
      <rPr>
        <sz val="8"/>
        <rFont val="맑은 고딕"/>
        <family val="3"/>
        <charset val="129"/>
      </rPr>
      <t xml:space="preserve">, AI </t>
    </r>
    <r>
      <rPr>
        <sz val="8"/>
        <rFont val="Noto Sans CJK SC"/>
        <family val="2"/>
      </rPr>
      <t>활용 광고 및 홍보 전문가</t>
    </r>
  </si>
  <si>
    <t>문화 콘텐츠 산업 일반</t>
  </si>
  <si>
    <t>광고 콘텐츠 제작</t>
  </si>
  <si>
    <t>캐릭터 제작</t>
  </si>
  <si>
    <t>프롬프트 디자인</t>
  </si>
  <si>
    <t>챗 크리에이터
코스</t>
  </si>
  <si>
    <t>영상 제작 기초</t>
  </si>
  <si>
    <r>
      <rPr>
        <sz val="10"/>
        <color rgb="FF000000"/>
        <rFont val="맑은 고딕"/>
        <family val="3"/>
        <charset val="129"/>
      </rPr>
      <t xml:space="preserve">AI </t>
    </r>
    <r>
      <rPr>
        <sz val="10"/>
        <color rgb="FF000000"/>
        <rFont val="Noto Sans CJK SC"/>
        <family val="2"/>
      </rPr>
      <t>디자이너
코스</t>
    </r>
  </si>
  <si>
    <t>컴퓨터 그래픽</t>
  </si>
  <si>
    <r>
      <rPr>
        <sz val="10"/>
        <color rgb="FF0070C0"/>
        <rFont val="맑은 고딕"/>
        <family val="3"/>
        <charset val="129"/>
      </rPr>
      <t xml:space="preserve">AI </t>
    </r>
    <r>
      <rPr>
        <sz val="10"/>
        <color rgb="FF0070C0"/>
        <rFont val="Noto Sans CJK SC"/>
        <family val="2"/>
      </rPr>
      <t>마케팅 콘텐츠 제작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</si>
  <si>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학과내</t>
    </r>
    <r>
      <rPr>
        <sz val="10"/>
        <color rgb="FF000000"/>
        <rFont val="맑은 고딕"/>
        <family val="3"/>
        <charset val="129"/>
      </rPr>
      <t xml:space="preserve">]
</t>
    </r>
    <r>
      <rPr>
        <sz val="10"/>
        <color rgb="FF000000"/>
        <rFont val="Noto Sans CJK SC"/>
        <family val="2"/>
      </rPr>
      <t>챗 크리에이터코스</t>
    </r>
  </si>
  <si>
    <t>디지털 디자인</t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</si>
  <si>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학과내</t>
    </r>
    <r>
      <rPr>
        <sz val="10"/>
        <color rgb="FF000000"/>
        <rFont val="맑은 고딕"/>
        <family val="3"/>
        <charset val="129"/>
      </rPr>
      <t xml:space="preserve">]
AI </t>
    </r>
    <r>
      <rPr>
        <sz val="10"/>
        <color rgb="FF000000"/>
        <rFont val="Noto Sans CJK SC"/>
        <family val="2"/>
      </rPr>
      <t>디자이너코스</t>
    </r>
  </si>
  <si>
    <t>편집 디자인</t>
  </si>
  <si>
    <t>실무과목 능력단위 편성표</t>
  </si>
  <si>
    <t>회계사무과
(회계사무원 코스)</t>
  </si>
  <si>
    <t>실무과목</t>
  </si>
  <si>
    <t>내용영역(능력단위)</t>
  </si>
  <si>
    <t>능력단위코드</t>
  </si>
  <si>
    <t>훈련시간</t>
  </si>
  <si>
    <t>능력단위 수준</t>
  </si>
  <si>
    <r>
      <rPr>
        <b/>
        <sz val="11"/>
        <color rgb="FF000000"/>
        <rFont val="맑은 고딕"/>
        <family val="3"/>
        <charset val="129"/>
      </rPr>
      <t>1</t>
    </r>
    <r>
      <rPr>
        <b/>
        <sz val="11"/>
        <color rgb="FF000000"/>
        <rFont val="Noto Sans CJK SC"/>
        <family val="2"/>
      </rPr>
      <t>학년</t>
    </r>
  </si>
  <si>
    <r>
      <rPr>
        <b/>
        <sz val="11"/>
        <color rgb="FF000000"/>
        <rFont val="맑은 고딕"/>
        <family val="3"/>
        <charset val="129"/>
      </rPr>
      <t>2</t>
    </r>
    <r>
      <rPr>
        <b/>
        <sz val="11"/>
        <color rgb="FF000000"/>
        <rFont val="Noto Sans CJK SC"/>
        <family val="2"/>
      </rPr>
      <t>학년</t>
    </r>
  </si>
  <si>
    <r>
      <rPr>
        <b/>
        <sz val="11"/>
        <color rgb="FF000000"/>
        <rFont val="맑은 고딕"/>
        <family val="3"/>
        <charset val="129"/>
      </rPr>
      <t>3</t>
    </r>
    <r>
      <rPr>
        <b/>
        <sz val="11"/>
        <color rgb="FF000000"/>
        <rFont val="Noto Sans CJK SC"/>
        <family val="2"/>
      </rPr>
      <t>학년</t>
    </r>
  </si>
  <si>
    <t>이수학점 
합계</t>
  </si>
  <si>
    <t>이수시간 
합계</t>
  </si>
  <si>
    <r>
      <rPr>
        <b/>
        <sz val="11"/>
        <color rgb="FF000000"/>
        <rFont val="맑은 고딕"/>
        <family val="3"/>
        <charset val="129"/>
      </rPr>
      <t>1</t>
    </r>
    <r>
      <rPr>
        <b/>
        <sz val="11"/>
        <color rgb="FF000000"/>
        <rFont val="Noto Sans CJK SC"/>
        <family val="2"/>
      </rPr>
      <t>학기</t>
    </r>
  </si>
  <si>
    <r>
      <rPr>
        <b/>
        <sz val="11"/>
        <color rgb="FF000000"/>
        <rFont val="맑은 고딕"/>
        <family val="3"/>
        <charset val="129"/>
      </rPr>
      <t>2</t>
    </r>
    <r>
      <rPr>
        <b/>
        <sz val="11"/>
        <color rgb="FF000000"/>
        <rFont val="Noto Sans CJK SC"/>
        <family val="2"/>
      </rPr>
      <t>학기</t>
    </r>
  </si>
  <si>
    <t>이수학점</t>
  </si>
  <si>
    <t>이수시간</t>
  </si>
  <si>
    <t>전표관리</t>
  </si>
  <si>
    <t>0203020101_20v4</t>
  </si>
  <si>
    <t>원가관리</t>
  </si>
  <si>
    <t>0203020110_20v2</t>
  </si>
  <si>
    <t>결산처리</t>
  </si>
  <si>
    <t>0203020104_20v4</t>
  </si>
  <si>
    <t>회계정보시스템 운용</t>
  </si>
  <si>
    <t>0203020105_20v4</t>
  </si>
  <si>
    <t>내용영역 합계</t>
  </si>
  <si>
    <t>사업계획수립</t>
  </si>
  <si>
    <t>0202010101_25v3</t>
  </si>
  <si>
    <t>업무지원</t>
  </si>
  <si>
    <t>0202010107_25v3</t>
  </si>
  <si>
    <t>총무문서관리</t>
  </si>
  <si>
    <t>0202010108_25v3</t>
  </si>
  <si>
    <t>사무자동화 프로그램 활용</t>
  </si>
  <si>
    <t>0202030209_22v2</t>
  </si>
  <si>
    <t>문서작성</t>
  </si>
  <si>
    <t>0202030201_22v3</t>
  </si>
  <si>
    <t>문서관리</t>
  </si>
  <si>
    <t>0202030202_22v3</t>
  </si>
  <si>
    <t>급여 지급</t>
  </si>
  <si>
    <t>0202020109_19v4</t>
  </si>
  <si>
    <t>복리후생관리</t>
  </si>
  <si>
    <t>0202020110_23v4</t>
  </si>
  <si>
    <t>퇴직 업무 지원</t>
  </si>
  <si>
    <t>0202020114_19v4</t>
  </si>
  <si>
    <t>조직문화관리</t>
  </si>
  <si>
    <t>0202020111_23v3</t>
  </si>
  <si>
    <t>예산 · 자금</t>
  </si>
  <si>
    <t>추정재무제표 작성</t>
  </si>
  <si>
    <t>0203010104_20v3</t>
  </si>
  <si>
    <t>원가계산</t>
  </si>
  <si>
    <t>0203020103_20v4</t>
  </si>
  <si>
    <t>경영진 지원 업무</t>
  </si>
  <si>
    <t>0202030101_22v2</t>
  </si>
  <si>
    <t>경영진 일정 관리</t>
  </si>
  <si>
    <t>0202030103_22v2</t>
  </si>
  <si>
    <t>응대 업무</t>
  </si>
  <si>
    <t>0202030105_22v2</t>
  </si>
  <si>
    <t>보고 업무</t>
  </si>
  <si>
    <t>0202030106_22v3</t>
  </si>
  <si>
    <t>부가가치세 신고</t>
  </si>
  <si>
    <t>0203020205_23v6</t>
  </si>
  <si>
    <t>원천징수</t>
  </si>
  <si>
    <t>0203020204_23v6</t>
  </si>
  <si>
    <t>적격증빙 관리</t>
  </si>
  <si>
    <t>0203020201_23v6</t>
  </si>
  <si>
    <t>종합소득세 신고</t>
  </si>
  <si>
    <t>0203020206_23v6</t>
  </si>
  <si>
    <t>회계사무과
(경영지원사무원 코스)</t>
  </si>
  <si>
    <t>노무 관리</t>
  </si>
  <si>
    <t>단체 협약 이행</t>
  </si>
  <si>
    <t>0202020205_19v2</t>
  </si>
  <si>
    <t>노사협의회 운영</t>
  </si>
  <si>
    <t>0202020207_23v3</t>
  </si>
  <si>
    <t>회계사무과
(도제 코스)</t>
  </si>
  <si>
    <t>사무자동화프로그램활용</t>
  </si>
  <si>
    <t>적격증빙관리</t>
  </si>
  <si>
    <t>자금관리</t>
  </si>
  <si>
    <t>0203020102_20v4</t>
  </si>
  <si>
    <t>경영진 지원업무</t>
  </si>
  <si>
    <t>학생선택</t>
  </si>
  <si>
    <t>응대업무</t>
  </si>
  <si>
    <t>0202030105_13v1</t>
  </si>
  <si>
    <t>비품관리</t>
  </si>
  <si>
    <t>0202010107_19v2</t>
  </si>
  <si>
    <r>
      <rPr>
        <b/>
        <sz val="10"/>
        <rFont val="맑은 고딕"/>
        <family val="3"/>
        <charset val="129"/>
      </rPr>
      <t>AI</t>
    </r>
    <r>
      <rPr>
        <b/>
        <sz val="10"/>
        <rFont val="Noto Sans CJK SC"/>
        <family val="2"/>
      </rPr>
      <t>융합경영과</t>
    </r>
  </si>
  <si>
    <t>고객 필요 정보 제공</t>
  </si>
  <si>
    <t>0201030206_21v3</t>
  </si>
  <si>
    <t>고객 관계 관리</t>
  </si>
  <si>
    <t>0201030210_21v4</t>
  </si>
  <si>
    <r>
      <rPr>
        <b/>
        <sz val="10"/>
        <rFont val="맑은 고딕"/>
        <family val="3"/>
        <charset val="129"/>
      </rPr>
      <t>AI</t>
    </r>
    <r>
      <rPr>
        <b/>
        <sz val="10"/>
        <rFont val="Noto Sans CJK SC"/>
        <family val="2"/>
      </rPr>
      <t xml:space="preserve">콘텐츠과
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챗크리에이터 코스</t>
    </r>
    <r>
      <rPr>
        <b/>
        <sz val="10"/>
        <rFont val="맑은 고딕"/>
        <family val="3"/>
        <charset val="129"/>
      </rPr>
      <t>)</t>
    </r>
  </si>
  <si>
    <t>광고 전략 수립</t>
  </si>
  <si>
    <t>0803020402_16v2</t>
  </si>
  <si>
    <t>제작 기획</t>
  </si>
  <si>
    <t>0803020412_16v2</t>
  </si>
  <si>
    <t>일러스트레이션</t>
  </si>
  <si>
    <t>0803020415_16v2</t>
  </si>
  <si>
    <t>인쇄 편집</t>
  </si>
  <si>
    <t>0803020418_16v2</t>
  </si>
  <si>
    <t>캐릭터 콘텐츠 제작 기획</t>
  </si>
  <si>
    <t>0803020816_18v2</t>
  </si>
  <si>
    <t>캐릭터 그래픽 요소 제작</t>
  </si>
  <si>
    <t>0803020815_18v3</t>
  </si>
  <si>
    <r>
      <rPr>
        <sz val="11"/>
        <color rgb="FF0070C0"/>
        <rFont val="맑은 고딕"/>
        <family val="3"/>
        <charset val="129"/>
      </rPr>
      <t xml:space="preserve">2D </t>
    </r>
    <r>
      <rPr>
        <sz val="11"/>
        <color rgb="FF0070C0"/>
        <rFont val="Noto Sans CJK SC"/>
        <family val="2"/>
      </rPr>
      <t>캐릭터 제작</t>
    </r>
  </si>
  <si>
    <t>0803020817_18v3</t>
  </si>
  <si>
    <t>캐릭터 시제품 제작</t>
  </si>
  <si>
    <t>0803020820_18v1</t>
  </si>
  <si>
    <t>마케팅 시장 환경 분석</t>
  </si>
  <si>
    <t>0201030109_21v4</t>
  </si>
  <si>
    <t>프롬프트 구현</t>
  </si>
  <si>
    <t>2001070705_25v1</t>
  </si>
  <si>
    <t>생성형 AI 기반 프로덕트 제작</t>
  </si>
  <si>
    <t>2001070707_25v1</t>
  </si>
  <si>
    <t>생성형 AI 기반 프로덕트 배포</t>
  </si>
  <si>
    <t>2001070709_25v1</t>
  </si>
  <si>
    <t>디지털디자인 프로젝트 설계</t>
  </si>
  <si>
    <t>0802010412_16v2</t>
  </si>
  <si>
    <t>프로토타입 기초데이터 수집 및 스케치</t>
  </si>
  <si>
    <t>0802010413_16v2</t>
  </si>
  <si>
    <t>프로토타입 제작 및 사용성 테스트</t>
  </si>
  <si>
    <t>0802010414_16v2</t>
  </si>
  <si>
    <t>디자인 구성요소 설계</t>
  </si>
  <si>
    <t>0802010415_23v3</t>
  </si>
  <si>
    <t>디자인 구성요소 제작</t>
  </si>
  <si>
    <t>0802010416_23v3</t>
  </si>
  <si>
    <r>
      <rPr>
        <b/>
        <sz val="10"/>
        <rFont val="맑은 고딕"/>
        <family val="3"/>
        <charset val="129"/>
      </rPr>
      <t>AI</t>
    </r>
    <r>
      <rPr>
        <b/>
        <sz val="10"/>
        <rFont val="Noto Sans CJK SC"/>
        <family val="2"/>
      </rPr>
      <t xml:space="preserve">콘텐츠과
</t>
    </r>
    <r>
      <rPr>
        <b/>
        <sz val="10"/>
        <rFont val="맑은 고딕"/>
        <family val="3"/>
        <charset val="129"/>
      </rPr>
      <t>(AI</t>
    </r>
    <r>
      <rPr>
        <b/>
        <sz val="10"/>
        <rFont val="Noto Sans CJK SC"/>
        <family val="2"/>
      </rPr>
      <t>디자이너 코스</t>
    </r>
    <r>
      <rPr>
        <b/>
        <sz val="10"/>
        <rFont val="맑은 고딕"/>
        <family val="3"/>
        <charset val="129"/>
      </rPr>
      <t>)</t>
    </r>
  </si>
  <si>
    <t>편집 디자인 계획 수립</t>
  </si>
  <si>
    <t>2201010202_16v3</t>
  </si>
  <si>
    <t>편집디자인 시안제작</t>
  </si>
  <si>
    <t>2201010211_16v3</t>
  </si>
  <si>
    <t>편집디자인 소프트웨어 활용</t>
  </si>
  <si>
    <t>2201010213_16v3</t>
  </si>
  <si>
    <t>편집 레이아웃 작업</t>
  </si>
  <si>
    <t>2201010305_16v3</t>
  </si>
  <si>
    <t>전자출판물 제작</t>
  </si>
  <si>
    <t>2201010316_16v1</t>
  </si>
  <si>
    <t>기준 단위</t>
  </si>
  <si>
    <t>운영가능단위</t>
  </si>
  <si>
    <t>시·도</t>
  </si>
  <si>
    <t>보통교과</t>
  </si>
  <si>
    <t>서울</t>
  </si>
  <si>
    <t>부산</t>
  </si>
  <si>
    <t>보건·복지</t>
  </si>
  <si>
    <t>화법과 언어</t>
  </si>
  <si>
    <t>대구</t>
  </si>
  <si>
    <t>문화예술디자인방송</t>
  </si>
  <si>
    <t>유통과</t>
  </si>
  <si>
    <t>과정평가형</t>
  </si>
  <si>
    <t>인천</t>
  </si>
  <si>
    <t>미용</t>
  </si>
  <si>
    <t>문학</t>
  </si>
  <si>
    <t>광주</t>
  </si>
  <si>
    <t>관광레저</t>
  </si>
  <si>
    <t>주제탐구독서</t>
  </si>
  <si>
    <t>진로</t>
  </si>
  <si>
    <t>대전</t>
  </si>
  <si>
    <t>식품조리</t>
  </si>
  <si>
    <t>보육과</t>
  </si>
  <si>
    <t>문학과 영상</t>
  </si>
  <si>
    <t>울산</t>
  </si>
  <si>
    <t>건축토목</t>
  </si>
  <si>
    <t>복지과</t>
  </si>
  <si>
    <t>직무의사소통</t>
  </si>
  <si>
    <t>세종</t>
  </si>
  <si>
    <t>기계</t>
  </si>
  <si>
    <t>간호과</t>
  </si>
  <si>
    <t>독서 토론과 글쓰기</t>
  </si>
  <si>
    <t>융합</t>
  </si>
  <si>
    <t>경기</t>
  </si>
  <si>
    <t>재료</t>
  </si>
  <si>
    <t>공예과</t>
  </si>
  <si>
    <t>매체 의사소통</t>
  </si>
  <si>
    <t>강원</t>
  </si>
  <si>
    <t>화학공업</t>
  </si>
  <si>
    <t>디자인과</t>
  </si>
  <si>
    <t>언어생활 탐구</t>
  </si>
  <si>
    <t>충북</t>
  </si>
  <si>
    <t>섬유의류</t>
  </si>
  <si>
    <t>문화콘텐츠과</t>
  </si>
  <si>
    <t>공통수학1</t>
  </si>
  <si>
    <t>전기·전자</t>
  </si>
  <si>
    <t>방송과</t>
  </si>
  <si>
    <t>공통수학2</t>
  </si>
  <si>
    <t>전북</t>
  </si>
  <si>
    <t>미용과</t>
  </si>
  <si>
    <t>대수</t>
  </si>
  <si>
    <t>전남</t>
  </si>
  <si>
    <t>환경안전소방</t>
  </si>
  <si>
    <t>관광과</t>
  </si>
  <si>
    <t>미적분 Ⅰ</t>
  </si>
  <si>
    <t>경북</t>
  </si>
  <si>
    <t>농림수산</t>
  </si>
  <si>
    <t>레저산업과</t>
  </si>
  <si>
    <t>확률과 통계</t>
  </si>
  <si>
    <t>경남</t>
  </si>
  <si>
    <t>수산해운</t>
  </si>
  <si>
    <t>조리과</t>
  </si>
  <si>
    <t>미적분 Ⅱ</t>
  </si>
  <si>
    <t>제주</t>
  </si>
  <si>
    <t>융복합지식재산</t>
  </si>
  <si>
    <t>식음료과</t>
  </si>
  <si>
    <t>기하</t>
  </si>
  <si>
    <t>식품가공과</t>
  </si>
  <si>
    <t>경제수학</t>
  </si>
  <si>
    <t>제과제빵과</t>
  </si>
  <si>
    <t>인공지능 수학</t>
  </si>
  <si>
    <t>토목과</t>
  </si>
  <si>
    <t>직무수학</t>
  </si>
  <si>
    <t>공간정보과</t>
  </si>
  <si>
    <t>건축과</t>
  </si>
  <si>
    <t>실용 통계</t>
  </si>
  <si>
    <t>건축인테리어과</t>
  </si>
  <si>
    <t>수학과제 탐구</t>
  </si>
  <si>
    <t>스마트시트과</t>
  </si>
  <si>
    <t>공통영어1</t>
  </si>
  <si>
    <t>기계과</t>
  </si>
  <si>
    <t>공통영어2</t>
  </si>
  <si>
    <t>공조산업설비과</t>
  </si>
  <si>
    <t>영어Ⅰ</t>
  </si>
  <si>
    <t>자동차과</t>
  </si>
  <si>
    <t>영어 독해와 작문</t>
  </si>
  <si>
    <t>조선과</t>
  </si>
  <si>
    <t>영어Ⅱ</t>
  </si>
  <si>
    <t>항공과</t>
  </si>
  <si>
    <t>영미 문학 읽기</t>
  </si>
  <si>
    <t>금속재료과</t>
  </si>
  <si>
    <t>영어 발표와 토론</t>
  </si>
  <si>
    <t>세라믹과</t>
  </si>
  <si>
    <t>직무영어</t>
  </si>
  <si>
    <t>화학공업과</t>
  </si>
  <si>
    <t>심화영어</t>
  </si>
  <si>
    <t>바이오화학공업과</t>
  </si>
  <si>
    <t>심화 영어 독해와 작문</t>
  </si>
  <si>
    <t>에너지화학공업과</t>
  </si>
  <si>
    <t>실생활 영어 회화</t>
  </si>
  <si>
    <t>섬유과</t>
  </si>
  <si>
    <t>의류과</t>
  </si>
  <si>
    <t>세계 문화와 영어</t>
  </si>
  <si>
    <t>전기과</t>
  </si>
  <si>
    <t>한국사</t>
  </si>
  <si>
    <t>3↑</t>
  </si>
  <si>
    <t>전자과</t>
  </si>
  <si>
    <t>통신과</t>
  </si>
  <si>
    <t>사회</t>
  </si>
  <si>
    <t>정보컴퓨터과</t>
  </si>
  <si>
    <t>소프트웨어과</t>
  </si>
  <si>
    <t>세계시민과 지리</t>
  </si>
  <si>
    <t>환경과</t>
  </si>
  <si>
    <t>세계사</t>
  </si>
  <si>
    <t>산업안전과</t>
  </si>
  <si>
    <t>사회와 문화</t>
  </si>
  <si>
    <t>소방과</t>
  </si>
  <si>
    <t>현대사회와 윤리</t>
  </si>
  <si>
    <t>농업과</t>
  </si>
  <si>
    <t>한국지리 탐구</t>
  </si>
  <si>
    <t>원예과</t>
  </si>
  <si>
    <t>도시의 미래 탐구</t>
  </si>
  <si>
    <t>산림자원과</t>
  </si>
  <si>
    <t>동아시아 주제 탐구</t>
  </si>
  <si>
    <t>동물자원과</t>
  </si>
  <si>
    <t>정치</t>
  </si>
  <si>
    <t>농업기계과</t>
  </si>
  <si>
    <t>경제</t>
  </si>
  <si>
    <t>농업토목과</t>
  </si>
  <si>
    <t>법과 사회</t>
  </si>
  <si>
    <t>족경과</t>
  </si>
  <si>
    <t>윤리와 사상</t>
  </si>
  <si>
    <t>해양생산과</t>
  </si>
  <si>
    <t>인문학과 윤리</t>
  </si>
  <si>
    <t>수산양식과</t>
  </si>
  <si>
    <t>국제 관계의 이해</t>
  </si>
  <si>
    <t>해양레저과</t>
  </si>
  <si>
    <t>여행지리</t>
  </si>
  <si>
    <t>항해과</t>
  </si>
  <si>
    <t>사회문제 탐구</t>
  </si>
  <si>
    <t>기관과</t>
  </si>
  <si>
    <t>역사로 탐구하는 현대세계</t>
  </si>
  <si>
    <t>스마트공장과</t>
  </si>
  <si>
    <t>금융과 경제생활</t>
  </si>
  <si>
    <t>발명특허과</t>
  </si>
  <si>
    <t>윤리문제 탐구</t>
  </si>
  <si>
    <t>기후 변화와 지속가능한 세계</t>
  </si>
  <si>
    <t>과학탐구실험1</t>
  </si>
  <si>
    <t>과학탐구실험2</t>
  </si>
  <si>
    <t>물리학</t>
  </si>
  <si>
    <t>화학</t>
  </si>
  <si>
    <t>생명과학</t>
  </si>
  <si>
    <t>지구과학</t>
  </si>
  <si>
    <t>역학과 에너지</t>
  </si>
  <si>
    <t>전자기와 빛</t>
  </si>
  <si>
    <t>물질과 에너지</t>
  </si>
  <si>
    <t>화학반응의 세계</t>
  </si>
  <si>
    <t>세포와 물질대사</t>
  </si>
  <si>
    <t>생물의 유전</t>
  </si>
  <si>
    <t>지구시스템과학</t>
  </si>
  <si>
    <t>행성우주과학</t>
  </si>
  <si>
    <t>과학의 역사와 문화</t>
  </si>
  <si>
    <t>기후 변화와 환경생태</t>
  </si>
  <si>
    <t>융합과학 탐구</t>
  </si>
  <si>
    <t>체육 Ⅰ</t>
  </si>
  <si>
    <t>운동과 건강 Ⅰ</t>
  </si>
  <si>
    <t>체육Ⅱ</t>
  </si>
  <si>
    <t>운동과 건강Ⅱ</t>
  </si>
  <si>
    <t>체육 탐구</t>
  </si>
  <si>
    <t>스프츠생활</t>
  </si>
  <si>
    <t>스포츠 활동과 분석</t>
  </si>
  <si>
    <t>연극</t>
  </si>
  <si>
    <t>음악 연주와 창작</t>
  </si>
  <si>
    <t>미술 감상과 비평</t>
  </si>
  <si>
    <t>음악과 미디어</t>
  </si>
  <si>
    <t>미술과 매체</t>
  </si>
  <si>
    <t>기술·가정</t>
  </si>
  <si>
    <t>정보</t>
  </si>
  <si>
    <t>로봇과 공학세계</t>
  </si>
  <si>
    <t>가족과 가정생활</t>
  </si>
  <si>
    <t>데이터 과학</t>
  </si>
  <si>
    <t>창의 공학 설계</t>
  </si>
  <si>
    <t>지식 재산 일반</t>
  </si>
  <si>
    <t>생애 설계와 자립</t>
  </si>
  <si>
    <t>아동발달과 부모</t>
  </si>
  <si>
    <t>소프트웨워와 생활</t>
  </si>
  <si>
    <t>독일어</t>
  </si>
  <si>
    <t>제2외국어</t>
  </si>
  <si>
    <t>프랑스어</t>
  </si>
  <si>
    <t>스페인어</t>
  </si>
  <si>
    <t>일본어</t>
  </si>
  <si>
    <t>러시아어</t>
  </si>
  <si>
    <t>아랍어</t>
  </si>
  <si>
    <t>베트남어</t>
  </si>
  <si>
    <t>독일어 회화</t>
  </si>
  <si>
    <t>프랑스어 회화</t>
  </si>
  <si>
    <t>스페인어 회화</t>
  </si>
  <si>
    <t>중국어 회화</t>
  </si>
  <si>
    <t>일본어 회화</t>
  </si>
  <si>
    <t>러시아어 회화</t>
  </si>
  <si>
    <t>아랍어 회화</t>
  </si>
  <si>
    <t>베트남어 회화</t>
  </si>
  <si>
    <t>심화 독일어</t>
  </si>
  <si>
    <t>심화 프랑스어</t>
  </si>
  <si>
    <t>심화 중국어</t>
  </si>
  <si>
    <t>심화 일본어</t>
  </si>
  <si>
    <t>심화 러시아어</t>
  </si>
  <si>
    <t>심화 아랍어</t>
  </si>
  <si>
    <t>심화 베트남어</t>
  </si>
  <si>
    <t>독일어권 문화</t>
  </si>
  <si>
    <t>프랑스어권 문화</t>
  </si>
  <si>
    <t>스페인어권 문화</t>
  </si>
  <si>
    <t>중국 문화</t>
  </si>
  <si>
    <t>일본 문화</t>
  </si>
  <si>
    <t>러시아 문화</t>
  </si>
  <si>
    <t>아랍 문화</t>
  </si>
  <si>
    <t>베트남 문화</t>
  </si>
  <si>
    <t>한문</t>
  </si>
  <si>
    <t>심화 한문</t>
  </si>
  <si>
    <t>진로와 직업</t>
  </si>
  <si>
    <t>교양</t>
  </si>
  <si>
    <t>생태와 환경</t>
  </si>
  <si>
    <t>인간과 철학</t>
  </si>
  <si>
    <t>논리와 사고</t>
  </si>
  <si>
    <t>인간과 심리</t>
  </si>
  <si>
    <t>교육의 이해</t>
  </si>
  <si>
    <t>삶과 종료</t>
  </si>
  <si>
    <t>보건</t>
  </si>
  <si>
    <t>인간과 경제활동</t>
  </si>
  <si>
    <t>논술</t>
  </si>
  <si>
    <r>
      <rPr>
        <b/>
        <sz val="24"/>
        <color theme="4" tint="-0.249977111117893"/>
        <rFont val="맑은 고딕"/>
        <family val="3"/>
        <charset val="129"/>
      </rPr>
      <t xml:space="preserve">  2022 </t>
    </r>
    <r>
      <rPr>
        <b/>
        <sz val="24"/>
        <color theme="4" tint="-0.249977111117893"/>
        <rFont val="Noto Sans CJK SC"/>
        <family val="2"/>
      </rPr>
      <t xml:space="preserve">개정 직업계고 교육과정 편성‧운영 기준 비교 </t>
    </r>
  </si>
  <si>
    <r>
      <rPr>
        <b/>
        <sz val="10"/>
        <color theme="1"/>
        <rFont val="맑은 고딕"/>
        <family val="3"/>
        <charset val="129"/>
      </rPr>
      <t xml:space="preserve">2015 </t>
    </r>
    <r>
      <rPr>
        <b/>
        <sz val="10"/>
        <color theme="1"/>
        <rFont val="Noto Sans CJK SC"/>
        <family val="2"/>
      </rPr>
      <t>개정 교육과정</t>
    </r>
  </si>
  <si>
    <r>
      <rPr>
        <b/>
        <sz val="10"/>
        <color theme="1"/>
        <rFont val="맑은 고딕"/>
        <family val="3"/>
        <charset val="129"/>
      </rPr>
      <t xml:space="preserve">2022 </t>
    </r>
    <r>
      <rPr>
        <b/>
        <sz val="10"/>
        <color theme="1"/>
        <rFont val="Noto Sans CJK SC"/>
        <family val="2"/>
      </rPr>
      <t>개정 교육과정</t>
    </r>
  </si>
  <si>
    <r>
      <rPr>
        <sz val="10"/>
        <color theme="1"/>
        <rFont val="맑은 고딕"/>
        <family val="3"/>
        <charset val="129"/>
      </rPr>
      <t>3</t>
    </r>
    <r>
      <rPr>
        <sz val="10"/>
        <color theme="1"/>
        <rFont val="Noto Sans CJK SC"/>
        <family val="2"/>
      </rPr>
      <t>년간
이수 학점</t>
    </r>
  </si>
  <si>
    <r>
      <rPr>
        <sz val="10"/>
        <color theme="1"/>
        <rFont val="맑은 고딕"/>
        <family val="3"/>
        <charset val="129"/>
      </rPr>
      <t xml:space="preserve"> • 192</t>
    </r>
    <r>
      <rPr>
        <sz val="10"/>
        <color theme="1"/>
        <rFont val="Noto Sans CJK SC"/>
        <family val="2"/>
      </rPr>
      <t>학점</t>
    </r>
    <r>
      <rPr>
        <sz val="10"/>
        <color theme="1"/>
        <rFont val="맑은 고딕"/>
        <family val="3"/>
        <charset val="129"/>
      </rPr>
      <t>[</t>
    </r>
    <r>
      <rPr>
        <sz val="10"/>
        <color theme="1"/>
        <rFont val="Noto Sans CJK SC"/>
        <family val="2"/>
      </rPr>
      <t xml:space="preserve">창체 </t>
    </r>
    <r>
      <rPr>
        <sz val="10"/>
        <color theme="1"/>
        <rFont val="맑은 고딕"/>
        <family val="3"/>
        <charset val="129"/>
      </rPr>
      <t>18</t>
    </r>
    <r>
      <rPr>
        <sz val="10"/>
        <color theme="1"/>
        <rFont val="Noto Sans CJK SC"/>
        <family val="2"/>
      </rPr>
      <t>학점</t>
    </r>
    <r>
      <rPr>
        <sz val="10"/>
        <color theme="1"/>
        <rFont val="맑은 고딕"/>
        <family val="3"/>
        <charset val="129"/>
      </rPr>
      <t>(288</t>
    </r>
    <r>
      <rPr>
        <sz val="10"/>
        <color theme="1"/>
        <rFont val="Noto Sans CJK SC"/>
        <family val="2"/>
      </rPr>
      <t>시간</t>
    </r>
    <r>
      <rPr>
        <sz val="10"/>
        <color theme="1"/>
        <rFont val="맑은 고딕"/>
        <family val="3"/>
        <charset val="129"/>
      </rPr>
      <t xml:space="preserve">) </t>
    </r>
    <r>
      <rPr>
        <sz val="10"/>
        <color theme="1"/>
        <rFont val="Noto Sans CJK SC"/>
        <family val="2"/>
      </rPr>
      <t>포함</t>
    </r>
    <r>
      <rPr>
        <sz val="10"/>
        <color theme="1"/>
        <rFont val="맑은 고딕"/>
        <family val="3"/>
        <charset val="129"/>
      </rPr>
      <t>]</t>
    </r>
  </si>
  <si>
    <t>보통교과 필수 이수 학점</t>
  </si>
  <si>
    <r>
      <rPr>
        <sz val="9"/>
        <color theme="1"/>
        <rFont val="맑은 고딕"/>
        <family val="3"/>
        <charset val="129"/>
      </rPr>
      <t>66</t>
    </r>
    <r>
      <rPr>
        <sz val="9"/>
        <color theme="1"/>
        <rFont val="Noto Sans CJK SC"/>
        <family val="2"/>
      </rPr>
      <t>학점</t>
    </r>
  </si>
  <si>
    <r>
      <rPr>
        <sz val="9"/>
        <color theme="1"/>
        <rFont val="맑은 고딕"/>
        <family val="3"/>
        <charset val="129"/>
      </rPr>
      <t>64</t>
    </r>
    <r>
      <rPr>
        <sz val="9"/>
        <color theme="1"/>
        <rFont val="Noto Sans CJK SC"/>
        <family val="2"/>
      </rPr>
      <t>학점</t>
    </r>
  </si>
  <si>
    <t>전문교과 필수 이수 학점</t>
  </si>
  <si>
    <r>
      <rPr>
        <sz val="9"/>
        <color theme="1"/>
        <rFont val="맑은 고딕"/>
        <family val="3"/>
        <charset val="129"/>
      </rPr>
      <t>86</t>
    </r>
    <r>
      <rPr>
        <sz val="9"/>
        <color theme="1"/>
        <rFont val="Noto Sans CJK SC"/>
        <family val="2"/>
      </rPr>
      <t>학점</t>
    </r>
  </si>
  <si>
    <r>
      <rPr>
        <sz val="9"/>
        <color theme="1"/>
        <rFont val="맑은 고딕"/>
        <family val="3"/>
        <charset val="129"/>
      </rPr>
      <t>80</t>
    </r>
    <r>
      <rPr>
        <sz val="9"/>
        <color theme="1"/>
        <rFont val="Noto Sans CJK SC"/>
        <family val="2"/>
      </rPr>
      <t>학점</t>
    </r>
  </si>
  <si>
    <t>자율 이수 학점</t>
  </si>
  <si>
    <r>
      <rPr>
        <sz val="9"/>
        <color theme="1"/>
        <rFont val="맑은 고딕"/>
        <family val="3"/>
        <charset val="129"/>
      </rPr>
      <t>22</t>
    </r>
    <r>
      <rPr>
        <sz val="9"/>
        <color theme="1"/>
        <rFont val="Noto Sans CJK SC"/>
        <family val="2"/>
      </rPr>
      <t>학점</t>
    </r>
  </si>
  <si>
    <r>
      <rPr>
        <sz val="9"/>
        <color theme="1"/>
        <rFont val="맑은 고딕"/>
        <family val="3"/>
        <charset val="129"/>
      </rPr>
      <t>30</t>
    </r>
    <r>
      <rPr>
        <sz val="9"/>
        <color theme="1"/>
        <rFont val="Noto Sans CJK SC"/>
        <family val="2"/>
      </rPr>
      <t>학점</t>
    </r>
  </si>
  <si>
    <t>창의적 체험활동</t>
  </si>
  <si>
    <r>
      <rPr>
        <sz val="9"/>
        <color theme="1"/>
        <rFont val="맑은 고딕"/>
        <family val="3"/>
        <charset val="129"/>
      </rPr>
      <t>18</t>
    </r>
    <r>
      <rPr>
        <sz val="9"/>
        <color theme="1"/>
        <rFont val="Noto Sans CJK SC"/>
        <family val="2"/>
      </rPr>
      <t>학점</t>
    </r>
  </si>
  <si>
    <t>교과분류</t>
  </si>
  <si>
    <t>공통 과목, 선택 과목(일반, 진로)</t>
  </si>
  <si>
    <t>공통 과목
선택 과목(일반, 진로, 융합)</t>
  </si>
  <si>
    <t>전문교과 Ⅰ</t>
  </si>
  <si>
    <t>과학, 체육, 예술, 외국어, 국제 계열</t>
  </si>
  <si>
    <t>전문교과 Ⅱ</t>
  </si>
  <si>
    <r>
      <rPr>
        <sz val="9"/>
        <color theme="1"/>
        <rFont val="맑은 고딕"/>
        <family val="3"/>
        <charset val="129"/>
      </rPr>
      <t xml:space="preserve">NCS </t>
    </r>
    <r>
      <rPr>
        <sz val="9"/>
        <color theme="1"/>
        <rFont val="Noto Sans CJK SC"/>
        <family val="2"/>
      </rPr>
      <t xml:space="preserve">기반 </t>
    </r>
    <r>
      <rPr>
        <sz val="9"/>
        <color theme="1"/>
        <rFont val="맑은 고딕"/>
        <family val="3"/>
        <charset val="129"/>
      </rPr>
      <t>17</t>
    </r>
    <r>
      <rPr>
        <sz val="9"/>
        <color theme="1"/>
        <rFont val="Noto Sans CJK SC"/>
        <family val="2"/>
      </rPr>
      <t>개 교과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군</t>
    </r>
    <r>
      <rPr>
        <sz val="9"/>
        <color theme="1"/>
        <rFont val="맑은 고딕"/>
        <family val="3"/>
        <charset val="129"/>
      </rPr>
      <t>)</t>
    </r>
  </si>
  <si>
    <t>과목군 재구조화</t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</si>
  <si>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</si>
  <si>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</si>
  <si>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</si>
  <si>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</si>
  <si>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</si>
  <si>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</si>
  <si>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</si>
  <si>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</si>
  <si>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</si>
  <si>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</si>
  <si>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</si>
  <si>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</si>
  <si>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</si>
  <si>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</si>
  <si>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</si>
  <si>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</si>
  <si>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</si>
  <si>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</si>
  <si>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국어(8)</t>
  </si>
  <si>
    <t>보통 교과</t>
  </si>
  <si>
    <t>공통국어1, 2</t>
  </si>
  <si>
    <t>수학(8)</t>
  </si>
  <si>
    <t>공통수학1, 2</t>
  </si>
  <si>
    <t>영어(8)</t>
  </si>
  <si>
    <t>공통영어1, 2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</si>
  <si>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</si>
  <si>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</si>
  <si>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</si>
  <si>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</si>
  <si>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</si>
  <si>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</si>
  <si>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통합과학(8)</t>
  </si>
  <si>
    <t>통합과학1, 2</t>
  </si>
  <si>
    <t>체육･예술</t>
  </si>
  <si>
    <t>생활･교양</t>
  </si>
  <si>
    <t>기술･가정/
제2외국어/
한문/교양</t>
  </si>
  <si>
    <t>기술･가정/정보/
 제2외국어/
 한문/교양</t>
  </si>
  <si>
    <t>전문
교과Ⅱ</t>
  </si>
  <si>
    <r>
      <rPr>
        <sz val="10"/>
        <color rgb="FF292929"/>
        <rFont val="맑은 고딕"/>
        <family val="3"/>
        <charset val="129"/>
      </rPr>
      <t>17</t>
    </r>
    <r>
      <rPr>
        <sz val="10"/>
        <color rgb="FF292929"/>
        <rFont val="Noto Sans CJK SC"/>
        <family val="2"/>
      </rPr>
      <t>개 교과</t>
    </r>
    <r>
      <rPr>
        <sz val="10"/>
        <color rgb="FF292929"/>
        <rFont val="맑은 고딕"/>
        <family val="3"/>
        <charset val="129"/>
      </rPr>
      <t>(</t>
    </r>
    <r>
      <rPr>
        <sz val="10"/>
        <color rgb="FF292929"/>
        <rFont val="Noto Sans CJK SC"/>
        <family val="2"/>
      </rPr>
      <t>군</t>
    </r>
    <r>
      <rPr>
        <sz val="10"/>
        <color rgb="FF292929"/>
        <rFont val="맑은 고딕"/>
        <family val="3"/>
        <charset val="129"/>
      </rPr>
      <t xml:space="preserve">) </t>
    </r>
    <r>
      <rPr>
        <sz val="10"/>
        <color rgb="FF292929"/>
        <rFont val="Noto Sans CJK SC"/>
        <family val="2"/>
      </rPr>
      <t>등</t>
    </r>
  </si>
  <si>
    <t>전문
교과</t>
  </si>
  <si>
    <r>
      <rPr>
        <sz val="10"/>
        <color rgb="FF292929"/>
        <rFont val="맑은 고딕"/>
        <family val="3"/>
        <charset val="129"/>
      </rPr>
      <t>17</t>
    </r>
    <r>
      <rPr>
        <sz val="10"/>
        <color rgb="FF292929"/>
        <rFont val="Noto Sans CJK SC"/>
        <family val="2"/>
      </rPr>
      <t>개 교과</t>
    </r>
    <r>
      <rPr>
        <sz val="10"/>
        <color rgb="FF292929"/>
        <rFont val="맑은 고딕"/>
        <family val="3"/>
        <charset val="129"/>
      </rPr>
      <t>(</t>
    </r>
    <r>
      <rPr>
        <sz val="10"/>
        <color rgb="FF292929"/>
        <rFont val="Noto Sans CJK SC"/>
        <family val="2"/>
      </rPr>
      <t>군</t>
    </r>
    <r>
      <rPr>
        <sz val="10"/>
        <color rgb="FF292929"/>
        <rFont val="맑은 고딕"/>
        <family val="3"/>
        <charset val="129"/>
      </rPr>
      <t>)</t>
    </r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</si>
  <si>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</si>
  <si>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</si>
  <si>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</si>
  <si>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</si>
  <si>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</si>
  <si>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</si>
  <si>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• 전문교과 Ⅰ(특목고) - 내용 생략</t>
  </si>
  <si>
    <t>• 전문교과(직업계고)</t>
  </si>
  <si>
    <t>• 전문교과 Ⅱ(직업계고)</t>
  </si>
  <si>
    <t>내용</t>
  </si>
  <si>
    <t>필수이수학점</t>
  </si>
  <si>
    <t>전문공통과목</t>
  </si>
  <si>
    <t>성공적인직업생활</t>
  </si>
  <si>
    <t>성공적인직업생활
노동인권과산업안전보건
디지털과직업생활</t>
  </si>
  <si>
    <t>기초과목</t>
  </si>
  <si>
    <r>
      <rPr>
        <sz val="9"/>
        <color theme="1"/>
        <rFont val="맑은 고딕"/>
        <family val="3"/>
        <charset val="129"/>
      </rPr>
      <t>17</t>
    </r>
    <r>
      <rPr>
        <sz val="9"/>
        <color theme="1"/>
        <rFont val="Noto Sans CJK SC"/>
        <family val="2"/>
      </rPr>
      <t>개 교과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군</t>
    </r>
    <r>
      <rPr>
        <sz val="9"/>
        <color theme="1"/>
        <rFont val="맑은 고딕"/>
        <family val="3"/>
        <charset val="129"/>
      </rPr>
      <t>)</t>
    </r>
  </si>
  <si>
    <t>전공일반과목</t>
  </si>
  <si>
    <t>전공실무과목</t>
  </si>
  <si>
    <t>이수
학점
증감
범위</t>
  </si>
  <si>
    <t>편성가능
학점</t>
  </si>
  <si>
    <t>6~8</t>
  </si>
  <si>
    <t>한국사
(2학기 이상 편성)</t>
  </si>
  <si>
    <r>
      <rPr>
        <sz val="9"/>
        <color theme="1"/>
        <rFont val="맑은 고딕"/>
        <family val="3"/>
        <charset val="129"/>
      </rPr>
      <t>6</t>
    </r>
    <r>
      <rPr>
        <sz val="9"/>
        <color theme="1"/>
        <rFont val="Noto Sans CJK SC"/>
        <family val="2"/>
      </rPr>
      <t>이상</t>
    </r>
  </si>
  <si>
    <t>한국사 1, 2</t>
  </si>
  <si>
    <t>일반선택과목</t>
  </si>
  <si>
    <t>±2</t>
  </si>
  <si>
    <t>3~7</t>
  </si>
  <si>
    <t>진로선택과목</t>
  </si>
  <si>
    <t>±3</t>
  </si>
  <si>
    <t>2~8</t>
  </si>
  <si>
    <t>체육, 예술, 교양 교과(군)</t>
  </si>
  <si>
    <t>교양 교과목</t>
  </si>
  <si>
    <r>
      <rPr>
        <sz val="9"/>
        <color theme="1"/>
        <rFont val="맑은 고딕"/>
        <family val="3"/>
        <charset val="129"/>
      </rPr>
      <t>2</t>
    </r>
    <r>
      <rPr>
        <sz val="9"/>
        <color theme="1"/>
        <rFont val="Noto Sans CJK SC"/>
        <family val="2"/>
      </rPr>
      <t>학점 이상</t>
    </r>
  </si>
  <si>
    <t>※ 체육교과: 매학기 편성(단, 직업계의 경우, 현장실습이 있는 학년에는 탄력적으로 운영)</t>
  </si>
  <si>
    <r>
      <rPr>
        <sz val="10"/>
        <color theme="1"/>
        <rFont val="맑은 고딕"/>
        <family val="3"/>
        <charset val="129"/>
      </rPr>
      <t xml:space="preserve">"※ </t>
    </r>
    <r>
      <rPr>
        <sz val="10"/>
        <color theme="1"/>
        <rFont val="Noto Sans CJK SC"/>
        <family val="2"/>
      </rPr>
      <t>체육교과</t>
    </r>
    <r>
      <rPr>
        <sz val="10"/>
        <color theme="1"/>
        <rFont val="맑은 고딕"/>
        <family val="3"/>
        <charset val="129"/>
      </rPr>
      <t xml:space="preserve">: </t>
    </r>
    <r>
      <rPr>
        <sz val="10"/>
        <color theme="1"/>
        <rFont val="Noto Sans CJK SC"/>
        <family val="2"/>
      </rPr>
      <t>매학기 편성</t>
    </r>
    <r>
      <rPr>
        <sz val="10"/>
        <color theme="1"/>
        <rFont val="맑은 고딕"/>
        <family val="3"/>
        <charset val="129"/>
      </rPr>
      <t>(</t>
    </r>
    <r>
      <rPr>
        <sz val="10"/>
        <color theme="1"/>
        <rFont val="Noto Sans CJK SC"/>
        <family val="2"/>
      </rPr>
      <t>단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직업계의 경우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현장실습이 있는 학년에는 탄력적으로 운영</t>
    </r>
    <r>
      <rPr>
        <sz val="10"/>
        <color theme="1"/>
        <rFont val="맑은 고딕"/>
        <family val="3"/>
        <charset val="129"/>
      </rPr>
      <t>)"</t>
    </r>
  </si>
  <si>
    <t>학기별
이수
과목
편성</t>
  </si>
  <si>
    <t>모든 과목은 학기 단위로 이수</t>
  </si>
  <si>
    <r>
      <rPr>
        <sz val="10"/>
        <color theme="1"/>
        <rFont val="맑은 고딕"/>
        <family val="3"/>
        <charset val="129"/>
      </rPr>
      <t>&lt;</t>
    </r>
    <r>
      <rPr>
        <sz val="10"/>
        <color theme="1"/>
        <rFont val="Noto Sans CJK SC"/>
        <family val="2"/>
      </rPr>
      <t>보통교과</t>
    </r>
    <r>
      <rPr>
        <sz val="10"/>
        <color theme="1"/>
        <rFont val="맑은 고딕"/>
        <family val="3"/>
        <charset val="129"/>
      </rPr>
      <t>&gt;</t>
    </r>
  </si>
  <si>
    <t>편성 불가</t>
  </si>
  <si>
    <t>편성 가능</t>
  </si>
  <si>
    <r>
      <rPr>
        <sz val="9"/>
        <color theme="1"/>
        <rFont val="맑은 고딕"/>
        <family val="3"/>
        <charset val="129"/>
      </rPr>
      <t>1</t>
    </r>
    <r>
      <rPr>
        <sz val="9"/>
        <color theme="1"/>
        <rFont val="Noto Sans CJK SC"/>
        <family val="2"/>
      </rPr>
      <t>학기</t>
    </r>
  </si>
  <si>
    <r>
      <rPr>
        <sz val="9"/>
        <color theme="1"/>
        <rFont val="맑은 고딕"/>
        <family val="3"/>
        <charset val="129"/>
      </rPr>
      <t>2</t>
    </r>
    <r>
      <rPr>
        <sz val="9"/>
        <color theme="1"/>
        <rFont val="Noto Sans CJK SC"/>
        <family val="2"/>
      </rPr>
      <t>학기</t>
    </r>
  </si>
  <si>
    <r>
      <rPr>
        <sz val="10"/>
        <color theme="1"/>
        <rFont val="맑은 고딕"/>
        <family val="3"/>
        <charset val="129"/>
      </rPr>
      <t>&lt;</t>
    </r>
    <r>
      <rPr>
        <sz val="10"/>
        <color theme="1"/>
        <rFont val="Noto Sans CJK SC"/>
        <family val="2"/>
      </rPr>
      <t>전문교과</t>
    </r>
    <r>
      <rPr>
        <sz val="10"/>
        <color theme="1"/>
        <rFont val="맑은 고딕"/>
        <family val="3"/>
        <charset val="129"/>
      </rPr>
      <t>&gt;</t>
    </r>
  </si>
  <si>
    <t>-</t>
  </si>
  <si>
    <t>※  단, 전공실무과목은 하나의 능력 단위가 다음 학기에 이어서 평가하지 않는다는 전제하에 2개 학기 편성·운영 가능</t>
  </si>
  <si>
    <t>창의적
체험
활동</t>
  </si>
  <si>
    <r>
      <rPr>
        <sz val="10"/>
        <color theme="1"/>
        <rFont val="맑은 고딕"/>
        <family val="3"/>
        <charset val="129"/>
      </rPr>
      <t>• 4</t>
    </r>
    <r>
      <rPr>
        <sz val="10"/>
        <color theme="1"/>
        <rFont val="Noto Sans CJK SC"/>
        <family val="2"/>
      </rPr>
      <t>개 영역</t>
    </r>
    <r>
      <rPr>
        <sz val="10"/>
        <color theme="1"/>
        <rFont val="맑은 고딕"/>
        <family val="3"/>
        <charset val="129"/>
      </rPr>
      <t xml:space="preserve">: </t>
    </r>
    <r>
      <rPr>
        <sz val="10"/>
        <color theme="1"/>
        <rFont val="Noto Sans CJK SC"/>
        <family val="2"/>
      </rPr>
      <t>자율활동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동아리 활동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봉사활동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진로 활동</t>
    </r>
  </si>
  <si>
    <r>
      <rPr>
        <sz val="10"/>
        <color theme="1"/>
        <rFont val="맑은 고딕"/>
        <family val="3"/>
        <charset val="129"/>
      </rPr>
      <t xml:space="preserve"> • 3</t>
    </r>
    <r>
      <rPr>
        <sz val="10"/>
        <color theme="1"/>
        <rFont val="Noto Sans CJK SC"/>
        <family val="2"/>
      </rPr>
      <t>개 영역</t>
    </r>
    <r>
      <rPr>
        <sz val="10"/>
        <color theme="1"/>
        <rFont val="맑은 고딕"/>
        <family val="3"/>
        <charset val="129"/>
      </rPr>
      <t xml:space="preserve">: </t>
    </r>
    <r>
      <rPr>
        <sz val="10"/>
        <color theme="1"/>
        <rFont val="Noto Sans CJK SC"/>
        <family val="2"/>
      </rPr>
      <t>자율・자치활동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동아리활동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진로활동</t>
    </r>
  </si>
  <si>
    <t>※ 봉사활동은 동아리활동 영역에 편성되어 있으며, 모든 활동과 연계 가능</t>
  </si>
  <si>
    <t>0202010104_19v2</t>
    <phoneticPr fontId="41" type="noConversion"/>
  </si>
  <si>
    <r>
      <rPr>
        <sz val="8"/>
        <rFont val="맑은 고딕"/>
        <family val="3"/>
        <charset val="129"/>
      </rPr>
      <t>회계사무원</t>
    </r>
    <r>
      <rPr>
        <sz val="8"/>
        <rFont val="Arial"/>
        <family val="2"/>
      </rPr>
      <t xml:space="preserve">, 
</t>
    </r>
    <r>
      <rPr>
        <sz val="8"/>
        <rFont val="맑은 고딕"/>
        <family val="3"/>
        <charset val="129"/>
      </rPr>
      <t>세무사무원</t>
    </r>
    <r>
      <rPr>
        <sz val="8"/>
        <rFont val="Arial"/>
        <family val="2"/>
      </rPr>
      <t xml:space="preserve">, 
</t>
    </r>
    <r>
      <rPr>
        <sz val="8"/>
        <rFont val="맑은 고딕"/>
        <family val="3"/>
        <charset val="129"/>
      </rPr>
      <t>경영지원사무원</t>
    </r>
    <phoneticPr fontId="41" type="noConversion"/>
  </si>
  <si>
    <r>
      <t>AI 활용</t>
    </r>
    <r>
      <rPr>
        <sz val="8"/>
        <rFont val="Arial"/>
        <family val="2"/>
      </rPr>
      <t xml:space="preserve"> 
</t>
    </r>
    <r>
      <rPr>
        <sz val="8"/>
        <rFont val="맑은 고딕"/>
        <family val="3"/>
        <charset val="129"/>
      </rPr>
      <t>경영지원사무원</t>
    </r>
    <phoneticPr fontId="41" type="noConversion"/>
  </si>
  <si>
    <r>
      <rPr>
        <sz val="8"/>
        <rFont val="맑은 고딕"/>
        <family val="3"/>
        <charset val="129"/>
      </rPr>
      <t>회계사무원</t>
    </r>
    <r>
      <rPr>
        <sz val="8"/>
        <rFont val="Arial"/>
        <family val="2"/>
      </rPr>
      <t xml:space="preserve">, 
</t>
    </r>
    <r>
      <rPr>
        <sz val="8"/>
        <rFont val="맑은 고딕"/>
        <family val="3"/>
        <charset val="129"/>
      </rPr>
      <t>세무사무원,
경영지원사무원</t>
    </r>
    <phoneticPr fontId="41" type="noConversion"/>
  </si>
  <si>
    <r>
      <t>(</t>
    </r>
    <r>
      <rPr>
        <sz val="10"/>
        <color rgb="FFFF0000"/>
        <rFont val="Noto Sans CJK SC"/>
        <family val="2"/>
      </rPr>
      <t>타학교와 교육과정 편제 개발 협의</t>
    </r>
    <r>
      <rPr>
        <sz val="10"/>
        <color rgb="FFFF0000"/>
        <rFont val="맑은 고딕"/>
        <family val="3"/>
        <charset val="129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</si>
</sst>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 &quot;dd&quot;일&quot;"/>
  </numFmts>
  <fonts count="85">
    <font>
      <sz val="11"/>
      <color theme="1"/>
      <name val="맑은 고딕"/>
      <family val="3"/>
      <charset val="129"/>
    </font>
    <font>
      <sz val="10"/>
      <name val="Arial"/>
      <family val="2"/>
    </font>
    <font>
      <sz val="11"/>
      <color rgb="FF000000"/>
      <name val="맑은 고딕"/>
      <family val="3"/>
      <charset val="129"/>
    </font>
    <font>
      <b/>
      <sz val="15"/>
      <color theme="3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0"/>
      <color rgb="FF000000"/>
      <name val="맑은 고딕"/>
      <family val="2"/>
      <charset val="1"/>
    </font>
    <font>
      <b/>
      <sz val="20"/>
      <color theme="1"/>
      <name val="맑은 고딕"/>
      <family val="3"/>
      <charset val="129"/>
    </font>
    <font>
      <b/>
      <sz val="20"/>
      <color theme="1"/>
      <name val="Noto Sans CJK SC"/>
      <family val="2"/>
    </font>
    <font>
      <b/>
      <sz val="10"/>
      <color theme="1"/>
      <name val="Noto Sans CJK SC"/>
      <family val="2"/>
      <charset val="1"/>
    </font>
    <font>
      <b/>
      <sz val="10"/>
      <color theme="1"/>
      <name val="맑은 고딕"/>
      <family val="3"/>
      <charset val="129"/>
    </font>
    <font>
      <b/>
      <sz val="11"/>
      <color theme="1"/>
      <name val="Noto Sans CJK SC"/>
      <family val="2"/>
      <charset val="1"/>
    </font>
    <font>
      <b/>
      <sz val="11"/>
      <color theme="1"/>
      <name val="Noto Sans CJK SC"/>
      <family val="2"/>
    </font>
    <font>
      <sz val="10"/>
      <color theme="1"/>
      <name val="Noto Sans CJK SC"/>
      <family val="2"/>
      <charset val="1"/>
    </font>
    <font>
      <sz val="10"/>
      <color theme="1"/>
      <name val="Noto Sans CJK SC"/>
      <family val="2"/>
    </font>
    <font>
      <sz val="8"/>
      <name val="Noto Sans CJK SC"/>
      <family val="2"/>
      <charset val="1"/>
    </font>
    <font>
      <b/>
      <sz val="8"/>
      <color theme="1"/>
      <name val="Noto Sans CJK SC"/>
      <family val="2"/>
      <charset val="1"/>
    </font>
    <font>
      <b/>
      <sz val="16"/>
      <color theme="1"/>
      <name val="맑은 고딕"/>
      <family val="3"/>
      <charset val="129"/>
    </font>
    <font>
      <b/>
      <sz val="10"/>
      <color rgb="FF000000"/>
      <name val="Noto Sans CJK SC"/>
      <family val="2"/>
      <charset val="1"/>
    </font>
    <font>
      <b/>
      <sz val="10"/>
      <color rgb="FF000000"/>
      <name val="맑은 고딕"/>
      <family val="3"/>
      <charset val="129"/>
    </font>
    <font>
      <b/>
      <sz val="10"/>
      <color rgb="FF000000"/>
      <name val="Noto Sans CJK SC"/>
      <family val="2"/>
    </font>
    <font>
      <b/>
      <sz val="12"/>
      <color theme="1"/>
      <name val="맑은 고딕"/>
      <family val="3"/>
      <charset val="129"/>
    </font>
    <font>
      <b/>
      <sz val="16"/>
      <color theme="1"/>
      <name val="Noto Sans CJK SC"/>
      <family val="2"/>
      <charset val="1"/>
    </font>
    <font>
      <sz val="12"/>
      <color theme="1"/>
      <name val="Calibri"/>
      <family val="2"/>
      <charset val="1"/>
    </font>
    <font>
      <sz val="10"/>
      <color rgb="FF000000"/>
      <name val="Noto Sans CJK SC"/>
      <family val="2"/>
      <charset val="1"/>
    </font>
    <font>
      <sz val="10"/>
      <color rgb="FF0070C0"/>
      <name val="Noto Sans CJK SC"/>
      <family val="2"/>
      <charset val="1"/>
    </font>
    <font>
      <sz val="10"/>
      <color rgb="FF0070C0"/>
      <name val="맑은 고딕"/>
      <family val="3"/>
      <charset val="129"/>
    </font>
    <font>
      <sz val="10"/>
      <name val="맑은 고딕"/>
      <family val="3"/>
      <charset val="129"/>
    </font>
    <font>
      <sz val="11"/>
      <color theme="1"/>
      <name val="Noto Sans CJK SC"/>
      <family val="2"/>
      <charset val="1"/>
    </font>
    <font>
      <b/>
      <sz val="9"/>
      <name val="Noto Sans CJK SC"/>
      <family val="2"/>
      <charset val="1"/>
    </font>
    <font>
      <sz val="9"/>
      <name val="맑은 고딕"/>
      <family val="3"/>
      <charset val="129"/>
    </font>
    <font>
      <sz val="10"/>
      <color rgb="FF0070C0"/>
      <name val="Noto Sans CJK SC"/>
      <family val="3"/>
      <charset val="129"/>
    </font>
    <font>
      <b/>
      <sz val="11"/>
      <color rgb="FF002060"/>
      <name val="맑은 고딕"/>
      <family val="3"/>
      <charset val="129"/>
    </font>
    <font>
      <sz val="10"/>
      <color rgb="FF000000"/>
      <name val="Noto Sans CJK SC"/>
      <family val="2"/>
    </font>
    <font>
      <b/>
      <sz val="10"/>
      <name val="Noto Sans CJK SC"/>
      <family val="2"/>
    </font>
    <font>
      <sz val="12"/>
      <color theme="1"/>
      <name val="Noto Sans CJK SC"/>
      <family val="2"/>
    </font>
    <font>
      <b/>
      <sz val="10"/>
      <name val="Noto Sans CJK SC"/>
      <family val="2"/>
      <charset val="1"/>
    </font>
    <font>
      <sz val="10"/>
      <name val="Noto Sans CJK SC"/>
      <family val="2"/>
    </font>
    <font>
      <b/>
      <sz val="11"/>
      <name val="Noto Sans CJK SC"/>
      <family val="2"/>
    </font>
    <font>
      <sz val="10"/>
      <color theme="1"/>
      <name val="맑은 고딕"/>
      <family val="3"/>
      <charset val="129"/>
    </font>
    <font>
      <sz val="8"/>
      <name val="맑은 고딕"/>
      <family val="3"/>
      <charset val="129"/>
    </font>
    <font>
      <sz val="8"/>
      <name val="Noto Sans CJK SC"/>
      <family val="2"/>
    </font>
    <font>
      <sz val="10"/>
      <color rgb="FF0070C0"/>
      <name val="Noto Sans CJK SC"/>
      <family val="2"/>
    </font>
    <font>
      <sz val="10"/>
      <color rgb="FF000000"/>
      <name val="Noto Sans CJK SC"/>
      <family val="3"/>
      <charset val="129"/>
    </font>
    <font>
      <b/>
      <sz val="18"/>
      <color theme="1"/>
      <name val="Noto Sans CJK SC"/>
      <family val="2"/>
      <charset val="1"/>
    </font>
    <font>
      <b/>
      <sz val="18"/>
      <color theme="1"/>
      <name val="맑은 고딕"/>
      <family val="3"/>
      <charset val="129"/>
    </font>
    <font>
      <b/>
      <sz val="12"/>
      <color theme="1"/>
      <name val="Noto Sans CJK SC"/>
      <family val="2"/>
      <charset val="1"/>
    </font>
    <font>
      <sz val="12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rgb="FF000000"/>
      <name val="Noto Sans CJK SC"/>
      <family val="2"/>
      <charset val="1"/>
    </font>
    <font>
      <b/>
      <sz val="11"/>
      <color rgb="FF000000"/>
      <name val="맑은 고딕"/>
      <family val="3"/>
      <charset val="129"/>
    </font>
    <font>
      <b/>
      <sz val="11"/>
      <color rgb="FF000000"/>
      <name val="Noto Sans CJK SC"/>
      <family val="2"/>
    </font>
    <font>
      <b/>
      <sz val="14"/>
      <color theme="1"/>
      <name val="맑은 고딕"/>
      <family val="3"/>
      <charset val="129"/>
    </font>
    <font>
      <b/>
      <sz val="9"/>
      <color rgb="FF000000"/>
      <name val="Noto Sans CJK SC"/>
      <family val="2"/>
      <charset val="1"/>
    </font>
    <font>
      <b/>
      <sz val="11"/>
      <color rgb="FF0070C0"/>
      <name val="Noto Sans CJK SC"/>
      <family val="2"/>
      <charset val="1"/>
    </font>
    <font>
      <b/>
      <sz val="11"/>
      <color rgb="FF0070C0"/>
      <name val="맑은 고딕"/>
      <family val="3"/>
      <charset val="129"/>
    </font>
    <font>
      <sz val="11"/>
      <color rgb="FF0070C0"/>
      <name val="Noto Sans CJK SC"/>
      <family val="2"/>
      <charset val="1"/>
    </font>
    <font>
      <sz val="11"/>
      <color rgb="FF0070C0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color rgb="FF0070C0"/>
      <name val="Noto Sans CJK SC"/>
      <family val="2"/>
    </font>
    <font>
      <sz val="10"/>
      <color rgb="FFC00000"/>
      <name val="Noto Sans CJK SC"/>
      <family val="2"/>
      <charset val="1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Noto Sans CJK SC"/>
      <family val="2"/>
    </font>
    <font>
      <b/>
      <sz val="10"/>
      <color theme="1"/>
      <name val="Noto Sans CJK SC"/>
      <family val="2"/>
    </font>
    <font>
      <sz val="9"/>
      <color theme="1"/>
      <name val="Noto Sans CJK SC"/>
      <family val="2"/>
      <charset val="1"/>
    </font>
    <font>
      <sz val="9"/>
      <color theme="1"/>
      <name val="맑은 고딕"/>
      <family val="3"/>
      <charset val="129"/>
    </font>
    <font>
      <sz val="9"/>
      <color theme="1"/>
      <name val="Noto Sans CJK SC"/>
      <family val="2"/>
    </font>
    <font>
      <b/>
      <sz val="10"/>
      <color rgb="FF292929"/>
      <name val="Noto Sans CJK SC"/>
      <family val="2"/>
      <charset val="1"/>
    </font>
    <font>
      <sz val="10"/>
      <color rgb="FF292929"/>
      <name val="Noto Sans CJK SC"/>
      <family val="2"/>
      <charset val="1"/>
    </font>
    <font>
      <sz val="10"/>
      <color rgb="FF292929"/>
      <name val="맑은 고딕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Noto Sans CJK SC"/>
      <family val="2"/>
      <charset val="1"/>
    </font>
    <font>
      <sz val="10"/>
      <color rgb="FF292929"/>
      <name val="Noto Sans CJK SC"/>
      <family val="2"/>
    </font>
    <font>
      <b/>
      <sz val="9"/>
      <color theme="1"/>
      <name val="맑은 고딕"/>
      <family val="3"/>
      <charset val="129"/>
    </font>
    <font>
      <b/>
      <sz val="9"/>
      <color theme="1"/>
      <name val="Noto Sans CJK SC"/>
      <family val="2"/>
      <charset val="1"/>
    </font>
    <font>
      <b/>
      <sz val="9"/>
      <color rgb="FF0000FF"/>
      <name val="Noto Sans CJK SC"/>
      <family val="2"/>
      <charset val="1"/>
    </font>
    <font>
      <sz val="9"/>
      <color rgb="FF0000FF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Arial"/>
      <family val="2"/>
    </font>
    <font>
      <sz val="8"/>
      <name val="Noto Sans CJK SC"/>
      <family val="3"/>
      <charset val="129"/>
    </font>
    <font>
      <sz val="10"/>
      <color rgb="FFC00000"/>
      <name val="Noto Sans CJK SC"/>
      <family val="3"/>
      <charset val="129"/>
    </font>
    <font>
      <sz val="10"/>
      <color rgb="FFFF0000"/>
      <name val="맑은 고딕"/>
      <family val="3"/>
      <charset val="129"/>
    </font>
    <font>
      <sz val="10"/>
      <color rgb="FFFF0000"/>
      <name val="Noto Sans CJK SC"/>
      <family val="2"/>
    </font>
  </fonts>
  <fills count="18">
    <fill>
      <patternFill patternType="none"/>
    </fill>
    <fill>
      <patternFill patternType="gray125"/>
    </fill>
    <fill>
      <patternFill patternType="solid">
        <fgColor rgb="FFFF99CC"/>
        <bgColor rgb="FFFFC7CE"/>
      </patternFill>
    </fill>
    <fill>
      <patternFill patternType="solid">
        <fgColor rgb="FFCCFFFF"/>
        <bgColor rgb="FFCCFFCC"/>
      </patternFill>
    </fill>
    <fill>
      <patternFill patternType="solid">
        <fgColor rgb="FFF2F2F2"/>
        <bgColor rgb="FFFFFFFF"/>
      </patternFill>
    </fill>
    <fill>
      <patternFill patternType="solid">
        <fgColor theme="6" tint="0.79979857783745845"/>
        <bgColor rgb="FFF8D1D3"/>
      </patternFill>
    </fill>
    <fill>
      <patternFill patternType="solid">
        <fgColor theme="5" tint="0.79979857783745845"/>
        <bgColor rgb="FFEAD3D8"/>
      </patternFill>
    </fill>
    <fill>
      <patternFill patternType="solid">
        <fgColor theme="8" tint="0.79979857783745845"/>
        <bgColor rgb="FFD9D9D9"/>
      </patternFill>
    </fill>
    <fill>
      <patternFill patternType="solid">
        <fgColor rgb="FFFFFFCC"/>
        <bgColor rgb="FFFFF2CC"/>
      </patternFill>
    </fill>
    <fill>
      <patternFill patternType="solid">
        <fgColor rgb="FFCCFFCC"/>
        <bgColor rgb="FFCCFFFF"/>
      </patternFill>
    </fill>
    <fill>
      <patternFill patternType="solid">
        <fgColor rgb="FFFFCCFF"/>
        <bgColor rgb="FFF8D1D3"/>
      </patternFill>
    </fill>
    <fill>
      <patternFill patternType="solid">
        <fgColor rgb="FFFFFF00"/>
        <bgColor rgb="FFFFFFCC"/>
      </patternFill>
    </fill>
    <fill>
      <patternFill patternType="solid">
        <fgColor rgb="FFD9D9D9"/>
        <bgColor rgb="FFD7D8E7"/>
      </patternFill>
    </fill>
    <fill>
      <patternFill patternType="solid">
        <fgColor theme="0"/>
        <bgColor rgb="FFF2F2F2"/>
      </patternFill>
    </fill>
    <fill>
      <patternFill patternType="solid">
        <fgColor theme="9" tint="0.79979857783745845"/>
        <bgColor rgb="FFF8D1D3"/>
      </patternFill>
    </fill>
    <fill>
      <patternFill patternType="solid">
        <fgColor rgb="FFFFF2CC"/>
        <bgColor rgb="FFFFFFCC"/>
      </patternFill>
    </fill>
    <fill>
      <patternFill patternType="solid">
        <fgColor rgb="FFCFE2F3"/>
        <bgColor rgb="FFD7D8E7"/>
      </patternFill>
    </fill>
    <fill>
      <patternFill patternType="solid">
        <fgColor theme="0"/>
        <bgColor rgb="FFF8D1D3"/>
      </patternFill>
    </fill>
  </fills>
  <borders count="9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6">
    <xf numFmtId="0" fontId="0" fillId="0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3" fillId="0" borderId="1">
      <alignment vertical="center"/>
    </xf>
    <xf numFmtId="0" fontId="4" fillId="4" borderId="2">
      <alignment vertical="center"/>
    </xf>
    <xf numFmtId="0" fontId="4" fillId="4" borderId="2">
      <alignment vertical="center"/>
    </xf>
    <xf numFmtId="0" fontId="79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/>
  </cellStyleXfs>
  <cellXfs count="299">
    <xf numFmtId="0" fontId="0" fillId="0" borderId="0" xfId="0">
      <alignment vertical="center"/>
    </xf>
    <xf numFmtId="0" fontId="0" fillId="0" borderId="0" xfId="0" applyFont="1" applyAlignment="1" applyProtection="1">
      <alignment vertical="center"/>
      <protection locked="0"/>
    </xf>
    <xf numFmtId="0" fontId="12" fillId="7" borderId="7" xfId="0" applyFont="1" applyFill="1" applyBorder="1" applyAlignment="1" applyProtection="1">
      <alignment horizontal="center" vertical="center"/>
      <protection locked="0"/>
    </xf>
    <xf numFmtId="0" fontId="12" fillId="7" borderId="8" xfId="0" applyFont="1" applyFill="1" applyBorder="1" applyAlignment="1" applyProtection="1">
      <alignment horizontal="center" vertical="center"/>
      <protection locked="0"/>
    </xf>
    <xf numFmtId="0" fontId="12" fillId="7" borderId="9" xfId="0" applyFont="1" applyFill="1" applyBorder="1" applyAlignment="1" applyProtection="1">
      <alignment horizontal="center" vertical="center"/>
      <protection locked="0"/>
    </xf>
    <xf numFmtId="0" fontId="12" fillId="7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Border="1" applyAlignment="1" applyProtection="1">
      <alignment horizontal="center" vertical="center"/>
      <protection locked="0"/>
    </xf>
    <xf numFmtId="0" fontId="0" fillId="0" borderId="14" xfId="0" applyFont="1" applyBorder="1" applyAlignment="1" applyProtection="1">
      <alignment horizontal="center" vertical="center"/>
      <protection locked="0"/>
    </xf>
    <xf numFmtId="0" fontId="12" fillId="7" borderId="12" xfId="0" applyFont="1" applyFill="1" applyBorder="1" applyAlignment="1" applyProtection="1">
      <alignment horizontal="center" vertical="center" shrinkToFit="1"/>
      <protection locked="0"/>
    </xf>
    <xf numFmtId="0" fontId="13" fillId="0" borderId="13" xfId="0" applyFont="1" applyBorder="1" applyAlignment="1" applyProtection="1">
      <alignment horizontal="center" vertical="center" shrinkToFit="1"/>
      <protection locked="0"/>
    </xf>
    <xf numFmtId="0" fontId="14" fillId="0" borderId="6" xfId="0" applyFont="1" applyBorder="1" applyAlignment="1" applyProtection="1">
      <alignment horizontal="center" vertical="center"/>
      <protection locked="0"/>
    </xf>
    <xf numFmtId="0" fontId="17" fillId="7" borderId="17" xfId="0" applyFont="1" applyFill="1" applyBorder="1" applyAlignment="1" applyProtection="1">
      <alignment horizontal="center" vertical="center"/>
      <protection locked="0"/>
    </xf>
    <xf numFmtId="0" fontId="13" fillId="0" borderId="18" xfId="0" applyFont="1" applyBorder="1" applyAlignment="1" applyProtection="1">
      <alignment horizontal="center" vertical="center"/>
      <protection locked="0"/>
    </xf>
    <xf numFmtId="0" fontId="0" fillId="0" borderId="19" xfId="0" applyFont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/>
      <protection locked="0"/>
    </xf>
    <xf numFmtId="0" fontId="22" fillId="0" borderId="0" xfId="0" applyFont="1" applyAlignment="1" applyProtection="1">
      <alignment vertical="center"/>
      <protection locked="0"/>
    </xf>
    <xf numFmtId="0" fontId="19" fillId="3" borderId="27" xfId="2" applyFont="1" applyBorder="1" applyAlignment="1" applyProtection="1">
      <alignment horizontal="center" vertical="center"/>
      <protection locked="0"/>
    </xf>
    <xf numFmtId="0" fontId="24" fillId="0" borderId="0" xfId="0" applyFont="1" applyAlignment="1">
      <alignment vertical="center"/>
    </xf>
    <xf numFmtId="0" fontId="25" fillId="8" borderId="20" xfId="0" applyFont="1" applyFill="1" applyBorder="1" applyAlignment="1">
      <alignment horizontal="center" vertical="center" wrapText="1"/>
    </xf>
    <xf numFmtId="0" fontId="5" fillId="8" borderId="33" xfId="0" applyFont="1" applyFill="1" applyBorder="1" applyAlignment="1">
      <alignment horizontal="center" vertical="center" wrapText="1"/>
    </xf>
    <xf numFmtId="0" fontId="5" fillId="8" borderId="34" xfId="0" applyFont="1" applyFill="1" applyBorder="1" applyAlignment="1">
      <alignment horizontal="center" vertical="center" wrapText="1"/>
    </xf>
    <xf numFmtId="0" fontId="5" fillId="8" borderId="35" xfId="0" applyFont="1" applyFill="1" applyBorder="1" applyAlignment="1">
      <alignment horizontal="center" vertical="center" wrapText="1"/>
    </xf>
    <xf numFmtId="0" fontId="29" fillId="0" borderId="36" xfId="0" applyFont="1" applyBorder="1" applyAlignment="1" applyProtection="1">
      <alignment horizontal="center" vertical="center"/>
      <protection locked="0"/>
    </xf>
    <xf numFmtId="0" fontId="29" fillId="0" borderId="7" xfId="0" applyFont="1" applyBorder="1" applyAlignment="1" applyProtection="1">
      <alignment horizontal="center" vertical="center"/>
      <protection locked="0"/>
    </xf>
    <xf numFmtId="0" fontId="29" fillId="0" borderId="9" xfId="0" applyFont="1" applyBorder="1" applyAlignment="1" applyProtection="1">
      <alignment horizontal="center" vertical="center"/>
      <protection locked="0"/>
    </xf>
    <xf numFmtId="0" fontId="25" fillId="8" borderId="37" xfId="0" applyFont="1" applyFill="1" applyBorder="1" applyAlignment="1">
      <alignment horizontal="center" vertical="center" wrapText="1"/>
    </xf>
    <xf numFmtId="0" fontId="5" fillId="8" borderId="38" xfId="0" applyFont="1" applyFill="1" applyBorder="1" applyAlignment="1">
      <alignment horizontal="center" vertical="center" wrapText="1"/>
    </xf>
    <xf numFmtId="0" fontId="5" fillId="8" borderId="39" xfId="0" applyFont="1" applyFill="1" applyBorder="1" applyAlignment="1">
      <alignment horizontal="center" vertical="center" wrapText="1"/>
    </xf>
    <xf numFmtId="0" fontId="5" fillId="8" borderId="40" xfId="0" applyFont="1" applyFill="1" applyBorder="1" applyAlignment="1">
      <alignment horizontal="center" vertical="center" wrapText="1"/>
    </xf>
    <xf numFmtId="0" fontId="29" fillId="0" borderId="41" xfId="0" applyFont="1" applyBorder="1" applyAlignment="1" applyProtection="1">
      <alignment horizontal="center" vertical="center"/>
      <protection locked="0"/>
    </xf>
    <xf numFmtId="0" fontId="0" fillId="0" borderId="12" xfId="0" applyFont="1" applyBorder="1" applyAlignment="1" applyProtection="1">
      <alignment horizontal="center" vertical="center"/>
      <protection locked="0"/>
    </xf>
    <xf numFmtId="0" fontId="25" fillId="8" borderId="42" xfId="0" applyFont="1" applyFill="1" applyBorder="1" applyAlignment="1">
      <alignment horizontal="center" vertical="center" wrapText="1"/>
    </xf>
    <xf numFmtId="0" fontId="5" fillId="8" borderId="27" xfId="0" applyFont="1" applyFill="1" applyBorder="1" applyAlignment="1">
      <alignment horizontal="center" vertical="center" wrapText="1"/>
    </xf>
    <xf numFmtId="0" fontId="5" fillId="8" borderId="43" xfId="0" applyFont="1" applyFill="1" applyBorder="1" applyAlignment="1">
      <alignment horizontal="center" vertical="center" wrapText="1"/>
    </xf>
    <xf numFmtId="0" fontId="5" fillId="8" borderId="44" xfId="0" applyFont="1" applyFill="1" applyBorder="1" applyAlignment="1">
      <alignment horizontal="center" vertical="center" wrapText="1"/>
    </xf>
    <xf numFmtId="0" fontId="29" fillId="0" borderId="45" xfId="0" applyFont="1" applyBorder="1" applyAlignment="1" applyProtection="1">
      <alignment horizontal="center" vertical="center"/>
      <protection locked="0"/>
    </xf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16" fillId="8" borderId="20" xfId="0" applyFont="1" applyFill="1" applyBorder="1" applyAlignment="1">
      <alignment horizontal="center" vertical="center" wrapText="1"/>
    </xf>
    <xf numFmtId="0" fontId="28" fillId="8" borderId="33" xfId="0" applyFont="1" applyFill="1" applyBorder="1" applyAlignment="1">
      <alignment horizontal="center" vertical="center" wrapText="1"/>
    </xf>
    <xf numFmtId="0" fontId="28" fillId="8" borderId="34" xfId="0" applyFont="1" applyFill="1" applyBorder="1" applyAlignment="1">
      <alignment horizontal="center" vertical="center" wrapText="1"/>
    </xf>
    <xf numFmtId="0" fontId="28" fillId="8" borderId="35" xfId="0" applyFont="1" applyFill="1" applyBorder="1" applyAlignment="1">
      <alignment horizontal="center" vertical="center" wrapText="1"/>
    </xf>
    <xf numFmtId="0" fontId="28" fillId="8" borderId="38" xfId="0" applyFont="1" applyFill="1" applyBorder="1" applyAlignment="1">
      <alignment horizontal="center" vertical="center" wrapText="1"/>
    </xf>
    <xf numFmtId="0" fontId="28" fillId="8" borderId="39" xfId="0" applyFont="1" applyFill="1" applyBorder="1" applyAlignment="1">
      <alignment horizontal="center" vertical="center" wrapText="1"/>
    </xf>
    <xf numFmtId="0" fontId="28" fillId="8" borderId="40" xfId="0" applyFont="1" applyFill="1" applyBorder="1" applyAlignment="1">
      <alignment horizontal="center" vertical="center" wrapText="1"/>
    </xf>
    <xf numFmtId="0" fontId="28" fillId="8" borderId="27" xfId="0" applyFont="1" applyFill="1" applyBorder="1" applyAlignment="1">
      <alignment horizontal="center" vertical="center" wrapText="1"/>
    </xf>
    <xf numFmtId="0" fontId="28" fillId="8" borderId="43" xfId="0" applyFont="1" applyFill="1" applyBorder="1" applyAlignment="1">
      <alignment horizontal="center" vertical="center" wrapText="1"/>
    </xf>
    <xf numFmtId="0" fontId="28" fillId="8" borderId="44" xfId="0" applyFont="1" applyFill="1" applyBorder="1" applyAlignment="1">
      <alignment horizontal="center" vertical="center" wrapText="1"/>
    </xf>
    <xf numFmtId="0" fontId="20" fillId="10" borderId="11" xfId="0" applyFont="1" applyFill="1" applyBorder="1" applyAlignment="1">
      <alignment horizontal="center" vertical="center" wrapText="1"/>
    </xf>
    <xf numFmtId="0" fontId="20" fillId="10" borderId="46" xfId="0" applyFont="1" applyFill="1" applyBorder="1" applyAlignment="1">
      <alignment horizontal="center" vertical="center" wrapText="1"/>
    </xf>
    <xf numFmtId="0" fontId="20" fillId="10" borderId="16" xfId="0" applyFont="1" applyFill="1" applyBorder="1" applyAlignment="1">
      <alignment horizontal="center" vertical="center" wrapText="1"/>
    </xf>
    <xf numFmtId="0" fontId="20" fillId="10" borderId="10" xfId="0" applyFont="1" applyFill="1" applyBorder="1" applyAlignment="1">
      <alignment horizontal="center" vertical="center" wrapText="1"/>
    </xf>
    <xf numFmtId="0" fontId="25" fillId="8" borderId="48" xfId="0" applyFont="1" applyFill="1" applyBorder="1" applyAlignment="1">
      <alignment horizontal="center" vertical="center" wrapText="1"/>
    </xf>
    <xf numFmtId="0" fontId="5" fillId="8" borderId="49" xfId="0" applyFont="1" applyFill="1" applyBorder="1" applyAlignment="1">
      <alignment horizontal="center" vertical="center" wrapText="1"/>
    </xf>
    <xf numFmtId="0" fontId="5" fillId="8" borderId="50" xfId="0" applyFont="1" applyFill="1" applyBorder="1" applyAlignment="1">
      <alignment horizontal="center" vertical="center" wrapText="1"/>
    </xf>
    <xf numFmtId="0" fontId="5" fillId="8" borderId="51" xfId="0" applyFont="1" applyFill="1" applyBorder="1" applyAlignment="1">
      <alignment horizontal="center" vertical="center" wrapText="1"/>
    </xf>
    <xf numFmtId="0" fontId="5" fillId="8" borderId="26" xfId="0" applyFont="1" applyFill="1" applyBorder="1" applyAlignment="1">
      <alignment horizontal="center" vertical="center" wrapText="1"/>
    </xf>
    <xf numFmtId="0" fontId="5" fillId="8" borderId="47" xfId="0" applyFont="1" applyFill="1" applyBorder="1" applyAlignment="1">
      <alignment horizontal="center" vertical="center" wrapText="1"/>
    </xf>
    <xf numFmtId="0" fontId="16" fillId="8" borderId="48" xfId="0" applyFont="1" applyFill="1" applyBorder="1" applyAlignment="1">
      <alignment horizontal="center" vertical="center" wrapText="1"/>
    </xf>
    <xf numFmtId="0" fontId="16" fillId="8" borderId="37" xfId="0" applyFont="1" applyFill="1" applyBorder="1" applyAlignment="1">
      <alignment horizontal="center" vertical="center" wrapText="1"/>
    </xf>
    <xf numFmtId="0" fontId="28" fillId="9" borderId="42" xfId="1" applyFont="1" applyFill="1" applyBorder="1" applyAlignment="1">
      <alignment horizontal="center" vertical="center" wrapText="1"/>
    </xf>
    <xf numFmtId="0" fontId="20" fillId="10" borderId="20" xfId="0" applyFont="1" applyFill="1" applyBorder="1" applyAlignment="1">
      <alignment horizontal="center" vertical="center" wrapText="1"/>
    </xf>
    <xf numFmtId="0" fontId="20" fillId="10" borderId="42" xfId="0" applyFont="1" applyFill="1" applyBorder="1" applyAlignment="1">
      <alignment horizontal="center" vertical="center" wrapText="1"/>
    </xf>
    <xf numFmtId="0" fontId="16" fillId="8" borderId="42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53" fillId="0" borderId="0" xfId="0" applyFont="1" applyAlignment="1">
      <alignment vertical="center"/>
    </xf>
    <xf numFmtId="0" fontId="54" fillId="12" borderId="17" xfId="8" applyFont="1" applyFill="1" applyBorder="1" applyAlignment="1">
      <alignment horizontal="center" vertical="center" wrapText="1"/>
    </xf>
    <xf numFmtId="0" fontId="57" fillId="13" borderId="7" xfId="8" applyFont="1" applyFill="1" applyBorder="1" applyAlignment="1">
      <alignment horizontal="center" vertical="center" shrinkToFit="1"/>
    </xf>
    <xf numFmtId="0" fontId="58" fillId="13" borderId="7" xfId="8" applyFont="1" applyFill="1" applyBorder="1" applyAlignment="1">
      <alignment horizontal="center" vertical="center" shrinkToFit="1"/>
    </xf>
    <xf numFmtId="176" fontId="58" fillId="13" borderId="7" xfId="8" applyNumberFormat="1" applyFont="1" applyFill="1" applyBorder="1" applyAlignment="1">
      <alignment horizontal="center" vertical="center" shrinkToFit="1"/>
    </xf>
    <xf numFmtId="176" fontId="58" fillId="0" borderId="7" xfId="0" applyNumberFormat="1" applyFont="1" applyBorder="1" applyAlignment="1">
      <alignment vertical="center"/>
    </xf>
    <xf numFmtId="176" fontId="58" fillId="0" borderId="9" xfId="0" applyNumberFormat="1" applyFont="1" applyBorder="1" applyAlignment="1">
      <alignment vertical="center"/>
    </xf>
    <xf numFmtId="0" fontId="57" fillId="13" borderId="12" xfId="8" applyFont="1" applyFill="1" applyBorder="1" applyAlignment="1">
      <alignment horizontal="center" vertical="center" shrinkToFit="1"/>
    </xf>
    <xf numFmtId="0" fontId="58" fillId="13" borderId="58" xfId="8" applyFont="1" applyFill="1" applyBorder="1" applyAlignment="1">
      <alignment horizontal="center" vertical="center" shrinkToFit="1"/>
    </xf>
    <xf numFmtId="176" fontId="58" fillId="13" borderId="12" xfId="8" applyNumberFormat="1" applyFont="1" applyFill="1" applyBorder="1" applyAlignment="1">
      <alignment horizontal="center" vertical="center" shrinkToFit="1"/>
    </xf>
    <xf numFmtId="176" fontId="58" fillId="0" borderId="12" xfId="0" applyNumberFormat="1" applyFont="1" applyBorder="1" applyAlignment="1">
      <alignment vertical="center"/>
    </xf>
    <xf numFmtId="176" fontId="58" fillId="0" borderId="14" xfId="0" applyNumberFormat="1" applyFont="1" applyBorder="1" applyAlignment="1">
      <alignment vertical="center"/>
    </xf>
    <xf numFmtId="0" fontId="56" fillId="14" borderId="17" xfId="8" applyFont="1" applyFill="1" applyBorder="1" applyAlignment="1">
      <alignment horizontal="center" vertical="center" shrinkToFit="1"/>
    </xf>
    <xf numFmtId="176" fontId="56" fillId="14" borderId="17" xfId="8" applyNumberFormat="1" applyFont="1" applyFill="1" applyBorder="1" applyAlignment="1">
      <alignment horizontal="center" vertical="center" shrinkToFit="1"/>
    </xf>
    <xf numFmtId="176" fontId="56" fillId="14" borderId="17" xfId="8" applyNumberFormat="1" applyFont="1" applyFill="1" applyBorder="1" applyAlignment="1">
      <alignment horizontal="right" vertical="center" shrinkToFit="1"/>
    </xf>
    <xf numFmtId="0" fontId="58" fillId="15" borderId="12" xfId="8" applyFont="1" applyFill="1" applyBorder="1" applyAlignment="1">
      <alignment horizontal="center" vertical="center" shrinkToFit="1"/>
    </xf>
    <xf numFmtId="0" fontId="58" fillId="15" borderId="7" xfId="8" applyFont="1" applyFill="1" applyBorder="1" applyAlignment="1">
      <alignment horizontal="center" vertical="center" shrinkToFit="1"/>
    </xf>
    <xf numFmtId="0" fontId="58" fillId="13" borderId="12" xfId="8" applyFont="1" applyFill="1" applyBorder="1" applyAlignment="1">
      <alignment horizontal="center" vertical="center" shrinkToFit="1"/>
    </xf>
    <xf numFmtId="0" fontId="19" fillId="7" borderId="30" xfId="2" applyFont="1" applyFill="1" applyBorder="1" applyAlignment="1">
      <alignment horizontal="center" vertical="center" wrapText="1"/>
    </xf>
    <xf numFmtId="0" fontId="40" fillId="0" borderId="0" xfId="0" applyFont="1" applyAlignment="1">
      <alignment vertical="center"/>
    </xf>
    <xf numFmtId="0" fontId="19" fillId="7" borderId="59" xfId="2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177" fontId="40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center"/>
    </xf>
    <xf numFmtId="0" fontId="5" fillId="0" borderId="0" xfId="15" applyFont="1"/>
    <xf numFmtId="0" fontId="40" fillId="0" borderId="0" xfId="15" applyFont="1" applyAlignment="1">
      <alignment vertical="center"/>
    </xf>
    <xf numFmtId="0" fontId="14" fillId="16" borderId="60" xfId="15" applyFont="1" applyFill="1" applyBorder="1" applyAlignment="1">
      <alignment horizontal="center" vertical="center"/>
    </xf>
    <xf numFmtId="0" fontId="40" fillId="0" borderId="62" xfId="15" applyFont="1" applyBorder="1" applyAlignment="1">
      <alignment vertical="center"/>
    </xf>
    <xf numFmtId="0" fontId="40" fillId="0" borderId="52" xfId="15" applyFont="1" applyBorder="1" applyAlignment="1">
      <alignment vertical="center"/>
    </xf>
    <xf numFmtId="0" fontId="40" fillId="0" borderId="63" xfId="15" applyFont="1" applyBorder="1" applyAlignment="1">
      <alignment vertical="center"/>
    </xf>
    <xf numFmtId="0" fontId="40" fillId="0" borderId="64" xfId="15" applyFont="1" applyBorder="1" applyAlignment="1">
      <alignment vertical="center"/>
    </xf>
    <xf numFmtId="0" fontId="40" fillId="0" borderId="65" xfId="15" applyFont="1" applyBorder="1" applyAlignment="1">
      <alignment vertical="center"/>
    </xf>
    <xf numFmtId="0" fontId="40" fillId="0" borderId="57" xfId="15" applyFont="1" applyBorder="1" applyAlignment="1">
      <alignment vertical="center"/>
    </xf>
    <xf numFmtId="0" fontId="40" fillId="0" borderId="56" xfId="15" applyFont="1" applyBorder="1" applyAlignment="1">
      <alignment vertical="center"/>
    </xf>
    <xf numFmtId="0" fontId="40" fillId="0" borderId="67" xfId="15" applyFont="1" applyBorder="1" applyAlignment="1">
      <alignment vertical="center"/>
    </xf>
    <xf numFmtId="0" fontId="40" fillId="0" borderId="32" xfId="15" applyFont="1" applyBorder="1" applyAlignment="1">
      <alignment vertical="center"/>
    </xf>
    <xf numFmtId="0" fontId="40" fillId="0" borderId="3" xfId="15" applyFont="1" applyBorder="1" applyAlignment="1">
      <alignment vertical="center"/>
    </xf>
    <xf numFmtId="0" fontId="40" fillId="0" borderId="68" xfId="15" applyFont="1" applyBorder="1" applyAlignment="1">
      <alignment vertical="center"/>
    </xf>
    <xf numFmtId="0" fontId="65" fillId="0" borderId="13" xfId="15" applyFont="1" applyBorder="1" applyAlignment="1">
      <alignment horizontal="center" vertical="center"/>
    </xf>
    <xf numFmtId="0" fontId="40" fillId="12" borderId="70" xfId="15" applyFont="1" applyFill="1" applyBorder="1" applyAlignment="1">
      <alignment horizontal="center" vertical="center" wrapText="1"/>
    </xf>
    <xf numFmtId="0" fontId="40" fillId="12" borderId="71" xfId="15" applyFont="1" applyFill="1" applyBorder="1" applyAlignment="1">
      <alignment horizontal="center" vertical="center" wrapText="1"/>
    </xf>
    <xf numFmtId="0" fontId="68" fillId="12" borderId="71" xfId="15" applyFont="1" applyFill="1" applyBorder="1" applyAlignment="1">
      <alignment horizontal="center" vertical="center" wrapText="1"/>
    </xf>
    <xf numFmtId="0" fontId="68" fillId="12" borderId="72" xfId="15" applyFont="1" applyFill="1" applyBorder="1" applyAlignment="1">
      <alignment horizontal="center" vertical="center" wrapText="1"/>
    </xf>
    <xf numFmtId="0" fontId="40" fillId="0" borderId="57" xfId="15" applyFont="1" applyBorder="1" applyAlignment="1">
      <alignment vertical="center" wrapText="1"/>
    </xf>
    <xf numFmtId="0" fontId="40" fillId="0" borderId="56" xfId="15" applyFont="1" applyBorder="1" applyAlignment="1">
      <alignment vertical="center" wrapText="1"/>
    </xf>
    <xf numFmtId="0" fontId="69" fillId="0" borderId="74" xfId="15" applyFont="1" applyBorder="1" applyAlignment="1">
      <alignment horizontal="center" vertical="center" wrapText="1"/>
    </xf>
    <xf numFmtId="0" fontId="69" fillId="0" borderId="75" xfId="15" applyFont="1" applyBorder="1" applyAlignment="1">
      <alignment horizontal="center" vertical="center" wrapText="1"/>
    </xf>
    <xf numFmtId="0" fontId="69" fillId="0" borderId="78" xfId="15" applyFont="1" applyBorder="1" applyAlignment="1">
      <alignment horizontal="center" vertical="center" wrapText="1"/>
    </xf>
    <xf numFmtId="0" fontId="69" fillId="0" borderId="12" xfId="15" applyFont="1" applyBorder="1" applyAlignment="1">
      <alignment horizontal="center" vertical="center" wrapText="1"/>
    </xf>
    <xf numFmtId="0" fontId="69" fillId="0" borderId="79" xfId="15" applyFont="1" applyBorder="1" applyAlignment="1">
      <alignment horizontal="center" vertical="center" wrapText="1"/>
    </xf>
    <xf numFmtId="0" fontId="70" fillId="0" borderId="80" xfId="15" applyFont="1" applyBorder="1" applyAlignment="1">
      <alignment horizontal="center" vertical="center" wrapText="1"/>
    </xf>
    <xf numFmtId="0" fontId="69" fillId="0" borderId="81" xfId="15" applyFont="1" applyBorder="1" applyAlignment="1">
      <alignment horizontal="center" vertical="center" wrapText="1"/>
    </xf>
    <xf numFmtId="0" fontId="70" fillId="0" borderId="50" xfId="15" applyFont="1" applyBorder="1" applyAlignment="1">
      <alignment horizontal="center" vertical="center" wrapText="1"/>
    </xf>
    <xf numFmtId="0" fontId="70" fillId="0" borderId="13" xfId="15" applyFont="1" applyBorder="1" applyAlignment="1">
      <alignment horizontal="center" vertical="center" wrapText="1"/>
    </xf>
    <xf numFmtId="0" fontId="40" fillId="0" borderId="81" xfId="15" applyFont="1" applyBorder="1" applyAlignment="1">
      <alignment horizontal="center" vertical="center" wrapText="1"/>
    </xf>
    <xf numFmtId="0" fontId="40" fillId="0" borderId="12" xfId="15" applyFont="1" applyBorder="1" applyAlignment="1">
      <alignment horizontal="center" vertical="center" wrapText="1"/>
    </xf>
    <xf numFmtId="0" fontId="40" fillId="0" borderId="79" xfId="15" applyFont="1" applyBorder="1" applyAlignment="1">
      <alignment horizontal="center" vertical="center" wrapText="1"/>
    </xf>
    <xf numFmtId="0" fontId="71" fillId="12" borderId="13" xfId="15" applyFont="1" applyFill="1" applyBorder="1" applyAlignment="1">
      <alignment horizontal="center" vertical="center" wrapText="1"/>
    </xf>
    <xf numFmtId="0" fontId="72" fillId="0" borderId="12" xfId="15" applyFont="1" applyBorder="1" applyAlignment="1">
      <alignment horizontal="center" vertical="center" wrapText="1"/>
    </xf>
    <xf numFmtId="0" fontId="72" fillId="0" borderId="66" xfId="15" applyFont="1" applyBorder="1" applyAlignment="1">
      <alignment horizontal="center" vertical="center" wrapText="1"/>
    </xf>
    <xf numFmtId="0" fontId="71" fillId="0" borderId="13" xfId="15" applyFont="1" applyBorder="1" applyAlignment="1">
      <alignment horizontal="center" vertical="center" wrapText="1"/>
    </xf>
    <xf numFmtId="0" fontId="14" fillId="0" borderId="65" xfId="15" applyFont="1" applyBorder="1" applyAlignment="1">
      <alignment vertical="center"/>
    </xf>
    <xf numFmtId="0" fontId="14" fillId="0" borderId="0" xfId="15" applyFont="1" applyAlignment="1">
      <alignment vertical="center"/>
    </xf>
    <xf numFmtId="0" fontId="74" fillId="0" borderId="0" xfId="15" applyFont="1" applyAlignment="1">
      <alignment horizontal="center" vertical="center"/>
    </xf>
    <xf numFmtId="0" fontId="66" fillId="4" borderId="12" xfId="15" applyFont="1" applyFill="1" applyBorder="1" applyAlignment="1">
      <alignment horizontal="center" vertical="center"/>
    </xf>
    <xf numFmtId="0" fontId="65" fillId="4" borderId="66" xfId="15" applyFont="1" applyFill="1" applyBorder="1" applyAlignment="1">
      <alignment horizontal="center" vertical="center" wrapText="1"/>
    </xf>
    <xf numFmtId="0" fontId="66" fillId="0" borderId="12" xfId="15" applyFont="1" applyBorder="1" applyAlignment="1">
      <alignment horizontal="center" vertical="center"/>
    </xf>
    <xf numFmtId="0" fontId="75" fillId="0" borderId="12" xfId="15" applyFont="1" applyBorder="1" applyAlignment="1">
      <alignment horizontal="center" vertical="center" wrapText="1"/>
    </xf>
    <xf numFmtId="0" fontId="75" fillId="0" borderId="13" xfId="15" applyFont="1" applyBorder="1" applyAlignment="1">
      <alignment horizontal="center" vertical="center" wrapText="1"/>
    </xf>
    <xf numFmtId="0" fontId="66" fillId="0" borderId="12" xfId="15" applyFont="1" applyBorder="1" applyAlignment="1">
      <alignment horizontal="center" vertical="center" wrapText="1"/>
    </xf>
    <xf numFmtId="0" fontId="66" fillId="0" borderId="13" xfId="15" applyFont="1" applyBorder="1" applyAlignment="1">
      <alignment horizontal="center" vertical="center" wrapText="1"/>
    </xf>
    <xf numFmtId="0" fontId="40" fillId="0" borderId="12" xfId="15" applyFont="1" applyBorder="1" applyAlignment="1">
      <alignment vertical="center" wrapText="1"/>
    </xf>
    <xf numFmtId="0" fontId="40" fillId="0" borderId="0" xfId="15" applyFont="1" applyAlignment="1">
      <alignment vertical="center" wrapText="1"/>
    </xf>
    <xf numFmtId="0" fontId="66" fillId="4" borderId="13" xfId="15" applyFont="1" applyFill="1" applyBorder="1" applyAlignment="1">
      <alignment horizontal="center" vertical="center"/>
    </xf>
    <xf numFmtId="0" fontId="65" fillId="0" borderId="66" xfId="15" applyFont="1" applyBorder="1" applyAlignment="1">
      <alignment horizontal="center" vertical="center"/>
    </xf>
    <xf numFmtId="0" fontId="78" fillId="0" borderId="12" xfId="15" applyFont="1" applyBorder="1" applyAlignment="1">
      <alignment horizontal="center" vertical="center"/>
    </xf>
    <xf numFmtId="0" fontId="78" fillId="0" borderId="13" xfId="15" applyFont="1" applyBorder="1" applyAlignment="1">
      <alignment horizontal="center" vertical="center"/>
    </xf>
    <xf numFmtId="0" fontId="40" fillId="0" borderId="82" xfId="15" applyFont="1" applyBorder="1" applyAlignment="1">
      <alignment vertical="center"/>
    </xf>
    <xf numFmtId="0" fontId="40" fillId="0" borderId="83" xfId="15" applyFont="1" applyBorder="1" applyAlignment="1">
      <alignment vertical="center"/>
    </xf>
    <xf numFmtId="0" fontId="40" fillId="0" borderId="84" xfId="15" applyFont="1" applyBorder="1" applyAlignment="1">
      <alignment vertical="center"/>
    </xf>
    <xf numFmtId="0" fontId="40" fillId="0" borderId="85" xfId="15" applyFont="1" applyBorder="1" applyAlignment="1">
      <alignment vertical="center"/>
    </xf>
    <xf numFmtId="0" fontId="40" fillId="0" borderId="86" xfId="15" applyFont="1" applyBorder="1" applyAlignment="1">
      <alignment vertical="center"/>
    </xf>
    <xf numFmtId="0" fontId="40" fillId="0" borderId="87" xfId="15" applyFont="1" applyBorder="1" applyAlignment="1">
      <alignment vertical="center"/>
    </xf>
    <xf numFmtId="0" fontId="40" fillId="0" borderId="88" xfId="15" applyFont="1" applyBorder="1" applyAlignment="1">
      <alignment vertical="center"/>
    </xf>
    <xf numFmtId="0" fontId="40" fillId="0" borderId="89" xfId="15" applyFont="1" applyBorder="1" applyAlignment="1">
      <alignment vertical="center"/>
    </xf>
    <xf numFmtId="0" fontId="57" fillId="17" borderId="12" xfId="8" applyFont="1" applyFill="1" applyBorder="1" applyAlignment="1">
      <alignment horizontal="center" vertical="center" shrinkToFit="1"/>
    </xf>
    <xf numFmtId="0" fontId="57" fillId="17" borderId="7" xfId="8" applyFont="1" applyFill="1" applyBorder="1" applyAlignment="1">
      <alignment horizontal="center" vertical="center" shrinkToFit="1"/>
    </xf>
    <xf numFmtId="0" fontId="83" fillId="13" borderId="7" xfId="8" applyFont="1" applyFill="1" applyBorder="1" applyAlignment="1">
      <alignment horizontal="center" vertical="center" shrinkToFit="1"/>
    </xf>
    <xf numFmtId="0" fontId="83" fillId="13" borderId="12" xfId="8" applyFont="1" applyFill="1" applyBorder="1" applyAlignment="1">
      <alignment horizontal="center" vertical="center" shrinkToFit="1"/>
    </xf>
    <xf numFmtId="0" fontId="8" fillId="0" borderId="3" xfId="0" applyFont="1" applyBorder="1" applyAlignment="1" applyProtection="1">
      <alignment horizontal="center" vertical="center"/>
      <protection locked="0"/>
    </xf>
    <xf numFmtId="0" fontId="10" fillId="5" borderId="4" xfId="0" applyFont="1" applyFill="1" applyBorder="1" applyAlignment="1" applyProtection="1">
      <alignment horizontal="center" vertical="center"/>
      <protection locked="0"/>
    </xf>
    <xf numFmtId="0" fontId="11" fillId="5" borderId="5" xfId="0" applyFont="1" applyFill="1" applyBorder="1" applyAlignment="1" applyProtection="1">
      <alignment horizontal="center" vertical="center"/>
      <protection locked="0"/>
    </xf>
    <xf numFmtId="0" fontId="12" fillId="6" borderId="6" xfId="0" applyFont="1" applyFill="1" applyBorder="1" applyAlignment="1" applyProtection="1">
      <alignment horizontal="center" vertical="center" wrapText="1"/>
      <protection locked="0"/>
    </xf>
    <xf numFmtId="0" fontId="10" fillId="6" borderId="10" xfId="0" applyFont="1" applyFill="1" applyBorder="1" applyAlignment="1" applyProtection="1">
      <alignment horizontal="center" vertical="center"/>
      <protection locked="0"/>
    </xf>
    <xf numFmtId="0" fontId="10" fillId="6" borderId="11" xfId="0" applyFont="1" applyFill="1" applyBorder="1" applyAlignment="1" applyProtection="1">
      <alignment horizontal="center" vertical="center"/>
      <protection locked="0"/>
    </xf>
    <xf numFmtId="0" fontId="10" fillId="6" borderId="5" xfId="0" applyFont="1" applyFill="1" applyBorder="1" applyAlignment="1" applyProtection="1">
      <alignment horizontal="center" vertical="center"/>
      <protection locked="0"/>
    </xf>
    <xf numFmtId="0" fontId="14" fillId="0" borderId="15" xfId="0" applyFont="1" applyBorder="1" applyAlignment="1" applyProtection="1">
      <alignment horizontal="center" vertical="center"/>
      <protection locked="0"/>
    </xf>
    <xf numFmtId="0" fontId="14" fillId="0" borderId="16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  <protection locked="0"/>
    </xf>
    <xf numFmtId="0" fontId="15" fillId="0" borderId="16" xfId="0" applyFont="1" applyBorder="1" applyAlignment="1" applyProtection="1">
      <alignment horizontal="center" vertical="center"/>
      <protection locked="0"/>
    </xf>
    <xf numFmtId="0" fontId="81" fillId="0" borderId="16" xfId="0" applyFont="1" applyBorder="1" applyAlignment="1" applyProtection="1">
      <alignment horizontal="center" vertical="center" wrapText="1"/>
      <protection locked="0"/>
    </xf>
    <xf numFmtId="0" fontId="16" fillId="0" borderId="16" xfId="0" applyFont="1" applyBorder="1" applyAlignment="1" applyProtection="1">
      <alignment horizontal="center" vertical="center" wrapText="1"/>
      <protection locked="0"/>
    </xf>
    <xf numFmtId="0" fontId="0" fillId="0" borderId="0" xfId="0" applyFont="1" applyBorder="1" applyAlignment="1" applyProtection="1">
      <alignment horizontal="center" vertical="center"/>
      <protection locked="0"/>
    </xf>
    <xf numFmtId="0" fontId="19" fillId="3" borderId="10" xfId="2" applyFont="1" applyBorder="1" applyAlignment="1" applyProtection="1">
      <alignment horizontal="center" vertical="center" wrapText="1"/>
      <protection locked="0"/>
    </xf>
    <xf numFmtId="0" fontId="19" fillId="3" borderId="20" xfId="2" applyFont="1" applyBorder="1" applyAlignment="1" applyProtection="1">
      <alignment horizontal="center" vertical="center" wrapText="1"/>
      <protection locked="0"/>
    </xf>
    <xf numFmtId="0" fontId="19" fillId="3" borderId="21" xfId="2" applyFont="1" applyBorder="1" applyAlignment="1" applyProtection="1">
      <alignment horizontal="center" vertical="center" wrapText="1"/>
      <protection locked="0"/>
    </xf>
    <xf numFmtId="0" fontId="19" fillId="3" borderId="22" xfId="2" applyFont="1" applyBorder="1" applyAlignment="1" applyProtection="1">
      <alignment horizontal="center" vertical="center" wrapText="1"/>
      <protection locked="0"/>
    </xf>
    <xf numFmtId="0" fontId="19" fillId="3" borderId="23" xfId="2" applyFont="1" applyBorder="1" applyAlignment="1" applyProtection="1">
      <alignment horizontal="center" vertical="center" wrapText="1"/>
      <protection locked="0"/>
    </xf>
    <xf numFmtId="0" fontId="20" fillId="3" borderId="24" xfId="2" applyFont="1" applyBorder="1" applyAlignment="1" applyProtection="1">
      <alignment horizontal="center" vertical="center" wrapText="1"/>
      <protection locked="0"/>
    </xf>
    <xf numFmtId="0" fontId="20" fillId="3" borderId="25" xfId="2" applyFont="1" applyBorder="1" applyAlignment="1" applyProtection="1">
      <alignment horizontal="center" vertical="center" wrapText="1"/>
      <protection locked="0"/>
    </xf>
    <xf numFmtId="0" fontId="19" fillId="3" borderId="26" xfId="2" applyFont="1" applyBorder="1" applyAlignment="1" applyProtection="1">
      <alignment horizontal="center" vertical="center" wrapText="1"/>
      <protection locked="0"/>
    </xf>
    <xf numFmtId="0" fontId="19" fillId="3" borderId="28" xfId="2" applyFont="1" applyBorder="1" applyAlignment="1" applyProtection="1">
      <alignment horizontal="center" vertical="center"/>
      <protection locked="0"/>
    </xf>
    <xf numFmtId="0" fontId="20" fillId="3" borderId="29" xfId="2" applyFont="1" applyBorder="1" applyAlignment="1" applyProtection="1">
      <alignment horizontal="center" vertical="center" wrapText="1"/>
      <protection locked="0"/>
    </xf>
    <xf numFmtId="0" fontId="20" fillId="3" borderId="30" xfId="2" applyFont="1" applyBorder="1" applyAlignment="1" applyProtection="1">
      <alignment horizontal="center" vertical="center" wrapText="1"/>
      <protection locked="0"/>
    </xf>
    <xf numFmtId="0" fontId="20" fillId="3" borderId="31" xfId="2" applyFont="1" applyBorder="1" applyAlignment="1" applyProtection="1">
      <alignment horizontal="center" vertical="center" wrapText="1"/>
      <protection locked="0"/>
    </xf>
    <xf numFmtId="0" fontId="23" fillId="0" borderId="32" xfId="0" applyFont="1" applyBorder="1" applyAlignment="1" applyProtection="1">
      <alignment horizontal="center" vertical="center"/>
      <protection locked="0"/>
    </xf>
    <xf numFmtId="0" fontId="25" fillId="8" borderId="20" xfId="0" applyFont="1" applyFill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shrinkToFit="1"/>
    </xf>
    <xf numFmtId="0" fontId="27" fillId="0" borderId="33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5" fillId="8" borderId="35" xfId="0" applyFont="1" applyFill="1" applyBorder="1" applyAlignment="1">
      <alignment horizontal="center" vertical="center" wrapText="1"/>
    </xf>
    <xf numFmtId="0" fontId="28" fillId="9" borderId="20" xfId="1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shrinkToFit="1"/>
    </xf>
    <xf numFmtId="0" fontId="27" fillId="0" borderId="38" xfId="0" applyFont="1" applyBorder="1" applyAlignment="1">
      <alignment horizontal="center" vertical="center" wrapText="1"/>
    </xf>
    <xf numFmtId="0" fontId="27" fillId="0" borderId="40" xfId="0" applyFont="1" applyBorder="1" applyAlignment="1">
      <alignment horizontal="center" vertical="center" wrapText="1"/>
    </xf>
    <xf numFmtId="0" fontId="26" fillId="0" borderId="42" xfId="0" applyFont="1" applyBorder="1" applyAlignment="1">
      <alignment horizontal="center" vertical="center" shrinkToFit="1"/>
    </xf>
    <xf numFmtId="0" fontId="27" fillId="0" borderId="27" xfId="0" applyFont="1" applyBorder="1" applyAlignment="1">
      <alignment horizontal="center" vertical="center" wrapText="1"/>
    </xf>
    <xf numFmtId="0" fontId="27" fillId="0" borderId="44" xfId="0" applyFont="1" applyBorder="1" applyAlignment="1">
      <alignment horizontal="center" vertical="center" wrapText="1"/>
    </xf>
    <xf numFmtId="0" fontId="29" fillId="0" borderId="17" xfId="0" applyFont="1" applyBorder="1" applyAlignment="1" applyProtection="1">
      <alignment horizontal="center" vertical="center"/>
      <protection locked="0"/>
    </xf>
    <xf numFmtId="0" fontId="5" fillId="8" borderId="40" xfId="0" applyFont="1" applyFill="1" applyBorder="1" applyAlignment="1">
      <alignment horizontal="center" vertical="center" wrapText="1"/>
    </xf>
    <xf numFmtId="0" fontId="28" fillId="9" borderId="37" xfId="1" applyFont="1" applyFill="1" applyBorder="1" applyAlignment="1">
      <alignment horizontal="center" vertical="center" wrapText="1"/>
    </xf>
    <xf numFmtId="0" fontId="5" fillId="8" borderId="20" xfId="0" applyFont="1" applyFill="1" applyBorder="1" applyAlignment="1">
      <alignment horizontal="center" vertical="center" wrapText="1"/>
    </xf>
    <xf numFmtId="0" fontId="16" fillId="8" borderId="20" xfId="0" applyFont="1" applyFill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 shrinkToFit="1"/>
    </xf>
    <xf numFmtId="0" fontId="19" fillId="10" borderId="10" xfId="0" applyFont="1" applyFill="1" applyBorder="1" applyAlignment="1">
      <alignment horizontal="center" vertical="center" wrapText="1"/>
    </xf>
    <xf numFmtId="0" fontId="20" fillId="10" borderId="11" xfId="0" applyFont="1" applyFill="1" applyBorder="1" applyAlignment="1">
      <alignment horizontal="center" vertical="center" wrapText="1"/>
    </xf>
    <xf numFmtId="0" fontId="20" fillId="10" borderId="16" xfId="0" applyFont="1" applyFill="1" applyBorder="1" applyAlignment="1">
      <alignment horizontal="center" vertical="center" wrapText="1"/>
    </xf>
    <xf numFmtId="0" fontId="20" fillId="10" borderId="10" xfId="0" applyFont="1" applyFill="1" applyBorder="1" applyAlignment="1">
      <alignment horizontal="center" vertical="center" wrapText="1"/>
    </xf>
    <xf numFmtId="0" fontId="33" fillId="11" borderId="10" xfId="0" applyFont="1" applyFill="1" applyBorder="1" applyAlignment="1" applyProtection="1">
      <alignment horizontal="center" vertical="center"/>
      <protection locked="0"/>
    </xf>
    <xf numFmtId="0" fontId="5" fillId="8" borderId="37" xfId="0" applyFont="1" applyFill="1" applyBorder="1" applyAlignment="1">
      <alignment horizontal="center" vertical="center" wrapText="1"/>
    </xf>
    <xf numFmtId="0" fontId="5" fillId="8" borderId="33" xfId="0" applyFont="1" applyFill="1" applyBorder="1" applyAlignment="1">
      <alignment horizontal="center" vertical="center" wrapText="1"/>
    </xf>
    <xf numFmtId="0" fontId="25" fillId="8" borderId="26" xfId="0" applyFont="1" applyFill="1" applyBorder="1" applyAlignment="1">
      <alignment horizontal="center" vertical="center" wrapText="1"/>
    </xf>
    <xf numFmtId="0" fontId="25" fillId="8" borderId="47" xfId="0" applyFont="1" applyFill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shrinkToFit="1"/>
    </xf>
    <xf numFmtId="0" fontId="27" fillId="0" borderId="49" xfId="0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5" fillId="8" borderId="48" xfId="0" applyFont="1" applyFill="1" applyBorder="1" applyAlignment="1">
      <alignment horizontal="center" vertical="center" wrapText="1"/>
    </xf>
    <xf numFmtId="0" fontId="5" fillId="8" borderId="47" xfId="0" applyFont="1" applyFill="1" applyBorder="1" applyAlignment="1">
      <alignment horizontal="center" vertical="center" wrapText="1"/>
    </xf>
    <xf numFmtId="0" fontId="34" fillId="10" borderId="10" xfId="0" applyFont="1" applyFill="1" applyBorder="1" applyAlignment="1">
      <alignment horizontal="center" vertical="center" wrapText="1"/>
    </xf>
    <xf numFmtId="0" fontId="35" fillId="0" borderId="0" xfId="0" applyFont="1" applyBorder="1" applyAlignment="1">
      <alignment horizontal="center" vertical="center"/>
    </xf>
    <xf numFmtId="0" fontId="36" fillId="0" borderId="0" xfId="0" applyFont="1" applyBorder="1" applyAlignment="1">
      <alignment horizontal="center" vertical="center"/>
    </xf>
    <xf numFmtId="0" fontId="25" fillId="8" borderId="42" xfId="0" applyFont="1" applyFill="1" applyBorder="1" applyAlignment="1">
      <alignment horizontal="center" vertical="center" wrapText="1"/>
    </xf>
    <xf numFmtId="0" fontId="5" fillId="8" borderId="42" xfId="0" applyFont="1" applyFill="1" applyBorder="1" applyAlignment="1">
      <alignment horizontal="center" vertical="center" wrapText="1"/>
    </xf>
    <xf numFmtId="0" fontId="25" fillId="8" borderId="37" xfId="0" applyFont="1" applyFill="1" applyBorder="1" applyAlignment="1">
      <alignment horizontal="center" vertical="center" wrapText="1"/>
    </xf>
    <xf numFmtId="0" fontId="19" fillId="10" borderId="42" xfId="0" applyFont="1" applyFill="1" applyBorder="1" applyAlignment="1">
      <alignment horizontal="center" vertical="center" wrapText="1"/>
    </xf>
    <xf numFmtId="0" fontId="20" fillId="10" borderId="42" xfId="0" applyFont="1" applyFill="1" applyBorder="1" applyAlignment="1">
      <alignment horizontal="center" vertical="center" wrapText="1"/>
    </xf>
    <xf numFmtId="0" fontId="19" fillId="10" borderId="20" xfId="0" applyFont="1" applyFill="1" applyBorder="1" applyAlignment="1">
      <alignment horizontal="center" vertical="center" wrapText="1"/>
    </xf>
    <xf numFmtId="0" fontId="20" fillId="10" borderId="33" xfId="0" applyFont="1" applyFill="1" applyBorder="1" applyAlignment="1">
      <alignment horizontal="center" vertical="center" wrapText="1"/>
    </xf>
    <xf numFmtId="0" fontId="20" fillId="10" borderId="35" xfId="0" applyFont="1" applyFill="1" applyBorder="1" applyAlignment="1">
      <alignment horizontal="center" vertical="center" wrapText="1"/>
    </xf>
    <xf numFmtId="0" fontId="20" fillId="10" borderId="20" xfId="0" applyFont="1" applyFill="1" applyBorder="1" applyAlignment="1">
      <alignment horizontal="center" vertical="center" wrapText="1"/>
    </xf>
    <xf numFmtId="0" fontId="37" fillId="0" borderId="52" xfId="0" applyFont="1" applyBorder="1" applyAlignment="1">
      <alignment horizontal="center" vertical="center"/>
    </xf>
    <xf numFmtId="0" fontId="25" fillId="8" borderId="33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39" fillId="0" borderId="53" xfId="0" applyFont="1" applyBorder="1" applyAlignment="1">
      <alignment horizontal="center" vertical="center"/>
    </xf>
    <xf numFmtId="0" fontId="40" fillId="0" borderId="6" xfId="0" applyFont="1" applyBorder="1" applyAlignment="1" applyProtection="1">
      <alignment horizontal="center" vertical="center"/>
      <protection locked="0"/>
    </xf>
    <xf numFmtId="0" fontId="41" fillId="0" borderId="16" xfId="0" applyFont="1" applyBorder="1" applyAlignment="1" applyProtection="1">
      <alignment horizontal="center" vertical="center" wrapText="1"/>
      <protection locked="0"/>
    </xf>
    <xf numFmtId="0" fontId="13" fillId="0" borderId="32" xfId="0" applyFont="1" applyBorder="1" applyAlignment="1">
      <alignment horizontal="center" vertical="center"/>
    </xf>
    <xf numFmtId="0" fontId="39" fillId="0" borderId="52" xfId="0" applyFont="1" applyBorder="1" applyAlignment="1">
      <alignment horizontal="center" vertical="center"/>
    </xf>
    <xf numFmtId="0" fontId="27" fillId="0" borderId="37" xfId="0" applyFont="1" applyBorder="1" applyAlignment="1">
      <alignment horizontal="center" vertical="center" shrinkToFit="1"/>
    </xf>
    <xf numFmtId="0" fontId="44" fillId="10" borderId="10" xfId="0" applyFont="1" applyFill="1" applyBorder="1" applyAlignment="1">
      <alignment horizontal="center" vertical="center" wrapText="1"/>
    </xf>
    <xf numFmtId="0" fontId="39" fillId="0" borderId="32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0" fontId="45" fillId="0" borderId="0" xfId="0" applyFont="1" applyBorder="1" applyAlignment="1">
      <alignment horizontal="center" vertical="center"/>
    </xf>
    <xf numFmtId="0" fontId="47" fillId="6" borderId="54" xfId="0" applyFont="1" applyFill="1" applyBorder="1" applyAlignment="1">
      <alignment horizontal="center" vertical="center"/>
    </xf>
    <xf numFmtId="0" fontId="47" fillId="6" borderId="4" xfId="0" applyFont="1" applyFill="1" applyBorder="1" applyAlignment="1">
      <alignment horizontal="center" vertical="center"/>
    </xf>
    <xf numFmtId="0" fontId="29" fillId="0" borderId="45" xfId="0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 wrapText="1"/>
    </xf>
    <xf numFmtId="0" fontId="48" fillId="0" borderId="16" xfId="0" applyFont="1" applyBorder="1" applyAlignment="1">
      <alignment horizontal="center" vertical="center"/>
    </xf>
    <xf numFmtId="0" fontId="49" fillId="0" borderId="0" xfId="0" applyFont="1" applyBorder="1" applyAlignment="1">
      <alignment horizontal="left" vertical="center"/>
    </xf>
    <xf numFmtId="0" fontId="50" fillId="12" borderId="36" xfId="8" applyFont="1" applyFill="1" applyBorder="1" applyAlignment="1">
      <alignment horizontal="center" vertical="center" wrapText="1"/>
    </xf>
    <xf numFmtId="0" fontId="50" fillId="12" borderId="7" xfId="8" applyFont="1" applyFill="1" applyBorder="1" applyAlignment="1">
      <alignment horizontal="center" vertical="center" wrapText="1"/>
    </xf>
    <xf numFmtId="0" fontId="50" fillId="12" borderId="7" xfId="8" applyFont="1" applyFill="1" applyBorder="1" applyAlignment="1">
      <alignment horizontal="center" vertical="center" shrinkToFit="1"/>
    </xf>
    <xf numFmtId="0" fontId="51" fillId="12" borderId="7" xfId="8" applyFont="1" applyFill="1" applyBorder="1" applyAlignment="1">
      <alignment horizontal="center" vertical="center"/>
    </xf>
    <xf numFmtId="0" fontId="19" fillId="12" borderId="7" xfId="8" applyFont="1" applyFill="1" applyBorder="1" applyAlignment="1">
      <alignment horizontal="center" vertical="center" wrapText="1"/>
    </xf>
    <xf numFmtId="0" fontId="19" fillId="12" borderId="9" xfId="8" applyFont="1" applyFill="1" applyBorder="1" applyAlignment="1">
      <alignment horizontal="center" vertical="center" wrapText="1"/>
    </xf>
    <xf numFmtId="0" fontId="51" fillId="12" borderId="12" xfId="8" applyFont="1" applyFill="1" applyBorder="1" applyAlignment="1">
      <alignment horizontal="center" vertical="center"/>
    </xf>
    <xf numFmtId="0" fontId="55" fillId="13" borderId="6" xfId="8" applyFont="1" applyFill="1" applyBorder="1" applyAlignment="1">
      <alignment horizontal="center" vertical="center" wrapText="1"/>
    </xf>
    <xf numFmtId="176" fontId="56" fillId="13" borderId="15" xfId="8" applyNumberFormat="1" applyFont="1" applyFill="1" applyBorder="1" applyAlignment="1">
      <alignment horizontal="center" vertical="center" wrapText="1"/>
    </xf>
    <xf numFmtId="0" fontId="55" fillId="14" borderId="17" xfId="8" applyFont="1" applyFill="1" applyBorder="1" applyAlignment="1">
      <alignment horizontal="center" vertical="center" shrinkToFit="1"/>
    </xf>
    <xf numFmtId="0" fontId="59" fillId="0" borderId="17" xfId="0" applyFont="1" applyBorder="1" applyAlignment="1">
      <alignment horizontal="center" vertical="center" wrapText="1"/>
    </xf>
    <xf numFmtId="0" fontId="82" fillId="0" borderId="0" xfId="0" applyFont="1" applyBorder="1" applyAlignment="1">
      <alignment horizontal="left" vertical="center" wrapText="1"/>
    </xf>
    <xf numFmtId="0" fontId="61" fillId="0" borderId="0" xfId="0" applyFont="1" applyBorder="1" applyAlignment="1">
      <alignment horizontal="left" vertical="center" wrapText="1"/>
    </xf>
    <xf numFmtId="0" fontId="62" fillId="0" borderId="0" xfId="15" applyFont="1" applyBorder="1" applyAlignment="1">
      <alignment horizontal="center" vertical="center"/>
    </xf>
    <xf numFmtId="0" fontId="11" fillId="0" borderId="61" xfId="15" applyFont="1" applyBorder="1" applyAlignment="1">
      <alignment horizontal="center" vertical="center"/>
    </xf>
    <xf numFmtId="0" fontId="11" fillId="6" borderId="55" xfId="15" applyFont="1" applyFill="1" applyBorder="1" applyAlignment="1">
      <alignment horizontal="center" vertical="center"/>
    </xf>
    <xf numFmtId="0" fontId="40" fillId="16" borderId="6" xfId="15" applyFont="1" applyFill="1" applyBorder="1" applyAlignment="1">
      <alignment horizontal="center" vertical="center" wrapText="1"/>
    </xf>
    <xf numFmtId="0" fontId="65" fillId="4" borderId="66" xfId="15" applyFont="1" applyFill="1" applyBorder="1" applyAlignment="1">
      <alignment horizontal="center" vertical="center"/>
    </xf>
    <xf numFmtId="0" fontId="66" fillId="0" borderId="13" xfId="15" applyFont="1" applyBorder="1" applyAlignment="1">
      <alignment horizontal="center" vertical="center"/>
    </xf>
    <xf numFmtId="0" fontId="14" fillId="16" borderId="6" xfId="15" applyFont="1" applyFill="1" applyBorder="1" applyAlignment="1">
      <alignment horizontal="center" vertical="center" wrapText="1"/>
    </xf>
    <xf numFmtId="0" fontId="65" fillId="4" borderId="69" xfId="15" applyFont="1" applyFill="1" applyBorder="1" applyAlignment="1">
      <alignment horizontal="center" vertical="center"/>
    </xf>
    <xf numFmtId="0" fontId="65" fillId="0" borderId="13" xfId="15" applyFont="1" applyBorder="1" applyAlignment="1">
      <alignment horizontal="center" vertical="center"/>
    </xf>
    <xf numFmtId="0" fontId="65" fillId="0" borderId="13" xfId="15" applyFont="1" applyBorder="1" applyAlignment="1">
      <alignment horizontal="center" vertical="center" wrapText="1"/>
    </xf>
    <xf numFmtId="0" fontId="69" fillId="12" borderId="12" xfId="15" applyFont="1" applyFill="1" applyBorder="1" applyAlignment="1">
      <alignment horizontal="center" vertical="center" wrapText="1"/>
    </xf>
    <xf numFmtId="0" fontId="71" fillId="12" borderId="13" xfId="15" applyFont="1" applyFill="1" applyBorder="1" applyAlignment="1">
      <alignment horizontal="center" vertical="center" wrapText="1"/>
    </xf>
    <xf numFmtId="0" fontId="70" fillId="12" borderId="12" xfId="15" applyFont="1" applyFill="1" applyBorder="1" applyAlignment="1">
      <alignment horizontal="center" vertical="center" wrapText="1"/>
    </xf>
    <xf numFmtId="0" fontId="69" fillId="0" borderId="66" xfId="15" applyFont="1" applyBorder="1" applyAlignment="1">
      <alignment horizontal="center" vertical="center" wrapText="1"/>
    </xf>
    <xf numFmtId="0" fontId="71" fillId="0" borderId="13" xfId="15" applyFont="1" applyBorder="1" applyAlignment="1">
      <alignment horizontal="center" vertical="center" wrapText="1"/>
    </xf>
    <xf numFmtId="0" fontId="69" fillId="12" borderId="66" xfId="15" applyFont="1" applyFill="1" applyBorder="1" applyAlignment="1">
      <alignment horizontal="center" vertical="center" wrapText="1"/>
    </xf>
    <xf numFmtId="0" fontId="68" fillId="12" borderId="72" xfId="15" applyFont="1" applyFill="1" applyBorder="1" applyAlignment="1">
      <alignment horizontal="center" vertical="center" wrapText="1"/>
    </xf>
    <xf numFmtId="0" fontId="69" fillId="0" borderId="73" xfId="15" applyFont="1" applyBorder="1" applyAlignment="1">
      <alignment horizontal="center" vertical="center" wrapText="1"/>
    </xf>
    <xf numFmtId="0" fontId="69" fillId="0" borderId="74" xfId="15" applyFont="1" applyBorder="1" applyAlignment="1">
      <alignment horizontal="center" vertical="center" wrapText="1"/>
    </xf>
    <xf numFmtId="0" fontId="70" fillId="0" borderId="76" xfId="15" applyFont="1" applyBorder="1" applyAlignment="1">
      <alignment horizontal="center" vertical="center" wrapText="1"/>
    </xf>
    <xf numFmtId="0" fontId="70" fillId="0" borderId="77" xfId="15" applyFont="1" applyBorder="1" applyAlignment="1">
      <alignment horizontal="center" vertical="center" wrapText="1"/>
    </xf>
    <xf numFmtId="0" fontId="69" fillId="0" borderId="12" xfId="15" applyFont="1" applyBorder="1" applyAlignment="1">
      <alignment horizontal="center" vertical="center" wrapText="1"/>
    </xf>
    <xf numFmtId="0" fontId="70" fillId="0" borderId="50" xfId="15" applyFont="1" applyBorder="1" applyAlignment="1">
      <alignment horizontal="center" vertical="center" wrapText="1"/>
    </xf>
    <xf numFmtId="0" fontId="70" fillId="0" borderId="13" xfId="15" applyFont="1" applyBorder="1" applyAlignment="1">
      <alignment horizontal="center" vertical="center" wrapText="1"/>
    </xf>
    <xf numFmtId="0" fontId="70" fillId="0" borderId="80" xfId="15" applyFont="1" applyBorder="1" applyAlignment="1">
      <alignment horizontal="center" vertical="center" wrapText="1"/>
    </xf>
    <xf numFmtId="0" fontId="75" fillId="4" borderId="66" xfId="15" applyFont="1" applyFill="1" applyBorder="1" applyAlignment="1">
      <alignment horizontal="center" vertical="center"/>
    </xf>
    <xf numFmtId="0" fontId="75" fillId="0" borderId="12" xfId="15" applyFont="1" applyBorder="1" applyAlignment="1">
      <alignment horizontal="center" vertical="center"/>
    </xf>
    <xf numFmtId="0" fontId="65" fillId="0" borderId="12" xfId="15" applyFont="1" applyBorder="1" applyAlignment="1">
      <alignment horizontal="center" vertical="center" wrapText="1"/>
    </xf>
    <xf numFmtId="0" fontId="66" fillId="0" borderId="12" xfId="15" applyFont="1" applyBorder="1" applyAlignment="1">
      <alignment horizontal="center" vertical="center"/>
    </xf>
    <xf numFmtId="0" fontId="75" fillId="4" borderId="66" xfId="15" applyFont="1" applyFill="1" applyBorder="1" applyAlignment="1">
      <alignment horizontal="center" vertical="center" wrapText="1"/>
    </xf>
    <xf numFmtId="0" fontId="65" fillId="4" borderId="66" xfId="15" applyFont="1" applyFill="1" applyBorder="1" applyAlignment="1">
      <alignment horizontal="center" vertical="center" wrapText="1"/>
    </xf>
    <xf numFmtId="0" fontId="66" fillId="0" borderId="13" xfId="15" applyFont="1" applyBorder="1" applyAlignment="1">
      <alignment horizontal="center" vertical="center" wrapText="1"/>
    </xf>
    <xf numFmtId="0" fontId="14" fillId="0" borderId="0" xfId="15" applyFont="1" applyBorder="1" applyAlignment="1">
      <alignment vertical="center" wrapText="1"/>
    </xf>
    <xf numFmtId="0" fontId="14" fillId="16" borderId="45" xfId="15" applyFont="1" applyFill="1" applyBorder="1" applyAlignment="1">
      <alignment horizontal="center" vertical="center" wrapText="1"/>
    </xf>
    <xf numFmtId="0" fontId="40" fillId="0" borderId="0" xfId="15" applyFont="1" applyBorder="1" applyAlignment="1">
      <alignment vertical="center" wrapText="1"/>
    </xf>
    <xf numFmtId="0" fontId="14" fillId="16" borderId="56" xfId="15" applyFont="1" applyFill="1" applyBorder="1" applyAlignment="1">
      <alignment horizontal="center" vertical="center" wrapText="1"/>
    </xf>
    <xf numFmtId="0" fontId="75" fillId="4" borderId="12" xfId="15" applyFont="1" applyFill="1" applyBorder="1" applyAlignment="1">
      <alignment horizontal="center" vertical="center"/>
    </xf>
    <xf numFmtId="0" fontId="75" fillId="4" borderId="13" xfId="15" applyFont="1" applyFill="1" applyBorder="1" applyAlignment="1">
      <alignment horizontal="center" vertical="center"/>
    </xf>
    <xf numFmtId="0" fontId="76" fillId="0" borderId="66" xfId="15" applyFont="1" applyBorder="1" applyAlignment="1">
      <alignment horizontal="center" vertical="center"/>
    </xf>
    <xf numFmtId="0" fontId="77" fillId="0" borderId="12" xfId="15" applyFont="1" applyBorder="1" applyAlignment="1">
      <alignment horizontal="center" vertical="center"/>
    </xf>
  </cellXfs>
  <cellStyles count="16">
    <cellStyle name="20% - 강조색2_교육과정 편제표 양식v3 2" xfId="1" xr:uid="{00000000-0005-0000-0000-000006000000}"/>
    <cellStyle name="20% - 강조색5_교육과정 편제표 양식v3 2" xfId="2" xr:uid="{00000000-0005-0000-0000-000007000000}"/>
    <cellStyle name="제목 1 2" xfId="3" xr:uid="{00000000-0005-0000-0000-000008000000}"/>
    <cellStyle name="출력 2" xfId="4" xr:uid="{00000000-0005-0000-0000-000009000000}"/>
    <cellStyle name="출력 2 2" xfId="5" xr:uid="{00000000-0005-0000-0000-00000A000000}"/>
    <cellStyle name="표준" xfId="0" builtinId="0"/>
    <cellStyle name="표준 2" xfId="6" xr:uid="{00000000-0005-0000-0000-00000B000000}"/>
    <cellStyle name="표준 2 2" xfId="7" xr:uid="{00000000-0005-0000-0000-00000C000000}"/>
    <cellStyle name="표준 3" xfId="8" xr:uid="{00000000-0005-0000-0000-00000D000000}"/>
    <cellStyle name="표준 3 2" xfId="9" xr:uid="{00000000-0005-0000-0000-00000E000000}"/>
    <cellStyle name="표준 4" xfId="10" xr:uid="{00000000-0005-0000-0000-00000F000000}"/>
    <cellStyle name="표준 4 2" xfId="11" xr:uid="{00000000-0005-0000-0000-000010000000}"/>
    <cellStyle name="표준 4 3" xfId="12" xr:uid="{00000000-0005-0000-0000-000011000000}"/>
    <cellStyle name="표준 4 4" xfId="13" xr:uid="{00000000-0005-0000-0000-000012000000}"/>
    <cellStyle name="표준 5" xfId="14" xr:uid="{00000000-0005-0000-0000-000013000000}"/>
    <cellStyle name="표준 6" xfId="15" xr:uid="{00000000-0005-0000-0000-000014000000}"/>
  </cellStyles>
  <dxfs count="8"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227A8F"/>
      <rgbColor rgb="FFD9D9D9"/>
      <rgbColor rgb="FF808080"/>
      <rgbColor rgb="FF9999FF"/>
      <rgbColor rgb="FF993366"/>
      <rgbColor rgb="FFFFFFCC"/>
      <rgbColor rgb="FFCCFFFF"/>
      <rgbColor rgb="FF660066"/>
      <rgbColor rgb="FFF8D1D3"/>
      <rgbColor rgb="FF0070C0"/>
      <rgbColor rgb="FFD7D8E7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CFE2F3"/>
      <rgbColor rgb="FFCCFFCC"/>
      <rgbColor rgb="FFFFF2CC"/>
      <rgbColor rgb="FFEAD3D8"/>
      <rgbColor rgb="FFFF99CC"/>
      <rgbColor rgb="FFFFCCFF"/>
      <rgbColor rgb="FFFFC7CE"/>
      <rgbColor rgb="FF3366FF"/>
      <rgbColor rgb="FF33CCCC"/>
      <rgbColor rgb="FF99CC00"/>
      <rgbColor rgb="FFFBE0D1"/>
      <rgbColor rgb="FFFF9900"/>
      <rgbColor rgb="FFFF6600"/>
      <rgbColor rgb="FF666699"/>
      <rgbColor rgb="FF969696"/>
      <rgbColor rgb="FF002060"/>
      <rgbColor rgb="FF2DA2BF"/>
      <rgbColor rgb="FF003300"/>
      <rgbColor rgb="FF3F3F3F"/>
      <rgbColor rgb="FF993300"/>
      <rgbColor rgb="FF993366"/>
      <rgbColor rgb="FF464646"/>
      <rgbColor rgb="FF29292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광장">
      <a:dk1>
        <a:srgbClr val="000000"/>
      </a:dk1>
      <a:lt1>
        <a:srgbClr val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109"/>
  <sheetViews>
    <sheetView tabSelected="1" zoomScale="86" zoomScaleNormal="86" workbookViewId="0">
      <pane ySplit="8" topLeftCell="A9" activePane="bottomLeft" state="frozen"/>
      <selection pane="bottomLeft" activeCell="B2" sqref="B2:U2"/>
    </sheetView>
  </sheetViews>
  <sheetFormatPr defaultColWidth="7.375" defaultRowHeight="16.5"/>
  <cols>
    <col min="1" max="1" width="1.75" style="1" customWidth="1"/>
    <col min="2" max="2" width="8.125" style="1" customWidth="1"/>
    <col min="3" max="3" width="14.5" style="1" customWidth="1"/>
    <col min="4" max="4" width="9.25" style="1" customWidth="1"/>
    <col min="5" max="5" width="8.75" style="1" customWidth="1"/>
    <col min="6" max="6" width="14.125" style="1" customWidth="1"/>
    <col min="7" max="7" width="5.25" style="1" customWidth="1"/>
    <col min="8" max="8" width="4.75" style="1" customWidth="1"/>
    <col min="9" max="9" width="6.75" style="1" customWidth="1"/>
    <col min="10" max="10" width="4.75" style="1" customWidth="1"/>
    <col min="11" max="22" width="3.25" style="1" customWidth="1"/>
    <col min="23" max="24" width="2.875" style="1" customWidth="1"/>
    <col min="25" max="25" width="5.375" style="1" customWidth="1"/>
    <col min="26" max="26" width="7.375" style="1"/>
    <col min="27" max="27" width="23.125" style="1" bestFit="1" customWidth="1"/>
    <col min="28" max="29" width="11" style="1" customWidth="1"/>
    <col min="30" max="30" width="11.75" style="1" customWidth="1"/>
    <col min="31" max="16384" width="7.375" style="1"/>
  </cols>
  <sheetData>
    <row r="1" spans="1:31" ht="18" customHeight="1"/>
    <row r="2" spans="1:31" ht="30.75" customHeight="1">
      <c r="B2" s="156" t="s">
        <v>0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7" t="s">
        <v>1</v>
      </c>
      <c r="W2" s="157"/>
      <c r="X2" s="158">
        <v>2027</v>
      </c>
      <c r="Y2" s="158"/>
      <c r="AA2" s="159" t="s">
        <v>2</v>
      </c>
      <c r="AB2" s="2" t="s">
        <v>3</v>
      </c>
      <c r="AC2" s="3" t="s">
        <v>4</v>
      </c>
      <c r="AD2" s="4" t="s">
        <v>5</v>
      </c>
    </row>
    <row r="3" spans="1:31" ht="18" customHeight="1">
      <c r="B3" s="160" t="s">
        <v>6</v>
      </c>
      <c r="C3" s="161" t="s">
        <v>7</v>
      </c>
      <c r="D3" s="161"/>
      <c r="E3" s="161"/>
      <c r="F3" s="160" t="s">
        <v>8</v>
      </c>
      <c r="G3" s="160"/>
      <c r="H3" s="161" t="s">
        <v>9</v>
      </c>
      <c r="I3" s="161"/>
      <c r="J3" s="161"/>
      <c r="K3" s="160" t="s">
        <v>10</v>
      </c>
      <c r="L3" s="160"/>
      <c r="M3" s="160"/>
      <c r="N3" s="160"/>
      <c r="O3" s="160"/>
      <c r="P3" s="160" t="s">
        <v>11</v>
      </c>
      <c r="Q3" s="160"/>
      <c r="R3" s="160"/>
      <c r="S3" s="160"/>
      <c r="T3" s="160"/>
      <c r="U3" s="160"/>
      <c r="V3" s="160"/>
      <c r="W3" s="160"/>
      <c r="X3" s="160"/>
      <c r="Y3" s="160"/>
      <c r="AA3" s="159"/>
      <c r="AB3" s="5" t="s">
        <v>12</v>
      </c>
      <c r="AC3" s="6" t="s">
        <v>13</v>
      </c>
      <c r="AD3" s="7" t="s">
        <v>14</v>
      </c>
    </row>
    <row r="4" spans="1:31" ht="18" customHeight="1">
      <c r="B4" s="160"/>
      <c r="C4" s="161"/>
      <c r="D4" s="161"/>
      <c r="E4" s="161"/>
      <c r="F4" s="160"/>
      <c r="G4" s="160"/>
      <c r="H4" s="161"/>
      <c r="I4" s="161"/>
      <c r="J4" s="161"/>
      <c r="K4" s="160"/>
      <c r="L4" s="160"/>
      <c r="M4" s="160"/>
      <c r="N4" s="160"/>
      <c r="O4" s="160"/>
      <c r="P4" s="161" t="s">
        <v>15</v>
      </c>
      <c r="Q4" s="161"/>
      <c r="R4" s="161"/>
      <c r="S4" s="161"/>
      <c r="T4" s="160" t="s">
        <v>16</v>
      </c>
      <c r="U4" s="160"/>
      <c r="V4" s="160"/>
      <c r="W4" s="162" t="s">
        <v>17</v>
      </c>
      <c r="X4" s="162"/>
      <c r="Y4" s="162"/>
      <c r="AA4" s="159"/>
      <c r="AB4" s="8" t="s">
        <v>18</v>
      </c>
      <c r="AC4" s="9" t="s">
        <v>19</v>
      </c>
      <c r="AD4" s="7" t="s">
        <v>20</v>
      </c>
    </row>
    <row r="5" spans="1:31" ht="37.5" customHeight="1">
      <c r="B5" s="10" t="s">
        <v>21</v>
      </c>
      <c r="C5" s="163" t="s">
        <v>22</v>
      </c>
      <c r="D5" s="163"/>
      <c r="E5" s="163"/>
      <c r="F5" s="164" t="s">
        <v>23</v>
      </c>
      <c r="G5" s="164"/>
      <c r="H5" s="165" t="s">
        <v>24</v>
      </c>
      <c r="I5" s="165"/>
      <c r="J5" s="165"/>
      <c r="K5" s="166" t="s">
        <v>25</v>
      </c>
      <c r="L5" s="166"/>
      <c r="M5" s="166"/>
      <c r="N5" s="166"/>
      <c r="O5" s="166"/>
      <c r="P5" s="165" t="s">
        <v>26</v>
      </c>
      <c r="Q5" s="165"/>
      <c r="R5" s="165"/>
      <c r="S5" s="165"/>
      <c r="T5" s="163" t="s">
        <v>27</v>
      </c>
      <c r="U5" s="163"/>
      <c r="V5" s="163"/>
      <c r="W5" s="167" t="s">
        <v>670</v>
      </c>
      <c r="X5" s="168"/>
      <c r="Y5" s="168"/>
      <c r="AA5" s="159"/>
      <c r="AB5" s="11" t="s">
        <v>28</v>
      </c>
      <c r="AC5" s="12" t="s">
        <v>29</v>
      </c>
      <c r="AD5" s="13" t="s">
        <v>30</v>
      </c>
    </row>
    <row r="6" spans="1:31" ht="15.75" customHeight="1">
      <c r="U6" s="169"/>
      <c r="V6" s="169"/>
      <c r="W6" s="169"/>
      <c r="X6" s="169"/>
      <c r="Y6" s="169"/>
    </row>
    <row r="7" spans="1:31" s="14" customFormat="1" ht="22.5" customHeight="1">
      <c r="B7" s="170" t="s">
        <v>31</v>
      </c>
      <c r="C7" s="170"/>
      <c r="D7" s="171" t="s">
        <v>32</v>
      </c>
      <c r="E7" s="171" t="s">
        <v>33</v>
      </c>
      <c r="F7" s="171"/>
      <c r="G7" s="171"/>
      <c r="H7" s="172" t="s">
        <v>34</v>
      </c>
      <c r="I7" s="173" t="s">
        <v>35</v>
      </c>
      <c r="J7" s="174" t="s">
        <v>36</v>
      </c>
      <c r="K7" s="175" t="s">
        <v>37</v>
      </c>
      <c r="L7" s="175"/>
      <c r="M7" s="175"/>
      <c r="N7" s="175"/>
      <c r="O7" s="176" t="s">
        <v>38</v>
      </c>
      <c r="P7" s="176"/>
      <c r="Q7" s="176"/>
      <c r="R7" s="176"/>
      <c r="S7" s="175" t="s">
        <v>39</v>
      </c>
      <c r="T7" s="175"/>
      <c r="U7" s="175"/>
      <c r="V7" s="175"/>
      <c r="W7" s="172" t="s">
        <v>40</v>
      </c>
      <c r="X7" s="172"/>
      <c r="Y7" s="177" t="s">
        <v>41</v>
      </c>
      <c r="Z7" s="15"/>
    </row>
    <row r="8" spans="1:31" s="14" customFormat="1" ht="22.5" customHeight="1">
      <c r="B8" s="170"/>
      <c r="C8" s="170"/>
      <c r="D8" s="171"/>
      <c r="E8" s="16" t="s">
        <v>42</v>
      </c>
      <c r="F8" s="178" t="s">
        <v>43</v>
      </c>
      <c r="G8" s="178"/>
      <c r="H8" s="172"/>
      <c r="I8" s="173"/>
      <c r="J8" s="174"/>
      <c r="K8" s="179" t="s">
        <v>44</v>
      </c>
      <c r="L8" s="179"/>
      <c r="M8" s="180" t="s">
        <v>45</v>
      </c>
      <c r="N8" s="180"/>
      <c r="O8" s="181" t="s">
        <v>44</v>
      </c>
      <c r="P8" s="181"/>
      <c r="Q8" s="180" t="s">
        <v>45</v>
      </c>
      <c r="R8" s="180"/>
      <c r="S8" s="179" t="s">
        <v>44</v>
      </c>
      <c r="T8" s="179"/>
      <c r="U8" s="180" t="s">
        <v>45</v>
      </c>
      <c r="V8" s="180"/>
      <c r="W8" s="172"/>
      <c r="X8" s="172"/>
      <c r="Y8" s="177"/>
      <c r="AA8" s="182" t="s">
        <v>46</v>
      </c>
      <c r="AB8" s="182"/>
      <c r="AC8" s="182"/>
      <c r="AD8" s="182"/>
    </row>
    <row r="9" spans="1:31" ht="18" customHeight="1">
      <c r="A9" s="17"/>
      <c r="B9" s="183" t="s">
        <v>47</v>
      </c>
      <c r="C9" s="183"/>
      <c r="D9" s="183" t="s">
        <v>48</v>
      </c>
      <c r="E9" s="18" t="s">
        <v>49</v>
      </c>
      <c r="F9" s="184" t="s">
        <v>50</v>
      </c>
      <c r="G9" s="184"/>
      <c r="H9" s="19">
        <v>4</v>
      </c>
      <c r="I9" s="20" t="s">
        <v>51</v>
      </c>
      <c r="J9" s="21">
        <f t="shared" ref="J9:J38" si="0">SUM(K9:V9)</f>
        <v>3</v>
      </c>
      <c r="K9" s="185">
        <v>3</v>
      </c>
      <c r="L9" s="185"/>
      <c r="M9" s="186"/>
      <c r="N9" s="186"/>
      <c r="O9" s="185"/>
      <c r="P9" s="185"/>
      <c r="Q9" s="186"/>
      <c r="R9" s="186"/>
      <c r="S9" s="185"/>
      <c r="T9" s="185"/>
      <c r="U9" s="186"/>
      <c r="V9" s="186"/>
      <c r="W9" s="19">
        <f t="shared" ref="W9:W31" si="1">SUM(K9:V9)</f>
        <v>3</v>
      </c>
      <c r="X9" s="187">
        <f>SUM(W9:W12)</f>
        <v>12</v>
      </c>
      <c r="Y9" s="188">
        <v>24</v>
      </c>
      <c r="Z9" s="17"/>
      <c r="AA9" s="22" t="s">
        <v>42</v>
      </c>
      <c r="AB9" s="23" t="s">
        <v>52</v>
      </c>
      <c r="AC9" s="23" t="s">
        <v>53</v>
      </c>
      <c r="AD9" s="24" t="s">
        <v>54</v>
      </c>
    </row>
    <row r="10" spans="1:31" ht="18" customHeight="1">
      <c r="A10" s="17"/>
      <c r="B10" s="183"/>
      <c r="C10" s="183"/>
      <c r="D10" s="183"/>
      <c r="E10" s="25" t="s">
        <v>49</v>
      </c>
      <c r="F10" s="189" t="s">
        <v>55</v>
      </c>
      <c r="G10" s="189"/>
      <c r="H10" s="26">
        <v>4</v>
      </c>
      <c r="I10" s="27" t="s">
        <v>51</v>
      </c>
      <c r="J10" s="28">
        <f t="shared" si="0"/>
        <v>3</v>
      </c>
      <c r="K10" s="190"/>
      <c r="L10" s="190"/>
      <c r="M10" s="191">
        <v>3</v>
      </c>
      <c r="N10" s="191"/>
      <c r="O10" s="190"/>
      <c r="P10" s="190"/>
      <c r="Q10" s="191"/>
      <c r="R10" s="191"/>
      <c r="S10" s="190"/>
      <c r="T10" s="190"/>
      <c r="U10" s="191"/>
      <c r="V10" s="191"/>
      <c r="W10" s="26">
        <f t="shared" si="1"/>
        <v>3</v>
      </c>
      <c r="X10" s="187"/>
      <c r="Y10" s="188"/>
      <c r="Z10" s="17"/>
      <c r="AA10" s="29" t="s">
        <v>56</v>
      </c>
      <c r="AB10" s="30">
        <v>4</v>
      </c>
      <c r="AC10" s="30">
        <v>-1</v>
      </c>
      <c r="AD10" s="7" t="s">
        <v>51</v>
      </c>
    </row>
    <row r="11" spans="1:31" ht="18" customHeight="1">
      <c r="A11" s="17"/>
      <c r="B11" s="183"/>
      <c r="C11" s="183"/>
      <c r="D11" s="183"/>
      <c r="E11" s="25" t="s">
        <v>57</v>
      </c>
      <c r="F11" s="189" t="s">
        <v>58</v>
      </c>
      <c r="G11" s="189"/>
      <c r="H11" s="26">
        <v>4</v>
      </c>
      <c r="I11" s="27" t="s">
        <v>59</v>
      </c>
      <c r="J11" s="28">
        <f t="shared" si="0"/>
        <v>3</v>
      </c>
      <c r="K11" s="190"/>
      <c r="L11" s="190"/>
      <c r="M11" s="191"/>
      <c r="N11" s="191"/>
      <c r="O11" s="190">
        <v>3</v>
      </c>
      <c r="P11" s="190"/>
      <c r="Q11" s="191"/>
      <c r="R11" s="191"/>
      <c r="S11" s="190"/>
      <c r="T11" s="190"/>
      <c r="U11" s="191"/>
      <c r="V11" s="191"/>
      <c r="W11" s="26">
        <f t="shared" si="1"/>
        <v>3</v>
      </c>
      <c r="X11" s="187"/>
      <c r="Y11" s="188"/>
      <c r="Z11" s="17"/>
      <c r="AA11" s="29" t="s">
        <v>60</v>
      </c>
      <c r="AB11" s="30">
        <v>3</v>
      </c>
      <c r="AC11" s="30"/>
      <c r="AD11" s="7">
        <v>3</v>
      </c>
    </row>
    <row r="12" spans="1:31" ht="18" customHeight="1">
      <c r="A12" s="17"/>
      <c r="B12" s="183"/>
      <c r="C12" s="183"/>
      <c r="D12" s="183"/>
      <c r="E12" s="31" t="s">
        <v>61</v>
      </c>
      <c r="F12" s="192" t="s">
        <v>62</v>
      </c>
      <c r="G12" s="192"/>
      <c r="H12" s="32">
        <v>4</v>
      </c>
      <c r="I12" s="33" t="s">
        <v>59</v>
      </c>
      <c r="J12" s="34">
        <f t="shared" si="0"/>
        <v>3</v>
      </c>
      <c r="K12" s="193"/>
      <c r="L12" s="193"/>
      <c r="M12" s="194"/>
      <c r="N12" s="194"/>
      <c r="O12" s="193"/>
      <c r="P12" s="193"/>
      <c r="Q12" s="194">
        <v>3</v>
      </c>
      <c r="R12" s="194"/>
      <c r="S12" s="193"/>
      <c r="T12" s="193"/>
      <c r="U12" s="194"/>
      <c r="V12" s="194"/>
      <c r="W12" s="32">
        <f t="shared" si="1"/>
        <v>3</v>
      </c>
      <c r="X12" s="187"/>
      <c r="Y12" s="188"/>
      <c r="Z12" s="17"/>
      <c r="AA12" s="29" t="s">
        <v>63</v>
      </c>
      <c r="AB12" s="30">
        <v>4</v>
      </c>
      <c r="AC12" s="30" t="s">
        <v>64</v>
      </c>
      <c r="AD12" s="7" t="s">
        <v>59</v>
      </c>
    </row>
    <row r="13" spans="1:31" ht="18" customHeight="1">
      <c r="A13" s="17"/>
      <c r="B13" s="183"/>
      <c r="C13" s="183"/>
      <c r="D13" s="183" t="s">
        <v>65</v>
      </c>
      <c r="E13" s="18" t="s">
        <v>49</v>
      </c>
      <c r="F13" s="184" t="s">
        <v>66</v>
      </c>
      <c r="G13" s="184"/>
      <c r="H13" s="19">
        <v>4</v>
      </c>
      <c r="I13" s="20" t="s">
        <v>51</v>
      </c>
      <c r="J13" s="21">
        <f t="shared" si="0"/>
        <v>3</v>
      </c>
      <c r="K13" s="185">
        <v>3</v>
      </c>
      <c r="L13" s="185"/>
      <c r="M13" s="186"/>
      <c r="N13" s="186"/>
      <c r="O13" s="185"/>
      <c r="P13" s="185"/>
      <c r="Q13" s="186"/>
      <c r="R13" s="186"/>
      <c r="S13" s="185"/>
      <c r="T13" s="185"/>
      <c r="U13" s="186"/>
      <c r="V13" s="186"/>
      <c r="W13" s="19">
        <f t="shared" si="1"/>
        <v>3</v>
      </c>
      <c r="X13" s="187">
        <f>SUM(W13:W16)</f>
        <v>12</v>
      </c>
      <c r="Y13" s="188"/>
      <c r="Z13" s="17"/>
      <c r="AA13" s="29" t="s">
        <v>67</v>
      </c>
      <c r="AB13" s="30">
        <v>3</v>
      </c>
      <c r="AC13" s="30" t="s">
        <v>64</v>
      </c>
      <c r="AD13" s="7" t="s">
        <v>68</v>
      </c>
    </row>
    <row r="14" spans="1:31" ht="18" customHeight="1">
      <c r="A14" s="17"/>
      <c r="B14" s="183"/>
      <c r="C14" s="183"/>
      <c r="D14" s="183"/>
      <c r="E14" s="25" t="s">
        <v>49</v>
      </c>
      <c r="F14" s="189" t="s">
        <v>69</v>
      </c>
      <c r="G14" s="189"/>
      <c r="H14" s="26">
        <v>4</v>
      </c>
      <c r="I14" s="27" t="s">
        <v>51</v>
      </c>
      <c r="J14" s="28">
        <f t="shared" si="0"/>
        <v>3</v>
      </c>
      <c r="K14" s="190"/>
      <c r="L14" s="190"/>
      <c r="M14" s="191">
        <v>3</v>
      </c>
      <c r="N14" s="191"/>
      <c r="O14" s="190"/>
      <c r="P14" s="190"/>
      <c r="Q14" s="191"/>
      <c r="R14" s="191"/>
      <c r="S14" s="190"/>
      <c r="T14" s="190"/>
      <c r="U14" s="191"/>
      <c r="V14" s="191"/>
      <c r="W14" s="26">
        <f t="shared" si="1"/>
        <v>3</v>
      </c>
      <c r="X14" s="187"/>
      <c r="Y14" s="188"/>
      <c r="Z14" s="17"/>
      <c r="AA14" s="35" t="s">
        <v>70</v>
      </c>
      <c r="AB14" s="195" t="s">
        <v>71</v>
      </c>
      <c r="AC14" s="195"/>
      <c r="AD14" s="195"/>
    </row>
    <row r="15" spans="1:31" ht="18" customHeight="1">
      <c r="A15" s="17"/>
      <c r="B15" s="183"/>
      <c r="C15" s="183"/>
      <c r="D15" s="183"/>
      <c r="E15" s="25" t="s">
        <v>72</v>
      </c>
      <c r="F15" s="189" t="s">
        <v>73</v>
      </c>
      <c r="G15" s="189"/>
      <c r="H15" s="26">
        <v>4</v>
      </c>
      <c r="I15" s="27" t="s">
        <v>59</v>
      </c>
      <c r="J15" s="28">
        <f t="shared" si="0"/>
        <v>3</v>
      </c>
      <c r="K15" s="190"/>
      <c r="L15" s="190"/>
      <c r="M15" s="191"/>
      <c r="N15" s="191"/>
      <c r="O15" s="190">
        <v>3</v>
      </c>
      <c r="P15" s="190"/>
      <c r="Q15" s="191"/>
      <c r="R15" s="191"/>
      <c r="S15" s="190"/>
      <c r="T15" s="190"/>
      <c r="U15" s="191"/>
      <c r="V15" s="191"/>
      <c r="W15" s="26">
        <f t="shared" si="1"/>
        <v>3</v>
      </c>
      <c r="X15" s="187"/>
      <c r="Y15" s="188"/>
      <c r="Z15" s="17"/>
      <c r="AA15" s="17"/>
      <c r="AB15" s="17"/>
      <c r="AC15" s="17"/>
      <c r="AD15" s="17"/>
      <c r="AE15" s="17"/>
    </row>
    <row r="16" spans="1:31" ht="18" customHeight="1">
      <c r="A16" s="17"/>
      <c r="B16" s="183"/>
      <c r="C16" s="183"/>
      <c r="D16" s="183"/>
      <c r="E16" s="31" t="s">
        <v>61</v>
      </c>
      <c r="F16" s="192" t="s">
        <v>74</v>
      </c>
      <c r="G16" s="192"/>
      <c r="H16" s="32">
        <v>4</v>
      </c>
      <c r="I16" s="33" t="s">
        <v>59</v>
      </c>
      <c r="J16" s="34">
        <f t="shared" si="0"/>
        <v>3</v>
      </c>
      <c r="K16" s="193"/>
      <c r="L16" s="193"/>
      <c r="M16" s="194"/>
      <c r="N16" s="194"/>
      <c r="O16" s="193"/>
      <c r="P16" s="193"/>
      <c r="Q16" s="194">
        <v>3</v>
      </c>
      <c r="R16" s="194"/>
      <c r="S16" s="193"/>
      <c r="T16" s="193"/>
      <c r="U16" s="194"/>
      <c r="V16" s="194"/>
      <c r="W16" s="32">
        <f t="shared" si="1"/>
        <v>3</v>
      </c>
      <c r="X16" s="187"/>
      <c r="Y16" s="188"/>
      <c r="Z16" s="17"/>
      <c r="AA16" s="17"/>
      <c r="AB16" s="17"/>
      <c r="AC16" s="17"/>
      <c r="AD16" s="17"/>
      <c r="AE16" s="17"/>
    </row>
    <row r="17" spans="1:31" ht="18" customHeight="1">
      <c r="A17" s="17"/>
      <c r="B17" s="183"/>
      <c r="C17" s="183"/>
      <c r="D17" s="183" t="s">
        <v>75</v>
      </c>
      <c r="E17" s="18" t="s">
        <v>49</v>
      </c>
      <c r="F17" s="184" t="s">
        <v>76</v>
      </c>
      <c r="G17" s="184"/>
      <c r="H17" s="19">
        <v>4</v>
      </c>
      <c r="I17" s="20" t="s">
        <v>51</v>
      </c>
      <c r="J17" s="21">
        <f t="shared" si="0"/>
        <v>3</v>
      </c>
      <c r="K17" s="185">
        <v>3</v>
      </c>
      <c r="L17" s="185"/>
      <c r="M17" s="186"/>
      <c r="N17" s="186"/>
      <c r="O17" s="185"/>
      <c r="P17" s="185"/>
      <c r="Q17" s="186"/>
      <c r="R17" s="186"/>
      <c r="S17" s="185"/>
      <c r="T17" s="185"/>
      <c r="U17" s="186"/>
      <c r="V17" s="186"/>
      <c r="W17" s="19">
        <f t="shared" si="1"/>
        <v>3</v>
      </c>
      <c r="X17" s="187">
        <f>SUM(W17:W20)</f>
        <v>12</v>
      </c>
      <c r="Y17" s="188"/>
      <c r="Z17" s="17"/>
      <c r="AA17" s="36"/>
      <c r="AB17" s="17"/>
      <c r="AC17" s="17"/>
      <c r="AD17" s="17"/>
      <c r="AE17" s="17"/>
    </row>
    <row r="18" spans="1:31" ht="18" customHeight="1">
      <c r="A18" s="17"/>
      <c r="B18" s="183"/>
      <c r="C18" s="183"/>
      <c r="D18" s="183"/>
      <c r="E18" s="25" t="s">
        <v>49</v>
      </c>
      <c r="F18" s="189" t="s">
        <v>77</v>
      </c>
      <c r="G18" s="189"/>
      <c r="H18" s="26">
        <v>4</v>
      </c>
      <c r="I18" s="27" t="s">
        <v>51</v>
      </c>
      <c r="J18" s="28">
        <f t="shared" si="0"/>
        <v>3</v>
      </c>
      <c r="K18" s="190"/>
      <c r="L18" s="190"/>
      <c r="M18" s="191">
        <v>3</v>
      </c>
      <c r="N18" s="191"/>
      <c r="O18" s="190"/>
      <c r="P18" s="190"/>
      <c r="Q18" s="191"/>
      <c r="R18" s="191"/>
      <c r="S18" s="190"/>
      <c r="T18" s="190"/>
      <c r="U18" s="191"/>
      <c r="V18" s="191"/>
      <c r="W18" s="26">
        <f t="shared" si="1"/>
        <v>3</v>
      </c>
      <c r="X18" s="187"/>
      <c r="Y18" s="188"/>
      <c r="Z18" s="17"/>
      <c r="AA18" s="37"/>
      <c r="AB18" s="17"/>
      <c r="AC18" s="17"/>
      <c r="AD18" s="17"/>
      <c r="AE18" s="17"/>
    </row>
    <row r="19" spans="1:31" ht="18" customHeight="1">
      <c r="A19" s="17"/>
      <c r="B19" s="183"/>
      <c r="C19" s="183"/>
      <c r="D19" s="183"/>
      <c r="E19" s="25" t="s">
        <v>72</v>
      </c>
      <c r="F19" s="189" t="s">
        <v>78</v>
      </c>
      <c r="G19" s="189"/>
      <c r="H19" s="26">
        <v>4</v>
      </c>
      <c r="I19" s="27" t="s">
        <v>59</v>
      </c>
      <c r="J19" s="28">
        <f t="shared" si="0"/>
        <v>3</v>
      </c>
      <c r="K19" s="190"/>
      <c r="L19" s="190"/>
      <c r="M19" s="191"/>
      <c r="N19" s="191"/>
      <c r="O19" s="190">
        <v>3</v>
      </c>
      <c r="P19" s="190"/>
      <c r="Q19" s="191"/>
      <c r="R19" s="191"/>
      <c r="S19" s="190"/>
      <c r="T19" s="190"/>
      <c r="U19" s="191"/>
      <c r="V19" s="191"/>
      <c r="W19" s="26">
        <f t="shared" si="1"/>
        <v>3</v>
      </c>
      <c r="X19" s="187"/>
      <c r="Y19" s="188"/>
      <c r="Z19" s="17"/>
      <c r="AA19" s="37"/>
      <c r="AB19" s="17"/>
      <c r="AC19" s="17"/>
      <c r="AD19" s="17"/>
      <c r="AE19" s="17"/>
    </row>
    <row r="20" spans="1:31" ht="18" customHeight="1">
      <c r="A20" s="17"/>
      <c r="B20" s="183"/>
      <c r="C20" s="183"/>
      <c r="D20" s="183"/>
      <c r="E20" s="31" t="s">
        <v>61</v>
      </c>
      <c r="F20" s="192" t="s">
        <v>79</v>
      </c>
      <c r="G20" s="192"/>
      <c r="H20" s="32">
        <v>4</v>
      </c>
      <c r="I20" s="33" t="s">
        <v>59</v>
      </c>
      <c r="J20" s="34">
        <f t="shared" si="0"/>
        <v>3</v>
      </c>
      <c r="K20" s="193"/>
      <c r="L20" s="193"/>
      <c r="M20" s="194"/>
      <c r="N20" s="194"/>
      <c r="O20" s="193"/>
      <c r="P20" s="193"/>
      <c r="Q20" s="194">
        <v>3</v>
      </c>
      <c r="R20" s="194"/>
      <c r="S20" s="193"/>
      <c r="T20" s="193"/>
      <c r="U20" s="194"/>
      <c r="V20" s="194"/>
      <c r="W20" s="32">
        <f t="shared" si="1"/>
        <v>3</v>
      </c>
      <c r="X20" s="187"/>
      <c r="Y20" s="188"/>
      <c r="Z20" s="17"/>
      <c r="AA20" s="37"/>
      <c r="AB20" s="17"/>
      <c r="AC20" s="17"/>
      <c r="AD20" s="17"/>
      <c r="AE20" s="17"/>
    </row>
    <row r="21" spans="1:31" ht="18" customHeight="1">
      <c r="A21" s="17"/>
      <c r="B21" s="183"/>
      <c r="C21" s="183"/>
      <c r="D21" s="183" t="s">
        <v>80</v>
      </c>
      <c r="E21" s="18" t="s">
        <v>49</v>
      </c>
      <c r="F21" s="184" t="s">
        <v>81</v>
      </c>
      <c r="G21" s="184"/>
      <c r="H21" s="19">
        <v>3</v>
      </c>
      <c r="I21" s="20" t="s">
        <v>82</v>
      </c>
      <c r="J21" s="21">
        <f t="shared" si="0"/>
        <v>3</v>
      </c>
      <c r="K21" s="185"/>
      <c r="L21" s="185"/>
      <c r="M21" s="186"/>
      <c r="N21" s="186"/>
      <c r="O21" s="185">
        <v>3</v>
      </c>
      <c r="P21" s="185"/>
      <c r="Q21" s="186"/>
      <c r="R21" s="186"/>
      <c r="S21" s="185"/>
      <c r="T21" s="185"/>
      <c r="U21" s="186"/>
      <c r="V21" s="186"/>
      <c r="W21" s="19">
        <f t="shared" si="1"/>
        <v>3</v>
      </c>
      <c r="X21" s="187">
        <f>SUM(W21:W22)</f>
        <v>6</v>
      </c>
      <c r="Y21" s="188">
        <v>6</v>
      </c>
      <c r="Z21" s="17"/>
      <c r="AA21" s="17"/>
      <c r="AB21" s="17"/>
      <c r="AC21" s="17"/>
      <c r="AD21" s="17"/>
      <c r="AE21" s="17"/>
    </row>
    <row r="22" spans="1:31" ht="18" customHeight="1">
      <c r="A22" s="17"/>
      <c r="B22" s="183"/>
      <c r="C22" s="183"/>
      <c r="D22" s="183"/>
      <c r="E22" s="25" t="s">
        <v>49</v>
      </c>
      <c r="F22" s="189" t="s">
        <v>83</v>
      </c>
      <c r="G22" s="189"/>
      <c r="H22" s="26">
        <v>3</v>
      </c>
      <c r="I22" s="27" t="s">
        <v>82</v>
      </c>
      <c r="J22" s="28">
        <f t="shared" si="0"/>
        <v>3</v>
      </c>
      <c r="K22" s="190"/>
      <c r="L22" s="190"/>
      <c r="M22" s="191"/>
      <c r="N22" s="191"/>
      <c r="O22" s="190"/>
      <c r="P22" s="190"/>
      <c r="Q22" s="191">
        <v>3</v>
      </c>
      <c r="R22" s="191"/>
      <c r="S22" s="190"/>
      <c r="T22" s="190"/>
      <c r="U22" s="191"/>
      <c r="V22" s="191"/>
      <c r="W22" s="26">
        <f t="shared" si="1"/>
        <v>3</v>
      </c>
      <c r="X22" s="187"/>
      <c r="Y22" s="188"/>
      <c r="Z22" s="17"/>
      <c r="AA22" s="17"/>
      <c r="AB22" s="17"/>
      <c r="AC22" s="17"/>
      <c r="AD22" s="17"/>
      <c r="AE22" s="17"/>
    </row>
    <row r="23" spans="1:31" ht="18" customHeight="1">
      <c r="A23" s="17"/>
      <c r="B23" s="183"/>
      <c r="C23" s="183"/>
      <c r="D23" s="183"/>
      <c r="E23" s="25" t="s">
        <v>49</v>
      </c>
      <c r="F23" s="189" t="s">
        <v>84</v>
      </c>
      <c r="G23" s="189"/>
      <c r="H23" s="26">
        <v>4</v>
      </c>
      <c r="I23" s="27" t="s">
        <v>51</v>
      </c>
      <c r="J23" s="28">
        <f t="shared" si="0"/>
        <v>3</v>
      </c>
      <c r="K23" s="190">
        <v>3</v>
      </c>
      <c r="L23" s="190"/>
      <c r="M23" s="191"/>
      <c r="N23" s="191"/>
      <c r="O23" s="190"/>
      <c r="P23" s="190"/>
      <c r="Q23" s="191"/>
      <c r="R23" s="191"/>
      <c r="S23" s="190"/>
      <c r="T23" s="190"/>
      <c r="U23" s="191"/>
      <c r="V23" s="191"/>
      <c r="W23" s="26">
        <f t="shared" si="1"/>
        <v>3</v>
      </c>
      <c r="X23" s="196">
        <f>SUM(W23:W24)</f>
        <v>6</v>
      </c>
      <c r="Y23" s="197">
        <v>12</v>
      </c>
      <c r="Z23" s="17"/>
      <c r="AA23" s="17"/>
      <c r="AB23" s="17"/>
      <c r="AC23" s="17"/>
      <c r="AD23" s="17"/>
      <c r="AE23" s="17"/>
    </row>
    <row r="24" spans="1:31" ht="18" customHeight="1">
      <c r="A24" s="17"/>
      <c r="B24" s="183"/>
      <c r="C24" s="183"/>
      <c r="D24" s="183"/>
      <c r="E24" s="31" t="s">
        <v>49</v>
      </c>
      <c r="F24" s="192" t="s">
        <v>85</v>
      </c>
      <c r="G24" s="192"/>
      <c r="H24" s="32">
        <v>4</v>
      </c>
      <c r="I24" s="33" t="s">
        <v>51</v>
      </c>
      <c r="J24" s="34">
        <f t="shared" si="0"/>
        <v>3</v>
      </c>
      <c r="K24" s="193"/>
      <c r="L24" s="193"/>
      <c r="M24" s="194">
        <v>3</v>
      </c>
      <c r="N24" s="194"/>
      <c r="O24" s="193"/>
      <c r="P24" s="193"/>
      <c r="Q24" s="194"/>
      <c r="R24" s="194"/>
      <c r="S24" s="193"/>
      <c r="T24" s="193"/>
      <c r="U24" s="194"/>
      <c r="V24" s="194"/>
      <c r="W24" s="32">
        <f t="shared" si="1"/>
        <v>3</v>
      </c>
      <c r="X24" s="196"/>
      <c r="Y24" s="197"/>
      <c r="Z24" s="17"/>
      <c r="AA24" s="17"/>
      <c r="AB24" s="17"/>
      <c r="AC24" s="17"/>
      <c r="AD24" s="17"/>
      <c r="AE24" s="17"/>
    </row>
    <row r="25" spans="1:31" ht="18" customHeight="1">
      <c r="A25" s="17"/>
      <c r="B25" s="183"/>
      <c r="C25" s="183"/>
      <c r="D25" s="183" t="s">
        <v>86</v>
      </c>
      <c r="E25" s="18" t="s">
        <v>49</v>
      </c>
      <c r="F25" s="184" t="s">
        <v>87</v>
      </c>
      <c r="G25" s="184"/>
      <c r="H25" s="19">
        <v>4</v>
      </c>
      <c r="I25" s="20" t="s">
        <v>51</v>
      </c>
      <c r="J25" s="21">
        <f t="shared" si="0"/>
        <v>3</v>
      </c>
      <c r="K25" s="185">
        <v>3</v>
      </c>
      <c r="L25" s="185"/>
      <c r="M25" s="186"/>
      <c r="N25" s="186"/>
      <c r="O25" s="185"/>
      <c r="P25" s="185"/>
      <c r="Q25" s="186"/>
      <c r="R25" s="186"/>
      <c r="S25" s="185"/>
      <c r="T25" s="185"/>
      <c r="U25" s="186"/>
      <c r="V25" s="186"/>
      <c r="W25" s="19">
        <f t="shared" si="1"/>
        <v>3</v>
      </c>
      <c r="X25" s="187">
        <f>SUM(W25:W26)</f>
        <v>6</v>
      </c>
      <c r="Y25" s="197"/>
      <c r="Z25" s="17"/>
      <c r="AA25" s="17"/>
      <c r="AB25" s="17"/>
      <c r="AC25" s="17"/>
      <c r="AD25" s="17"/>
      <c r="AE25" s="17"/>
    </row>
    <row r="26" spans="1:31" ht="18" customHeight="1">
      <c r="A26" s="17"/>
      <c r="B26" s="183"/>
      <c r="C26" s="183"/>
      <c r="D26" s="183"/>
      <c r="E26" s="31" t="s">
        <v>49</v>
      </c>
      <c r="F26" s="192" t="s">
        <v>88</v>
      </c>
      <c r="G26" s="192"/>
      <c r="H26" s="32">
        <v>4</v>
      </c>
      <c r="I26" s="33" t="s">
        <v>51</v>
      </c>
      <c r="J26" s="34">
        <f t="shared" si="0"/>
        <v>3</v>
      </c>
      <c r="K26" s="193"/>
      <c r="L26" s="193"/>
      <c r="M26" s="194">
        <v>3</v>
      </c>
      <c r="N26" s="194"/>
      <c r="O26" s="193"/>
      <c r="P26" s="193"/>
      <c r="Q26" s="194"/>
      <c r="R26" s="194"/>
      <c r="S26" s="193"/>
      <c r="T26" s="193"/>
      <c r="U26" s="194"/>
      <c r="V26" s="194"/>
      <c r="W26" s="32">
        <f t="shared" si="1"/>
        <v>3</v>
      </c>
      <c r="X26" s="187"/>
      <c r="Y26" s="197"/>
      <c r="Z26" s="17"/>
      <c r="AA26" s="17"/>
      <c r="AB26" s="17"/>
      <c r="AC26" s="17"/>
      <c r="AD26" s="17"/>
      <c r="AE26" s="17"/>
    </row>
    <row r="27" spans="1:31" ht="18" customHeight="1">
      <c r="A27" s="17"/>
      <c r="B27" s="183"/>
      <c r="C27" s="183"/>
      <c r="D27" s="183" t="s">
        <v>89</v>
      </c>
      <c r="E27" s="18" t="s">
        <v>57</v>
      </c>
      <c r="F27" s="184" t="s">
        <v>90</v>
      </c>
      <c r="G27" s="184"/>
      <c r="H27" s="19">
        <v>3</v>
      </c>
      <c r="I27" s="20" t="s">
        <v>68</v>
      </c>
      <c r="J27" s="21">
        <f t="shared" si="0"/>
        <v>2</v>
      </c>
      <c r="K27" s="185">
        <v>2</v>
      </c>
      <c r="L27" s="185"/>
      <c r="M27" s="186"/>
      <c r="N27" s="186"/>
      <c r="O27" s="185"/>
      <c r="P27" s="185"/>
      <c r="Q27" s="186"/>
      <c r="R27" s="186"/>
      <c r="S27" s="185"/>
      <c r="T27" s="185"/>
      <c r="U27" s="186"/>
      <c r="V27" s="186"/>
      <c r="W27" s="19">
        <f t="shared" si="1"/>
        <v>2</v>
      </c>
      <c r="X27" s="187">
        <f>SUM(W27:W31)</f>
        <v>10</v>
      </c>
      <c r="Y27" s="188">
        <v>8</v>
      </c>
      <c r="Z27" s="17"/>
      <c r="AA27" s="17"/>
      <c r="AB27" s="17"/>
      <c r="AC27" s="17"/>
      <c r="AD27" s="17"/>
      <c r="AE27" s="17"/>
    </row>
    <row r="28" spans="1:31" ht="18" customHeight="1">
      <c r="A28" s="17"/>
      <c r="B28" s="183"/>
      <c r="C28" s="183"/>
      <c r="D28" s="183"/>
      <c r="E28" s="25" t="s">
        <v>57</v>
      </c>
      <c r="F28" s="189" t="s">
        <v>91</v>
      </c>
      <c r="G28" s="189"/>
      <c r="H28" s="26">
        <v>3</v>
      </c>
      <c r="I28" s="27" t="s">
        <v>68</v>
      </c>
      <c r="J28" s="28">
        <f t="shared" si="0"/>
        <v>2</v>
      </c>
      <c r="K28" s="190"/>
      <c r="L28" s="190"/>
      <c r="M28" s="191">
        <v>2</v>
      </c>
      <c r="N28" s="191"/>
      <c r="O28" s="190"/>
      <c r="P28" s="190"/>
      <c r="Q28" s="191"/>
      <c r="R28" s="191"/>
      <c r="S28" s="190"/>
      <c r="T28" s="190"/>
      <c r="U28" s="191"/>
      <c r="V28" s="191"/>
      <c r="W28" s="26">
        <f t="shared" si="1"/>
        <v>2</v>
      </c>
      <c r="X28" s="187"/>
      <c r="Y28" s="188"/>
      <c r="Z28" s="17"/>
      <c r="AA28" s="17"/>
      <c r="AB28" s="17"/>
      <c r="AC28" s="17"/>
      <c r="AD28" s="17"/>
      <c r="AE28" s="17"/>
    </row>
    <row r="29" spans="1:31" ht="18" customHeight="1">
      <c r="A29" s="17"/>
      <c r="B29" s="183"/>
      <c r="C29" s="183"/>
      <c r="D29" s="183"/>
      <c r="E29" s="25" t="s">
        <v>72</v>
      </c>
      <c r="F29" s="189" t="s">
        <v>92</v>
      </c>
      <c r="G29" s="189"/>
      <c r="H29" s="26">
        <v>3</v>
      </c>
      <c r="I29" s="27" t="s">
        <v>68</v>
      </c>
      <c r="J29" s="28">
        <f t="shared" si="0"/>
        <v>2</v>
      </c>
      <c r="K29" s="190"/>
      <c r="L29" s="190"/>
      <c r="M29" s="191"/>
      <c r="N29" s="191"/>
      <c r="O29" s="190">
        <v>2</v>
      </c>
      <c r="P29" s="190"/>
      <c r="Q29" s="191"/>
      <c r="R29" s="191"/>
      <c r="S29" s="190"/>
      <c r="T29" s="190"/>
      <c r="U29" s="191"/>
      <c r="V29" s="191"/>
      <c r="W29" s="26">
        <f t="shared" si="1"/>
        <v>2</v>
      </c>
      <c r="X29" s="187"/>
      <c r="Y29" s="188"/>
      <c r="Z29" s="17"/>
      <c r="AA29" s="17"/>
      <c r="AB29" s="17"/>
      <c r="AC29" s="17"/>
      <c r="AD29" s="17"/>
      <c r="AE29" s="17"/>
    </row>
    <row r="30" spans="1:31" ht="18" customHeight="1">
      <c r="A30" s="17"/>
      <c r="B30" s="183"/>
      <c r="C30" s="183"/>
      <c r="D30" s="183"/>
      <c r="E30" s="25" t="s">
        <v>72</v>
      </c>
      <c r="F30" s="189" t="s">
        <v>93</v>
      </c>
      <c r="G30" s="189"/>
      <c r="H30" s="26">
        <v>3</v>
      </c>
      <c r="I30" s="27" t="s">
        <v>68</v>
      </c>
      <c r="J30" s="28">
        <f t="shared" si="0"/>
        <v>2</v>
      </c>
      <c r="K30" s="190"/>
      <c r="L30" s="190"/>
      <c r="M30" s="191"/>
      <c r="N30" s="191"/>
      <c r="O30" s="190"/>
      <c r="P30" s="190"/>
      <c r="Q30" s="191">
        <v>2</v>
      </c>
      <c r="R30" s="191"/>
      <c r="S30" s="190"/>
      <c r="T30" s="190"/>
      <c r="U30" s="191"/>
      <c r="V30" s="191"/>
      <c r="W30" s="26">
        <f t="shared" si="1"/>
        <v>2</v>
      </c>
      <c r="X30" s="187"/>
      <c r="Y30" s="188"/>
      <c r="Z30" s="17"/>
      <c r="AA30" s="17"/>
      <c r="AB30" s="17"/>
      <c r="AC30" s="17"/>
      <c r="AD30" s="17"/>
      <c r="AE30" s="17"/>
    </row>
    <row r="31" spans="1:31" ht="18" customHeight="1">
      <c r="A31" s="17"/>
      <c r="B31" s="183"/>
      <c r="C31" s="183"/>
      <c r="D31" s="183"/>
      <c r="E31" s="31" t="s">
        <v>61</v>
      </c>
      <c r="F31" s="192" t="s">
        <v>94</v>
      </c>
      <c r="G31" s="192"/>
      <c r="H31" s="32">
        <v>2</v>
      </c>
      <c r="I31" s="33" t="s">
        <v>95</v>
      </c>
      <c r="J31" s="34">
        <f t="shared" si="0"/>
        <v>2</v>
      </c>
      <c r="K31" s="193"/>
      <c r="L31" s="193"/>
      <c r="M31" s="194"/>
      <c r="N31" s="194"/>
      <c r="O31" s="193"/>
      <c r="P31" s="193"/>
      <c r="Q31" s="194"/>
      <c r="R31" s="194"/>
      <c r="S31" s="193">
        <v>2</v>
      </c>
      <c r="T31" s="193"/>
      <c r="U31" s="194"/>
      <c r="V31" s="194"/>
      <c r="W31" s="32">
        <f t="shared" si="1"/>
        <v>2</v>
      </c>
      <c r="X31" s="187"/>
      <c r="Y31" s="188"/>
      <c r="Z31" s="17"/>
      <c r="AA31" s="17"/>
      <c r="AB31" s="17"/>
      <c r="AC31" s="17"/>
      <c r="AD31" s="17"/>
      <c r="AE31" s="17"/>
    </row>
    <row r="32" spans="1:31" ht="18" customHeight="1">
      <c r="A32" s="17"/>
      <c r="B32" s="183"/>
      <c r="C32" s="183"/>
      <c r="D32" s="183" t="s">
        <v>96</v>
      </c>
      <c r="E32" s="18" t="s">
        <v>57</v>
      </c>
      <c r="F32" s="184" t="s">
        <v>97</v>
      </c>
      <c r="G32" s="184"/>
      <c r="H32" s="19">
        <v>3</v>
      </c>
      <c r="I32" s="20" t="s">
        <v>68</v>
      </c>
      <c r="J32" s="21">
        <f t="shared" si="0"/>
        <v>2</v>
      </c>
      <c r="K32" s="185">
        <v>2</v>
      </c>
      <c r="L32" s="185"/>
      <c r="M32" s="186"/>
      <c r="N32" s="186"/>
      <c r="O32" s="185"/>
      <c r="P32" s="185"/>
      <c r="Q32" s="186"/>
      <c r="R32" s="186"/>
      <c r="S32" s="185"/>
      <c r="T32" s="185"/>
      <c r="U32" s="186"/>
      <c r="V32" s="186"/>
      <c r="W32" s="198">
        <f>SUM(K32:V35)</f>
        <v>8</v>
      </c>
      <c r="X32" s="198"/>
      <c r="Y32" s="188">
        <v>6</v>
      </c>
      <c r="Z32" s="17"/>
      <c r="AA32" s="17"/>
      <c r="AB32" s="17"/>
      <c r="AC32" s="17"/>
      <c r="AD32" s="17"/>
      <c r="AE32" s="17"/>
    </row>
    <row r="33" spans="1:31" ht="18" customHeight="1">
      <c r="A33" s="17"/>
      <c r="B33" s="183"/>
      <c r="C33" s="183"/>
      <c r="D33" s="183"/>
      <c r="E33" s="25" t="s">
        <v>61</v>
      </c>
      <c r="F33" s="189" t="s">
        <v>98</v>
      </c>
      <c r="G33" s="189"/>
      <c r="H33" s="26">
        <v>3</v>
      </c>
      <c r="I33" s="27" t="s">
        <v>68</v>
      </c>
      <c r="J33" s="28">
        <f t="shared" si="0"/>
        <v>2</v>
      </c>
      <c r="K33" s="190"/>
      <c r="L33" s="190"/>
      <c r="M33" s="191">
        <v>2</v>
      </c>
      <c r="N33" s="191"/>
      <c r="O33" s="190"/>
      <c r="P33" s="190"/>
      <c r="Q33" s="191"/>
      <c r="R33" s="191"/>
      <c r="S33" s="190"/>
      <c r="T33" s="190"/>
      <c r="U33" s="191"/>
      <c r="V33" s="191"/>
      <c r="W33" s="198"/>
      <c r="X33" s="198"/>
      <c r="Y33" s="188"/>
      <c r="Z33" s="17"/>
      <c r="AA33" s="17"/>
      <c r="AB33" s="17"/>
      <c r="AC33" s="17"/>
      <c r="AD33" s="17"/>
      <c r="AE33" s="17"/>
    </row>
    <row r="34" spans="1:31" ht="18" customHeight="1">
      <c r="A34" s="17"/>
      <c r="B34" s="183"/>
      <c r="C34" s="183"/>
      <c r="D34" s="183"/>
      <c r="E34" s="25" t="s">
        <v>57</v>
      </c>
      <c r="F34" s="189" t="s">
        <v>99</v>
      </c>
      <c r="G34" s="189"/>
      <c r="H34" s="26">
        <v>3</v>
      </c>
      <c r="I34" s="27" t="s">
        <v>68</v>
      </c>
      <c r="J34" s="28">
        <f t="shared" si="0"/>
        <v>2</v>
      </c>
      <c r="K34" s="190">
        <v>2</v>
      </c>
      <c r="L34" s="190"/>
      <c r="M34" s="191"/>
      <c r="N34" s="191"/>
      <c r="O34" s="190"/>
      <c r="P34" s="190"/>
      <c r="Q34" s="191"/>
      <c r="R34" s="191"/>
      <c r="S34" s="190"/>
      <c r="T34" s="190"/>
      <c r="U34" s="191"/>
      <c r="V34" s="191"/>
      <c r="W34" s="198"/>
      <c r="X34" s="198"/>
      <c r="Y34" s="188"/>
      <c r="Z34" s="17"/>
      <c r="AA34" s="17"/>
      <c r="AB34" s="17"/>
      <c r="AC34" s="17"/>
      <c r="AD34" s="17"/>
      <c r="AE34" s="17"/>
    </row>
    <row r="35" spans="1:31" ht="18" customHeight="1">
      <c r="A35" s="17"/>
      <c r="B35" s="183"/>
      <c r="C35" s="183"/>
      <c r="D35" s="183"/>
      <c r="E35" s="31" t="s">
        <v>61</v>
      </c>
      <c r="F35" s="192" t="s">
        <v>100</v>
      </c>
      <c r="G35" s="192"/>
      <c r="H35" s="32">
        <v>3</v>
      </c>
      <c r="I35" s="33" t="s">
        <v>68</v>
      </c>
      <c r="J35" s="34">
        <f t="shared" si="0"/>
        <v>2</v>
      </c>
      <c r="K35" s="193"/>
      <c r="L35" s="193"/>
      <c r="M35" s="194">
        <v>2</v>
      </c>
      <c r="N35" s="194"/>
      <c r="O35" s="193"/>
      <c r="P35" s="193"/>
      <c r="Q35" s="194"/>
      <c r="R35" s="194"/>
      <c r="S35" s="193"/>
      <c r="T35" s="193"/>
      <c r="U35" s="194"/>
      <c r="V35" s="194"/>
      <c r="W35" s="198"/>
      <c r="X35" s="198"/>
      <c r="Y35" s="188"/>
      <c r="Z35" s="17"/>
      <c r="AA35" s="17"/>
      <c r="AB35" s="17"/>
      <c r="AC35" s="17"/>
      <c r="AD35" s="17"/>
      <c r="AE35" s="17"/>
    </row>
    <row r="36" spans="1:31" ht="24" customHeight="1">
      <c r="A36" s="17"/>
      <c r="B36" s="183"/>
      <c r="C36" s="183"/>
      <c r="D36" s="199" t="s">
        <v>101</v>
      </c>
      <c r="E36" s="18" t="s">
        <v>57</v>
      </c>
      <c r="F36" s="184" t="s">
        <v>102</v>
      </c>
      <c r="G36" s="184"/>
      <c r="H36" s="39">
        <v>3</v>
      </c>
      <c r="I36" s="40" t="s">
        <v>68</v>
      </c>
      <c r="J36" s="41">
        <f t="shared" si="0"/>
        <v>3</v>
      </c>
      <c r="K36" s="185"/>
      <c r="L36" s="185"/>
      <c r="M36" s="186"/>
      <c r="N36" s="186"/>
      <c r="O36" s="185"/>
      <c r="P36" s="185"/>
      <c r="Q36" s="186">
        <v>3</v>
      </c>
      <c r="R36" s="186"/>
      <c r="S36" s="185"/>
      <c r="T36" s="185"/>
      <c r="U36" s="186"/>
      <c r="V36" s="186"/>
      <c r="W36" s="198">
        <f>SUM(K36:V38)</f>
        <v>9</v>
      </c>
      <c r="X36" s="198"/>
      <c r="Y36" s="188">
        <v>8</v>
      </c>
      <c r="Z36" s="17"/>
      <c r="AA36" s="17"/>
      <c r="AB36" s="17"/>
      <c r="AC36" s="17"/>
      <c r="AD36" s="17"/>
      <c r="AE36" s="17"/>
    </row>
    <row r="37" spans="1:31" ht="24" customHeight="1">
      <c r="A37" s="17"/>
      <c r="B37" s="183"/>
      <c r="C37" s="183"/>
      <c r="D37" s="199"/>
      <c r="E37" s="25" t="s">
        <v>57</v>
      </c>
      <c r="F37" s="189" t="s">
        <v>103</v>
      </c>
      <c r="G37" s="189"/>
      <c r="H37" s="42">
        <v>3</v>
      </c>
      <c r="I37" s="43" t="s">
        <v>68</v>
      </c>
      <c r="J37" s="44">
        <f t="shared" si="0"/>
        <v>3</v>
      </c>
      <c r="K37" s="190"/>
      <c r="L37" s="190"/>
      <c r="M37" s="191"/>
      <c r="N37" s="191"/>
      <c r="O37" s="190">
        <v>3</v>
      </c>
      <c r="P37" s="190"/>
      <c r="Q37" s="191"/>
      <c r="R37" s="191"/>
      <c r="S37" s="190"/>
      <c r="T37" s="190"/>
      <c r="U37" s="191"/>
      <c r="V37" s="191"/>
      <c r="W37" s="198"/>
      <c r="X37" s="198"/>
      <c r="Y37" s="188"/>
      <c r="Z37" s="17"/>
      <c r="AA37" s="17"/>
      <c r="AB37" s="17"/>
      <c r="AC37" s="17"/>
      <c r="AD37" s="17"/>
      <c r="AE37" s="17"/>
    </row>
    <row r="38" spans="1:31" ht="36" customHeight="1">
      <c r="A38" s="17"/>
      <c r="B38" s="183"/>
      <c r="C38" s="183"/>
      <c r="D38" s="199"/>
      <c r="E38" s="31" t="s">
        <v>104</v>
      </c>
      <c r="F38" s="200" t="s">
        <v>105</v>
      </c>
      <c r="G38" s="200"/>
      <c r="H38" s="45">
        <v>3</v>
      </c>
      <c r="I38" s="46" t="s">
        <v>68</v>
      </c>
      <c r="J38" s="47">
        <f t="shared" si="0"/>
        <v>3</v>
      </c>
      <c r="K38" s="193"/>
      <c r="L38" s="193"/>
      <c r="M38" s="194">
        <v>3</v>
      </c>
      <c r="N38" s="194"/>
      <c r="O38" s="193"/>
      <c r="P38" s="193"/>
      <c r="Q38" s="194"/>
      <c r="R38" s="194"/>
      <c r="S38" s="193"/>
      <c r="T38" s="193"/>
      <c r="U38" s="194"/>
      <c r="V38" s="194"/>
      <c r="W38" s="198"/>
      <c r="X38" s="198"/>
      <c r="Y38" s="188"/>
      <c r="Z38" s="17"/>
      <c r="AA38" s="17"/>
      <c r="AB38" s="17"/>
      <c r="AC38" s="17"/>
      <c r="AD38" s="17"/>
      <c r="AE38" s="17"/>
    </row>
    <row r="39" spans="1:31" ht="21.75" customHeight="1">
      <c r="A39" s="17"/>
      <c r="B39" s="201" t="s">
        <v>106</v>
      </c>
      <c r="C39" s="201"/>
      <c r="D39" s="201"/>
      <c r="E39" s="201"/>
      <c r="F39" s="201"/>
      <c r="G39" s="201"/>
      <c r="H39" s="48"/>
      <c r="I39" s="49"/>
      <c r="J39" s="50">
        <f>SUM(J9:J38)</f>
        <v>81</v>
      </c>
      <c r="K39" s="202">
        <f>SUM(K9:K38)</f>
        <v>21</v>
      </c>
      <c r="L39" s="202"/>
      <c r="M39" s="203">
        <f>SUM(M9:M38)</f>
        <v>24</v>
      </c>
      <c r="N39" s="203"/>
      <c r="O39" s="202">
        <f>SUM(O9:O38)</f>
        <v>17</v>
      </c>
      <c r="P39" s="202"/>
      <c r="Q39" s="203">
        <f>SUM(Q9:Q38)</f>
        <v>17</v>
      </c>
      <c r="R39" s="203"/>
      <c r="S39" s="202">
        <f>SUM(S9:S38)</f>
        <v>2</v>
      </c>
      <c r="T39" s="202"/>
      <c r="U39" s="203">
        <f>SUM(U9:U38)</f>
        <v>0</v>
      </c>
      <c r="V39" s="203"/>
      <c r="W39" s="204">
        <f t="shared" ref="W39:W53" si="2">SUM(K39:V39)</f>
        <v>81</v>
      </c>
      <c r="X39" s="204"/>
      <c r="Y39" s="51">
        <f>SUM(Y9:Y38)</f>
        <v>64</v>
      </c>
      <c r="Z39" s="17"/>
      <c r="AA39" s="205" t="b">
        <f>W39&gt;=Y39</f>
        <v>1</v>
      </c>
      <c r="AB39" s="205"/>
      <c r="AC39" s="17"/>
      <c r="AD39" s="17"/>
      <c r="AE39" s="17"/>
    </row>
    <row r="40" spans="1:31" ht="18" customHeight="1">
      <c r="A40" s="17"/>
      <c r="B40" s="183" t="s">
        <v>107</v>
      </c>
      <c r="C40" s="183"/>
      <c r="D40" s="183" t="s">
        <v>104</v>
      </c>
      <c r="E40" s="183"/>
      <c r="F40" s="184" t="s">
        <v>108</v>
      </c>
      <c r="G40" s="184"/>
      <c r="H40" s="19"/>
      <c r="I40" s="20"/>
      <c r="J40" s="21">
        <f t="shared" ref="J40:J64" si="3">SUM(K40:V40)</f>
        <v>5</v>
      </c>
      <c r="K40" s="185"/>
      <c r="L40" s="185"/>
      <c r="M40" s="186"/>
      <c r="N40" s="186"/>
      <c r="O40" s="185"/>
      <c r="P40" s="185"/>
      <c r="Q40" s="186"/>
      <c r="R40" s="186"/>
      <c r="S40" s="185"/>
      <c r="T40" s="185"/>
      <c r="U40" s="186">
        <v>5</v>
      </c>
      <c r="V40" s="186"/>
      <c r="W40" s="183">
        <f t="shared" si="2"/>
        <v>5</v>
      </c>
      <c r="X40" s="183"/>
      <c r="Y40" s="188">
        <v>80</v>
      </c>
      <c r="Z40" s="17"/>
      <c r="AA40" s="17"/>
      <c r="AB40" s="17"/>
      <c r="AC40" s="17"/>
      <c r="AD40" s="17"/>
      <c r="AE40" s="17"/>
    </row>
    <row r="41" spans="1:31" ht="18" customHeight="1">
      <c r="A41" s="17"/>
      <c r="B41" s="183"/>
      <c r="C41" s="183"/>
      <c r="D41" s="25" t="s">
        <v>23</v>
      </c>
      <c r="E41" s="25" t="s">
        <v>109</v>
      </c>
      <c r="F41" s="189" t="s">
        <v>110</v>
      </c>
      <c r="G41" s="189"/>
      <c r="H41" s="26"/>
      <c r="I41" s="27"/>
      <c r="J41" s="28">
        <f t="shared" si="3"/>
        <v>4</v>
      </c>
      <c r="K41" s="190">
        <v>4</v>
      </c>
      <c r="L41" s="190"/>
      <c r="M41" s="191"/>
      <c r="N41" s="191"/>
      <c r="O41" s="190"/>
      <c r="P41" s="190"/>
      <c r="Q41" s="191"/>
      <c r="R41" s="191"/>
      <c r="S41" s="190"/>
      <c r="T41" s="190"/>
      <c r="U41" s="191"/>
      <c r="V41" s="191"/>
      <c r="W41" s="206">
        <f t="shared" si="2"/>
        <v>4</v>
      </c>
      <c r="X41" s="206"/>
      <c r="Y41" s="188"/>
      <c r="Z41" s="17"/>
      <c r="AA41" s="17"/>
      <c r="AB41" s="17"/>
      <c r="AC41" s="17"/>
      <c r="AD41" s="17"/>
      <c r="AE41" s="17"/>
    </row>
    <row r="42" spans="1:31" ht="18" customHeight="1">
      <c r="A42" s="17"/>
      <c r="B42" s="183"/>
      <c r="C42" s="183"/>
      <c r="D42" s="25" t="s">
        <v>23</v>
      </c>
      <c r="E42" s="25" t="s">
        <v>109</v>
      </c>
      <c r="F42" s="189" t="s">
        <v>111</v>
      </c>
      <c r="G42" s="189"/>
      <c r="H42" s="26"/>
      <c r="I42" s="27"/>
      <c r="J42" s="28">
        <f t="shared" si="3"/>
        <v>4</v>
      </c>
      <c r="K42" s="190">
        <v>4</v>
      </c>
      <c r="L42" s="190"/>
      <c r="M42" s="191"/>
      <c r="N42" s="191"/>
      <c r="O42" s="190"/>
      <c r="P42" s="190"/>
      <c r="Q42" s="191"/>
      <c r="R42" s="191"/>
      <c r="S42" s="190"/>
      <c r="T42" s="190"/>
      <c r="U42" s="191"/>
      <c r="V42" s="191"/>
      <c r="W42" s="206">
        <f t="shared" si="2"/>
        <v>4</v>
      </c>
      <c r="X42" s="206"/>
      <c r="Y42" s="188"/>
      <c r="Z42" s="17"/>
      <c r="AA42" s="17"/>
      <c r="AB42" s="17"/>
      <c r="AC42" s="17"/>
      <c r="AD42" s="17"/>
      <c r="AE42" s="17"/>
    </row>
    <row r="43" spans="1:31" ht="18" customHeight="1">
      <c r="A43" s="17"/>
      <c r="B43" s="183"/>
      <c r="C43" s="183"/>
      <c r="D43" s="25" t="s">
        <v>23</v>
      </c>
      <c r="E43" s="25" t="s">
        <v>109</v>
      </c>
      <c r="F43" s="189" t="s">
        <v>112</v>
      </c>
      <c r="G43" s="189"/>
      <c r="H43" s="26"/>
      <c r="I43" s="27"/>
      <c r="J43" s="28">
        <f t="shared" si="3"/>
        <v>5</v>
      </c>
      <c r="K43" s="190"/>
      <c r="L43" s="190"/>
      <c r="M43" s="191">
        <v>5</v>
      </c>
      <c r="N43" s="191"/>
      <c r="O43" s="190"/>
      <c r="P43" s="190"/>
      <c r="Q43" s="191"/>
      <c r="R43" s="191"/>
      <c r="S43" s="190"/>
      <c r="T43" s="190"/>
      <c r="U43" s="191"/>
      <c r="V43" s="191"/>
      <c r="W43" s="206">
        <f t="shared" si="2"/>
        <v>5</v>
      </c>
      <c r="X43" s="206"/>
      <c r="Y43" s="188"/>
      <c r="Z43" s="17"/>
      <c r="AA43" s="17"/>
      <c r="AB43" s="17"/>
      <c r="AC43" s="17"/>
      <c r="AD43" s="17"/>
      <c r="AE43" s="17"/>
    </row>
    <row r="44" spans="1:31" ht="18" customHeight="1">
      <c r="A44" s="17"/>
      <c r="B44" s="183"/>
      <c r="C44" s="183"/>
      <c r="D44" s="25" t="s">
        <v>23</v>
      </c>
      <c r="E44" s="25" t="s">
        <v>109</v>
      </c>
      <c r="F44" s="189" t="s">
        <v>113</v>
      </c>
      <c r="G44" s="189"/>
      <c r="H44" s="26"/>
      <c r="I44" s="27"/>
      <c r="J44" s="28">
        <f t="shared" si="3"/>
        <v>4</v>
      </c>
      <c r="K44" s="190"/>
      <c r="L44" s="190"/>
      <c r="M44" s="191"/>
      <c r="N44" s="191"/>
      <c r="O44" s="190">
        <v>4</v>
      </c>
      <c r="P44" s="190"/>
      <c r="Q44" s="191"/>
      <c r="R44" s="191"/>
      <c r="S44" s="190"/>
      <c r="T44" s="190"/>
      <c r="U44" s="191"/>
      <c r="V44" s="191"/>
      <c r="W44" s="206">
        <f t="shared" si="2"/>
        <v>4</v>
      </c>
      <c r="X44" s="206"/>
      <c r="Y44" s="188"/>
      <c r="Z44" s="17"/>
      <c r="AA44" s="17"/>
      <c r="AB44" s="17"/>
      <c r="AC44" s="17"/>
      <c r="AD44" s="17"/>
      <c r="AE44" s="17"/>
    </row>
    <row r="45" spans="1:31" ht="18" customHeight="1">
      <c r="A45" s="17"/>
      <c r="B45" s="183"/>
      <c r="C45" s="183"/>
      <c r="D45" s="25" t="s">
        <v>23</v>
      </c>
      <c r="E45" s="25" t="s">
        <v>109</v>
      </c>
      <c r="F45" s="189" t="s">
        <v>114</v>
      </c>
      <c r="G45" s="189"/>
      <c r="H45" s="26"/>
      <c r="I45" s="27"/>
      <c r="J45" s="28">
        <f t="shared" si="3"/>
        <v>4</v>
      </c>
      <c r="K45" s="190"/>
      <c r="L45" s="190"/>
      <c r="M45" s="191"/>
      <c r="N45" s="191"/>
      <c r="O45" s="190">
        <v>4</v>
      </c>
      <c r="P45" s="190"/>
      <c r="Q45" s="191"/>
      <c r="R45" s="191"/>
      <c r="S45" s="190"/>
      <c r="T45" s="190"/>
      <c r="U45" s="191"/>
      <c r="V45" s="191"/>
      <c r="W45" s="206">
        <f t="shared" si="2"/>
        <v>4</v>
      </c>
      <c r="X45" s="206"/>
      <c r="Y45" s="188"/>
      <c r="Z45" s="17"/>
      <c r="AA45" s="17"/>
      <c r="AB45" s="17"/>
      <c r="AC45" s="17"/>
      <c r="AD45" s="17"/>
      <c r="AE45" s="17"/>
    </row>
    <row r="46" spans="1:31" ht="18" customHeight="1">
      <c r="A46" s="17"/>
      <c r="B46" s="183"/>
      <c r="C46" s="183"/>
      <c r="D46" s="25" t="s">
        <v>23</v>
      </c>
      <c r="E46" s="25" t="s">
        <v>109</v>
      </c>
      <c r="F46" s="189" t="s">
        <v>115</v>
      </c>
      <c r="G46" s="189"/>
      <c r="H46" s="26"/>
      <c r="I46" s="27"/>
      <c r="J46" s="28">
        <f t="shared" si="3"/>
        <v>4</v>
      </c>
      <c r="K46" s="190"/>
      <c r="L46" s="190"/>
      <c r="M46" s="191"/>
      <c r="N46" s="191"/>
      <c r="O46" s="190"/>
      <c r="P46" s="190"/>
      <c r="Q46" s="191">
        <v>4</v>
      </c>
      <c r="R46" s="191"/>
      <c r="S46" s="190"/>
      <c r="T46" s="190"/>
      <c r="U46" s="191"/>
      <c r="V46" s="191"/>
      <c r="W46" s="206">
        <f t="shared" si="2"/>
        <v>4</v>
      </c>
      <c r="X46" s="206"/>
      <c r="Y46" s="188"/>
      <c r="Z46" s="17"/>
      <c r="AA46" s="17"/>
      <c r="AB46" s="17"/>
      <c r="AC46" s="17"/>
      <c r="AD46" s="17"/>
      <c r="AE46" s="17"/>
    </row>
    <row r="47" spans="1:31" ht="18" customHeight="1">
      <c r="A47" s="17"/>
      <c r="B47" s="183"/>
      <c r="C47" s="183"/>
      <c r="D47" s="25" t="s">
        <v>23</v>
      </c>
      <c r="E47" s="25" t="s">
        <v>109</v>
      </c>
      <c r="F47" s="189" t="s">
        <v>116</v>
      </c>
      <c r="G47" s="189"/>
      <c r="H47" s="26"/>
      <c r="I47" s="27"/>
      <c r="J47" s="28">
        <f t="shared" si="3"/>
        <v>4</v>
      </c>
      <c r="K47" s="190"/>
      <c r="L47" s="190"/>
      <c r="M47" s="191"/>
      <c r="N47" s="191"/>
      <c r="O47" s="190"/>
      <c r="P47" s="190"/>
      <c r="Q47" s="191">
        <v>4</v>
      </c>
      <c r="R47" s="191"/>
      <c r="S47" s="190"/>
      <c r="T47" s="190"/>
      <c r="U47" s="191"/>
      <c r="V47" s="191"/>
      <c r="W47" s="206">
        <f t="shared" si="2"/>
        <v>4</v>
      </c>
      <c r="X47" s="206"/>
      <c r="Y47" s="188"/>
      <c r="Z47" s="17"/>
      <c r="AA47" s="17"/>
      <c r="AB47" s="17"/>
      <c r="AC47" s="17"/>
      <c r="AD47" s="17"/>
      <c r="AE47" s="17"/>
    </row>
    <row r="48" spans="1:31" ht="18" customHeight="1">
      <c r="A48" s="17"/>
      <c r="B48" s="183"/>
      <c r="C48" s="183"/>
      <c r="D48" s="25" t="s">
        <v>23</v>
      </c>
      <c r="E48" s="25" t="s">
        <v>109</v>
      </c>
      <c r="F48" s="189" t="s">
        <v>117</v>
      </c>
      <c r="G48" s="189"/>
      <c r="H48" s="26"/>
      <c r="I48" s="27"/>
      <c r="J48" s="28">
        <f t="shared" si="3"/>
        <v>3</v>
      </c>
      <c r="K48" s="190"/>
      <c r="L48" s="190"/>
      <c r="M48" s="191"/>
      <c r="N48" s="191"/>
      <c r="O48" s="190"/>
      <c r="P48" s="190"/>
      <c r="Q48" s="191"/>
      <c r="R48" s="191"/>
      <c r="S48" s="190">
        <v>3</v>
      </c>
      <c r="T48" s="190"/>
      <c r="U48" s="191"/>
      <c r="V48" s="191"/>
      <c r="W48" s="206">
        <f t="shared" si="2"/>
        <v>3</v>
      </c>
      <c r="X48" s="206"/>
      <c r="Y48" s="188"/>
      <c r="Z48" s="17"/>
      <c r="AA48" s="17"/>
      <c r="AB48" s="17"/>
      <c r="AC48" s="17"/>
      <c r="AD48" s="17"/>
      <c r="AE48" s="17"/>
    </row>
    <row r="49" spans="1:31" ht="18" customHeight="1">
      <c r="A49" s="17"/>
      <c r="B49" s="183"/>
      <c r="C49" s="183"/>
      <c r="D49" s="25" t="s">
        <v>23</v>
      </c>
      <c r="E49" s="25" t="s">
        <v>118</v>
      </c>
      <c r="F49" s="189" t="s">
        <v>119</v>
      </c>
      <c r="G49" s="189"/>
      <c r="H49" s="26"/>
      <c r="I49" s="27"/>
      <c r="J49" s="28">
        <f t="shared" si="3"/>
        <v>8</v>
      </c>
      <c r="K49" s="190"/>
      <c r="L49" s="190"/>
      <c r="M49" s="191"/>
      <c r="N49" s="191"/>
      <c r="O49" s="190"/>
      <c r="P49" s="190"/>
      <c r="Q49" s="191"/>
      <c r="R49" s="191"/>
      <c r="S49" s="190">
        <v>4</v>
      </c>
      <c r="T49" s="190"/>
      <c r="U49" s="191">
        <v>4</v>
      </c>
      <c r="V49" s="191"/>
      <c r="W49" s="206">
        <f t="shared" si="2"/>
        <v>8</v>
      </c>
      <c r="X49" s="206"/>
      <c r="Y49" s="188"/>
      <c r="Z49" s="17"/>
      <c r="AA49" s="17"/>
      <c r="AB49" s="17"/>
      <c r="AC49" s="17"/>
      <c r="AD49" s="17"/>
      <c r="AE49" s="17"/>
    </row>
    <row r="50" spans="1:31" ht="18" customHeight="1">
      <c r="A50" s="17"/>
      <c r="B50" s="183"/>
      <c r="C50" s="183"/>
      <c r="D50" s="25" t="s">
        <v>23</v>
      </c>
      <c r="E50" s="25" t="s">
        <v>118</v>
      </c>
      <c r="F50" s="189" t="s">
        <v>120</v>
      </c>
      <c r="G50" s="189"/>
      <c r="H50" s="26"/>
      <c r="I50" s="27"/>
      <c r="J50" s="28">
        <f t="shared" si="3"/>
        <v>8</v>
      </c>
      <c r="K50" s="190"/>
      <c r="L50" s="190"/>
      <c r="M50" s="191"/>
      <c r="N50" s="191"/>
      <c r="O50" s="190"/>
      <c r="P50" s="190"/>
      <c r="Q50" s="191"/>
      <c r="R50" s="191"/>
      <c r="S50" s="190">
        <v>4</v>
      </c>
      <c r="T50" s="190"/>
      <c r="U50" s="191">
        <v>4</v>
      </c>
      <c r="V50" s="191"/>
      <c r="W50" s="206">
        <f t="shared" si="2"/>
        <v>8</v>
      </c>
      <c r="X50" s="206"/>
      <c r="Y50" s="188"/>
      <c r="Z50" s="17"/>
      <c r="AA50" s="17"/>
      <c r="AB50" s="17"/>
      <c r="AC50" s="17"/>
      <c r="AD50" s="17"/>
      <c r="AE50" s="17"/>
    </row>
    <row r="51" spans="1:31" ht="18" customHeight="1">
      <c r="A51" s="17"/>
      <c r="B51" s="183"/>
      <c r="C51" s="183"/>
      <c r="D51" s="25" t="s">
        <v>23</v>
      </c>
      <c r="E51" s="25" t="s">
        <v>118</v>
      </c>
      <c r="F51" s="189" t="s">
        <v>121</v>
      </c>
      <c r="G51" s="189"/>
      <c r="H51" s="26"/>
      <c r="I51" s="27"/>
      <c r="J51" s="28">
        <f t="shared" si="3"/>
        <v>7</v>
      </c>
      <c r="K51" s="190"/>
      <c r="L51" s="190"/>
      <c r="M51" s="191"/>
      <c r="N51" s="191"/>
      <c r="O51" s="190"/>
      <c r="P51" s="190"/>
      <c r="Q51" s="191"/>
      <c r="R51" s="191"/>
      <c r="S51" s="190">
        <v>3</v>
      </c>
      <c r="T51" s="190"/>
      <c r="U51" s="191">
        <v>4</v>
      </c>
      <c r="V51" s="191"/>
      <c r="W51" s="206">
        <f t="shared" si="2"/>
        <v>7</v>
      </c>
      <c r="X51" s="206"/>
      <c r="Y51" s="188"/>
      <c r="Z51" s="17"/>
      <c r="AA51" s="17"/>
      <c r="AB51" s="17"/>
      <c r="AC51" s="17"/>
      <c r="AD51" s="17"/>
      <c r="AE51" s="17"/>
    </row>
    <row r="52" spans="1:31" ht="18" customHeight="1">
      <c r="A52" s="17"/>
      <c r="B52" s="183"/>
      <c r="C52" s="183"/>
      <c r="D52" s="25" t="s">
        <v>23</v>
      </c>
      <c r="E52" s="25" t="s">
        <v>118</v>
      </c>
      <c r="F52" s="189" t="s">
        <v>122</v>
      </c>
      <c r="G52" s="189"/>
      <c r="H52" s="26"/>
      <c r="I52" s="27"/>
      <c r="J52" s="28">
        <f t="shared" si="3"/>
        <v>8</v>
      </c>
      <c r="K52" s="190"/>
      <c r="L52" s="190"/>
      <c r="M52" s="191"/>
      <c r="N52" s="191"/>
      <c r="O52" s="190"/>
      <c r="P52" s="190"/>
      <c r="Q52" s="191"/>
      <c r="R52" s="191"/>
      <c r="S52" s="190">
        <v>4</v>
      </c>
      <c r="T52" s="190"/>
      <c r="U52" s="191">
        <v>4</v>
      </c>
      <c r="V52" s="191"/>
      <c r="W52" s="206">
        <f t="shared" si="2"/>
        <v>8</v>
      </c>
      <c r="X52" s="206"/>
      <c r="Y52" s="188"/>
      <c r="Z52" s="17"/>
      <c r="AA52" s="17"/>
      <c r="AB52" s="17"/>
      <c r="AC52" s="17"/>
      <c r="AD52" s="17"/>
      <c r="AE52" s="17"/>
    </row>
    <row r="53" spans="1:31" ht="18" customHeight="1">
      <c r="A53" s="17"/>
      <c r="B53" s="183"/>
      <c r="C53" s="183"/>
      <c r="D53" s="25" t="s">
        <v>23</v>
      </c>
      <c r="E53" s="25" t="s">
        <v>118</v>
      </c>
      <c r="F53" s="189" t="s">
        <v>123</v>
      </c>
      <c r="G53" s="189"/>
      <c r="H53" s="26"/>
      <c r="I53" s="27"/>
      <c r="J53" s="28">
        <f t="shared" si="3"/>
        <v>8</v>
      </c>
      <c r="K53" s="190"/>
      <c r="L53" s="190"/>
      <c r="M53" s="191"/>
      <c r="N53" s="191"/>
      <c r="O53" s="190"/>
      <c r="P53" s="190"/>
      <c r="Q53" s="191"/>
      <c r="R53" s="191"/>
      <c r="S53" s="190">
        <v>4</v>
      </c>
      <c r="T53" s="190"/>
      <c r="U53" s="191">
        <v>4</v>
      </c>
      <c r="V53" s="191"/>
      <c r="W53" s="206">
        <f t="shared" si="2"/>
        <v>8</v>
      </c>
      <c r="X53" s="206"/>
      <c r="Y53" s="188"/>
      <c r="Z53" s="17"/>
      <c r="AA53" s="17"/>
      <c r="AB53" s="17"/>
      <c r="AC53" s="17"/>
      <c r="AD53" s="17"/>
      <c r="AE53" s="17"/>
    </row>
    <row r="54" spans="1:31" ht="18" customHeight="1">
      <c r="A54" s="17"/>
      <c r="B54" s="207" t="s">
        <v>124</v>
      </c>
      <c r="C54" s="208" t="s">
        <v>125</v>
      </c>
      <c r="D54" s="18" t="s">
        <v>23</v>
      </c>
      <c r="E54" s="18" t="s">
        <v>109</v>
      </c>
      <c r="F54" s="184" t="s">
        <v>126</v>
      </c>
      <c r="G54" s="184"/>
      <c r="H54" s="19"/>
      <c r="I54" s="20"/>
      <c r="J54" s="21">
        <f t="shared" si="3"/>
        <v>4</v>
      </c>
      <c r="K54" s="185"/>
      <c r="L54" s="185"/>
      <c r="M54" s="186"/>
      <c r="N54" s="186"/>
      <c r="O54" s="185">
        <v>4</v>
      </c>
      <c r="P54" s="185"/>
      <c r="Q54" s="186"/>
      <c r="R54" s="186"/>
      <c r="S54" s="185"/>
      <c r="T54" s="185"/>
      <c r="U54" s="186"/>
      <c r="V54" s="186"/>
      <c r="W54" s="198">
        <f>SUM(K54:V55)</f>
        <v>8</v>
      </c>
      <c r="X54" s="198"/>
      <c r="Y54" s="188"/>
      <c r="Z54" s="17"/>
      <c r="AA54" s="17"/>
      <c r="AB54" s="17"/>
      <c r="AC54" s="17"/>
      <c r="AD54" s="17"/>
      <c r="AE54" s="17"/>
    </row>
    <row r="55" spans="1:31" ht="18" customHeight="1">
      <c r="A55" s="17"/>
      <c r="B55" s="207"/>
      <c r="C55" s="208"/>
      <c r="D55" s="25" t="s">
        <v>23</v>
      </c>
      <c r="E55" s="25" t="s">
        <v>118</v>
      </c>
      <c r="F55" s="189" t="s">
        <v>127</v>
      </c>
      <c r="G55" s="189"/>
      <c r="H55" s="26"/>
      <c r="I55" s="27"/>
      <c r="J55" s="28">
        <f t="shared" si="3"/>
        <v>4</v>
      </c>
      <c r="K55" s="190"/>
      <c r="L55" s="190"/>
      <c r="M55" s="191"/>
      <c r="N55" s="191"/>
      <c r="O55" s="190"/>
      <c r="P55" s="190"/>
      <c r="Q55" s="191">
        <v>4</v>
      </c>
      <c r="R55" s="191"/>
      <c r="S55" s="190"/>
      <c r="T55" s="190"/>
      <c r="U55" s="191"/>
      <c r="V55" s="191"/>
      <c r="W55" s="198"/>
      <c r="X55" s="198"/>
      <c r="Y55" s="188"/>
      <c r="Z55" s="17"/>
      <c r="AA55" s="17"/>
      <c r="AB55" s="17"/>
      <c r="AC55" s="17"/>
      <c r="AD55" s="17"/>
      <c r="AE55" s="17"/>
    </row>
    <row r="56" spans="1:31" ht="18" customHeight="1">
      <c r="A56" s="17"/>
      <c r="B56" s="207"/>
      <c r="C56" s="209" t="s">
        <v>128</v>
      </c>
      <c r="D56" s="52" t="s">
        <v>23</v>
      </c>
      <c r="E56" s="52" t="s">
        <v>118</v>
      </c>
      <c r="F56" s="210" t="s">
        <v>129</v>
      </c>
      <c r="G56" s="210"/>
      <c r="H56" s="53"/>
      <c r="I56" s="54"/>
      <c r="J56" s="55">
        <f t="shared" si="3"/>
        <v>4</v>
      </c>
      <c r="K56" s="211"/>
      <c r="L56" s="211"/>
      <c r="M56" s="212"/>
      <c r="N56" s="212"/>
      <c r="O56" s="211">
        <v>4</v>
      </c>
      <c r="P56" s="211"/>
      <c r="Q56" s="212"/>
      <c r="R56" s="212"/>
      <c r="S56" s="211"/>
      <c r="T56" s="211"/>
      <c r="U56" s="212"/>
      <c r="V56" s="212"/>
      <c r="W56" s="213">
        <f>SUM(K56:V57)</f>
        <v>8</v>
      </c>
      <c r="X56" s="213"/>
      <c r="Y56" s="188"/>
      <c r="Z56" s="17"/>
      <c r="AA56" s="17"/>
      <c r="AB56" s="17"/>
      <c r="AC56" s="17"/>
      <c r="AD56" s="17"/>
      <c r="AE56" s="17"/>
    </row>
    <row r="57" spans="1:31" ht="18" customHeight="1">
      <c r="A57" s="17"/>
      <c r="B57" s="207"/>
      <c r="C57" s="209"/>
      <c r="D57" s="25" t="s">
        <v>23</v>
      </c>
      <c r="E57" s="25" t="s">
        <v>109</v>
      </c>
      <c r="F57" s="189" t="s">
        <v>130</v>
      </c>
      <c r="G57" s="189"/>
      <c r="H57" s="26"/>
      <c r="I57" s="27"/>
      <c r="J57" s="28">
        <f t="shared" si="3"/>
        <v>4</v>
      </c>
      <c r="K57" s="190"/>
      <c r="L57" s="190"/>
      <c r="M57" s="191"/>
      <c r="N57" s="191"/>
      <c r="O57" s="190"/>
      <c r="P57" s="190"/>
      <c r="Q57" s="191">
        <v>4</v>
      </c>
      <c r="R57" s="191"/>
      <c r="S57" s="190"/>
      <c r="T57" s="190"/>
      <c r="U57" s="191"/>
      <c r="V57" s="191"/>
      <c r="W57" s="213"/>
      <c r="X57" s="213"/>
      <c r="Y57" s="188"/>
      <c r="Z57" s="17"/>
      <c r="AA57" s="17"/>
      <c r="AB57" s="17"/>
      <c r="AC57" s="17"/>
      <c r="AD57" s="17"/>
      <c r="AE57" s="17"/>
    </row>
    <row r="58" spans="1:31" ht="30" customHeight="1">
      <c r="A58" s="17"/>
      <c r="B58" s="207" t="s">
        <v>131</v>
      </c>
      <c r="C58" s="56" t="s">
        <v>132</v>
      </c>
      <c r="D58" s="18" t="s">
        <v>23</v>
      </c>
      <c r="E58" s="18" t="s">
        <v>118</v>
      </c>
      <c r="F58" s="184" t="s">
        <v>133</v>
      </c>
      <c r="G58" s="184"/>
      <c r="H58" s="19"/>
      <c r="I58" s="20"/>
      <c r="J58" s="21">
        <f t="shared" si="3"/>
        <v>9</v>
      </c>
      <c r="K58" s="185"/>
      <c r="L58" s="185"/>
      <c r="M58" s="186"/>
      <c r="N58" s="186"/>
      <c r="O58" s="185"/>
      <c r="P58" s="185"/>
      <c r="Q58" s="186"/>
      <c r="R58" s="186"/>
      <c r="S58" s="185">
        <v>5</v>
      </c>
      <c r="T58" s="185"/>
      <c r="U58" s="186">
        <v>4</v>
      </c>
      <c r="V58" s="186"/>
      <c r="W58" s="183">
        <f>SUM(K58:V58)</f>
        <v>9</v>
      </c>
      <c r="X58" s="183"/>
      <c r="Y58" s="188"/>
      <c r="Z58" s="17"/>
      <c r="AA58" s="17"/>
      <c r="AB58" s="17"/>
      <c r="AC58" s="17"/>
      <c r="AD58" s="17"/>
      <c r="AE58" s="17"/>
    </row>
    <row r="59" spans="1:31" ht="18" customHeight="1">
      <c r="A59" s="17"/>
      <c r="B59" s="207"/>
      <c r="C59" s="214" t="s">
        <v>134</v>
      </c>
      <c r="D59" s="52" t="s">
        <v>23</v>
      </c>
      <c r="E59" s="52" t="s">
        <v>109</v>
      </c>
      <c r="F59" s="210" t="s">
        <v>135</v>
      </c>
      <c r="G59" s="210"/>
      <c r="H59" s="53"/>
      <c r="I59" s="54"/>
      <c r="J59" s="55">
        <f t="shared" si="3"/>
        <v>5</v>
      </c>
      <c r="K59" s="211"/>
      <c r="L59" s="211"/>
      <c r="M59" s="212"/>
      <c r="N59" s="212"/>
      <c r="O59" s="211"/>
      <c r="P59" s="211"/>
      <c r="Q59" s="212"/>
      <c r="R59" s="212"/>
      <c r="S59" s="211">
        <v>5</v>
      </c>
      <c r="T59" s="211"/>
      <c r="U59" s="212"/>
      <c r="V59" s="212"/>
      <c r="W59" s="213">
        <f>SUM(K59:V60)</f>
        <v>9</v>
      </c>
      <c r="X59" s="213"/>
      <c r="Y59" s="188"/>
      <c r="Z59" s="17"/>
      <c r="AA59" s="17"/>
      <c r="AB59" s="17"/>
      <c r="AC59" s="17"/>
      <c r="AD59" s="17"/>
      <c r="AE59" s="17"/>
    </row>
    <row r="60" spans="1:31" ht="26.25" customHeight="1">
      <c r="A60" s="17"/>
      <c r="B60" s="207"/>
      <c r="C60" s="214"/>
      <c r="D60" s="25" t="s">
        <v>23</v>
      </c>
      <c r="E60" s="25" t="s">
        <v>109</v>
      </c>
      <c r="F60" s="189" t="s">
        <v>136</v>
      </c>
      <c r="G60" s="189"/>
      <c r="H60" s="26"/>
      <c r="I60" s="27"/>
      <c r="J60" s="28">
        <f t="shared" si="3"/>
        <v>4</v>
      </c>
      <c r="K60" s="190"/>
      <c r="L60" s="190"/>
      <c r="M60" s="191"/>
      <c r="N60" s="191"/>
      <c r="O60" s="190"/>
      <c r="P60" s="190"/>
      <c r="Q60" s="191"/>
      <c r="R60" s="191"/>
      <c r="S60" s="190"/>
      <c r="T60" s="190"/>
      <c r="U60" s="191">
        <v>4</v>
      </c>
      <c r="V60" s="191"/>
      <c r="W60" s="213"/>
      <c r="X60" s="213"/>
      <c r="Y60" s="188"/>
      <c r="Z60" s="17"/>
      <c r="AA60" s="17"/>
      <c r="AB60" s="17"/>
      <c r="AC60" s="17"/>
      <c r="AD60" s="17"/>
      <c r="AE60" s="17"/>
    </row>
    <row r="61" spans="1:31" ht="25.5" customHeight="1">
      <c r="A61" s="17"/>
      <c r="B61" s="207"/>
      <c r="C61" s="214" t="s">
        <v>137</v>
      </c>
      <c r="D61" s="58" t="s">
        <v>138</v>
      </c>
      <c r="E61" s="52" t="s">
        <v>109</v>
      </c>
      <c r="F61" s="210" t="s">
        <v>139</v>
      </c>
      <c r="G61" s="210"/>
      <c r="H61" s="53"/>
      <c r="I61" s="54"/>
      <c r="J61" s="55">
        <f t="shared" si="3"/>
        <v>5</v>
      </c>
      <c r="K61" s="211"/>
      <c r="L61" s="211"/>
      <c r="M61" s="212"/>
      <c r="N61" s="212"/>
      <c r="O61" s="211"/>
      <c r="P61" s="211"/>
      <c r="Q61" s="212"/>
      <c r="R61" s="212"/>
      <c r="S61" s="211">
        <v>5</v>
      </c>
      <c r="T61" s="211"/>
      <c r="U61" s="212"/>
      <c r="V61" s="212"/>
      <c r="W61" s="213">
        <f>SUM(K61:V62)</f>
        <v>9</v>
      </c>
      <c r="X61" s="213"/>
      <c r="Y61" s="188"/>
      <c r="Z61" s="17"/>
      <c r="AA61" s="17"/>
      <c r="AB61" s="17"/>
      <c r="AC61" s="17"/>
      <c r="AD61" s="17"/>
      <c r="AE61" s="17"/>
    </row>
    <row r="62" spans="1:31" ht="25.5" customHeight="1">
      <c r="A62" s="17"/>
      <c r="B62" s="207"/>
      <c r="C62" s="214"/>
      <c r="D62" s="59" t="s">
        <v>138</v>
      </c>
      <c r="E62" s="25" t="s">
        <v>109</v>
      </c>
      <c r="F62" s="189" t="s">
        <v>140</v>
      </c>
      <c r="G62" s="189"/>
      <c r="H62" s="26"/>
      <c r="I62" s="27"/>
      <c r="J62" s="28">
        <f t="shared" si="3"/>
        <v>4</v>
      </c>
      <c r="K62" s="190"/>
      <c r="L62" s="190"/>
      <c r="M62" s="191"/>
      <c r="N62" s="191"/>
      <c r="O62" s="190"/>
      <c r="P62" s="190"/>
      <c r="Q62" s="191"/>
      <c r="R62" s="191"/>
      <c r="S62" s="190"/>
      <c r="T62" s="190"/>
      <c r="U62" s="191">
        <v>4</v>
      </c>
      <c r="V62" s="191"/>
      <c r="W62" s="213"/>
      <c r="X62" s="213"/>
      <c r="Y62" s="188"/>
      <c r="Z62" s="17"/>
      <c r="AA62" s="17"/>
      <c r="AB62" s="17"/>
      <c r="AC62" s="17"/>
      <c r="AD62" s="17"/>
      <c r="AE62" s="17"/>
    </row>
    <row r="63" spans="1:31" ht="18" customHeight="1">
      <c r="A63" s="17"/>
      <c r="B63" s="207"/>
      <c r="C63" s="214" t="s">
        <v>141</v>
      </c>
      <c r="D63" s="52" t="s">
        <v>142</v>
      </c>
      <c r="E63" s="52" t="s">
        <v>109</v>
      </c>
      <c r="F63" s="210" t="s">
        <v>143</v>
      </c>
      <c r="G63" s="210"/>
      <c r="H63" s="53"/>
      <c r="I63" s="54"/>
      <c r="J63" s="55">
        <f t="shared" si="3"/>
        <v>5</v>
      </c>
      <c r="K63" s="211"/>
      <c r="L63" s="211"/>
      <c r="M63" s="212"/>
      <c r="N63" s="212"/>
      <c r="O63" s="211"/>
      <c r="P63" s="211"/>
      <c r="Q63" s="212"/>
      <c r="R63" s="212"/>
      <c r="S63" s="211">
        <v>5</v>
      </c>
      <c r="T63" s="211"/>
      <c r="U63" s="212"/>
      <c r="V63" s="212"/>
      <c r="W63" s="213">
        <f>SUM(K63:V64)</f>
        <v>9</v>
      </c>
      <c r="X63" s="213"/>
      <c r="Y63" s="188"/>
      <c r="Z63" s="17"/>
      <c r="AA63" s="17"/>
      <c r="AB63" s="17"/>
      <c r="AC63" s="17"/>
      <c r="AD63" s="17"/>
      <c r="AE63" s="17"/>
    </row>
    <row r="64" spans="1:31" ht="24" customHeight="1">
      <c r="A64" s="17"/>
      <c r="B64" s="207"/>
      <c r="C64" s="214"/>
      <c r="D64" s="31" t="s">
        <v>142</v>
      </c>
      <c r="E64" s="31" t="s">
        <v>109</v>
      </c>
      <c r="F64" s="192" t="s">
        <v>144</v>
      </c>
      <c r="G64" s="192"/>
      <c r="H64" s="32"/>
      <c r="I64" s="33"/>
      <c r="J64" s="34">
        <f t="shared" si="3"/>
        <v>4</v>
      </c>
      <c r="K64" s="193"/>
      <c r="L64" s="193"/>
      <c r="M64" s="194"/>
      <c r="N64" s="194"/>
      <c r="O64" s="193"/>
      <c r="P64" s="193"/>
      <c r="Q64" s="194"/>
      <c r="R64" s="194"/>
      <c r="S64" s="193"/>
      <c r="T64" s="193"/>
      <c r="U64" s="194">
        <v>4</v>
      </c>
      <c r="V64" s="194"/>
      <c r="W64" s="213"/>
      <c r="X64" s="213"/>
      <c r="Y64" s="188"/>
      <c r="Z64" s="17"/>
      <c r="AA64" s="17"/>
      <c r="AB64" s="17"/>
      <c r="AC64" s="17"/>
      <c r="AD64" s="17"/>
      <c r="AE64" s="17"/>
    </row>
    <row r="65" spans="1:31" ht="21.75" customHeight="1">
      <c r="A65" s="17"/>
      <c r="B65" s="215" t="s">
        <v>145</v>
      </c>
      <c r="C65" s="215"/>
      <c r="D65" s="215"/>
      <c r="E65" s="215"/>
      <c r="F65" s="215"/>
      <c r="G65" s="215"/>
      <c r="H65" s="48"/>
      <c r="I65" s="49"/>
      <c r="J65" s="50">
        <f>SUM(J40:J53,J54:J55,J58:J58)</f>
        <v>93</v>
      </c>
      <c r="K65" s="202">
        <f>SUM(K40:K53,K54:K55,K58:K58)</f>
        <v>8</v>
      </c>
      <c r="L65" s="202"/>
      <c r="M65" s="203">
        <f>SUM(M40:M53,M54:M55,M58:M58)</f>
        <v>5</v>
      </c>
      <c r="N65" s="203"/>
      <c r="O65" s="202">
        <f>SUM(O40:O53,O54:O55,O58:O58)</f>
        <v>12</v>
      </c>
      <c r="P65" s="202"/>
      <c r="Q65" s="203">
        <f>SUM(Q40:Q53,Q54:Q55,Q58:Q58)</f>
        <v>12</v>
      </c>
      <c r="R65" s="203"/>
      <c r="S65" s="202">
        <f>SUM(S40:S53,S54:S55,S58:S58)</f>
        <v>27</v>
      </c>
      <c r="T65" s="202"/>
      <c r="U65" s="203">
        <f>SUM(U40:U53,U54:U55,U58:U58)</f>
        <v>29</v>
      </c>
      <c r="V65" s="203"/>
      <c r="W65" s="204">
        <f>SUM(K65:V65)</f>
        <v>93</v>
      </c>
      <c r="X65" s="204"/>
      <c r="Y65" s="51">
        <f>Y40</f>
        <v>80</v>
      </c>
      <c r="Z65" s="17"/>
      <c r="AA65" s="216" t="s">
        <v>146</v>
      </c>
      <c r="AB65" s="216"/>
      <c r="AC65" s="17"/>
      <c r="AD65" s="17"/>
    </row>
    <row r="66" spans="1:31" ht="21.75" customHeight="1">
      <c r="A66" s="17"/>
      <c r="B66" s="201"/>
      <c r="C66" s="201"/>
      <c r="D66" s="201"/>
      <c r="E66" s="201"/>
      <c r="F66" s="201"/>
      <c r="G66" s="201"/>
      <c r="H66" s="48"/>
      <c r="I66" s="49"/>
      <c r="J66" s="50">
        <f>J39+J65</f>
        <v>174</v>
      </c>
      <c r="K66" s="202">
        <f>K39+K65</f>
        <v>29</v>
      </c>
      <c r="L66" s="202"/>
      <c r="M66" s="203">
        <f>M39+M65</f>
        <v>29</v>
      </c>
      <c r="N66" s="203"/>
      <c r="O66" s="202">
        <f>O39+O65</f>
        <v>29</v>
      </c>
      <c r="P66" s="202"/>
      <c r="Q66" s="203">
        <f>Q39+Q65</f>
        <v>29</v>
      </c>
      <c r="R66" s="203"/>
      <c r="S66" s="202">
        <f>S39+S65</f>
        <v>29</v>
      </c>
      <c r="T66" s="202"/>
      <c r="U66" s="203">
        <f>U39+U65</f>
        <v>29</v>
      </c>
      <c r="V66" s="203"/>
      <c r="W66" s="204">
        <f>SUM(K66:V66)</f>
        <v>174</v>
      </c>
      <c r="X66" s="204"/>
      <c r="Y66" s="51">
        <f>Y39+Y65</f>
        <v>144</v>
      </c>
      <c r="Z66" s="17"/>
      <c r="AA66" s="205" t="b">
        <f>W66&gt;=Y66</f>
        <v>1</v>
      </c>
      <c r="AB66" s="205"/>
      <c r="AC66" s="17"/>
      <c r="AD66" s="17"/>
      <c r="AE66" s="17"/>
    </row>
    <row r="67" spans="1:31" ht="18" customHeight="1">
      <c r="A67" s="17"/>
      <c r="B67" s="183" t="s">
        <v>147</v>
      </c>
      <c r="C67" s="183"/>
      <c r="D67" s="183"/>
      <c r="E67" s="183"/>
      <c r="F67" s="183" t="s">
        <v>148</v>
      </c>
      <c r="G67" s="183"/>
      <c r="H67" s="183"/>
      <c r="I67" s="183"/>
      <c r="J67" s="183"/>
      <c r="K67" s="185">
        <v>16</v>
      </c>
      <c r="L67" s="185"/>
      <c r="M67" s="186">
        <v>16</v>
      </c>
      <c r="N67" s="186"/>
      <c r="O67" s="185">
        <v>16</v>
      </c>
      <c r="P67" s="185"/>
      <c r="Q67" s="186">
        <v>16</v>
      </c>
      <c r="R67" s="186"/>
      <c r="S67" s="185">
        <v>16</v>
      </c>
      <c r="T67" s="185"/>
      <c r="U67" s="186">
        <v>16</v>
      </c>
      <c r="V67" s="186"/>
      <c r="W67" s="198">
        <f>SUM(K67:V69)</f>
        <v>288</v>
      </c>
      <c r="X67" s="198"/>
      <c r="Y67" s="188">
        <f>Y70*16</f>
        <v>288</v>
      </c>
      <c r="Z67" s="17"/>
      <c r="AA67" s="17"/>
      <c r="AB67" s="17"/>
      <c r="AC67" s="17"/>
      <c r="AD67" s="17"/>
      <c r="AE67" s="17"/>
    </row>
    <row r="68" spans="1:31" ht="18" customHeight="1">
      <c r="A68" s="17"/>
      <c r="B68" s="183"/>
      <c r="C68" s="183"/>
      <c r="D68" s="183"/>
      <c r="E68" s="183"/>
      <c r="F68" s="220" t="s">
        <v>149</v>
      </c>
      <c r="G68" s="220"/>
      <c r="H68" s="220"/>
      <c r="I68" s="220"/>
      <c r="J68" s="220"/>
      <c r="K68" s="190">
        <v>16</v>
      </c>
      <c r="L68" s="190"/>
      <c r="M68" s="191">
        <v>16</v>
      </c>
      <c r="N68" s="191"/>
      <c r="O68" s="190">
        <v>16</v>
      </c>
      <c r="P68" s="190"/>
      <c r="Q68" s="191">
        <v>16</v>
      </c>
      <c r="R68" s="191"/>
      <c r="S68" s="190">
        <v>16</v>
      </c>
      <c r="T68" s="190"/>
      <c r="U68" s="191">
        <v>16</v>
      </c>
      <c r="V68" s="191"/>
      <c r="W68" s="198"/>
      <c r="X68" s="198"/>
      <c r="Y68" s="188"/>
      <c r="Z68" s="17"/>
      <c r="AA68" s="17"/>
      <c r="AB68" s="17"/>
      <c r="AC68" s="17"/>
      <c r="AD68" s="17"/>
      <c r="AE68" s="17"/>
    </row>
    <row r="69" spans="1:31" ht="18" customHeight="1">
      <c r="A69" s="17"/>
      <c r="B69" s="183"/>
      <c r="C69" s="183"/>
      <c r="D69" s="183"/>
      <c r="E69" s="183"/>
      <c r="F69" s="220" t="s">
        <v>150</v>
      </c>
      <c r="G69" s="220"/>
      <c r="H69" s="220"/>
      <c r="I69" s="220"/>
      <c r="J69" s="220"/>
      <c r="K69" s="190">
        <v>16</v>
      </c>
      <c r="L69" s="190"/>
      <c r="M69" s="191">
        <v>16</v>
      </c>
      <c r="N69" s="191"/>
      <c r="O69" s="190">
        <v>16</v>
      </c>
      <c r="P69" s="190"/>
      <c r="Q69" s="191">
        <v>16</v>
      </c>
      <c r="R69" s="191"/>
      <c r="S69" s="190">
        <v>16</v>
      </c>
      <c r="T69" s="190"/>
      <c r="U69" s="191">
        <v>16</v>
      </c>
      <c r="V69" s="191"/>
      <c r="W69" s="198"/>
      <c r="X69" s="198"/>
      <c r="Y69" s="188"/>
      <c r="Z69" s="17"/>
      <c r="AA69" s="217" t="s">
        <v>151</v>
      </c>
      <c r="AB69" s="217"/>
      <c r="AC69" s="17"/>
      <c r="AD69" s="17"/>
      <c r="AE69" s="17"/>
    </row>
    <row r="70" spans="1:31" ht="18" customHeight="1">
      <c r="A70" s="17"/>
      <c r="B70" s="183"/>
      <c r="C70" s="183"/>
      <c r="D70" s="183"/>
      <c r="E70" s="183"/>
      <c r="F70" s="218" t="s">
        <v>152</v>
      </c>
      <c r="G70" s="218"/>
      <c r="H70" s="218"/>
      <c r="I70" s="218"/>
      <c r="J70" s="218"/>
      <c r="K70" s="193">
        <v>3</v>
      </c>
      <c r="L70" s="193"/>
      <c r="M70" s="194">
        <v>3</v>
      </c>
      <c r="N70" s="194"/>
      <c r="O70" s="193">
        <v>3</v>
      </c>
      <c r="P70" s="193"/>
      <c r="Q70" s="194">
        <v>3</v>
      </c>
      <c r="R70" s="194"/>
      <c r="S70" s="193">
        <v>3</v>
      </c>
      <c r="T70" s="193"/>
      <c r="U70" s="194">
        <v>3</v>
      </c>
      <c r="V70" s="194"/>
      <c r="W70" s="219">
        <f>SUM(K70:V70)</f>
        <v>18</v>
      </c>
      <c r="X70" s="219"/>
      <c r="Y70" s="60">
        <v>18</v>
      </c>
      <c r="Z70" s="17"/>
      <c r="AA70" s="205" t="b">
        <f>W70&gt;=Y70</f>
        <v>1</v>
      </c>
      <c r="AB70" s="205"/>
      <c r="AC70" s="17"/>
      <c r="AD70" s="17"/>
      <c r="AE70" s="17"/>
    </row>
    <row r="71" spans="1:31" ht="18" customHeight="1">
      <c r="A71" s="17"/>
      <c r="B71" s="223"/>
      <c r="C71" s="223"/>
      <c r="D71" s="223"/>
      <c r="E71" s="223"/>
      <c r="F71" s="223"/>
      <c r="G71" s="223"/>
      <c r="H71" s="223"/>
      <c r="I71" s="223"/>
      <c r="J71" s="223"/>
      <c r="K71" s="224">
        <f>K66+K70</f>
        <v>32</v>
      </c>
      <c r="L71" s="224"/>
      <c r="M71" s="225">
        <f>M66+M70</f>
        <v>32</v>
      </c>
      <c r="N71" s="225"/>
      <c r="O71" s="224">
        <f>O66+O70</f>
        <v>32</v>
      </c>
      <c r="P71" s="224"/>
      <c r="Q71" s="225">
        <f>Q66+Q70</f>
        <v>32</v>
      </c>
      <c r="R71" s="225"/>
      <c r="S71" s="224">
        <f>S66+S70</f>
        <v>32</v>
      </c>
      <c r="T71" s="224"/>
      <c r="U71" s="225">
        <f>U66+U70</f>
        <v>32</v>
      </c>
      <c r="V71" s="225"/>
      <c r="W71" s="226">
        <f>SUM(K71:V71)</f>
        <v>192</v>
      </c>
      <c r="X71" s="226"/>
      <c r="Y71" s="61">
        <v>192</v>
      </c>
      <c r="Z71" s="17"/>
      <c r="AA71" s="227" t="s">
        <v>153</v>
      </c>
      <c r="AB71" s="227"/>
      <c r="AC71" s="17"/>
      <c r="AD71" s="17"/>
      <c r="AE71" s="17"/>
    </row>
    <row r="72" spans="1:31" ht="18" customHeight="1">
      <c r="A72" s="17"/>
      <c r="B72" s="221"/>
      <c r="C72" s="221"/>
      <c r="D72" s="221"/>
      <c r="E72" s="221"/>
      <c r="F72" s="221"/>
      <c r="G72" s="221"/>
      <c r="H72" s="221"/>
      <c r="I72" s="221"/>
      <c r="J72" s="221"/>
      <c r="K72" s="222">
        <f>SUM(K71:N71)</f>
        <v>64</v>
      </c>
      <c r="L72" s="222"/>
      <c r="M72" s="222"/>
      <c r="N72" s="222"/>
      <c r="O72" s="222">
        <f>SUM(O71:R71)</f>
        <v>64</v>
      </c>
      <c r="P72" s="222"/>
      <c r="Q72" s="222"/>
      <c r="R72" s="222"/>
      <c r="S72" s="222">
        <f>SUM(S71:V71)</f>
        <v>64</v>
      </c>
      <c r="T72" s="222"/>
      <c r="U72" s="222"/>
      <c r="V72" s="222"/>
      <c r="W72" s="222">
        <f>SUM(K72:V72)</f>
        <v>192</v>
      </c>
      <c r="X72" s="222"/>
      <c r="Y72" s="62"/>
      <c r="Z72" s="17"/>
      <c r="AA72" s="205" t="b">
        <f>W71&gt;=Y71</f>
        <v>1</v>
      </c>
      <c r="AB72" s="205"/>
      <c r="AC72" s="17"/>
      <c r="AD72" s="17"/>
      <c r="AE72" s="17"/>
    </row>
    <row r="73" spans="1:31" ht="18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</row>
    <row r="74" spans="1:31" ht="18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</row>
    <row r="75" spans="1:31" ht="18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</row>
    <row r="76" spans="1:31" ht="18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</row>
    <row r="77" spans="1:31" ht="18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</row>
    <row r="78" spans="1:31" ht="18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</row>
    <row r="79" spans="1:31" ht="18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</row>
    <row r="80" spans="1:31" ht="18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</row>
    <row r="81" spans="1:31" ht="18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</row>
    <row r="82" spans="1:31" ht="18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</row>
    <row r="83" spans="1:31" ht="18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</row>
    <row r="84" spans="1:31" ht="18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</row>
    <row r="85" spans="1:31" ht="18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</row>
    <row r="86" spans="1:31" ht="18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</row>
    <row r="87" spans="1:31" ht="18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</row>
    <row r="88" spans="1:31" ht="18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</row>
    <row r="89" spans="1:31" ht="18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</row>
    <row r="90" spans="1:31" ht="18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</row>
    <row r="91" spans="1:31" ht="18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</row>
    <row r="92" spans="1:31" ht="18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</row>
    <row r="93" spans="1:31" ht="18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</row>
    <row r="94" spans="1:31" ht="18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</row>
    <row r="95" spans="1:31" ht="18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</row>
    <row r="96" spans="1:31" ht="18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</row>
    <row r="97" spans="1:31" ht="18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</row>
    <row r="98" spans="1:31" ht="18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</row>
    <row r="99" spans="1:31" ht="18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</row>
    <row r="100" spans="1:31" ht="18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</row>
    <row r="101" spans="1:31" ht="18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</row>
    <row r="102" spans="1:31" ht="18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</row>
    <row r="103" spans="1:31" ht="18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</row>
    <row r="104" spans="1:31" ht="18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</row>
    <row r="105" spans="1:31" ht="18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</row>
    <row r="106" spans="1:31" ht="18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</row>
    <row r="107" spans="1:31" ht="18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</row>
    <row r="108" spans="1:31" ht="18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</row>
    <row r="109" spans="1:31" ht="18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</row>
  </sheetData>
  <mergeCells count="556">
    <mergeCell ref="B72:J72"/>
    <mergeCell ref="K72:N72"/>
    <mergeCell ref="O72:R72"/>
    <mergeCell ref="S72:V72"/>
    <mergeCell ref="W72:X72"/>
    <mergeCell ref="AA72:AB72"/>
    <mergeCell ref="B71:J71"/>
    <mergeCell ref="K71:L71"/>
    <mergeCell ref="M71:N71"/>
    <mergeCell ref="O71:P71"/>
    <mergeCell ref="Q71:R71"/>
    <mergeCell ref="S71:T71"/>
    <mergeCell ref="U71:V71"/>
    <mergeCell ref="W71:X71"/>
    <mergeCell ref="AA71:AB71"/>
    <mergeCell ref="AA69:AB69"/>
    <mergeCell ref="F70:J70"/>
    <mergeCell ref="K70:L70"/>
    <mergeCell ref="M70:N70"/>
    <mergeCell ref="O70:P70"/>
    <mergeCell ref="Q70:R70"/>
    <mergeCell ref="S70:T70"/>
    <mergeCell ref="U70:V70"/>
    <mergeCell ref="W70:X70"/>
    <mergeCell ref="AA70:AB70"/>
    <mergeCell ref="Y67:Y69"/>
    <mergeCell ref="F68:J68"/>
    <mergeCell ref="K68:L68"/>
    <mergeCell ref="M68:N68"/>
    <mergeCell ref="O68:P68"/>
    <mergeCell ref="Q68:R68"/>
    <mergeCell ref="S68:T68"/>
    <mergeCell ref="U68:V68"/>
    <mergeCell ref="F69:J69"/>
    <mergeCell ref="K69:L69"/>
    <mergeCell ref="M69:N69"/>
    <mergeCell ref="O69:P69"/>
    <mergeCell ref="Q69:R69"/>
    <mergeCell ref="S69:T69"/>
    <mergeCell ref="W67:X69"/>
    <mergeCell ref="B66:G66"/>
    <mergeCell ref="K66:L66"/>
    <mergeCell ref="M66:N66"/>
    <mergeCell ref="O66:P66"/>
    <mergeCell ref="Q66:R66"/>
    <mergeCell ref="S66:T66"/>
    <mergeCell ref="U66:V66"/>
    <mergeCell ref="W66:X66"/>
    <mergeCell ref="U69:V69"/>
    <mergeCell ref="B67:E70"/>
    <mergeCell ref="F67:J67"/>
    <mergeCell ref="K67:L67"/>
    <mergeCell ref="M67:N67"/>
    <mergeCell ref="O67:P67"/>
    <mergeCell ref="Q67:R67"/>
    <mergeCell ref="S67:T67"/>
    <mergeCell ref="U67:V67"/>
    <mergeCell ref="AA66:AB66"/>
    <mergeCell ref="B65:G65"/>
    <mergeCell ref="K65:L65"/>
    <mergeCell ref="M65:N65"/>
    <mergeCell ref="O65:P65"/>
    <mergeCell ref="Q65:R65"/>
    <mergeCell ref="S65:T65"/>
    <mergeCell ref="U65:V65"/>
    <mergeCell ref="W65:X65"/>
    <mergeCell ref="AA65:AB65"/>
    <mergeCell ref="C63:C64"/>
    <mergeCell ref="F63:G63"/>
    <mergeCell ref="K63:L63"/>
    <mergeCell ref="M63:N63"/>
    <mergeCell ref="O63:P63"/>
    <mergeCell ref="Q63:R63"/>
    <mergeCell ref="S63:T63"/>
    <mergeCell ref="U63:V63"/>
    <mergeCell ref="W63:X64"/>
    <mergeCell ref="F64:G64"/>
    <mergeCell ref="K64:L64"/>
    <mergeCell ref="M64:N64"/>
    <mergeCell ref="O64:P64"/>
    <mergeCell ref="Q64:R64"/>
    <mergeCell ref="S64:T64"/>
    <mergeCell ref="U64:V64"/>
    <mergeCell ref="C61:C62"/>
    <mergeCell ref="F61:G61"/>
    <mergeCell ref="K61:L61"/>
    <mergeCell ref="M61:N61"/>
    <mergeCell ref="O61:P61"/>
    <mergeCell ref="Q61:R61"/>
    <mergeCell ref="S61:T61"/>
    <mergeCell ref="U61:V61"/>
    <mergeCell ref="W61:X62"/>
    <mergeCell ref="F62:G62"/>
    <mergeCell ref="K62:L62"/>
    <mergeCell ref="M62:N62"/>
    <mergeCell ref="O62:P62"/>
    <mergeCell ref="Q62:R62"/>
    <mergeCell ref="S62:T62"/>
    <mergeCell ref="U62:V62"/>
    <mergeCell ref="U59:V59"/>
    <mergeCell ref="W59:X60"/>
    <mergeCell ref="F60:G60"/>
    <mergeCell ref="K60:L60"/>
    <mergeCell ref="M60:N60"/>
    <mergeCell ref="O60:P60"/>
    <mergeCell ref="Q60:R60"/>
    <mergeCell ref="S60:T60"/>
    <mergeCell ref="U60:V60"/>
    <mergeCell ref="W56:X57"/>
    <mergeCell ref="F57:G57"/>
    <mergeCell ref="K57:L57"/>
    <mergeCell ref="M57:N57"/>
    <mergeCell ref="O57:P57"/>
    <mergeCell ref="Q57:R57"/>
    <mergeCell ref="S57:T57"/>
    <mergeCell ref="U57:V57"/>
    <mergeCell ref="B58:B64"/>
    <mergeCell ref="F58:G58"/>
    <mergeCell ref="K58:L58"/>
    <mergeCell ref="M58:N58"/>
    <mergeCell ref="O58:P58"/>
    <mergeCell ref="Q58:R58"/>
    <mergeCell ref="S58:T58"/>
    <mergeCell ref="U58:V58"/>
    <mergeCell ref="W58:X58"/>
    <mergeCell ref="C59:C60"/>
    <mergeCell ref="F59:G59"/>
    <mergeCell ref="K59:L59"/>
    <mergeCell ref="M59:N59"/>
    <mergeCell ref="O59:P59"/>
    <mergeCell ref="Q59:R59"/>
    <mergeCell ref="S59:T59"/>
    <mergeCell ref="U55:V55"/>
    <mergeCell ref="C56:C57"/>
    <mergeCell ref="F56:G56"/>
    <mergeCell ref="K56:L56"/>
    <mergeCell ref="M56:N56"/>
    <mergeCell ref="O56:P56"/>
    <mergeCell ref="Q56:R56"/>
    <mergeCell ref="S56:T56"/>
    <mergeCell ref="U56:V56"/>
    <mergeCell ref="F53:G53"/>
    <mergeCell ref="K53:L53"/>
    <mergeCell ref="M53:N53"/>
    <mergeCell ref="O53:P53"/>
    <mergeCell ref="Q53:R53"/>
    <mergeCell ref="S53:T53"/>
    <mergeCell ref="U53:V53"/>
    <mergeCell ref="W53:X53"/>
    <mergeCell ref="B54:B57"/>
    <mergeCell ref="C54:C55"/>
    <mergeCell ref="F54:G54"/>
    <mergeCell ref="K54:L54"/>
    <mergeCell ref="M54:N54"/>
    <mergeCell ref="O54:P54"/>
    <mergeCell ref="Q54:R54"/>
    <mergeCell ref="S54:T54"/>
    <mergeCell ref="U54:V54"/>
    <mergeCell ref="W54:X55"/>
    <mergeCell ref="F55:G55"/>
    <mergeCell ref="K55:L55"/>
    <mergeCell ref="M55:N55"/>
    <mergeCell ref="O55:P55"/>
    <mergeCell ref="Q55:R55"/>
    <mergeCell ref="S55:T55"/>
    <mergeCell ref="F51:G51"/>
    <mergeCell ref="K51:L51"/>
    <mergeCell ref="M51:N51"/>
    <mergeCell ref="O51:P51"/>
    <mergeCell ref="Q51:R51"/>
    <mergeCell ref="S51:T51"/>
    <mergeCell ref="U51:V51"/>
    <mergeCell ref="W51:X51"/>
    <mergeCell ref="F52:G52"/>
    <mergeCell ref="K52:L52"/>
    <mergeCell ref="M52:N52"/>
    <mergeCell ref="O52:P52"/>
    <mergeCell ref="Q52:R52"/>
    <mergeCell ref="S52:T52"/>
    <mergeCell ref="U52:V52"/>
    <mergeCell ref="W52:X52"/>
    <mergeCell ref="F49:G49"/>
    <mergeCell ref="K49:L49"/>
    <mergeCell ref="M49:N49"/>
    <mergeCell ref="O49:P49"/>
    <mergeCell ref="Q49:R49"/>
    <mergeCell ref="S49:T49"/>
    <mergeCell ref="U49:V49"/>
    <mergeCell ref="W49:X49"/>
    <mergeCell ref="F50:G50"/>
    <mergeCell ref="K50:L50"/>
    <mergeCell ref="M50:N50"/>
    <mergeCell ref="O50:P50"/>
    <mergeCell ref="Q50:R50"/>
    <mergeCell ref="S50:T50"/>
    <mergeCell ref="U50:V50"/>
    <mergeCell ref="W50:X50"/>
    <mergeCell ref="W47:X47"/>
    <mergeCell ref="F48:G48"/>
    <mergeCell ref="K48:L48"/>
    <mergeCell ref="M48:N48"/>
    <mergeCell ref="O48:P48"/>
    <mergeCell ref="Q48:R48"/>
    <mergeCell ref="S48:T48"/>
    <mergeCell ref="U48:V48"/>
    <mergeCell ref="W48:X48"/>
    <mergeCell ref="W45:X45"/>
    <mergeCell ref="F46:G46"/>
    <mergeCell ref="K46:L46"/>
    <mergeCell ref="M46:N46"/>
    <mergeCell ref="O46:P46"/>
    <mergeCell ref="Q46:R46"/>
    <mergeCell ref="S46:T46"/>
    <mergeCell ref="U46:V46"/>
    <mergeCell ref="W46:X46"/>
    <mergeCell ref="W43:X43"/>
    <mergeCell ref="F44:G44"/>
    <mergeCell ref="K44:L44"/>
    <mergeCell ref="M44:N44"/>
    <mergeCell ref="O44:P44"/>
    <mergeCell ref="Q44:R44"/>
    <mergeCell ref="S44:T44"/>
    <mergeCell ref="U44:V44"/>
    <mergeCell ref="W44:X44"/>
    <mergeCell ref="W40:X40"/>
    <mergeCell ref="Y40:Y64"/>
    <mergeCell ref="F41:G41"/>
    <mergeCell ref="K41:L41"/>
    <mergeCell ref="M41:N41"/>
    <mergeCell ref="O41:P41"/>
    <mergeCell ref="Q41:R41"/>
    <mergeCell ref="S41:T41"/>
    <mergeCell ref="U41:V41"/>
    <mergeCell ref="W41:X41"/>
    <mergeCell ref="F42:G42"/>
    <mergeCell ref="K42:L42"/>
    <mergeCell ref="M42:N42"/>
    <mergeCell ref="O42:P42"/>
    <mergeCell ref="Q42:R42"/>
    <mergeCell ref="S42:T42"/>
    <mergeCell ref="U42:V42"/>
    <mergeCell ref="W42:X42"/>
    <mergeCell ref="F43:G43"/>
    <mergeCell ref="K43:L43"/>
    <mergeCell ref="M43:N43"/>
    <mergeCell ref="O43:P43"/>
    <mergeCell ref="Q43:R43"/>
    <mergeCell ref="S43:T43"/>
    <mergeCell ref="B40:C53"/>
    <mergeCell ref="D40:E40"/>
    <mergeCell ref="F40:G40"/>
    <mergeCell ref="K40:L40"/>
    <mergeCell ref="M40:N40"/>
    <mergeCell ref="O40:P40"/>
    <mergeCell ref="Q40:R40"/>
    <mergeCell ref="S40:T40"/>
    <mergeCell ref="U40:V40"/>
    <mergeCell ref="U43:V43"/>
    <mergeCell ref="F45:G45"/>
    <mergeCell ref="K45:L45"/>
    <mergeCell ref="M45:N45"/>
    <mergeCell ref="O45:P45"/>
    <mergeCell ref="Q45:R45"/>
    <mergeCell ref="S45:T45"/>
    <mergeCell ref="U45:V45"/>
    <mergeCell ref="F47:G47"/>
    <mergeCell ref="K47:L47"/>
    <mergeCell ref="M47:N47"/>
    <mergeCell ref="O47:P47"/>
    <mergeCell ref="Q47:R47"/>
    <mergeCell ref="S47:T47"/>
    <mergeCell ref="U47:V47"/>
    <mergeCell ref="B39:G39"/>
    <mergeCell ref="K39:L39"/>
    <mergeCell ref="M39:N39"/>
    <mergeCell ref="O39:P39"/>
    <mergeCell ref="Q39:R39"/>
    <mergeCell ref="S39:T39"/>
    <mergeCell ref="U39:V39"/>
    <mergeCell ref="W39:X39"/>
    <mergeCell ref="AA39:AB39"/>
    <mergeCell ref="Y36:Y38"/>
    <mergeCell ref="F37:G37"/>
    <mergeCell ref="K37:L37"/>
    <mergeCell ref="M37:N37"/>
    <mergeCell ref="O37:P37"/>
    <mergeCell ref="Q37:R37"/>
    <mergeCell ref="S37:T37"/>
    <mergeCell ref="U37:V37"/>
    <mergeCell ref="F38:G38"/>
    <mergeCell ref="K38:L38"/>
    <mergeCell ref="M38:N38"/>
    <mergeCell ref="O38:P38"/>
    <mergeCell ref="Q38:R38"/>
    <mergeCell ref="S38:T38"/>
    <mergeCell ref="U38:V38"/>
    <mergeCell ref="D36:D38"/>
    <mergeCell ref="F36:G36"/>
    <mergeCell ref="K36:L36"/>
    <mergeCell ref="M36:N36"/>
    <mergeCell ref="O36:P36"/>
    <mergeCell ref="Q36:R36"/>
    <mergeCell ref="S36:T36"/>
    <mergeCell ref="U36:V36"/>
    <mergeCell ref="W36:X38"/>
    <mergeCell ref="Y32:Y35"/>
    <mergeCell ref="F33:G33"/>
    <mergeCell ref="K33:L33"/>
    <mergeCell ref="M33:N33"/>
    <mergeCell ref="O33:P33"/>
    <mergeCell ref="Q33:R33"/>
    <mergeCell ref="S33:T33"/>
    <mergeCell ref="U33:V33"/>
    <mergeCell ref="F34:G34"/>
    <mergeCell ref="K34:L34"/>
    <mergeCell ref="M34:N34"/>
    <mergeCell ref="O34:P34"/>
    <mergeCell ref="Q34:R34"/>
    <mergeCell ref="S34:T34"/>
    <mergeCell ref="U34:V34"/>
    <mergeCell ref="F35:G35"/>
    <mergeCell ref="K35:L35"/>
    <mergeCell ref="M35:N35"/>
    <mergeCell ref="O35:P35"/>
    <mergeCell ref="Q35:R35"/>
    <mergeCell ref="S35:T35"/>
    <mergeCell ref="U35:V35"/>
    <mergeCell ref="D32:D35"/>
    <mergeCell ref="F32:G32"/>
    <mergeCell ref="K32:L32"/>
    <mergeCell ref="M32:N32"/>
    <mergeCell ref="O32:P32"/>
    <mergeCell ref="Q32:R32"/>
    <mergeCell ref="S32:T32"/>
    <mergeCell ref="U32:V32"/>
    <mergeCell ref="W32:X35"/>
    <mergeCell ref="Y27:Y31"/>
    <mergeCell ref="F28:G28"/>
    <mergeCell ref="K28:L28"/>
    <mergeCell ref="M28:N28"/>
    <mergeCell ref="O28:P28"/>
    <mergeCell ref="Q28:R28"/>
    <mergeCell ref="S28:T28"/>
    <mergeCell ref="U28:V28"/>
    <mergeCell ref="F29:G29"/>
    <mergeCell ref="K29:L29"/>
    <mergeCell ref="M29:N29"/>
    <mergeCell ref="O29:P29"/>
    <mergeCell ref="Q29:R29"/>
    <mergeCell ref="S29:T29"/>
    <mergeCell ref="U29:V29"/>
    <mergeCell ref="F30:G30"/>
    <mergeCell ref="K30:L30"/>
    <mergeCell ref="M30:N30"/>
    <mergeCell ref="O30:P30"/>
    <mergeCell ref="Q30:R30"/>
    <mergeCell ref="S30:T30"/>
    <mergeCell ref="U30:V30"/>
    <mergeCell ref="F31:G31"/>
    <mergeCell ref="K31:L31"/>
    <mergeCell ref="D27:D31"/>
    <mergeCell ref="F27:G27"/>
    <mergeCell ref="K27:L27"/>
    <mergeCell ref="M27:N27"/>
    <mergeCell ref="O27:P27"/>
    <mergeCell ref="Q27:R27"/>
    <mergeCell ref="S27:T27"/>
    <mergeCell ref="U27:V27"/>
    <mergeCell ref="X27:X31"/>
    <mergeCell ref="M31:N31"/>
    <mergeCell ref="O31:P31"/>
    <mergeCell ref="Q31:R31"/>
    <mergeCell ref="S31:T31"/>
    <mergeCell ref="U31:V31"/>
    <mergeCell ref="D25:D26"/>
    <mergeCell ref="F25:G25"/>
    <mergeCell ref="K25:L25"/>
    <mergeCell ref="M25:N25"/>
    <mergeCell ref="O25:P25"/>
    <mergeCell ref="Q25:R25"/>
    <mergeCell ref="S25:T25"/>
    <mergeCell ref="U25:V25"/>
    <mergeCell ref="X25:X26"/>
    <mergeCell ref="F26:G26"/>
    <mergeCell ref="K26:L26"/>
    <mergeCell ref="M26:N26"/>
    <mergeCell ref="O26:P26"/>
    <mergeCell ref="Q26:R26"/>
    <mergeCell ref="S26:T26"/>
    <mergeCell ref="U26:V26"/>
    <mergeCell ref="X23:X24"/>
    <mergeCell ref="Y23:Y26"/>
    <mergeCell ref="F24:G24"/>
    <mergeCell ref="K24:L24"/>
    <mergeCell ref="M24:N24"/>
    <mergeCell ref="O24:P24"/>
    <mergeCell ref="Q24:R24"/>
    <mergeCell ref="S24:T24"/>
    <mergeCell ref="U24:V24"/>
    <mergeCell ref="D17:D20"/>
    <mergeCell ref="F17:G17"/>
    <mergeCell ref="K17:L17"/>
    <mergeCell ref="M17:N17"/>
    <mergeCell ref="O17:P17"/>
    <mergeCell ref="Q17:R17"/>
    <mergeCell ref="X21:X22"/>
    <mergeCell ref="Y21:Y22"/>
    <mergeCell ref="F22:G22"/>
    <mergeCell ref="K22:L22"/>
    <mergeCell ref="M22:N22"/>
    <mergeCell ref="O22:P22"/>
    <mergeCell ref="Q22:R22"/>
    <mergeCell ref="S22:T22"/>
    <mergeCell ref="U22:V22"/>
    <mergeCell ref="D21:D24"/>
    <mergeCell ref="F21:G21"/>
    <mergeCell ref="K21:L21"/>
    <mergeCell ref="M21:N21"/>
    <mergeCell ref="O21:P21"/>
    <mergeCell ref="Q21:R21"/>
    <mergeCell ref="S21:T21"/>
    <mergeCell ref="U21:V21"/>
    <mergeCell ref="F23:G23"/>
    <mergeCell ref="K23:L23"/>
    <mergeCell ref="M23:N23"/>
    <mergeCell ref="O23:P23"/>
    <mergeCell ref="Q23:R23"/>
    <mergeCell ref="S23:T23"/>
    <mergeCell ref="U23:V23"/>
    <mergeCell ref="S17:T17"/>
    <mergeCell ref="U17:V17"/>
    <mergeCell ref="X17:X20"/>
    <mergeCell ref="F18:G18"/>
    <mergeCell ref="K18:L18"/>
    <mergeCell ref="M18:N18"/>
    <mergeCell ref="O18:P18"/>
    <mergeCell ref="Q18:R18"/>
    <mergeCell ref="S18:T18"/>
    <mergeCell ref="U18:V18"/>
    <mergeCell ref="F19:G19"/>
    <mergeCell ref="K19:L19"/>
    <mergeCell ref="M19:N19"/>
    <mergeCell ref="O19:P19"/>
    <mergeCell ref="Q19:R19"/>
    <mergeCell ref="S19:T19"/>
    <mergeCell ref="U19:V19"/>
    <mergeCell ref="F20:G20"/>
    <mergeCell ref="K20:L20"/>
    <mergeCell ref="M20:N20"/>
    <mergeCell ref="O20:P20"/>
    <mergeCell ref="Q20:R20"/>
    <mergeCell ref="S20:T20"/>
    <mergeCell ref="U20:V20"/>
    <mergeCell ref="AB14:AD14"/>
    <mergeCell ref="F15:G15"/>
    <mergeCell ref="K15:L15"/>
    <mergeCell ref="M15:N15"/>
    <mergeCell ref="O15:P15"/>
    <mergeCell ref="Q15:R15"/>
    <mergeCell ref="S15:T15"/>
    <mergeCell ref="U15:V15"/>
    <mergeCell ref="F16:G16"/>
    <mergeCell ref="K16:L16"/>
    <mergeCell ref="M16:N16"/>
    <mergeCell ref="O16:P16"/>
    <mergeCell ref="Q16:R16"/>
    <mergeCell ref="S16:T16"/>
    <mergeCell ref="U16:V16"/>
    <mergeCell ref="D13:D16"/>
    <mergeCell ref="F13:G13"/>
    <mergeCell ref="K13:L13"/>
    <mergeCell ref="M13:N13"/>
    <mergeCell ref="O13:P13"/>
    <mergeCell ref="Q13:R13"/>
    <mergeCell ref="S13:T13"/>
    <mergeCell ref="U13:V13"/>
    <mergeCell ref="X13:X16"/>
    <mergeCell ref="F14:G14"/>
    <mergeCell ref="K14:L14"/>
    <mergeCell ref="M14:N14"/>
    <mergeCell ref="O14:P14"/>
    <mergeCell ref="Q14:R14"/>
    <mergeCell ref="S14:T14"/>
    <mergeCell ref="U14:V14"/>
    <mergeCell ref="S11:T11"/>
    <mergeCell ref="U11:V11"/>
    <mergeCell ref="F12:G12"/>
    <mergeCell ref="K12:L12"/>
    <mergeCell ref="M12:N12"/>
    <mergeCell ref="O12:P12"/>
    <mergeCell ref="Q12:R12"/>
    <mergeCell ref="S12:T12"/>
    <mergeCell ref="U12:V12"/>
    <mergeCell ref="AA8:AD8"/>
    <mergeCell ref="B9:C38"/>
    <mergeCell ref="D9:D12"/>
    <mergeCell ref="F9:G9"/>
    <mergeCell ref="K9:L9"/>
    <mergeCell ref="M9:N9"/>
    <mergeCell ref="O9:P9"/>
    <mergeCell ref="Q9:R9"/>
    <mergeCell ref="S9:T9"/>
    <mergeCell ref="U9:V9"/>
    <mergeCell ref="X9:X12"/>
    <mergeCell ref="Y9:Y20"/>
    <mergeCell ref="F10:G10"/>
    <mergeCell ref="K10:L10"/>
    <mergeCell ref="M10:N10"/>
    <mergeCell ref="O10:P10"/>
    <mergeCell ref="Q10:R10"/>
    <mergeCell ref="S10:T10"/>
    <mergeCell ref="U10:V10"/>
    <mergeCell ref="F11:G11"/>
    <mergeCell ref="K11:L11"/>
    <mergeCell ref="M11:N11"/>
    <mergeCell ref="O11:P11"/>
    <mergeCell ref="Q11:R11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</mergeCells>
  <phoneticPr fontId="41" type="noConversion"/>
  <conditionalFormatting sqref="AA39 AA70 AA72">
    <cfRule type="expression" dxfId="7" priority="2">
      <formula>NOT(ISERROR(SEARCH("FALSE",AA39)))</formula>
    </cfRule>
  </conditionalFormatting>
  <conditionalFormatting sqref="AA66">
    <cfRule type="expression" dxfId="6" priority="3">
      <formula>NOT(ISERROR(SEARCH("FALSE",AA66)))</formula>
    </cfRule>
  </conditionalFormatting>
  <printOptions horizontalCentered="1" verticalCentered="1"/>
  <pageMargins left="0.25" right="0.25" top="0.75" bottom="0.75" header="0.511811023622047" footer="0.511811023622047"/>
  <pageSetup paperSize="12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E109"/>
  <sheetViews>
    <sheetView zoomScale="85" zoomScaleNormal="85" workbookViewId="0">
      <pane ySplit="8" topLeftCell="A49" activePane="bottomLeft" state="frozen"/>
      <selection pane="bottomLeft" activeCell="W5" sqref="W5:Y5"/>
    </sheetView>
  </sheetViews>
  <sheetFormatPr defaultColWidth="7.375" defaultRowHeight="16.5"/>
  <cols>
    <col min="1" max="1" width="1.75" style="1" customWidth="1"/>
    <col min="2" max="2" width="8.125" style="1" customWidth="1"/>
    <col min="3" max="3" width="14.5" style="1" customWidth="1"/>
    <col min="4" max="4" width="8.25" style="1" customWidth="1"/>
    <col min="5" max="5" width="8.75" style="1" bestFit="1" customWidth="1"/>
    <col min="6" max="6" width="14.125" style="1" customWidth="1"/>
    <col min="7" max="7" width="5.25" style="1" customWidth="1"/>
    <col min="8" max="8" width="4.75" style="1" customWidth="1"/>
    <col min="9" max="9" width="6.75" style="1" customWidth="1"/>
    <col min="10" max="10" width="4.75" style="1" customWidth="1"/>
    <col min="11" max="22" width="3.25" style="1" customWidth="1"/>
    <col min="23" max="24" width="2.875" style="1" customWidth="1"/>
    <col min="25" max="25" width="5.375" style="1" customWidth="1"/>
    <col min="26" max="26" width="7.375" style="1"/>
    <col min="27" max="27" width="18.875" style="1" customWidth="1"/>
    <col min="28" max="29" width="11" style="1" customWidth="1"/>
    <col min="30" max="30" width="11.75" style="1" customWidth="1"/>
    <col min="31" max="16384" width="7.375" style="1"/>
  </cols>
  <sheetData>
    <row r="1" spans="1:31" ht="18" customHeight="1"/>
    <row r="2" spans="1:31" ht="30.75" customHeight="1">
      <c r="B2" s="156" t="s">
        <v>0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7" t="s">
        <v>1</v>
      </c>
      <c r="W2" s="157"/>
      <c r="X2" s="158">
        <v>2027</v>
      </c>
      <c r="Y2" s="158"/>
      <c r="AA2" s="159" t="s">
        <v>2</v>
      </c>
      <c r="AB2" s="2" t="s">
        <v>3</v>
      </c>
      <c r="AC2" s="3" t="s">
        <v>4</v>
      </c>
      <c r="AD2" s="4" t="s">
        <v>5</v>
      </c>
    </row>
    <row r="3" spans="1:31" ht="18" customHeight="1">
      <c r="B3" s="160" t="s">
        <v>6</v>
      </c>
      <c r="C3" s="161" t="s">
        <v>7</v>
      </c>
      <c r="D3" s="161"/>
      <c r="E3" s="161"/>
      <c r="F3" s="160" t="s">
        <v>8</v>
      </c>
      <c r="G3" s="160"/>
      <c r="H3" s="161" t="s">
        <v>9</v>
      </c>
      <c r="I3" s="161"/>
      <c r="J3" s="161"/>
      <c r="K3" s="160" t="s">
        <v>10</v>
      </c>
      <c r="L3" s="160"/>
      <c r="M3" s="160"/>
      <c r="N3" s="160"/>
      <c r="O3" s="160"/>
      <c r="P3" s="160" t="s">
        <v>11</v>
      </c>
      <c r="Q3" s="160"/>
      <c r="R3" s="160"/>
      <c r="S3" s="160"/>
      <c r="T3" s="160"/>
      <c r="U3" s="160"/>
      <c r="V3" s="160"/>
      <c r="W3" s="160"/>
      <c r="X3" s="160"/>
      <c r="Y3" s="160"/>
      <c r="AA3" s="159"/>
      <c r="AB3" s="5" t="s">
        <v>12</v>
      </c>
      <c r="AC3" s="6" t="s">
        <v>13</v>
      </c>
      <c r="AD3" s="7" t="s">
        <v>14</v>
      </c>
    </row>
    <row r="4" spans="1:31" ht="18" customHeight="1">
      <c r="B4" s="160"/>
      <c r="C4" s="161"/>
      <c r="D4" s="161"/>
      <c r="E4" s="161"/>
      <c r="F4" s="160"/>
      <c r="G4" s="160"/>
      <c r="H4" s="161"/>
      <c r="I4" s="161"/>
      <c r="J4" s="161"/>
      <c r="K4" s="160"/>
      <c r="L4" s="160"/>
      <c r="M4" s="160"/>
      <c r="N4" s="160"/>
      <c r="O4" s="160"/>
      <c r="P4" s="161" t="s">
        <v>15</v>
      </c>
      <c r="Q4" s="161"/>
      <c r="R4" s="161"/>
      <c r="S4" s="161"/>
      <c r="T4" s="160" t="s">
        <v>16</v>
      </c>
      <c r="U4" s="160"/>
      <c r="V4" s="160"/>
      <c r="W4" s="162" t="s">
        <v>17</v>
      </c>
      <c r="X4" s="162"/>
      <c r="Y4" s="162"/>
      <c r="AA4" s="159"/>
      <c r="AB4" s="8" t="s">
        <v>18</v>
      </c>
      <c r="AC4" s="9" t="s">
        <v>19</v>
      </c>
      <c r="AD4" s="7" t="s">
        <v>20</v>
      </c>
    </row>
    <row r="5" spans="1:31" ht="37.5" customHeight="1">
      <c r="B5" s="10" t="s">
        <v>21</v>
      </c>
      <c r="C5" s="163" t="s">
        <v>22</v>
      </c>
      <c r="D5" s="163"/>
      <c r="E5" s="163"/>
      <c r="F5" s="164" t="s">
        <v>23</v>
      </c>
      <c r="G5" s="164"/>
      <c r="H5" s="165" t="s">
        <v>24</v>
      </c>
      <c r="I5" s="165"/>
      <c r="J5" s="165"/>
      <c r="K5" s="166" t="s">
        <v>25</v>
      </c>
      <c r="L5" s="166"/>
      <c r="M5" s="166"/>
      <c r="N5" s="166"/>
      <c r="O5" s="166"/>
      <c r="P5" s="165" t="s">
        <v>26</v>
      </c>
      <c r="Q5" s="165"/>
      <c r="R5" s="165"/>
      <c r="S5" s="165"/>
      <c r="T5" s="163" t="s">
        <v>154</v>
      </c>
      <c r="U5" s="163"/>
      <c r="V5" s="163"/>
      <c r="W5" s="167" t="s">
        <v>668</v>
      </c>
      <c r="X5" s="168"/>
      <c r="Y5" s="168"/>
      <c r="AA5" s="159"/>
      <c r="AB5" s="11" t="s">
        <v>28</v>
      </c>
      <c r="AC5" s="12" t="s">
        <v>29</v>
      </c>
      <c r="AD5" s="13" t="s">
        <v>30</v>
      </c>
    </row>
    <row r="6" spans="1:31" ht="15.75" customHeight="1">
      <c r="U6" s="169"/>
      <c r="V6" s="169"/>
      <c r="W6" s="169"/>
      <c r="X6" s="169"/>
      <c r="Y6" s="169"/>
    </row>
    <row r="7" spans="1:31" s="14" customFormat="1" ht="22.5" customHeight="1">
      <c r="B7" s="170" t="s">
        <v>31</v>
      </c>
      <c r="C7" s="170"/>
      <c r="D7" s="171" t="s">
        <v>32</v>
      </c>
      <c r="E7" s="171" t="s">
        <v>33</v>
      </c>
      <c r="F7" s="171"/>
      <c r="G7" s="171"/>
      <c r="H7" s="172" t="s">
        <v>34</v>
      </c>
      <c r="I7" s="173" t="s">
        <v>35</v>
      </c>
      <c r="J7" s="174" t="s">
        <v>36</v>
      </c>
      <c r="K7" s="175" t="s">
        <v>37</v>
      </c>
      <c r="L7" s="175"/>
      <c r="M7" s="175"/>
      <c r="N7" s="175"/>
      <c r="O7" s="176" t="s">
        <v>38</v>
      </c>
      <c r="P7" s="176"/>
      <c r="Q7" s="176"/>
      <c r="R7" s="176"/>
      <c r="S7" s="175" t="s">
        <v>39</v>
      </c>
      <c r="T7" s="175"/>
      <c r="U7" s="175"/>
      <c r="V7" s="175"/>
      <c r="W7" s="172" t="s">
        <v>40</v>
      </c>
      <c r="X7" s="172"/>
      <c r="Y7" s="177" t="s">
        <v>41</v>
      </c>
      <c r="Z7" s="15"/>
    </row>
    <row r="8" spans="1:31" s="14" customFormat="1" ht="22.5" customHeight="1">
      <c r="B8" s="170"/>
      <c r="C8" s="170"/>
      <c r="D8" s="171"/>
      <c r="E8" s="16" t="s">
        <v>42</v>
      </c>
      <c r="F8" s="178" t="s">
        <v>43</v>
      </c>
      <c r="G8" s="178"/>
      <c r="H8" s="172"/>
      <c r="I8" s="173"/>
      <c r="J8" s="174"/>
      <c r="K8" s="179" t="s">
        <v>44</v>
      </c>
      <c r="L8" s="179"/>
      <c r="M8" s="180" t="s">
        <v>45</v>
      </c>
      <c r="N8" s="180"/>
      <c r="O8" s="181" t="s">
        <v>44</v>
      </c>
      <c r="P8" s="181"/>
      <c r="Q8" s="180" t="s">
        <v>45</v>
      </c>
      <c r="R8" s="180"/>
      <c r="S8" s="179" t="s">
        <v>44</v>
      </c>
      <c r="T8" s="179"/>
      <c r="U8" s="180" t="s">
        <v>45</v>
      </c>
      <c r="V8" s="180"/>
      <c r="W8" s="172"/>
      <c r="X8" s="172"/>
      <c r="Y8" s="177"/>
      <c r="AA8" s="182" t="s">
        <v>46</v>
      </c>
      <c r="AB8" s="182"/>
      <c r="AC8" s="182"/>
      <c r="AD8" s="182"/>
    </row>
    <row r="9" spans="1:31" ht="18" customHeight="1">
      <c r="A9" s="17"/>
      <c r="B9" s="183" t="s">
        <v>47</v>
      </c>
      <c r="C9" s="183"/>
      <c r="D9" s="183" t="s">
        <v>48</v>
      </c>
      <c r="E9" s="18" t="s">
        <v>49</v>
      </c>
      <c r="F9" s="184" t="s">
        <v>50</v>
      </c>
      <c r="G9" s="184"/>
      <c r="H9" s="19">
        <v>4</v>
      </c>
      <c r="I9" s="20" t="s">
        <v>51</v>
      </c>
      <c r="J9" s="21">
        <f t="shared" ref="J9:J38" si="0">SUM(K9:V9)</f>
        <v>3</v>
      </c>
      <c r="K9" s="185">
        <v>3</v>
      </c>
      <c r="L9" s="185"/>
      <c r="M9" s="186"/>
      <c r="N9" s="186"/>
      <c r="O9" s="185"/>
      <c r="P9" s="185"/>
      <c r="Q9" s="186"/>
      <c r="R9" s="186"/>
      <c r="S9" s="185"/>
      <c r="T9" s="185"/>
      <c r="U9" s="186"/>
      <c r="V9" s="186"/>
      <c r="W9" s="19">
        <f t="shared" ref="W9:W31" si="1">SUM(K9:V9)</f>
        <v>3</v>
      </c>
      <c r="X9" s="187">
        <f>SUM(W9:W12)</f>
        <v>12</v>
      </c>
      <c r="Y9" s="188">
        <v>24</v>
      </c>
      <c r="Z9" s="17"/>
      <c r="AA9" s="22" t="s">
        <v>42</v>
      </c>
      <c r="AB9" s="23" t="s">
        <v>52</v>
      </c>
      <c r="AC9" s="23" t="s">
        <v>53</v>
      </c>
      <c r="AD9" s="24" t="s">
        <v>54</v>
      </c>
    </row>
    <row r="10" spans="1:31" ht="18" customHeight="1">
      <c r="A10" s="17"/>
      <c r="B10" s="183"/>
      <c r="C10" s="183"/>
      <c r="D10" s="183"/>
      <c r="E10" s="25" t="s">
        <v>49</v>
      </c>
      <c r="F10" s="189" t="s">
        <v>55</v>
      </c>
      <c r="G10" s="189"/>
      <c r="H10" s="26">
        <v>4</v>
      </c>
      <c r="I10" s="27" t="s">
        <v>51</v>
      </c>
      <c r="J10" s="28">
        <f t="shared" si="0"/>
        <v>3</v>
      </c>
      <c r="K10" s="190"/>
      <c r="L10" s="190"/>
      <c r="M10" s="191">
        <v>3</v>
      </c>
      <c r="N10" s="191"/>
      <c r="O10" s="190"/>
      <c r="P10" s="190"/>
      <c r="Q10" s="191"/>
      <c r="R10" s="191"/>
      <c r="S10" s="190"/>
      <c r="T10" s="190"/>
      <c r="U10" s="191"/>
      <c r="V10" s="191"/>
      <c r="W10" s="26">
        <f t="shared" si="1"/>
        <v>3</v>
      </c>
      <c r="X10" s="187"/>
      <c r="Y10" s="188"/>
      <c r="Z10" s="17"/>
      <c r="AA10" s="29" t="s">
        <v>56</v>
      </c>
      <c r="AB10" s="30">
        <v>4</v>
      </c>
      <c r="AC10" s="30">
        <v>-1</v>
      </c>
      <c r="AD10" s="7" t="s">
        <v>51</v>
      </c>
    </row>
    <row r="11" spans="1:31" ht="18" customHeight="1">
      <c r="A11" s="17"/>
      <c r="B11" s="183"/>
      <c r="C11" s="183"/>
      <c r="D11" s="183"/>
      <c r="E11" s="25" t="s">
        <v>57</v>
      </c>
      <c r="F11" s="189" t="s">
        <v>58</v>
      </c>
      <c r="G11" s="189"/>
      <c r="H11" s="26">
        <v>4</v>
      </c>
      <c r="I11" s="27" t="s">
        <v>59</v>
      </c>
      <c r="J11" s="28">
        <f t="shared" si="0"/>
        <v>3</v>
      </c>
      <c r="K11" s="190"/>
      <c r="L11" s="190"/>
      <c r="M11" s="191"/>
      <c r="N11" s="191"/>
      <c r="O11" s="190">
        <v>3</v>
      </c>
      <c r="P11" s="190"/>
      <c r="Q11" s="191"/>
      <c r="R11" s="191"/>
      <c r="S11" s="190"/>
      <c r="T11" s="190"/>
      <c r="U11" s="191"/>
      <c r="V11" s="191"/>
      <c r="W11" s="26">
        <f t="shared" si="1"/>
        <v>3</v>
      </c>
      <c r="X11" s="187"/>
      <c r="Y11" s="188"/>
      <c r="Z11" s="17"/>
      <c r="AA11" s="29" t="s">
        <v>60</v>
      </c>
      <c r="AB11" s="30">
        <v>3</v>
      </c>
      <c r="AC11" s="30"/>
      <c r="AD11" s="7">
        <v>3</v>
      </c>
    </row>
    <row r="12" spans="1:31" ht="18" customHeight="1">
      <c r="A12" s="17"/>
      <c r="B12" s="183"/>
      <c r="C12" s="183"/>
      <c r="D12" s="183"/>
      <c r="E12" s="31" t="s">
        <v>61</v>
      </c>
      <c r="F12" s="192" t="s">
        <v>62</v>
      </c>
      <c r="G12" s="192"/>
      <c r="H12" s="32">
        <v>4</v>
      </c>
      <c r="I12" s="33" t="s">
        <v>59</v>
      </c>
      <c r="J12" s="34">
        <f t="shared" si="0"/>
        <v>3</v>
      </c>
      <c r="K12" s="193"/>
      <c r="L12" s="193"/>
      <c r="M12" s="194"/>
      <c r="N12" s="194"/>
      <c r="O12" s="193"/>
      <c r="P12" s="193"/>
      <c r="Q12" s="194">
        <v>3</v>
      </c>
      <c r="R12" s="194"/>
      <c r="S12" s="193"/>
      <c r="T12" s="193"/>
      <c r="U12" s="194"/>
      <c r="V12" s="194"/>
      <c r="W12" s="32">
        <f t="shared" si="1"/>
        <v>3</v>
      </c>
      <c r="X12" s="187"/>
      <c r="Y12" s="188"/>
      <c r="Z12" s="17"/>
      <c r="AA12" s="29" t="s">
        <v>63</v>
      </c>
      <c r="AB12" s="30">
        <v>4</v>
      </c>
      <c r="AC12" s="30" t="s">
        <v>64</v>
      </c>
      <c r="AD12" s="7" t="s">
        <v>59</v>
      </c>
    </row>
    <row r="13" spans="1:31" ht="18" customHeight="1">
      <c r="A13" s="17"/>
      <c r="B13" s="183"/>
      <c r="C13" s="183"/>
      <c r="D13" s="183" t="s">
        <v>65</v>
      </c>
      <c r="E13" s="18" t="s">
        <v>49</v>
      </c>
      <c r="F13" s="184" t="s">
        <v>66</v>
      </c>
      <c r="G13" s="184"/>
      <c r="H13" s="19">
        <v>4</v>
      </c>
      <c r="I13" s="20" t="s">
        <v>51</v>
      </c>
      <c r="J13" s="21">
        <f t="shared" si="0"/>
        <v>3</v>
      </c>
      <c r="K13" s="185">
        <v>3</v>
      </c>
      <c r="L13" s="185"/>
      <c r="M13" s="186"/>
      <c r="N13" s="186"/>
      <c r="O13" s="185"/>
      <c r="P13" s="185"/>
      <c r="Q13" s="186"/>
      <c r="R13" s="186"/>
      <c r="S13" s="185"/>
      <c r="T13" s="185"/>
      <c r="U13" s="186"/>
      <c r="V13" s="186"/>
      <c r="W13" s="19">
        <f t="shared" si="1"/>
        <v>3</v>
      </c>
      <c r="X13" s="187">
        <f>SUM(W13:W16)</f>
        <v>12</v>
      </c>
      <c r="Y13" s="188"/>
      <c r="Z13" s="17"/>
      <c r="AA13" s="29" t="s">
        <v>67</v>
      </c>
      <c r="AB13" s="30">
        <v>3</v>
      </c>
      <c r="AC13" s="30" t="s">
        <v>64</v>
      </c>
      <c r="AD13" s="7" t="s">
        <v>68</v>
      </c>
    </row>
    <row r="14" spans="1:31" ht="18" customHeight="1">
      <c r="A14" s="17"/>
      <c r="B14" s="183"/>
      <c r="C14" s="183"/>
      <c r="D14" s="183"/>
      <c r="E14" s="25" t="s">
        <v>49</v>
      </c>
      <c r="F14" s="189" t="s">
        <v>69</v>
      </c>
      <c r="G14" s="189"/>
      <c r="H14" s="26">
        <v>4</v>
      </c>
      <c r="I14" s="27" t="s">
        <v>51</v>
      </c>
      <c r="J14" s="28">
        <f t="shared" si="0"/>
        <v>3</v>
      </c>
      <c r="K14" s="190"/>
      <c r="L14" s="190"/>
      <c r="M14" s="191">
        <v>3</v>
      </c>
      <c r="N14" s="191"/>
      <c r="O14" s="190"/>
      <c r="P14" s="190"/>
      <c r="Q14" s="191"/>
      <c r="R14" s="191"/>
      <c r="S14" s="190"/>
      <c r="T14" s="190"/>
      <c r="U14" s="191"/>
      <c r="V14" s="191"/>
      <c r="W14" s="26">
        <f t="shared" si="1"/>
        <v>3</v>
      </c>
      <c r="X14" s="187"/>
      <c r="Y14" s="188"/>
      <c r="Z14" s="17"/>
      <c r="AA14" s="35" t="s">
        <v>70</v>
      </c>
      <c r="AB14" s="195" t="s">
        <v>71</v>
      </c>
      <c r="AC14" s="195"/>
      <c r="AD14" s="195"/>
    </row>
    <row r="15" spans="1:31" ht="18" customHeight="1">
      <c r="A15" s="17"/>
      <c r="B15" s="183"/>
      <c r="C15" s="183"/>
      <c r="D15" s="183"/>
      <c r="E15" s="25" t="s">
        <v>72</v>
      </c>
      <c r="F15" s="189" t="s">
        <v>73</v>
      </c>
      <c r="G15" s="189"/>
      <c r="H15" s="26">
        <v>4</v>
      </c>
      <c r="I15" s="27" t="s">
        <v>59</v>
      </c>
      <c r="J15" s="28">
        <f t="shared" si="0"/>
        <v>3</v>
      </c>
      <c r="K15" s="190"/>
      <c r="L15" s="190"/>
      <c r="M15" s="191"/>
      <c r="N15" s="191"/>
      <c r="O15" s="190">
        <v>3</v>
      </c>
      <c r="P15" s="190"/>
      <c r="Q15" s="191"/>
      <c r="R15" s="191"/>
      <c r="S15" s="190"/>
      <c r="T15" s="190"/>
      <c r="U15" s="191"/>
      <c r="V15" s="191"/>
      <c r="W15" s="26">
        <f t="shared" si="1"/>
        <v>3</v>
      </c>
      <c r="X15" s="187"/>
      <c r="Y15" s="188"/>
      <c r="Z15" s="17"/>
      <c r="AA15" s="17"/>
      <c r="AB15" s="17"/>
      <c r="AC15" s="17"/>
      <c r="AD15" s="17"/>
      <c r="AE15" s="17"/>
    </row>
    <row r="16" spans="1:31" ht="18" customHeight="1">
      <c r="A16" s="17"/>
      <c r="B16" s="183"/>
      <c r="C16" s="183"/>
      <c r="D16" s="183"/>
      <c r="E16" s="31" t="s">
        <v>61</v>
      </c>
      <c r="F16" s="192" t="s">
        <v>74</v>
      </c>
      <c r="G16" s="192"/>
      <c r="H16" s="32">
        <v>4</v>
      </c>
      <c r="I16" s="33" t="s">
        <v>59</v>
      </c>
      <c r="J16" s="34">
        <f t="shared" si="0"/>
        <v>3</v>
      </c>
      <c r="K16" s="193"/>
      <c r="L16" s="193"/>
      <c r="M16" s="194"/>
      <c r="N16" s="194"/>
      <c r="O16" s="193"/>
      <c r="P16" s="193"/>
      <c r="Q16" s="194">
        <v>3</v>
      </c>
      <c r="R16" s="194"/>
      <c r="S16" s="193"/>
      <c r="T16" s="193"/>
      <c r="U16" s="194"/>
      <c r="V16" s="194"/>
      <c r="W16" s="32">
        <f t="shared" si="1"/>
        <v>3</v>
      </c>
      <c r="X16" s="187"/>
      <c r="Y16" s="188"/>
      <c r="Z16" s="17"/>
      <c r="AA16" s="17"/>
      <c r="AB16" s="17"/>
      <c r="AC16" s="17"/>
      <c r="AD16" s="17"/>
      <c r="AE16" s="17"/>
    </row>
    <row r="17" spans="1:31" ht="18" customHeight="1">
      <c r="A17" s="17"/>
      <c r="B17" s="183"/>
      <c r="C17" s="183"/>
      <c r="D17" s="183" t="s">
        <v>75</v>
      </c>
      <c r="E17" s="18" t="s">
        <v>49</v>
      </c>
      <c r="F17" s="184" t="s">
        <v>76</v>
      </c>
      <c r="G17" s="184"/>
      <c r="H17" s="19">
        <v>4</v>
      </c>
      <c r="I17" s="20" t="s">
        <v>51</v>
      </c>
      <c r="J17" s="21">
        <f t="shared" si="0"/>
        <v>3</v>
      </c>
      <c r="K17" s="185">
        <v>3</v>
      </c>
      <c r="L17" s="185"/>
      <c r="M17" s="186"/>
      <c r="N17" s="186"/>
      <c r="O17" s="185"/>
      <c r="P17" s="185"/>
      <c r="Q17" s="186"/>
      <c r="R17" s="186"/>
      <c r="S17" s="185"/>
      <c r="T17" s="185"/>
      <c r="U17" s="186"/>
      <c r="V17" s="186"/>
      <c r="W17" s="19">
        <f t="shared" si="1"/>
        <v>3</v>
      </c>
      <c r="X17" s="187">
        <f>SUM(W17:W20)</f>
        <v>12</v>
      </c>
      <c r="Y17" s="188"/>
      <c r="Z17" s="17"/>
      <c r="AA17" s="36"/>
      <c r="AB17" s="17"/>
      <c r="AC17" s="17"/>
      <c r="AD17" s="17"/>
      <c r="AE17" s="17"/>
    </row>
    <row r="18" spans="1:31" ht="18" customHeight="1">
      <c r="A18" s="17"/>
      <c r="B18" s="183"/>
      <c r="C18" s="183"/>
      <c r="D18" s="183"/>
      <c r="E18" s="25" t="s">
        <v>49</v>
      </c>
      <c r="F18" s="189" t="s">
        <v>77</v>
      </c>
      <c r="G18" s="189"/>
      <c r="H18" s="26">
        <v>4</v>
      </c>
      <c r="I18" s="27" t="s">
        <v>51</v>
      </c>
      <c r="J18" s="28">
        <f t="shared" si="0"/>
        <v>3</v>
      </c>
      <c r="K18" s="190"/>
      <c r="L18" s="190"/>
      <c r="M18" s="191">
        <v>3</v>
      </c>
      <c r="N18" s="191"/>
      <c r="O18" s="190"/>
      <c r="P18" s="190"/>
      <c r="Q18" s="191"/>
      <c r="R18" s="191"/>
      <c r="S18" s="190"/>
      <c r="T18" s="190"/>
      <c r="U18" s="191"/>
      <c r="V18" s="191"/>
      <c r="W18" s="26">
        <f t="shared" si="1"/>
        <v>3</v>
      </c>
      <c r="X18" s="187"/>
      <c r="Y18" s="188"/>
      <c r="Z18" s="17"/>
      <c r="AA18" s="37"/>
      <c r="AB18" s="17"/>
      <c r="AC18" s="17"/>
      <c r="AD18" s="17"/>
      <c r="AE18" s="17"/>
    </row>
    <row r="19" spans="1:31" ht="18" customHeight="1">
      <c r="A19" s="17"/>
      <c r="B19" s="183"/>
      <c r="C19" s="183"/>
      <c r="D19" s="183"/>
      <c r="E19" s="25" t="s">
        <v>72</v>
      </c>
      <c r="F19" s="189" t="s">
        <v>78</v>
      </c>
      <c r="G19" s="189"/>
      <c r="H19" s="26">
        <v>4</v>
      </c>
      <c r="I19" s="27" t="s">
        <v>59</v>
      </c>
      <c r="J19" s="28">
        <f t="shared" si="0"/>
        <v>3</v>
      </c>
      <c r="K19" s="190"/>
      <c r="L19" s="190"/>
      <c r="M19" s="191"/>
      <c r="N19" s="191"/>
      <c r="O19" s="190">
        <v>3</v>
      </c>
      <c r="P19" s="190"/>
      <c r="Q19" s="191"/>
      <c r="R19" s="191"/>
      <c r="S19" s="190"/>
      <c r="T19" s="190"/>
      <c r="U19" s="191"/>
      <c r="V19" s="191"/>
      <c r="W19" s="26">
        <f t="shared" si="1"/>
        <v>3</v>
      </c>
      <c r="X19" s="187"/>
      <c r="Y19" s="188"/>
      <c r="Z19" s="17"/>
      <c r="AA19" s="37"/>
      <c r="AB19" s="17"/>
      <c r="AC19" s="17"/>
      <c r="AD19" s="17"/>
      <c r="AE19" s="17"/>
    </row>
    <row r="20" spans="1:31" ht="18" customHeight="1">
      <c r="A20" s="17"/>
      <c r="B20" s="183"/>
      <c r="C20" s="183"/>
      <c r="D20" s="183"/>
      <c r="E20" s="31" t="s">
        <v>61</v>
      </c>
      <c r="F20" s="192" t="s">
        <v>79</v>
      </c>
      <c r="G20" s="192"/>
      <c r="H20" s="32">
        <v>4</v>
      </c>
      <c r="I20" s="33" t="s">
        <v>59</v>
      </c>
      <c r="J20" s="34">
        <f t="shared" si="0"/>
        <v>3</v>
      </c>
      <c r="K20" s="193"/>
      <c r="L20" s="193"/>
      <c r="M20" s="194"/>
      <c r="N20" s="194"/>
      <c r="O20" s="193"/>
      <c r="P20" s="193"/>
      <c r="Q20" s="194">
        <v>3</v>
      </c>
      <c r="R20" s="194"/>
      <c r="S20" s="193"/>
      <c r="T20" s="193"/>
      <c r="U20" s="194"/>
      <c r="V20" s="194"/>
      <c r="W20" s="32">
        <f t="shared" si="1"/>
        <v>3</v>
      </c>
      <c r="X20" s="187"/>
      <c r="Y20" s="188"/>
      <c r="Z20" s="17"/>
      <c r="AA20" s="17"/>
      <c r="AB20" s="17"/>
      <c r="AC20" s="17"/>
      <c r="AD20" s="17"/>
      <c r="AE20" s="17"/>
    </row>
    <row r="21" spans="1:31" ht="18" customHeight="1">
      <c r="A21" s="17"/>
      <c r="B21" s="183"/>
      <c r="C21" s="183"/>
      <c r="D21" s="183" t="s">
        <v>80</v>
      </c>
      <c r="E21" s="18" t="s">
        <v>49</v>
      </c>
      <c r="F21" s="184" t="s">
        <v>81</v>
      </c>
      <c r="G21" s="184"/>
      <c r="H21" s="19">
        <v>3</v>
      </c>
      <c r="I21" s="20" t="s">
        <v>82</v>
      </c>
      <c r="J21" s="21">
        <f t="shared" si="0"/>
        <v>3</v>
      </c>
      <c r="K21" s="185"/>
      <c r="L21" s="185"/>
      <c r="M21" s="186"/>
      <c r="N21" s="186"/>
      <c r="O21" s="185">
        <v>3</v>
      </c>
      <c r="P21" s="185"/>
      <c r="Q21" s="186"/>
      <c r="R21" s="186"/>
      <c r="S21" s="185"/>
      <c r="T21" s="185"/>
      <c r="U21" s="186"/>
      <c r="V21" s="186"/>
      <c r="W21" s="19">
        <f t="shared" si="1"/>
        <v>3</v>
      </c>
      <c r="X21" s="187">
        <f>SUM(W21:W22)</f>
        <v>6</v>
      </c>
      <c r="Y21" s="188">
        <v>6</v>
      </c>
      <c r="Z21" s="17"/>
      <c r="AA21" s="17"/>
      <c r="AB21" s="17"/>
      <c r="AC21" s="17"/>
      <c r="AD21" s="17"/>
      <c r="AE21" s="17"/>
    </row>
    <row r="22" spans="1:31" ht="18" customHeight="1">
      <c r="A22" s="17"/>
      <c r="B22" s="183"/>
      <c r="C22" s="183"/>
      <c r="D22" s="183"/>
      <c r="E22" s="25" t="s">
        <v>49</v>
      </c>
      <c r="F22" s="189" t="s">
        <v>83</v>
      </c>
      <c r="G22" s="189"/>
      <c r="H22" s="26">
        <v>3</v>
      </c>
      <c r="I22" s="27" t="s">
        <v>82</v>
      </c>
      <c r="J22" s="28">
        <f t="shared" si="0"/>
        <v>3</v>
      </c>
      <c r="K22" s="190"/>
      <c r="L22" s="190"/>
      <c r="M22" s="191"/>
      <c r="N22" s="191"/>
      <c r="O22" s="190"/>
      <c r="P22" s="190"/>
      <c r="Q22" s="191">
        <v>3</v>
      </c>
      <c r="R22" s="191"/>
      <c r="S22" s="190"/>
      <c r="T22" s="190"/>
      <c r="U22" s="191"/>
      <c r="V22" s="191"/>
      <c r="W22" s="26">
        <f t="shared" si="1"/>
        <v>3</v>
      </c>
      <c r="X22" s="187"/>
      <c r="Y22" s="188"/>
      <c r="Z22" s="17"/>
      <c r="AA22" s="17"/>
      <c r="AB22" s="17"/>
      <c r="AC22" s="17"/>
      <c r="AD22" s="17"/>
      <c r="AE22" s="17"/>
    </row>
    <row r="23" spans="1:31" ht="18" customHeight="1">
      <c r="A23" s="17"/>
      <c r="B23" s="183"/>
      <c r="C23" s="183"/>
      <c r="D23" s="183"/>
      <c r="E23" s="25" t="s">
        <v>49</v>
      </c>
      <c r="F23" s="189" t="s">
        <v>84</v>
      </c>
      <c r="G23" s="189"/>
      <c r="H23" s="26">
        <v>4</v>
      </c>
      <c r="I23" s="27" t="s">
        <v>51</v>
      </c>
      <c r="J23" s="28">
        <f t="shared" si="0"/>
        <v>3</v>
      </c>
      <c r="K23" s="190">
        <v>3</v>
      </c>
      <c r="L23" s="190"/>
      <c r="M23" s="191"/>
      <c r="N23" s="191"/>
      <c r="O23" s="190"/>
      <c r="P23" s="190"/>
      <c r="Q23" s="191"/>
      <c r="R23" s="191"/>
      <c r="S23" s="190"/>
      <c r="T23" s="190"/>
      <c r="U23" s="191"/>
      <c r="V23" s="191"/>
      <c r="W23" s="26">
        <f t="shared" si="1"/>
        <v>3</v>
      </c>
      <c r="X23" s="196">
        <f>SUM(W23:W24)</f>
        <v>6</v>
      </c>
      <c r="Y23" s="197">
        <v>12</v>
      </c>
      <c r="Z23" s="17"/>
      <c r="AA23" s="17"/>
      <c r="AB23" s="17"/>
      <c r="AC23" s="17"/>
      <c r="AD23" s="17"/>
      <c r="AE23" s="17"/>
    </row>
    <row r="24" spans="1:31" ht="18" customHeight="1">
      <c r="A24" s="17"/>
      <c r="B24" s="183"/>
      <c r="C24" s="183"/>
      <c r="D24" s="183"/>
      <c r="E24" s="31" t="s">
        <v>49</v>
      </c>
      <c r="F24" s="192" t="s">
        <v>85</v>
      </c>
      <c r="G24" s="192"/>
      <c r="H24" s="32">
        <v>4</v>
      </c>
      <c r="I24" s="33" t="s">
        <v>51</v>
      </c>
      <c r="J24" s="34">
        <f t="shared" si="0"/>
        <v>3</v>
      </c>
      <c r="K24" s="193"/>
      <c r="L24" s="193"/>
      <c r="M24" s="194">
        <v>3</v>
      </c>
      <c r="N24" s="194"/>
      <c r="O24" s="193"/>
      <c r="P24" s="193"/>
      <c r="Q24" s="194"/>
      <c r="R24" s="194"/>
      <c r="S24" s="193"/>
      <c r="T24" s="193"/>
      <c r="U24" s="194"/>
      <c r="V24" s="194"/>
      <c r="W24" s="32">
        <f t="shared" si="1"/>
        <v>3</v>
      </c>
      <c r="X24" s="196"/>
      <c r="Y24" s="197"/>
      <c r="Z24" s="17"/>
      <c r="AA24" s="17"/>
      <c r="AB24" s="17"/>
      <c r="AC24" s="17"/>
      <c r="AD24" s="17"/>
      <c r="AE24" s="17"/>
    </row>
    <row r="25" spans="1:31" ht="18" customHeight="1">
      <c r="A25" s="17"/>
      <c r="B25" s="183"/>
      <c r="C25" s="183"/>
      <c r="D25" s="183" t="s">
        <v>86</v>
      </c>
      <c r="E25" s="18" t="s">
        <v>49</v>
      </c>
      <c r="F25" s="184" t="s">
        <v>87</v>
      </c>
      <c r="G25" s="184"/>
      <c r="H25" s="19">
        <v>4</v>
      </c>
      <c r="I25" s="20" t="s">
        <v>51</v>
      </c>
      <c r="J25" s="21">
        <f t="shared" si="0"/>
        <v>3</v>
      </c>
      <c r="K25" s="185">
        <v>3</v>
      </c>
      <c r="L25" s="185"/>
      <c r="M25" s="186"/>
      <c r="N25" s="186"/>
      <c r="O25" s="185"/>
      <c r="P25" s="185"/>
      <c r="Q25" s="186"/>
      <c r="R25" s="186"/>
      <c r="S25" s="185"/>
      <c r="T25" s="185"/>
      <c r="U25" s="186"/>
      <c r="V25" s="186"/>
      <c r="W25" s="19">
        <f t="shared" si="1"/>
        <v>3</v>
      </c>
      <c r="X25" s="187">
        <f>SUM(W25:W26)</f>
        <v>6</v>
      </c>
      <c r="Y25" s="197"/>
      <c r="Z25" s="17"/>
      <c r="AA25" s="17"/>
      <c r="AB25" s="17"/>
      <c r="AC25" s="17"/>
      <c r="AD25" s="17"/>
      <c r="AE25" s="17"/>
    </row>
    <row r="26" spans="1:31" ht="18" customHeight="1">
      <c r="A26" s="17"/>
      <c r="B26" s="183"/>
      <c r="C26" s="183"/>
      <c r="D26" s="183"/>
      <c r="E26" s="31" t="s">
        <v>49</v>
      </c>
      <c r="F26" s="192" t="s">
        <v>88</v>
      </c>
      <c r="G26" s="192"/>
      <c r="H26" s="32">
        <v>4</v>
      </c>
      <c r="I26" s="33" t="s">
        <v>51</v>
      </c>
      <c r="J26" s="34">
        <f t="shared" si="0"/>
        <v>3</v>
      </c>
      <c r="K26" s="193"/>
      <c r="L26" s="193"/>
      <c r="M26" s="194">
        <v>3</v>
      </c>
      <c r="N26" s="194"/>
      <c r="O26" s="193"/>
      <c r="P26" s="193"/>
      <c r="Q26" s="194"/>
      <c r="R26" s="194"/>
      <c r="S26" s="193"/>
      <c r="T26" s="193"/>
      <c r="U26" s="194"/>
      <c r="V26" s="194"/>
      <c r="W26" s="32">
        <f t="shared" si="1"/>
        <v>3</v>
      </c>
      <c r="X26" s="187"/>
      <c r="Y26" s="197"/>
      <c r="Z26" s="17"/>
      <c r="AA26" s="17"/>
      <c r="AB26" s="17"/>
      <c r="AC26" s="17"/>
      <c r="AD26" s="17"/>
      <c r="AE26" s="17"/>
    </row>
    <row r="27" spans="1:31" ht="18" customHeight="1">
      <c r="A27" s="17"/>
      <c r="B27" s="183"/>
      <c r="C27" s="183"/>
      <c r="D27" s="183" t="s">
        <v>89</v>
      </c>
      <c r="E27" s="18" t="s">
        <v>57</v>
      </c>
      <c r="F27" s="184" t="s">
        <v>90</v>
      </c>
      <c r="G27" s="184"/>
      <c r="H27" s="19">
        <v>3</v>
      </c>
      <c r="I27" s="20" t="s">
        <v>68</v>
      </c>
      <c r="J27" s="21">
        <f t="shared" si="0"/>
        <v>2</v>
      </c>
      <c r="K27" s="185">
        <v>2</v>
      </c>
      <c r="L27" s="185"/>
      <c r="M27" s="186"/>
      <c r="N27" s="186"/>
      <c r="O27" s="185"/>
      <c r="P27" s="185"/>
      <c r="Q27" s="186"/>
      <c r="R27" s="186"/>
      <c r="S27" s="185"/>
      <c r="T27" s="185"/>
      <c r="U27" s="186"/>
      <c r="V27" s="186"/>
      <c r="W27" s="19">
        <f t="shared" si="1"/>
        <v>2</v>
      </c>
      <c r="X27" s="187">
        <f>SUM(W27:W31)</f>
        <v>10</v>
      </c>
      <c r="Y27" s="188">
        <v>8</v>
      </c>
      <c r="Z27" s="17"/>
      <c r="AA27" s="17"/>
      <c r="AB27" s="17"/>
      <c r="AC27" s="17"/>
      <c r="AD27" s="17"/>
      <c r="AE27" s="17"/>
    </row>
    <row r="28" spans="1:31" ht="18" customHeight="1">
      <c r="A28" s="17"/>
      <c r="B28" s="183"/>
      <c r="C28" s="183"/>
      <c r="D28" s="183"/>
      <c r="E28" s="25" t="s">
        <v>57</v>
      </c>
      <c r="F28" s="189" t="s">
        <v>91</v>
      </c>
      <c r="G28" s="189"/>
      <c r="H28" s="26">
        <v>3</v>
      </c>
      <c r="I28" s="27" t="s">
        <v>68</v>
      </c>
      <c r="J28" s="28">
        <f t="shared" si="0"/>
        <v>2</v>
      </c>
      <c r="K28" s="190"/>
      <c r="L28" s="190"/>
      <c r="M28" s="191">
        <v>2</v>
      </c>
      <c r="N28" s="191"/>
      <c r="O28" s="190"/>
      <c r="P28" s="190"/>
      <c r="Q28" s="191"/>
      <c r="R28" s="191"/>
      <c r="S28" s="190"/>
      <c r="T28" s="190"/>
      <c r="U28" s="191"/>
      <c r="V28" s="191"/>
      <c r="W28" s="26">
        <f t="shared" si="1"/>
        <v>2</v>
      </c>
      <c r="X28" s="187"/>
      <c r="Y28" s="188"/>
      <c r="Z28" s="17"/>
      <c r="AA28" s="17"/>
      <c r="AB28" s="17"/>
      <c r="AC28" s="17"/>
      <c r="AD28" s="17"/>
      <c r="AE28" s="17"/>
    </row>
    <row r="29" spans="1:31" ht="18" customHeight="1">
      <c r="A29" s="17"/>
      <c r="B29" s="183"/>
      <c r="C29" s="183"/>
      <c r="D29" s="183"/>
      <c r="E29" s="25" t="s">
        <v>72</v>
      </c>
      <c r="F29" s="189" t="s">
        <v>92</v>
      </c>
      <c r="G29" s="189"/>
      <c r="H29" s="26">
        <v>3</v>
      </c>
      <c r="I29" s="27" t="s">
        <v>68</v>
      </c>
      <c r="J29" s="28">
        <f t="shared" si="0"/>
        <v>2</v>
      </c>
      <c r="K29" s="190"/>
      <c r="L29" s="190"/>
      <c r="M29" s="191"/>
      <c r="N29" s="191"/>
      <c r="O29" s="190">
        <v>2</v>
      </c>
      <c r="P29" s="190"/>
      <c r="Q29" s="191"/>
      <c r="R29" s="191"/>
      <c r="S29" s="190"/>
      <c r="T29" s="190"/>
      <c r="U29" s="191"/>
      <c r="V29" s="191"/>
      <c r="W29" s="26">
        <f t="shared" si="1"/>
        <v>2</v>
      </c>
      <c r="X29" s="187"/>
      <c r="Y29" s="188"/>
      <c r="Z29" s="17"/>
      <c r="AA29" s="17"/>
      <c r="AB29" s="17"/>
      <c r="AC29" s="17"/>
      <c r="AD29" s="17"/>
      <c r="AE29" s="17"/>
    </row>
    <row r="30" spans="1:31" ht="18" customHeight="1">
      <c r="A30" s="17"/>
      <c r="B30" s="183"/>
      <c r="C30" s="183"/>
      <c r="D30" s="183"/>
      <c r="E30" s="25" t="s">
        <v>72</v>
      </c>
      <c r="F30" s="189" t="s">
        <v>93</v>
      </c>
      <c r="G30" s="189"/>
      <c r="H30" s="26">
        <v>3</v>
      </c>
      <c r="I30" s="27" t="s">
        <v>68</v>
      </c>
      <c r="J30" s="28">
        <f t="shared" si="0"/>
        <v>2</v>
      </c>
      <c r="K30" s="190"/>
      <c r="L30" s="190"/>
      <c r="M30" s="191"/>
      <c r="N30" s="191"/>
      <c r="O30" s="190"/>
      <c r="P30" s="190"/>
      <c r="Q30" s="191">
        <v>2</v>
      </c>
      <c r="R30" s="191"/>
      <c r="S30" s="190"/>
      <c r="T30" s="190"/>
      <c r="U30" s="191"/>
      <c r="V30" s="191"/>
      <c r="W30" s="26">
        <f t="shared" si="1"/>
        <v>2</v>
      </c>
      <c r="X30" s="187"/>
      <c r="Y30" s="188"/>
      <c r="Z30" s="17"/>
      <c r="AA30" s="17"/>
      <c r="AB30" s="17"/>
      <c r="AC30" s="17"/>
      <c r="AD30" s="17"/>
      <c r="AE30" s="17"/>
    </row>
    <row r="31" spans="1:31" ht="18" customHeight="1">
      <c r="A31" s="17"/>
      <c r="B31" s="183"/>
      <c r="C31" s="183"/>
      <c r="D31" s="183"/>
      <c r="E31" s="31" t="s">
        <v>61</v>
      </c>
      <c r="F31" s="192" t="s">
        <v>94</v>
      </c>
      <c r="G31" s="192"/>
      <c r="H31" s="32">
        <v>2</v>
      </c>
      <c r="I31" s="33" t="s">
        <v>95</v>
      </c>
      <c r="J31" s="34">
        <f t="shared" si="0"/>
        <v>2</v>
      </c>
      <c r="K31" s="193"/>
      <c r="L31" s="193"/>
      <c r="M31" s="194"/>
      <c r="N31" s="194"/>
      <c r="O31" s="193"/>
      <c r="P31" s="193"/>
      <c r="Q31" s="194"/>
      <c r="R31" s="194"/>
      <c r="S31" s="193">
        <v>2</v>
      </c>
      <c r="T31" s="193"/>
      <c r="U31" s="194"/>
      <c r="V31" s="194"/>
      <c r="W31" s="32">
        <f t="shared" si="1"/>
        <v>2</v>
      </c>
      <c r="X31" s="187"/>
      <c r="Y31" s="188"/>
      <c r="Z31" s="17"/>
      <c r="AA31" s="17"/>
      <c r="AB31" s="17"/>
      <c r="AC31" s="17"/>
      <c r="AD31" s="17"/>
      <c r="AE31" s="17"/>
    </row>
    <row r="32" spans="1:31" ht="18" customHeight="1">
      <c r="A32" s="17"/>
      <c r="B32" s="183"/>
      <c r="C32" s="183"/>
      <c r="D32" s="183" t="s">
        <v>96</v>
      </c>
      <c r="E32" s="18" t="s">
        <v>57</v>
      </c>
      <c r="F32" s="184" t="s">
        <v>97</v>
      </c>
      <c r="G32" s="184"/>
      <c r="H32" s="19">
        <v>3</v>
      </c>
      <c r="I32" s="20" t="s">
        <v>68</v>
      </c>
      <c r="J32" s="21">
        <f t="shared" si="0"/>
        <v>2</v>
      </c>
      <c r="K32" s="185">
        <v>2</v>
      </c>
      <c r="L32" s="185"/>
      <c r="M32" s="186"/>
      <c r="N32" s="186"/>
      <c r="O32" s="185"/>
      <c r="P32" s="185"/>
      <c r="Q32" s="186"/>
      <c r="R32" s="186"/>
      <c r="S32" s="185"/>
      <c r="T32" s="185"/>
      <c r="U32" s="186"/>
      <c r="V32" s="186"/>
      <c r="W32" s="198">
        <f>SUM(K32:V35)</f>
        <v>8</v>
      </c>
      <c r="X32" s="198"/>
      <c r="Y32" s="188">
        <v>6</v>
      </c>
      <c r="Z32" s="17"/>
      <c r="AA32" s="17"/>
      <c r="AB32" s="17"/>
      <c r="AC32" s="17"/>
      <c r="AD32" s="17"/>
      <c r="AE32" s="17"/>
    </row>
    <row r="33" spans="1:31" ht="18" customHeight="1">
      <c r="A33" s="17"/>
      <c r="B33" s="183"/>
      <c r="C33" s="183"/>
      <c r="D33" s="183"/>
      <c r="E33" s="25" t="s">
        <v>61</v>
      </c>
      <c r="F33" s="189" t="s">
        <v>98</v>
      </c>
      <c r="G33" s="189"/>
      <c r="H33" s="26">
        <v>3</v>
      </c>
      <c r="I33" s="27" t="s">
        <v>68</v>
      </c>
      <c r="J33" s="28">
        <f t="shared" si="0"/>
        <v>2</v>
      </c>
      <c r="K33" s="190"/>
      <c r="L33" s="190"/>
      <c r="M33" s="191">
        <v>2</v>
      </c>
      <c r="N33" s="191"/>
      <c r="O33" s="190"/>
      <c r="P33" s="190"/>
      <c r="Q33" s="191"/>
      <c r="R33" s="191"/>
      <c r="S33" s="190"/>
      <c r="T33" s="190"/>
      <c r="U33" s="191"/>
      <c r="V33" s="191"/>
      <c r="W33" s="198"/>
      <c r="X33" s="198"/>
      <c r="Y33" s="188"/>
      <c r="Z33" s="17"/>
      <c r="AA33" s="17"/>
      <c r="AB33" s="17"/>
      <c r="AC33" s="17"/>
      <c r="AD33" s="17"/>
      <c r="AE33" s="17"/>
    </row>
    <row r="34" spans="1:31" ht="18" customHeight="1">
      <c r="A34" s="17"/>
      <c r="B34" s="183"/>
      <c r="C34" s="183"/>
      <c r="D34" s="183"/>
      <c r="E34" s="25" t="s">
        <v>57</v>
      </c>
      <c r="F34" s="189" t="s">
        <v>99</v>
      </c>
      <c r="G34" s="189"/>
      <c r="H34" s="26">
        <v>3</v>
      </c>
      <c r="I34" s="27" t="s">
        <v>68</v>
      </c>
      <c r="J34" s="28">
        <f t="shared" si="0"/>
        <v>2</v>
      </c>
      <c r="K34" s="190">
        <v>2</v>
      </c>
      <c r="L34" s="190"/>
      <c r="M34" s="191"/>
      <c r="N34" s="191"/>
      <c r="O34" s="190"/>
      <c r="P34" s="190"/>
      <c r="Q34" s="191"/>
      <c r="R34" s="191"/>
      <c r="S34" s="190"/>
      <c r="T34" s="190"/>
      <c r="U34" s="191"/>
      <c r="V34" s="191"/>
      <c r="W34" s="198"/>
      <c r="X34" s="198"/>
      <c r="Y34" s="188"/>
      <c r="Z34" s="17"/>
      <c r="AA34" s="17"/>
      <c r="AB34" s="17"/>
      <c r="AC34" s="17"/>
      <c r="AD34" s="17"/>
      <c r="AE34" s="17"/>
    </row>
    <row r="35" spans="1:31" ht="18" customHeight="1">
      <c r="A35" s="17"/>
      <c r="B35" s="183"/>
      <c r="C35" s="183"/>
      <c r="D35" s="183"/>
      <c r="E35" s="31" t="s">
        <v>61</v>
      </c>
      <c r="F35" s="192" t="s">
        <v>100</v>
      </c>
      <c r="G35" s="192"/>
      <c r="H35" s="32">
        <v>3</v>
      </c>
      <c r="I35" s="33" t="s">
        <v>68</v>
      </c>
      <c r="J35" s="34">
        <f t="shared" si="0"/>
        <v>2</v>
      </c>
      <c r="K35" s="193"/>
      <c r="L35" s="193"/>
      <c r="M35" s="194">
        <v>2</v>
      </c>
      <c r="N35" s="194"/>
      <c r="O35" s="193"/>
      <c r="P35" s="193"/>
      <c r="Q35" s="194"/>
      <c r="R35" s="194"/>
      <c r="S35" s="193"/>
      <c r="T35" s="193"/>
      <c r="U35" s="194"/>
      <c r="V35" s="194"/>
      <c r="W35" s="198"/>
      <c r="X35" s="198"/>
      <c r="Y35" s="188"/>
      <c r="Z35" s="17"/>
      <c r="AA35" s="17"/>
      <c r="AB35" s="17"/>
      <c r="AC35" s="17"/>
      <c r="AD35" s="17"/>
      <c r="AE35" s="17"/>
    </row>
    <row r="36" spans="1:31" ht="24" customHeight="1">
      <c r="A36" s="17"/>
      <c r="B36" s="183"/>
      <c r="C36" s="183"/>
      <c r="D36" s="199" t="s">
        <v>101</v>
      </c>
      <c r="E36" s="18" t="s">
        <v>57</v>
      </c>
      <c r="F36" s="184" t="s">
        <v>102</v>
      </c>
      <c r="G36" s="184"/>
      <c r="H36" s="19">
        <v>3</v>
      </c>
      <c r="I36" s="20" t="s">
        <v>68</v>
      </c>
      <c r="J36" s="21">
        <f t="shared" si="0"/>
        <v>3</v>
      </c>
      <c r="K36" s="185"/>
      <c r="L36" s="185"/>
      <c r="M36" s="186"/>
      <c r="N36" s="186"/>
      <c r="O36" s="185"/>
      <c r="P36" s="185"/>
      <c r="Q36" s="186">
        <v>3</v>
      </c>
      <c r="R36" s="186"/>
      <c r="S36" s="185"/>
      <c r="T36" s="185"/>
      <c r="U36" s="186"/>
      <c r="V36" s="186"/>
      <c r="W36" s="198">
        <f>SUM(K36:V38)</f>
        <v>9</v>
      </c>
      <c r="X36" s="198"/>
      <c r="Y36" s="188">
        <v>8</v>
      </c>
      <c r="Z36" s="17"/>
      <c r="AA36" s="17"/>
      <c r="AB36" s="17"/>
      <c r="AC36" s="17"/>
      <c r="AD36" s="17"/>
      <c r="AE36" s="17"/>
    </row>
    <row r="37" spans="1:31" ht="24" customHeight="1">
      <c r="A37" s="17"/>
      <c r="B37" s="183"/>
      <c r="C37" s="183"/>
      <c r="D37" s="199"/>
      <c r="E37" s="25" t="s">
        <v>57</v>
      </c>
      <c r="F37" s="189" t="s">
        <v>103</v>
      </c>
      <c r="G37" s="189"/>
      <c r="H37" s="26">
        <v>3</v>
      </c>
      <c r="I37" s="27" t="s">
        <v>68</v>
      </c>
      <c r="J37" s="28">
        <f t="shared" si="0"/>
        <v>3</v>
      </c>
      <c r="K37" s="190"/>
      <c r="L37" s="190"/>
      <c r="M37" s="191"/>
      <c r="N37" s="191"/>
      <c r="O37" s="190">
        <v>3</v>
      </c>
      <c r="P37" s="190"/>
      <c r="Q37" s="191"/>
      <c r="R37" s="191"/>
      <c r="S37" s="190"/>
      <c r="T37" s="190"/>
      <c r="U37" s="191"/>
      <c r="V37" s="191"/>
      <c r="W37" s="198"/>
      <c r="X37" s="198"/>
      <c r="Y37" s="188"/>
      <c r="Z37" s="17"/>
      <c r="AA37" s="17"/>
      <c r="AB37" s="17"/>
      <c r="AC37" s="17"/>
      <c r="AD37" s="17"/>
      <c r="AE37" s="17"/>
    </row>
    <row r="38" spans="1:31" ht="31.5" customHeight="1">
      <c r="A38" s="17"/>
      <c r="B38" s="183"/>
      <c r="C38" s="183"/>
      <c r="D38" s="199"/>
      <c r="E38" s="31" t="s">
        <v>104</v>
      </c>
      <c r="F38" s="200" t="s">
        <v>105</v>
      </c>
      <c r="G38" s="200"/>
      <c r="H38" s="32">
        <v>3</v>
      </c>
      <c r="I38" s="33" t="s">
        <v>68</v>
      </c>
      <c r="J38" s="34">
        <f t="shared" si="0"/>
        <v>3</v>
      </c>
      <c r="K38" s="193"/>
      <c r="L38" s="193"/>
      <c r="M38" s="194">
        <v>3</v>
      </c>
      <c r="N38" s="194"/>
      <c r="O38" s="193"/>
      <c r="P38" s="193"/>
      <c r="Q38" s="194"/>
      <c r="R38" s="194"/>
      <c r="S38" s="193"/>
      <c r="T38" s="193"/>
      <c r="U38" s="194"/>
      <c r="V38" s="194"/>
      <c r="W38" s="198"/>
      <c r="X38" s="198"/>
      <c r="Y38" s="188"/>
      <c r="Z38" s="17"/>
      <c r="AA38" s="17"/>
      <c r="AB38" s="17"/>
      <c r="AC38" s="17"/>
      <c r="AD38" s="17"/>
      <c r="AE38" s="17"/>
    </row>
    <row r="39" spans="1:31" ht="21.75" customHeight="1">
      <c r="A39" s="17"/>
      <c r="B39" s="201" t="s">
        <v>106</v>
      </c>
      <c r="C39" s="201"/>
      <c r="D39" s="201"/>
      <c r="E39" s="201"/>
      <c r="F39" s="201"/>
      <c r="G39" s="201"/>
      <c r="H39" s="48"/>
      <c r="I39" s="49"/>
      <c r="J39" s="50">
        <f>SUM(J9:J38)</f>
        <v>81</v>
      </c>
      <c r="K39" s="202">
        <f>SUM(K9:K38)</f>
        <v>21</v>
      </c>
      <c r="L39" s="202"/>
      <c r="M39" s="203">
        <f>SUM(M9:M38)</f>
        <v>24</v>
      </c>
      <c r="N39" s="203"/>
      <c r="O39" s="202">
        <f>SUM(O9:O38)</f>
        <v>17</v>
      </c>
      <c r="P39" s="202"/>
      <c r="Q39" s="203">
        <f>SUM(Q9:Q38)</f>
        <v>17</v>
      </c>
      <c r="R39" s="203"/>
      <c r="S39" s="202">
        <f>SUM(S9:S38)</f>
        <v>2</v>
      </c>
      <c r="T39" s="202"/>
      <c r="U39" s="203">
        <f>SUM(U9:U38)</f>
        <v>0</v>
      </c>
      <c r="V39" s="203"/>
      <c r="W39" s="204">
        <f t="shared" ref="W39:W53" si="2">SUM(K39:V39)</f>
        <v>81</v>
      </c>
      <c r="X39" s="204"/>
      <c r="Y39" s="51">
        <f>SUM(Y9:Y38)</f>
        <v>64</v>
      </c>
      <c r="Z39" s="17"/>
      <c r="AA39" s="205" t="b">
        <f>W39&gt;=Y39</f>
        <v>1</v>
      </c>
      <c r="AB39" s="205"/>
      <c r="AC39" s="17"/>
      <c r="AD39" s="17"/>
      <c r="AE39" s="17"/>
    </row>
    <row r="40" spans="1:31" ht="18" customHeight="1">
      <c r="A40" s="17"/>
      <c r="B40" s="183" t="s">
        <v>107</v>
      </c>
      <c r="C40" s="183"/>
      <c r="D40" s="183" t="s">
        <v>104</v>
      </c>
      <c r="E40" s="183"/>
      <c r="F40" s="184" t="s">
        <v>108</v>
      </c>
      <c r="G40" s="184"/>
      <c r="H40" s="19"/>
      <c r="I40" s="20"/>
      <c r="J40" s="21">
        <f t="shared" ref="J40:J51" si="3">SUM(K40:V40)</f>
        <v>5</v>
      </c>
      <c r="K40" s="185"/>
      <c r="L40" s="185"/>
      <c r="M40" s="186"/>
      <c r="N40" s="186"/>
      <c r="O40" s="185"/>
      <c r="P40" s="185"/>
      <c r="Q40" s="186"/>
      <c r="R40" s="186"/>
      <c r="S40" s="185"/>
      <c r="T40" s="185"/>
      <c r="U40" s="186">
        <v>5</v>
      </c>
      <c r="V40" s="186"/>
      <c r="W40" s="183">
        <f t="shared" si="2"/>
        <v>5</v>
      </c>
      <c r="X40" s="183"/>
      <c r="Y40" s="188">
        <v>80</v>
      </c>
      <c r="Z40" s="17"/>
      <c r="AA40" s="17"/>
      <c r="AB40" s="17"/>
      <c r="AC40" s="17"/>
      <c r="AD40" s="17"/>
      <c r="AE40" s="17"/>
    </row>
    <row r="41" spans="1:31" ht="18" customHeight="1">
      <c r="A41" s="17"/>
      <c r="B41" s="183"/>
      <c r="C41" s="183"/>
      <c r="D41" s="25" t="s">
        <v>23</v>
      </c>
      <c r="E41" s="25" t="s">
        <v>109</v>
      </c>
      <c r="F41" s="189" t="s">
        <v>110</v>
      </c>
      <c r="G41" s="189"/>
      <c r="H41" s="26"/>
      <c r="I41" s="27"/>
      <c r="J41" s="28">
        <f t="shared" si="3"/>
        <v>4</v>
      </c>
      <c r="K41" s="190">
        <v>4</v>
      </c>
      <c r="L41" s="190"/>
      <c r="M41" s="191"/>
      <c r="N41" s="191"/>
      <c r="O41" s="190"/>
      <c r="P41" s="190"/>
      <c r="Q41" s="191"/>
      <c r="R41" s="191"/>
      <c r="S41" s="190"/>
      <c r="T41" s="190"/>
      <c r="U41" s="191"/>
      <c r="V41" s="191"/>
      <c r="W41" s="206">
        <f t="shared" si="2"/>
        <v>4</v>
      </c>
      <c r="X41" s="206"/>
      <c r="Y41" s="188"/>
      <c r="Z41" s="17"/>
      <c r="AA41" s="17"/>
      <c r="AB41" s="17"/>
      <c r="AC41" s="17"/>
      <c r="AD41" s="17"/>
      <c r="AE41" s="17"/>
    </row>
    <row r="42" spans="1:31" ht="18" customHeight="1">
      <c r="A42" s="17"/>
      <c r="B42" s="183"/>
      <c r="C42" s="183"/>
      <c r="D42" s="25" t="s">
        <v>23</v>
      </c>
      <c r="E42" s="25" t="s">
        <v>109</v>
      </c>
      <c r="F42" s="189" t="s">
        <v>111</v>
      </c>
      <c r="G42" s="189"/>
      <c r="H42" s="26"/>
      <c r="I42" s="27"/>
      <c r="J42" s="28">
        <f t="shared" si="3"/>
        <v>4</v>
      </c>
      <c r="K42" s="190">
        <v>4</v>
      </c>
      <c r="L42" s="190"/>
      <c r="M42" s="191"/>
      <c r="N42" s="191"/>
      <c r="O42" s="190"/>
      <c r="P42" s="190"/>
      <c r="Q42" s="191"/>
      <c r="R42" s="191"/>
      <c r="S42" s="190"/>
      <c r="T42" s="190"/>
      <c r="U42" s="191"/>
      <c r="V42" s="191"/>
      <c r="W42" s="206">
        <f t="shared" si="2"/>
        <v>4</v>
      </c>
      <c r="X42" s="206"/>
      <c r="Y42" s="188"/>
      <c r="Z42" s="17"/>
      <c r="AA42" s="17"/>
      <c r="AB42" s="17"/>
      <c r="AC42" s="17"/>
      <c r="AD42" s="17"/>
      <c r="AE42" s="17"/>
    </row>
    <row r="43" spans="1:31" ht="18" customHeight="1">
      <c r="A43" s="17"/>
      <c r="B43" s="183"/>
      <c r="C43" s="183"/>
      <c r="D43" s="25" t="s">
        <v>23</v>
      </c>
      <c r="E43" s="25" t="s">
        <v>109</v>
      </c>
      <c r="F43" s="189" t="s">
        <v>112</v>
      </c>
      <c r="G43" s="189"/>
      <c r="H43" s="26"/>
      <c r="I43" s="27"/>
      <c r="J43" s="28">
        <f t="shared" si="3"/>
        <v>5</v>
      </c>
      <c r="K43" s="190"/>
      <c r="L43" s="190"/>
      <c r="M43" s="191">
        <v>5</v>
      </c>
      <c r="N43" s="191"/>
      <c r="O43" s="190"/>
      <c r="P43" s="190"/>
      <c r="Q43" s="191"/>
      <c r="R43" s="191"/>
      <c r="S43" s="190"/>
      <c r="T43" s="190"/>
      <c r="U43" s="191"/>
      <c r="V43" s="191"/>
      <c r="W43" s="206">
        <f t="shared" si="2"/>
        <v>5</v>
      </c>
      <c r="X43" s="206"/>
      <c r="Y43" s="188"/>
      <c r="Z43" s="17"/>
      <c r="AA43" s="17"/>
      <c r="AB43" s="17"/>
      <c r="AC43" s="17"/>
      <c r="AD43" s="17"/>
      <c r="AE43" s="17"/>
    </row>
    <row r="44" spans="1:31" ht="18" customHeight="1">
      <c r="A44" s="17"/>
      <c r="B44" s="183"/>
      <c r="C44" s="183"/>
      <c r="D44" s="25" t="s">
        <v>23</v>
      </c>
      <c r="E44" s="25" t="s">
        <v>109</v>
      </c>
      <c r="F44" s="189" t="s">
        <v>126</v>
      </c>
      <c r="G44" s="189"/>
      <c r="H44" s="26"/>
      <c r="I44" s="27"/>
      <c r="J44" s="28">
        <f t="shared" si="3"/>
        <v>4</v>
      </c>
      <c r="K44" s="190"/>
      <c r="L44" s="190"/>
      <c r="M44" s="191"/>
      <c r="N44" s="191"/>
      <c r="O44" s="190"/>
      <c r="P44" s="190"/>
      <c r="Q44" s="191"/>
      <c r="R44" s="191"/>
      <c r="S44" s="190">
        <v>4</v>
      </c>
      <c r="T44" s="190"/>
      <c r="U44" s="191"/>
      <c r="V44" s="191"/>
      <c r="W44" s="206">
        <f t="shared" si="2"/>
        <v>4</v>
      </c>
      <c r="X44" s="206"/>
      <c r="Y44" s="188"/>
      <c r="Z44" s="17"/>
      <c r="AA44" s="17"/>
      <c r="AB44" s="17"/>
      <c r="AC44" s="17"/>
      <c r="AD44" s="17"/>
      <c r="AE44" s="17"/>
    </row>
    <row r="45" spans="1:31" ht="18" customHeight="1">
      <c r="A45" s="17"/>
      <c r="B45" s="183"/>
      <c r="C45" s="183"/>
      <c r="D45" s="25" t="s">
        <v>23</v>
      </c>
      <c r="E45" s="25" t="s">
        <v>109</v>
      </c>
      <c r="F45" s="189" t="s">
        <v>114</v>
      </c>
      <c r="G45" s="189"/>
      <c r="H45" s="26"/>
      <c r="I45" s="27"/>
      <c r="J45" s="28">
        <f t="shared" si="3"/>
        <v>3</v>
      </c>
      <c r="K45" s="190"/>
      <c r="L45" s="190"/>
      <c r="M45" s="191"/>
      <c r="N45" s="191"/>
      <c r="O45" s="190"/>
      <c r="P45" s="190"/>
      <c r="Q45" s="191"/>
      <c r="R45" s="191"/>
      <c r="S45" s="190"/>
      <c r="T45" s="190"/>
      <c r="U45" s="191">
        <v>3</v>
      </c>
      <c r="V45" s="191"/>
      <c r="W45" s="206">
        <f t="shared" si="2"/>
        <v>3</v>
      </c>
      <c r="X45" s="206"/>
      <c r="Y45" s="188"/>
      <c r="Z45" s="17"/>
      <c r="AA45" s="17"/>
      <c r="AB45" s="17"/>
      <c r="AC45" s="17"/>
      <c r="AD45" s="17"/>
      <c r="AE45" s="17"/>
    </row>
    <row r="46" spans="1:31" ht="18" customHeight="1">
      <c r="A46" s="17"/>
      <c r="B46" s="183"/>
      <c r="C46" s="183"/>
      <c r="D46" s="25" t="s">
        <v>23</v>
      </c>
      <c r="E46" s="25" t="s">
        <v>109</v>
      </c>
      <c r="F46" s="189" t="s">
        <v>117</v>
      </c>
      <c r="G46" s="189"/>
      <c r="H46" s="26"/>
      <c r="I46" s="27"/>
      <c r="J46" s="28">
        <f t="shared" si="3"/>
        <v>3</v>
      </c>
      <c r="K46" s="190"/>
      <c r="L46" s="190"/>
      <c r="M46" s="191"/>
      <c r="N46" s="191"/>
      <c r="O46" s="190"/>
      <c r="P46" s="190"/>
      <c r="Q46" s="191"/>
      <c r="R46" s="191"/>
      <c r="S46" s="190">
        <v>3</v>
      </c>
      <c r="T46" s="190"/>
      <c r="U46" s="191"/>
      <c r="V46" s="191"/>
      <c r="W46" s="206">
        <f t="shared" si="2"/>
        <v>3</v>
      </c>
      <c r="X46" s="206"/>
      <c r="Y46" s="188"/>
      <c r="Z46" s="17"/>
      <c r="AA46" s="17"/>
      <c r="AB46" s="17"/>
      <c r="AC46" s="17"/>
      <c r="AD46" s="17"/>
      <c r="AE46" s="17"/>
    </row>
    <row r="47" spans="1:31" ht="18" customHeight="1">
      <c r="A47" s="17"/>
      <c r="B47" s="228" t="s">
        <v>155</v>
      </c>
      <c r="C47" s="208" t="s">
        <v>156</v>
      </c>
      <c r="D47" s="18" t="s">
        <v>23</v>
      </c>
      <c r="E47" s="18" t="s">
        <v>118</v>
      </c>
      <c r="F47" s="184" t="s">
        <v>157</v>
      </c>
      <c r="G47" s="184"/>
      <c r="H47" s="19"/>
      <c r="I47" s="20"/>
      <c r="J47" s="21">
        <f t="shared" si="3"/>
        <v>16</v>
      </c>
      <c r="K47" s="185"/>
      <c r="L47" s="185"/>
      <c r="M47" s="186"/>
      <c r="N47" s="186"/>
      <c r="O47" s="185">
        <v>8</v>
      </c>
      <c r="P47" s="185"/>
      <c r="Q47" s="186">
        <v>8</v>
      </c>
      <c r="R47" s="186"/>
      <c r="S47" s="185"/>
      <c r="T47" s="185"/>
      <c r="U47" s="186"/>
      <c r="V47" s="186"/>
      <c r="W47" s="183">
        <f t="shared" si="2"/>
        <v>16</v>
      </c>
      <c r="X47" s="183"/>
      <c r="Y47" s="188"/>
      <c r="Z47" s="17"/>
      <c r="AA47" s="17"/>
      <c r="AB47" s="17"/>
      <c r="AC47" s="17"/>
      <c r="AD47" s="17"/>
      <c r="AE47" s="17"/>
    </row>
    <row r="48" spans="1:31" ht="18" customHeight="1">
      <c r="A48" s="17"/>
      <c r="B48" s="228"/>
      <c r="C48" s="208"/>
      <c r="D48" s="25" t="s">
        <v>23</v>
      </c>
      <c r="E48" s="25" t="s">
        <v>118</v>
      </c>
      <c r="F48" s="189" t="s">
        <v>158</v>
      </c>
      <c r="G48" s="189"/>
      <c r="H48" s="26"/>
      <c r="I48" s="27"/>
      <c r="J48" s="28">
        <f t="shared" si="3"/>
        <v>8</v>
      </c>
      <c r="K48" s="190"/>
      <c r="L48" s="190"/>
      <c r="M48" s="191"/>
      <c r="N48" s="191"/>
      <c r="O48" s="190">
        <v>4</v>
      </c>
      <c r="P48" s="190"/>
      <c r="Q48" s="191">
        <v>4</v>
      </c>
      <c r="R48" s="191"/>
      <c r="S48" s="190"/>
      <c r="T48" s="190"/>
      <c r="U48" s="191"/>
      <c r="V48" s="191"/>
      <c r="W48" s="206">
        <f t="shared" si="2"/>
        <v>8</v>
      </c>
      <c r="X48" s="206"/>
      <c r="Y48" s="188"/>
      <c r="Z48" s="17"/>
      <c r="AA48" s="17"/>
      <c r="AB48" s="17"/>
      <c r="AC48" s="17"/>
      <c r="AD48" s="17"/>
      <c r="AE48" s="17"/>
    </row>
    <row r="49" spans="1:31" ht="18" customHeight="1">
      <c r="A49" s="17"/>
      <c r="B49" s="228"/>
      <c r="C49" s="208"/>
      <c r="D49" s="25" t="s">
        <v>23</v>
      </c>
      <c r="E49" s="25" t="s">
        <v>118</v>
      </c>
      <c r="F49" s="189" t="s">
        <v>159</v>
      </c>
      <c r="G49" s="189"/>
      <c r="H49" s="26"/>
      <c r="I49" s="27"/>
      <c r="J49" s="28">
        <f t="shared" si="3"/>
        <v>16</v>
      </c>
      <c r="K49" s="190"/>
      <c r="L49" s="190"/>
      <c r="M49" s="191"/>
      <c r="N49" s="191"/>
      <c r="O49" s="190"/>
      <c r="P49" s="190"/>
      <c r="Q49" s="191"/>
      <c r="R49" s="191"/>
      <c r="S49" s="190">
        <v>8</v>
      </c>
      <c r="T49" s="190"/>
      <c r="U49" s="191">
        <v>8</v>
      </c>
      <c r="V49" s="191"/>
      <c r="W49" s="206">
        <f t="shared" si="2"/>
        <v>16</v>
      </c>
      <c r="X49" s="206"/>
      <c r="Y49" s="188"/>
      <c r="Z49" s="17"/>
      <c r="AA49" s="17"/>
      <c r="AB49" s="17"/>
      <c r="AC49" s="17"/>
      <c r="AD49" s="17"/>
      <c r="AE49" s="17"/>
    </row>
    <row r="50" spans="1:31" ht="18" customHeight="1">
      <c r="A50" s="17"/>
      <c r="B50" s="228"/>
      <c r="C50" s="208"/>
      <c r="D50" s="25" t="s">
        <v>23</v>
      </c>
      <c r="E50" s="25" t="s">
        <v>118</v>
      </c>
      <c r="F50" s="189" t="s">
        <v>122</v>
      </c>
      <c r="G50" s="189"/>
      <c r="H50" s="26"/>
      <c r="I50" s="27"/>
      <c r="J50" s="28">
        <f t="shared" si="3"/>
        <v>18</v>
      </c>
      <c r="K50" s="190"/>
      <c r="L50" s="190"/>
      <c r="M50" s="191"/>
      <c r="N50" s="191"/>
      <c r="O50" s="190"/>
      <c r="P50" s="190"/>
      <c r="Q50" s="191"/>
      <c r="R50" s="191"/>
      <c r="S50" s="190">
        <v>9</v>
      </c>
      <c r="T50" s="190"/>
      <c r="U50" s="191">
        <v>9</v>
      </c>
      <c r="V50" s="191"/>
      <c r="W50" s="206">
        <f t="shared" si="2"/>
        <v>18</v>
      </c>
      <c r="X50" s="206"/>
      <c r="Y50" s="188"/>
      <c r="Z50" s="17"/>
      <c r="AA50" s="17"/>
      <c r="AB50" s="17"/>
      <c r="AC50" s="17"/>
      <c r="AD50" s="17"/>
      <c r="AE50" s="17"/>
    </row>
    <row r="51" spans="1:31" ht="18" customHeight="1">
      <c r="A51" s="17"/>
      <c r="B51" s="228"/>
      <c r="C51" s="208"/>
      <c r="D51" s="31" t="s">
        <v>23</v>
      </c>
      <c r="E51" s="31" t="s">
        <v>118</v>
      </c>
      <c r="F51" s="192" t="s">
        <v>121</v>
      </c>
      <c r="G51" s="192"/>
      <c r="H51" s="32"/>
      <c r="I51" s="27"/>
      <c r="J51" s="34">
        <f t="shared" si="3"/>
        <v>7</v>
      </c>
      <c r="K51" s="193"/>
      <c r="L51" s="193"/>
      <c r="M51" s="194"/>
      <c r="N51" s="194"/>
      <c r="O51" s="193"/>
      <c r="P51" s="193"/>
      <c r="Q51" s="194"/>
      <c r="R51" s="194"/>
      <c r="S51" s="193">
        <v>3</v>
      </c>
      <c r="T51" s="193"/>
      <c r="U51" s="194">
        <v>4</v>
      </c>
      <c r="V51" s="194"/>
      <c r="W51" s="219">
        <f t="shared" si="2"/>
        <v>7</v>
      </c>
      <c r="X51" s="219"/>
      <c r="Y51" s="188"/>
      <c r="Z51" s="17"/>
      <c r="AA51" s="17"/>
      <c r="AB51" s="17"/>
      <c r="AC51" s="17"/>
      <c r="AD51" s="17"/>
      <c r="AE51" s="17"/>
    </row>
    <row r="52" spans="1:31" ht="21.75" customHeight="1">
      <c r="A52" s="17"/>
      <c r="B52" s="215" t="s">
        <v>145</v>
      </c>
      <c r="C52" s="215"/>
      <c r="D52" s="215"/>
      <c r="E52" s="215"/>
      <c r="F52" s="215"/>
      <c r="G52" s="215"/>
      <c r="H52" s="48"/>
      <c r="I52" s="49"/>
      <c r="J52" s="50">
        <f>SUM(J40:J51)</f>
        <v>93</v>
      </c>
      <c r="K52" s="202">
        <f>SUM(K40:K51)</f>
        <v>8</v>
      </c>
      <c r="L52" s="202"/>
      <c r="M52" s="203">
        <f>SUM(M40:M51)</f>
        <v>5</v>
      </c>
      <c r="N52" s="203"/>
      <c r="O52" s="202">
        <f>SUM(O40:O51)</f>
        <v>12</v>
      </c>
      <c r="P52" s="202"/>
      <c r="Q52" s="203">
        <f>SUM(Q40:Q51)</f>
        <v>12</v>
      </c>
      <c r="R52" s="203"/>
      <c r="S52" s="202">
        <f>SUM(S40:S51)</f>
        <v>27</v>
      </c>
      <c r="T52" s="202"/>
      <c r="U52" s="203">
        <f>SUM(U40:U51)</f>
        <v>29</v>
      </c>
      <c r="V52" s="203"/>
      <c r="W52" s="204">
        <f t="shared" si="2"/>
        <v>93</v>
      </c>
      <c r="X52" s="204"/>
      <c r="Y52" s="51">
        <f>Y40</f>
        <v>80</v>
      </c>
      <c r="Z52" s="17"/>
      <c r="AA52" s="229" t="s">
        <v>160</v>
      </c>
      <c r="AB52" s="229"/>
      <c r="AC52" s="17"/>
    </row>
    <row r="53" spans="1:31" ht="21.75" customHeight="1">
      <c r="A53" s="17"/>
      <c r="B53" s="201"/>
      <c r="C53" s="201"/>
      <c r="D53" s="201"/>
      <c r="E53" s="201"/>
      <c r="F53" s="201"/>
      <c r="G53" s="201"/>
      <c r="H53" s="48"/>
      <c r="I53" s="49"/>
      <c r="J53" s="50">
        <f>J39+J52</f>
        <v>174</v>
      </c>
      <c r="K53" s="202">
        <f>K39+K52</f>
        <v>29</v>
      </c>
      <c r="L53" s="202"/>
      <c r="M53" s="203">
        <f>M39+M52</f>
        <v>29</v>
      </c>
      <c r="N53" s="203"/>
      <c r="O53" s="202">
        <f>O39+O52</f>
        <v>29</v>
      </c>
      <c r="P53" s="202"/>
      <c r="Q53" s="203">
        <f>Q39+Q52</f>
        <v>29</v>
      </c>
      <c r="R53" s="203"/>
      <c r="S53" s="202">
        <f>S39+S52</f>
        <v>29</v>
      </c>
      <c r="T53" s="202"/>
      <c r="U53" s="203">
        <f>U39+U52</f>
        <v>29</v>
      </c>
      <c r="V53" s="203"/>
      <c r="W53" s="204">
        <f t="shared" si="2"/>
        <v>174</v>
      </c>
      <c r="X53" s="204"/>
      <c r="Y53" s="51">
        <f>Y39+Y52</f>
        <v>144</v>
      </c>
      <c r="Z53" s="17"/>
      <c r="AA53" s="205" t="b">
        <f>W53&gt;=Y53</f>
        <v>1</v>
      </c>
      <c r="AB53" s="205"/>
      <c r="AC53" s="17"/>
      <c r="AD53" s="17"/>
      <c r="AE53" s="17"/>
    </row>
    <row r="54" spans="1:31" ht="18" customHeight="1">
      <c r="A54" s="17"/>
      <c r="B54" s="183" t="s">
        <v>147</v>
      </c>
      <c r="C54" s="183"/>
      <c r="D54" s="183"/>
      <c r="E54" s="183"/>
      <c r="F54" s="183" t="s">
        <v>148</v>
      </c>
      <c r="G54" s="183"/>
      <c r="H54" s="183"/>
      <c r="I54" s="183"/>
      <c r="J54" s="183"/>
      <c r="K54" s="185">
        <v>16</v>
      </c>
      <c r="L54" s="185"/>
      <c r="M54" s="186">
        <v>16</v>
      </c>
      <c r="N54" s="186"/>
      <c r="O54" s="185">
        <v>16</v>
      </c>
      <c r="P54" s="185"/>
      <c r="Q54" s="186">
        <v>16</v>
      </c>
      <c r="R54" s="186"/>
      <c r="S54" s="185">
        <v>16</v>
      </c>
      <c r="T54" s="185"/>
      <c r="U54" s="186">
        <v>16</v>
      </c>
      <c r="V54" s="186"/>
      <c r="W54" s="198">
        <f>SUM(K54:V56)</f>
        <v>288</v>
      </c>
      <c r="X54" s="198"/>
      <c r="Y54" s="188">
        <f>Y57*16</f>
        <v>288</v>
      </c>
      <c r="Z54" s="17"/>
      <c r="AA54" s="17"/>
      <c r="AB54" s="17"/>
      <c r="AC54" s="17"/>
      <c r="AD54" s="17"/>
      <c r="AE54" s="17"/>
    </row>
    <row r="55" spans="1:31" ht="18" customHeight="1">
      <c r="A55" s="17"/>
      <c r="B55" s="183"/>
      <c r="C55" s="183"/>
      <c r="D55" s="183"/>
      <c r="E55" s="183"/>
      <c r="F55" s="220" t="s">
        <v>149</v>
      </c>
      <c r="G55" s="220"/>
      <c r="H55" s="220"/>
      <c r="I55" s="220"/>
      <c r="J55" s="220"/>
      <c r="K55" s="190">
        <v>16</v>
      </c>
      <c r="L55" s="190"/>
      <c r="M55" s="191">
        <v>16</v>
      </c>
      <c r="N55" s="191"/>
      <c r="O55" s="190">
        <v>16</v>
      </c>
      <c r="P55" s="190"/>
      <c r="Q55" s="191">
        <v>16</v>
      </c>
      <c r="R55" s="191"/>
      <c r="S55" s="190">
        <v>16</v>
      </c>
      <c r="T55" s="190"/>
      <c r="U55" s="191">
        <v>16</v>
      </c>
      <c r="V55" s="191"/>
      <c r="W55" s="198"/>
      <c r="X55" s="198"/>
      <c r="Y55" s="188"/>
      <c r="Z55" s="17"/>
      <c r="AA55" s="17"/>
      <c r="AB55" s="17"/>
      <c r="AC55" s="17"/>
      <c r="AD55" s="17"/>
      <c r="AE55" s="17"/>
    </row>
    <row r="56" spans="1:31" ht="18" customHeight="1">
      <c r="A56" s="17"/>
      <c r="B56" s="183"/>
      <c r="C56" s="183"/>
      <c r="D56" s="183"/>
      <c r="E56" s="183"/>
      <c r="F56" s="220" t="s">
        <v>150</v>
      </c>
      <c r="G56" s="220"/>
      <c r="H56" s="220"/>
      <c r="I56" s="220"/>
      <c r="J56" s="220"/>
      <c r="K56" s="190">
        <v>16</v>
      </c>
      <c r="L56" s="190"/>
      <c r="M56" s="191">
        <v>16</v>
      </c>
      <c r="N56" s="191"/>
      <c r="O56" s="190">
        <v>16</v>
      </c>
      <c r="P56" s="190"/>
      <c r="Q56" s="191">
        <v>16</v>
      </c>
      <c r="R56" s="191"/>
      <c r="S56" s="190">
        <v>16</v>
      </c>
      <c r="T56" s="190"/>
      <c r="U56" s="191">
        <v>16</v>
      </c>
      <c r="V56" s="191"/>
      <c r="W56" s="198"/>
      <c r="X56" s="198"/>
      <c r="Y56" s="188"/>
      <c r="Z56" s="17"/>
      <c r="AA56" s="229" t="s">
        <v>161</v>
      </c>
      <c r="AB56" s="229"/>
      <c r="AC56" s="17"/>
      <c r="AD56" s="17"/>
      <c r="AE56" s="17"/>
    </row>
    <row r="57" spans="1:31" ht="18" customHeight="1">
      <c r="A57" s="17"/>
      <c r="B57" s="183"/>
      <c r="C57" s="183"/>
      <c r="D57" s="183"/>
      <c r="E57" s="183"/>
      <c r="F57" s="218" t="s">
        <v>152</v>
      </c>
      <c r="G57" s="218"/>
      <c r="H57" s="218"/>
      <c r="I57" s="218"/>
      <c r="J57" s="218"/>
      <c r="K57" s="193">
        <v>3</v>
      </c>
      <c r="L57" s="193"/>
      <c r="M57" s="194">
        <v>3</v>
      </c>
      <c r="N57" s="194"/>
      <c r="O57" s="193">
        <v>3</v>
      </c>
      <c r="P57" s="193"/>
      <c r="Q57" s="194">
        <v>3</v>
      </c>
      <c r="R57" s="194"/>
      <c r="S57" s="193">
        <v>3</v>
      </c>
      <c r="T57" s="193"/>
      <c r="U57" s="194">
        <v>3</v>
      </c>
      <c r="V57" s="194"/>
      <c r="W57" s="219">
        <f>SUM(K57:V57)</f>
        <v>18</v>
      </c>
      <c r="X57" s="219"/>
      <c r="Y57" s="60">
        <v>18</v>
      </c>
      <c r="Z57" s="17"/>
      <c r="AA57" s="205" t="b">
        <f>W57&gt;=Y57</f>
        <v>1</v>
      </c>
      <c r="AB57" s="205"/>
      <c r="AC57" s="17"/>
      <c r="AD57" s="17"/>
      <c r="AE57" s="17"/>
    </row>
    <row r="58" spans="1:31" ht="18" customHeight="1">
      <c r="A58" s="17"/>
      <c r="B58" s="223"/>
      <c r="C58" s="223"/>
      <c r="D58" s="223"/>
      <c r="E58" s="223"/>
      <c r="F58" s="223"/>
      <c r="G58" s="223"/>
      <c r="H58" s="223"/>
      <c r="I58" s="223"/>
      <c r="J58" s="223"/>
      <c r="K58" s="224">
        <f>K53+K57</f>
        <v>32</v>
      </c>
      <c r="L58" s="224"/>
      <c r="M58" s="225">
        <f>M53+M57</f>
        <v>32</v>
      </c>
      <c r="N58" s="225"/>
      <c r="O58" s="224">
        <f>O53+O57</f>
        <v>32</v>
      </c>
      <c r="P58" s="224"/>
      <c r="Q58" s="225">
        <f>Q53+Q57</f>
        <v>32</v>
      </c>
      <c r="R58" s="225"/>
      <c r="S58" s="224">
        <f>S53+S57</f>
        <v>32</v>
      </c>
      <c r="T58" s="224"/>
      <c r="U58" s="225">
        <f>U53+U57</f>
        <v>32</v>
      </c>
      <c r="V58" s="225"/>
      <c r="W58" s="226">
        <f>SUM(K58:V58)</f>
        <v>192</v>
      </c>
      <c r="X58" s="226"/>
      <c r="Y58" s="61">
        <v>192</v>
      </c>
      <c r="Z58" s="17"/>
      <c r="AA58" s="230" t="s">
        <v>162</v>
      </c>
      <c r="AB58" s="230"/>
      <c r="AC58" s="17"/>
      <c r="AD58" s="17"/>
      <c r="AE58" s="17"/>
    </row>
    <row r="59" spans="1:31" ht="18" customHeight="1">
      <c r="A59" s="17"/>
      <c r="B59" s="221"/>
      <c r="C59" s="221"/>
      <c r="D59" s="221"/>
      <c r="E59" s="221"/>
      <c r="F59" s="221"/>
      <c r="G59" s="221"/>
      <c r="H59" s="221"/>
      <c r="I59" s="221"/>
      <c r="J59" s="221"/>
      <c r="K59" s="222">
        <f>SUM(K58:N58)</f>
        <v>64</v>
      </c>
      <c r="L59" s="222"/>
      <c r="M59" s="222"/>
      <c r="N59" s="222"/>
      <c r="O59" s="222">
        <f>SUM(O58:R58)</f>
        <v>64</v>
      </c>
      <c r="P59" s="222"/>
      <c r="Q59" s="222"/>
      <c r="R59" s="222"/>
      <c r="S59" s="222">
        <f>SUM(S58:V58)</f>
        <v>64</v>
      </c>
      <c r="T59" s="222"/>
      <c r="U59" s="222"/>
      <c r="V59" s="222"/>
      <c r="W59" s="222">
        <f>SUM(K59:V59)</f>
        <v>192</v>
      </c>
      <c r="X59" s="222"/>
      <c r="Y59" s="62"/>
      <c r="Z59" s="17"/>
      <c r="AA59" s="205" t="b">
        <f>W58&gt;=Y58</f>
        <v>1</v>
      </c>
      <c r="AB59" s="205"/>
      <c r="AC59" s="17"/>
      <c r="AD59" s="17"/>
      <c r="AE59" s="17"/>
    </row>
    <row r="60" spans="1:31" ht="18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</row>
    <row r="61" spans="1:31" ht="18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</row>
    <row r="62" spans="1:31" ht="18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</row>
    <row r="63" spans="1:31" ht="18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</row>
    <row r="64" spans="1:31" ht="18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</row>
    <row r="65" spans="1:31" ht="18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</row>
    <row r="66" spans="1:31" ht="18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</row>
    <row r="67" spans="1:31" ht="18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</row>
    <row r="68" spans="1:31" ht="18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</row>
    <row r="69" spans="1:31" ht="18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</row>
    <row r="70" spans="1:31" ht="18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</row>
    <row r="71" spans="1:31" ht="18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</row>
    <row r="72" spans="1:31" ht="18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</row>
    <row r="73" spans="1:31" ht="18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</row>
    <row r="74" spans="1:31" ht="18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</row>
    <row r="75" spans="1:31" ht="18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</row>
    <row r="76" spans="1:31" ht="18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</row>
    <row r="77" spans="1:31" ht="18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</row>
    <row r="78" spans="1:31" ht="18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</row>
    <row r="79" spans="1:31" ht="18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</row>
    <row r="80" spans="1:31" ht="18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</row>
    <row r="81" spans="1:31" ht="18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</row>
    <row r="82" spans="1:31" ht="18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</row>
    <row r="83" spans="1:31" ht="18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</row>
    <row r="84" spans="1:31" ht="18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</row>
    <row r="85" spans="1:31" ht="18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</row>
    <row r="86" spans="1:31" ht="18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</row>
    <row r="87" spans="1:31" ht="18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</row>
    <row r="88" spans="1:31" ht="18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</row>
    <row r="89" spans="1:31" ht="18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</row>
    <row r="90" spans="1:31" ht="18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</row>
    <row r="91" spans="1:31" ht="18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</row>
    <row r="92" spans="1:31" ht="18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</row>
    <row r="93" spans="1:31" ht="18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</row>
    <row r="94" spans="1:31" ht="18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</row>
    <row r="95" spans="1:31" ht="18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</row>
    <row r="96" spans="1:31" ht="18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</row>
    <row r="97" spans="1:31" ht="18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</row>
    <row r="98" spans="1:31" ht="18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</row>
    <row r="99" spans="1:31" ht="18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</row>
    <row r="100" spans="1:31" ht="18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</row>
    <row r="101" spans="1:31" ht="18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</row>
    <row r="102" spans="1:31" ht="18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</row>
    <row r="103" spans="1:31" ht="18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</row>
    <row r="104" spans="1:31" ht="18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</row>
    <row r="105" spans="1:31" ht="18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</row>
    <row r="106" spans="1:31" ht="18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</row>
    <row r="107" spans="1:31" ht="18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</row>
    <row r="108" spans="1:31" ht="18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</row>
    <row r="109" spans="1:31" ht="18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</row>
  </sheetData>
  <mergeCells count="452">
    <mergeCell ref="B59:J59"/>
    <mergeCell ref="K59:N59"/>
    <mergeCell ref="O59:R59"/>
    <mergeCell ref="S59:V59"/>
    <mergeCell ref="W59:X59"/>
    <mergeCell ref="AA59:AB59"/>
    <mergeCell ref="B58:J58"/>
    <mergeCell ref="K58:L58"/>
    <mergeCell ref="M58:N58"/>
    <mergeCell ref="O58:P58"/>
    <mergeCell ref="Q58:R58"/>
    <mergeCell ref="S58:T58"/>
    <mergeCell ref="U58:V58"/>
    <mergeCell ref="W58:X58"/>
    <mergeCell ref="AA58:AB58"/>
    <mergeCell ref="S55:T55"/>
    <mergeCell ref="U55:V55"/>
    <mergeCell ref="F56:J56"/>
    <mergeCell ref="K56:L56"/>
    <mergeCell ref="M56:N56"/>
    <mergeCell ref="O56:P56"/>
    <mergeCell ref="Q56:R56"/>
    <mergeCell ref="S56:T56"/>
    <mergeCell ref="W54:X56"/>
    <mergeCell ref="U56:V56"/>
    <mergeCell ref="AA52:AB52"/>
    <mergeCell ref="B53:G53"/>
    <mergeCell ref="K53:L53"/>
    <mergeCell ref="M53:N53"/>
    <mergeCell ref="O53:P53"/>
    <mergeCell ref="Q53:R53"/>
    <mergeCell ref="S53:T53"/>
    <mergeCell ref="U53:V53"/>
    <mergeCell ref="W53:X53"/>
    <mergeCell ref="AA53:AB53"/>
    <mergeCell ref="B54:E57"/>
    <mergeCell ref="F54:J54"/>
    <mergeCell ref="K54:L54"/>
    <mergeCell ref="M54:N54"/>
    <mergeCell ref="O54:P54"/>
    <mergeCell ref="Q54:R54"/>
    <mergeCell ref="S54:T54"/>
    <mergeCell ref="U54:V54"/>
    <mergeCell ref="AA56:AB56"/>
    <mergeCell ref="F57:J57"/>
    <mergeCell ref="K57:L57"/>
    <mergeCell ref="M57:N57"/>
    <mergeCell ref="O57:P57"/>
    <mergeCell ref="Q57:R57"/>
    <mergeCell ref="S57:T57"/>
    <mergeCell ref="U57:V57"/>
    <mergeCell ref="W57:X57"/>
    <mergeCell ref="AA57:AB57"/>
    <mergeCell ref="Y54:Y56"/>
    <mergeCell ref="F55:J55"/>
    <mergeCell ref="K55:L55"/>
    <mergeCell ref="M55:N55"/>
    <mergeCell ref="O55:P55"/>
    <mergeCell ref="Q55:R55"/>
    <mergeCell ref="W51:X51"/>
    <mergeCell ref="B52:G52"/>
    <mergeCell ref="K52:L52"/>
    <mergeCell ref="M52:N52"/>
    <mergeCell ref="O52:P52"/>
    <mergeCell ref="Q52:R52"/>
    <mergeCell ref="S52:T52"/>
    <mergeCell ref="U52:V52"/>
    <mergeCell ref="W52:X52"/>
    <mergeCell ref="B47:B51"/>
    <mergeCell ref="C47:C51"/>
    <mergeCell ref="F51:G51"/>
    <mergeCell ref="K51:L51"/>
    <mergeCell ref="M51:N51"/>
    <mergeCell ref="O51:P51"/>
    <mergeCell ref="Q51:R51"/>
    <mergeCell ref="S51:T51"/>
    <mergeCell ref="U51:V51"/>
    <mergeCell ref="W49:X49"/>
    <mergeCell ref="F50:G50"/>
    <mergeCell ref="K50:L50"/>
    <mergeCell ref="M50:N50"/>
    <mergeCell ref="O50:P50"/>
    <mergeCell ref="Q50:R50"/>
    <mergeCell ref="S50:T50"/>
    <mergeCell ref="U50:V50"/>
    <mergeCell ref="W50:X50"/>
    <mergeCell ref="F49:G49"/>
    <mergeCell ref="K49:L49"/>
    <mergeCell ref="M49:N49"/>
    <mergeCell ref="O49:P49"/>
    <mergeCell ref="Q49:R49"/>
    <mergeCell ref="S49:T49"/>
    <mergeCell ref="U49:V49"/>
    <mergeCell ref="W47:X47"/>
    <mergeCell ref="F48:G48"/>
    <mergeCell ref="K48:L48"/>
    <mergeCell ref="M48:N48"/>
    <mergeCell ref="O48:P48"/>
    <mergeCell ref="Q48:R48"/>
    <mergeCell ref="S48:T48"/>
    <mergeCell ref="U48:V48"/>
    <mergeCell ref="W48:X48"/>
    <mergeCell ref="F47:G47"/>
    <mergeCell ref="K47:L47"/>
    <mergeCell ref="M47:N47"/>
    <mergeCell ref="O47:P47"/>
    <mergeCell ref="Q47:R47"/>
    <mergeCell ref="S47:T47"/>
    <mergeCell ref="U47:V47"/>
    <mergeCell ref="W45:X45"/>
    <mergeCell ref="F46:G46"/>
    <mergeCell ref="K46:L46"/>
    <mergeCell ref="M46:N46"/>
    <mergeCell ref="O46:P46"/>
    <mergeCell ref="Q46:R46"/>
    <mergeCell ref="S46:T46"/>
    <mergeCell ref="U46:V46"/>
    <mergeCell ref="W46:X46"/>
    <mergeCell ref="W43:X43"/>
    <mergeCell ref="F44:G44"/>
    <mergeCell ref="K44:L44"/>
    <mergeCell ref="M44:N44"/>
    <mergeCell ref="O44:P44"/>
    <mergeCell ref="Q44:R44"/>
    <mergeCell ref="S44:T44"/>
    <mergeCell ref="U44:V44"/>
    <mergeCell ref="W44:X44"/>
    <mergeCell ref="W40:X40"/>
    <mergeCell ref="Y40:Y51"/>
    <mergeCell ref="F41:G41"/>
    <mergeCell ref="K41:L41"/>
    <mergeCell ref="M41:N41"/>
    <mergeCell ref="O41:P41"/>
    <mergeCell ref="Q41:R41"/>
    <mergeCell ref="S41:T41"/>
    <mergeCell ref="U41:V41"/>
    <mergeCell ref="W41:X41"/>
    <mergeCell ref="F42:G42"/>
    <mergeCell ref="K42:L42"/>
    <mergeCell ref="M42:N42"/>
    <mergeCell ref="O42:P42"/>
    <mergeCell ref="Q42:R42"/>
    <mergeCell ref="S42:T42"/>
    <mergeCell ref="U42:V42"/>
    <mergeCell ref="W42:X42"/>
    <mergeCell ref="F43:G43"/>
    <mergeCell ref="K43:L43"/>
    <mergeCell ref="M43:N43"/>
    <mergeCell ref="O43:P43"/>
    <mergeCell ref="Q43:R43"/>
    <mergeCell ref="S43:T43"/>
    <mergeCell ref="B40:C46"/>
    <mergeCell ref="D40:E40"/>
    <mergeCell ref="F40:G40"/>
    <mergeCell ref="K40:L40"/>
    <mergeCell ref="M40:N40"/>
    <mergeCell ref="O40:P40"/>
    <mergeCell ref="Q40:R40"/>
    <mergeCell ref="S40:T40"/>
    <mergeCell ref="U40:V40"/>
    <mergeCell ref="U43:V43"/>
    <mergeCell ref="F45:G45"/>
    <mergeCell ref="K45:L45"/>
    <mergeCell ref="M45:N45"/>
    <mergeCell ref="O45:P45"/>
    <mergeCell ref="Q45:R45"/>
    <mergeCell ref="S45:T45"/>
    <mergeCell ref="U45:V45"/>
    <mergeCell ref="B39:G39"/>
    <mergeCell ref="K39:L39"/>
    <mergeCell ref="M39:N39"/>
    <mergeCell ref="O39:P39"/>
    <mergeCell ref="Q39:R39"/>
    <mergeCell ref="S39:T39"/>
    <mergeCell ref="U39:V39"/>
    <mergeCell ref="W39:X39"/>
    <mergeCell ref="AA39:AB39"/>
    <mergeCell ref="Y36:Y38"/>
    <mergeCell ref="F37:G37"/>
    <mergeCell ref="K37:L37"/>
    <mergeCell ref="M37:N37"/>
    <mergeCell ref="O37:P37"/>
    <mergeCell ref="Q37:R37"/>
    <mergeCell ref="S37:T37"/>
    <mergeCell ref="U37:V37"/>
    <mergeCell ref="F38:G38"/>
    <mergeCell ref="K38:L38"/>
    <mergeCell ref="M38:N38"/>
    <mergeCell ref="O38:P38"/>
    <mergeCell ref="Q38:R38"/>
    <mergeCell ref="S38:T38"/>
    <mergeCell ref="U38:V38"/>
    <mergeCell ref="D36:D38"/>
    <mergeCell ref="F36:G36"/>
    <mergeCell ref="K36:L36"/>
    <mergeCell ref="M36:N36"/>
    <mergeCell ref="O36:P36"/>
    <mergeCell ref="Q36:R36"/>
    <mergeCell ref="S36:T36"/>
    <mergeCell ref="U36:V36"/>
    <mergeCell ref="W36:X38"/>
    <mergeCell ref="Y32:Y35"/>
    <mergeCell ref="F33:G33"/>
    <mergeCell ref="K33:L33"/>
    <mergeCell ref="M33:N33"/>
    <mergeCell ref="O33:P33"/>
    <mergeCell ref="Q33:R33"/>
    <mergeCell ref="S33:T33"/>
    <mergeCell ref="U33:V33"/>
    <mergeCell ref="F34:G34"/>
    <mergeCell ref="K34:L34"/>
    <mergeCell ref="M34:N34"/>
    <mergeCell ref="O34:P34"/>
    <mergeCell ref="Q34:R34"/>
    <mergeCell ref="S34:T34"/>
    <mergeCell ref="U34:V34"/>
    <mergeCell ref="F35:G35"/>
    <mergeCell ref="K35:L35"/>
    <mergeCell ref="M35:N35"/>
    <mergeCell ref="O35:P35"/>
    <mergeCell ref="Q35:R35"/>
    <mergeCell ref="S35:T35"/>
    <mergeCell ref="U35:V35"/>
    <mergeCell ref="D32:D35"/>
    <mergeCell ref="F32:G32"/>
    <mergeCell ref="K32:L32"/>
    <mergeCell ref="M32:N32"/>
    <mergeCell ref="O32:P32"/>
    <mergeCell ref="Q32:R32"/>
    <mergeCell ref="S32:T32"/>
    <mergeCell ref="U32:V32"/>
    <mergeCell ref="W32:X35"/>
    <mergeCell ref="Y27:Y31"/>
    <mergeCell ref="F28:G28"/>
    <mergeCell ref="K28:L28"/>
    <mergeCell ref="M28:N28"/>
    <mergeCell ref="O28:P28"/>
    <mergeCell ref="Q28:R28"/>
    <mergeCell ref="S28:T28"/>
    <mergeCell ref="U28:V28"/>
    <mergeCell ref="F29:G29"/>
    <mergeCell ref="K29:L29"/>
    <mergeCell ref="M29:N29"/>
    <mergeCell ref="O29:P29"/>
    <mergeCell ref="Q29:R29"/>
    <mergeCell ref="S29:T29"/>
    <mergeCell ref="U29:V29"/>
    <mergeCell ref="F30:G30"/>
    <mergeCell ref="K30:L30"/>
    <mergeCell ref="M30:N30"/>
    <mergeCell ref="O30:P30"/>
    <mergeCell ref="Q30:R30"/>
    <mergeCell ref="S30:T30"/>
    <mergeCell ref="U30:V30"/>
    <mergeCell ref="F31:G31"/>
    <mergeCell ref="K31:L31"/>
    <mergeCell ref="D27:D31"/>
    <mergeCell ref="F27:G27"/>
    <mergeCell ref="K27:L27"/>
    <mergeCell ref="M27:N27"/>
    <mergeCell ref="O27:P27"/>
    <mergeCell ref="Q27:R27"/>
    <mergeCell ref="S27:T27"/>
    <mergeCell ref="U27:V27"/>
    <mergeCell ref="X27:X31"/>
    <mergeCell ref="M31:N31"/>
    <mergeCell ref="O31:P31"/>
    <mergeCell ref="Q31:R31"/>
    <mergeCell ref="S31:T31"/>
    <mergeCell ref="U31:V31"/>
    <mergeCell ref="D25:D26"/>
    <mergeCell ref="F25:G25"/>
    <mergeCell ref="K25:L25"/>
    <mergeCell ref="M25:N25"/>
    <mergeCell ref="O25:P25"/>
    <mergeCell ref="Q25:R25"/>
    <mergeCell ref="S25:T25"/>
    <mergeCell ref="U25:V25"/>
    <mergeCell ref="X25:X26"/>
    <mergeCell ref="F26:G26"/>
    <mergeCell ref="K26:L26"/>
    <mergeCell ref="M26:N26"/>
    <mergeCell ref="O26:P26"/>
    <mergeCell ref="Q26:R26"/>
    <mergeCell ref="S26:T26"/>
    <mergeCell ref="U26:V26"/>
    <mergeCell ref="X23:X24"/>
    <mergeCell ref="Y23:Y26"/>
    <mergeCell ref="F24:G24"/>
    <mergeCell ref="K24:L24"/>
    <mergeCell ref="M24:N24"/>
    <mergeCell ref="O24:P24"/>
    <mergeCell ref="Q24:R24"/>
    <mergeCell ref="S24:T24"/>
    <mergeCell ref="U24:V24"/>
    <mergeCell ref="D17:D20"/>
    <mergeCell ref="F17:G17"/>
    <mergeCell ref="K17:L17"/>
    <mergeCell ref="M17:N17"/>
    <mergeCell ref="O17:P17"/>
    <mergeCell ref="Q17:R17"/>
    <mergeCell ref="X21:X22"/>
    <mergeCell ref="Y21:Y22"/>
    <mergeCell ref="F22:G22"/>
    <mergeCell ref="K22:L22"/>
    <mergeCell ref="M22:N22"/>
    <mergeCell ref="O22:P22"/>
    <mergeCell ref="Q22:R22"/>
    <mergeCell ref="S22:T22"/>
    <mergeCell ref="U22:V22"/>
    <mergeCell ref="D21:D24"/>
    <mergeCell ref="F21:G21"/>
    <mergeCell ref="K21:L21"/>
    <mergeCell ref="M21:N21"/>
    <mergeCell ref="O21:P21"/>
    <mergeCell ref="Q21:R21"/>
    <mergeCell ref="S21:T21"/>
    <mergeCell ref="U21:V21"/>
    <mergeCell ref="F23:G23"/>
    <mergeCell ref="K23:L23"/>
    <mergeCell ref="M23:N23"/>
    <mergeCell ref="O23:P23"/>
    <mergeCell ref="Q23:R23"/>
    <mergeCell ref="S23:T23"/>
    <mergeCell ref="U23:V23"/>
    <mergeCell ref="S17:T17"/>
    <mergeCell ref="U17:V17"/>
    <mergeCell ref="X17:X20"/>
    <mergeCell ref="F18:G18"/>
    <mergeCell ref="K18:L18"/>
    <mergeCell ref="M18:N18"/>
    <mergeCell ref="O18:P18"/>
    <mergeCell ref="Q18:R18"/>
    <mergeCell ref="S18:T18"/>
    <mergeCell ref="U18:V18"/>
    <mergeCell ref="F19:G19"/>
    <mergeCell ref="K19:L19"/>
    <mergeCell ref="M19:N19"/>
    <mergeCell ref="O19:P19"/>
    <mergeCell ref="Q19:R19"/>
    <mergeCell ref="S19:T19"/>
    <mergeCell ref="U19:V19"/>
    <mergeCell ref="F20:G20"/>
    <mergeCell ref="K20:L20"/>
    <mergeCell ref="M20:N20"/>
    <mergeCell ref="O20:P20"/>
    <mergeCell ref="Q20:R20"/>
    <mergeCell ref="S20:T20"/>
    <mergeCell ref="U20:V20"/>
    <mergeCell ref="AB14:AD14"/>
    <mergeCell ref="F15:G15"/>
    <mergeCell ref="K15:L15"/>
    <mergeCell ref="M15:N15"/>
    <mergeCell ref="O15:P15"/>
    <mergeCell ref="Q15:R15"/>
    <mergeCell ref="S15:T15"/>
    <mergeCell ref="U15:V15"/>
    <mergeCell ref="F16:G16"/>
    <mergeCell ref="K16:L16"/>
    <mergeCell ref="M16:N16"/>
    <mergeCell ref="O16:P16"/>
    <mergeCell ref="Q16:R16"/>
    <mergeCell ref="S16:T16"/>
    <mergeCell ref="U16:V16"/>
    <mergeCell ref="D13:D16"/>
    <mergeCell ref="F13:G13"/>
    <mergeCell ref="K13:L13"/>
    <mergeCell ref="M13:N13"/>
    <mergeCell ref="O13:P13"/>
    <mergeCell ref="Q13:R13"/>
    <mergeCell ref="S13:T13"/>
    <mergeCell ref="U13:V13"/>
    <mergeCell ref="X13:X16"/>
    <mergeCell ref="F14:G14"/>
    <mergeCell ref="K14:L14"/>
    <mergeCell ref="M14:N14"/>
    <mergeCell ref="O14:P14"/>
    <mergeCell ref="Q14:R14"/>
    <mergeCell ref="S14:T14"/>
    <mergeCell ref="U14:V14"/>
    <mergeCell ref="S11:T11"/>
    <mergeCell ref="U11:V11"/>
    <mergeCell ref="F12:G12"/>
    <mergeCell ref="K12:L12"/>
    <mergeCell ref="M12:N12"/>
    <mergeCell ref="O12:P12"/>
    <mergeCell ref="Q12:R12"/>
    <mergeCell ref="S12:T12"/>
    <mergeCell ref="U12:V12"/>
    <mergeCell ref="AA8:AD8"/>
    <mergeCell ref="B9:C38"/>
    <mergeCell ref="D9:D12"/>
    <mergeCell ref="F9:G9"/>
    <mergeCell ref="K9:L9"/>
    <mergeCell ref="M9:N9"/>
    <mergeCell ref="O9:P9"/>
    <mergeCell ref="Q9:R9"/>
    <mergeCell ref="S9:T9"/>
    <mergeCell ref="U9:V9"/>
    <mergeCell ref="X9:X12"/>
    <mergeCell ref="Y9:Y20"/>
    <mergeCell ref="F10:G10"/>
    <mergeCell ref="K10:L10"/>
    <mergeCell ref="M10:N10"/>
    <mergeCell ref="O10:P10"/>
    <mergeCell ref="Q10:R10"/>
    <mergeCell ref="S10:T10"/>
    <mergeCell ref="U10:V10"/>
    <mergeCell ref="F11:G11"/>
    <mergeCell ref="K11:L11"/>
    <mergeCell ref="M11:N11"/>
    <mergeCell ref="O11:P11"/>
    <mergeCell ref="Q11:R11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</mergeCells>
  <phoneticPr fontId="41" type="noConversion"/>
  <conditionalFormatting sqref="AA39 AA57 AA59">
    <cfRule type="expression" dxfId="5" priority="2">
      <formula>NOT(ISERROR(SEARCH("FALSE",AA39)))</formula>
    </cfRule>
  </conditionalFormatting>
  <conditionalFormatting sqref="AA53">
    <cfRule type="expression" dxfId="4" priority="3">
      <formula>NOT(ISERROR(SEARCH("FALSE",AA53)))</formula>
    </cfRule>
  </conditionalFormatting>
  <printOptions horizontalCentered="1" verticalCentered="1"/>
  <pageMargins left="0.25" right="0.25" top="0.75" bottom="0.75" header="0.511811023622047" footer="0.511811023622047"/>
  <pageSetup paperSize="12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E109"/>
  <sheetViews>
    <sheetView zoomScale="85" zoomScaleNormal="85" workbookViewId="0">
      <pane ySplit="8" topLeftCell="A9" activePane="bottomLeft" state="frozen"/>
      <selection pane="bottomLeft" activeCell="F58" sqref="F58:G58"/>
    </sheetView>
  </sheetViews>
  <sheetFormatPr defaultColWidth="7.375" defaultRowHeight="16.5"/>
  <cols>
    <col min="1" max="1" width="1.75" style="1" customWidth="1"/>
    <col min="2" max="2" width="8.125" style="1" customWidth="1"/>
    <col min="3" max="3" width="14.5" style="1" customWidth="1"/>
    <col min="4" max="4" width="11.375" style="1" customWidth="1"/>
    <col min="5" max="5" width="8" style="1" customWidth="1"/>
    <col min="6" max="6" width="14.125" style="1" customWidth="1"/>
    <col min="7" max="7" width="5.25" style="1" customWidth="1"/>
    <col min="8" max="8" width="4.75" style="1" customWidth="1"/>
    <col min="9" max="9" width="6.75" style="1" customWidth="1"/>
    <col min="10" max="10" width="4.75" style="1" customWidth="1"/>
    <col min="11" max="22" width="3.25" style="1" customWidth="1"/>
    <col min="23" max="24" width="2.875" style="1" customWidth="1"/>
    <col min="25" max="25" width="5.375" style="1" customWidth="1"/>
    <col min="26" max="26" width="7.375" style="1"/>
    <col min="27" max="27" width="18.875" style="1" customWidth="1"/>
    <col min="28" max="29" width="11" style="1" customWidth="1"/>
    <col min="30" max="30" width="11.75" style="1" customWidth="1"/>
    <col min="31" max="16384" width="7.375" style="1"/>
  </cols>
  <sheetData>
    <row r="1" spans="1:31" ht="18" customHeight="1"/>
    <row r="2" spans="1:31" ht="30.75" customHeight="1">
      <c r="B2" s="156" t="s">
        <v>0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7" t="s">
        <v>1</v>
      </c>
      <c r="W2" s="157"/>
      <c r="X2" s="158">
        <v>2027</v>
      </c>
      <c r="Y2" s="158"/>
      <c r="AA2" s="159" t="s">
        <v>2</v>
      </c>
      <c r="AB2" s="2" t="s">
        <v>3</v>
      </c>
      <c r="AC2" s="3" t="s">
        <v>4</v>
      </c>
      <c r="AD2" s="4" t="s">
        <v>5</v>
      </c>
    </row>
    <row r="3" spans="1:31" ht="18" customHeight="1">
      <c r="B3" s="160" t="s">
        <v>6</v>
      </c>
      <c r="C3" s="161" t="s">
        <v>7</v>
      </c>
      <c r="D3" s="161"/>
      <c r="E3" s="161"/>
      <c r="F3" s="160" t="s">
        <v>8</v>
      </c>
      <c r="G3" s="160"/>
      <c r="H3" s="161" t="s">
        <v>9</v>
      </c>
      <c r="I3" s="161"/>
      <c r="J3" s="161"/>
      <c r="K3" s="160" t="s">
        <v>10</v>
      </c>
      <c r="L3" s="160"/>
      <c r="M3" s="160"/>
      <c r="N3" s="160"/>
      <c r="O3" s="160"/>
      <c r="P3" s="160" t="s">
        <v>11</v>
      </c>
      <c r="Q3" s="160"/>
      <c r="R3" s="160"/>
      <c r="S3" s="160"/>
      <c r="T3" s="160"/>
      <c r="U3" s="160"/>
      <c r="V3" s="160"/>
      <c r="W3" s="160"/>
      <c r="X3" s="160"/>
      <c r="Y3" s="160"/>
      <c r="AA3" s="159"/>
      <c r="AB3" s="5" t="s">
        <v>12</v>
      </c>
      <c r="AC3" s="6" t="s">
        <v>13</v>
      </c>
      <c r="AD3" s="7" t="s">
        <v>14</v>
      </c>
    </row>
    <row r="4" spans="1:31" ht="18" customHeight="1">
      <c r="B4" s="160"/>
      <c r="C4" s="161"/>
      <c r="D4" s="161"/>
      <c r="E4" s="161"/>
      <c r="F4" s="160"/>
      <c r="G4" s="160"/>
      <c r="H4" s="161"/>
      <c r="I4" s="161"/>
      <c r="J4" s="161"/>
      <c r="K4" s="160"/>
      <c r="L4" s="160"/>
      <c r="M4" s="160"/>
      <c r="N4" s="160"/>
      <c r="O4" s="160"/>
      <c r="P4" s="161" t="s">
        <v>15</v>
      </c>
      <c r="Q4" s="161"/>
      <c r="R4" s="161"/>
      <c r="S4" s="161"/>
      <c r="T4" s="160" t="s">
        <v>16</v>
      </c>
      <c r="U4" s="160"/>
      <c r="V4" s="160"/>
      <c r="W4" s="162" t="s">
        <v>17</v>
      </c>
      <c r="X4" s="162"/>
      <c r="Y4" s="162"/>
      <c r="AA4" s="159"/>
      <c r="AB4" s="8" t="s">
        <v>18</v>
      </c>
      <c r="AC4" s="9" t="s">
        <v>19</v>
      </c>
      <c r="AD4" s="7" t="s">
        <v>20</v>
      </c>
    </row>
    <row r="5" spans="1:31" ht="37.5" customHeight="1">
      <c r="B5" s="10" t="s">
        <v>21</v>
      </c>
      <c r="C5" s="163" t="s">
        <v>22</v>
      </c>
      <c r="D5" s="163"/>
      <c r="E5" s="163"/>
      <c r="F5" s="164" t="s">
        <v>23</v>
      </c>
      <c r="G5" s="164"/>
      <c r="H5" s="165" t="s">
        <v>163</v>
      </c>
      <c r="I5" s="165"/>
      <c r="J5" s="165"/>
      <c r="K5" s="166"/>
      <c r="L5" s="166"/>
      <c r="M5" s="166"/>
      <c r="N5" s="166"/>
      <c r="O5" s="166"/>
      <c r="P5" s="231" t="s">
        <v>164</v>
      </c>
      <c r="Q5" s="231"/>
      <c r="R5" s="231"/>
      <c r="S5" s="231"/>
      <c r="T5" s="163" t="s">
        <v>27</v>
      </c>
      <c r="U5" s="163"/>
      <c r="V5" s="163"/>
      <c r="W5" s="232" t="s">
        <v>669</v>
      </c>
      <c r="X5" s="232"/>
      <c r="Y5" s="232"/>
      <c r="AA5" s="159"/>
      <c r="AB5" s="11" t="s">
        <v>28</v>
      </c>
      <c r="AC5" s="12" t="s">
        <v>29</v>
      </c>
      <c r="AD5" s="13" t="s">
        <v>30</v>
      </c>
    </row>
    <row r="6" spans="1:31" ht="15.75" customHeight="1">
      <c r="U6" s="169"/>
      <c r="V6" s="169"/>
      <c r="W6" s="169"/>
      <c r="X6" s="169"/>
      <c r="Y6" s="169"/>
    </row>
    <row r="7" spans="1:31" s="14" customFormat="1" ht="22.5" customHeight="1">
      <c r="B7" s="170" t="s">
        <v>31</v>
      </c>
      <c r="C7" s="170"/>
      <c r="D7" s="171" t="s">
        <v>32</v>
      </c>
      <c r="E7" s="171" t="s">
        <v>33</v>
      </c>
      <c r="F7" s="171"/>
      <c r="G7" s="171"/>
      <c r="H7" s="172" t="s">
        <v>34</v>
      </c>
      <c r="I7" s="173" t="s">
        <v>35</v>
      </c>
      <c r="J7" s="174" t="s">
        <v>36</v>
      </c>
      <c r="K7" s="175" t="s">
        <v>37</v>
      </c>
      <c r="L7" s="175"/>
      <c r="M7" s="175"/>
      <c r="N7" s="175"/>
      <c r="O7" s="176" t="s">
        <v>38</v>
      </c>
      <c r="P7" s="176"/>
      <c r="Q7" s="176"/>
      <c r="R7" s="176"/>
      <c r="S7" s="175" t="s">
        <v>39</v>
      </c>
      <c r="T7" s="175"/>
      <c r="U7" s="175"/>
      <c r="V7" s="175"/>
      <c r="W7" s="172" t="s">
        <v>40</v>
      </c>
      <c r="X7" s="172"/>
      <c r="Y7" s="177" t="s">
        <v>41</v>
      </c>
      <c r="Z7" s="15"/>
    </row>
    <row r="8" spans="1:31" s="14" customFormat="1" ht="22.5" customHeight="1">
      <c r="B8" s="170"/>
      <c r="C8" s="170"/>
      <c r="D8" s="171"/>
      <c r="E8" s="16" t="s">
        <v>42</v>
      </c>
      <c r="F8" s="178" t="s">
        <v>43</v>
      </c>
      <c r="G8" s="178"/>
      <c r="H8" s="172"/>
      <c r="I8" s="173"/>
      <c r="J8" s="174"/>
      <c r="K8" s="179" t="s">
        <v>44</v>
      </c>
      <c r="L8" s="179"/>
      <c r="M8" s="180" t="s">
        <v>45</v>
      </c>
      <c r="N8" s="180"/>
      <c r="O8" s="181" t="s">
        <v>44</v>
      </c>
      <c r="P8" s="181"/>
      <c r="Q8" s="180" t="s">
        <v>45</v>
      </c>
      <c r="R8" s="180"/>
      <c r="S8" s="179" t="s">
        <v>44</v>
      </c>
      <c r="T8" s="179"/>
      <c r="U8" s="180" t="s">
        <v>45</v>
      </c>
      <c r="V8" s="180"/>
      <c r="W8" s="172"/>
      <c r="X8" s="172"/>
      <c r="Y8" s="177"/>
      <c r="AA8" s="182" t="s">
        <v>46</v>
      </c>
      <c r="AB8" s="182"/>
      <c r="AC8" s="182"/>
      <c r="AD8" s="182"/>
    </row>
    <row r="9" spans="1:31" ht="18" customHeight="1">
      <c r="A9" s="17"/>
      <c r="B9" s="183" t="s">
        <v>47</v>
      </c>
      <c r="C9" s="183"/>
      <c r="D9" s="183" t="s">
        <v>48</v>
      </c>
      <c r="E9" s="18" t="s">
        <v>49</v>
      </c>
      <c r="F9" s="184" t="s">
        <v>50</v>
      </c>
      <c r="G9" s="184"/>
      <c r="H9" s="19">
        <v>4</v>
      </c>
      <c r="I9" s="20" t="s">
        <v>51</v>
      </c>
      <c r="J9" s="21">
        <f t="shared" ref="J9:J38" si="0">SUM(K9:V9)</f>
        <v>3</v>
      </c>
      <c r="K9" s="185">
        <v>3</v>
      </c>
      <c r="L9" s="185"/>
      <c r="M9" s="186"/>
      <c r="N9" s="186"/>
      <c r="O9" s="185"/>
      <c r="P9" s="185"/>
      <c r="Q9" s="186"/>
      <c r="R9" s="186"/>
      <c r="S9" s="185"/>
      <c r="T9" s="185"/>
      <c r="U9" s="186"/>
      <c r="V9" s="186"/>
      <c r="W9" s="19">
        <f t="shared" ref="W9:W31" si="1">SUM(K9:V9)</f>
        <v>3</v>
      </c>
      <c r="X9" s="187">
        <f>SUM(W9:W12)</f>
        <v>12</v>
      </c>
      <c r="Y9" s="188">
        <v>24</v>
      </c>
      <c r="Z9" s="17"/>
      <c r="AA9" s="22" t="s">
        <v>42</v>
      </c>
      <c r="AB9" s="23" t="s">
        <v>52</v>
      </c>
      <c r="AC9" s="23" t="s">
        <v>53</v>
      </c>
      <c r="AD9" s="24" t="s">
        <v>54</v>
      </c>
    </row>
    <row r="10" spans="1:31" ht="18" customHeight="1">
      <c r="A10" s="17"/>
      <c r="B10" s="183"/>
      <c r="C10" s="183"/>
      <c r="D10" s="183"/>
      <c r="E10" s="25" t="s">
        <v>49</v>
      </c>
      <c r="F10" s="189" t="s">
        <v>55</v>
      </c>
      <c r="G10" s="189"/>
      <c r="H10" s="26">
        <v>4</v>
      </c>
      <c r="I10" s="27" t="s">
        <v>51</v>
      </c>
      <c r="J10" s="28">
        <f t="shared" si="0"/>
        <v>3</v>
      </c>
      <c r="K10" s="190"/>
      <c r="L10" s="190"/>
      <c r="M10" s="191">
        <v>3</v>
      </c>
      <c r="N10" s="191"/>
      <c r="O10" s="190"/>
      <c r="P10" s="190"/>
      <c r="Q10" s="191"/>
      <c r="R10" s="191"/>
      <c r="S10" s="190"/>
      <c r="T10" s="190"/>
      <c r="U10" s="191"/>
      <c r="V10" s="191"/>
      <c r="W10" s="26">
        <f t="shared" si="1"/>
        <v>3</v>
      </c>
      <c r="X10" s="187"/>
      <c r="Y10" s="188"/>
      <c r="Z10" s="17"/>
      <c r="AA10" s="29" t="s">
        <v>56</v>
      </c>
      <c r="AB10" s="30">
        <v>4</v>
      </c>
      <c r="AC10" s="30">
        <v>-1</v>
      </c>
      <c r="AD10" s="7" t="s">
        <v>51</v>
      </c>
    </row>
    <row r="11" spans="1:31" ht="18" customHeight="1">
      <c r="A11" s="17"/>
      <c r="B11" s="183"/>
      <c r="C11" s="183"/>
      <c r="D11" s="183"/>
      <c r="E11" s="25" t="s">
        <v>57</v>
      </c>
      <c r="F11" s="189" t="s">
        <v>58</v>
      </c>
      <c r="G11" s="189"/>
      <c r="H11" s="26">
        <v>4</v>
      </c>
      <c r="I11" s="27" t="s">
        <v>59</v>
      </c>
      <c r="J11" s="28">
        <f t="shared" si="0"/>
        <v>3</v>
      </c>
      <c r="K11" s="190"/>
      <c r="L11" s="190"/>
      <c r="M11" s="191"/>
      <c r="N11" s="191"/>
      <c r="O11" s="190">
        <v>3</v>
      </c>
      <c r="P11" s="190"/>
      <c r="Q11" s="191"/>
      <c r="R11" s="191"/>
      <c r="S11" s="190"/>
      <c r="T11" s="190"/>
      <c r="U11" s="191"/>
      <c r="V11" s="191"/>
      <c r="W11" s="26">
        <f t="shared" si="1"/>
        <v>3</v>
      </c>
      <c r="X11" s="187"/>
      <c r="Y11" s="188"/>
      <c r="Z11" s="17"/>
      <c r="AA11" s="29" t="s">
        <v>60</v>
      </c>
      <c r="AB11" s="30">
        <v>3</v>
      </c>
      <c r="AC11" s="30"/>
      <c r="AD11" s="7">
        <v>3</v>
      </c>
    </row>
    <row r="12" spans="1:31" ht="18" customHeight="1">
      <c r="A12" s="17"/>
      <c r="B12" s="183"/>
      <c r="C12" s="183"/>
      <c r="D12" s="183"/>
      <c r="E12" s="31" t="s">
        <v>61</v>
      </c>
      <c r="F12" s="192" t="s">
        <v>62</v>
      </c>
      <c r="G12" s="192"/>
      <c r="H12" s="32">
        <v>4</v>
      </c>
      <c r="I12" s="33" t="s">
        <v>59</v>
      </c>
      <c r="J12" s="34">
        <f t="shared" si="0"/>
        <v>3</v>
      </c>
      <c r="K12" s="193"/>
      <c r="L12" s="193"/>
      <c r="M12" s="194"/>
      <c r="N12" s="194"/>
      <c r="O12" s="193"/>
      <c r="P12" s="193"/>
      <c r="Q12" s="194">
        <v>3</v>
      </c>
      <c r="R12" s="194"/>
      <c r="S12" s="193"/>
      <c r="T12" s="193"/>
      <c r="U12" s="194"/>
      <c r="V12" s="194"/>
      <c r="W12" s="32">
        <f t="shared" si="1"/>
        <v>3</v>
      </c>
      <c r="X12" s="187"/>
      <c r="Y12" s="188"/>
      <c r="Z12" s="17"/>
      <c r="AA12" s="29" t="s">
        <v>63</v>
      </c>
      <c r="AB12" s="30">
        <v>4</v>
      </c>
      <c r="AC12" s="30" t="s">
        <v>64</v>
      </c>
      <c r="AD12" s="7" t="s">
        <v>59</v>
      </c>
    </row>
    <row r="13" spans="1:31" ht="18" customHeight="1">
      <c r="A13" s="17"/>
      <c r="B13" s="183"/>
      <c r="C13" s="183"/>
      <c r="D13" s="183" t="s">
        <v>65</v>
      </c>
      <c r="E13" s="18" t="s">
        <v>49</v>
      </c>
      <c r="F13" s="184" t="s">
        <v>66</v>
      </c>
      <c r="G13" s="184"/>
      <c r="H13" s="19">
        <v>4</v>
      </c>
      <c r="I13" s="20" t="s">
        <v>51</v>
      </c>
      <c r="J13" s="21">
        <f t="shared" si="0"/>
        <v>3</v>
      </c>
      <c r="K13" s="185">
        <v>3</v>
      </c>
      <c r="L13" s="185"/>
      <c r="M13" s="186"/>
      <c r="N13" s="186"/>
      <c r="O13" s="185"/>
      <c r="P13" s="185"/>
      <c r="Q13" s="186"/>
      <c r="R13" s="186"/>
      <c r="S13" s="185"/>
      <c r="T13" s="185"/>
      <c r="U13" s="186"/>
      <c r="V13" s="186"/>
      <c r="W13" s="19">
        <f t="shared" si="1"/>
        <v>3</v>
      </c>
      <c r="X13" s="187">
        <f>SUM(W13:W16)</f>
        <v>12</v>
      </c>
      <c r="Y13" s="188"/>
      <c r="Z13" s="17"/>
      <c r="AA13" s="29" t="s">
        <v>67</v>
      </c>
      <c r="AB13" s="30">
        <v>3</v>
      </c>
      <c r="AC13" s="30" t="s">
        <v>64</v>
      </c>
      <c r="AD13" s="7" t="s">
        <v>68</v>
      </c>
    </row>
    <row r="14" spans="1:31" ht="18" customHeight="1">
      <c r="A14" s="17"/>
      <c r="B14" s="183"/>
      <c r="C14" s="183"/>
      <c r="D14" s="183"/>
      <c r="E14" s="25" t="s">
        <v>49</v>
      </c>
      <c r="F14" s="189" t="s">
        <v>69</v>
      </c>
      <c r="G14" s="189"/>
      <c r="H14" s="26">
        <v>4</v>
      </c>
      <c r="I14" s="27" t="s">
        <v>51</v>
      </c>
      <c r="J14" s="28">
        <f t="shared" si="0"/>
        <v>3</v>
      </c>
      <c r="K14" s="190"/>
      <c r="L14" s="190"/>
      <c r="M14" s="191">
        <v>3</v>
      </c>
      <c r="N14" s="191"/>
      <c r="O14" s="190"/>
      <c r="P14" s="190"/>
      <c r="Q14" s="191"/>
      <c r="R14" s="191"/>
      <c r="S14" s="190"/>
      <c r="T14" s="190"/>
      <c r="U14" s="191"/>
      <c r="V14" s="191"/>
      <c r="W14" s="26">
        <f t="shared" si="1"/>
        <v>3</v>
      </c>
      <c r="X14" s="187"/>
      <c r="Y14" s="188"/>
      <c r="Z14" s="17"/>
      <c r="AA14" s="35" t="s">
        <v>70</v>
      </c>
      <c r="AB14" s="195" t="s">
        <v>71</v>
      </c>
      <c r="AC14" s="195"/>
      <c r="AD14" s="195"/>
    </row>
    <row r="15" spans="1:31" ht="18" customHeight="1">
      <c r="A15" s="17"/>
      <c r="B15" s="183"/>
      <c r="C15" s="183"/>
      <c r="D15" s="183"/>
      <c r="E15" s="25" t="s">
        <v>72</v>
      </c>
      <c r="F15" s="189" t="s">
        <v>73</v>
      </c>
      <c r="G15" s="189"/>
      <c r="H15" s="26">
        <v>4</v>
      </c>
      <c r="I15" s="27" t="s">
        <v>59</v>
      </c>
      <c r="J15" s="28">
        <f t="shared" si="0"/>
        <v>3</v>
      </c>
      <c r="K15" s="190"/>
      <c r="L15" s="190"/>
      <c r="M15" s="191"/>
      <c r="N15" s="191"/>
      <c r="O15" s="190">
        <v>3</v>
      </c>
      <c r="P15" s="190"/>
      <c r="Q15" s="191"/>
      <c r="R15" s="191"/>
      <c r="S15" s="190"/>
      <c r="T15" s="190"/>
      <c r="U15" s="191"/>
      <c r="V15" s="191"/>
      <c r="W15" s="26">
        <f t="shared" si="1"/>
        <v>3</v>
      </c>
      <c r="X15" s="187"/>
      <c r="Y15" s="188"/>
      <c r="Z15" s="17"/>
      <c r="AA15" s="17"/>
      <c r="AB15" s="17"/>
      <c r="AC15" s="17"/>
      <c r="AD15" s="17"/>
      <c r="AE15" s="17"/>
    </row>
    <row r="16" spans="1:31" ht="18" customHeight="1">
      <c r="A16" s="17"/>
      <c r="B16" s="183"/>
      <c r="C16" s="183"/>
      <c r="D16" s="183"/>
      <c r="E16" s="31" t="s">
        <v>61</v>
      </c>
      <c r="F16" s="192" t="s">
        <v>74</v>
      </c>
      <c r="G16" s="192"/>
      <c r="H16" s="32">
        <v>4</v>
      </c>
      <c r="I16" s="33" t="s">
        <v>59</v>
      </c>
      <c r="J16" s="34">
        <f t="shared" si="0"/>
        <v>3</v>
      </c>
      <c r="K16" s="193"/>
      <c r="L16" s="193"/>
      <c r="M16" s="194"/>
      <c r="N16" s="194"/>
      <c r="O16" s="193"/>
      <c r="P16" s="193"/>
      <c r="Q16" s="194">
        <v>3</v>
      </c>
      <c r="R16" s="194"/>
      <c r="S16" s="193"/>
      <c r="T16" s="193"/>
      <c r="U16" s="194"/>
      <c r="V16" s="194"/>
      <c r="W16" s="32">
        <f t="shared" si="1"/>
        <v>3</v>
      </c>
      <c r="X16" s="187"/>
      <c r="Y16" s="188"/>
      <c r="Z16" s="17"/>
      <c r="AA16" s="17"/>
      <c r="AB16" s="17"/>
      <c r="AC16" s="17"/>
      <c r="AD16" s="17"/>
      <c r="AE16" s="17"/>
    </row>
    <row r="17" spans="1:31" ht="18" customHeight="1">
      <c r="A17" s="17"/>
      <c r="B17" s="183"/>
      <c r="C17" s="183"/>
      <c r="D17" s="183" t="s">
        <v>75</v>
      </c>
      <c r="E17" s="18" t="s">
        <v>49</v>
      </c>
      <c r="F17" s="184" t="s">
        <v>76</v>
      </c>
      <c r="G17" s="184"/>
      <c r="H17" s="19">
        <v>4</v>
      </c>
      <c r="I17" s="20" t="s">
        <v>51</v>
      </c>
      <c r="J17" s="21">
        <f t="shared" si="0"/>
        <v>3</v>
      </c>
      <c r="K17" s="185">
        <v>3</v>
      </c>
      <c r="L17" s="185"/>
      <c r="M17" s="186"/>
      <c r="N17" s="186"/>
      <c r="O17" s="185"/>
      <c r="P17" s="185"/>
      <c r="Q17" s="186"/>
      <c r="R17" s="186"/>
      <c r="S17" s="185"/>
      <c r="T17" s="185"/>
      <c r="U17" s="186"/>
      <c r="V17" s="186"/>
      <c r="W17" s="19">
        <f t="shared" si="1"/>
        <v>3</v>
      </c>
      <c r="X17" s="187">
        <f>SUM(W17:W20)</f>
        <v>12</v>
      </c>
      <c r="Y17" s="188"/>
      <c r="Z17" s="17"/>
      <c r="AA17" s="36"/>
      <c r="AB17" s="17"/>
      <c r="AC17" s="17"/>
      <c r="AD17" s="17"/>
      <c r="AE17" s="17"/>
    </row>
    <row r="18" spans="1:31" ht="18" customHeight="1">
      <c r="A18" s="17"/>
      <c r="B18" s="183"/>
      <c r="C18" s="183"/>
      <c r="D18" s="183"/>
      <c r="E18" s="25" t="s">
        <v>49</v>
      </c>
      <c r="F18" s="189" t="s">
        <v>77</v>
      </c>
      <c r="G18" s="189"/>
      <c r="H18" s="26">
        <v>4</v>
      </c>
      <c r="I18" s="27" t="s">
        <v>51</v>
      </c>
      <c r="J18" s="28">
        <f t="shared" si="0"/>
        <v>3</v>
      </c>
      <c r="K18" s="190"/>
      <c r="L18" s="190"/>
      <c r="M18" s="191">
        <v>3</v>
      </c>
      <c r="N18" s="191"/>
      <c r="O18" s="190"/>
      <c r="P18" s="190"/>
      <c r="Q18" s="191"/>
      <c r="R18" s="191"/>
      <c r="S18" s="190"/>
      <c r="T18" s="190"/>
      <c r="U18" s="191"/>
      <c r="V18" s="191"/>
      <c r="W18" s="26">
        <f t="shared" si="1"/>
        <v>3</v>
      </c>
      <c r="X18" s="187"/>
      <c r="Y18" s="188"/>
      <c r="Z18" s="17"/>
      <c r="AA18" s="37"/>
      <c r="AB18" s="17"/>
      <c r="AC18" s="17"/>
      <c r="AD18" s="17"/>
      <c r="AE18" s="17"/>
    </row>
    <row r="19" spans="1:31" ht="18" customHeight="1">
      <c r="A19" s="17"/>
      <c r="B19" s="183"/>
      <c r="C19" s="183"/>
      <c r="D19" s="183"/>
      <c r="E19" s="25" t="s">
        <v>72</v>
      </c>
      <c r="F19" s="189" t="s">
        <v>78</v>
      </c>
      <c r="G19" s="189"/>
      <c r="H19" s="26">
        <v>4</v>
      </c>
      <c r="I19" s="27" t="s">
        <v>59</v>
      </c>
      <c r="J19" s="28">
        <f t="shared" si="0"/>
        <v>3</v>
      </c>
      <c r="K19" s="190"/>
      <c r="L19" s="190"/>
      <c r="M19" s="191"/>
      <c r="N19" s="191"/>
      <c r="O19" s="190">
        <v>3</v>
      </c>
      <c r="P19" s="190"/>
      <c r="Q19" s="191"/>
      <c r="R19" s="191"/>
      <c r="S19" s="190"/>
      <c r="T19" s="190"/>
      <c r="U19" s="191"/>
      <c r="V19" s="191"/>
      <c r="W19" s="26">
        <f t="shared" si="1"/>
        <v>3</v>
      </c>
      <c r="X19" s="187"/>
      <c r="Y19" s="188"/>
      <c r="Z19" s="17"/>
      <c r="AA19" s="37"/>
      <c r="AB19" s="17"/>
      <c r="AC19" s="17"/>
      <c r="AD19" s="17"/>
      <c r="AE19" s="17"/>
    </row>
    <row r="20" spans="1:31" ht="18" customHeight="1">
      <c r="A20" s="17"/>
      <c r="B20" s="183"/>
      <c r="C20" s="183"/>
      <c r="D20" s="183"/>
      <c r="E20" s="31" t="s">
        <v>61</v>
      </c>
      <c r="F20" s="192" t="s">
        <v>79</v>
      </c>
      <c r="G20" s="192"/>
      <c r="H20" s="32">
        <v>4</v>
      </c>
      <c r="I20" s="33" t="s">
        <v>59</v>
      </c>
      <c r="J20" s="34">
        <f t="shared" si="0"/>
        <v>3</v>
      </c>
      <c r="K20" s="193"/>
      <c r="L20" s="193"/>
      <c r="M20" s="194"/>
      <c r="N20" s="194"/>
      <c r="O20" s="193"/>
      <c r="P20" s="193"/>
      <c r="Q20" s="194">
        <v>3</v>
      </c>
      <c r="R20" s="194"/>
      <c r="S20" s="193"/>
      <c r="T20" s="193"/>
      <c r="U20" s="194"/>
      <c r="V20" s="194"/>
      <c r="W20" s="32">
        <f t="shared" si="1"/>
        <v>3</v>
      </c>
      <c r="X20" s="187"/>
      <c r="Y20" s="188"/>
      <c r="Z20" s="17"/>
      <c r="AA20" s="37"/>
      <c r="AB20" s="17"/>
      <c r="AC20" s="17"/>
      <c r="AD20" s="17"/>
      <c r="AE20" s="17"/>
    </row>
    <row r="21" spans="1:31" ht="18" customHeight="1">
      <c r="A21" s="17"/>
      <c r="B21" s="183"/>
      <c r="C21" s="183"/>
      <c r="D21" s="183" t="s">
        <v>80</v>
      </c>
      <c r="E21" s="18" t="s">
        <v>49</v>
      </c>
      <c r="F21" s="184" t="s">
        <v>81</v>
      </c>
      <c r="G21" s="184"/>
      <c r="H21" s="19">
        <v>3</v>
      </c>
      <c r="I21" s="20" t="s">
        <v>82</v>
      </c>
      <c r="J21" s="21">
        <f t="shared" si="0"/>
        <v>3</v>
      </c>
      <c r="K21" s="185"/>
      <c r="L21" s="185"/>
      <c r="M21" s="186"/>
      <c r="N21" s="186"/>
      <c r="O21" s="185">
        <v>3</v>
      </c>
      <c r="P21" s="185"/>
      <c r="Q21" s="186"/>
      <c r="R21" s="186"/>
      <c r="S21" s="185"/>
      <c r="T21" s="185"/>
      <c r="U21" s="186"/>
      <c r="V21" s="186"/>
      <c r="W21" s="19">
        <f t="shared" si="1"/>
        <v>3</v>
      </c>
      <c r="X21" s="187">
        <f>SUM(W21:W22)</f>
        <v>6</v>
      </c>
      <c r="Y21" s="188">
        <v>6</v>
      </c>
      <c r="Z21" s="17"/>
      <c r="AA21" s="37"/>
      <c r="AB21" s="17"/>
      <c r="AC21" s="17"/>
      <c r="AD21" s="17"/>
      <c r="AE21" s="17"/>
    </row>
    <row r="22" spans="1:31" ht="18" customHeight="1">
      <c r="A22" s="17"/>
      <c r="B22" s="183"/>
      <c r="C22" s="183"/>
      <c r="D22" s="183"/>
      <c r="E22" s="25" t="s">
        <v>49</v>
      </c>
      <c r="F22" s="189" t="s">
        <v>83</v>
      </c>
      <c r="G22" s="189"/>
      <c r="H22" s="26">
        <v>3</v>
      </c>
      <c r="I22" s="27" t="s">
        <v>82</v>
      </c>
      <c r="J22" s="28">
        <f t="shared" si="0"/>
        <v>3</v>
      </c>
      <c r="K22" s="190"/>
      <c r="L22" s="190"/>
      <c r="M22" s="191"/>
      <c r="N22" s="191"/>
      <c r="O22" s="190"/>
      <c r="P22" s="190"/>
      <c r="Q22" s="191">
        <v>3</v>
      </c>
      <c r="R22" s="191"/>
      <c r="S22" s="190"/>
      <c r="T22" s="190"/>
      <c r="U22" s="191"/>
      <c r="V22" s="191"/>
      <c r="W22" s="26">
        <f t="shared" si="1"/>
        <v>3</v>
      </c>
      <c r="X22" s="187"/>
      <c r="Y22" s="188"/>
      <c r="Z22" s="17"/>
      <c r="AA22" s="37"/>
      <c r="AB22" s="17"/>
      <c r="AC22" s="17"/>
      <c r="AD22" s="17"/>
      <c r="AE22" s="17"/>
    </row>
    <row r="23" spans="1:31" ht="18" customHeight="1">
      <c r="A23" s="17"/>
      <c r="B23" s="183"/>
      <c r="C23" s="183"/>
      <c r="D23" s="183"/>
      <c r="E23" s="25" t="s">
        <v>49</v>
      </c>
      <c r="F23" s="189" t="s">
        <v>84</v>
      </c>
      <c r="G23" s="189"/>
      <c r="H23" s="26">
        <v>4</v>
      </c>
      <c r="I23" s="27" t="s">
        <v>51</v>
      </c>
      <c r="J23" s="28">
        <f t="shared" si="0"/>
        <v>3</v>
      </c>
      <c r="K23" s="190">
        <v>3</v>
      </c>
      <c r="L23" s="190"/>
      <c r="M23" s="191"/>
      <c r="N23" s="191"/>
      <c r="O23" s="190"/>
      <c r="P23" s="190"/>
      <c r="Q23" s="191"/>
      <c r="R23" s="191"/>
      <c r="S23" s="190"/>
      <c r="T23" s="190"/>
      <c r="U23" s="191"/>
      <c r="V23" s="191"/>
      <c r="W23" s="26">
        <f t="shared" si="1"/>
        <v>3</v>
      </c>
      <c r="X23" s="196">
        <f>SUM(W23:W24)</f>
        <v>6</v>
      </c>
      <c r="Y23" s="197">
        <v>12</v>
      </c>
      <c r="Z23" s="17"/>
      <c r="AA23" s="17"/>
      <c r="AB23" s="17"/>
      <c r="AC23" s="17"/>
      <c r="AD23" s="17"/>
      <c r="AE23" s="17"/>
    </row>
    <row r="24" spans="1:31" ht="18" customHeight="1">
      <c r="A24" s="17"/>
      <c r="B24" s="183"/>
      <c r="C24" s="183"/>
      <c r="D24" s="183"/>
      <c r="E24" s="31" t="s">
        <v>49</v>
      </c>
      <c r="F24" s="192" t="s">
        <v>85</v>
      </c>
      <c r="G24" s="192"/>
      <c r="H24" s="32">
        <v>4</v>
      </c>
      <c r="I24" s="33" t="s">
        <v>51</v>
      </c>
      <c r="J24" s="34">
        <f t="shared" si="0"/>
        <v>3</v>
      </c>
      <c r="K24" s="193"/>
      <c r="L24" s="193"/>
      <c r="M24" s="194">
        <v>3</v>
      </c>
      <c r="N24" s="194"/>
      <c r="O24" s="193"/>
      <c r="P24" s="193"/>
      <c r="Q24" s="194"/>
      <c r="R24" s="194"/>
      <c r="S24" s="193"/>
      <c r="T24" s="193"/>
      <c r="U24" s="194"/>
      <c r="V24" s="194"/>
      <c r="W24" s="32">
        <f t="shared" si="1"/>
        <v>3</v>
      </c>
      <c r="X24" s="196"/>
      <c r="Y24" s="197"/>
      <c r="Z24" s="17"/>
      <c r="AA24" s="17"/>
      <c r="AB24" s="17"/>
      <c r="AC24" s="17"/>
      <c r="AD24" s="17"/>
      <c r="AE24" s="17"/>
    </row>
    <row r="25" spans="1:31" ht="18" customHeight="1">
      <c r="A25" s="17"/>
      <c r="B25" s="183"/>
      <c r="C25" s="183"/>
      <c r="D25" s="183" t="s">
        <v>86</v>
      </c>
      <c r="E25" s="18" t="s">
        <v>49</v>
      </c>
      <c r="F25" s="184" t="s">
        <v>87</v>
      </c>
      <c r="G25" s="184"/>
      <c r="H25" s="19">
        <v>4</v>
      </c>
      <c r="I25" s="20" t="s">
        <v>51</v>
      </c>
      <c r="J25" s="21">
        <f t="shared" si="0"/>
        <v>3</v>
      </c>
      <c r="K25" s="185">
        <v>3</v>
      </c>
      <c r="L25" s="185"/>
      <c r="M25" s="186"/>
      <c r="N25" s="186"/>
      <c r="O25" s="185"/>
      <c r="P25" s="185"/>
      <c r="Q25" s="186"/>
      <c r="R25" s="186"/>
      <c r="S25" s="185"/>
      <c r="T25" s="185"/>
      <c r="U25" s="186"/>
      <c r="V25" s="186"/>
      <c r="W25" s="19">
        <f t="shared" si="1"/>
        <v>3</v>
      </c>
      <c r="X25" s="187">
        <f>SUM(W25:W26)</f>
        <v>6</v>
      </c>
      <c r="Y25" s="197"/>
      <c r="Z25" s="17"/>
      <c r="AA25" s="17"/>
      <c r="AB25" s="17"/>
      <c r="AC25" s="17"/>
      <c r="AD25" s="17"/>
      <c r="AE25" s="17"/>
    </row>
    <row r="26" spans="1:31" ht="18" customHeight="1">
      <c r="A26" s="17"/>
      <c r="B26" s="183"/>
      <c r="C26" s="183"/>
      <c r="D26" s="183"/>
      <c r="E26" s="31" t="s">
        <v>49</v>
      </c>
      <c r="F26" s="192" t="s">
        <v>88</v>
      </c>
      <c r="G26" s="192"/>
      <c r="H26" s="32">
        <v>4</v>
      </c>
      <c r="I26" s="33" t="s">
        <v>51</v>
      </c>
      <c r="J26" s="34">
        <f t="shared" si="0"/>
        <v>3</v>
      </c>
      <c r="K26" s="193"/>
      <c r="L26" s="193"/>
      <c r="M26" s="194">
        <v>3</v>
      </c>
      <c r="N26" s="194"/>
      <c r="O26" s="193"/>
      <c r="P26" s="193"/>
      <c r="Q26" s="194"/>
      <c r="R26" s="194"/>
      <c r="S26" s="193"/>
      <c r="T26" s="193"/>
      <c r="U26" s="194"/>
      <c r="V26" s="194"/>
      <c r="W26" s="32">
        <f t="shared" si="1"/>
        <v>3</v>
      </c>
      <c r="X26" s="187"/>
      <c r="Y26" s="197"/>
      <c r="Z26" s="17"/>
      <c r="AA26" s="17"/>
      <c r="AB26" s="17"/>
      <c r="AC26" s="17"/>
      <c r="AD26" s="17"/>
      <c r="AE26" s="17"/>
    </row>
    <row r="27" spans="1:31" ht="18" customHeight="1">
      <c r="A27" s="17"/>
      <c r="B27" s="183"/>
      <c r="C27" s="183"/>
      <c r="D27" s="183" t="s">
        <v>89</v>
      </c>
      <c r="E27" s="18" t="s">
        <v>57</v>
      </c>
      <c r="F27" s="184" t="s">
        <v>90</v>
      </c>
      <c r="G27" s="184"/>
      <c r="H27" s="19">
        <v>3</v>
      </c>
      <c r="I27" s="20" t="s">
        <v>68</v>
      </c>
      <c r="J27" s="21">
        <f t="shared" si="0"/>
        <v>2</v>
      </c>
      <c r="K27" s="185">
        <v>2</v>
      </c>
      <c r="L27" s="185"/>
      <c r="M27" s="186"/>
      <c r="N27" s="186"/>
      <c r="O27" s="185"/>
      <c r="P27" s="185"/>
      <c r="Q27" s="186"/>
      <c r="R27" s="186"/>
      <c r="S27" s="185"/>
      <c r="T27" s="185"/>
      <c r="U27" s="186"/>
      <c r="V27" s="186"/>
      <c r="W27" s="19">
        <f t="shared" si="1"/>
        <v>2</v>
      </c>
      <c r="X27" s="187">
        <f>SUM(W27:W31)</f>
        <v>10</v>
      </c>
      <c r="Y27" s="188">
        <v>8</v>
      </c>
      <c r="Z27" s="17"/>
      <c r="AA27" s="17"/>
      <c r="AB27" s="17"/>
      <c r="AC27" s="17"/>
      <c r="AD27" s="17"/>
      <c r="AE27" s="17"/>
    </row>
    <row r="28" spans="1:31" ht="18" customHeight="1">
      <c r="A28" s="17"/>
      <c r="B28" s="183"/>
      <c r="C28" s="183"/>
      <c r="D28" s="183"/>
      <c r="E28" s="25" t="s">
        <v>57</v>
      </c>
      <c r="F28" s="189" t="s">
        <v>91</v>
      </c>
      <c r="G28" s="189"/>
      <c r="H28" s="26">
        <v>3</v>
      </c>
      <c r="I28" s="27" t="s">
        <v>68</v>
      </c>
      <c r="J28" s="28">
        <f t="shared" si="0"/>
        <v>2</v>
      </c>
      <c r="K28" s="190"/>
      <c r="L28" s="190"/>
      <c r="M28" s="191">
        <v>2</v>
      </c>
      <c r="N28" s="191"/>
      <c r="O28" s="190"/>
      <c r="P28" s="190"/>
      <c r="Q28" s="191"/>
      <c r="R28" s="191"/>
      <c r="S28" s="190"/>
      <c r="T28" s="190"/>
      <c r="U28" s="191"/>
      <c r="V28" s="191"/>
      <c r="W28" s="26">
        <f t="shared" si="1"/>
        <v>2</v>
      </c>
      <c r="X28" s="187"/>
      <c r="Y28" s="188"/>
      <c r="Z28" s="17"/>
      <c r="AA28" s="17"/>
      <c r="AB28" s="17"/>
      <c r="AC28" s="17"/>
      <c r="AD28" s="17"/>
      <c r="AE28" s="17"/>
    </row>
    <row r="29" spans="1:31" ht="18" customHeight="1">
      <c r="A29" s="17"/>
      <c r="B29" s="183"/>
      <c r="C29" s="183"/>
      <c r="D29" s="183"/>
      <c r="E29" s="25" t="s">
        <v>72</v>
      </c>
      <c r="F29" s="189" t="s">
        <v>92</v>
      </c>
      <c r="G29" s="189"/>
      <c r="H29" s="26">
        <v>3</v>
      </c>
      <c r="I29" s="27" t="s">
        <v>68</v>
      </c>
      <c r="J29" s="28">
        <f t="shared" si="0"/>
        <v>2</v>
      </c>
      <c r="K29" s="190"/>
      <c r="L29" s="190"/>
      <c r="M29" s="191"/>
      <c r="N29" s="191"/>
      <c r="O29" s="190">
        <v>2</v>
      </c>
      <c r="P29" s="190"/>
      <c r="Q29" s="191"/>
      <c r="R29" s="191"/>
      <c r="S29" s="190"/>
      <c r="T29" s="190"/>
      <c r="U29" s="191"/>
      <c r="V29" s="191"/>
      <c r="W29" s="26">
        <f t="shared" si="1"/>
        <v>2</v>
      </c>
      <c r="X29" s="187"/>
      <c r="Y29" s="188"/>
      <c r="Z29" s="17"/>
      <c r="AA29" s="17"/>
      <c r="AB29" s="17"/>
      <c r="AC29" s="17"/>
      <c r="AD29" s="17"/>
      <c r="AE29" s="17"/>
    </row>
    <row r="30" spans="1:31" ht="18" customHeight="1">
      <c r="A30" s="17"/>
      <c r="B30" s="183"/>
      <c r="C30" s="183"/>
      <c r="D30" s="183"/>
      <c r="E30" s="25" t="s">
        <v>72</v>
      </c>
      <c r="F30" s="189" t="s">
        <v>93</v>
      </c>
      <c r="G30" s="189"/>
      <c r="H30" s="26">
        <v>3</v>
      </c>
      <c r="I30" s="27" t="s">
        <v>68</v>
      </c>
      <c r="J30" s="28">
        <f t="shared" si="0"/>
        <v>2</v>
      </c>
      <c r="K30" s="190"/>
      <c r="L30" s="190"/>
      <c r="M30" s="191"/>
      <c r="N30" s="191"/>
      <c r="O30" s="190"/>
      <c r="P30" s="190"/>
      <c r="Q30" s="191">
        <v>2</v>
      </c>
      <c r="R30" s="191"/>
      <c r="S30" s="190"/>
      <c r="T30" s="190"/>
      <c r="U30" s="191"/>
      <c r="V30" s="191"/>
      <c r="W30" s="26">
        <f t="shared" si="1"/>
        <v>2</v>
      </c>
      <c r="X30" s="187"/>
      <c r="Y30" s="188"/>
      <c r="Z30" s="17"/>
      <c r="AA30" s="17"/>
      <c r="AB30" s="17"/>
      <c r="AC30" s="17"/>
      <c r="AD30" s="17"/>
      <c r="AE30" s="17"/>
    </row>
    <row r="31" spans="1:31" ht="18" customHeight="1">
      <c r="A31" s="17"/>
      <c r="B31" s="183"/>
      <c r="C31" s="183"/>
      <c r="D31" s="183"/>
      <c r="E31" s="31" t="s">
        <v>61</v>
      </c>
      <c r="F31" s="192" t="s">
        <v>94</v>
      </c>
      <c r="G31" s="192"/>
      <c r="H31" s="32">
        <v>2</v>
      </c>
      <c r="I31" s="33" t="s">
        <v>95</v>
      </c>
      <c r="J31" s="34">
        <f t="shared" si="0"/>
        <v>2</v>
      </c>
      <c r="K31" s="193"/>
      <c r="L31" s="193"/>
      <c r="M31" s="194"/>
      <c r="N31" s="194"/>
      <c r="O31" s="193"/>
      <c r="P31" s="193"/>
      <c r="Q31" s="194"/>
      <c r="R31" s="194"/>
      <c r="S31" s="193">
        <v>2</v>
      </c>
      <c r="T31" s="193"/>
      <c r="U31" s="194"/>
      <c r="V31" s="194"/>
      <c r="W31" s="32">
        <f t="shared" si="1"/>
        <v>2</v>
      </c>
      <c r="X31" s="187"/>
      <c r="Y31" s="188"/>
      <c r="Z31" s="17"/>
      <c r="AA31" s="17"/>
      <c r="AB31" s="17"/>
      <c r="AC31" s="17"/>
      <c r="AD31" s="17"/>
      <c r="AE31" s="17"/>
    </row>
    <row r="32" spans="1:31" ht="18" customHeight="1">
      <c r="A32" s="17"/>
      <c r="B32" s="183"/>
      <c r="C32" s="183"/>
      <c r="D32" s="183" t="s">
        <v>96</v>
      </c>
      <c r="E32" s="18" t="s">
        <v>57</v>
      </c>
      <c r="F32" s="184" t="s">
        <v>97</v>
      </c>
      <c r="G32" s="184"/>
      <c r="H32" s="19">
        <v>3</v>
      </c>
      <c r="I32" s="20" t="s">
        <v>68</v>
      </c>
      <c r="J32" s="21">
        <f t="shared" si="0"/>
        <v>2</v>
      </c>
      <c r="K32" s="185">
        <v>2</v>
      </c>
      <c r="L32" s="185"/>
      <c r="M32" s="186"/>
      <c r="N32" s="186"/>
      <c r="O32" s="185"/>
      <c r="P32" s="185"/>
      <c r="Q32" s="186"/>
      <c r="R32" s="186"/>
      <c r="S32" s="185"/>
      <c r="T32" s="185"/>
      <c r="U32" s="186"/>
      <c r="V32" s="186"/>
      <c r="W32" s="198">
        <f>SUM(K32:V35)</f>
        <v>8</v>
      </c>
      <c r="X32" s="198"/>
      <c r="Y32" s="188">
        <v>6</v>
      </c>
      <c r="Z32" s="17"/>
      <c r="AA32" s="17"/>
      <c r="AB32" s="17"/>
      <c r="AC32" s="17"/>
      <c r="AD32" s="17"/>
      <c r="AE32" s="17"/>
    </row>
    <row r="33" spans="1:31" ht="18" customHeight="1">
      <c r="A33" s="17"/>
      <c r="B33" s="183"/>
      <c r="C33" s="183"/>
      <c r="D33" s="183"/>
      <c r="E33" s="25" t="s">
        <v>61</v>
      </c>
      <c r="F33" s="189" t="s">
        <v>98</v>
      </c>
      <c r="G33" s="189"/>
      <c r="H33" s="26">
        <v>3</v>
      </c>
      <c r="I33" s="27" t="s">
        <v>68</v>
      </c>
      <c r="J33" s="28">
        <f t="shared" si="0"/>
        <v>2</v>
      </c>
      <c r="K33" s="190"/>
      <c r="L33" s="190"/>
      <c r="M33" s="191">
        <v>2</v>
      </c>
      <c r="N33" s="191"/>
      <c r="O33" s="190"/>
      <c r="P33" s="190"/>
      <c r="Q33" s="191"/>
      <c r="R33" s="191"/>
      <c r="S33" s="190"/>
      <c r="T33" s="190"/>
      <c r="U33" s="191"/>
      <c r="V33" s="191"/>
      <c r="W33" s="198"/>
      <c r="X33" s="198"/>
      <c r="Y33" s="188"/>
      <c r="Z33" s="17"/>
      <c r="AA33" s="17"/>
      <c r="AB33" s="17"/>
      <c r="AC33" s="17"/>
      <c r="AD33" s="17"/>
      <c r="AE33" s="17"/>
    </row>
    <row r="34" spans="1:31" ht="18" customHeight="1">
      <c r="A34" s="17"/>
      <c r="B34" s="183"/>
      <c r="C34" s="183"/>
      <c r="D34" s="183"/>
      <c r="E34" s="25" t="s">
        <v>57</v>
      </c>
      <c r="F34" s="189" t="s">
        <v>99</v>
      </c>
      <c r="G34" s="189"/>
      <c r="H34" s="26">
        <v>3</v>
      </c>
      <c r="I34" s="27" t="s">
        <v>68</v>
      </c>
      <c r="J34" s="28">
        <f t="shared" si="0"/>
        <v>2</v>
      </c>
      <c r="K34" s="190">
        <v>2</v>
      </c>
      <c r="L34" s="190"/>
      <c r="M34" s="191"/>
      <c r="N34" s="191"/>
      <c r="O34" s="190"/>
      <c r="P34" s="190"/>
      <c r="Q34" s="191"/>
      <c r="R34" s="191"/>
      <c r="S34" s="190"/>
      <c r="T34" s="190"/>
      <c r="U34" s="191"/>
      <c r="V34" s="191"/>
      <c r="W34" s="198"/>
      <c r="X34" s="198"/>
      <c r="Y34" s="188"/>
      <c r="Z34" s="17"/>
      <c r="AA34" s="17"/>
      <c r="AB34" s="17"/>
      <c r="AC34" s="17"/>
      <c r="AD34" s="17"/>
      <c r="AE34" s="17"/>
    </row>
    <row r="35" spans="1:31" ht="18" customHeight="1">
      <c r="A35" s="17"/>
      <c r="B35" s="183"/>
      <c r="C35" s="183"/>
      <c r="D35" s="183"/>
      <c r="E35" s="31" t="s">
        <v>61</v>
      </c>
      <c r="F35" s="192" t="s">
        <v>100</v>
      </c>
      <c r="G35" s="192"/>
      <c r="H35" s="32">
        <v>3</v>
      </c>
      <c r="I35" s="33" t="s">
        <v>68</v>
      </c>
      <c r="J35" s="34">
        <f t="shared" si="0"/>
        <v>2</v>
      </c>
      <c r="K35" s="193"/>
      <c r="L35" s="193"/>
      <c r="M35" s="194">
        <v>2</v>
      </c>
      <c r="N35" s="194"/>
      <c r="O35" s="193"/>
      <c r="P35" s="193"/>
      <c r="Q35" s="194"/>
      <c r="R35" s="194"/>
      <c r="S35" s="193"/>
      <c r="T35" s="193"/>
      <c r="U35" s="194"/>
      <c r="V35" s="194"/>
      <c r="W35" s="198"/>
      <c r="X35" s="198"/>
      <c r="Y35" s="188"/>
      <c r="Z35" s="17"/>
      <c r="AA35" s="17"/>
      <c r="AB35" s="17"/>
      <c r="AC35" s="17"/>
      <c r="AD35" s="17"/>
      <c r="AE35" s="17"/>
    </row>
    <row r="36" spans="1:31" ht="24" customHeight="1">
      <c r="A36" s="17"/>
      <c r="B36" s="183"/>
      <c r="C36" s="183"/>
      <c r="D36" s="199" t="s">
        <v>101</v>
      </c>
      <c r="E36" s="18" t="s">
        <v>57</v>
      </c>
      <c r="F36" s="184" t="s">
        <v>102</v>
      </c>
      <c r="G36" s="184"/>
      <c r="H36" s="19">
        <v>3</v>
      </c>
      <c r="I36" s="20" t="s">
        <v>68</v>
      </c>
      <c r="J36" s="21">
        <f t="shared" si="0"/>
        <v>3</v>
      </c>
      <c r="K36" s="185"/>
      <c r="L36" s="185"/>
      <c r="M36" s="186"/>
      <c r="N36" s="186"/>
      <c r="O36" s="185"/>
      <c r="P36" s="185"/>
      <c r="Q36" s="186">
        <v>3</v>
      </c>
      <c r="R36" s="186"/>
      <c r="S36" s="185"/>
      <c r="T36" s="185"/>
      <c r="U36" s="186"/>
      <c r="V36" s="186"/>
      <c r="W36" s="198">
        <f>SUM(K36:V38)</f>
        <v>9</v>
      </c>
      <c r="X36" s="198"/>
      <c r="Y36" s="188">
        <v>8</v>
      </c>
      <c r="Z36" s="17"/>
      <c r="AA36" s="17"/>
      <c r="AB36" s="17"/>
      <c r="AC36" s="17"/>
      <c r="AD36" s="17"/>
      <c r="AE36" s="17"/>
    </row>
    <row r="37" spans="1:31" ht="24" customHeight="1">
      <c r="A37" s="17"/>
      <c r="B37" s="183"/>
      <c r="C37" s="183"/>
      <c r="D37" s="199"/>
      <c r="E37" s="25" t="s">
        <v>57</v>
      </c>
      <c r="F37" s="189" t="s">
        <v>103</v>
      </c>
      <c r="G37" s="189"/>
      <c r="H37" s="26">
        <v>3</v>
      </c>
      <c r="I37" s="27" t="s">
        <v>68</v>
      </c>
      <c r="J37" s="28">
        <f t="shared" si="0"/>
        <v>3</v>
      </c>
      <c r="K37" s="190"/>
      <c r="L37" s="190"/>
      <c r="M37" s="191"/>
      <c r="N37" s="191"/>
      <c r="O37" s="190">
        <v>3</v>
      </c>
      <c r="P37" s="190"/>
      <c r="Q37" s="191"/>
      <c r="R37" s="191"/>
      <c r="S37" s="190"/>
      <c r="T37" s="190"/>
      <c r="U37" s="191"/>
      <c r="V37" s="191"/>
      <c r="W37" s="198"/>
      <c r="X37" s="198"/>
      <c r="Y37" s="188"/>
      <c r="Z37" s="17"/>
      <c r="AA37" s="17"/>
      <c r="AB37" s="17"/>
      <c r="AC37" s="17"/>
      <c r="AD37" s="17"/>
      <c r="AE37" s="17"/>
    </row>
    <row r="38" spans="1:31" ht="33" customHeight="1">
      <c r="A38" s="17"/>
      <c r="B38" s="183"/>
      <c r="C38" s="183"/>
      <c r="D38" s="199"/>
      <c r="E38" s="31" t="s">
        <v>104</v>
      </c>
      <c r="F38" s="200" t="s">
        <v>105</v>
      </c>
      <c r="G38" s="200"/>
      <c r="H38" s="32">
        <v>3</v>
      </c>
      <c r="I38" s="33" t="s">
        <v>68</v>
      </c>
      <c r="J38" s="34">
        <f t="shared" si="0"/>
        <v>3</v>
      </c>
      <c r="K38" s="193"/>
      <c r="L38" s="193"/>
      <c r="M38" s="194">
        <v>3</v>
      </c>
      <c r="N38" s="194"/>
      <c r="O38" s="193"/>
      <c r="P38" s="193"/>
      <c r="Q38" s="194"/>
      <c r="R38" s="194"/>
      <c r="S38" s="193"/>
      <c r="T38" s="193"/>
      <c r="U38" s="194"/>
      <c r="V38" s="194"/>
      <c r="W38" s="198"/>
      <c r="X38" s="198"/>
      <c r="Y38" s="188"/>
      <c r="Z38" s="17"/>
      <c r="AA38" s="17"/>
      <c r="AB38" s="17"/>
      <c r="AC38" s="17"/>
      <c r="AD38" s="17"/>
      <c r="AE38" s="17"/>
    </row>
    <row r="39" spans="1:31" ht="21.75" customHeight="1">
      <c r="A39" s="17"/>
      <c r="B39" s="201" t="s">
        <v>106</v>
      </c>
      <c r="C39" s="201"/>
      <c r="D39" s="201"/>
      <c r="E39" s="201"/>
      <c r="F39" s="201"/>
      <c r="G39" s="201"/>
      <c r="H39" s="48"/>
      <c r="I39" s="49"/>
      <c r="J39" s="50">
        <f>SUM(J9:J38)</f>
        <v>81</v>
      </c>
      <c r="K39" s="202">
        <f>SUM(K9:K38)</f>
        <v>21</v>
      </c>
      <c r="L39" s="202"/>
      <c r="M39" s="203">
        <f>SUM(M9:M38)</f>
        <v>24</v>
      </c>
      <c r="N39" s="203"/>
      <c r="O39" s="202">
        <f>SUM(O9:O38)</f>
        <v>17</v>
      </c>
      <c r="P39" s="202"/>
      <c r="Q39" s="203">
        <f>SUM(Q9:Q38)</f>
        <v>17</v>
      </c>
      <c r="R39" s="203"/>
      <c r="S39" s="202">
        <f>SUM(S9:S38)</f>
        <v>2</v>
      </c>
      <c r="T39" s="202"/>
      <c r="U39" s="203">
        <f>SUM(U9:U38)</f>
        <v>0</v>
      </c>
      <c r="V39" s="203"/>
      <c r="W39" s="204">
        <f t="shared" ref="W39:W58" si="2">SUM(K39:V39)</f>
        <v>81</v>
      </c>
      <c r="X39" s="204"/>
      <c r="Y39" s="51">
        <f>SUM(Y9:Y38)</f>
        <v>64</v>
      </c>
      <c r="Z39" s="17"/>
      <c r="AA39" s="205" t="b">
        <f>W39&gt;=Y39</f>
        <v>1</v>
      </c>
      <c r="AB39" s="205"/>
      <c r="AC39" s="17"/>
      <c r="AD39" s="17"/>
      <c r="AE39" s="17"/>
    </row>
    <row r="40" spans="1:31" ht="18" customHeight="1">
      <c r="A40" s="17"/>
      <c r="B40" s="183" t="s">
        <v>107</v>
      </c>
      <c r="C40" s="183"/>
      <c r="D40" s="183" t="s">
        <v>104</v>
      </c>
      <c r="E40" s="183"/>
      <c r="F40" s="184" t="s">
        <v>108</v>
      </c>
      <c r="G40" s="184"/>
      <c r="H40" s="19"/>
      <c r="I40" s="20"/>
      <c r="J40" s="21">
        <f t="shared" ref="J40:J62" si="3">SUM(K40:V40)</f>
        <v>5</v>
      </c>
      <c r="K40" s="185"/>
      <c r="L40" s="185"/>
      <c r="M40" s="186"/>
      <c r="N40" s="186"/>
      <c r="O40" s="185"/>
      <c r="P40" s="185"/>
      <c r="Q40" s="186"/>
      <c r="R40" s="186"/>
      <c r="S40" s="185"/>
      <c r="T40" s="185"/>
      <c r="U40" s="186">
        <v>5</v>
      </c>
      <c r="V40" s="186"/>
      <c r="W40" s="183">
        <f t="shared" si="2"/>
        <v>5</v>
      </c>
      <c r="X40" s="183"/>
      <c r="Y40" s="188">
        <v>80</v>
      </c>
      <c r="Z40" s="17"/>
      <c r="AA40" s="17"/>
      <c r="AB40" s="17"/>
      <c r="AC40" s="17"/>
      <c r="AD40" s="17"/>
      <c r="AE40" s="17"/>
    </row>
    <row r="41" spans="1:31" ht="18" customHeight="1">
      <c r="A41" s="17"/>
      <c r="B41" s="183"/>
      <c r="C41" s="183"/>
      <c r="D41" s="25" t="s">
        <v>23</v>
      </c>
      <c r="E41" s="25" t="s">
        <v>109</v>
      </c>
      <c r="F41" s="189" t="s">
        <v>110</v>
      </c>
      <c r="G41" s="189"/>
      <c r="H41" s="26"/>
      <c r="I41" s="27"/>
      <c r="J41" s="28">
        <f t="shared" si="3"/>
        <v>4</v>
      </c>
      <c r="K41" s="190">
        <v>4</v>
      </c>
      <c r="L41" s="190"/>
      <c r="M41" s="191"/>
      <c r="N41" s="191"/>
      <c r="O41" s="190"/>
      <c r="P41" s="190"/>
      <c r="Q41" s="191"/>
      <c r="R41" s="191"/>
      <c r="S41" s="190"/>
      <c r="T41" s="190"/>
      <c r="U41" s="191"/>
      <c r="V41" s="191"/>
      <c r="W41" s="206">
        <f t="shared" si="2"/>
        <v>4</v>
      </c>
      <c r="X41" s="206"/>
      <c r="Y41" s="188"/>
      <c r="Z41" s="17"/>
      <c r="AA41" s="17"/>
      <c r="AB41" s="17"/>
      <c r="AC41" s="17"/>
      <c r="AD41" s="17"/>
      <c r="AE41" s="17"/>
    </row>
    <row r="42" spans="1:31" ht="18" customHeight="1">
      <c r="A42" s="17"/>
      <c r="B42" s="183"/>
      <c r="C42" s="183"/>
      <c r="D42" s="25" t="s">
        <v>23</v>
      </c>
      <c r="E42" s="25" t="s">
        <v>109</v>
      </c>
      <c r="F42" s="189" t="s">
        <v>111</v>
      </c>
      <c r="G42" s="189"/>
      <c r="H42" s="26"/>
      <c r="I42" s="27"/>
      <c r="J42" s="28">
        <f t="shared" si="3"/>
        <v>4</v>
      </c>
      <c r="K42" s="190">
        <v>4</v>
      </c>
      <c r="L42" s="190"/>
      <c r="M42" s="191"/>
      <c r="N42" s="191"/>
      <c r="O42" s="190"/>
      <c r="P42" s="190"/>
      <c r="Q42" s="191"/>
      <c r="R42" s="191"/>
      <c r="S42" s="190"/>
      <c r="T42" s="190"/>
      <c r="U42" s="191"/>
      <c r="V42" s="191"/>
      <c r="W42" s="206">
        <f t="shared" si="2"/>
        <v>4</v>
      </c>
      <c r="X42" s="206"/>
      <c r="Y42" s="188"/>
      <c r="Z42" s="17"/>
      <c r="AA42" s="17"/>
      <c r="AB42" s="17"/>
      <c r="AC42" s="17"/>
      <c r="AD42" s="17"/>
      <c r="AE42" s="17"/>
    </row>
    <row r="43" spans="1:31" ht="18" customHeight="1">
      <c r="A43" s="17"/>
      <c r="B43" s="183"/>
      <c r="C43" s="183"/>
      <c r="D43" s="25" t="s">
        <v>23</v>
      </c>
      <c r="E43" s="25" t="s">
        <v>109</v>
      </c>
      <c r="F43" s="189" t="s">
        <v>112</v>
      </c>
      <c r="G43" s="189"/>
      <c r="H43" s="26"/>
      <c r="I43" s="27"/>
      <c r="J43" s="28">
        <f t="shared" si="3"/>
        <v>5</v>
      </c>
      <c r="K43" s="190"/>
      <c r="L43" s="190"/>
      <c r="M43" s="191">
        <v>5</v>
      </c>
      <c r="N43" s="191"/>
      <c r="O43" s="190"/>
      <c r="P43" s="190"/>
      <c r="Q43" s="191"/>
      <c r="R43" s="191"/>
      <c r="S43" s="190"/>
      <c r="T43" s="190"/>
      <c r="U43" s="191"/>
      <c r="V43" s="191"/>
      <c r="W43" s="206">
        <f t="shared" si="2"/>
        <v>5</v>
      </c>
      <c r="X43" s="206"/>
      <c r="Y43" s="188"/>
      <c r="Z43" s="17"/>
      <c r="AA43" s="17"/>
      <c r="AB43" s="17"/>
      <c r="AC43" s="17"/>
      <c r="AD43" s="17"/>
      <c r="AE43" s="17"/>
    </row>
    <row r="44" spans="1:31" ht="18" customHeight="1">
      <c r="A44" s="17"/>
      <c r="B44" s="183"/>
      <c r="C44" s="183"/>
      <c r="D44" s="25" t="s">
        <v>23</v>
      </c>
      <c r="E44" s="25" t="s">
        <v>109</v>
      </c>
      <c r="F44" s="189" t="s">
        <v>113</v>
      </c>
      <c r="G44" s="189"/>
      <c r="H44" s="26"/>
      <c r="I44" s="27"/>
      <c r="J44" s="28">
        <f t="shared" si="3"/>
        <v>4</v>
      </c>
      <c r="K44" s="190"/>
      <c r="L44" s="190"/>
      <c r="M44" s="191"/>
      <c r="N44" s="191"/>
      <c r="O44" s="190">
        <v>4</v>
      </c>
      <c r="P44" s="190"/>
      <c r="Q44" s="191"/>
      <c r="R44" s="191"/>
      <c r="S44" s="190"/>
      <c r="T44" s="190"/>
      <c r="U44" s="191"/>
      <c r="V44" s="191"/>
      <c r="W44" s="206">
        <f t="shared" si="2"/>
        <v>4</v>
      </c>
      <c r="X44" s="206"/>
      <c r="Y44" s="188"/>
      <c r="Z44" s="17"/>
      <c r="AA44" s="17"/>
      <c r="AB44" s="17"/>
      <c r="AC44" s="17"/>
      <c r="AD44" s="17"/>
      <c r="AE44" s="17"/>
    </row>
    <row r="45" spans="1:31" ht="18" customHeight="1">
      <c r="A45" s="17"/>
      <c r="B45" s="183"/>
      <c r="C45" s="183"/>
      <c r="D45" s="25" t="s">
        <v>142</v>
      </c>
      <c r="E45" s="25" t="s">
        <v>109</v>
      </c>
      <c r="F45" s="189" t="s">
        <v>165</v>
      </c>
      <c r="G45" s="189"/>
      <c r="H45" s="26"/>
      <c r="I45" s="27"/>
      <c r="J45" s="28">
        <f t="shared" si="3"/>
        <v>4</v>
      </c>
      <c r="K45" s="190"/>
      <c r="L45" s="190"/>
      <c r="M45" s="191"/>
      <c r="N45" s="191"/>
      <c r="O45" s="190">
        <v>4</v>
      </c>
      <c r="P45" s="190"/>
      <c r="Q45" s="191"/>
      <c r="R45" s="191"/>
      <c r="S45" s="190"/>
      <c r="T45" s="190"/>
      <c r="U45" s="191"/>
      <c r="V45" s="191"/>
      <c r="W45" s="206">
        <f t="shared" si="2"/>
        <v>4</v>
      </c>
      <c r="X45" s="206"/>
      <c r="Y45" s="188"/>
      <c r="Z45" s="17"/>
      <c r="AA45" s="17"/>
      <c r="AB45" s="17"/>
      <c r="AC45" s="17"/>
      <c r="AD45" s="17"/>
      <c r="AE45" s="17"/>
    </row>
    <row r="46" spans="1:31" ht="18" customHeight="1">
      <c r="A46" s="17"/>
      <c r="B46" s="183"/>
      <c r="C46" s="183"/>
      <c r="D46" s="25" t="s">
        <v>142</v>
      </c>
      <c r="E46" s="25" t="s">
        <v>109</v>
      </c>
      <c r="F46" s="189" t="s">
        <v>143</v>
      </c>
      <c r="G46" s="189"/>
      <c r="H46" s="26"/>
      <c r="I46" s="27"/>
      <c r="J46" s="28">
        <f t="shared" si="3"/>
        <v>4</v>
      </c>
      <c r="K46" s="190"/>
      <c r="L46" s="190"/>
      <c r="M46" s="191"/>
      <c r="N46" s="191"/>
      <c r="O46" s="190">
        <v>4</v>
      </c>
      <c r="P46" s="190"/>
      <c r="Q46" s="191"/>
      <c r="R46" s="191"/>
      <c r="S46" s="190"/>
      <c r="T46" s="190"/>
      <c r="U46" s="191"/>
      <c r="V46" s="191"/>
      <c r="W46" s="206">
        <f t="shared" si="2"/>
        <v>4</v>
      </c>
      <c r="X46" s="206"/>
      <c r="Y46" s="188"/>
      <c r="Z46" s="17"/>
      <c r="AA46" s="17"/>
      <c r="AB46" s="17"/>
      <c r="AC46" s="17"/>
      <c r="AD46" s="17"/>
      <c r="AE46" s="17"/>
    </row>
    <row r="47" spans="1:31" ht="18" customHeight="1">
      <c r="A47" s="17"/>
      <c r="B47" s="183"/>
      <c r="C47" s="183"/>
      <c r="D47" s="25" t="s">
        <v>23</v>
      </c>
      <c r="E47" s="25" t="s">
        <v>109</v>
      </c>
      <c r="F47" s="189" t="s">
        <v>115</v>
      </c>
      <c r="G47" s="189"/>
      <c r="H47" s="26"/>
      <c r="I47" s="27"/>
      <c r="J47" s="28">
        <f t="shared" si="3"/>
        <v>4</v>
      </c>
      <c r="K47" s="190"/>
      <c r="L47" s="190"/>
      <c r="M47" s="191"/>
      <c r="N47" s="191"/>
      <c r="O47" s="190"/>
      <c r="P47" s="190"/>
      <c r="Q47" s="191">
        <v>4</v>
      </c>
      <c r="R47" s="191"/>
      <c r="S47" s="190"/>
      <c r="T47" s="190"/>
      <c r="U47" s="191"/>
      <c r="V47" s="191"/>
      <c r="W47" s="206">
        <f t="shared" si="2"/>
        <v>4</v>
      </c>
      <c r="X47" s="206"/>
      <c r="Y47" s="188"/>
      <c r="Z47" s="17"/>
      <c r="AA47" s="17"/>
      <c r="AB47" s="17"/>
      <c r="AC47" s="17"/>
      <c r="AD47" s="17"/>
      <c r="AE47" s="17"/>
    </row>
    <row r="48" spans="1:31" ht="18" customHeight="1">
      <c r="A48" s="17"/>
      <c r="B48" s="183"/>
      <c r="C48" s="183"/>
      <c r="D48" s="25" t="s">
        <v>142</v>
      </c>
      <c r="E48" s="25" t="s">
        <v>109</v>
      </c>
      <c r="F48" s="189" t="s">
        <v>144</v>
      </c>
      <c r="G48" s="189"/>
      <c r="H48" s="26"/>
      <c r="I48" s="27"/>
      <c r="J48" s="28">
        <f t="shared" si="3"/>
        <v>4</v>
      </c>
      <c r="K48" s="190"/>
      <c r="L48" s="190"/>
      <c r="M48" s="191"/>
      <c r="N48" s="191"/>
      <c r="O48" s="190"/>
      <c r="P48" s="190"/>
      <c r="Q48" s="191">
        <v>4</v>
      </c>
      <c r="R48" s="191"/>
      <c r="S48" s="190"/>
      <c r="T48" s="190"/>
      <c r="U48" s="191"/>
      <c r="V48" s="191"/>
      <c r="W48" s="206">
        <f t="shared" si="2"/>
        <v>4</v>
      </c>
      <c r="X48" s="206"/>
      <c r="Y48" s="188"/>
      <c r="Z48" s="17"/>
      <c r="AA48" s="17"/>
      <c r="AB48" s="17"/>
      <c r="AC48" s="17"/>
      <c r="AD48" s="17"/>
      <c r="AE48" s="17"/>
    </row>
    <row r="49" spans="1:31" ht="18" customHeight="1">
      <c r="A49" s="17"/>
      <c r="B49" s="183"/>
      <c r="C49" s="183"/>
      <c r="D49" s="25" t="s">
        <v>23</v>
      </c>
      <c r="E49" s="25" t="s">
        <v>109</v>
      </c>
      <c r="F49" s="189" t="s">
        <v>135</v>
      </c>
      <c r="G49" s="189"/>
      <c r="H49" s="26"/>
      <c r="I49" s="27"/>
      <c r="J49" s="28">
        <f t="shared" si="3"/>
        <v>4</v>
      </c>
      <c r="K49" s="190"/>
      <c r="L49" s="190"/>
      <c r="M49" s="191"/>
      <c r="N49" s="191"/>
      <c r="O49" s="190"/>
      <c r="P49" s="190"/>
      <c r="Q49" s="191"/>
      <c r="R49" s="191"/>
      <c r="S49" s="190">
        <v>4</v>
      </c>
      <c r="T49" s="190"/>
      <c r="U49" s="191"/>
      <c r="V49" s="191"/>
      <c r="W49" s="206">
        <f t="shared" si="2"/>
        <v>4</v>
      </c>
      <c r="X49" s="206"/>
      <c r="Y49" s="188"/>
      <c r="Z49" s="17"/>
      <c r="AA49" s="17"/>
      <c r="AB49" s="17"/>
      <c r="AC49" s="17"/>
      <c r="AD49" s="17"/>
      <c r="AE49" s="17"/>
    </row>
    <row r="50" spans="1:31" ht="18" customHeight="1">
      <c r="A50" s="17"/>
      <c r="B50" s="183"/>
      <c r="C50" s="183"/>
      <c r="D50" s="25" t="s">
        <v>23</v>
      </c>
      <c r="E50" s="25" t="s">
        <v>109</v>
      </c>
      <c r="F50" s="189" t="s">
        <v>117</v>
      </c>
      <c r="G50" s="189"/>
      <c r="H50" s="26"/>
      <c r="I50" s="27"/>
      <c r="J50" s="28">
        <f t="shared" si="3"/>
        <v>3</v>
      </c>
      <c r="K50" s="190"/>
      <c r="L50" s="190"/>
      <c r="M50" s="191"/>
      <c r="N50" s="191"/>
      <c r="O50" s="190"/>
      <c r="P50" s="190"/>
      <c r="Q50" s="191"/>
      <c r="R50" s="191"/>
      <c r="S50" s="190">
        <v>3</v>
      </c>
      <c r="T50" s="190"/>
      <c r="U50" s="191"/>
      <c r="V50" s="191"/>
      <c r="W50" s="206">
        <f t="shared" si="2"/>
        <v>3</v>
      </c>
      <c r="X50" s="206"/>
      <c r="Y50" s="188"/>
      <c r="Z50" s="17"/>
      <c r="AA50" s="17"/>
      <c r="AB50" s="17"/>
      <c r="AC50" s="17"/>
      <c r="AD50" s="17"/>
      <c r="AE50" s="17"/>
    </row>
    <row r="51" spans="1:31" ht="18" customHeight="1">
      <c r="A51" s="17"/>
      <c r="B51" s="183"/>
      <c r="C51" s="183"/>
      <c r="D51" s="25" t="s">
        <v>23</v>
      </c>
      <c r="E51" s="25" t="s">
        <v>109</v>
      </c>
      <c r="F51" s="189" t="s">
        <v>136</v>
      </c>
      <c r="G51" s="189"/>
      <c r="H51" s="26"/>
      <c r="I51" s="27"/>
      <c r="J51" s="28">
        <f t="shared" si="3"/>
        <v>4</v>
      </c>
      <c r="K51" s="190"/>
      <c r="L51" s="190"/>
      <c r="M51" s="191"/>
      <c r="N51" s="191"/>
      <c r="O51" s="190"/>
      <c r="P51" s="190"/>
      <c r="Q51" s="191"/>
      <c r="R51" s="191"/>
      <c r="S51" s="190"/>
      <c r="T51" s="190"/>
      <c r="U51" s="191">
        <v>4</v>
      </c>
      <c r="V51" s="191"/>
      <c r="W51" s="206">
        <f t="shared" si="2"/>
        <v>4</v>
      </c>
      <c r="X51" s="206"/>
      <c r="Y51" s="188"/>
      <c r="Z51" s="17"/>
      <c r="AA51" s="17"/>
      <c r="AB51" s="17"/>
      <c r="AC51" s="17"/>
      <c r="AD51" s="17"/>
      <c r="AE51" s="17"/>
    </row>
    <row r="52" spans="1:31" ht="18" customHeight="1">
      <c r="A52" s="17"/>
      <c r="B52" s="183"/>
      <c r="C52" s="183"/>
      <c r="D52" s="25" t="s">
        <v>23</v>
      </c>
      <c r="E52" s="25" t="s">
        <v>118</v>
      </c>
      <c r="F52" s="189" t="s">
        <v>119</v>
      </c>
      <c r="G52" s="189"/>
      <c r="H52" s="26"/>
      <c r="I52" s="27"/>
      <c r="J52" s="28">
        <f t="shared" si="3"/>
        <v>8</v>
      </c>
      <c r="K52" s="190"/>
      <c r="L52" s="190"/>
      <c r="M52" s="191"/>
      <c r="N52" s="191"/>
      <c r="O52" s="190"/>
      <c r="P52" s="190"/>
      <c r="Q52" s="191"/>
      <c r="R52" s="191"/>
      <c r="S52" s="190">
        <v>4</v>
      </c>
      <c r="T52" s="190"/>
      <c r="U52" s="191">
        <v>4</v>
      </c>
      <c r="V52" s="191"/>
      <c r="W52" s="206">
        <f t="shared" si="2"/>
        <v>8</v>
      </c>
      <c r="X52" s="206"/>
      <c r="Y52" s="188"/>
      <c r="Z52" s="17"/>
      <c r="AA52" s="17"/>
      <c r="AB52" s="17"/>
      <c r="AC52" s="17"/>
      <c r="AD52" s="17"/>
      <c r="AE52" s="17"/>
    </row>
    <row r="53" spans="1:31" ht="18" customHeight="1">
      <c r="A53" s="17"/>
      <c r="B53" s="183"/>
      <c r="C53" s="183"/>
      <c r="D53" s="25" t="s">
        <v>23</v>
      </c>
      <c r="E53" s="25" t="s">
        <v>118</v>
      </c>
      <c r="F53" s="189" t="s">
        <v>121</v>
      </c>
      <c r="G53" s="189"/>
      <c r="H53" s="26"/>
      <c r="I53" s="27"/>
      <c r="J53" s="28">
        <f t="shared" si="3"/>
        <v>7</v>
      </c>
      <c r="K53" s="190"/>
      <c r="L53" s="190"/>
      <c r="M53" s="191"/>
      <c r="N53" s="191"/>
      <c r="O53" s="190"/>
      <c r="P53" s="190"/>
      <c r="Q53" s="191"/>
      <c r="R53" s="191"/>
      <c r="S53" s="190">
        <v>3</v>
      </c>
      <c r="T53" s="190"/>
      <c r="U53" s="191">
        <v>4</v>
      </c>
      <c r="V53" s="191"/>
      <c r="W53" s="206">
        <f t="shared" si="2"/>
        <v>7</v>
      </c>
      <c r="X53" s="206"/>
      <c r="Y53" s="188"/>
      <c r="Z53" s="17"/>
      <c r="AA53" s="17"/>
      <c r="AB53" s="17"/>
      <c r="AC53" s="17"/>
      <c r="AD53" s="17"/>
      <c r="AE53" s="17"/>
    </row>
    <row r="54" spans="1:31" ht="18" customHeight="1">
      <c r="A54" s="17"/>
      <c r="B54" s="183"/>
      <c r="C54" s="183"/>
      <c r="D54" s="25" t="s">
        <v>23</v>
      </c>
      <c r="E54" s="25" t="s">
        <v>118</v>
      </c>
      <c r="F54" s="189" t="s">
        <v>166</v>
      </c>
      <c r="G54" s="189"/>
      <c r="H54" s="26"/>
      <c r="I54" s="27"/>
      <c r="J54" s="28">
        <f t="shared" si="3"/>
        <v>4</v>
      </c>
      <c r="K54" s="190"/>
      <c r="L54" s="190"/>
      <c r="M54" s="191"/>
      <c r="N54" s="191"/>
      <c r="O54" s="190"/>
      <c r="P54" s="190"/>
      <c r="Q54" s="191"/>
      <c r="R54" s="191"/>
      <c r="S54" s="190"/>
      <c r="T54" s="190"/>
      <c r="U54" s="191">
        <v>4</v>
      </c>
      <c r="V54" s="191"/>
      <c r="W54" s="206">
        <f t="shared" si="2"/>
        <v>4</v>
      </c>
      <c r="X54" s="206"/>
      <c r="Y54" s="188"/>
      <c r="Z54" s="17"/>
      <c r="AA54" s="17"/>
      <c r="AB54" s="17"/>
      <c r="AC54" s="17"/>
      <c r="AD54" s="17"/>
      <c r="AE54" s="17"/>
    </row>
    <row r="55" spans="1:31" ht="18" customHeight="1">
      <c r="A55" s="17"/>
      <c r="B55" s="183"/>
      <c r="C55" s="183"/>
      <c r="D55" s="25" t="s">
        <v>23</v>
      </c>
      <c r="E55" s="25" t="s">
        <v>118</v>
      </c>
      <c r="F55" s="189" t="s">
        <v>120</v>
      </c>
      <c r="G55" s="189"/>
      <c r="H55" s="26"/>
      <c r="I55" s="27"/>
      <c r="J55" s="28">
        <f t="shared" si="3"/>
        <v>8</v>
      </c>
      <c r="K55" s="190"/>
      <c r="L55" s="190"/>
      <c r="M55" s="191"/>
      <c r="N55" s="191"/>
      <c r="O55" s="190"/>
      <c r="P55" s="190"/>
      <c r="Q55" s="191"/>
      <c r="R55" s="191"/>
      <c r="S55" s="190">
        <v>4</v>
      </c>
      <c r="T55" s="190"/>
      <c r="U55" s="191">
        <v>4</v>
      </c>
      <c r="V55" s="191"/>
      <c r="W55" s="206">
        <f t="shared" si="2"/>
        <v>8</v>
      </c>
      <c r="X55" s="206"/>
      <c r="Y55" s="188"/>
      <c r="Z55" s="17"/>
      <c r="AA55" s="17"/>
      <c r="AB55" s="17"/>
      <c r="AC55" s="17"/>
      <c r="AD55" s="17"/>
      <c r="AE55" s="17"/>
    </row>
    <row r="56" spans="1:31" ht="18" customHeight="1">
      <c r="A56" s="17"/>
      <c r="B56" s="183"/>
      <c r="C56" s="183"/>
      <c r="D56" s="25" t="s">
        <v>23</v>
      </c>
      <c r="E56" s="25" t="s">
        <v>109</v>
      </c>
      <c r="F56" s="189" t="s">
        <v>167</v>
      </c>
      <c r="G56" s="189"/>
      <c r="H56" s="26"/>
      <c r="I56" s="27"/>
      <c r="J56" s="28">
        <f t="shared" si="3"/>
        <v>4</v>
      </c>
      <c r="K56" s="190"/>
      <c r="L56" s="190"/>
      <c r="M56" s="191"/>
      <c r="N56" s="191"/>
      <c r="O56" s="190"/>
      <c r="P56" s="190"/>
      <c r="Q56" s="191">
        <v>4</v>
      </c>
      <c r="R56" s="191"/>
      <c r="S56" s="190"/>
      <c r="T56" s="190"/>
      <c r="U56" s="191"/>
      <c r="V56" s="191"/>
      <c r="W56" s="206">
        <f t="shared" si="2"/>
        <v>4</v>
      </c>
      <c r="X56" s="206"/>
      <c r="Y56" s="188"/>
      <c r="Z56" s="17"/>
      <c r="AA56" s="17"/>
      <c r="AB56" s="17"/>
      <c r="AC56" s="17"/>
      <c r="AD56" s="17"/>
      <c r="AE56" s="17"/>
    </row>
    <row r="57" spans="1:31" ht="18" customHeight="1">
      <c r="A57" s="17"/>
      <c r="B57" s="183"/>
      <c r="C57" s="183"/>
      <c r="D57" s="25" t="s">
        <v>23</v>
      </c>
      <c r="E57" s="25" t="s">
        <v>109</v>
      </c>
      <c r="F57" s="189" t="s">
        <v>168</v>
      </c>
      <c r="G57" s="189"/>
      <c r="H57" s="26"/>
      <c r="I57" s="27"/>
      <c r="J57" s="28">
        <f t="shared" si="3"/>
        <v>4</v>
      </c>
      <c r="K57" s="190"/>
      <c r="L57" s="190"/>
      <c r="M57" s="191"/>
      <c r="N57" s="191"/>
      <c r="O57" s="190"/>
      <c r="P57" s="190"/>
      <c r="Q57" s="191"/>
      <c r="R57" s="191"/>
      <c r="S57" s="190">
        <v>4</v>
      </c>
      <c r="T57" s="190"/>
      <c r="U57" s="191"/>
      <c r="V57" s="191"/>
      <c r="W57" s="206">
        <f t="shared" si="2"/>
        <v>4</v>
      </c>
      <c r="X57" s="206"/>
      <c r="Y57" s="188"/>
      <c r="Z57" s="17"/>
      <c r="AA57" s="17"/>
      <c r="AB57" s="17"/>
      <c r="AC57" s="17"/>
      <c r="AD57" s="17"/>
      <c r="AE57" s="17"/>
    </row>
    <row r="58" spans="1:31" ht="30" customHeight="1">
      <c r="A58" s="17"/>
      <c r="B58" s="207" t="s">
        <v>131</v>
      </c>
      <c r="C58" s="56" t="s">
        <v>169</v>
      </c>
      <c r="D58" s="18" t="s">
        <v>23</v>
      </c>
      <c r="E58" s="18" t="s">
        <v>118</v>
      </c>
      <c r="F58" s="184" t="s">
        <v>170</v>
      </c>
      <c r="G58" s="184"/>
      <c r="H58" s="19"/>
      <c r="I58" s="20"/>
      <c r="J58" s="21">
        <f t="shared" si="3"/>
        <v>9</v>
      </c>
      <c r="K58" s="185"/>
      <c r="L58" s="185"/>
      <c r="M58" s="186"/>
      <c r="N58" s="186"/>
      <c r="O58" s="185"/>
      <c r="P58" s="185"/>
      <c r="Q58" s="186"/>
      <c r="R58" s="186"/>
      <c r="S58" s="185">
        <v>5</v>
      </c>
      <c r="T58" s="185"/>
      <c r="U58" s="186">
        <v>4</v>
      </c>
      <c r="V58" s="186"/>
      <c r="W58" s="183">
        <f t="shared" si="2"/>
        <v>9</v>
      </c>
      <c r="X58" s="183"/>
      <c r="Y58" s="188"/>
      <c r="Z58" s="17"/>
      <c r="AA58" s="17"/>
      <c r="AB58" s="17"/>
      <c r="AC58" s="17"/>
      <c r="AD58" s="17"/>
      <c r="AE58" s="17"/>
    </row>
    <row r="59" spans="1:31" ht="18" customHeight="1">
      <c r="A59" s="17"/>
      <c r="B59" s="207"/>
      <c r="C59" s="214" t="s">
        <v>171</v>
      </c>
      <c r="D59" s="52" t="s">
        <v>23</v>
      </c>
      <c r="E59" s="52" t="s">
        <v>109</v>
      </c>
      <c r="F59" s="210" t="s">
        <v>172</v>
      </c>
      <c r="G59" s="210"/>
      <c r="H59" s="53"/>
      <c r="I59" s="54"/>
      <c r="J59" s="55">
        <f t="shared" si="3"/>
        <v>5</v>
      </c>
      <c r="K59" s="211"/>
      <c r="L59" s="211"/>
      <c r="M59" s="212"/>
      <c r="N59" s="212"/>
      <c r="O59" s="211"/>
      <c r="P59" s="211"/>
      <c r="Q59" s="212"/>
      <c r="R59" s="212"/>
      <c r="S59" s="211">
        <v>5</v>
      </c>
      <c r="T59" s="211"/>
      <c r="U59" s="212"/>
      <c r="V59" s="212"/>
      <c r="W59" s="213">
        <f>SUM(K59:V60)</f>
        <v>9</v>
      </c>
      <c r="X59" s="213"/>
      <c r="Y59" s="188"/>
      <c r="Z59" s="17"/>
      <c r="AA59" s="17"/>
      <c r="AB59" s="17"/>
      <c r="AC59" s="17"/>
      <c r="AD59" s="17"/>
      <c r="AE59" s="17"/>
    </row>
    <row r="60" spans="1:31" ht="18" customHeight="1">
      <c r="A60" s="17"/>
      <c r="B60" s="207"/>
      <c r="C60" s="214"/>
      <c r="D60" s="25" t="s">
        <v>23</v>
      </c>
      <c r="E60" s="25" t="s">
        <v>109</v>
      </c>
      <c r="F60" s="189" t="s">
        <v>173</v>
      </c>
      <c r="G60" s="189"/>
      <c r="H60" s="26"/>
      <c r="I60" s="27"/>
      <c r="J60" s="28">
        <f t="shared" si="3"/>
        <v>4</v>
      </c>
      <c r="K60" s="190"/>
      <c r="L60" s="190"/>
      <c r="M60" s="191"/>
      <c r="N60" s="191"/>
      <c r="O60" s="190"/>
      <c r="P60" s="190"/>
      <c r="Q60" s="191"/>
      <c r="R60" s="191"/>
      <c r="S60" s="190"/>
      <c r="T60" s="190"/>
      <c r="U60" s="191">
        <v>4</v>
      </c>
      <c r="V60" s="191"/>
      <c r="W60" s="213"/>
      <c r="X60" s="213"/>
      <c r="Y60" s="188"/>
      <c r="Z60" s="17"/>
      <c r="AA60" s="17"/>
      <c r="AB60" s="17"/>
      <c r="AC60" s="17"/>
      <c r="AD60" s="17"/>
      <c r="AE60" s="17"/>
    </row>
    <row r="61" spans="1:31" ht="25.5" customHeight="1">
      <c r="A61" s="17"/>
      <c r="B61" s="207"/>
      <c r="C61" s="214" t="s">
        <v>137</v>
      </c>
      <c r="D61" s="58" t="s">
        <v>138</v>
      </c>
      <c r="E61" s="52" t="s">
        <v>109</v>
      </c>
      <c r="F61" s="210" t="s">
        <v>139</v>
      </c>
      <c r="G61" s="210"/>
      <c r="H61" s="53"/>
      <c r="I61" s="54"/>
      <c r="J61" s="55">
        <f t="shared" si="3"/>
        <v>5</v>
      </c>
      <c r="K61" s="211"/>
      <c r="L61" s="211"/>
      <c r="M61" s="212"/>
      <c r="N61" s="212"/>
      <c r="O61" s="211"/>
      <c r="P61" s="211"/>
      <c r="Q61" s="212"/>
      <c r="R61" s="212"/>
      <c r="S61" s="211">
        <v>5</v>
      </c>
      <c r="T61" s="211"/>
      <c r="U61" s="212"/>
      <c r="V61" s="212"/>
      <c r="W61" s="213">
        <f>SUM(K61:V62)</f>
        <v>9</v>
      </c>
      <c r="X61" s="213"/>
      <c r="Y61" s="188"/>
      <c r="Z61" s="17"/>
      <c r="AA61" s="17"/>
      <c r="AB61" s="17"/>
      <c r="AC61" s="17"/>
      <c r="AD61" s="17"/>
      <c r="AE61" s="17"/>
    </row>
    <row r="62" spans="1:31" ht="25.5" customHeight="1">
      <c r="A62" s="17"/>
      <c r="B62" s="207"/>
      <c r="C62" s="214"/>
      <c r="D62" s="63" t="s">
        <v>138</v>
      </c>
      <c r="E62" s="31" t="s">
        <v>109</v>
      </c>
      <c r="F62" s="192" t="s">
        <v>140</v>
      </c>
      <c r="G62" s="192"/>
      <c r="H62" s="32"/>
      <c r="I62" s="33"/>
      <c r="J62" s="34">
        <f t="shared" si="3"/>
        <v>4</v>
      </c>
      <c r="K62" s="193"/>
      <c r="L62" s="193"/>
      <c r="M62" s="194"/>
      <c r="N62" s="194"/>
      <c r="O62" s="193"/>
      <c r="P62" s="193"/>
      <c r="Q62" s="194"/>
      <c r="R62" s="194"/>
      <c r="S62" s="193"/>
      <c r="T62" s="193"/>
      <c r="U62" s="194">
        <v>4</v>
      </c>
      <c r="V62" s="194"/>
      <c r="W62" s="213"/>
      <c r="X62" s="213"/>
      <c r="Y62" s="188"/>
      <c r="Z62" s="17"/>
      <c r="AA62" s="17"/>
      <c r="AB62" s="17"/>
      <c r="AC62" s="17"/>
      <c r="AD62" s="17"/>
      <c r="AE62" s="17"/>
    </row>
    <row r="63" spans="1:31" ht="21.75" customHeight="1">
      <c r="A63" s="17"/>
      <c r="B63" s="215" t="s">
        <v>145</v>
      </c>
      <c r="C63" s="215"/>
      <c r="D63" s="215"/>
      <c r="E63" s="215"/>
      <c r="F63" s="215"/>
      <c r="G63" s="215"/>
      <c r="H63" s="48"/>
      <c r="I63" s="49"/>
      <c r="J63" s="50">
        <f>SUM(J40:J57,J58:J58)</f>
        <v>93</v>
      </c>
      <c r="K63" s="202">
        <f>SUM(K40:K57,K58:K58)</f>
        <v>8</v>
      </c>
      <c r="L63" s="202"/>
      <c r="M63" s="203">
        <f>SUM(M40:M57,M58:M58)</f>
        <v>5</v>
      </c>
      <c r="N63" s="203"/>
      <c r="O63" s="202">
        <f>SUM(O40:O57,O58:O58)</f>
        <v>12</v>
      </c>
      <c r="P63" s="202"/>
      <c r="Q63" s="203">
        <f>SUM(Q40:Q57,Q58:Q58)</f>
        <v>12</v>
      </c>
      <c r="R63" s="203"/>
      <c r="S63" s="202">
        <f>SUM(S40:S57,S58:S58)</f>
        <v>27</v>
      </c>
      <c r="T63" s="202"/>
      <c r="U63" s="203">
        <f>SUM(U40:U57,U58:U58)</f>
        <v>29</v>
      </c>
      <c r="V63" s="203"/>
      <c r="W63" s="204">
        <f>SUM(K63:V63)</f>
        <v>93</v>
      </c>
      <c r="X63" s="204"/>
      <c r="Y63" s="51">
        <f>Y40</f>
        <v>80</v>
      </c>
      <c r="Z63" s="17"/>
      <c r="AA63" s="233" t="s">
        <v>160</v>
      </c>
      <c r="AB63" s="233"/>
      <c r="AC63" s="17"/>
    </row>
    <row r="64" spans="1:31" ht="21.75" customHeight="1">
      <c r="A64" s="17"/>
      <c r="B64" s="201"/>
      <c r="C64" s="201"/>
      <c r="D64" s="201"/>
      <c r="E64" s="201"/>
      <c r="F64" s="201"/>
      <c r="G64" s="201"/>
      <c r="H64" s="48"/>
      <c r="I64" s="49"/>
      <c r="J64" s="50">
        <f>J39+J63</f>
        <v>174</v>
      </c>
      <c r="K64" s="202">
        <f>K39+K63</f>
        <v>29</v>
      </c>
      <c r="L64" s="202"/>
      <c r="M64" s="203">
        <f>M39+M63</f>
        <v>29</v>
      </c>
      <c r="N64" s="203"/>
      <c r="O64" s="202">
        <f>O39+O63</f>
        <v>29</v>
      </c>
      <c r="P64" s="202"/>
      <c r="Q64" s="203">
        <f>Q39+Q63</f>
        <v>29</v>
      </c>
      <c r="R64" s="203"/>
      <c r="S64" s="202">
        <f>S39+S63</f>
        <v>29</v>
      </c>
      <c r="T64" s="202"/>
      <c r="U64" s="203">
        <f>U39+U63</f>
        <v>29</v>
      </c>
      <c r="V64" s="203"/>
      <c r="W64" s="204">
        <f>SUM(K64:V64)</f>
        <v>174</v>
      </c>
      <c r="X64" s="204"/>
      <c r="Y64" s="51">
        <f>Y39+Y63</f>
        <v>144</v>
      </c>
      <c r="Z64" s="17"/>
      <c r="AA64" s="205" t="b">
        <f>W64&gt;=Y64</f>
        <v>1</v>
      </c>
      <c r="AB64" s="205"/>
      <c r="AC64" s="17"/>
      <c r="AD64" s="17"/>
      <c r="AE64" s="17"/>
    </row>
    <row r="65" spans="1:31" ht="18" customHeight="1">
      <c r="A65" s="17"/>
      <c r="B65" s="183" t="s">
        <v>147</v>
      </c>
      <c r="C65" s="183"/>
      <c r="D65" s="183"/>
      <c r="E65" s="183"/>
      <c r="F65" s="183" t="s">
        <v>148</v>
      </c>
      <c r="G65" s="183"/>
      <c r="H65" s="183"/>
      <c r="I65" s="183"/>
      <c r="J65" s="183"/>
      <c r="K65" s="185">
        <v>16</v>
      </c>
      <c r="L65" s="185"/>
      <c r="M65" s="186">
        <v>16</v>
      </c>
      <c r="N65" s="186"/>
      <c r="O65" s="185">
        <v>16</v>
      </c>
      <c r="P65" s="185"/>
      <c r="Q65" s="186">
        <v>16</v>
      </c>
      <c r="R65" s="186"/>
      <c r="S65" s="185">
        <v>16</v>
      </c>
      <c r="T65" s="185"/>
      <c r="U65" s="186">
        <v>16</v>
      </c>
      <c r="V65" s="186"/>
      <c r="W65" s="198">
        <f>SUM(K65:V67)</f>
        <v>288</v>
      </c>
      <c r="X65" s="198"/>
      <c r="Y65" s="188">
        <f>Y68*16</f>
        <v>288</v>
      </c>
      <c r="Z65" s="17"/>
      <c r="AA65" s="17"/>
      <c r="AB65" s="17"/>
      <c r="AC65" s="17"/>
      <c r="AD65" s="17"/>
      <c r="AE65" s="17"/>
    </row>
    <row r="66" spans="1:31" ht="18" customHeight="1">
      <c r="A66" s="17"/>
      <c r="B66" s="183"/>
      <c r="C66" s="183"/>
      <c r="D66" s="183"/>
      <c r="E66" s="183"/>
      <c r="F66" s="220" t="s">
        <v>149</v>
      </c>
      <c r="G66" s="220"/>
      <c r="H66" s="220"/>
      <c r="I66" s="220"/>
      <c r="J66" s="220"/>
      <c r="K66" s="190">
        <v>16</v>
      </c>
      <c r="L66" s="190"/>
      <c r="M66" s="191">
        <v>16</v>
      </c>
      <c r="N66" s="191"/>
      <c r="O66" s="190">
        <v>16</v>
      </c>
      <c r="P66" s="190"/>
      <c r="Q66" s="191">
        <v>16</v>
      </c>
      <c r="R66" s="191"/>
      <c r="S66" s="190">
        <v>16</v>
      </c>
      <c r="T66" s="190"/>
      <c r="U66" s="191">
        <v>16</v>
      </c>
      <c r="V66" s="191"/>
      <c r="W66" s="198"/>
      <c r="X66" s="198"/>
      <c r="Y66" s="188"/>
      <c r="Z66" s="17"/>
      <c r="AA66" s="17"/>
      <c r="AB66" s="17"/>
      <c r="AC66" s="17"/>
      <c r="AD66" s="17"/>
      <c r="AE66" s="17"/>
    </row>
    <row r="67" spans="1:31" ht="18" customHeight="1">
      <c r="A67" s="17"/>
      <c r="B67" s="183"/>
      <c r="C67" s="183"/>
      <c r="D67" s="183"/>
      <c r="E67" s="183"/>
      <c r="F67" s="220" t="s">
        <v>150</v>
      </c>
      <c r="G67" s="220"/>
      <c r="H67" s="220"/>
      <c r="I67" s="220"/>
      <c r="J67" s="220"/>
      <c r="K67" s="190">
        <v>16</v>
      </c>
      <c r="L67" s="190"/>
      <c r="M67" s="191">
        <v>16</v>
      </c>
      <c r="N67" s="191"/>
      <c r="O67" s="190">
        <v>16</v>
      </c>
      <c r="P67" s="190"/>
      <c r="Q67" s="191">
        <v>16</v>
      </c>
      <c r="R67" s="191"/>
      <c r="S67" s="190">
        <v>16</v>
      </c>
      <c r="T67" s="190"/>
      <c r="U67" s="191">
        <v>16</v>
      </c>
      <c r="V67" s="191"/>
      <c r="W67" s="198"/>
      <c r="X67" s="198"/>
      <c r="Y67" s="188"/>
      <c r="Z67" s="17"/>
      <c r="AA67" s="233" t="s">
        <v>161</v>
      </c>
      <c r="AB67" s="233"/>
      <c r="AC67" s="17"/>
      <c r="AD67" s="17"/>
      <c r="AE67" s="17"/>
    </row>
    <row r="68" spans="1:31" ht="18" customHeight="1">
      <c r="A68" s="17"/>
      <c r="B68" s="183"/>
      <c r="C68" s="183"/>
      <c r="D68" s="183"/>
      <c r="E68" s="183"/>
      <c r="F68" s="218" t="s">
        <v>152</v>
      </c>
      <c r="G68" s="218"/>
      <c r="H68" s="218"/>
      <c r="I68" s="218"/>
      <c r="J68" s="218"/>
      <c r="K68" s="193">
        <v>3</v>
      </c>
      <c r="L68" s="193"/>
      <c r="M68" s="194">
        <v>3</v>
      </c>
      <c r="N68" s="194"/>
      <c r="O68" s="193">
        <v>3</v>
      </c>
      <c r="P68" s="193"/>
      <c r="Q68" s="194">
        <v>3</v>
      </c>
      <c r="R68" s="194"/>
      <c r="S68" s="193">
        <v>3</v>
      </c>
      <c r="T68" s="193"/>
      <c r="U68" s="194">
        <v>3</v>
      </c>
      <c r="V68" s="194"/>
      <c r="W68" s="219">
        <f>SUM(K68:V68)</f>
        <v>18</v>
      </c>
      <c r="X68" s="219"/>
      <c r="Y68" s="60">
        <v>18</v>
      </c>
      <c r="Z68" s="17"/>
      <c r="AA68" s="205" t="b">
        <f>W68&gt;=Y68</f>
        <v>1</v>
      </c>
      <c r="AB68" s="205"/>
      <c r="AC68" s="17"/>
      <c r="AD68" s="17"/>
      <c r="AE68" s="17"/>
    </row>
    <row r="69" spans="1:31" ht="18" customHeight="1">
      <c r="A69" s="17"/>
      <c r="B69" s="223"/>
      <c r="C69" s="223"/>
      <c r="D69" s="223"/>
      <c r="E69" s="223"/>
      <c r="F69" s="223"/>
      <c r="G69" s="223"/>
      <c r="H69" s="223"/>
      <c r="I69" s="223"/>
      <c r="J69" s="223"/>
      <c r="K69" s="224">
        <f>K64+K68</f>
        <v>32</v>
      </c>
      <c r="L69" s="224"/>
      <c r="M69" s="225">
        <f>M64+M68</f>
        <v>32</v>
      </c>
      <c r="N69" s="225"/>
      <c r="O69" s="224">
        <f>O64+O68</f>
        <v>32</v>
      </c>
      <c r="P69" s="224"/>
      <c r="Q69" s="225">
        <f>Q64+Q68</f>
        <v>32</v>
      </c>
      <c r="R69" s="225"/>
      <c r="S69" s="224">
        <f>S64+S68</f>
        <v>32</v>
      </c>
      <c r="T69" s="224"/>
      <c r="U69" s="225">
        <f>U64+U68</f>
        <v>32</v>
      </c>
      <c r="V69" s="225"/>
      <c r="W69" s="226">
        <f>SUM(K69:V69)</f>
        <v>192</v>
      </c>
      <c r="X69" s="226"/>
      <c r="Y69" s="61">
        <v>192</v>
      </c>
      <c r="Z69" s="17"/>
      <c r="AA69" s="234" t="s">
        <v>162</v>
      </c>
      <c r="AB69" s="234"/>
      <c r="AC69" s="17"/>
      <c r="AD69" s="17"/>
      <c r="AE69" s="17"/>
    </row>
    <row r="70" spans="1:31" ht="18" customHeight="1">
      <c r="A70" s="17"/>
      <c r="B70" s="221"/>
      <c r="C70" s="221"/>
      <c r="D70" s="221"/>
      <c r="E70" s="221"/>
      <c r="F70" s="221"/>
      <c r="G70" s="221"/>
      <c r="H70" s="221"/>
      <c r="I70" s="221"/>
      <c r="J70" s="221"/>
      <c r="K70" s="222">
        <f>SUM(K69:N69)</f>
        <v>64</v>
      </c>
      <c r="L70" s="222"/>
      <c r="M70" s="222"/>
      <c r="N70" s="222"/>
      <c r="O70" s="222">
        <f>SUM(O69:R69)</f>
        <v>64</v>
      </c>
      <c r="P70" s="222"/>
      <c r="Q70" s="222"/>
      <c r="R70" s="222"/>
      <c r="S70" s="222">
        <f>SUM(S69:V69)</f>
        <v>64</v>
      </c>
      <c r="T70" s="222"/>
      <c r="U70" s="222"/>
      <c r="V70" s="222"/>
      <c r="W70" s="222">
        <f>SUM(K70:V70)</f>
        <v>192</v>
      </c>
      <c r="X70" s="222"/>
      <c r="Y70" s="62"/>
      <c r="Z70" s="17"/>
      <c r="AA70" s="205" t="b">
        <f>W69&gt;=Y69</f>
        <v>1</v>
      </c>
      <c r="AB70" s="205"/>
      <c r="AC70" s="17"/>
      <c r="AD70" s="17"/>
      <c r="AE70" s="17"/>
    </row>
    <row r="71" spans="1:31" ht="18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</row>
    <row r="72" spans="1:31" ht="18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</row>
    <row r="73" spans="1:31" ht="18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</row>
    <row r="74" spans="1:31" ht="18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</row>
    <row r="75" spans="1:31" ht="18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</row>
    <row r="76" spans="1:31" ht="18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</row>
    <row r="77" spans="1:31" ht="18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</row>
    <row r="78" spans="1:31" ht="18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</row>
    <row r="79" spans="1:31" ht="18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</row>
    <row r="80" spans="1:31" ht="18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</row>
    <row r="81" spans="1:31" ht="18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</row>
    <row r="82" spans="1:31" ht="18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</row>
    <row r="83" spans="1:31" ht="18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</row>
    <row r="84" spans="1:31" ht="18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</row>
    <row r="85" spans="1:31" ht="18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</row>
    <row r="86" spans="1:31" ht="18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</row>
    <row r="87" spans="1:31" ht="18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</row>
    <row r="88" spans="1:31" ht="18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</row>
    <row r="89" spans="1:31" ht="18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</row>
    <row r="90" spans="1:31" ht="18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</row>
    <row r="91" spans="1:31" ht="18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</row>
    <row r="92" spans="1:31" ht="18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</row>
    <row r="93" spans="1:31" ht="18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</row>
    <row r="94" spans="1:31" ht="18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</row>
    <row r="95" spans="1:31" ht="18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</row>
    <row r="96" spans="1:31" ht="18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</row>
    <row r="97" spans="1:31" ht="18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</row>
    <row r="98" spans="1:31" ht="18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</row>
    <row r="99" spans="1:31" ht="18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</row>
    <row r="100" spans="1:31" ht="18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</row>
    <row r="101" spans="1:31" ht="18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</row>
    <row r="102" spans="1:31" ht="18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</row>
    <row r="103" spans="1:31" ht="18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</row>
    <row r="104" spans="1:31" ht="18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</row>
    <row r="105" spans="1:31" ht="18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</row>
    <row r="106" spans="1:31" ht="18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</row>
    <row r="107" spans="1:31" ht="18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</row>
    <row r="108" spans="1:31" ht="18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</row>
    <row r="109" spans="1:31" ht="18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</row>
  </sheetData>
  <mergeCells count="539">
    <mergeCell ref="B70:J70"/>
    <mergeCell ref="K70:N70"/>
    <mergeCell ref="O70:R70"/>
    <mergeCell ref="S70:V70"/>
    <mergeCell ref="W70:X70"/>
    <mergeCell ref="AA70:AB70"/>
    <mergeCell ref="B69:J69"/>
    <mergeCell ref="K69:L69"/>
    <mergeCell ref="M69:N69"/>
    <mergeCell ref="O69:P69"/>
    <mergeCell ref="Q69:R69"/>
    <mergeCell ref="S69:T69"/>
    <mergeCell ref="U69:V69"/>
    <mergeCell ref="W69:X69"/>
    <mergeCell ref="AA69:AB69"/>
    <mergeCell ref="AA67:AB67"/>
    <mergeCell ref="F68:J68"/>
    <mergeCell ref="K68:L68"/>
    <mergeCell ref="M68:N68"/>
    <mergeCell ref="O68:P68"/>
    <mergeCell ref="Q68:R68"/>
    <mergeCell ref="S68:T68"/>
    <mergeCell ref="U68:V68"/>
    <mergeCell ref="W68:X68"/>
    <mergeCell ref="AA68:AB68"/>
    <mergeCell ref="Y65:Y67"/>
    <mergeCell ref="F66:J66"/>
    <mergeCell ref="K66:L66"/>
    <mergeCell ref="M66:N66"/>
    <mergeCell ref="O66:P66"/>
    <mergeCell ref="Q66:R66"/>
    <mergeCell ref="S66:T66"/>
    <mergeCell ref="U66:V66"/>
    <mergeCell ref="F67:J67"/>
    <mergeCell ref="K67:L67"/>
    <mergeCell ref="M67:N67"/>
    <mergeCell ref="O67:P67"/>
    <mergeCell ref="Q67:R67"/>
    <mergeCell ref="S67:T67"/>
    <mergeCell ref="W65:X67"/>
    <mergeCell ref="B64:G64"/>
    <mergeCell ref="K64:L64"/>
    <mergeCell ref="M64:N64"/>
    <mergeCell ref="O64:P64"/>
    <mergeCell ref="Q64:R64"/>
    <mergeCell ref="S64:T64"/>
    <mergeCell ref="U64:V64"/>
    <mergeCell ref="W64:X64"/>
    <mergeCell ref="U67:V67"/>
    <mergeCell ref="B65:E68"/>
    <mergeCell ref="F65:J65"/>
    <mergeCell ref="K65:L65"/>
    <mergeCell ref="M65:N65"/>
    <mergeCell ref="O65:P65"/>
    <mergeCell ref="Q65:R65"/>
    <mergeCell ref="S65:T65"/>
    <mergeCell ref="U65:V65"/>
    <mergeCell ref="AA64:AB64"/>
    <mergeCell ref="B63:G63"/>
    <mergeCell ref="K63:L63"/>
    <mergeCell ref="M63:N63"/>
    <mergeCell ref="O63:P63"/>
    <mergeCell ref="Q63:R63"/>
    <mergeCell ref="S63:T63"/>
    <mergeCell ref="U63:V63"/>
    <mergeCell ref="W63:X63"/>
    <mergeCell ref="AA63:AB63"/>
    <mergeCell ref="C61:C62"/>
    <mergeCell ref="F61:G61"/>
    <mergeCell ref="K61:L61"/>
    <mergeCell ref="M61:N61"/>
    <mergeCell ref="O61:P61"/>
    <mergeCell ref="Q61:R61"/>
    <mergeCell ref="S61:T61"/>
    <mergeCell ref="U61:V61"/>
    <mergeCell ref="W61:X62"/>
    <mergeCell ref="F62:G62"/>
    <mergeCell ref="K62:L62"/>
    <mergeCell ref="M62:N62"/>
    <mergeCell ref="O62:P62"/>
    <mergeCell ref="Q62:R62"/>
    <mergeCell ref="S62:T62"/>
    <mergeCell ref="U62:V62"/>
    <mergeCell ref="U59:V59"/>
    <mergeCell ref="W59:X60"/>
    <mergeCell ref="F60:G60"/>
    <mergeCell ref="K60:L60"/>
    <mergeCell ref="M60:N60"/>
    <mergeCell ref="O60:P60"/>
    <mergeCell ref="Q60:R60"/>
    <mergeCell ref="S60:T60"/>
    <mergeCell ref="U60:V60"/>
    <mergeCell ref="F57:G57"/>
    <mergeCell ref="K57:L57"/>
    <mergeCell ref="M57:N57"/>
    <mergeCell ref="O57:P57"/>
    <mergeCell ref="Q57:R57"/>
    <mergeCell ref="S57:T57"/>
    <mergeCell ref="U57:V57"/>
    <mergeCell ref="W57:X57"/>
    <mergeCell ref="B58:B62"/>
    <mergeCell ref="F58:G58"/>
    <mergeCell ref="K58:L58"/>
    <mergeCell ref="M58:N58"/>
    <mergeCell ref="O58:P58"/>
    <mergeCell ref="Q58:R58"/>
    <mergeCell ref="S58:T58"/>
    <mergeCell ref="U58:V58"/>
    <mergeCell ref="W58:X58"/>
    <mergeCell ref="C59:C60"/>
    <mergeCell ref="F59:G59"/>
    <mergeCell ref="K59:L59"/>
    <mergeCell ref="M59:N59"/>
    <mergeCell ref="O59:P59"/>
    <mergeCell ref="Q59:R59"/>
    <mergeCell ref="S59:T59"/>
    <mergeCell ref="F55:G55"/>
    <mergeCell ref="K55:L55"/>
    <mergeCell ref="M55:N55"/>
    <mergeCell ref="O55:P55"/>
    <mergeCell ref="Q55:R55"/>
    <mergeCell ref="S55:T55"/>
    <mergeCell ref="U55:V55"/>
    <mergeCell ref="W55:X55"/>
    <mergeCell ref="F56:G56"/>
    <mergeCell ref="K56:L56"/>
    <mergeCell ref="M56:N56"/>
    <mergeCell ref="O56:P56"/>
    <mergeCell ref="Q56:R56"/>
    <mergeCell ref="S56:T56"/>
    <mergeCell ref="U56:V56"/>
    <mergeCell ref="W56:X56"/>
    <mergeCell ref="F53:G53"/>
    <mergeCell ref="K53:L53"/>
    <mergeCell ref="M53:N53"/>
    <mergeCell ref="O53:P53"/>
    <mergeCell ref="Q53:R53"/>
    <mergeCell ref="S53:T53"/>
    <mergeCell ref="U53:V53"/>
    <mergeCell ref="W53:X53"/>
    <mergeCell ref="F54:G54"/>
    <mergeCell ref="K54:L54"/>
    <mergeCell ref="M54:N54"/>
    <mergeCell ref="O54:P54"/>
    <mergeCell ref="Q54:R54"/>
    <mergeCell ref="S54:T54"/>
    <mergeCell ref="U54:V54"/>
    <mergeCell ref="W54:X54"/>
    <mergeCell ref="F51:G51"/>
    <mergeCell ref="K51:L51"/>
    <mergeCell ref="M51:N51"/>
    <mergeCell ref="O51:P51"/>
    <mergeCell ref="Q51:R51"/>
    <mergeCell ref="S51:T51"/>
    <mergeCell ref="U51:V51"/>
    <mergeCell ref="W51:X51"/>
    <mergeCell ref="F52:G52"/>
    <mergeCell ref="K52:L52"/>
    <mergeCell ref="M52:N52"/>
    <mergeCell ref="O52:P52"/>
    <mergeCell ref="Q52:R52"/>
    <mergeCell ref="S52:T52"/>
    <mergeCell ref="U52:V52"/>
    <mergeCell ref="W52:X52"/>
    <mergeCell ref="F49:G49"/>
    <mergeCell ref="K49:L49"/>
    <mergeCell ref="M49:N49"/>
    <mergeCell ref="O49:P49"/>
    <mergeCell ref="Q49:R49"/>
    <mergeCell ref="S49:T49"/>
    <mergeCell ref="U49:V49"/>
    <mergeCell ref="W49:X49"/>
    <mergeCell ref="F50:G50"/>
    <mergeCell ref="K50:L50"/>
    <mergeCell ref="M50:N50"/>
    <mergeCell ref="O50:P50"/>
    <mergeCell ref="Q50:R50"/>
    <mergeCell ref="S50:T50"/>
    <mergeCell ref="U50:V50"/>
    <mergeCell ref="W50:X50"/>
    <mergeCell ref="W47:X47"/>
    <mergeCell ref="F48:G48"/>
    <mergeCell ref="K48:L48"/>
    <mergeCell ref="M48:N48"/>
    <mergeCell ref="O48:P48"/>
    <mergeCell ref="Q48:R48"/>
    <mergeCell ref="S48:T48"/>
    <mergeCell ref="U48:V48"/>
    <mergeCell ref="W48:X48"/>
    <mergeCell ref="W45:X45"/>
    <mergeCell ref="F46:G46"/>
    <mergeCell ref="K46:L46"/>
    <mergeCell ref="M46:N46"/>
    <mergeCell ref="O46:P46"/>
    <mergeCell ref="Q46:R46"/>
    <mergeCell ref="S46:T46"/>
    <mergeCell ref="U46:V46"/>
    <mergeCell ref="W46:X46"/>
    <mergeCell ref="W43:X43"/>
    <mergeCell ref="F44:G44"/>
    <mergeCell ref="K44:L44"/>
    <mergeCell ref="M44:N44"/>
    <mergeCell ref="O44:P44"/>
    <mergeCell ref="Q44:R44"/>
    <mergeCell ref="S44:T44"/>
    <mergeCell ref="U44:V44"/>
    <mergeCell ref="W44:X44"/>
    <mergeCell ref="W40:X40"/>
    <mergeCell ref="Y40:Y62"/>
    <mergeCell ref="F41:G41"/>
    <mergeCell ref="K41:L41"/>
    <mergeCell ref="M41:N41"/>
    <mergeCell ref="O41:P41"/>
    <mergeCell ref="Q41:R41"/>
    <mergeCell ref="S41:T41"/>
    <mergeCell ref="U41:V41"/>
    <mergeCell ref="W41:X41"/>
    <mergeCell ref="F42:G42"/>
    <mergeCell ref="K42:L42"/>
    <mergeCell ref="M42:N42"/>
    <mergeCell ref="O42:P42"/>
    <mergeCell ref="Q42:R42"/>
    <mergeCell ref="S42:T42"/>
    <mergeCell ref="U42:V42"/>
    <mergeCell ref="W42:X42"/>
    <mergeCell ref="F43:G43"/>
    <mergeCell ref="K43:L43"/>
    <mergeCell ref="M43:N43"/>
    <mergeCell ref="O43:P43"/>
    <mergeCell ref="Q43:R43"/>
    <mergeCell ref="S43:T43"/>
    <mergeCell ref="B40:C57"/>
    <mergeCell ref="D40:E40"/>
    <mergeCell ref="F40:G40"/>
    <mergeCell ref="K40:L40"/>
    <mergeCell ref="M40:N40"/>
    <mergeCell ref="O40:P40"/>
    <mergeCell ref="Q40:R40"/>
    <mergeCell ref="S40:T40"/>
    <mergeCell ref="U40:V40"/>
    <mergeCell ref="U43:V43"/>
    <mergeCell ref="F45:G45"/>
    <mergeCell ref="K45:L45"/>
    <mergeCell ref="M45:N45"/>
    <mergeCell ref="O45:P45"/>
    <mergeCell ref="Q45:R45"/>
    <mergeCell ref="S45:T45"/>
    <mergeCell ref="U45:V45"/>
    <mergeCell ref="F47:G47"/>
    <mergeCell ref="K47:L47"/>
    <mergeCell ref="M47:N47"/>
    <mergeCell ref="O47:P47"/>
    <mergeCell ref="Q47:R47"/>
    <mergeCell ref="S47:T47"/>
    <mergeCell ref="U47:V47"/>
    <mergeCell ref="B39:G39"/>
    <mergeCell ref="K39:L39"/>
    <mergeCell ref="M39:N39"/>
    <mergeCell ref="O39:P39"/>
    <mergeCell ref="Q39:R39"/>
    <mergeCell ref="S39:T39"/>
    <mergeCell ref="U39:V39"/>
    <mergeCell ref="W39:X39"/>
    <mergeCell ref="AA39:AB39"/>
    <mergeCell ref="Y36:Y38"/>
    <mergeCell ref="F37:G37"/>
    <mergeCell ref="K37:L37"/>
    <mergeCell ref="M37:N37"/>
    <mergeCell ref="O37:P37"/>
    <mergeCell ref="Q37:R37"/>
    <mergeCell ref="S37:T37"/>
    <mergeCell ref="U37:V37"/>
    <mergeCell ref="F38:G38"/>
    <mergeCell ref="K38:L38"/>
    <mergeCell ref="M38:N38"/>
    <mergeCell ref="O38:P38"/>
    <mergeCell ref="Q38:R38"/>
    <mergeCell ref="S38:T38"/>
    <mergeCell ref="U38:V38"/>
    <mergeCell ref="D36:D38"/>
    <mergeCell ref="F36:G36"/>
    <mergeCell ref="K36:L36"/>
    <mergeCell ref="M36:N36"/>
    <mergeCell ref="O36:P36"/>
    <mergeCell ref="Q36:R36"/>
    <mergeCell ref="S36:T36"/>
    <mergeCell ref="U36:V36"/>
    <mergeCell ref="W36:X38"/>
    <mergeCell ref="Y32:Y35"/>
    <mergeCell ref="F33:G33"/>
    <mergeCell ref="K33:L33"/>
    <mergeCell ref="M33:N33"/>
    <mergeCell ref="O33:P33"/>
    <mergeCell ref="Q33:R33"/>
    <mergeCell ref="S33:T33"/>
    <mergeCell ref="U33:V33"/>
    <mergeCell ref="F34:G34"/>
    <mergeCell ref="K34:L34"/>
    <mergeCell ref="M34:N34"/>
    <mergeCell ref="O34:P34"/>
    <mergeCell ref="Q34:R34"/>
    <mergeCell ref="S34:T34"/>
    <mergeCell ref="U34:V34"/>
    <mergeCell ref="F35:G35"/>
    <mergeCell ref="K35:L35"/>
    <mergeCell ref="M35:N35"/>
    <mergeCell ref="O35:P35"/>
    <mergeCell ref="Q35:R35"/>
    <mergeCell ref="S35:T35"/>
    <mergeCell ref="U35:V35"/>
    <mergeCell ref="D32:D35"/>
    <mergeCell ref="F32:G32"/>
    <mergeCell ref="K32:L32"/>
    <mergeCell ref="M32:N32"/>
    <mergeCell ref="O32:P32"/>
    <mergeCell ref="Q32:R32"/>
    <mergeCell ref="S32:T32"/>
    <mergeCell ref="U32:V32"/>
    <mergeCell ref="W32:X35"/>
    <mergeCell ref="Y27:Y31"/>
    <mergeCell ref="F28:G28"/>
    <mergeCell ref="K28:L28"/>
    <mergeCell ref="M28:N28"/>
    <mergeCell ref="O28:P28"/>
    <mergeCell ref="Q28:R28"/>
    <mergeCell ref="S28:T28"/>
    <mergeCell ref="U28:V28"/>
    <mergeCell ref="F29:G29"/>
    <mergeCell ref="K29:L29"/>
    <mergeCell ref="M29:N29"/>
    <mergeCell ref="O29:P29"/>
    <mergeCell ref="Q29:R29"/>
    <mergeCell ref="S29:T29"/>
    <mergeCell ref="U29:V29"/>
    <mergeCell ref="F30:G30"/>
    <mergeCell ref="K30:L30"/>
    <mergeCell ref="M30:N30"/>
    <mergeCell ref="O30:P30"/>
    <mergeCell ref="Q30:R30"/>
    <mergeCell ref="S30:T30"/>
    <mergeCell ref="U30:V30"/>
    <mergeCell ref="F31:G31"/>
    <mergeCell ref="K31:L31"/>
    <mergeCell ref="D27:D31"/>
    <mergeCell ref="F27:G27"/>
    <mergeCell ref="K27:L27"/>
    <mergeCell ref="M27:N27"/>
    <mergeCell ref="O27:P27"/>
    <mergeCell ref="Q27:R27"/>
    <mergeCell ref="S27:T27"/>
    <mergeCell ref="U27:V27"/>
    <mergeCell ref="X27:X31"/>
    <mergeCell ref="M31:N31"/>
    <mergeCell ref="O31:P31"/>
    <mergeCell ref="Q31:R31"/>
    <mergeCell ref="S31:T31"/>
    <mergeCell ref="U31:V31"/>
    <mergeCell ref="D25:D26"/>
    <mergeCell ref="F25:G25"/>
    <mergeCell ref="K25:L25"/>
    <mergeCell ref="M25:N25"/>
    <mergeCell ref="O25:P25"/>
    <mergeCell ref="Q25:R25"/>
    <mergeCell ref="S25:T25"/>
    <mergeCell ref="U25:V25"/>
    <mergeCell ref="X25:X26"/>
    <mergeCell ref="F26:G26"/>
    <mergeCell ref="K26:L26"/>
    <mergeCell ref="M26:N26"/>
    <mergeCell ref="O26:P26"/>
    <mergeCell ref="Q26:R26"/>
    <mergeCell ref="S26:T26"/>
    <mergeCell ref="U26:V26"/>
    <mergeCell ref="X23:X24"/>
    <mergeCell ref="Y23:Y26"/>
    <mergeCell ref="F24:G24"/>
    <mergeCell ref="K24:L24"/>
    <mergeCell ref="M24:N24"/>
    <mergeCell ref="O24:P24"/>
    <mergeCell ref="Q24:R24"/>
    <mergeCell ref="S24:T24"/>
    <mergeCell ref="U24:V24"/>
    <mergeCell ref="D17:D20"/>
    <mergeCell ref="F17:G17"/>
    <mergeCell ref="K17:L17"/>
    <mergeCell ref="M17:N17"/>
    <mergeCell ref="O17:P17"/>
    <mergeCell ref="Q17:R17"/>
    <mergeCell ref="X21:X22"/>
    <mergeCell ref="Y21:Y22"/>
    <mergeCell ref="F22:G22"/>
    <mergeCell ref="K22:L22"/>
    <mergeCell ref="M22:N22"/>
    <mergeCell ref="O22:P22"/>
    <mergeCell ref="Q22:R22"/>
    <mergeCell ref="S22:T22"/>
    <mergeCell ref="U22:V22"/>
    <mergeCell ref="D21:D24"/>
    <mergeCell ref="F21:G21"/>
    <mergeCell ref="K21:L21"/>
    <mergeCell ref="M21:N21"/>
    <mergeCell ref="O21:P21"/>
    <mergeCell ref="Q21:R21"/>
    <mergeCell ref="S21:T21"/>
    <mergeCell ref="U21:V21"/>
    <mergeCell ref="F23:G23"/>
    <mergeCell ref="K23:L23"/>
    <mergeCell ref="M23:N23"/>
    <mergeCell ref="O23:P23"/>
    <mergeCell ref="Q23:R23"/>
    <mergeCell ref="S23:T23"/>
    <mergeCell ref="U23:V23"/>
    <mergeCell ref="S17:T17"/>
    <mergeCell ref="U17:V17"/>
    <mergeCell ref="X17:X20"/>
    <mergeCell ref="F18:G18"/>
    <mergeCell ref="K18:L18"/>
    <mergeCell ref="M18:N18"/>
    <mergeCell ref="O18:P18"/>
    <mergeCell ref="Q18:R18"/>
    <mergeCell ref="S18:T18"/>
    <mergeCell ref="U18:V18"/>
    <mergeCell ref="F19:G19"/>
    <mergeCell ref="K19:L19"/>
    <mergeCell ref="M19:N19"/>
    <mergeCell ref="O19:P19"/>
    <mergeCell ref="Q19:R19"/>
    <mergeCell ref="S19:T19"/>
    <mergeCell ref="U19:V19"/>
    <mergeCell ref="F20:G20"/>
    <mergeCell ref="K20:L20"/>
    <mergeCell ref="M20:N20"/>
    <mergeCell ref="O20:P20"/>
    <mergeCell ref="Q20:R20"/>
    <mergeCell ref="S20:T20"/>
    <mergeCell ref="U20:V20"/>
    <mergeCell ref="AB14:AD14"/>
    <mergeCell ref="F15:G15"/>
    <mergeCell ref="K15:L15"/>
    <mergeCell ref="M15:N15"/>
    <mergeCell ref="O15:P15"/>
    <mergeCell ref="Q15:R15"/>
    <mergeCell ref="S15:T15"/>
    <mergeCell ref="U15:V15"/>
    <mergeCell ref="F16:G16"/>
    <mergeCell ref="K16:L16"/>
    <mergeCell ref="M16:N16"/>
    <mergeCell ref="O16:P16"/>
    <mergeCell ref="Q16:R16"/>
    <mergeCell ref="S16:T16"/>
    <mergeCell ref="U16:V16"/>
    <mergeCell ref="D13:D16"/>
    <mergeCell ref="F13:G13"/>
    <mergeCell ref="K13:L13"/>
    <mergeCell ref="M13:N13"/>
    <mergeCell ref="O13:P13"/>
    <mergeCell ref="Q13:R13"/>
    <mergeCell ref="S13:T13"/>
    <mergeCell ref="U13:V13"/>
    <mergeCell ref="X13:X16"/>
    <mergeCell ref="F14:G14"/>
    <mergeCell ref="K14:L14"/>
    <mergeCell ref="M14:N14"/>
    <mergeCell ref="O14:P14"/>
    <mergeCell ref="Q14:R14"/>
    <mergeCell ref="S14:T14"/>
    <mergeCell ref="U14:V14"/>
    <mergeCell ref="S11:T11"/>
    <mergeCell ref="U11:V11"/>
    <mergeCell ref="F12:G12"/>
    <mergeCell ref="K12:L12"/>
    <mergeCell ref="M12:N12"/>
    <mergeCell ref="O12:P12"/>
    <mergeCell ref="Q12:R12"/>
    <mergeCell ref="S12:T12"/>
    <mergeCell ref="U12:V12"/>
    <mergeCell ref="AA8:AD8"/>
    <mergeCell ref="B9:C38"/>
    <mergeCell ref="D9:D12"/>
    <mergeCell ref="F9:G9"/>
    <mergeCell ref="K9:L9"/>
    <mergeCell ref="M9:N9"/>
    <mergeCell ref="O9:P9"/>
    <mergeCell ref="Q9:R9"/>
    <mergeCell ref="S9:T9"/>
    <mergeCell ref="U9:V9"/>
    <mergeCell ref="X9:X12"/>
    <mergeCell ref="Y9:Y20"/>
    <mergeCell ref="F10:G10"/>
    <mergeCell ref="K10:L10"/>
    <mergeCell ref="M10:N10"/>
    <mergeCell ref="O10:P10"/>
    <mergeCell ref="Q10:R10"/>
    <mergeCell ref="S10:T10"/>
    <mergeCell ref="U10:V10"/>
    <mergeCell ref="F11:G11"/>
    <mergeCell ref="K11:L11"/>
    <mergeCell ref="M11:N11"/>
    <mergeCell ref="O11:P11"/>
    <mergeCell ref="Q11:R11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</mergeCells>
  <phoneticPr fontId="41" type="noConversion"/>
  <conditionalFormatting sqref="AA39 AA68 AA70">
    <cfRule type="expression" dxfId="3" priority="2">
      <formula>NOT(ISERROR(SEARCH("FALSE",AA39)))</formula>
    </cfRule>
  </conditionalFormatting>
  <conditionalFormatting sqref="AA64">
    <cfRule type="expression" dxfId="2" priority="3">
      <formula>NOT(ISERROR(SEARCH("FALSE",AA64)))</formula>
    </cfRule>
  </conditionalFormatting>
  <printOptions horizontalCentered="1" verticalCentered="1"/>
  <pageMargins left="0.25" right="0.25" top="0.75" bottom="0.75" header="0.511811023622047" footer="0.511811023622047"/>
  <pageSetup paperSize="12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E109"/>
  <sheetViews>
    <sheetView zoomScale="78" zoomScaleNormal="78" workbookViewId="0">
      <pane ySplit="8" topLeftCell="A51" activePane="bottomLeft" state="frozen"/>
      <selection pane="bottomLeft" activeCell="AA19" sqref="AA19"/>
    </sheetView>
  </sheetViews>
  <sheetFormatPr defaultColWidth="7.375" defaultRowHeight="16.5"/>
  <cols>
    <col min="1" max="1" width="1.75" style="1" customWidth="1"/>
    <col min="2" max="2" width="8.125" style="1" customWidth="1"/>
    <col min="3" max="3" width="14.5" style="1" customWidth="1"/>
    <col min="4" max="4" width="9.375" style="1" customWidth="1"/>
    <col min="5" max="5" width="8.75" style="1" customWidth="1"/>
    <col min="6" max="6" width="14.125" style="1" customWidth="1"/>
    <col min="7" max="7" width="5.25" style="1" customWidth="1"/>
    <col min="8" max="8" width="4.75" style="1" customWidth="1"/>
    <col min="9" max="9" width="6.75" style="1" customWidth="1"/>
    <col min="10" max="10" width="4.75" style="1" customWidth="1"/>
    <col min="11" max="22" width="3.25" style="1" customWidth="1"/>
    <col min="23" max="24" width="2.875" style="1" customWidth="1"/>
    <col min="25" max="25" width="5.375" style="1" customWidth="1"/>
    <col min="26" max="26" width="7.375" style="1"/>
    <col min="27" max="27" width="18.875" style="1" customWidth="1"/>
    <col min="28" max="29" width="11" style="1" customWidth="1"/>
    <col min="30" max="30" width="11.75" style="1" customWidth="1"/>
    <col min="31" max="16384" width="7.375" style="1"/>
  </cols>
  <sheetData>
    <row r="1" spans="1:31" ht="18" customHeight="1"/>
    <row r="2" spans="1:31" ht="30.75" customHeight="1">
      <c r="B2" s="156" t="s">
        <v>0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7" t="s">
        <v>1</v>
      </c>
      <c r="W2" s="157"/>
      <c r="X2" s="158">
        <v>2027</v>
      </c>
      <c r="Y2" s="158"/>
      <c r="AA2" s="159" t="s">
        <v>2</v>
      </c>
      <c r="AB2" s="2" t="s">
        <v>3</v>
      </c>
      <c r="AC2" s="3" t="s">
        <v>4</v>
      </c>
      <c r="AD2" s="4" t="s">
        <v>5</v>
      </c>
    </row>
    <row r="3" spans="1:31" ht="18" customHeight="1">
      <c r="B3" s="160" t="s">
        <v>6</v>
      </c>
      <c r="C3" s="161" t="s">
        <v>7</v>
      </c>
      <c r="D3" s="161"/>
      <c r="E3" s="161"/>
      <c r="F3" s="160" t="s">
        <v>8</v>
      </c>
      <c r="G3" s="160"/>
      <c r="H3" s="161" t="s">
        <v>9</v>
      </c>
      <c r="I3" s="161"/>
      <c r="J3" s="161"/>
      <c r="K3" s="160" t="s">
        <v>10</v>
      </c>
      <c r="L3" s="160"/>
      <c r="M3" s="160"/>
      <c r="N3" s="160"/>
      <c r="O3" s="160"/>
      <c r="P3" s="160" t="s">
        <v>11</v>
      </c>
      <c r="Q3" s="160"/>
      <c r="R3" s="160"/>
      <c r="S3" s="160"/>
      <c r="T3" s="160"/>
      <c r="U3" s="160"/>
      <c r="V3" s="160"/>
      <c r="W3" s="160"/>
      <c r="X3" s="160"/>
      <c r="Y3" s="160"/>
      <c r="AA3" s="159"/>
      <c r="AB3" s="5" t="s">
        <v>12</v>
      </c>
      <c r="AC3" s="6" t="s">
        <v>13</v>
      </c>
      <c r="AD3" s="7" t="s">
        <v>14</v>
      </c>
    </row>
    <row r="4" spans="1:31" ht="18" customHeight="1">
      <c r="B4" s="160"/>
      <c r="C4" s="161"/>
      <c r="D4" s="161"/>
      <c r="E4" s="161"/>
      <c r="F4" s="160"/>
      <c r="G4" s="160"/>
      <c r="H4" s="161"/>
      <c r="I4" s="161"/>
      <c r="J4" s="161"/>
      <c r="K4" s="160"/>
      <c r="L4" s="160"/>
      <c r="M4" s="160"/>
      <c r="N4" s="160"/>
      <c r="O4" s="160"/>
      <c r="P4" s="161" t="s">
        <v>15</v>
      </c>
      <c r="Q4" s="161"/>
      <c r="R4" s="161"/>
      <c r="S4" s="161"/>
      <c r="T4" s="160" t="s">
        <v>16</v>
      </c>
      <c r="U4" s="160"/>
      <c r="V4" s="160"/>
      <c r="W4" s="162" t="s">
        <v>17</v>
      </c>
      <c r="X4" s="162"/>
      <c r="Y4" s="162"/>
      <c r="AA4" s="159"/>
      <c r="AB4" s="8" t="s">
        <v>18</v>
      </c>
      <c r="AC4" s="9" t="s">
        <v>19</v>
      </c>
      <c r="AD4" s="7" t="s">
        <v>20</v>
      </c>
    </row>
    <row r="5" spans="1:31" ht="37.5" customHeight="1">
      <c r="B5" s="10" t="s">
        <v>21</v>
      </c>
      <c r="C5" s="163" t="s">
        <v>22</v>
      </c>
      <c r="D5" s="163"/>
      <c r="E5" s="163"/>
      <c r="F5" s="164" t="s">
        <v>23</v>
      </c>
      <c r="G5" s="164"/>
      <c r="H5" s="165" t="s">
        <v>174</v>
      </c>
      <c r="I5" s="165"/>
      <c r="J5" s="165"/>
      <c r="K5" s="166"/>
      <c r="L5" s="166"/>
      <c r="M5" s="166"/>
      <c r="N5" s="166"/>
      <c r="O5" s="166"/>
      <c r="P5" s="231" t="s">
        <v>175</v>
      </c>
      <c r="Q5" s="231"/>
      <c r="R5" s="231"/>
      <c r="S5" s="231"/>
      <c r="T5" s="163" t="s">
        <v>27</v>
      </c>
      <c r="U5" s="163"/>
      <c r="V5" s="163"/>
      <c r="W5" s="232" t="s">
        <v>176</v>
      </c>
      <c r="X5" s="232"/>
      <c r="Y5" s="232"/>
      <c r="AA5" s="159"/>
      <c r="AB5" s="11" t="s">
        <v>28</v>
      </c>
      <c r="AC5" s="12" t="s">
        <v>29</v>
      </c>
      <c r="AD5" s="13" t="s">
        <v>30</v>
      </c>
    </row>
    <row r="6" spans="1:31" ht="15.75" customHeight="1">
      <c r="U6" s="169"/>
      <c r="V6" s="169"/>
      <c r="W6" s="169"/>
      <c r="X6" s="169"/>
      <c r="Y6" s="169"/>
    </row>
    <row r="7" spans="1:31" s="14" customFormat="1" ht="22.5" customHeight="1">
      <c r="B7" s="170" t="s">
        <v>31</v>
      </c>
      <c r="C7" s="170"/>
      <c r="D7" s="171" t="s">
        <v>32</v>
      </c>
      <c r="E7" s="171" t="s">
        <v>33</v>
      </c>
      <c r="F7" s="171"/>
      <c r="G7" s="171"/>
      <c r="H7" s="172" t="s">
        <v>34</v>
      </c>
      <c r="I7" s="173" t="s">
        <v>35</v>
      </c>
      <c r="J7" s="174" t="s">
        <v>36</v>
      </c>
      <c r="K7" s="175" t="s">
        <v>37</v>
      </c>
      <c r="L7" s="175"/>
      <c r="M7" s="175"/>
      <c r="N7" s="175"/>
      <c r="O7" s="176" t="s">
        <v>38</v>
      </c>
      <c r="P7" s="176"/>
      <c r="Q7" s="176"/>
      <c r="R7" s="176"/>
      <c r="S7" s="175" t="s">
        <v>39</v>
      </c>
      <c r="T7" s="175"/>
      <c r="U7" s="175"/>
      <c r="V7" s="175"/>
      <c r="W7" s="172" t="s">
        <v>40</v>
      </c>
      <c r="X7" s="172"/>
      <c r="Y7" s="177" t="s">
        <v>41</v>
      </c>
      <c r="Z7" s="15"/>
    </row>
    <row r="8" spans="1:31" s="14" customFormat="1" ht="22.5" customHeight="1">
      <c r="B8" s="170"/>
      <c r="C8" s="170"/>
      <c r="D8" s="171"/>
      <c r="E8" s="16" t="s">
        <v>42</v>
      </c>
      <c r="F8" s="178" t="s">
        <v>43</v>
      </c>
      <c r="G8" s="178"/>
      <c r="H8" s="172"/>
      <c r="I8" s="173"/>
      <c r="J8" s="174"/>
      <c r="K8" s="179" t="s">
        <v>44</v>
      </c>
      <c r="L8" s="179"/>
      <c r="M8" s="180" t="s">
        <v>45</v>
      </c>
      <c r="N8" s="180"/>
      <c r="O8" s="181" t="s">
        <v>44</v>
      </c>
      <c r="P8" s="181"/>
      <c r="Q8" s="180" t="s">
        <v>45</v>
      </c>
      <c r="R8" s="180"/>
      <c r="S8" s="179" t="s">
        <v>44</v>
      </c>
      <c r="T8" s="179"/>
      <c r="U8" s="180" t="s">
        <v>45</v>
      </c>
      <c r="V8" s="180"/>
      <c r="W8" s="172"/>
      <c r="X8" s="172"/>
      <c r="Y8" s="177"/>
      <c r="AA8" s="182" t="s">
        <v>46</v>
      </c>
      <c r="AB8" s="182"/>
      <c r="AC8" s="182"/>
      <c r="AD8" s="182"/>
    </row>
    <row r="9" spans="1:31" ht="18" customHeight="1">
      <c r="A9" s="17"/>
      <c r="B9" s="183" t="s">
        <v>47</v>
      </c>
      <c r="C9" s="183"/>
      <c r="D9" s="183" t="s">
        <v>48</v>
      </c>
      <c r="E9" s="18" t="s">
        <v>49</v>
      </c>
      <c r="F9" s="184" t="s">
        <v>50</v>
      </c>
      <c r="G9" s="184"/>
      <c r="H9" s="19">
        <v>4</v>
      </c>
      <c r="I9" s="20" t="s">
        <v>51</v>
      </c>
      <c r="J9" s="21">
        <f t="shared" ref="J9:J38" si="0">SUM(K9:V9)</f>
        <v>3</v>
      </c>
      <c r="K9" s="185">
        <v>3</v>
      </c>
      <c r="L9" s="185"/>
      <c r="M9" s="186"/>
      <c r="N9" s="186"/>
      <c r="O9" s="185"/>
      <c r="P9" s="185"/>
      <c r="Q9" s="186"/>
      <c r="R9" s="186"/>
      <c r="S9" s="185"/>
      <c r="T9" s="185"/>
      <c r="U9" s="186"/>
      <c r="V9" s="186"/>
      <c r="W9" s="19">
        <f t="shared" ref="W9:W31" si="1">SUM(K9:V9)</f>
        <v>3</v>
      </c>
      <c r="X9" s="187">
        <f>SUM(W9:W12)</f>
        <v>12</v>
      </c>
      <c r="Y9" s="188">
        <v>24</v>
      </c>
      <c r="Z9" s="17"/>
      <c r="AA9" s="22" t="s">
        <v>42</v>
      </c>
      <c r="AB9" s="23" t="s">
        <v>52</v>
      </c>
      <c r="AC9" s="23" t="s">
        <v>53</v>
      </c>
      <c r="AD9" s="24" t="s">
        <v>54</v>
      </c>
    </row>
    <row r="10" spans="1:31" ht="18" customHeight="1">
      <c r="A10" s="17"/>
      <c r="B10" s="183"/>
      <c r="C10" s="183"/>
      <c r="D10" s="183"/>
      <c r="E10" s="25" t="s">
        <v>49</v>
      </c>
      <c r="F10" s="189" t="s">
        <v>55</v>
      </c>
      <c r="G10" s="189"/>
      <c r="H10" s="26">
        <v>4</v>
      </c>
      <c r="I10" s="27" t="s">
        <v>51</v>
      </c>
      <c r="J10" s="28">
        <f t="shared" si="0"/>
        <v>3</v>
      </c>
      <c r="K10" s="190"/>
      <c r="L10" s="190"/>
      <c r="M10" s="191">
        <v>3</v>
      </c>
      <c r="N10" s="191"/>
      <c r="O10" s="190"/>
      <c r="P10" s="190"/>
      <c r="Q10" s="191"/>
      <c r="R10" s="191"/>
      <c r="S10" s="190"/>
      <c r="T10" s="190"/>
      <c r="U10" s="191"/>
      <c r="V10" s="191"/>
      <c r="W10" s="26">
        <f t="shared" si="1"/>
        <v>3</v>
      </c>
      <c r="X10" s="187"/>
      <c r="Y10" s="188"/>
      <c r="Z10" s="17"/>
      <c r="AA10" s="29" t="s">
        <v>56</v>
      </c>
      <c r="AB10" s="30">
        <v>4</v>
      </c>
      <c r="AC10" s="30">
        <v>-1</v>
      </c>
      <c r="AD10" s="7" t="s">
        <v>51</v>
      </c>
    </row>
    <row r="11" spans="1:31" ht="18" customHeight="1">
      <c r="A11" s="17"/>
      <c r="B11" s="183"/>
      <c r="C11" s="183"/>
      <c r="D11" s="183"/>
      <c r="E11" s="25" t="s">
        <v>57</v>
      </c>
      <c r="F11" s="189" t="s">
        <v>58</v>
      </c>
      <c r="G11" s="189"/>
      <c r="H11" s="26">
        <v>4</v>
      </c>
      <c r="I11" s="27" t="s">
        <v>59</v>
      </c>
      <c r="J11" s="28">
        <f t="shared" si="0"/>
        <v>3</v>
      </c>
      <c r="K11" s="190"/>
      <c r="L11" s="190"/>
      <c r="M11" s="191"/>
      <c r="N11" s="191"/>
      <c r="O11" s="190">
        <v>3</v>
      </c>
      <c r="P11" s="190"/>
      <c r="Q11" s="191"/>
      <c r="R11" s="191"/>
      <c r="S11" s="190"/>
      <c r="T11" s="190"/>
      <c r="U11" s="191"/>
      <c r="V11" s="191"/>
      <c r="W11" s="26">
        <f t="shared" si="1"/>
        <v>3</v>
      </c>
      <c r="X11" s="187"/>
      <c r="Y11" s="188"/>
      <c r="Z11" s="17"/>
      <c r="AA11" s="29" t="s">
        <v>60</v>
      </c>
      <c r="AB11" s="30">
        <v>3</v>
      </c>
      <c r="AC11" s="30"/>
      <c r="AD11" s="7">
        <v>3</v>
      </c>
    </row>
    <row r="12" spans="1:31" ht="18" customHeight="1">
      <c r="A12" s="17"/>
      <c r="B12" s="183"/>
      <c r="C12" s="183"/>
      <c r="D12" s="183"/>
      <c r="E12" s="31" t="s">
        <v>61</v>
      </c>
      <c r="F12" s="192" t="s">
        <v>62</v>
      </c>
      <c r="G12" s="192"/>
      <c r="H12" s="32">
        <v>4</v>
      </c>
      <c r="I12" s="33" t="s">
        <v>59</v>
      </c>
      <c r="J12" s="34">
        <f t="shared" si="0"/>
        <v>3</v>
      </c>
      <c r="K12" s="193"/>
      <c r="L12" s="193"/>
      <c r="M12" s="194"/>
      <c r="N12" s="194"/>
      <c r="O12" s="193"/>
      <c r="P12" s="193"/>
      <c r="Q12" s="194">
        <v>3</v>
      </c>
      <c r="R12" s="194"/>
      <c r="S12" s="193"/>
      <c r="T12" s="193"/>
      <c r="U12" s="194"/>
      <c r="V12" s="194"/>
      <c r="W12" s="32">
        <f t="shared" si="1"/>
        <v>3</v>
      </c>
      <c r="X12" s="187"/>
      <c r="Y12" s="188"/>
      <c r="Z12" s="17"/>
      <c r="AA12" s="29" t="s">
        <v>63</v>
      </c>
      <c r="AB12" s="30">
        <v>4</v>
      </c>
      <c r="AC12" s="30" t="s">
        <v>64</v>
      </c>
      <c r="AD12" s="7" t="s">
        <v>59</v>
      </c>
    </row>
    <row r="13" spans="1:31" ht="18" customHeight="1">
      <c r="A13" s="17"/>
      <c r="B13" s="183"/>
      <c r="C13" s="183"/>
      <c r="D13" s="183" t="s">
        <v>65</v>
      </c>
      <c r="E13" s="18" t="s">
        <v>49</v>
      </c>
      <c r="F13" s="184" t="s">
        <v>66</v>
      </c>
      <c r="G13" s="184"/>
      <c r="H13" s="19">
        <v>4</v>
      </c>
      <c r="I13" s="20" t="s">
        <v>51</v>
      </c>
      <c r="J13" s="21">
        <f t="shared" si="0"/>
        <v>3</v>
      </c>
      <c r="K13" s="185">
        <v>3</v>
      </c>
      <c r="L13" s="185"/>
      <c r="M13" s="186"/>
      <c r="N13" s="186"/>
      <c r="O13" s="185"/>
      <c r="P13" s="185"/>
      <c r="Q13" s="186"/>
      <c r="R13" s="186"/>
      <c r="S13" s="185"/>
      <c r="T13" s="185"/>
      <c r="U13" s="186"/>
      <c r="V13" s="186"/>
      <c r="W13" s="19">
        <f t="shared" si="1"/>
        <v>3</v>
      </c>
      <c r="X13" s="187">
        <f>SUM(W13:W16)</f>
        <v>12</v>
      </c>
      <c r="Y13" s="188"/>
      <c r="Z13" s="17"/>
      <c r="AA13" s="29" t="s">
        <v>67</v>
      </c>
      <c r="AB13" s="30">
        <v>3</v>
      </c>
      <c r="AC13" s="30" t="s">
        <v>64</v>
      </c>
      <c r="AD13" s="7" t="s">
        <v>68</v>
      </c>
    </row>
    <row r="14" spans="1:31" ht="18" customHeight="1">
      <c r="A14" s="17"/>
      <c r="B14" s="183"/>
      <c r="C14" s="183"/>
      <c r="D14" s="183"/>
      <c r="E14" s="25" t="s">
        <v>49</v>
      </c>
      <c r="F14" s="189" t="s">
        <v>69</v>
      </c>
      <c r="G14" s="189"/>
      <c r="H14" s="26">
        <v>4</v>
      </c>
      <c r="I14" s="27" t="s">
        <v>51</v>
      </c>
      <c r="J14" s="28">
        <f t="shared" si="0"/>
        <v>3</v>
      </c>
      <c r="K14" s="190"/>
      <c r="L14" s="190"/>
      <c r="M14" s="191">
        <v>3</v>
      </c>
      <c r="N14" s="191"/>
      <c r="O14" s="190"/>
      <c r="P14" s="190"/>
      <c r="Q14" s="191"/>
      <c r="R14" s="191"/>
      <c r="S14" s="190"/>
      <c r="T14" s="190"/>
      <c r="U14" s="191"/>
      <c r="V14" s="191"/>
      <c r="W14" s="26">
        <f t="shared" si="1"/>
        <v>3</v>
      </c>
      <c r="X14" s="187"/>
      <c r="Y14" s="188"/>
      <c r="Z14" s="17"/>
      <c r="AA14" s="35" t="s">
        <v>70</v>
      </c>
      <c r="AB14" s="195" t="s">
        <v>71</v>
      </c>
      <c r="AC14" s="195"/>
      <c r="AD14" s="195"/>
    </row>
    <row r="15" spans="1:31" ht="18" customHeight="1">
      <c r="A15" s="17"/>
      <c r="B15" s="183"/>
      <c r="C15" s="183"/>
      <c r="D15" s="183"/>
      <c r="E15" s="25" t="s">
        <v>72</v>
      </c>
      <c r="F15" s="189" t="s">
        <v>73</v>
      </c>
      <c r="G15" s="189"/>
      <c r="H15" s="26">
        <v>4</v>
      </c>
      <c r="I15" s="27" t="s">
        <v>59</v>
      </c>
      <c r="J15" s="28">
        <f t="shared" si="0"/>
        <v>3</v>
      </c>
      <c r="K15" s="190"/>
      <c r="L15" s="190"/>
      <c r="M15" s="191"/>
      <c r="N15" s="191"/>
      <c r="O15" s="190">
        <v>3</v>
      </c>
      <c r="P15" s="190"/>
      <c r="Q15" s="191"/>
      <c r="R15" s="191"/>
      <c r="S15" s="190"/>
      <c r="T15" s="190"/>
      <c r="U15" s="191"/>
      <c r="V15" s="191"/>
      <c r="W15" s="26">
        <f t="shared" si="1"/>
        <v>3</v>
      </c>
      <c r="X15" s="187"/>
      <c r="Y15" s="188"/>
      <c r="Z15" s="17"/>
      <c r="AA15" s="17"/>
      <c r="AB15" s="17"/>
      <c r="AC15" s="17"/>
      <c r="AD15" s="17"/>
      <c r="AE15" s="17"/>
    </row>
    <row r="16" spans="1:31" ht="18" customHeight="1">
      <c r="A16" s="17"/>
      <c r="B16" s="183"/>
      <c r="C16" s="183"/>
      <c r="D16" s="183"/>
      <c r="E16" s="31" t="s">
        <v>61</v>
      </c>
      <c r="F16" s="192" t="s">
        <v>74</v>
      </c>
      <c r="G16" s="192"/>
      <c r="H16" s="32">
        <v>4</v>
      </c>
      <c r="I16" s="33" t="s">
        <v>59</v>
      </c>
      <c r="J16" s="34">
        <f t="shared" si="0"/>
        <v>3</v>
      </c>
      <c r="K16" s="193"/>
      <c r="L16" s="193"/>
      <c r="M16" s="194"/>
      <c r="N16" s="194"/>
      <c r="O16" s="193"/>
      <c r="P16" s="193"/>
      <c r="Q16" s="194">
        <v>3</v>
      </c>
      <c r="R16" s="194"/>
      <c r="S16" s="193"/>
      <c r="T16" s="193"/>
      <c r="U16" s="194"/>
      <c r="V16" s="194"/>
      <c r="W16" s="32">
        <f t="shared" si="1"/>
        <v>3</v>
      </c>
      <c r="X16" s="187"/>
      <c r="Y16" s="188"/>
      <c r="Z16" s="17"/>
      <c r="AA16" s="17"/>
      <c r="AB16" s="17"/>
      <c r="AC16" s="17"/>
      <c r="AD16" s="17"/>
      <c r="AE16" s="17"/>
    </row>
    <row r="17" spans="1:31" ht="18" customHeight="1">
      <c r="A17" s="17"/>
      <c r="B17" s="183"/>
      <c r="C17" s="183"/>
      <c r="D17" s="183" t="s">
        <v>75</v>
      </c>
      <c r="E17" s="18" t="s">
        <v>49</v>
      </c>
      <c r="F17" s="184" t="s">
        <v>76</v>
      </c>
      <c r="G17" s="184"/>
      <c r="H17" s="19">
        <v>4</v>
      </c>
      <c r="I17" s="20" t="s">
        <v>51</v>
      </c>
      <c r="J17" s="21">
        <f t="shared" si="0"/>
        <v>3</v>
      </c>
      <c r="K17" s="185">
        <v>3</v>
      </c>
      <c r="L17" s="185"/>
      <c r="M17" s="186"/>
      <c r="N17" s="186"/>
      <c r="O17" s="185"/>
      <c r="P17" s="185"/>
      <c r="Q17" s="186"/>
      <c r="R17" s="186"/>
      <c r="S17" s="185"/>
      <c r="T17" s="185"/>
      <c r="U17" s="186"/>
      <c r="V17" s="186"/>
      <c r="W17" s="19">
        <f t="shared" si="1"/>
        <v>3</v>
      </c>
      <c r="X17" s="187">
        <f>SUM(W17:W20)</f>
        <v>12</v>
      </c>
      <c r="Y17" s="188"/>
      <c r="Z17" s="17"/>
      <c r="AA17" s="36"/>
      <c r="AB17" s="17"/>
      <c r="AC17" s="17"/>
      <c r="AD17" s="17"/>
      <c r="AE17" s="17"/>
    </row>
    <row r="18" spans="1:31" ht="18" customHeight="1">
      <c r="A18" s="17"/>
      <c r="B18" s="183"/>
      <c r="C18" s="183"/>
      <c r="D18" s="183"/>
      <c r="E18" s="25" t="s">
        <v>49</v>
      </c>
      <c r="F18" s="189" t="s">
        <v>77</v>
      </c>
      <c r="G18" s="189"/>
      <c r="H18" s="26">
        <v>4</v>
      </c>
      <c r="I18" s="27" t="s">
        <v>51</v>
      </c>
      <c r="J18" s="28">
        <f t="shared" si="0"/>
        <v>3</v>
      </c>
      <c r="K18" s="190"/>
      <c r="L18" s="190"/>
      <c r="M18" s="191">
        <v>3</v>
      </c>
      <c r="N18" s="191"/>
      <c r="O18" s="190"/>
      <c r="P18" s="190"/>
      <c r="Q18" s="191"/>
      <c r="R18" s="191"/>
      <c r="S18" s="190"/>
      <c r="T18" s="190"/>
      <c r="U18" s="191"/>
      <c r="V18" s="191"/>
      <c r="W18" s="26">
        <f t="shared" si="1"/>
        <v>3</v>
      </c>
      <c r="X18" s="187"/>
      <c r="Y18" s="188"/>
      <c r="Z18" s="17"/>
      <c r="AA18" s="37"/>
      <c r="AB18" s="17"/>
      <c r="AC18" s="17"/>
      <c r="AD18" s="17"/>
      <c r="AE18" s="17"/>
    </row>
    <row r="19" spans="1:31" ht="18" customHeight="1">
      <c r="A19" s="17"/>
      <c r="B19" s="183"/>
      <c r="C19" s="183"/>
      <c r="D19" s="183"/>
      <c r="E19" s="25" t="s">
        <v>72</v>
      </c>
      <c r="F19" s="189" t="s">
        <v>78</v>
      </c>
      <c r="G19" s="189"/>
      <c r="H19" s="26">
        <v>4</v>
      </c>
      <c r="I19" s="27" t="s">
        <v>59</v>
      </c>
      <c r="J19" s="28">
        <f t="shared" si="0"/>
        <v>3</v>
      </c>
      <c r="K19" s="190"/>
      <c r="L19" s="190"/>
      <c r="M19" s="191"/>
      <c r="N19" s="191"/>
      <c r="O19" s="190">
        <v>3</v>
      </c>
      <c r="P19" s="190"/>
      <c r="Q19" s="191"/>
      <c r="R19" s="191"/>
      <c r="S19" s="190"/>
      <c r="T19" s="190"/>
      <c r="U19" s="191"/>
      <c r="V19" s="191"/>
      <c r="W19" s="26">
        <f t="shared" si="1"/>
        <v>3</v>
      </c>
      <c r="X19" s="187"/>
      <c r="Y19" s="188"/>
      <c r="Z19" s="17"/>
      <c r="AA19" s="37"/>
      <c r="AB19" s="17"/>
      <c r="AC19" s="17"/>
      <c r="AD19" s="17"/>
      <c r="AE19" s="17"/>
    </row>
    <row r="20" spans="1:31" ht="18" customHeight="1">
      <c r="A20" s="17"/>
      <c r="B20" s="183"/>
      <c r="C20" s="183"/>
      <c r="D20" s="183"/>
      <c r="E20" s="31" t="s">
        <v>61</v>
      </c>
      <c r="F20" s="192" t="s">
        <v>79</v>
      </c>
      <c r="G20" s="192"/>
      <c r="H20" s="32">
        <v>4</v>
      </c>
      <c r="I20" s="33" t="s">
        <v>59</v>
      </c>
      <c r="J20" s="34">
        <f t="shared" si="0"/>
        <v>3</v>
      </c>
      <c r="K20" s="193"/>
      <c r="L20" s="193"/>
      <c r="M20" s="194"/>
      <c r="N20" s="194"/>
      <c r="O20" s="193"/>
      <c r="P20" s="193"/>
      <c r="Q20" s="194">
        <v>3</v>
      </c>
      <c r="R20" s="194"/>
      <c r="S20" s="193"/>
      <c r="T20" s="193"/>
      <c r="U20" s="194"/>
      <c r="V20" s="194"/>
      <c r="W20" s="32">
        <f t="shared" si="1"/>
        <v>3</v>
      </c>
      <c r="X20" s="187"/>
      <c r="Y20" s="188"/>
      <c r="Z20" s="17"/>
      <c r="AA20" s="37"/>
      <c r="AB20" s="17"/>
      <c r="AC20" s="17"/>
      <c r="AD20" s="17"/>
      <c r="AE20" s="17"/>
    </row>
    <row r="21" spans="1:31" ht="18" customHeight="1">
      <c r="A21" s="17"/>
      <c r="B21" s="183"/>
      <c r="C21" s="183"/>
      <c r="D21" s="183" t="s">
        <v>80</v>
      </c>
      <c r="E21" s="18" t="s">
        <v>49</v>
      </c>
      <c r="F21" s="184" t="s">
        <v>81</v>
      </c>
      <c r="G21" s="184"/>
      <c r="H21" s="19">
        <v>3</v>
      </c>
      <c r="I21" s="20" t="s">
        <v>82</v>
      </c>
      <c r="J21" s="21">
        <f t="shared" si="0"/>
        <v>3</v>
      </c>
      <c r="K21" s="185"/>
      <c r="L21" s="185"/>
      <c r="M21" s="186"/>
      <c r="N21" s="186"/>
      <c r="O21" s="185">
        <v>3</v>
      </c>
      <c r="P21" s="185"/>
      <c r="Q21" s="186"/>
      <c r="R21" s="186"/>
      <c r="S21" s="185"/>
      <c r="T21" s="185"/>
      <c r="U21" s="186"/>
      <c r="V21" s="186"/>
      <c r="W21" s="19">
        <f t="shared" si="1"/>
        <v>3</v>
      </c>
      <c r="X21" s="187">
        <f>SUM(W21:W22)</f>
        <v>6</v>
      </c>
      <c r="Y21" s="188">
        <v>6</v>
      </c>
      <c r="Z21" s="17"/>
      <c r="AA21" s="37"/>
      <c r="AB21" s="17"/>
      <c r="AC21" s="17"/>
      <c r="AD21" s="17"/>
      <c r="AE21" s="17"/>
    </row>
    <row r="22" spans="1:31" ht="18" customHeight="1">
      <c r="A22" s="17"/>
      <c r="B22" s="183"/>
      <c r="C22" s="183"/>
      <c r="D22" s="183"/>
      <c r="E22" s="25" t="s">
        <v>49</v>
      </c>
      <c r="F22" s="189" t="s">
        <v>83</v>
      </c>
      <c r="G22" s="189"/>
      <c r="H22" s="26">
        <v>3</v>
      </c>
      <c r="I22" s="27" t="s">
        <v>82</v>
      </c>
      <c r="J22" s="28">
        <f t="shared" si="0"/>
        <v>3</v>
      </c>
      <c r="K22" s="190"/>
      <c r="L22" s="190"/>
      <c r="M22" s="191"/>
      <c r="N22" s="191"/>
      <c r="O22" s="190"/>
      <c r="P22" s="190"/>
      <c r="Q22" s="191">
        <v>3</v>
      </c>
      <c r="R22" s="191"/>
      <c r="S22" s="190"/>
      <c r="T22" s="190"/>
      <c r="U22" s="191"/>
      <c r="V22" s="191"/>
      <c r="W22" s="26">
        <f t="shared" si="1"/>
        <v>3</v>
      </c>
      <c r="X22" s="187"/>
      <c r="Y22" s="188"/>
      <c r="Z22" s="17"/>
      <c r="AA22" s="17"/>
      <c r="AB22" s="17"/>
      <c r="AC22" s="17"/>
      <c r="AD22" s="17"/>
      <c r="AE22" s="17"/>
    </row>
    <row r="23" spans="1:31" ht="18" customHeight="1">
      <c r="A23" s="17"/>
      <c r="B23" s="183"/>
      <c r="C23" s="183"/>
      <c r="D23" s="183"/>
      <c r="E23" s="25" t="s">
        <v>49</v>
      </c>
      <c r="F23" s="189" t="s">
        <v>84</v>
      </c>
      <c r="G23" s="189"/>
      <c r="H23" s="26">
        <v>4</v>
      </c>
      <c r="I23" s="27" t="s">
        <v>51</v>
      </c>
      <c r="J23" s="28">
        <f t="shared" si="0"/>
        <v>3</v>
      </c>
      <c r="K23" s="190">
        <v>3</v>
      </c>
      <c r="L23" s="190"/>
      <c r="M23" s="191"/>
      <c r="N23" s="191"/>
      <c r="O23" s="190"/>
      <c r="P23" s="190"/>
      <c r="Q23" s="191"/>
      <c r="R23" s="191"/>
      <c r="S23" s="190"/>
      <c r="T23" s="190"/>
      <c r="U23" s="191"/>
      <c r="V23" s="191"/>
      <c r="W23" s="26">
        <f t="shared" si="1"/>
        <v>3</v>
      </c>
      <c r="X23" s="196">
        <f>SUM(W23:W24)</f>
        <v>6</v>
      </c>
      <c r="Y23" s="197">
        <v>12</v>
      </c>
      <c r="Z23" s="17"/>
      <c r="AA23" s="17"/>
      <c r="AB23" s="17"/>
      <c r="AC23" s="17"/>
      <c r="AD23" s="17"/>
      <c r="AE23" s="17"/>
    </row>
    <row r="24" spans="1:31" ht="18" customHeight="1">
      <c r="A24" s="17"/>
      <c r="B24" s="183"/>
      <c r="C24" s="183"/>
      <c r="D24" s="183"/>
      <c r="E24" s="31" t="s">
        <v>49</v>
      </c>
      <c r="F24" s="192" t="s">
        <v>85</v>
      </c>
      <c r="G24" s="192"/>
      <c r="H24" s="32">
        <v>4</v>
      </c>
      <c r="I24" s="33" t="s">
        <v>51</v>
      </c>
      <c r="J24" s="34">
        <f t="shared" si="0"/>
        <v>3</v>
      </c>
      <c r="K24" s="193"/>
      <c r="L24" s="193"/>
      <c r="M24" s="194">
        <v>3</v>
      </c>
      <c r="N24" s="194"/>
      <c r="O24" s="193"/>
      <c r="P24" s="193"/>
      <c r="Q24" s="194"/>
      <c r="R24" s="194"/>
      <c r="S24" s="193"/>
      <c r="T24" s="193"/>
      <c r="U24" s="194"/>
      <c r="V24" s="194"/>
      <c r="W24" s="32">
        <f t="shared" si="1"/>
        <v>3</v>
      </c>
      <c r="X24" s="196"/>
      <c r="Y24" s="197"/>
      <c r="Z24" s="17"/>
      <c r="AA24" s="17"/>
      <c r="AB24" s="17"/>
      <c r="AC24" s="17"/>
      <c r="AD24" s="17"/>
      <c r="AE24" s="17"/>
    </row>
    <row r="25" spans="1:31" ht="18" customHeight="1">
      <c r="A25" s="17"/>
      <c r="B25" s="183"/>
      <c r="C25" s="183"/>
      <c r="D25" s="183" t="s">
        <v>86</v>
      </c>
      <c r="E25" s="18" t="s">
        <v>49</v>
      </c>
      <c r="F25" s="184" t="s">
        <v>87</v>
      </c>
      <c r="G25" s="184"/>
      <c r="H25" s="19">
        <v>4</v>
      </c>
      <c r="I25" s="20" t="s">
        <v>51</v>
      </c>
      <c r="J25" s="21">
        <f t="shared" si="0"/>
        <v>3</v>
      </c>
      <c r="K25" s="185">
        <v>3</v>
      </c>
      <c r="L25" s="185"/>
      <c r="M25" s="186"/>
      <c r="N25" s="186"/>
      <c r="O25" s="185"/>
      <c r="P25" s="185"/>
      <c r="Q25" s="186"/>
      <c r="R25" s="186"/>
      <c r="S25" s="185"/>
      <c r="T25" s="185"/>
      <c r="U25" s="186"/>
      <c r="V25" s="186"/>
      <c r="W25" s="19">
        <f t="shared" si="1"/>
        <v>3</v>
      </c>
      <c r="X25" s="187">
        <f>SUM(W25:W26)</f>
        <v>6</v>
      </c>
      <c r="Y25" s="197"/>
      <c r="Z25" s="17"/>
      <c r="AA25" s="17"/>
      <c r="AB25" s="17"/>
      <c r="AC25" s="17"/>
      <c r="AD25" s="17"/>
      <c r="AE25" s="17"/>
    </row>
    <row r="26" spans="1:31" ht="18" customHeight="1">
      <c r="A26" s="17"/>
      <c r="B26" s="183"/>
      <c r="C26" s="183"/>
      <c r="D26" s="183"/>
      <c r="E26" s="31" t="s">
        <v>49</v>
      </c>
      <c r="F26" s="192" t="s">
        <v>88</v>
      </c>
      <c r="G26" s="192"/>
      <c r="H26" s="32">
        <v>4</v>
      </c>
      <c r="I26" s="33" t="s">
        <v>51</v>
      </c>
      <c r="J26" s="34">
        <f t="shared" si="0"/>
        <v>3</v>
      </c>
      <c r="K26" s="193"/>
      <c r="L26" s="193"/>
      <c r="M26" s="194">
        <v>3</v>
      </c>
      <c r="N26" s="194"/>
      <c r="O26" s="193"/>
      <c r="P26" s="193"/>
      <c r="Q26" s="194"/>
      <c r="R26" s="194"/>
      <c r="S26" s="193"/>
      <c r="T26" s="193"/>
      <c r="U26" s="194"/>
      <c r="V26" s="194"/>
      <c r="W26" s="32">
        <f t="shared" si="1"/>
        <v>3</v>
      </c>
      <c r="X26" s="187"/>
      <c r="Y26" s="197"/>
      <c r="Z26" s="17"/>
      <c r="AA26" s="17"/>
      <c r="AB26" s="17"/>
      <c r="AC26" s="17"/>
      <c r="AD26" s="17"/>
      <c r="AE26" s="17"/>
    </row>
    <row r="27" spans="1:31" ht="18" customHeight="1">
      <c r="A27" s="17"/>
      <c r="B27" s="183"/>
      <c r="C27" s="183"/>
      <c r="D27" s="183" t="s">
        <v>89</v>
      </c>
      <c r="E27" s="18" t="s">
        <v>57</v>
      </c>
      <c r="F27" s="184" t="s">
        <v>90</v>
      </c>
      <c r="G27" s="184"/>
      <c r="H27" s="19">
        <v>3</v>
      </c>
      <c r="I27" s="20" t="s">
        <v>68</v>
      </c>
      <c r="J27" s="21">
        <f t="shared" si="0"/>
        <v>2</v>
      </c>
      <c r="K27" s="185">
        <v>2</v>
      </c>
      <c r="L27" s="185"/>
      <c r="M27" s="186"/>
      <c r="N27" s="186"/>
      <c r="O27" s="185"/>
      <c r="P27" s="185"/>
      <c r="Q27" s="186"/>
      <c r="R27" s="186"/>
      <c r="S27" s="185"/>
      <c r="T27" s="185"/>
      <c r="U27" s="186"/>
      <c r="V27" s="186"/>
      <c r="W27" s="19">
        <f t="shared" si="1"/>
        <v>2</v>
      </c>
      <c r="X27" s="187">
        <f>SUM(W27:W31)</f>
        <v>10</v>
      </c>
      <c r="Y27" s="188">
        <v>8</v>
      </c>
      <c r="Z27" s="17"/>
      <c r="AA27" s="17"/>
      <c r="AB27" s="17"/>
      <c r="AC27" s="17"/>
      <c r="AD27" s="17"/>
      <c r="AE27" s="17"/>
    </row>
    <row r="28" spans="1:31" ht="18" customHeight="1">
      <c r="A28" s="17"/>
      <c r="B28" s="183"/>
      <c r="C28" s="183"/>
      <c r="D28" s="183"/>
      <c r="E28" s="25" t="s">
        <v>57</v>
      </c>
      <c r="F28" s="189" t="s">
        <v>91</v>
      </c>
      <c r="G28" s="189"/>
      <c r="H28" s="26">
        <v>3</v>
      </c>
      <c r="I28" s="27" t="s">
        <v>68</v>
      </c>
      <c r="J28" s="28">
        <f t="shared" si="0"/>
        <v>2</v>
      </c>
      <c r="K28" s="190"/>
      <c r="L28" s="190"/>
      <c r="M28" s="191">
        <v>2</v>
      </c>
      <c r="N28" s="191"/>
      <c r="O28" s="190"/>
      <c r="P28" s="190"/>
      <c r="Q28" s="191"/>
      <c r="R28" s="191"/>
      <c r="S28" s="190"/>
      <c r="T28" s="190"/>
      <c r="U28" s="191"/>
      <c r="V28" s="191"/>
      <c r="W28" s="26">
        <f t="shared" si="1"/>
        <v>2</v>
      </c>
      <c r="X28" s="187"/>
      <c r="Y28" s="188"/>
      <c r="Z28" s="17"/>
      <c r="AA28" s="17"/>
      <c r="AB28" s="17"/>
      <c r="AC28" s="17"/>
      <c r="AD28" s="17"/>
      <c r="AE28" s="17"/>
    </row>
    <row r="29" spans="1:31" ht="18" customHeight="1">
      <c r="A29" s="17"/>
      <c r="B29" s="183"/>
      <c r="C29" s="183"/>
      <c r="D29" s="183"/>
      <c r="E29" s="25" t="s">
        <v>72</v>
      </c>
      <c r="F29" s="189" t="s">
        <v>92</v>
      </c>
      <c r="G29" s="189"/>
      <c r="H29" s="26">
        <v>3</v>
      </c>
      <c r="I29" s="27" t="s">
        <v>68</v>
      </c>
      <c r="J29" s="28">
        <f t="shared" si="0"/>
        <v>2</v>
      </c>
      <c r="K29" s="190"/>
      <c r="L29" s="190"/>
      <c r="M29" s="191"/>
      <c r="N29" s="191"/>
      <c r="O29" s="190">
        <v>2</v>
      </c>
      <c r="P29" s="190"/>
      <c r="Q29" s="191"/>
      <c r="R29" s="191"/>
      <c r="S29" s="190"/>
      <c r="T29" s="190"/>
      <c r="U29" s="191"/>
      <c r="V29" s="191"/>
      <c r="W29" s="26">
        <f t="shared" si="1"/>
        <v>2</v>
      </c>
      <c r="X29" s="187"/>
      <c r="Y29" s="188"/>
      <c r="Z29" s="17"/>
      <c r="AA29" s="17"/>
      <c r="AB29" s="17"/>
      <c r="AC29" s="17"/>
      <c r="AD29" s="17"/>
      <c r="AE29" s="17"/>
    </row>
    <row r="30" spans="1:31" ht="18" customHeight="1">
      <c r="A30" s="17"/>
      <c r="B30" s="183"/>
      <c r="C30" s="183"/>
      <c r="D30" s="183"/>
      <c r="E30" s="25" t="s">
        <v>72</v>
      </c>
      <c r="F30" s="189" t="s">
        <v>93</v>
      </c>
      <c r="G30" s="189"/>
      <c r="H30" s="26">
        <v>3</v>
      </c>
      <c r="I30" s="27" t="s">
        <v>68</v>
      </c>
      <c r="J30" s="28">
        <f t="shared" si="0"/>
        <v>2</v>
      </c>
      <c r="K30" s="190"/>
      <c r="L30" s="190"/>
      <c r="M30" s="191"/>
      <c r="N30" s="191"/>
      <c r="O30" s="190"/>
      <c r="P30" s="190"/>
      <c r="Q30" s="191">
        <v>2</v>
      </c>
      <c r="R30" s="191"/>
      <c r="S30" s="190"/>
      <c r="T30" s="190"/>
      <c r="U30" s="191"/>
      <c r="V30" s="191"/>
      <c r="W30" s="26">
        <f t="shared" si="1"/>
        <v>2</v>
      </c>
      <c r="X30" s="187"/>
      <c r="Y30" s="188"/>
      <c r="Z30" s="17"/>
      <c r="AA30" s="17"/>
      <c r="AB30" s="17"/>
      <c r="AC30" s="17"/>
      <c r="AD30" s="17"/>
      <c r="AE30" s="17"/>
    </row>
    <row r="31" spans="1:31" ht="18" customHeight="1">
      <c r="A31" s="17"/>
      <c r="B31" s="183"/>
      <c r="C31" s="183"/>
      <c r="D31" s="183"/>
      <c r="E31" s="31" t="s">
        <v>61</v>
      </c>
      <c r="F31" s="192" t="s">
        <v>94</v>
      </c>
      <c r="G31" s="192"/>
      <c r="H31" s="32">
        <v>2</v>
      </c>
      <c r="I31" s="33" t="s">
        <v>95</v>
      </c>
      <c r="J31" s="34">
        <f t="shared" si="0"/>
        <v>2</v>
      </c>
      <c r="K31" s="193"/>
      <c r="L31" s="193"/>
      <c r="M31" s="194"/>
      <c r="N31" s="194"/>
      <c r="O31" s="193"/>
      <c r="P31" s="193"/>
      <c r="Q31" s="194"/>
      <c r="R31" s="194"/>
      <c r="S31" s="193">
        <v>2</v>
      </c>
      <c r="T31" s="193"/>
      <c r="U31" s="194"/>
      <c r="V31" s="194"/>
      <c r="W31" s="32">
        <f t="shared" si="1"/>
        <v>2</v>
      </c>
      <c r="X31" s="187"/>
      <c r="Y31" s="188"/>
      <c r="Z31" s="17"/>
      <c r="AA31" s="17"/>
      <c r="AB31" s="17"/>
      <c r="AC31" s="17"/>
      <c r="AD31" s="17"/>
      <c r="AE31" s="17"/>
    </row>
    <row r="32" spans="1:31" ht="18" customHeight="1">
      <c r="A32" s="17"/>
      <c r="B32" s="183"/>
      <c r="C32" s="183"/>
      <c r="D32" s="183" t="s">
        <v>96</v>
      </c>
      <c r="E32" s="18" t="s">
        <v>57</v>
      </c>
      <c r="F32" s="184" t="s">
        <v>97</v>
      </c>
      <c r="G32" s="184"/>
      <c r="H32" s="19">
        <v>3</v>
      </c>
      <c r="I32" s="20" t="s">
        <v>68</v>
      </c>
      <c r="J32" s="21">
        <f t="shared" si="0"/>
        <v>2</v>
      </c>
      <c r="K32" s="185">
        <v>2</v>
      </c>
      <c r="L32" s="185"/>
      <c r="M32" s="186"/>
      <c r="N32" s="186"/>
      <c r="O32" s="185"/>
      <c r="P32" s="185"/>
      <c r="Q32" s="186"/>
      <c r="R32" s="186"/>
      <c r="S32" s="185"/>
      <c r="T32" s="185"/>
      <c r="U32" s="186"/>
      <c r="V32" s="186"/>
      <c r="W32" s="198">
        <f>SUM(K32:V35)</f>
        <v>8</v>
      </c>
      <c r="X32" s="198"/>
      <c r="Y32" s="188">
        <v>6</v>
      </c>
      <c r="Z32" s="17"/>
      <c r="AA32" s="17"/>
      <c r="AB32" s="17"/>
      <c r="AC32" s="17"/>
      <c r="AD32" s="17"/>
      <c r="AE32" s="17"/>
    </row>
    <row r="33" spans="1:31" ht="18" customHeight="1">
      <c r="A33" s="17"/>
      <c r="B33" s="183"/>
      <c r="C33" s="183"/>
      <c r="D33" s="183"/>
      <c r="E33" s="25" t="s">
        <v>61</v>
      </c>
      <c r="F33" s="189" t="s">
        <v>98</v>
      </c>
      <c r="G33" s="189"/>
      <c r="H33" s="26">
        <v>3</v>
      </c>
      <c r="I33" s="27" t="s">
        <v>68</v>
      </c>
      <c r="J33" s="28">
        <f t="shared" si="0"/>
        <v>2</v>
      </c>
      <c r="K33" s="190"/>
      <c r="L33" s="190"/>
      <c r="M33" s="191">
        <v>2</v>
      </c>
      <c r="N33" s="191"/>
      <c r="O33" s="190"/>
      <c r="P33" s="190"/>
      <c r="Q33" s="191"/>
      <c r="R33" s="191"/>
      <c r="S33" s="190"/>
      <c r="T33" s="190"/>
      <c r="U33" s="191"/>
      <c r="V33" s="191"/>
      <c r="W33" s="198"/>
      <c r="X33" s="198"/>
      <c r="Y33" s="188"/>
      <c r="Z33" s="17"/>
      <c r="AA33" s="17"/>
      <c r="AB33" s="17"/>
      <c r="AC33" s="17"/>
      <c r="AD33" s="17"/>
      <c r="AE33" s="17"/>
    </row>
    <row r="34" spans="1:31" ht="18" customHeight="1">
      <c r="A34" s="17"/>
      <c r="B34" s="183"/>
      <c r="C34" s="183"/>
      <c r="D34" s="183"/>
      <c r="E34" s="25" t="s">
        <v>57</v>
      </c>
      <c r="F34" s="189" t="s">
        <v>99</v>
      </c>
      <c r="G34" s="189"/>
      <c r="H34" s="26">
        <v>3</v>
      </c>
      <c r="I34" s="27" t="s">
        <v>68</v>
      </c>
      <c r="J34" s="28">
        <f t="shared" si="0"/>
        <v>2</v>
      </c>
      <c r="K34" s="190">
        <v>2</v>
      </c>
      <c r="L34" s="190"/>
      <c r="M34" s="191"/>
      <c r="N34" s="191"/>
      <c r="O34" s="190"/>
      <c r="P34" s="190"/>
      <c r="Q34" s="191"/>
      <c r="R34" s="191"/>
      <c r="S34" s="190"/>
      <c r="T34" s="190"/>
      <c r="U34" s="191"/>
      <c r="V34" s="191"/>
      <c r="W34" s="198"/>
      <c r="X34" s="198"/>
      <c r="Y34" s="188"/>
      <c r="Z34" s="17"/>
      <c r="AA34" s="17"/>
      <c r="AB34" s="17"/>
      <c r="AC34" s="17"/>
      <c r="AD34" s="17"/>
      <c r="AE34" s="17"/>
    </row>
    <row r="35" spans="1:31" ht="18" customHeight="1">
      <c r="A35" s="17"/>
      <c r="B35" s="183"/>
      <c r="C35" s="183"/>
      <c r="D35" s="183"/>
      <c r="E35" s="31" t="s">
        <v>61</v>
      </c>
      <c r="F35" s="192" t="s">
        <v>100</v>
      </c>
      <c r="G35" s="192"/>
      <c r="H35" s="32">
        <v>3</v>
      </c>
      <c r="I35" s="33" t="s">
        <v>68</v>
      </c>
      <c r="J35" s="34">
        <f t="shared" si="0"/>
        <v>2</v>
      </c>
      <c r="K35" s="193"/>
      <c r="L35" s="193"/>
      <c r="M35" s="194">
        <v>2</v>
      </c>
      <c r="N35" s="194"/>
      <c r="O35" s="193"/>
      <c r="P35" s="193"/>
      <c r="Q35" s="194"/>
      <c r="R35" s="194"/>
      <c r="S35" s="193"/>
      <c r="T35" s="193"/>
      <c r="U35" s="194"/>
      <c r="V35" s="194"/>
      <c r="W35" s="198"/>
      <c r="X35" s="198"/>
      <c r="Y35" s="188"/>
      <c r="Z35" s="17"/>
      <c r="AA35" s="17"/>
      <c r="AB35" s="17"/>
      <c r="AC35" s="17"/>
      <c r="AD35" s="17"/>
      <c r="AE35" s="17"/>
    </row>
    <row r="36" spans="1:31" ht="24" customHeight="1">
      <c r="A36" s="17"/>
      <c r="B36" s="183"/>
      <c r="C36" s="183"/>
      <c r="D36" s="199" t="s">
        <v>101</v>
      </c>
      <c r="E36" s="18" t="s">
        <v>57</v>
      </c>
      <c r="F36" s="184" t="s">
        <v>102</v>
      </c>
      <c r="G36" s="184"/>
      <c r="H36" s="19">
        <v>3</v>
      </c>
      <c r="I36" s="20" t="s">
        <v>68</v>
      </c>
      <c r="J36" s="21">
        <f t="shared" si="0"/>
        <v>3</v>
      </c>
      <c r="K36" s="185"/>
      <c r="L36" s="185"/>
      <c r="M36" s="186"/>
      <c r="N36" s="186"/>
      <c r="O36" s="185"/>
      <c r="P36" s="185"/>
      <c r="Q36" s="186">
        <v>3</v>
      </c>
      <c r="R36" s="186"/>
      <c r="S36" s="185"/>
      <c r="T36" s="185"/>
      <c r="U36" s="186"/>
      <c r="V36" s="186"/>
      <c r="W36" s="198">
        <f>SUM(K36:V38)</f>
        <v>9</v>
      </c>
      <c r="X36" s="198"/>
      <c r="Y36" s="188">
        <v>8</v>
      </c>
      <c r="Z36" s="17"/>
      <c r="AA36" s="17"/>
      <c r="AB36" s="17"/>
      <c r="AC36" s="17"/>
      <c r="AD36" s="17"/>
      <c r="AE36" s="17"/>
    </row>
    <row r="37" spans="1:31" ht="24" customHeight="1">
      <c r="A37" s="17"/>
      <c r="B37" s="183"/>
      <c r="C37" s="183"/>
      <c r="D37" s="199"/>
      <c r="E37" s="25" t="s">
        <v>57</v>
      </c>
      <c r="F37" s="189" t="s">
        <v>103</v>
      </c>
      <c r="G37" s="189"/>
      <c r="H37" s="26">
        <v>3</v>
      </c>
      <c r="I37" s="27" t="s">
        <v>68</v>
      </c>
      <c r="J37" s="28">
        <f t="shared" si="0"/>
        <v>3</v>
      </c>
      <c r="K37" s="190"/>
      <c r="L37" s="190"/>
      <c r="M37" s="191"/>
      <c r="N37" s="191"/>
      <c r="O37" s="190">
        <v>3</v>
      </c>
      <c r="P37" s="190"/>
      <c r="Q37" s="191"/>
      <c r="R37" s="191"/>
      <c r="S37" s="190"/>
      <c r="T37" s="190"/>
      <c r="U37" s="191"/>
      <c r="V37" s="191"/>
      <c r="W37" s="198"/>
      <c r="X37" s="198"/>
      <c r="Y37" s="188"/>
      <c r="Z37" s="17"/>
      <c r="AA37" s="17"/>
      <c r="AB37" s="17"/>
      <c r="AC37" s="17"/>
      <c r="AD37" s="17"/>
      <c r="AE37" s="17"/>
    </row>
    <row r="38" spans="1:31" ht="36" customHeight="1">
      <c r="A38" s="17"/>
      <c r="B38" s="183"/>
      <c r="C38" s="183"/>
      <c r="D38" s="199"/>
      <c r="E38" s="31" t="s">
        <v>104</v>
      </c>
      <c r="F38" s="200" t="s">
        <v>105</v>
      </c>
      <c r="G38" s="200"/>
      <c r="H38" s="32">
        <v>3</v>
      </c>
      <c r="I38" s="33" t="s">
        <v>68</v>
      </c>
      <c r="J38" s="34">
        <f t="shared" si="0"/>
        <v>3</v>
      </c>
      <c r="K38" s="193"/>
      <c r="L38" s="193"/>
      <c r="M38" s="194">
        <v>3</v>
      </c>
      <c r="N38" s="194"/>
      <c r="O38" s="193"/>
      <c r="P38" s="193"/>
      <c r="Q38" s="194"/>
      <c r="R38" s="194"/>
      <c r="S38" s="193"/>
      <c r="T38" s="193"/>
      <c r="U38" s="194"/>
      <c r="V38" s="194"/>
      <c r="W38" s="198"/>
      <c r="X38" s="198"/>
      <c r="Y38" s="188"/>
      <c r="Z38" s="17"/>
      <c r="AA38" s="17"/>
      <c r="AB38" s="17"/>
      <c r="AC38" s="17"/>
      <c r="AD38" s="17"/>
      <c r="AE38" s="17"/>
    </row>
    <row r="39" spans="1:31" ht="21.75" customHeight="1">
      <c r="A39" s="17"/>
      <c r="B39" s="201" t="s">
        <v>106</v>
      </c>
      <c r="C39" s="201"/>
      <c r="D39" s="201"/>
      <c r="E39" s="201"/>
      <c r="F39" s="201"/>
      <c r="G39" s="201"/>
      <c r="H39" s="48"/>
      <c r="I39" s="49"/>
      <c r="J39" s="50">
        <f>SUM(J9:J38)</f>
        <v>81</v>
      </c>
      <c r="K39" s="202">
        <f>SUM(K9:K38)</f>
        <v>21</v>
      </c>
      <c r="L39" s="202"/>
      <c r="M39" s="203">
        <f>SUM(M9:M38)</f>
        <v>24</v>
      </c>
      <c r="N39" s="203"/>
      <c r="O39" s="202">
        <f>SUM(O9:O38)</f>
        <v>17</v>
      </c>
      <c r="P39" s="202"/>
      <c r="Q39" s="203">
        <f>SUM(Q9:Q38)</f>
        <v>17</v>
      </c>
      <c r="R39" s="203"/>
      <c r="S39" s="202">
        <f>SUM(S9:S38)</f>
        <v>2</v>
      </c>
      <c r="T39" s="202"/>
      <c r="U39" s="203">
        <f>SUM(U9:U38)</f>
        <v>0</v>
      </c>
      <c r="V39" s="203"/>
      <c r="W39" s="204">
        <f t="shared" ref="W39:W53" si="2">SUM(K39:V39)</f>
        <v>81</v>
      </c>
      <c r="X39" s="204"/>
      <c r="Y39" s="51">
        <f>SUM(Y9:Y38)</f>
        <v>64</v>
      </c>
      <c r="Z39" s="17"/>
      <c r="AA39" s="205" t="b">
        <f>W39&gt;=Y39</f>
        <v>1</v>
      </c>
      <c r="AB39" s="205"/>
      <c r="AC39" s="17"/>
      <c r="AD39" s="17"/>
      <c r="AE39" s="17"/>
    </row>
    <row r="40" spans="1:31" ht="18" customHeight="1">
      <c r="A40" s="17"/>
      <c r="B40" s="183" t="s">
        <v>107</v>
      </c>
      <c r="C40" s="183"/>
      <c r="D40" s="183" t="s">
        <v>104</v>
      </c>
      <c r="E40" s="183"/>
      <c r="F40" s="184" t="s">
        <v>108</v>
      </c>
      <c r="G40" s="184"/>
      <c r="H40" s="19"/>
      <c r="I40" s="20"/>
      <c r="J40" s="21">
        <f t="shared" ref="J40:J63" si="3">SUM(K40:V40)</f>
        <v>5</v>
      </c>
      <c r="K40" s="185"/>
      <c r="L40" s="185"/>
      <c r="M40" s="186"/>
      <c r="N40" s="186"/>
      <c r="O40" s="185"/>
      <c r="P40" s="185"/>
      <c r="Q40" s="186"/>
      <c r="R40" s="186"/>
      <c r="S40" s="185"/>
      <c r="T40" s="185"/>
      <c r="U40" s="186">
        <v>5</v>
      </c>
      <c r="V40" s="186"/>
      <c r="W40" s="183">
        <f t="shared" si="2"/>
        <v>5</v>
      </c>
      <c r="X40" s="183"/>
      <c r="Y40" s="188">
        <v>80</v>
      </c>
      <c r="Z40" s="17"/>
      <c r="AA40" s="17"/>
      <c r="AB40" s="17"/>
      <c r="AC40" s="17"/>
      <c r="AD40" s="17"/>
      <c r="AE40" s="17"/>
    </row>
    <row r="41" spans="1:31" ht="18" customHeight="1">
      <c r="A41" s="17"/>
      <c r="B41" s="183"/>
      <c r="C41" s="183"/>
      <c r="D41" s="25" t="s">
        <v>23</v>
      </c>
      <c r="E41" s="25" t="s">
        <v>109</v>
      </c>
      <c r="F41" s="189" t="s">
        <v>110</v>
      </c>
      <c r="G41" s="189"/>
      <c r="H41" s="26"/>
      <c r="I41" s="27"/>
      <c r="J41" s="28">
        <f t="shared" si="3"/>
        <v>4</v>
      </c>
      <c r="K41" s="190">
        <v>4</v>
      </c>
      <c r="L41" s="190"/>
      <c r="M41" s="191"/>
      <c r="N41" s="191"/>
      <c r="O41" s="190"/>
      <c r="P41" s="190"/>
      <c r="Q41" s="191"/>
      <c r="R41" s="191"/>
      <c r="S41" s="190"/>
      <c r="T41" s="190"/>
      <c r="U41" s="191"/>
      <c r="V41" s="191"/>
      <c r="W41" s="206">
        <f t="shared" si="2"/>
        <v>4</v>
      </c>
      <c r="X41" s="206"/>
      <c r="Y41" s="188"/>
      <c r="Z41" s="17"/>
      <c r="AA41" s="17"/>
      <c r="AB41" s="17"/>
      <c r="AC41" s="17"/>
      <c r="AD41" s="17"/>
      <c r="AE41" s="17"/>
    </row>
    <row r="42" spans="1:31" ht="18" customHeight="1">
      <c r="A42" s="17"/>
      <c r="B42" s="183"/>
      <c r="C42" s="183"/>
      <c r="D42" s="25" t="s">
        <v>23</v>
      </c>
      <c r="E42" s="25" t="s">
        <v>109</v>
      </c>
      <c r="F42" s="189" t="s">
        <v>111</v>
      </c>
      <c r="G42" s="189"/>
      <c r="H42" s="26"/>
      <c r="I42" s="27"/>
      <c r="J42" s="28">
        <f t="shared" si="3"/>
        <v>4</v>
      </c>
      <c r="K42" s="190">
        <v>4</v>
      </c>
      <c r="L42" s="190"/>
      <c r="M42" s="191"/>
      <c r="N42" s="191"/>
      <c r="O42" s="190"/>
      <c r="P42" s="190"/>
      <c r="Q42" s="191"/>
      <c r="R42" s="191"/>
      <c r="S42" s="190"/>
      <c r="T42" s="190"/>
      <c r="U42" s="191"/>
      <c r="V42" s="191"/>
      <c r="W42" s="206">
        <f t="shared" si="2"/>
        <v>4</v>
      </c>
      <c r="X42" s="206"/>
      <c r="Y42" s="188"/>
      <c r="Z42" s="17"/>
      <c r="AA42" s="17"/>
      <c r="AB42" s="17"/>
      <c r="AC42" s="17"/>
      <c r="AD42" s="17"/>
      <c r="AE42" s="17"/>
    </row>
    <row r="43" spans="1:31" ht="18" customHeight="1">
      <c r="A43" s="17"/>
      <c r="B43" s="183"/>
      <c r="C43" s="183"/>
      <c r="D43" s="25" t="s">
        <v>23</v>
      </c>
      <c r="E43" s="25" t="s">
        <v>109</v>
      </c>
      <c r="F43" s="189" t="s">
        <v>112</v>
      </c>
      <c r="G43" s="189"/>
      <c r="H43" s="26"/>
      <c r="I43" s="27"/>
      <c r="J43" s="28">
        <f t="shared" si="3"/>
        <v>5</v>
      </c>
      <c r="K43" s="190"/>
      <c r="L43" s="190"/>
      <c r="M43" s="191">
        <v>5</v>
      </c>
      <c r="N43" s="191"/>
      <c r="O43" s="190"/>
      <c r="P43" s="190"/>
      <c r="Q43" s="191"/>
      <c r="R43" s="191"/>
      <c r="S43" s="190"/>
      <c r="T43" s="190"/>
      <c r="U43" s="191"/>
      <c r="V43" s="191"/>
      <c r="W43" s="206">
        <f t="shared" si="2"/>
        <v>5</v>
      </c>
      <c r="X43" s="206"/>
      <c r="Y43" s="188"/>
      <c r="Z43" s="17"/>
      <c r="AA43" s="17"/>
      <c r="AB43" s="17"/>
      <c r="AC43" s="17"/>
      <c r="AD43" s="17"/>
      <c r="AE43" s="17"/>
    </row>
    <row r="44" spans="1:31" ht="25.5" customHeight="1">
      <c r="A44" s="17"/>
      <c r="B44" s="183"/>
      <c r="C44" s="183"/>
      <c r="D44" s="59" t="s">
        <v>138</v>
      </c>
      <c r="E44" s="25" t="s">
        <v>109</v>
      </c>
      <c r="F44" s="189" t="s">
        <v>139</v>
      </c>
      <c r="G44" s="189"/>
      <c r="H44" s="26"/>
      <c r="I44" s="27"/>
      <c r="J44" s="28">
        <f t="shared" si="3"/>
        <v>4</v>
      </c>
      <c r="K44" s="190"/>
      <c r="L44" s="190"/>
      <c r="M44" s="191"/>
      <c r="N44" s="191"/>
      <c r="O44" s="190">
        <v>4</v>
      </c>
      <c r="P44" s="190"/>
      <c r="Q44" s="191"/>
      <c r="R44" s="191"/>
      <c r="S44" s="190"/>
      <c r="T44" s="190"/>
      <c r="U44" s="191"/>
      <c r="V44" s="191"/>
      <c r="W44" s="206">
        <f t="shared" si="2"/>
        <v>4</v>
      </c>
      <c r="X44" s="206"/>
      <c r="Y44" s="188"/>
      <c r="Z44" s="17"/>
      <c r="AA44" s="17"/>
      <c r="AB44" s="17"/>
      <c r="AC44" s="17"/>
      <c r="AD44" s="17"/>
      <c r="AE44" s="17"/>
    </row>
    <row r="45" spans="1:31" ht="25.5" customHeight="1">
      <c r="A45" s="17"/>
      <c r="B45" s="183"/>
      <c r="C45" s="183"/>
      <c r="D45" s="59" t="s">
        <v>138</v>
      </c>
      <c r="E45" s="25" t="s">
        <v>109</v>
      </c>
      <c r="F45" s="189" t="s">
        <v>177</v>
      </c>
      <c r="G45" s="189"/>
      <c r="H45" s="26"/>
      <c r="I45" s="27"/>
      <c r="J45" s="28">
        <f t="shared" si="3"/>
        <v>4</v>
      </c>
      <c r="K45" s="190"/>
      <c r="L45" s="190"/>
      <c r="M45" s="191"/>
      <c r="N45" s="191"/>
      <c r="O45" s="190">
        <v>4</v>
      </c>
      <c r="P45" s="190"/>
      <c r="Q45" s="191"/>
      <c r="R45" s="191"/>
      <c r="S45" s="190"/>
      <c r="T45" s="190"/>
      <c r="U45" s="191"/>
      <c r="V45" s="191"/>
      <c r="W45" s="206">
        <f t="shared" si="2"/>
        <v>4</v>
      </c>
      <c r="X45" s="206"/>
      <c r="Y45" s="188"/>
      <c r="Z45" s="17"/>
      <c r="AA45" s="17"/>
      <c r="AB45" s="17"/>
      <c r="AC45" s="17"/>
      <c r="AD45" s="17"/>
      <c r="AE45" s="17"/>
    </row>
    <row r="46" spans="1:31" ht="18" customHeight="1">
      <c r="A46" s="17"/>
      <c r="B46" s="183"/>
      <c r="C46" s="183"/>
      <c r="D46" s="25" t="s">
        <v>23</v>
      </c>
      <c r="E46" s="25" t="s">
        <v>109</v>
      </c>
      <c r="F46" s="189" t="s">
        <v>135</v>
      </c>
      <c r="G46" s="189"/>
      <c r="H46" s="26"/>
      <c r="I46" s="27"/>
      <c r="J46" s="28">
        <f t="shared" si="3"/>
        <v>4</v>
      </c>
      <c r="K46" s="190"/>
      <c r="L46" s="190"/>
      <c r="M46" s="191"/>
      <c r="N46" s="191"/>
      <c r="O46" s="190"/>
      <c r="P46" s="190"/>
      <c r="Q46" s="191">
        <v>4</v>
      </c>
      <c r="R46" s="191"/>
      <c r="S46" s="190"/>
      <c r="T46" s="190"/>
      <c r="U46" s="191"/>
      <c r="V46" s="191"/>
      <c r="W46" s="206">
        <f t="shared" si="2"/>
        <v>4</v>
      </c>
      <c r="X46" s="206"/>
      <c r="Y46" s="188"/>
      <c r="Z46" s="17"/>
      <c r="AA46" s="17"/>
      <c r="AB46" s="17"/>
      <c r="AC46" s="17"/>
      <c r="AD46" s="17"/>
      <c r="AE46" s="17"/>
    </row>
    <row r="47" spans="1:31" ht="18" customHeight="1">
      <c r="A47" s="17"/>
      <c r="B47" s="183"/>
      <c r="C47" s="183"/>
      <c r="D47" s="25" t="s">
        <v>23</v>
      </c>
      <c r="E47" s="25" t="s">
        <v>109</v>
      </c>
      <c r="F47" s="189" t="s">
        <v>130</v>
      </c>
      <c r="G47" s="189"/>
      <c r="H47" s="26"/>
      <c r="I47" s="27"/>
      <c r="J47" s="28">
        <f t="shared" si="3"/>
        <v>4</v>
      </c>
      <c r="K47" s="190"/>
      <c r="L47" s="190"/>
      <c r="M47" s="191"/>
      <c r="N47" s="191"/>
      <c r="O47" s="190"/>
      <c r="P47" s="190"/>
      <c r="Q47" s="191">
        <v>4</v>
      </c>
      <c r="R47" s="191"/>
      <c r="S47" s="190"/>
      <c r="T47" s="190"/>
      <c r="U47" s="191"/>
      <c r="V47" s="191"/>
      <c r="W47" s="206">
        <f t="shared" si="2"/>
        <v>4</v>
      </c>
      <c r="X47" s="206"/>
      <c r="Y47" s="188"/>
      <c r="Z47" s="17"/>
      <c r="AA47" s="17"/>
      <c r="AB47" s="17"/>
      <c r="AC47" s="17"/>
      <c r="AD47" s="17"/>
      <c r="AE47" s="17"/>
    </row>
    <row r="48" spans="1:31" ht="18" customHeight="1">
      <c r="A48" s="17"/>
      <c r="B48" s="183"/>
      <c r="C48" s="183"/>
      <c r="D48" s="25" t="s">
        <v>23</v>
      </c>
      <c r="E48" s="25" t="s">
        <v>109</v>
      </c>
      <c r="F48" s="189" t="s">
        <v>117</v>
      </c>
      <c r="G48" s="189"/>
      <c r="H48" s="26"/>
      <c r="I48" s="27"/>
      <c r="J48" s="28">
        <f t="shared" si="3"/>
        <v>3</v>
      </c>
      <c r="K48" s="190"/>
      <c r="L48" s="190"/>
      <c r="M48" s="191"/>
      <c r="N48" s="191"/>
      <c r="O48" s="190"/>
      <c r="P48" s="190"/>
      <c r="Q48" s="191"/>
      <c r="R48" s="191"/>
      <c r="S48" s="190">
        <v>3</v>
      </c>
      <c r="T48" s="190"/>
      <c r="U48" s="191"/>
      <c r="V48" s="191"/>
      <c r="W48" s="206">
        <f t="shared" si="2"/>
        <v>3</v>
      </c>
      <c r="X48" s="206"/>
      <c r="Y48" s="188"/>
      <c r="Z48" s="17"/>
      <c r="AA48" s="17"/>
      <c r="AB48" s="17"/>
      <c r="AC48" s="17"/>
      <c r="AD48" s="17"/>
      <c r="AE48" s="17"/>
    </row>
    <row r="49" spans="1:31" ht="25.5" customHeight="1">
      <c r="A49" s="17"/>
      <c r="B49" s="183"/>
      <c r="C49" s="183"/>
      <c r="D49" s="59" t="s">
        <v>138</v>
      </c>
      <c r="E49" s="25" t="s">
        <v>118</v>
      </c>
      <c r="F49" s="189" t="s">
        <v>178</v>
      </c>
      <c r="G49" s="189"/>
      <c r="H49" s="26"/>
      <c r="I49" s="27"/>
      <c r="J49" s="28">
        <f t="shared" si="3"/>
        <v>8</v>
      </c>
      <c r="K49" s="190"/>
      <c r="L49" s="190"/>
      <c r="M49" s="191"/>
      <c r="N49" s="191"/>
      <c r="O49" s="190"/>
      <c r="P49" s="190"/>
      <c r="Q49" s="191"/>
      <c r="R49" s="191"/>
      <c r="S49" s="190">
        <v>4</v>
      </c>
      <c r="T49" s="190"/>
      <c r="U49" s="191">
        <v>4</v>
      </c>
      <c r="V49" s="191"/>
      <c r="W49" s="206">
        <f t="shared" si="2"/>
        <v>8</v>
      </c>
      <c r="X49" s="206"/>
      <c r="Y49" s="188"/>
      <c r="Z49" s="17"/>
      <c r="AA49" s="17"/>
      <c r="AB49" s="17"/>
      <c r="AC49" s="17"/>
      <c r="AD49" s="17"/>
      <c r="AE49" s="17"/>
    </row>
    <row r="50" spans="1:31" ht="25.5" customHeight="1">
      <c r="A50" s="17"/>
      <c r="B50" s="183"/>
      <c r="C50" s="183"/>
      <c r="D50" s="59" t="s">
        <v>138</v>
      </c>
      <c r="E50" s="25" t="s">
        <v>118</v>
      </c>
      <c r="F50" s="189" t="s">
        <v>179</v>
      </c>
      <c r="G50" s="189"/>
      <c r="H50" s="26"/>
      <c r="I50" s="27"/>
      <c r="J50" s="28">
        <f t="shared" si="3"/>
        <v>8</v>
      </c>
      <c r="K50" s="190"/>
      <c r="L50" s="190"/>
      <c r="M50" s="191"/>
      <c r="N50" s="191"/>
      <c r="O50" s="190"/>
      <c r="P50" s="190"/>
      <c r="Q50" s="191"/>
      <c r="R50" s="191"/>
      <c r="S50" s="190">
        <v>4</v>
      </c>
      <c r="T50" s="190"/>
      <c r="U50" s="191">
        <v>4</v>
      </c>
      <c r="V50" s="191"/>
      <c r="W50" s="206">
        <f t="shared" si="2"/>
        <v>8</v>
      </c>
      <c r="X50" s="206"/>
      <c r="Y50" s="188"/>
      <c r="Z50" s="17"/>
      <c r="AA50" s="17"/>
      <c r="AB50" s="17"/>
      <c r="AC50" s="17"/>
      <c r="AD50" s="17"/>
      <c r="AE50" s="17"/>
    </row>
    <row r="51" spans="1:31" ht="18" customHeight="1">
      <c r="A51" s="17"/>
      <c r="B51" s="183"/>
      <c r="C51" s="183"/>
      <c r="D51" s="25" t="s">
        <v>23</v>
      </c>
      <c r="E51" s="25" t="s">
        <v>118</v>
      </c>
      <c r="F51" s="189" t="s">
        <v>120</v>
      </c>
      <c r="G51" s="189"/>
      <c r="H51" s="26"/>
      <c r="I51" s="27"/>
      <c r="J51" s="28">
        <f t="shared" si="3"/>
        <v>8</v>
      </c>
      <c r="K51" s="190"/>
      <c r="L51" s="190"/>
      <c r="M51" s="191"/>
      <c r="N51" s="191"/>
      <c r="O51" s="190"/>
      <c r="P51" s="190"/>
      <c r="Q51" s="191"/>
      <c r="R51" s="191"/>
      <c r="S51" s="190">
        <v>4</v>
      </c>
      <c r="T51" s="190"/>
      <c r="U51" s="191">
        <v>4</v>
      </c>
      <c r="V51" s="191"/>
      <c r="W51" s="206">
        <f t="shared" si="2"/>
        <v>8</v>
      </c>
      <c r="X51" s="206"/>
      <c r="Y51" s="188"/>
      <c r="Z51" s="17"/>
      <c r="AA51" s="17"/>
      <c r="AB51" s="17"/>
      <c r="AC51" s="17"/>
      <c r="AD51" s="17"/>
      <c r="AE51" s="17"/>
    </row>
    <row r="52" spans="1:31" ht="18" customHeight="1">
      <c r="A52" s="17"/>
      <c r="B52" s="183"/>
      <c r="C52" s="183"/>
      <c r="D52" s="25" t="s">
        <v>23</v>
      </c>
      <c r="E52" s="25" t="s">
        <v>118</v>
      </c>
      <c r="F52" s="189" t="s">
        <v>180</v>
      </c>
      <c r="G52" s="189"/>
      <c r="H52" s="26"/>
      <c r="I52" s="27"/>
      <c r="J52" s="28">
        <f t="shared" si="3"/>
        <v>8</v>
      </c>
      <c r="K52" s="190"/>
      <c r="L52" s="190"/>
      <c r="M52" s="191"/>
      <c r="N52" s="191"/>
      <c r="O52" s="190"/>
      <c r="P52" s="190"/>
      <c r="Q52" s="191"/>
      <c r="R52" s="191"/>
      <c r="S52" s="190">
        <v>4</v>
      </c>
      <c r="T52" s="190"/>
      <c r="U52" s="191">
        <v>4</v>
      </c>
      <c r="V52" s="191"/>
      <c r="W52" s="206">
        <f t="shared" si="2"/>
        <v>8</v>
      </c>
      <c r="X52" s="206"/>
      <c r="Y52" s="188"/>
      <c r="Z52" s="17"/>
      <c r="AA52" s="17"/>
      <c r="AB52" s="17"/>
      <c r="AC52" s="17"/>
      <c r="AD52" s="17"/>
      <c r="AE52" s="17"/>
    </row>
    <row r="53" spans="1:31" ht="18" customHeight="1">
      <c r="A53" s="17"/>
      <c r="B53" s="183"/>
      <c r="C53" s="183"/>
      <c r="D53" s="25" t="s">
        <v>23</v>
      </c>
      <c r="E53" s="25" t="s">
        <v>118</v>
      </c>
      <c r="F53" s="189" t="s">
        <v>121</v>
      </c>
      <c r="G53" s="189"/>
      <c r="H53" s="26"/>
      <c r="I53" s="27"/>
      <c r="J53" s="28">
        <f t="shared" si="3"/>
        <v>7</v>
      </c>
      <c r="K53" s="190"/>
      <c r="L53" s="190"/>
      <c r="M53" s="191"/>
      <c r="N53" s="191"/>
      <c r="O53" s="190"/>
      <c r="P53" s="190"/>
      <c r="Q53" s="191"/>
      <c r="R53" s="191"/>
      <c r="S53" s="190">
        <v>3</v>
      </c>
      <c r="T53" s="190"/>
      <c r="U53" s="191">
        <v>4</v>
      </c>
      <c r="V53" s="191"/>
      <c r="W53" s="206">
        <f t="shared" si="2"/>
        <v>7</v>
      </c>
      <c r="X53" s="206"/>
      <c r="Y53" s="188"/>
      <c r="Z53" s="17"/>
      <c r="AA53" s="17"/>
      <c r="AB53" s="17"/>
      <c r="AC53" s="17"/>
      <c r="AD53" s="17"/>
      <c r="AE53" s="17"/>
    </row>
    <row r="54" spans="1:31" ht="25.5" customHeight="1">
      <c r="A54" s="17"/>
      <c r="B54" s="207" t="s">
        <v>124</v>
      </c>
      <c r="C54" s="208" t="s">
        <v>181</v>
      </c>
      <c r="D54" s="38" t="s">
        <v>138</v>
      </c>
      <c r="E54" s="18" t="s">
        <v>109</v>
      </c>
      <c r="F54" s="184" t="s">
        <v>182</v>
      </c>
      <c r="G54" s="184"/>
      <c r="H54" s="19"/>
      <c r="I54" s="20"/>
      <c r="J54" s="21">
        <f t="shared" si="3"/>
        <v>4</v>
      </c>
      <c r="K54" s="185"/>
      <c r="L54" s="185"/>
      <c r="M54" s="186"/>
      <c r="N54" s="186"/>
      <c r="O54" s="185">
        <v>4</v>
      </c>
      <c r="P54" s="185"/>
      <c r="Q54" s="186"/>
      <c r="R54" s="186"/>
      <c r="S54" s="185"/>
      <c r="T54" s="185"/>
      <c r="U54" s="186"/>
      <c r="V54" s="186"/>
      <c r="W54" s="198">
        <f>SUM(K54:V55)</f>
        <v>8</v>
      </c>
      <c r="X54" s="198"/>
      <c r="Y54" s="188"/>
      <c r="Z54" s="17"/>
      <c r="AA54" s="17"/>
      <c r="AB54" s="17"/>
      <c r="AC54" s="17"/>
      <c r="AD54" s="17"/>
      <c r="AE54" s="17"/>
    </row>
    <row r="55" spans="1:31" ht="25.5" customHeight="1">
      <c r="A55" s="17"/>
      <c r="B55" s="207"/>
      <c r="C55" s="208"/>
      <c r="D55" s="59" t="s">
        <v>138</v>
      </c>
      <c r="E55" s="25" t="s">
        <v>109</v>
      </c>
      <c r="F55" s="189" t="s">
        <v>140</v>
      </c>
      <c r="G55" s="189"/>
      <c r="H55" s="26"/>
      <c r="I55" s="27"/>
      <c r="J55" s="28">
        <f t="shared" si="3"/>
        <v>4</v>
      </c>
      <c r="K55" s="190"/>
      <c r="L55" s="190"/>
      <c r="M55" s="191"/>
      <c r="N55" s="191"/>
      <c r="O55" s="190"/>
      <c r="P55" s="190"/>
      <c r="Q55" s="191">
        <v>4</v>
      </c>
      <c r="R55" s="191"/>
      <c r="S55" s="190"/>
      <c r="T55" s="190"/>
      <c r="U55" s="191"/>
      <c r="V55" s="191"/>
      <c r="W55" s="198"/>
      <c r="X55" s="198"/>
      <c r="Y55" s="188"/>
      <c r="Z55" s="17"/>
      <c r="AA55" s="17"/>
      <c r="AB55" s="17"/>
      <c r="AC55" s="17"/>
      <c r="AD55" s="17"/>
      <c r="AE55" s="17"/>
    </row>
    <row r="56" spans="1:31" ht="25.5" customHeight="1">
      <c r="A56" s="17"/>
      <c r="B56" s="207"/>
      <c r="C56" s="214" t="s">
        <v>183</v>
      </c>
      <c r="D56" s="58" t="s">
        <v>138</v>
      </c>
      <c r="E56" s="52" t="s">
        <v>109</v>
      </c>
      <c r="F56" s="210" t="s">
        <v>184</v>
      </c>
      <c r="G56" s="210"/>
      <c r="H56" s="53"/>
      <c r="I56" s="54"/>
      <c r="J56" s="55">
        <f t="shared" si="3"/>
        <v>4</v>
      </c>
      <c r="K56" s="211"/>
      <c r="L56" s="211"/>
      <c r="M56" s="212"/>
      <c r="N56" s="212"/>
      <c r="O56" s="211">
        <v>4</v>
      </c>
      <c r="P56" s="211"/>
      <c r="Q56" s="212"/>
      <c r="R56" s="212"/>
      <c r="S56" s="211"/>
      <c r="T56" s="211"/>
      <c r="U56" s="212"/>
      <c r="V56" s="212"/>
      <c r="W56" s="213">
        <f>SUM(K56:V57)</f>
        <v>8</v>
      </c>
      <c r="X56" s="213"/>
      <c r="Y56" s="188"/>
      <c r="Z56" s="17"/>
      <c r="AA56" s="17"/>
      <c r="AB56" s="17"/>
      <c r="AC56" s="17"/>
      <c r="AD56" s="17"/>
      <c r="AE56" s="17"/>
    </row>
    <row r="57" spans="1:31" ht="18" customHeight="1">
      <c r="A57" s="17"/>
      <c r="B57" s="207"/>
      <c r="C57" s="214"/>
      <c r="D57" s="25" t="s">
        <v>23</v>
      </c>
      <c r="E57" s="25" t="s">
        <v>109</v>
      </c>
      <c r="F57" s="235" t="s">
        <v>185</v>
      </c>
      <c r="G57" s="235"/>
      <c r="H57" s="26"/>
      <c r="I57" s="27"/>
      <c r="J57" s="28">
        <f t="shared" si="3"/>
        <v>4</v>
      </c>
      <c r="K57" s="190"/>
      <c r="L57" s="190"/>
      <c r="M57" s="191"/>
      <c r="N57" s="191"/>
      <c r="O57" s="190"/>
      <c r="P57" s="190"/>
      <c r="Q57" s="191">
        <v>4</v>
      </c>
      <c r="R57" s="191"/>
      <c r="S57" s="190"/>
      <c r="T57" s="190"/>
      <c r="U57" s="191"/>
      <c r="V57" s="191"/>
      <c r="W57" s="213"/>
      <c r="X57" s="213"/>
      <c r="Y57" s="188"/>
      <c r="Z57" s="17"/>
      <c r="AA57" s="17"/>
      <c r="AB57" s="17"/>
      <c r="AC57" s="17"/>
      <c r="AD57" s="17"/>
      <c r="AE57" s="17"/>
    </row>
    <row r="58" spans="1:31" ht="43.5" customHeight="1">
      <c r="A58" s="17"/>
      <c r="B58" s="207" t="s">
        <v>131</v>
      </c>
      <c r="C58" s="56" t="s">
        <v>186</v>
      </c>
      <c r="D58" s="38" t="s">
        <v>138</v>
      </c>
      <c r="E58" s="18" t="s">
        <v>118</v>
      </c>
      <c r="F58" s="184" t="s">
        <v>187</v>
      </c>
      <c r="G58" s="184"/>
      <c r="H58" s="19"/>
      <c r="I58" s="20"/>
      <c r="J58" s="21">
        <f t="shared" si="3"/>
        <v>9</v>
      </c>
      <c r="K58" s="185"/>
      <c r="L58" s="185"/>
      <c r="M58" s="186"/>
      <c r="N58" s="186"/>
      <c r="O58" s="185"/>
      <c r="P58" s="185"/>
      <c r="Q58" s="186"/>
      <c r="R58" s="186"/>
      <c r="S58" s="185">
        <v>5</v>
      </c>
      <c r="T58" s="185"/>
      <c r="U58" s="186">
        <v>4</v>
      </c>
      <c r="V58" s="186"/>
      <c r="W58" s="183">
        <f>SUM(K58:V58)</f>
        <v>9</v>
      </c>
      <c r="X58" s="183"/>
      <c r="Y58" s="188"/>
      <c r="Z58" s="17"/>
      <c r="AA58" s="17"/>
      <c r="AB58" s="17"/>
      <c r="AC58" s="17"/>
      <c r="AD58" s="17"/>
      <c r="AE58" s="17"/>
    </row>
    <row r="59" spans="1:31" ht="30" customHeight="1">
      <c r="A59" s="17"/>
      <c r="B59" s="207"/>
      <c r="C59" s="57" t="s">
        <v>188</v>
      </c>
      <c r="D59" s="58" t="s">
        <v>138</v>
      </c>
      <c r="E59" s="52" t="s">
        <v>118</v>
      </c>
      <c r="F59" s="210" t="s">
        <v>189</v>
      </c>
      <c r="G59" s="210"/>
      <c r="H59" s="53"/>
      <c r="I59" s="54"/>
      <c r="J59" s="55">
        <f t="shared" si="3"/>
        <v>9</v>
      </c>
      <c r="K59" s="211"/>
      <c r="L59" s="211"/>
      <c r="M59" s="212"/>
      <c r="N59" s="212"/>
      <c r="O59" s="211"/>
      <c r="P59" s="211"/>
      <c r="Q59" s="212"/>
      <c r="R59" s="212"/>
      <c r="S59" s="211">
        <v>5</v>
      </c>
      <c r="T59" s="211"/>
      <c r="U59" s="212">
        <v>4</v>
      </c>
      <c r="V59" s="212"/>
      <c r="W59" s="213">
        <f>SUM(K59:V59)</f>
        <v>9</v>
      </c>
      <c r="X59" s="213"/>
      <c r="Y59" s="188"/>
      <c r="Z59" s="17"/>
      <c r="AA59" s="17"/>
      <c r="AB59" s="17"/>
      <c r="AC59" s="17"/>
      <c r="AD59" s="17"/>
      <c r="AE59" s="17"/>
    </row>
    <row r="60" spans="1:31" ht="18" customHeight="1">
      <c r="A60" s="17"/>
      <c r="B60" s="207"/>
      <c r="C60" s="214" t="s">
        <v>171</v>
      </c>
      <c r="D60" s="52" t="s">
        <v>23</v>
      </c>
      <c r="E60" s="52" t="s">
        <v>109</v>
      </c>
      <c r="F60" s="210" t="s">
        <v>116</v>
      </c>
      <c r="G60" s="210"/>
      <c r="H60" s="53"/>
      <c r="I60" s="54"/>
      <c r="J60" s="55">
        <f t="shared" si="3"/>
        <v>5</v>
      </c>
      <c r="K60" s="211"/>
      <c r="L60" s="211"/>
      <c r="M60" s="212"/>
      <c r="N60" s="212"/>
      <c r="O60" s="211"/>
      <c r="P60" s="211"/>
      <c r="Q60" s="212"/>
      <c r="R60" s="212"/>
      <c r="S60" s="211">
        <v>5</v>
      </c>
      <c r="T60" s="211"/>
      <c r="U60" s="212"/>
      <c r="V60" s="212"/>
      <c r="W60" s="213">
        <f>SUM(K60:V61)</f>
        <v>9</v>
      </c>
      <c r="X60" s="213"/>
      <c r="Y60" s="188"/>
      <c r="Z60" s="17"/>
      <c r="AA60" s="17"/>
      <c r="AB60" s="17"/>
      <c r="AC60" s="17"/>
      <c r="AD60" s="17"/>
      <c r="AE60" s="17"/>
    </row>
    <row r="61" spans="1:31" ht="24" customHeight="1">
      <c r="A61" s="17"/>
      <c r="B61" s="207"/>
      <c r="C61" s="214"/>
      <c r="D61" s="25" t="s">
        <v>23</v>
      </c>
      <c r="E61" s="25" t="s">
        <v>109</v>
      </c>
      <c r="F61" s="189" t="s">
        <v>126</v>
      </c>
      <c r="G61" s="189"/>
      <c r="H61" s="26"/>
      <c r="I61" s="27"/>
      <c r="J61" s="28">
        <f t="shared" si="3"/>
        <v>4</v>
      </c>
      <c r="K61" s="190"/>
      <c r="L61" s="190"/>
      <c r="M61" s="191"/>
      <c r="N61" s="191"/>
      <c r="O61" s="190"/>
      <c r="P61" s="190"/>
      <c r="Q61" s="191"/>
      <c r="R61" s="191"/>
      <c r="S61" s="190"/>
      <c r="T61" s="190"/>
      <c r="U61" s="191">
        <v>4</v>
      </c>
      <c r="V61" s="191"/>
      <c r="W61" s="213"/>
      <c r="X61" s="213"/>
      <c r="Y61" s="188"/>
      <c r="Z61" s="17"/>
      <c r="AA61" s="17"/>
      <c r="AB61" s="17"/>
      <c r="AC61" s="17"/>
      <c r="AD61" s="17"/>
      <c r="AE61" s="17"/>
    </row>
    <row r="62" spans="1:31" ht="18" customHeight="1">
      <c r="A62" s="17"/>
      <c r="B62" s="207"/>
      <c r="C62" s="214" t="s">
        <v>141</v>
      </c>
      <c r="D62" s="52" t="s">
        <v>142</v>
      </c>
      <c r="E62" s="52" t="s">
        <v>109</v>
      </c>
      <c r="F62" s="210" t="s">
        <v>143</v>
      </c>
      <c r="G62" s="210"/>
      <c r="H62" s="53"/>
      <c r="I62" s="54"/>
      <c r="J62" s="55">
        <f t="shared" si="3"/>
        <v>5</v>
      </c>
      <c r="K62" s="211"/>
      <c r="L62" s="211"/>
      <c r="M62" s="212"/>
      <c r="N62" s="212"/>
      <c r="O62" s="211"/>
      <c r="P62" s="211"/>
      <c r="Q62" s="212"/>
      <c r="R62" s="212"/>
      <c r="S62" s="211">
        <v>5</v>
      </c>
      <c r="T62" s="211"/>
      <c r="U62" s="212"/>
      <c r="V62" s="212"/>
      <c r="W62" s="213">
        <f>SUM(K62:V63)</f>
        <v>9</v>
      </c>
      <c r="X62" s="213"/>
      <c r="Y62" s="188"/>
      <c r="Z62" s="17"/>
      <c r="AA62" s="17"/>
      <c r="AB62" s="17"/>
      <c r="AC62" s="17"/>
      <c r="AD62" s="17"/>
      <c r="AE62" s="17"/>
    </row>
    <row r="63" spans="1:31" ht="24.75" customHeight="1">
      <c r="A63" s="17"/>
      <c r="B63" s="207"/>
      <c r="C63" s="214"/>
      <c r="D63" s="31" t="s">
        <v>142</v>
      </c>
      <c r="E63" s="31" t="s">
        <v>109</v>
      </c>
      <c r="F63" s="192" t="s">
        <v>144</v>
      </c>
      <c r="G63" s="192"/>
      <c r="H63" s="32"/>
      <c r="I63" s="33"/>
      <c r="J63" s="34">
        <f t="shared" si="3"/>
        <v>4</v>
      </c>
      <c r="K63" s="193"/>
      <c r="L63" s="193"/>
      <c r="M63" s="194"/>
      <c r="N63" s="194"/>
      <c r="O63" s="193"/>
      <c r="P63" s="193"/>
      <c r="Q63" s="194"/>
      <c r="R63" s="194"/>
      <c r="S63" s="193"/>
      <c r="T63" s="193"/>
      <c r="U63" s="194">
        <v>4</v>
      </c>
      <c r="V63" s="194"/>
      <c r="W63" s="213"/>
      <c r="X63" s="213"/>
      <c r="Y63" s="188"/>
      <c r="Z63" s="17"/>
      <c r="AA63" s="17"/>
      <c r="AB63" s="17"/>
      <c r="AC63" s="17"/>
      <c r="AD63" s="17"/>
      <c r="AE63" s="17"/>
    </row>
    <row r="64" spans="1:31" ht="21.75" customHeight="1">
      <c r="A64" s="17"/>
      <c r="B64" s="236" t="s">
        <v>145</v>
      </c>
      <c r="C64" s="236"/>
      <c r="D64" s="236"/>
      <c r="E64" s="236"/>
      <c r="F64" s="236"/>
      <c r="G64" s="236"/>
      <c r="H64" s="48"/>
      <c r="I64" s="49"/>
      <c r="J64" s="50">
        <f>SUM(J40:J53,J54:J55,J58:J58)</f>
        <v>93</v>
      </c>
      <c r="K64" s="202">
        <f>SUM(K40:K53,K54:K55,K58:K58)</f>
        <v>8</v>
      </c>
      <c r="L64" s="202"/>
      <c r="M64" s="203">
        <f>SUM(M40:M53,M54:M55,M58:M58)</f>
        <v>5</v>
      </c>
      <c r="N64" s="203"/>
      <c r="O64" s="202">
        <f>SUM(O40:O53,O54:O55,O58:O58)</f>
        <v>12</v>
      </c>
      <c r="P64" s="202"/>
      <c r="Q64" s="203">
        <f>SUM(Q40:Q53,Q54:Q55,Q58:Q58)</f>
        <v>12</v>
      </c>
      <c r="R64" s="203"/>
      <c r="S64" s="202">
        <f>SUM(S40:S53,S54:S55,S58:S58)</f>
        <v>27</v>
      </c>
      <c r="T64" s="202"/>
      <c r="U64" s="203">
        <f>SUM(U40:U53,U54:U55,U58:U58)</f>
        <v>29</v>
      </c>
      <c r="V64" s="203"/>
      <c r="W64" s="204">
        <f>SUM(K64:V64)</f>
        <v>93</v>
      </c>
      <c r="X64" s="204"/>
      <c r="Y64" s="51">
        <f>Y40</f>
        <v>80</v>
      </c>
      <c r="Z64" s="17"/>
      <c r="AA64" s="237" t="s">
        <v>160</v>
      </c>
      <c r="AB64" s="237"/>
      <c r="AC64" s="17"/>
    </row>
    <row r="65" spans="1:31" ht="21.75" customHeight="1">
      <c r="A65" s="17"/>
      <c r="B65" s="201"/>
      <c r="C65" s="201"/>
      <c r="D65" s="201"/>
      <c r="E65" s="201"/>
      <c r="F65" s="201"/>
      <c r="G65" s="201"/>
      <c r="H65" s="48"/>
      <c r="I65" s="49"/>
      <c r="J65" s="50">
        <f>J39+J64</f>
        <v>174</v>
      </c>
      <c r="K65" s="202">
        <f>K39+K64</f>
        <v>29</v>
      </c>
      <c r="L65" s="202"/>
      <c r="M65" s="203">
        <f>M39+M64</f>
        <v>29</v>
      </c>
      <c r="N65" s="203"/>
      <c r="O65" s="202">
        <f>O39+O64</f>
        <v>29</v>
      </c>
      <c r="P65" s="202"/>
      <c r="Q65" s="203">
        <f>Q39+Q64</f>
        <v>29</v>
      </c>
      <c r="R65" s="203"/>
      <c r="S65" s="202">
        <f>S39+S64</f>
        <v>29</v>
      </c>
      <c r="T65" s="202"/>
      <c r="U65" s="203">
        <f>U39+U64</f>
        <v>29</v>
      </c>
      <c r="V65" s="203"/>
      <c r="W65" s="204">
        <f>SUM(K65:V65)</f>
        <v>174</v>
      </c>
      <c r="X65" s="204"/>
      <c r="Y65" s="51">
        <f>Y39+Y64</f>
        <v>144</v>
      </c>
      <c r="Z65" s="17"/>
      <c r="AA65" s="205" t="b">
        <f>W65&gt;=Y65</f>
        <v>1</v>
      </c>
      <c r="AB65" s="205"/>
      <c r="AC65" s="17"/>
      <c r="AD65" s="17"/>
      <c r="AE65" s="17"/>
    </row>
    <row r="66" spans="1:31" ht="18" customHeight="1">
      <c r="A66" s="17"/>
      <c r="B66" s="183" t="s">
        <v>147</v>
      </c>
      <c r="C66" s="183"/>
      <c r="D66" s="183"/>
      <c r="E66" s="183"/>
      <c r="F66" s="183" t="s">
        <v>148</v>
      </c>
      <c r="G66" s="183"/>
      <c r="H66" s="183"/>
      <c r="I66" s="183"/>
      <c r="J66" s="183"/>
      <c r="K66" s="185">
        <v>16</v>
      </c>
      <c r="L66" s="185"/>
      <c r="M66" s="186">
        <v>16</v>
      </c>
      <c r="N66" s="186"/>
      <c r="O66" s="185">
        <v>16</v>
      </c>
      <c r="P66" s="185"/>
      <c r="Q66" s="186">
        <v>16</v>
      </c>
      <c r="R66" s="186"/>
      <c r="S66" s="185">
        <v>16</v>
      </c>
      <c r="T66" s="185"/>
      <c r="U66" s="186">
        <v>16</v>
      </c>
      <c r="V66" s="186"/>
      <c r="W66" s="198">
        <f>SUM(K66:V68)</f>
        <v>288</v>
      </c>
      <c r="X66" s="198"/>
      <c r="Y66" s="188">
        <f>Y69*16</f>
        <v>288</v>
      </c>
      <c r="Z66" s="17"/>
      <c r="AA66" s="17"/>
      <c r="AB66" s="17"/>
      <c r="AC66" s="17"/>
      <c r="AD66" s="17"/>
      <c r="AE66" s="17"/>
    </row>
    <row r="67" spans="1:31" ht="18" customHeight="1">
      <c r="A67" s="17"/>
      <c r="B67" s="183"/>
      <c r="C67" s="183"/>
      <c r="D67" s="183"/>
      <c r="E67" s="183"/>
      <c r="F67" s="220" t="s">
        <v>149</v>
      </c>
      <c r="G67" s="220"/>
      <c r="H67" s="220"/>
      <c r="I67" s="220"/>
      <c r="J67" s="220"/>
      <c r="K67" s="190">
        <v>16</v>
      </c>
      <c r="L67" s="190"/>
      <c r="M67" s="191">
        <v>16</v>
      </c>
      <c r="N67" s="191"/>
      <c r="O67" s="190">
        <v>16</v>
      </c>
      <c r="P67" s="190"/>
      <c r="Q67" s="191">
        <v>16</v>
      </c>
      <c r="R67" s="191"/>
      <c r="S67" s="190">
        <v>16</v>
      </c>
      <c r="T67" s="190"/>
      <c r="U67" s="191">
        <v>16</v>
      </c>
      <c r="V67" s="191"/>
      <c r="W67" s="198"/>
      <c r="X67" s="198"/>
      <c r="Y67" s="188"/>
      <c r="Z67" s="17"/>
      <c r="AA67" s="17"/>
      <c r="AB67" s="17"/>
      <c r="AC67" s="17"/>
      <c r="AD67" s="17"/>
      <c r="AE67" s="17"/>
    </row>
    <row r="68" spans="1:31" ht="18" customHeight="1">
      <c r="A68" s="17"/>
      <c r="B68" s="183"/>
      <c r="C68" s="183"/>
      <c r="D68" s="183"/>
      <c r="E68" s="183"/>
      <c r="F68" s="220" t="s">
        <v>150</v>
      </c>
      <c r="G68" s="220"/>
      <c r="H68" s="220"/>
      <c r="I68" s="220"/>
      <c r="J68" s="220"/>
      <c r="K68" s="190">
        <v>16</v>
      </c>
      <c r="L68" s="190"/>
      <c r="M68" s="191">
        <v>16</v>
      </c>
      <c r="N68" s="191"/>
      <c r="O68" s="190">
        <v>16</v>
      </c>
      <c r="P68" s="190"/>
      <c r="Q68" s="191">
        <v>16</v>
      </c>
      <c r="R68" s="191"/>
      <c r="S68" s="190">
        <v>16</v>
      </c>
      <c r="T68" s="190"/>
      <c r="U68" s="191">
        <v>16</v>
      </c>
      <c r="V68" s="191"/>
      <c r="W68" s="198"/>
      <c r="X68" s="198"/>
      <c r="Y68" s="188"/>
      <c r="Z68" s="17"/>
      <c r="AA68" s="238" t="s">
        <v>161</v>
      </c>
      <c r="AB68" s="238"/>
      <c r="AC68" s="17"/>
      <c r="AD68" s="17"/>
      <c r="AE68" s="17"/>
    </row>
    <row r="69" spans="1:31" ht="18" customHeight="1">
      <c r="A69" s="17"/>
      <c r="B69" s="183"/>
      <c r="C69" s="183"/>
      <c r="D69" s="183"/>
      <c r="E69" s="183"/>
      <c r="F69" s="218" t="s">
        <v>152</v>
      </c>
      <c r="G69" s="218"/>
      <c r="H69" s="218"/>
      <c r="I69" s="218"/>
      <c r="J69" s="218"/>
      <c r="K69" s="193">
        <v>3</v>
      </c>
      <c r="L69" s="193"/>
      <c r="M69" s="194">
        <v>3</v>
      </c>
      <c r="N69" s="194"/>
      <c r="O69" s="193">
        <v>3</v>
      </c>
      <c r="P69" s="193"/>
      <c r="Q69" s="194">
        <v>3</v>
      </c>
      <c r="R69" s="194"/>
      <c r="S69" s="193">
        <v>3</v>
      </c>
      <c r="T69" s="193"/>
      <c r="U69" s="194">
        <v>3</v>
      </c>
      <c r="V69" s="194"/>
      <c r="W69" s="219">
        <f>SUM(K69:V69)</f>
        <v>18</v>
      </c>
      <c r="X69" s="219"/>
      <c r="Y69" s="60">
        <v>18</v>
      </c>
      <c r="Z69" s="17"/>
      <c r="AA69" s="205" t="b">
        <f>W69&gt;=Y69</f>
        <v>1</v>
      </c>
      <c r="AB69" s="205"/>
      <c r="AC69" s="17"/>
      <c r="AD69" s="17"/>
      <c r="AE69" s="17"/>
    </row>
    <row r="70" spans="1:31" ht="18" customHeight="1">
      <c r="A70" s="17"/>
      <c r="B70" s="223"/>
      <c r="C70" s="223"/>
      <c r="D70" s="223"/>
      <c r="E70" s="223"/>
      <c r="F70" s="223"/>
      <c r="G70" s="223"/>
      <c r="H70" s="223"/>
      <c r="I70" s="223"/>
      <c r="J70" s="223"/>
      <c r="K70" s="224">
        <f>K65+K69</f>
        <v>32</v>
      </c>
      <c r="L70" s="224"/>
      <c r="M70" s="225">
        <f>M65+M69</f>
        <v>32</v>
      </c>
      <c r="N70" s="225"/>
      <c r="O70" s="224">
        <f>O65+O69</f>
        <v>32</v>
      </c>
      <c r="P70" s="224"/>
      <c r="Q70" s="225">
        <f>Q65+Q69</f>
        <v>32</v>
      </c>
      <c r="R70" s="225"/>
      <c r="S70" s="224">
        <f>S65+S69</f>
        <v>32</v>
      </c>
      <c r="T70" s="224"/>
      <c r="U70" s="225">
        <f>U65+U69</f>
        <v>32</v>
      </c>
      <c r="V70" s="225"/>
      <c r="W70" s="226">
        <f>SUM(K70:V70)</f>
        <v>192</v>
      </c>
      <c r="X70" s="226"/>
      <c r="Y70" s="61">
        <v>192</v>
      </c>
      <c r="Z70" s="17"/>
      <c r="AA70" s="230" t="s">
        <v>162</v>
      </c>
      <c r="AB70" s="230"/>
      <c r="AC70" s="17"/>
      <c r="AD70" s="17"/>
      <c r="AE70" s="17"/>
    </row>
    <row r="71" spans="1:31" ht="18" customHeight="1">
      <c r="A71" s="17"/>
      <c r="B71" s="221"/>
      <c r="C71" s="221"/>
      <c r="D71" s="221"/>
      <c r="E71" s="221"/>
      <c r="F71" s="221"/>
      <c r="G71" s="221"/>
      <c r="H71" s="221"/>
      <c r="I71" s="221"/>
      <c r="J71" s="221"/>
      <c r="K71" s="222">
        <f>SUM(K70:N70)</f>
        <v>64</v>
      </c>
      <c r="L71" s="222"/>
      <c r="M71" s="222"/>
      <c r="N71" s="222"/>
      <c r="O71" s="222">
        <f>SUM(O70:R70)</f>
        <v>64</v>
      </c>
      <c r="P71" s="222"/>
      <c r="Q71" s="222"/>
      <c r="R71" s="222"/>
      <c r="S71" s="222">
        <f>SUM(S70:V70)</f>
        <v>64</v>
      </c>
      <c r="T71" s="222"/>
      <c r="U71" s="222"/>
      <c r="V71" s="222"/>
      <c r="W71" s="222">
        <f>SUM(K71:V71)</f>
        <v>192</v>
      </c>
      <c r="X71" s="222"/>
      <c r="Y71" s="62"/>
      <c r="Z71" s="17"/>
      <c r="AA71" s="205" t="b">
        <f>W70&gt;=Y70</f>
        <v>1</v>
      </c>
      <c r="AB71" s="205"/>
      <c r="AC71" s="17"/>
      <c r="AD71" s="17"/>
      <c r="AE71" s="17"/>
    </row>
    <row r="72" spans="1:31" ht="18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</row>
    <row r="73" spans="1:31" ht="18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</row>
    <row r="74" spans="1:31" ht="18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</row>
    <row r="75" spans="1:31" ht="18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</row>
    <row r="76" spans="1:31" ht="18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</row>
    <row r="77" spans="1:31" ht="18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</row>
    <row r="78" spans="1:31" ht="18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</row>
    <row r="79" spans="1:31" ht="18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</row>
    <row r="80" spans="1:31" ht="18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</row>
    <row r="81" spans="1:31" ht="18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</row>
    <row r="82" spans="1:31" ht="18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</row>
    <row r="83" spans="1:31" ht="18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</row>
    <row r="84" spans="1:31" ht="18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</row>
    <row r="85" spans="1:31" ht="18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</row>
    <row r="86" spans="1:31" ht="18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</row>
    <row r="87" spans="1:31" ht="18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</row>
    <row r="88" spans="1:31" ht="18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</row>
    <row r="89" spans="1:31" ht="18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</row>
    <row r="90" spans="1:31" ht="18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</row>
    <row r="91" spans="1:31" ht="18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</row>
    <row r="92" spans="1:31" ht="18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</row>
    <row r="93" spans="1:31" ht="18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</row>
    <row r="94" spans="1:31" ht="18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</row>
    <row r="95" spans="1:31" ht="18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</row>
    <row r="96" spans="1:31" ht="18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</row>
    <row r="97" spans="1:31" ht="18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</row>
    <row r="98" spans="1:31" ht="18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</row>
    <row r="99" spans="1:31" ht="18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</row>
    <row r="100" spans="1:31" ht="18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</row>
    <row r="101" spans="1:31" ht="18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</row>
    <row r="102" spans="1:31" ht="18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</row>
    <row r="103" spans="1:31" ht="18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</row>
    <row r="104" spans="1:31" ht="18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</row>
    <row r="105" spans="1:31" ht="18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</row>
    <row r="106" spans="1:31" ht="18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</row>
    <row r="107" spans="1:31" ht="18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</row>
    <row r="108" spans="1:31" ht="18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</row>
    <row r="109" spans="1:31" ht="18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</row>
  </sheetData>
  <mergeCells count="548">
    <mergeCell ref="B71:J71"/>
    <mergeCell ref="K71:N71"/>
    <mergeCell ref="O71:R71"/>
    <mergeCell ref="S71:V71"/>
    <mergeCell ref="W71:X71"/>
    <mergeCell ref="AA71:AB71"/>
    <mergeCell ref="B70:J70"/>
    <mergeCell ref="K70:L70"/>
    <mergeCell ref="M70:N70"/>
    <mergeCell ref="O70:P70"/>
    <mergeCell ref="Q70:R70"/>
    <mergeCell ref="S70:T70"/>
    <mergeCell ref="U70:V70"/>
    <mergeCell ref="W70:X70"/>
    <mergeCell ref="AA70:AB70"/>
    <mergeCell ref="AA68:AB68"/>
    <mergeCell ref="F69:J69"/>
    <mergeCell ref="K69:L69"/>
    <mergeCell ref="M69:N69"/>
    <mergeCell ref="O69:P69"/>
    <mergeCell ref="Q69:R69"/>
    <mergeCell ref="S69:T69"/>
    <mergeCell ref="U69:V69"/>
    <mergeCell ref="W69:X69"/>
    <mergeCell ref="AA69:AB69"/>
    <mergeCell ref="Y66:Y68"/>
    <mergeCell ref="F67:J67"/>
    <mergeCell ref="K67:L67"/>
    <mergeCell ref="M67:N67"/>
    <mergeCell ref="O67:P67"/>
    <mergeCell ref="Q67:R67"/>
    <mergeCell ref="S67:T67"/>
    <mergeCell ref="U67:V67"/>
    <mergeCell ref="F68:J68"/>
    <mergeCell ref="K68:L68"/>
    <mergeCell ref="M68:N68"/>
    <mergeCell ref="O68:P68"/>
    <mergeCell ref="Q68:R68"/>
    <mergeCell ref="S68:T68"/>
    <mergeCell ref="W66:X68"/>
    <mergeCell ref="B65:G65"/>
    <mergeCell ref="K65:L65"/>
    <mergeCell ref="M65:N65"/>
    <mergeCell ref="O65:P65"/>
    <mergeCell ref="Q65:R65"/>
    <mergeCell ref="S65:T65"/>
    <mergeCell ref="U65:V65"/>
    <mergeCell ref="W65:X65"/>
    <mergeCell ref="U68:V68"/>
    <mergeCell ref="B66:E69"/>
    <mergeCell ref="F66:J66"/>
    <mergeCell ref="K66:L66"/>
    <mergeCell ref="M66:N66"/>
    <mergeCell ref="O66:P66"/>
    <mergeCell ref="Q66:R66"/>
    <mergeCell ref="S66:T66"/>
    <mergeCell ref="U66:V66"/>
    <mergeCell ref="AA65:AB65"/>
    <mergeCell ref="B64:G64"/>
    <mergeCell ref="K64:L64"/>
    <mergeCell ref="M64:N64"/>
    <mergeCell ref="O64:P64"/>
    <mergeCell ref="Q64:R64"/>
    <mergeCell ref="S64:T64"/>
    <mergeCell ref="U64:V64"/>
    <mergeCell ref="W64:X64"/>
    <mergeCell ref="AA64:AB64"/>
    <mergeCell ref="C62:C63"/>
    <mergeCell ref="F62:G62"/>
    <mergeCell ref="K62:L62"/>
    <mergeCell ref="M62:N62"/>
    <mergeCell ref="O62:P62"/>
    <mergeCell ref="Q62:R62"/>
    <mergeCell ref="S62:T62"/>
    <mergeCell ref="U62:V62"/>
    <mergeCell ref="W62:X63"/>
    <mergeCell ref="F63:G63"/>
    <mergeCell ref="K63:L63"/>
    <mergeCell ref="M63:N63"/>
    <mergeCell ref="O63:P63"/>
    <mergeCell ref="Q63:R63"/>
    <mergeCell ref="S63:T63"/>
    <mergeCell ref="U63:V63"/>
    <mergeCell ref="W59:X59"/>
    <mergeCell ref="C60:C61"/>
    <mergeCell ref="F60:G60"/>
    <mergeCell ref="K60:L60"/>
    <mergeCell ref="M60:N60"/>
    <mergeCell ref="O60:P60"/>
    <mergeCell ref="Q60:R60"/>
    <mergeCell ref="S60:T60"/>
    <mergeCell ref="U60:V60"/>
    <mergeCell ref="W60:X61"/>
    <mergeCell ref="F61:G61"/>
    <mergeCell ref="K61:L61"/>
    <mergeCell ref="M61:N61"/>
    <mergeCell ref="O61:P61"/>
    <mergeCell ref="Q61:R61"/>
    <mergeCell ref="S61:T61"/>
    <mergeCell ref="U61:V61"/>
    <mergeCell ref="W56:X57"/>
    <mergeCell ref="F57:G57"/>
    <mergeCell ref="K57:L57"/>
    <mergeCell ref="M57:N57"/>
    <mergeCell ref="O57:P57"/>
    <mergeCell ref="Q57:R57"/>
    <mergeCell ref="S57:T57"/>
    <mergeCell ref="U57:V57"/>
    <mergeCell ref="B58:B63"/>
    <mergeCell ref="F58:G58"/>
    <mergeCell ref="K58:L58"/>
    <mergeCell ref="M58:N58"/>
    <mergeCell ref="O58:P58"/>
    <mergeCell ref="Q58:R58"/>
    <mergeCell ref="S58:T58"/>
    <mergeCell ref="U58:V58"/>
    <mergeCell ref="W58:X58"/>
    <mergeCell ref="F59:G59"/>
    <mergeCell ref="K59:L59"/>
    <mergeCell ref="M59:N59"/>
    <mergeCell ref="O59:P59"/>
    <mergeCell ref="Q59:R59"/>
    <mergeCell ref="S59:T59"/>
    <mergeCell ref="U59:V59"/>
    <mergeCell ref="U55:V55"/>
    <mergeCell ref="C56:C57"/>
    <mergeCell ref="F56:G56"/>
    <mergeCell ref="K56:L56"/>
    <mergeCell ref="M56:N56"/>
    <mergeCell ref="O56:P56"/>
    <mergeCell ref="Q56:R56"/>
    <mergeCell ref="S56:T56"/>
    <mergeCell ref="U56:V56"/>
    <mergeCell ref="F53:G53"/>
    <mergeCell ref="K53:L53"/>
    <mergeCell ref="M53:N53"/>
    <mergeCell ref="O53:P53"/>
    <mergeCell ref="Q53:R53"/>
    <mergeCell ref="S53:T53"/>
    <mergeCell ref="U53:V53"/>
    <mergeCell ref="W53:X53"/>
    <mergeCell ref="B54:B57"/>
    <mergeCell ref="C54:C55"/>
    <mergeCell ref="F54:G54"/>
    <mergeCell ref="K54:L54"/>
    <mergeCell ref="M54:N54"/>
    <mergeCell ref="O54:P54"/>
    <mergeCell ref="Q54:R54"/>
    <mergeCell ref="S54:T54"/>
    <mergeCell ref="U54:V54"/>
    <mergeCell ref="W54:X55"/>
    <mergeCell ref="F55:G55"/>
    <mergeCell ref="K55:L55"/>
    <mergeCell ref="M55:N55"/>
    <mergeCell ref="O55:P55"/>
    <mergeCell ref="Q55:R55"/>
    <mergeCell ref="S55:T55"/>
    <mergeCell ref="F51:G51"/>
    <mergeCell ref="K51:L51"/>
    <mergeCell ref="M51:N51"/>
    <mergeCell ref="O51:P51"/>
    <mergeCell ref="Q51:R51"/>
    <mergeCell ref="S51:T51"/>
    <mergeCell ref="U51:V51"/>
    <mergeCell ref="W51:X51"/>
    <mergeCell ref="F52:G52"/>
    <mergeCell ref="K52:L52"/>
    <mergeCell ref="M52:N52"/>
    <mergeCell ref="O52:P52"/>
    <mergeCell ref="Q52:R52"/>
    <mergeCell ref="S52:T52"/>
    <mergeCell ref="U52:V52"/>
    <mergeCell ref="W52:X52"/>
    <mergeCell ref="F49:G49"/>
    <mergeCell ref="K49:L49"/>
    <mergeCell ref="M49:N49"/>
    <mergeCell ref="O49:P49"/>
    <mergeCell ref="Q49:R49"/>
    <mergeCell ref="S49:T49"/>
    <mergeCell ref="U49:V49"/>
    <mergeCell ref="W49:X49"/>
    <mergeCell ref="F50:G50"/>
    <mergeCell ref="K50:L50"/>
    <mergeCell ref="M50:N50"/>
    <mergeCell ref="O50:P50"/>
    <mergeCell ref="Q50:R50"/>
    <mergeCell ref="S50:T50"/>
    <mergeCell ref="U50:V50"/>
    <mergeCell ref="W50:X50"/>
    <mergeCell ref="W47:X47"/>
    <mergeCell ref="F48:G48"/>
    <mergeCell ref="K48:L48"/>
    <mergeCell ref="M48:N48"/>
    <mergeCell ref="O48:P48"/>
    <mergeCell ref="Q48:R48"/>
    <mergeCell ref="S48:T48"/>
    <mergeCell ref="U48:V48"/>
    <mergeCell ref="W48:X48"/>
    <mergeCell ref="W45:X45"/>
    <mergeCell ref="F46:G46"/>
    <mergeCell ref="K46:L46"/>
    <mergeCell ref="M46:N46"/>
    <mergeCell ref="O46:P46"/>
    <mergeCell ref="Q46:R46"/>
    <mergeCell ref="S46:T46"/>
    <mergeCell ref="U46:V46"/>
    <mergeCell ref="W46:X46"/>
    <mergeCell ref="W43:X43"/>
    <mergeCell ref="F44:G44"/>
    <mergeCell ref="K44:L44"/>
    <mergeCell ref="M44:N44"/>
    <mergeCell ref="O44:P44"/>
    <mergeCell ref="Q44:R44"/>
    <mergeCell ref="S44:T44"/>
    <mergeCell ref="U44:V44"/>
    <mergeCell ref="W44:X44"/>
    <mergeCell ref="W40:X40"/>
    <mergeCell ref="Y40:Y63"/>
    <mergeCell ref="F41:G41"/>
    <mergeCell ref="K41:L41"/>
    <mergeCell ref="M41:N41"/>
    <mergeCell ref="O41:P41"/>
    <mergeCell ref="Q41:R41"/>
    <mergeCell ref="S41:T41"/>
    <mergeCell ref="U41:V41"/>
    <mergeCell ref="W41:X41"/>
    <mergeCell ref="F42:G42"/>
    <mergeCell ref="K42:L42"/>
    <mergeCell ref="M42:N42"/>
    <mergeCell ref="O42:P42"/>
    <mergeCell ref="Q42:R42"/>
    <mergeCell ref="S42:T42"/>
    <mergeCell ref="U42:V42"/>
    <mergeCell ref="W42:X42"/>
    <mergeCell ref="F43:G43"/>
    <mergeCell ref="K43:L43"/>
    <mergeCell ref="M43:N43"/>
    <mergeCell ref="O43:P43"/>
    <mergeCell ref="Q43:R43"/>
    <mergeCell ref="S43:T43"/>
    <mergeCell ref="B40:C53"/>
    <mergeCell ref="D40:E40"/>
    <mergeCell ref="F40:G40"/>
    <mergeCell ref="K40:L40"/>
    <mergeCell ref="M40:N40"/>
    <mergeCell ref="O40:P40"/>
    <mergeCell ref="Q40:R40"/>
    <mergeCell ref="S40:T40"/>
    <mergeCell ref="U40:V40"/>
    <mergeCell ref="U43:V43"/>
    <mergeCell ref="F45:G45"/>
    <mergeCell ref="K45:L45"/>
    <mergeCell ref="M45:N45"/>
    <mergeCell ref="O45:P45"/>
    <mergeCell ref="Q45:R45"/>
    <mergeCell ref="S45:T45"/>
    <mergeCell ref="U45:V45"/>
    <mergeCell ref="F47:G47"/>
    <mergeCell ref="K47:L47"/>
    <mergeCell ref="M47:N47"/>
    <mergeCell ref="O47:P47"/>
    <mergeCell ref="Q47:R47"/>
    <mergeCell ref="S47:T47"/>
    <mergeCell ref="U47:V47"/>
    <mergeCell ref="B39:G39"/>
    <mergeCell ref="K39:L39"/>
    <mergeCell ref="M39:N39"/>
    <mergeCell ref="O39:P39"/>
    <mergeCell ref="Q39:R39"/>
    <mergeCell ref="S39:T39"/>
    <mergeCell ref="U39:V39"/>
    <mergeCell ref="W39:X39"/>
    <mergeCell ref="AA39:AB39"/>
    <mergeCell ref="Y36:Y38"/>
    <mergeCell ref="F37:G37"/>
    <mergeCell ref="K37:L37"/>
    <mergeCell ref="M37:N37"/>
    <mergeCell ref="O37:P37"/>
    <mergeCell ref="Q37:R37"/>
    <mergeCell ref="S37:T37"/>
    <mergeCell ref="U37:V37"/>
    <mergeCell ref="F38:G38"/>
    <mergeCell ref="K38:L38"/>
    <mergeCell ref="M38:N38"/>
    <mergeCell ref="O38:P38"/>
    <mergeCell ref="Q38:R38"/>
    <mergeCell ref="S38:T38"/>
    <mergeCell ref="U38:V38"/>
    <mergeCell ref="D36:D38"/>
    <mergeCell ref="F36:G36"/>
    <mergeCell ref="K36:L36"/>
    <mergeCell ref="M36:N36"/>
    <mergeCell ref="O36:P36"/>
    <mergeCell ref="Q36:R36"/>
    <mergeCell ref="S36:T36"/>
    <mergeCell ref="U36:V36"/>
    <mergeCell ref="W36:X38"/>
    <mergeCell ref="Y32:Y35"/>
    <mergeCell ref="F33:G33"/>
    <mergeCell ref="K33:L33"/>
    <mergeCell ref="M33:N33"/>
    <mergeCell ref="O33:P33"/>
    <mergeCell ref="Q33:R33"/>
    <mergeCell ref="S33:T33"/>
    <mergeCell ref="U33:V33"/>
    <mergeCell ref="F34:G34"/>
    <mergeCell ref="K34:L34"/>
    <mergeCell ref="M34:N34"/>
    <mergeCell ref="O34:P34"/>
    <mergeCell ref="Q34:R34"/>
    <mergeCell ref="S34:T34"/>
    <mergeCell ref="U34:V34"/>
    <mergeCell ref="F35:G35"/>
    <mergeCell ref="K35:L35"/>
    <mergeCell ref="M35:N35"/>
    <mergeCell ref="O35:P35"/>
    <mergeCell ref="Q35:R35"/>
    <mergeCell ref="S35:T35"/>
    <mergeCell ref="U35:V35"/>
    <mergeCell ref="D32:D35"/>
    <mergeCell ref="F32:G32"/>
    <mergeCell ref="K32:L32"/>
    <mergeCell ref="M32:N32"/>
    <mergeCell ref="O32:P32"/>
    <mergeCell ref="Q32:R32"/>
    <mergeCell ref="S32:T32"/>
    <mergeCell ref="U32:V32"/>
    <mergeCell ref="W32:X35"/>
    <mergeCell ref="Y27:Y31"/>
    <mergeCell ref="F28:G28"/>
    <mergeCell ref="K28:L28"/>
    <mergeCell ref="M28:N28"/>
    <mergeCell ref="O28:P28"/>
    <mergeCell ref="Q28:R28"/>
    <mergeCell ref="S28:T28"/>
    <mergeCell ref="U28:V28"/>
    <mergeCell ref="F29:G29"/>
    <mergeCell ref="K29:L29"/>
    <mergeCell ref="M29:N29"/>
    <mergeCell ref="O29:P29"/>
    <mergeCell ref="Q29:R29"/>
    <mergeCell ref="S29:T29"/>
    <mergeCell ref="U29:V29"/>
    <mergeCell ref="F30:G30"/>
    <mergeCell ref="K30:L30"/>
    <mergeCell ref="M30:N30"/>
    <mergeCell ref="O30:P30"/>
    <mergeCell ref="Q30:R30"/>
    <mergeCell ref="S30:T30"/>
    <mergeCell ref="U30:V30"/>
    <mergeCell ref="F31:G31"/>
    <mergeCell ref="K31:L31"/>
    <mergeCell ref="D27:D31"/>
    <mergeCell ref="F27:G27"/>
    <mergeCell ref="K27:L27"/>
    <mergeCell ref="M27:N27"/>
    <mergeCell ref="O27:P27"/>
    <mergeCell ref="Q27:R27"/>
    <mergeCell ref="S27:T27"/>
    <mergeCell ref="U27:V27"/>
    <mergeCell ref="X27:X31"/>
    <mergeCell ref="M31:N31"/>
    <mergeCell ref="O31:P31"/>
    <mergeCell ref="Q31:R31"/>
    <mergeCell ref="S31:T31"/>
    <mergeCell ref="U31:V31"/>
    <mergeCell ref="D25:D26"/>
    <mergeCell ref="F25:G25"/>
    <mergeCell ref="K25:L25"/>
    <mergeCell ref="M25:N25"/>
    <mergeCell ref="O25:P25"/>
    <mergeCell ref="Q25:R25"/>
    <mergeCell ref="S25:T25"/>
    <mergeCell ref="U25:V25"/>
    <mergeCell ref="X25:X26"/>
    <mergeCell ref="F26:G26"/>
    <mergeCell ref="K26:L26"/>
    <mergeCell ref="M26:N26"/>
    <mergeCell ref="O26:P26"/>
    <mergeCell ref="Q26:R26"/>
    <mergeCell ref="S26:T26"/>
    <mergeCell ref="U26:V26"/>
    <mergeCell ref="X23:X24"/>
    <mergeCell ref="Y23:Y26"/>
    <mergeCell ref="F24:G24"/>
    <mergeCell ref="K24:L24"/>
    <mergeCell ref="M24:N24"/>
    <mergeCell ref="O24:P24"/>
    <mergeCell ref="Q24:R24"/>
    <mergeCell ref="S24:T24"/>
    <mergeCell ref="U24:V24"/>
    <mergeCell ref="D17:D20"/>
    <mergeCell ref="F17:G17"/>
    <mergeCell ref="K17:L17"/>
    <mergeCell ref="M17:N17"/>
    <mergeCell ref="O17:P17"/>
    <mergeCell ref="Q17:R17"/>
    <mergeCell ref="X21:X22"/>
    <mergeCell ref="Y21:Y22"/>
    <mergeCell ref="F22:G22"/>
    <mergeCell ref="K22:L22"/>
    <mergeCell ref="M22:N22"/>
    <mergeCell ref="O22:P22"/>
    <mergeCell ref="Q22:R22"/>
    <mergeCell ref="S22:T22"/>
    <mergeCell ref="U22:V22"/>
    <mergeCell ref="D21:D24"/>
    <mergeCell ref="F21:G21"/>
    <mergeCell ref="K21:L21"/>
    <mergeCell ref="M21:N21"/>
    <mergeCell ref="O21:P21"/>
    <mergeCell ref="Q21:R21"/>
    <mergeCell ref="S21:T21"/>
    <mergeCell ref="U21:V21"/>
    <mergeCell ref="F23:G23"/>
    <mergeCell ref="K23:L23"/>
    <mergeCell ref="M23:N23"/>
    <mergeCell ref="O23:P23"/>
    <mergeCell ref="Q23:R23"/>
    <mergeCell ref="S23:T23"/>
    <mergeCell ref="U23:V23"/>
    <mergeCell ref="S17:T17"/>
    <mergeCell ref="U17:V17"/>
    <mergeCell ref="X17:X20"/>
    <mergeCell ref="F18:G18"/>
    <mergeCell ref="K18:L18"/>
    <mergeCell ref="M18:N18"/>
    <mergeCell ref="O18:P18"/>
    <mergeCell ref="Q18:R18"/>
    <mergeCell ref="S18:T18"/>
    <mergeCell ref="U18:V18"/>
    <mergeCell ref="F19:G19"/>
    <mergeCell ref="K19:L19"/>
    <mergeCell ref="M19:N19"/>
    <mergeCell ref="O19:P19"/>
    <mergeCell ref="Q19:R19"/>
    <mergeCell ref="S19:T19"/>
    <mergeCell ref="U19:V19"/>
    <mergeCell ref="F20:G20"/>
    <mergeCell ref="K20:L20"/>
    <mergeCell ref="M20:N20"/>
    <mergeCell ref="O20:P20"/>
    <mergeCell ref="Q20:R20"/>
    <mergeCell ref="S20:T20"/>
    <mergeCell ref="U20:V20"/>
    <mergeCell ref="AB14:AD14"/>
    <mergeCell ref="F15:G15"/>
    <mergeCell ref="K15:L15"/>
    <mergeCell ref="M15:N15"/>
    <mergeCell ref="O15:P15"/>
    <mergeCell ref="Q15:R15"/>
    <mergeCell ref="S15:T15"/>
    <mergeCell ref="U15:V15"/>
    <mergeCell ref="F16:G16"/>
    <mergeCell ref="K16:L16"/>
    <mergeCell ref="M16:N16"/>
    <mergeCell ref="O16:P16"/>
    <mergeCell ref="Q16:R16"/>
    <mergeCell ref="S16:T16"/>
    <mergeCell ref="U16:V16"/>
    <mergeCell ref="D13:D16"/>
    <mergeCell ref="F13:G13"/>
    <mergeCell ref="K13:L13"/>
    <mergeCell ref="M13:N13"/>
    <mergeCell ref="O13:P13"/>
    <mergeCell ref="Q13:R13"/>
    <mergeCell ref="S13:T13"/>
    <mergeCell ref="U13:V13"/>
    <mergeCell ref="X13:X16"/>
    <mergeCell ref="F14:G14"/>
    <mergeCell ref="K14:L14"/>
    <mergeCell ref="M14:N14"/>
    <mergeCell ref="O14:P14"/>
    <mergeCell ref="Q14:R14"/>
    <mergeCell ref="S14:T14"/>
    <mergeCell ref="U14:V14"/>
    <mergeCell ref="S11:T11"/>
    <mergeCell ref="U11:V11"/>
    <mergeCell ref="F12:G12"/>
    <mergeCell ref="K12:L12"/>
    <mergeCell ref="M12:N12"/>
    <mergeCell ref="O12:P12"/>
    <mergeCell ref="Q12:R12"/>
    <mergeCell ref="S12:T12"/>
    <mergeCell ref="U12:V12"/>
    <mergeCell ref="AA8:AD8"/>
    <mergeCell ref="B9:C38"/>
    <mergeCell ref="D9:D12"/>
    <mergeCell ref="F9:G9"/>
    <mergeCell ref="K9:L9"/>
    <mergeCell ref="M9:N9"/>
    <mergeCell ref="O9:P9"/>
    <mergeCell ref="Q9:R9"/>
    <mergeCell ref="S9:T9"/>
    <mergeCell ref="U9:V9"/>
    <mergeCell ref="X9:X12"/>
    <mergeCell ref="Y9:Y20"/>
    <mergeCell ref="F10:G10"/>
    <mergeCell ref="K10:L10"/>
    <mergeCell ref="M10:N10"/>
    <mergeCell ref="O10:P10"/>
    <mergeCell ref="Q10:R10"/>
    <mergeCell ref="S10:T10"/>
    <mergeCell ref="U10:V10"/>
    <mergeCell ref="F11:G11"/>
    <mergeCell ref="K11:L11"/>
    <mergeCell ref="M11:N11"/>
    <mergeCell ref="O11:P11"/>
    <mergeCell ref="Q11:R11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</mergeCells>
  <phoneticPr fontId="41" type="noConversion"/>
  <conditionalFormatting sqref="AA39 AA69 AA71">
    <cfRule type="expression" dxfId="1" priority="2">
      <formula>NOT(ISERROR(SEARCH("FALSE",AA39)))</formula>
    </cfRule>
  </conditionalFormatting>
  <conditionalFormatting sqref="AA65">
    <cfRule type="expression" dxfId="0" priority="3">
      <formula>NOT(ISERROR(SEARCH("FALSE",AA65)))</formula>
    </cfRule>
  </conditionalFormatting>
  <printOptions horizontalCentered="1" verticalCentered="1"/>
  <pageMargins left="0.25" right="0.25" top="0.75" bottom="0.75" header="0.511811023622047" footer="0.511811023622047"/>
  <pageSetup paperSize="12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AG69"/>
  <sheetViews>
    <sheetView zoomScaleNormal="100" workbookViewId="0">
      <selection activeCell="L27" sqref="L27"/>
    </sheetView>
  </sheetViews>
  <sheetFormatPr defaultColWidth="7.25" defaultRowHeight="16.5"/>
  <cols>
    <col min="1" max="1" width="2.625" style="64" customWidth="1"/>
    <col min="2" max="2" width="10" style="64" customWidth="1"/>
    <col min="3" max="3" width="4.75" style="64" customWidth="1"/>
    <col min="4" max="4" width="16.125" style="64" customWidth="1"/>
    <col min="5" max="5" width="16.25" style="65" customWidth="1"/>
    <col min="6" max="6" width="7.75" style="65" customWidth="1"/>
    <col min="7" max="7" width="9.125" style="64" customWidth="1"/>
    <col min="8" max="19" width="6.625" style="64" customWidth="1"/>
    <col min="20" max="20" width="5.625" style="64" customWidth="1"/>
    <col min="21" max="21" width="6" style="64" customWidth="1"/>
  </cols>
  <sheetData>
    <row r="2" spans="1:33" ht="39.75" customHeight="1">
      <c r="B2" s="239" t="s">
        <v>190</v>
      </c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</row>
    <row r="3" spans="1:33" ht="27" customHeight="1"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240" t="s">
        <v>7</v>
      </c>
      <c r="O3" s="240"/>
      <c r="P3" s="240"/>
      <c r="Q3" s="240" t="s">
        <v>15</v>
      </c>
      <c r="R3" s="240"/>
      <c r="S3" s="240"/>
      <c r="T3" s="241" t="s">
        <v>1</v>
      </c>
      <c r="U3" s="241"/>
    </row>
    <row r="4" spans="1:33" ht="30" customHeight="1" thickBot="1"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242" t="s">
        <v>22</v>
      </c>
      <c r="O4" s="242"/>
      <c r="P4" s="242"/>
      <c r="Q4" s="243" t="s">
        <v>191</v>
      </c>
      <c r="R4" s="243"/>
      <c r="S4" s="243"/>
      <c r="T4" s="244">
        <v>2027</v>
      </c>
      <c r="U4" s="244"/>
    </row>
    <row r="5" spans="1:33" ht="24" customHeight="1" thickBot="1">
      <c r="B5" s="245"/>
      <c r="C5" s="245"/>
    </row>
    <row r="6" spans="1:33" ht="20.25" customHeight="1" thickBot="1">
      <c r="B6" s="246" t="s">
        <v>192</v>
      </c>
      <c r="C6" s="247" t="s">
        <v>36</v>
      </c>
      <c r="D6" s="248" t="s">
        <v>193</v>
      </c>
      <c r="E6" s="248" t="s">
        <v>194</v>
      </c>
      <c r="F6" s="248" t="s">
        <v>195</v>
      </c>
      <c r="G6" s="248" t="s">
        <v>196</v>
      </c>
      <c r="H6" s="249" t="s">
        <v>197</v>
      </c>
      <c r="I6" s="249"/>
      <c r="J6" s="249"/>
      <c r="K6" s="249"/>
      <c r="L6" s="249" t="s">
        <v>198</v>
      </c>
      <c r="M6" s="249"/>
      <c r="N6" s="249"/>
      <c r="O6" s="249"/>
      <c r="P6" s="249" t="s">
        <v>199</v>
      </c>
      <c r="Q6" s="249"/>
      <c r="R6" s="249"/>
      <c r="S6" s="249"/>
      <c r="T6" s="250" t="s">
        <v>200</v>
      </c>
      <c r="U6" s="251" t="s">
        <v>201</v>
      </c>
      <c r="W6" s="67"/>
    </row>
    <row r="7" spans="1:33" ht="16.5" customHeight="1" thickBot="1">
      <c r="B7" s="246"/>
      <c r="C7" s="247"/>
      <c r="D7" s="247"/>
      <c r="E7" s="247"/>
      <c r="F7" s="247"/>
      <c r="G7" s="247"/>
      <c r="H7" s="252" t="s">
        <v>202</v>
      </c>
      <c r="I7" s="252"/>
      <c r="J7" s="252" t="s">
        <v>203</v>
      </c>
      <c r="K7" s="252"/>
      <c r="L7" s="252" t="s">
        <v>202</v>
      </c>
      <c r="M7" s="252"/>
      <c r="N7" s="252" t="s">
        <v>203</v>
      </c>
      <c r="O7" s="252"/>
      <c r="P7" s="252" t="s">
        <v>202</v>
      </c>
      <c r="Q7" s="252"/>
      <c r="R7" s="252" t="s">
        <v>203</v>
      </c>
      <c r="S7" s="252"/>
      <c r="T7" s="250"/>
      <c r="U7" s="251"/>
      <c r="W7" s="67"/>
    </row>
    <row r="8" spans="1:33" ht="17.25" customHeight="1" thickBot="1">
      <c r="B8" s="246"/>
      <c r="C8" s="247"/>
      <c r="D8" s="247"/>
      <c r="E8" s="247"/>
      <c r="F8" s="247"/>
      <c r="G8" s="247"/>
      <c r="H8" s="68" t="s">
        <v>204</v>
      </c>
      <c r="I8" s="68" t="s">
        <v>205</v>
      </c>
      <c r="J8" s="68" t="s">
        <v>204</v>
      </c>
      <c r="K8" s="68" t="s">
        <v>205</v>
      </c>
      <c r="L8" s="68" t="s">
        <v>204</v>
      </c>
      <c r="M8" s="68" t="s">
        <v>205</v>
      </c>
      <c r="N8" s="68" t="s">
        <v>204</v>
      </c>
      <c r="O8" s="68" t="s">
        <v>205</v>
      </c>
      <c r="P8" s="68" t="s">
        <v>204</v>
      </c>
      <c r="Q8" s="68" t="s">
        <v>205</v>
      </c>
      <c r="R8" s="68" t="s">
        <v>204</v>
      </c>
      <c r="S8" s="68" t="s">
        <v>205</v>
      </c>
      <c r="T8" s="250"/>
      <c r="U8" s="251"/>
      <c r="W8" s="67"/>
    </row>
    <row r="9" spans="1:33" ht="16.5" customHeight="1" thickBot="1">
      <c r="A9" s="17"/>
      <c r="B9" s="253" t="s">
        <v>119</v>
      </c>
      <c r="C9" s="254">
        <v>8</v>
      </c>
      <c r="D9" s="69" t="s">
        <v>206</v>
      </c>
      <c r="E9" s="70" t="s">
        <v>207</v>
      </c>
      <c r="F9" s="69">
        <v>40</v>
      </c>
      <c r="G9" s="69">
        <v>2</v>
      </c>
      <c r="H9" s="71"/>
      <c r="I9" s="71">
        <f>H9*16</f>
        <v>0</v>
      </c>
      <c r="J9" s="71"/>
      <c r="K9" s="71">
        <f>J9*16</f>
        <v>0</v>
      </c>
      <c r="L9" s="71"/>
      <c r="M9" s="71">
        <f>L9*16</f>
        <v>0</v>
      </c>
      <c r="N9" s="71"/>
      <c r="O9" s="71">
        <f>N9*16</f>
        <v>0</v>
      </c>
      <c r="P9" s="71">
        <v>1</v>
      </c>
      <c r="Q9" s="71">
        <f>P9*16</f>
        <v>16</v>
      </c>
      <c r="R9" s="71"/>
      <c r="S9" s="71">
        <f>R9*16</f>
        <v>0</v>
      </c>
      <c r="T9" s="72">
        <f t="shared" ref="T9:U12" si="0">SUM(H9,J9,L9,N9,P9,R9)</f>
        <v>1</v>
      </c>
      <c r="U9" s="73">
        <f t="shared" si="0"/>
        <v>16</v>
      </c>
      <c r="V9" s="17"/>
      <c r="W9" s="17"/>
    </row>
    <row r="10" spans="1:33" ht="16.5" customHeight="1" thickBot="1">
      <c r="A10" s="17"/>
      <c r="B10" s="253"/>
      <c r="C10" s="254"/>
      <c r="D10" s="74" t="s">
        <v>208</v>
      </c>
      <c r="E10" s="75" t="s">
        <v>209</v>
      </c>
      <c r="F10" s="74">
        <v>45</v>
      </c>
      <c r="G10" s="74">
        <v>3</v>
      </c>
      <c r="H10" s="76"/>
      <c r="I10" s="76">
        <f>H10*16</f>
        <v>0</v>
      </c>
      <c r="J10" s="76"/>
      <c r="K10" s="76">
        <f>J10*16</f>
        <v>0</v>
      </c>
      <c r="L10" s="76"/>
      <c r="M10" s="76">
        <f>L10*16</f>
        <v>0</v>
      </c>
      <c r="N10" s="76"/>
      <c r="O10" s="76">
        <f>N10*16</f>
        <v>0</v>
      </c>
      <c r="P10" s="76">
        <v>3</v>
      </c>
      <c r="Q10" s="76">
        <f>P10*16</f>
        <v>48</v>
      </c>
      <c r="R10" s="76"/>
      <c r="S10" s="76">
        <f>R10*16</f>
        <v>0</v>
      </c>
      <c r="T10" s="77">
        <f t="shared" si="0"/>
        <v>3</v>
      </c>
      <c r="U10" s="78">
        <f t="shared" si="0"/>
        <v>48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6.5" customHeight="1">
      <c r="A11" s="17"/>
      <c r="B11" s="253"/>
      <c r="C11" s="254"/>
      <c r="D11" s="74" t="s">
        <v>210</v>
      </c>
      <c r="E11" s="75" t="s">
        <v>211</v>
      </c>
      <c r="F11" s="152">
        <v>30</v>
      </c>
      <c r="G11" s="152">
        <v>2</v>
      </c>
      <c r="H11" s="76"/>
      <c r="I11" s="76">
        <f>H11*16</f>
        <v>0</v>
      </c>
      <c r="J11" s="76"/>
      <c r="K11" s="76">
        <f>J11*16</f>
        <v>0</v>
      </c>
      <c r="L11" s="76"/>
      <c r="M11" s="76">
        <f>L11*16</f>
        <v>0</v>
      </c>
      <c r="N11" s="76"/>
      <c r="O11" s="76">
        <f>N11*16</f>
        <v>0</v>
      </c>
      <c r="P11" s="76"/>
      <c r="Q11" s="76">
        <f>P11*16</f>
        <v>0</v>
      </c>
      <c r="R11" s="76">
        <v>2</v>
      </c>
      <c r="S11" s="76">
        <f>R11*16</f>
        <v>32</v>
      </c>
      <c r="T11" s="77">
        <f t="shared" si="0"/>
        <v>2</v>
      </c>
      <c r="U11" s="78">
        <f t="shared" si="0"/>
        <v>32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6.5" customHeight="1">
      <c r="A12" s="17"/>
      <c r="B12" s="253"/>
      <c r="C12" s="254"/>
      <c r="D12" s="74" t="s">
        <v>212</v>
      </c>
      <c r="E12" s="75" t="s">
        <v>213</v>
      </c>
      <c r="F12" s="74">
        <v>20</v>
      </c>
      <c r="G12" s="74">
        <v>2</v>
      </c>
      <c r="H12" s="76"/>
      <c r="I12" s="76">
        <f>H12*16</f>
        <v>0</v>
      </c>
      <c r="J12" s="76"/>
      <c r="K12" s="76">
        <f>J12*16</f>
        <v>0</v>
      </c>
      <c r="L12" s="76"/>
      <c r="M12" s="76">
        <f>L12*16</f>
        <v>0</v>
      </c>
      <c r="N12" s="76"/>
      <c r="O12" s="76">
        <f>N12*16</f>
        <v>0</v>
      </c>
      <c r="P12" s="76"/>
      <c r="Q12" s="76">
        <f>P12*16</f>
        <v>0</v>
      </c>
      <c r="R12" s="76">
        <v>2</v>
      </c>
      <c r="S12" s="76">
        <f>R12*16</f>
        <v>32</v>
      </c>
      <c r="T12" s="77">
        <f t="shared" si="0"/>
        <v>2</v>
      </c>
      <c r="U12" s="78">
        <f t="shared" si="0"/>
        <v>32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3" spans="1:33" ht="18" customHeight="1">
      <c r="A13" s="17"/>
      <c r="B13" s="253"/>
      <c r="C13" s="254"/>
      <c r="D13" s="255" t="s">
        <v>214</v>
      </c>
      <c r="E13" s="255"/>
      <c r="F13" s="79"/>
      <c r="G13" s="79"/>
      <c r="H13" s="80">
        <f t="shared" ref="H13:U13" si="1">SUM(H9:H12)</f>
        <v>0</v>
      </c>
      <c r="I13" s="80">
        <f t="shared" si="1"/>
        <v>0</v>
      </c>
      <c r="J13" s="80">
        <f t="shared" si="1"/>
        <v>0</v>
      </c>
      <c r="K13" s="80">
        <f t="shared" si="1"/>
        <v>0</v>
      </c>
      <c r="L13" s="80">
        <f t="shared" si="1"/>
        <v>0</v>
      </c>
      <c r="M13" s="80">
        <f t="shared" si="1"/>
        <v>0</v>
      </c>
      <c r="N13" s="80">
        <f t="shared" si="1"/>
        <v>0</v>
      </c>
      <c r="O13" s="80">
        <f t="shared" si="1"/>
        <v>0</v>
      </c>
      <c r="P13" s="80">
        <f t="shared" si="1"/>
        <v>4</v>
      </c>
      <c r="Q13" s="80">
        <f t="shared" si="1"/>
        <v>64</v>
      </c>
      <c r="R13" s="80">
        <f t="shared" si="1"/>
        <v>4</v>
      </c>
      <c r="S13" s="80">
        <f t="shared" si="1"/>
        <v>64</v>
      </c>
      <c r="T13" s="81">
        <f t="shared" si="1"/>
        <v>8</v>
      </c>
      <c r="U13" s="81">
        <f t="shared" si="1"/>
        <v>128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</row>
    <row r="14" spans="1:33" ht="16.5" customHeight="1">
      <c r="A14" s="17"/>
      <c r="B14" s="253" t="s">
        <v>121</v>
      </c>
      <c r="C14" s="254">
        <v>7</v>
      </c>
      <c r="D14" s="69" t="s">
        <v>215</v>
      </c>
      <c r="E14" s="70" t="s">
        <v>216</v>
      </c>
      <c r="F14" s="69">
        <v>24</v>
      </c>
      <c r="G14" s="69">
        <v>5</v>
      </c>
      <c r="H14" s="71"/>
      <c r="I14" s="71">
        <f>H14*16</f>
        <v>0</v>
      </c>
      <c r="J14" s="71"/>
      <c r="K14" s="71">
        <f>J14*16</f>
        <v>0</v>
      </c>
      <c r="L14" s="71"/>
      <c r="M14" s="71">
        <f>L14*16</f>
        <v>0</v>
      </c>
      <c r="N14" s="71"/>
      <c r="O14" s="71">
        <f>N14*16</f>
        <v>0</v>
      </c>
      <c r="P14" s="71">
        <v>3</v>
      </c>
      <c r="Q14" s="71">
        <f>P14*16</f>
        <v>48</v>
      </c>
      <c r="R14" s="71"/>
      <c r="S14" s="71">
        <f>R14*16</f>
        <v>0</v>
      </c>
      <c r="T14" s="72">
        <f t="shared" ref="T14:U16" si="2">SUM(H14,J14,L14,N14,P14,R14)</f>
        <v>3</v>
      </c>
      <c r="U14" s="73">
        <f t="shared" si="2"/>
        <v>48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</row>
    <row r="15" spans="1:33" ht="16.5" customHeight="1">
      <c r="A15" s="17"/>
      <c r="B15" s="253"/>
      <c r="C15" s="254"/>
      <c r="D15" s="74" t="s">
        <v>217</v>
      </c>
      <c r="E15" s="75" t="s">
        <v>218</v>
      </c>
      <c r="F15" s="74">
        <v>16</v>
      </c>
      <c r="G15" s="74">
        <v>3</v>
      </c>
      <c r="H15" s="76"/>
      <c r="I15" s="76">
        <f>H15*16</f>
        <v>0</v>
      </c>
      <c r="J15" s="76"/>
      <c r="K15" s="76">
        <f>J15*16</f>
        <v>0</v>
      </c>
      <c r="L15" s="76"/>
      <c r="M15" s="76">
        <f>L15*16</f>
        <v>0</v>
      </c>
      <c r="N15" s="76"/>
      <c r="O15" s="76">
        <f>N15*16</f>
        <v>0</v>
      </c>
      <c r="P15" s="76"/>
      <c r="Q15" s="76">
        <f>P15*16</f>
        <v>0</v>
      </c>
      <c r="R15" s="76">
        <v>2</v>
      </c>
      <c r="S15" s="76">
        <f>R15*16</f>
        <v>32</v>
      </c>
      <c r="T15" s="77">
        <f t="shared" si="2"/>
        <v>2</v>
      </c>
      <c r="U15" s="78">
        <f t="shared" si="2"/>
        <v>32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</row>
    <row r="16" spans="1:33" ht="16.5" customHeight="1">
      <c r="A16" s="17"/>
      <c r="B16" s="253"/>
      <c r="C16" s="254"/>
      <c r="D16" s="74" t="s">
        <v>219</v>
      </c>
      <c r="E16" s="75" t="s">
        <v>220</v>
      </c>
      <c r="F16" s="74">
        <v>16</v>
      </c>
      <c r="G16" s="74">
        <v>2</v>
      </c>
      <c r="H16" s="76"/>
      <c r="I16" s="76">
        <f>H16*16</f>
        <v>0</v>
      </c>
      <c r="J16" s="76"/>
      <c r="K16" s="76">
        <f>J16*16</f>
        <v>0</v>
      </c>
      <c r="L16" s="76"/>
      <c r="M16" s="76">
        <f>L16*16</f>
        <v>0</v>
      </c>
      <c r="N16" s="76"/>
      <c r="O16" s="76">
        <f>N16*16</f>
        <v>0</v>
      </c>
      <c r="P16" s="76"/>
      <c r="Q16" s="76">
        <f>P16*16</f>
        <v>0</v>
      </c>
      <c r="R16" s="76">
        <v>2</v>
      </c>
      <c r="S16" s="76">
        <f>R16*16</f>
        <v>32</v>
      </c>
      <c r="T16" s="77">
        <f t="shared" si="2"/>
        <v>2</v>
      </c>
      <c r="U16" s="78">
        <f t="shared" si="2"/>
        <v>32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</row>
    <row r="17" spans="1:33" ht="18" customHeight="1">
      <c r="A17" s="17"/>
      <c r="B17" s="253"/>
      <c r="C17" s="254"/>
      <c r="D17" s="255" t="s">
        <v>214</v>
      </c>
      <c r="E17" s="255"/>
      <c r="F17" s="79"/>
      <c r="G17" s="79"/>
      <c r="H17" s="80">
        <f t="shared" ref="H17:U17" si="3">SUM(H14:H16)</f>
        <v>0</v>
      </c>
      <c r="I17" s="80">
        <f t="shared" si="3"/>
        <v>0</v>
      </c>
      <c r="J17" s="80">
        <f t="shared" si="3"/>
        <v>0</v>
      </c>
      <c r="K17" s="80">
        <f t="shared" si="3"/>
        <v>0</v>
      </c>
      <c r="L17" s="80">
        <f t="shared" si="3"/>
        <v>0</v>
      </c>
      <c r="M17" s="80">
        <f t="shared" si="3"/>
        <v>0</v>
      </c>
      <c r="N17" s="80">
        <f t="shared" si="3"/>
        <v>0</v>
      </c>
      <c r="O17" s="80">
        <f t="shared" si="3"/>
        <v>0</v>
      </c>
      <c r="P17" s="80">
        <f t="shared" si="3"/>
        <v>3</v>
      </c>
      <c r="Q17" s="80">
        <f t="shared" si="3"/>
        <v>48</v>
      </c>
      <c r="R17" s="80">
        <f t="shared" si="3"/>
        <v>4</v>
      </c>
      <c r="S17" s="80">
        <f t="shared" si="3"/>
        <v>64</v>
      </c>
      <c r="T17" s="81">
        <f t="shared" si="3"/>
        <v>7</v>
      </c>
      <c r="U17" s="81">
        <f t="shared" si="3"/>
        <v>112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</row>
    <row r="18" spans="1:33" ht="16.5" customHeight="1">
      <c r="A18" s="17"/>
      <c r="B18" s="253" t="s">
        <v>120</v>
      </c>
      <c r="C18" s="254">
        <v>8</v>
      </c>
      <c r="D18" s="69" t="s">
        <v>221</v>
      </c>
      <c r="E18" s="70" t="s">
        <v>222</v>
      </c>
      <c r="F18" s="69">
        <v>80</v>
      </c>
      <c r="G18" s="69">
        <v>3</v>
      </c>
      <c r="H18" s="71"/>
      <c r="I18" s="71">
        <f>H18*16</f>
        <v>0</v>
      </c>
      <c r="J18" s="71"/>
      <c r="K18" s="71">
        <f>J18*16</f>
        <v>0</v>
      </c>
      <c r="L18" s="71"/>
      <c r="M18" s="71">
        <f>L18*16</f>
        <v>0</v>
      </c>
      <c r="N18" s="71"/>
      <c r="O18" s="71">
        <f>N18*16</f>
        <v>0</v>
      </c>
      <c r="P18" s="71">
        <v>4</v>
      </c>
      <c r="Q18" s="71">
        <f>P18*16</f>
        <v>64</v>
      </c>
      <c r="R18" s="71"/>
      <c r="S18" s="71">
        <f>R18*16</f>
        <v>0</v>
      </c>
      <c r="T18" s="72">
        <f t="shared" ref="T18:U20" si="4">SUM(H18,J18,L18,N18,P18,R18)</f>
        <v>4</v>
      </c>
      <c r="U18" s="73">
        <f t="shared" si="4"/>
        <v>64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</row>
    <row r="19" spans="1:33" ht="16.5" customHeight="1">
      <c r="A19" s="17"/>
      <c r="B19" s="253"/>
      <c r="C19" s="254"/>
      <c r="D19" s="74" t="s">
        <v>223</v>
      </c>
      <c r="E19" s="75" t="s">
        <v>224</v>
      </c>
      <c r="F19" s="74">
        <v>20</v>
      </c>
      <c r="G19" s="74">
        <v>3</v>
      </c>
      <c r="H19" s="76"/>
      <c r="I19" s="76">
        <f>H19*16</f>
        <v>0</v>
      </c>
      <c r="J19" s="76"/>
      <c r="K19" s="76">
        <f>J19*16</f>
        <v>0</v>
      </c>
      <c r="L19" s="76"/>
      <c r="M19" s="76">
        <f>L19*16</f>
        <v>0</v>
      </c>
      <c r="N19" s="76"/>
      <c r="O19" s="76">
        <f>N19*16</f>
        <v>0</v>
      </c>
      <c r="P19" s="76"/>
      <c r="Q19" s="76">
        <f>P19*16</f>
        <v>0</v>
      </c>
      <c r="R19" s="76">
        <v>2</v>
      </c>
      <c r="S19" s="76">
        <f>R19*16</f>
        <v>32</v>
      </c>
      <c r="T19" s="77">
        <f t="shared" si="4"/>
        <v>2</v>
      </c>
      <c r="U19" s="78">
        <f t="shared" si="4"/>
        <v>32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</row>
    <row r="20" spans="1:33" ht="16.5" customHeight="1">
      <c r="A20" s="17"/>
      <c r="B20" s="253"/>
      <c r="C20" s="254"/>
      <c r="D20" s="74" t="s">
        <v>225</v>
      </c>
      <c r="E20" s="75" t="s">
        <v>226</v>
      </c>
      <c r="F20" s="74">
        <v>20</v>
      </c>
      <c r="G20" s="74">
        <v>2</v>
      </c>
      <c r="H20" s="76"/>
      <c r="I20" s="76">
        <f>H20*16</f>
        <v>0</v>
      </c>
      <c r="J20" s="76"/>
      <c r="K20" s="76">
        <f>J20*16</f>
        <v>0</v>
      </c>
      <c r="L20" s="76"/>
      <c r="M20" s="76">
        <f>L20*16</f>
        <v>0</v>
      </c>
      <c r="N20" s="76"/>
      <c r="O20" s="76">
        <f>N20*16</f>
        <v>0</v>
      </c>
      <c r="P20" s="76"/>
      <c r="Q20" s="76">
        <f>P20*16</f>
        <v>0</v>
      </c>
      <c r="R20" s="76">
        <v>2</v>
      </c>
      <c r="S20" s="76">
        <f>R20*16</f>
        <v>32</v>
      </c>
      <c r="T20" s="77">
        <f t="shared" si="4"/>
        <v>2</v>
      </c>
      <c r="U20" s="78">
        <f t="shared" si="4"/>
        <v>32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</row>
    <row r="21" spans="1:33" ht="18" customHeight="1">
      <c r="A21" s="17"/>
      <c r="B21" s="253"/>
      <c r="C21" s="254"/>
      <c r="D21" s="255" t="s">
        <v>214</v>
      </c>
      <c r="E21" s="255"/>
      <c r="F21" s="79"/>
      <c r="G21" s="79"/>
      <c r="H21" s="80">
        <f t="shared" ref="H21:U21" si="5">SUM(H18:H20)</f>
        <v>0</v>
      </c>
      <c r="I21" s="80">
        <f t="shared" si="5"/>
        <v>0</v>
      </c>
      <c r="J21" s="80">
        <f t="shared" si="5"/>
        <v>0</v>
      </c>
      <c r="K21" s="80">
        <f t="shared" si="5"/>
        <v>0</v>
      </c>
      <c r="L21" s="80">
        <f t="shared" si="5"/>
        <v>0</v>
      </c>
      <c r="M21" s="80">
        <f t="shared" si="5"/>
        <v>0</v>
      </c>
      <c r="N21" s="80">
        <f t="shared" si="5"/>
        <v>0</v>
      </c>
      <c r="O21" s="80">
        <f t="shared" si="5"/>
        <v>0</v>
      </c>
      <c r="P21" s="80">
        <f t="shared" si="5"/>
        <v>4</v>
      </c>
      <c r="Q21" s="80">
        <f t="shared" si="5"/>
        <v>64</v>
      </c>
      <c r="R21" s="80">
        <f t="shared" si="5"/>
        <v>4</v>
      </c>
      <c r="S21" s="80">
        <f t="shared" si="5"/>
        <v>64</v>
      </c>
      <c r="T21" s="81">
        <f t="shared" si="5"/>
        <v>8</v>
      </c>
      <c r="U21" s="81">
        <f t="shared" si="5"/>
        <v>128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</row>
    <row r="22" spans="1:33" ht="16.5" customHeight="1">
      <c r="A22" s="17"/>
      <c r="B22" s="253" t="s">
        <v>123</v>
      </c>
      <c r="C22" s="254">
        <v>8</v>
      </c>
      <c r="D22" s="69" t="s">
        <v>227</v>
      </c>
      <c r="E22" s="70" t="s">
        <v>228</v>
      </c>
      <c r="F22" s="153">
        <v>20</v>
      </c>
      <c r="G22" s="153">
        <v>3</v>
      </c>
      <c r="H22" s="71"/>
      <c r="I22" s="71">
        <f>H22*16</f>
        <v>0</v>
      </c>
      <c r="J22" s="71"/>
      <c r="K22" s="71">
        <f>J22*16</f>
        <v>0</v>
      </c>
      <c r="L22" s="71"/>
      <c r="M22" s="71">
        <f>L22*16</f>
        <v>0</v>
      </c>
      <c r="N22" s="71"/>
      <c r="O22" s="71">
        <f>N22*16</f>
        <v>0</v>
      </c>
      <c r="P22" s="71">
        <v>2</v>
      </c>
      <c r="Q22" s="71">
        <f>P22*16</f>
        <v>32</v>
      </c>
      <c r="R22" s="71"/>
      <c r="S22" s="71">
        <f>R22*16</f>
        <v>0</v>
      </c>
      <c r="T22" s="72">
        <f t="shared" ref="T22:U25" si="6">SUM(H22,J22,L22,N22,P22,R22)</f>
        <v>2</v>
      </c>
      <c r="U22" s="73">
        <f t="shared" si="6"/>
        <v>32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</row>
    <row r="23" spans="1:33" ht="16.5" customHeight="1">
      <c r="A23" s="17"/>
      <c r="B23" s="253"/>
      <c r="C23" s="254"/>
      <c r="D23" s="74" t="s">
        <v>229</v>
      </c>
      <c r="E23" s="75" t="s">
        <v>230</v>
      </c>
      <c r="F23" s="74">
        <v>20</v>
      </c>
      <c r="G23" s="74">
        <v>4</v>
      </c>
      <c r="H23" s="76"/>
      <c r="I23" s="76">
        <f>H23*16</f>
        <v>0</v>
      </c>
      <c r="J23" s="76"/>
      <c r="K23" s="76">
        <f>J23*16</f>
        <v>0</v>
      </c>
      <c r="L23" s="76"/>
      <c r="M23" s="76">
        <f>L23*16</f>
        <v>0</v>
      </c>
      <c r="N23" s="76"/>
      <c r="O23" s="76">
        <f>N23*16</f>
        <v>0</v>
      </c>
      <c r="P23" s="76">
        <v>2</v>
      </c>
      <c r="Q23" s="76">
        <f>P23*16</f>
        <v>32</v>
      </c>
      <c r="R23" s="76"/>
      <c r="S23" s="76">
        <f>R23*16</f>
        <v>0</v>
      </c>
      <c r="T23" s="77">
        <f t="shared" si="6"/>
        <v>2</v>
      </c>
      <c r="U23" s="78">
        <f t="shared" si="6"/>
        <v>32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</row>
    <row r="24" spans="1:33" ht="16.5" customHeight="1">
      <c r="A24" s="17"/>
      <c r="B24" s="253"/>
      <c r="C24" s="254"/>
      <c r="D24" s="74" t="s">
        <v>231</v>
      </c>
      <c r="E24" s="75" t="s">
        <v>232</v>
      </c>
      <c r="F24" s="152">
        <v>20</v>
      </c>
      <c r="G24" s="152">
        <v>3</v>
      </c>
      <c r="H24" s="76"/>
      <c r="I24" s="76">
        <f>H24*16</f>
        <v>0</v>
      </c>
      <c r="J24" s="76"/>
      <c r="K24" s="76">
        <f>J24*16</f>
        <v>0</v>
      </c>
      <c r="L24" s="76"/>
      <c r="M24" s="76">
        <f>L24*16</f>
        <v>0</v>
      </c>
      <c r="N24" s="76"/>
      <c r="O24" s="76">
        <f>N24*16</f>
        <v>0</v>
      </c>
      <c r="P24" s="76"/>
      <c r="Q24" s="76">
        <f>P24*16</f>
        <v>0</v>
      </c>
      <c r="R24" s="76">
        <v>2</v>
      </c>
      <c r="S24" s="76">
        <f>R24*16</f>
        <v>32</v>
      </c>
      <c r="T24" s="77">
        <f t="shared" si="6"/>
        <v>2</v>
      </c>
      <c r="U24" s="78">
        <f t="shared" si="6"/>
        <v>32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</row>
    <row r="25" spans="1:33" ht="16.5" customHeight="1">
      <c r="A25" s="17"/>
      <c r="B25" s="253"/>
      <c r="C25" s="254"/>
      <c r="D25" s="74" t="s">
        <v>233</v>
      </c>
      <c r="E25" s="75" t="s">
        <v>234</v>
      </c>
      <c r="F25" s="74">
        <v>24</v>
      </c>
      <c r="G25" s="74">
        <v>4</v>
      </c>
      <c r="H25" s="76"/>
      <c r="I25" s="76">
        <f>H25*16</f>
        <v>0</v>
      </c>
      <c r="J25" s="76"/>
      <c r="K25" s="76">
        <f>J25*16</f>
        <v>0</v>
      </c>
      <c r="L25" s="76"/>
      <c r="M25" s="76">
        <f>L25*16</f>
        <v>0</v>
      </c>
      <c r="N25" s="76"/>
      <c r="O25" s="76">
        <f>N25*16</f>
        <v>0</v>
      </c>
      <c r="P25" s="76"/>
      <c r="Q25" s="76">
        <f>P25*16</f>
        <v>0</v>
      </c>
      <c r="R25" s="76">
        <v>2</v>
      </c>
      <c r="S25" s="76">
        <f>R25*16</f>
        <v>32</v>
      </c>
      <c r="T25" s="77">
        <f t="shared" si="6"/>
        <v>2</v>
      </c>
      <c r="U25" s="78">
        <f t="shared" si="6"/>
        <v>32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</row>
    <row r="26" spans="1:33" ht="18" customHeight="1">
      <c r="A26" s="17"/>
      <c r="B26" s="253"/>
      <c r="C26" s="254"/>
      <c r="D26" s="255" t="s">
        <v>214</v>
      </c>
      <c r="E26" s="255"/>
      <c r="F26" s="79"/>
      <c r="G26" s="79"/>
      <c r="H26" s="80">
        <f t="shared" ref="H26:U26" si="7">SUM(H22:H25)</f>
        <v>0</v>
      </c>
      <c r="I26" s="80">
        <f t="shared" si="7"/>
        <v>0</v>
      </c>
      <c r="J26" s="80">
        <f t="shared" si="7"/>
        <v>0</v>
      </c>
      <c r="K26" s="80">
        <f t="shared" si="7"/>
        <v>0</v>
      </c>
      <c r="L26" s="80">
        <f t="shared" si="7"/>
        <v>0</v>
      </c>
      <c r="M26" s="80">
        <f t="shared" si="7"/>
        <v>0</v>
      </c>
      <c r="N26" s="80">
        <f t="shared" si="7"/>
        <v>0</v>
      </c>
      <c r="O26" s="80">
        <f t="shared" si="7"/>
        <v>0</v>
      </c>
      <c r="P26" s="80">
        <f t="shared" si="7"/>
        <v>4</v>
      </c>
      <c r="Q26" s="80">
        <f t="shared" si="7"/>
        <v>64</v>
      </c>
      <c r="R26" s="80">
        <f t="shared" si="7"/>
        <v>4</v>
      </c>
      <c r="S26" s="80">
        <f t="shared" si="7"/>
        <v>64</v>
      </c>
      <c r="T26" s="81">
        <f t="shared" si="7"/>
        <v>8</v>
      </c>
      <c r="U26" s="81">
        <f t="shared" si="7"/>
        <v>128</v>
      </c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</row>
    <row r="27" spans="1:33" ht="16.5" customHeight="1">
      <c r="A27" s="17"/>
      <c r="B27" s="253" t="s">
        <v>235</v>
      </c>
      <c r="C27" s="254">
        <v>4</v>
      </c>
      <c r="D27" s="69" t="s">
        <v>236</v>
      </c>
      <c r="E27" s="70" t="s">
        <v>237</v>
      </c>
      <c r="F27" s="69">
        <v>24</v>
      </c>
      <c r="G27" s="69">
        <v>3</v>
      </c>
      <c r="H27" s="71"/>
      <c r="I27" s="71">
        <f>H27*16</f>
        <v>0</v>
      </c>
      <c r="J27" s="71"/>
      <c r="K27" s="71">
        <f>J27*16</f>
        <v>0</v>
      </c>
      <c r="L27" s="71"/>
      <c r="M27" s="71">
        <f>L27*16</f>
        <v>0</v>
      </c>
      <c r="N27" s="71">
        <v>2</v>
      </c>
      <c r="O27" s="71">
        <f>N27*16</f>
        <v>32</v>
      </c>
      <c r="P27" s="71"/>
      <c r="Q27" s="71">
        <f>P27*16</f>
        <v>0</v>
      </c>
      <c r="R27" s="71"/>
      <c r="S27" s="71">
        <f>R27*16</f>
        <v>0</v>
      </c>
      <c r="T27" s="72">
        <f>SUM(H27,J27,L27,N27,P27,R27)</f>
        <v>2</v>
      </c>
      <c r="U27" s="73">
        <f>SUM(I27,K27,M27,O27,Q27,S27)</f>
        <v>32</v>
      </c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</row>
    <row r="28" spans="1:33" ht="16.5" customHeight="1">
      <c r="A28" s="17"/>
      <c r="B28" s="253"/>
      <c r="C28" s="254"/>
      <c r="D28" s="74" t="s">
        <v>238</v>
      </c>
      <c r="E28" s="75" t="s">
        <v>239</v>
      </c>
      <c r="F28" s="74">
        <v>40</v>
      </c>
      <c r="G28" s="74">
        <v>2</v>
      </c>
      <c r="H28" s="76"/>
      <c r="I28" s="76">
        <f>H28*16</f>
        <v>0</v>
      </c>
      <c r="J28" s="76"/>
      <c r="K28" s="76">
        <f>J28*16</f>
        <v>0</v>
      </c>
      <c r="L28" s="76"/>
      <c r="M28" s="76">
        <f>L28*16</f>
        <v>0</v>
      </c>
      <c r="N28" s="76">
        <v>2</v>
      </c>
      <c r="O28" s="76">
        <f>N28*16</f>
        <v>32</v>
      </c>
      <c r="P28" s="76"/>
      <c r="Q28" s="76">
        <f>P28*16</f>
        <v>0</v>
      </c>
      <c r="R28" s="76"/>
      <c r="S28" s="76">
        <f>R28*16</f>
        <v>0</v>
      </c>
      <c r="T28" s="77">
        <f>SUM(H28,J28,L28,N28,P28,R28)</f>
        <v>2</v>
      </c>
      <c r="U28" s="78">
        <f>SUM(I28,K28,M28,O28,Q28,S28)</f>
        <v>32</v>
      </c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</row>
    <row r="29" spans="1:33" ht="18" customHeight="1">
      <c r="A29" s="17"/>
      <c r="B29" s="253"/>
      <c r="C29" s="254"/>
      <c r="D29" s="255" t="s">
        <v>214</v>
      </c>
      <c r="E29" s="255"/>
      <c r="F29" s="79"/>
      <c r="G29" s="79"/>
      <c r="H29" s="80">
        <f t="shared" ref="H29:U29" si="8">SUM(H27:H28)</f>
        <v>0</v>
      </c>
      <c r="I29" s="80">
        <f t="shared" si="8"/>
        <v>0</v>
      </c>
      <c r="J29" s="80">
        <f t="shared" si="8"/>
        <v>0</v>
      </c>
      <c r="K29" s="80">
        <f t="shared" si="8"/>
        <v>0</v>
      </c>
      <c r="L29" s="80">
        <f t="shared" si="8"/>
        <v>0</v>
      </c>
      <c r="M29" s="80">
        <f t="shared" si="8"/>
        <v>0</v>
      </c>
      <c r="N29" s="80">
        <f t="shared" si="8"/>
        <v>4</v>
      </c>
      <c r="O29" s="80">
        <f t="shared" si="8"/>
        <v>64</v>
      </c>
      <c r="P29" s="80">
        <f t="shared" si="8"/>
        <v>0</v>
      </c>
      <c r="Q29" s="80">
        <f t="shared" si="8"/>
        <v>0</v>
      </c>
      <c r="R29" s="80">
        <f t="shared" si="8"/>
        <v>0</v>
      </c>
      <c r="S29" s="80">
        <f t="shared" si="8"/>
        <v>0</v>
      </c>
      <c r="T29" s="81">
        <f t="shared" si="8"/>
        <v>4</v>
      </c>
      <c r="U29" s="81">
        <f t="shared" si="8"/>
        <v>64</v>
      </c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</row>
    <row r="30" spans="1:33" ht="16.5" customHeight="1">
      <c r="A30" s="17"/>
      <c r="B30" s="253" t="s">
        <v>122</v>
      </c>
      <c r="C30" s="254">
        <v>8</v>
      </c>
      <c r="D30" s="69" t="s">
        <v>240</v>
      </c>
      <c r="E30" s="70" t="s">
        <v>241</v>
      </c>
      <c r="F30" s="69">
        <v>20</v>
      </c>
      <c r="G30" s="69">
        <v>2</v>
      </c>
      <c r="H30" s="71"/>
      <c r="I30" s="71">
        <f>H30*16</f>
        <v>0</v>
      </c>
      <c r="J30" s="71"/>
      <c r="K30" s="71">
        <f>J30*16</f>
        <v>0</v>
      </c>
      <c r="L30" s="71"/>
      <c r="M30" s="71">
        <f>L30*16</f>
        <v>0</v>
      </c>
      <c r="N30" s="71"/>
      <c r="O30" s="71">
        <f>N30*16</f>
        <v>0</v>
      </c>
      <c r="P30" s="71">
        <v>2</v>
      </c>
      <c r="Q30" s="71">
        <f>P30*16</f>
        <v>32</v>
      </c>
      <c r="R30" s="71"/>
      <c r="S30" s="71">
        <f>R30*16</f>
        <v>0</v>
      </c>
      <c r="T30" s="72">
        <f t="shared" ref="T30:U33" si="9">SUM(H30,J30,L30,N30,P30,R30)</f>
        <v>2</v>
      </c>
      <c r="U30" s="73">
        <f t="shared" si="9"/>
        <v>32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</row>
    <row r="31" spans="1:33" ht="16.5" customHeight="1">
      <c r="A31" s="17"/>
      <c r="B31" s="253"/>
      <c r="C31" s="254"/>
      <c r="D31" s="74" t="s">
        <v>242</v>
      </c>
      <c r="E31" s="75" t="s">
        <v>243</v>
      </c>
      <c r="F31" s="74">
        <v>20</v>
      </c>
      <c r="G31" s="74">
        <v>3</v>
      </c>
      <c r="H31" s="76"/>
      <c r="I31" s="76">
        <f>H31*16</f>
        <v>0</v>
      </c>
      <c r="J31" s="76"/>
      <c r="K31" s="76">
        <f>J31*16</f>
        <v>0</v>
      </c>
      <c r="L31" s="76"/>
      <c r="M31" s="76">
        <f>L31*16</f>
        <v>0</v>
      </c>
      <c r="N31" s="76"/>
      <c r="O31" s="76">
        <f>N31*16</f>
        <v>0</v>
      </c>
      <c r="P31" s="76">
        <v>2</v>
      </c>
      <c r="Q31" s="76">
        <f>P31*16</f>
        <v>32</v>
      </c>
      <c r="R31" s="76"/>
      <c r="S31" s="76">
        <f>R31*16</f>
        <v>0</v>
      </c>
      <c r="T31" s="77">
        <f t="shared" si="9"/>
        <v>2</v>
      </c>
      <c r="U31" s="78">
        <f t="shared" si="9"/>
        <v>32</v>
      </c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</row>
    <row r="32" spans="1:33" ht="16.5" customHeight="1">
      <c r="A32" s="17"/>
      <c r="B32" s="253"/>
      <c r="C32" s="254"/>
      <c r="D32" s="74" t="s">
        <v>244</v>
      </c>
      <c r="E32" s="75" t="s">
        <v>245</v>
      </c>
      <c r="F32" s="74">
        <v>20</v>
      </c>
      <c r="G32" s="74">
        <v>3</v>
      </c>
      <c r="H32" s="76"/>
      <c r="I32" s="76">
        <f>H32*16</f>
        <v>0</v>
      </c>
      <c r="J32" s="76"/>
      <c r="K32" s="76">
        <f>J32*16</f>
        <v>0</v>
      </c>
      <c r="L32" s="76"/>
      <c r="M32" s="76">
        <f>L32*16</f>
        <v>0</v>
      </c>
      <c r="N32" s="76"/>
      <c r="O32" s="76">
        <f>N32*16</f>
        <v>0</v>
      </c>
      <c r="P32" s="76"/>
      <c r="Q32" s="76">
        <f>P32*16</f>
        <v>0</v>
      </c>
      <c r="R32" s="76">
        <v>2</v>
      </c>
      <c r="S32" s="76">
        <f>R32*16</f>
        <v>32</v>
      </c>
      <c r="T32" s="77">
        <f t="shared" si="9"/>
        <v>2</v>
      </c>
      <c r="U32" s="78">
        <f t="shared" si="9"/>
        <v>32</v>
      </c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</row>
    <row r="33" spans="1:33" ht="16.5" customHeight="1">
      <c r="A33" s="17"/>
      <c r="B33" s="253"/>
      <c r="C33" s="254"/>
      <c r="D33" s="74" t="s">
        <v>246</v>
      </c>
      <c r="E33" s="75" t="s">
        <v>247</v>
      </c>
      <c r="F33" s="74">
        <v>20</v>
      </c>
      <c r="G33" s="74">
        <v>3</v>
      </c>
      <c r="H33" s="76"/>
      <c r="I33" s="76">
        <f>H33*16</f>
        <v>0</v>
      </c>
      <c r="J33" s="76"/>
      <c r="K33" s="76">
        <f>J33*16</f>
        <v>0</v>
      </c>
      <c r="L33" s="76"/>
      <c r="M33" s="76">
        <f>L33*16</f>
        <v>0</v>
      </c>
      <c r="N33" s="76"/>
      <c r="O33" s="76">
        <f>N33*16</f>
        <v>0</v>
      </c>
      <c r="P33" s="76"/>
      <c r="Q33" s="76">
        <f>P33*16</f>
        <v>0</v>
      </c>
      <c r="R33" s="76">
        <v>2</v>
      </c>
      <c r="S33" s="76">
        <f>R33*16</f>
        <v>32</v>
      </c>
      <c r="T33" s="77">
        <f t="shared" si="9"/>
        <v>2</v>
      </c>
      <c r="U33" s="78">
        <f t="shared" si="9"/>
        <v>32</v>
      </c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</row>
    <row r="34" spans="1:33" ht="18" customHeight="1">
      <c r="A34" s="17"/>
      <c r="B34" s="253"/>
      <c r="C34" s="254"/>
      <c r="D34" s="255" t="s">
        <v>214</v>
      </c>
      <c r="E34" s="255"/>
      <c r="F34" s="79"/>
      <c r="G34" s="79"/>
      <c r="H34" s="80">
        <f t="shared" ref="H34:U34" si="10">SUM(H30:H33)</f>
        <v>0</v>
      </c>
      <c r="I34" s="80">
        <f t="shared" si="10"/>
        <v>0</v>
      </c>
      <c r="J34" s="80">
        <f t="shared" si="10"/>
        <v>0</v>
      </c>
      <c r="K34" s="80">
        <f t="shared" si="10"/>
        <v>0</v>
      </c>
      <c r="L34" s="80">
        <f t="shared" si="10"/>
        <v>0</v>
      </c>
      <c r="M34" s="80">
        <f t="shared" si="10"/>
        <v>0</v>
      </c>
      <c r="N34" s="80">
        <f t="shared" si="10"/>
        <v>0</v>
      </c>
      <c r="O34" s="80">
        <f t="shared" si="10"/>
        <v>0</v>
      </c>
      <c r="P34" s="80">
        <f t="shared" si="10"/>
        <v>4</v>
      </c>
      <c r="Q34" s="80">
        <f t="shared" si="10"/>
        <v>64</v>
      </c>
      <c r="R34" s="80">
        <f t="shared" si="10"/>
        <v>4</v>
      </c>
      <c r="S34" s="80">
        <f t="shared" si="10"/>
        <v>64</v>
      </c>
      <c r="T34" s="81">
        <f t="shared" si="10"/>
        <v>8</v>
      </c>
      <c r="U34" s="81">
        <f t="shared" si="10"/>
        <v>128</v>
      </c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</row>
    <row r="35" spans="1:33" ht="16.5" customHeight="1">
      <c r="A35" s="17"/>
      <c r="B35" s="253" t="s">
        <v>133</v>
      </c>
      <c r="C35" s="254">
        <v>9</v>
      </c>
      <c r="D35" s="69" t="s">
        <v>248</v>
      </c>
      <c r="E35" s="70" t="s">
        <v>249</v>
      </c>
      <c r="F35" s="69">
        <v>40</v>
      </c>
      <c r="G35" s="69">
        <v>3</v>
      </c>
      <c r="H35" s="71"/>
      <c r="I35" s="71">
        <f>H35*16</f>
        <v>0</v>
      </c>
      <c r="J35" s="71"/>
      <c r="K35" s="71">
        <f>J35*16</f>
        <v>0</v>
      </c>
      <c r="L35" s="71"/>
      <c r="M35" s="71">
        <f>L35*16</f>
        <v>0</v>
      </c>
      <c r="N35" s="71"/>
      <c r="O35" s="71">
        <f>N35*16</f>
        <v>0</v>
      </c>
      <c r="P35" s="71">
        <v>3</v>
      </c>
      <c r="Q35" s="71">
        <f>P35*16</f>
        <v>48</v>
      </c>
      <c r="R35" s="71"/>
      <c r="S35" s="71">
        <f>R35*16</f>
        <v>0</v>
      </c>
      <c r="T35" s="72">
        <f t="shared" ref="T35:U38" si="11">SUM(H35,J35,L35,N35,P35,R35)</f>
        <v>3</v>
      </c>
      <c r="U35" s="73">
        <f t="shared" si="11"/>
        <v>48</v>
      </c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</row>
    <row r="36" spans="1:33" ht="16.5" customHeight="1">
      <c r="A36" s="17"/>
      <c r="B36" s="253"/>
      <c r="C36" s="254"/>
      <c r="D36" s="74" t="s">
        <v>250</v>
      </c>
      <c r="E36" s="75" t="s">
        <v>251</v>
      </c>
      <c r="F36" s="74">
        <v>40</v>
      </c>
      <c r="G36" s="74">
        <v>3</v>
      </c>
      <c r="H36" s="76"/>
      <c r="I36" s="76">
        <f>H36*16</f>
        <v>0</v>
      </c>
      <c r="J36" s="76"/>
      <c r="K36" s="76">
        <f>J36*16</f>
        <v>0</v>
      </c>
      <c r="L36" s="76"/>
      <c r="M36" s="76">
        <f>L36*16</f>
        <v>0</v>
      </c>
      <c r="N36" s="76"/>
      <c r="O36" s="76">
        <f>N36*16</f>
        <v>0</v>
      </c>
      <c r="P36" s="76">
        <v>2</v>
      </c>
      <c r="Q36" s="76">
        <f>P36*16</f>
        <v>32</v>
      </c>
      <c r="R36" s="76"/>
      <c r="S36" s="76">
        <f>R36*16</f>
        <v>0</v>
      </c>
      <c r="T36" s="77">
        <f t="shared" si="11"/>
        <v>2</v>
      </c>
      <c r="U36" s="78">
        <f t="shared" si="11"/>
        <v>32</v>
      </c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</row>
    <row r="37" spans="1:33" ht="16.5" customHeight="1">
      <c r="A37" s="17"/>
      <c r="B37" s="253"/>
      <c r="C37" s="254"/>
      <c r="D37" s="74" t="s">
        <v>252</v>
      </c>
      <c r="E37" s="75" t="s">
        <v>253</v>
      </c>
      <c r="F37" s="74">
        <v>40</v>
      </c>
      <c r="G37" s="74">
        <v>2</v>
      </c>
      <c r="H37" s="76"/>
      <c r="I37" s="76">
        <f>H37*16</f>
        <v>0</v>
      </c>
      <c r="J37" s="76"/>
      <c r="K37" s="76">
        <f>J37*16</f>
        <v>0</v>
      </c>
      <c r="L37" s="76"/>
      <c r="M37" s="76">
        <f>L37*16</f>
        <v>0</v>
      </c>
      <c r="N37" s="76"/>
      <c r="O37" s="76">
        <f>N37*16</f>
        <v>0</v>
      </c>
      <c r="P37" s="76"/>
      <c r="Q37" s="76">
        <f>P37*16</f>
        <v>0</v>
      </c>
      <c r="R37" s="76">
        <v>2</v>
      </c>
      <c r="S37" s="76">
        <f>R37*16</f>
        <v>32</v>
      </c>
      <c r="T37" s="77">
        <f t="shared" si="11"/>
        <v>2</v>
      </c>
      <c r="U37" s="78">
        <f t="shared" si="11"/>
        <v>32</v>
      </c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</row>
    <row r="38" spans="1:33" ht="16.5" customHeight="1">
      <c r="A38" s="17"/>
      <c r="B38" s="253"/>
      <c r="C38" s="254"/>
      <c r="D38" s="74" t="s">
        <v>254</v>
      </c>
      <c r="E38" s="75" t="s">
        <v>255</v>
      </c>
      <c r="F38" s="74">
        <v>30</v>
      </c>
      <c r="G38" s="74">
        <v>4</v>
      </c>
      <c r="H38" s="76"/>
      <c r="I38" s="76">
        <f>H38*16</f>
        <v>0</v>
      </c>
      <c r="J38" s="76"/>
      <c r="K38" s="76">
        <f>J38*16</f>
        <v>0</v>
      </c>
      <c r="L38" s="76"/>
      <c r="M38" s="76">
        <f>L38*16</f>
        <v>0</v>
      </c>
      <c r="N38" s="76"/>
      <c r="O38" s="76">
        <f>N38*16</f>
        <v>0</v>
      </c>
      <c r="P38" s="76"/>
      <c r="Q38" s="76">
        <f>P38*16</f>
        <v>0</v>
      </c>
      <c r="R38" s="76">
        <v>2</v>
      </c>
      <c r="S38" s="76">
        <f>R38*16</f>
        <v>32</v>
      </c>
      <c r="T38" s="77">
        <f t="shared" si="11"/>
        <v>2</v>
      </c>
      <c r="U38" s="78">
        <f t="shared" si="11"/>
        <v>32</v>
      </c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</row>
    <row r="39" spans="1:33" ht="18" customHeight="1">
      <c r="A39" s="17"/>
      <c r="B39" s="253"/>
      <c r="C39" s="254"/>
      <c r="D39" s="255" t="s">
        <v>214</v>
      </c>
      <c r="E39" s="255"/>
      <c r="F39" s="79"/>
      <c r="G39" s="79"/>
      <c r="H39" s="80">
        <f t="shared" ref="H39:U39" si="12">SUM(H35:H38)</f>
        <v>0</v>
      </c>
      <c r="I39" s="80">
        <f t="shared" si="12"/>
        <v>0</v>
      </c>
      <c r="J39" s="80">
        <f t="shared" si="12"/>
        <v>0</v>
      </c>
      <c r="K39" s="80">
        <f t="shared" si="12"/>
        <v>0</v>
      </c>
      <c r="L39" s="80">
        <f t="shared" si="12"/>
        <v>0</v>
      </c>
      <c r="M39" s="80">
        <f t="shared" si="12"/>
        <v>0</v>
      </c>
      <c r="N39" s="80">
        <f t="shared" si="12"/>
        <v>0</v>
      </c>
      <c r="O39" s="80">
        <f t="shared" si="12"/>
        <v>0</v>
      </c>
      <c r="P39" s="80">
        <f t="shared" si="12"/>
        <v>5</v>
      </c>
      <c r="Q39" s="80">
        <f t="shared" si="12"/>
        <v>80</v>
      </c>
      <c r="R39" s="80">
        <f t="shared" si="12"/>
        <v>4</v>
      </c>
      <c r="S39" s="80">
        <f t="shared" si="12"/>
        <v>64</v>
      </c>
      <c r="T39" s="81">
        <f t="shared" si="12"/>
        <v>9</v>
      </c>
      <c r="U39" s="81">
        <f t="shared" si="12"/>
        <v>144</v>
      </c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</row>
    <row r="40" spans="1:33" ht="16.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</row>
    <row r="41" spans="1:33" ht="16.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</row>
    <row r="42" spans="1:33" ht="16.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</row>
    <row r="43" spans="1:33" ht="16.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</row>
    <row r="44" spans="1:33" ht="16.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</row>
    <row r="45" spans="1:33" ht="16.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</row>
    <row r="46" spans="1:33" ht="16.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</row>
    <row r="47" spans="1:33" ht="16.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</row>
    <row r="48" spans="1:33" ht="16.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</row>
    <row r="49" spans="1:33" ht="16.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</row>
    <row r="50" spans="1:33" ht="16.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</row>
    <row r="51" spans="1:33" ht="16.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</row>
    <row r="52" spans="1:33" ht="16.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</row>
    <row r="53" spans="1:33" ht="16.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</row>
    <row r="54" spans="1:33" ht="16.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</row>
    <row r="55" spans="1:33" ht="16.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</row>
    <row r="56" spans="1:33" ht="16.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</row>
    <row r="57" spans="1:33" ht="16.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</row>
    <row r="58" spans="1:33" ht="16.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</row>
    <row r="59" spans="1:33" ht="16.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</row>
    <row r="60" spans="1:33" ht="16.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</row>
    <row r="61" spans="1:33" ht="16.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</row>
    <row r="62" spans="1:33" ht="16.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</row>
    <row r="63" spans="1:33" ht="16.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</row>
    <row r="64" spans="1:33" ht="16.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</row>
    <row r="65" spans="1:33" ht="16.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</row>
    <row r="66" spans="1:33" ht="16.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</row>
    <row r="67" spans="1:33" ht="16.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</row>
    <row r="68" spans="1:33" ht="16.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</row>
    <row r="69" spans="1:33" ht="16.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</row>
  </sheetData>
  <mergeCells count="46">
    <mergeCell ref="B35:B39"/>
    <mergeCell ref="C35:C39"/>
    <mergeCell ref="D39:E39"/>
    <mergeCell ref="B27:B29"/>
    <mergeCell ref="C27:C29"/>
    <mergeCell ref="D29:E29"/>
    <mergeCell ref="B30:B34"/>
    <mergeCell ref="C30:C34"/>
    <mergeCell ref="D34:E34"/>
    <mergeCell ref="B18:B21"/>
    <mergeCell ref="C18:C21"/>
    <mergeCell ref="D21:E21"/>
    <mergeCell ref="B22:B26"/>
    <mergeCell ref="C22:C26"/>
    <mergeCell ref="D26:E26"/>
    <mergeCell ref="B9:B13"/>
    <mergeCell ref="C9:C13"/>
    <mergeCell ref="D13:E13"/>
    <mergeCell ref="B14:B17"/>
    <mergeCell ref="C14:C17"/>
    <mergeCell ref="D17:E17"/>
    <mergeCell ref="T6:T8"/>
    <mergeCell ref="U6:U8"/>
    <mergeCell ref="H7:I7"/>
    <mergeCell ref="J7:K7"/>
    <mergeCell ref="L7:M7"/>
    <mergeCell ref="N7:O7"/>
    <mergeCell ref="P7:Q7"/>
    <mergeCell ref="R7:S7"/>
    <mergeCell ref="F6:F8"/>
    <mergeCell ref="G6:G8"/>
    <mergeCell ref="H6:K6"/>
    <mergeCell ref="L6:O6"/>
    <mergeCell ref="P6:S6"/>
    <mergeCell ref="B5:C5"/>
    <mergeCell ref="B6:B8"/>
    <mergeCell ref="C6:C8"/>
    <mergeCell ref="D6:D8"/>
    <mergeCell ref="E6:E8"/>
    <mergeCell ref="B2:U2"/>
    <mergeCell ref="N3:P3"/>
    <mergeCell ref="Q3:S3"/>
    <mergeCell ref="T3:U3"/>
    <mergeCell ref="N4:P4"/>
    <mergeCell ref="Q4:S4"/>
    <mergeCell ref="T4:U4"/>
  </mergeCells>
  <phoneticPr fontId="41" type="noConversion"/>
  <pageMargins left="0.70833333333333304" right="0.70833333333333304" top="0.74791666666666701" bottom="0.74791666666666701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AG69"/>
  <sheetViews>
    <sheetView zoomScaleNormal="100" workbookViewId="0">
      <selection activeCell="V29" sqref="V29"/>
    </sheetView>
  </sheetViews>
  <sheetFormatPr defaultColWidth="7.25" defaultRowHeight="16.5"/>
  <cols>
    <col min="1" max="1" width="2.625" style="64" customWidth="1"/>
    <col min="2" max="2" width="10" style="64" customWidth="1"/>
    <col min="3" max="3" width="4.75" style="64" customWidth="1"/>
    <col min="4" max="4" width="16.125" style="64" customWidth="1"/>
    <col min="5" max="5" width="16.25" style="65" customWidth="1"/>
    <col min="6" max="6" width="7.75" style="65" customWidth="1"/>
    <col min="7" max="7" width="9.125" style="64" customWidth="1"/>
    <col min="8" max="19" width="6.625" style="64" customWidth="1"/>
    <col min="20" max="20" width="5.625" style="64" customWidth="1"/>
    <col min="21" max="21" width="6" style="64" customWidth="1"/>
  </cols>
  <sheetData>
    <row r="2" spans="1:33" ht="39.75" customHeight="1">
      <c r="B2" s="239" t="s">
        <v>190</v>
      </c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</row>
    <row r="3" spans="1:33" ht="27" customHeight="1"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240" t="s">
        <v>7</v>
      </c>
      <c r="O3" s="240"/>
      <c r="P3" s="240"/>
      <c r="Q3" s="240" t="s">
        <v>15</v>
      </c>
      <c r="R3" s="240"/>
      <c r="S3" s="240"/>
      <c r="T3" s="241" t="s">
        <v>1</v>
      </c>
      <c r="U3" s="241"/>
    </row>
    <row r="4" spans="1:33" ht="30" customHeight="1" thickBot="1"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242" t="s">
        <v>22</v>
      </c>
      <c r="O4" s="242"/>
      <c r="P4" s="242"/>
      <c r="Q4" s="243" t="s">
        <v>256</v>
      </c>
      <c r="R4" s="243"/>
      <c r="S4" s="243"/>
      <c r="T4" s="244">
        <v>2027</v>
      </c>
      <c r="U4" s="244"/>
    </row>
    <row r="5" spans="1:33" ht="24" customHeight="1" thickBot="1">
      <c r="B5" s="245"/>
      <c r="C5" s="245"/>
    </row>
    <row r="6" spans="1:33" ht="20.25" customHeight="1" thickBot="1">
      <c r="B6" s="246" t="s">
        <v>192</v>
      </c>
      <c r="C6" s="247" t="s">
        <v>36</v>
      </c>
      <c r="D6" s="248" t="s">
        <v>193</v>
      </c>
      <c r="E6" s="248" t="s">
        <v>194</v>
      </c>
      <c r="F6" s="248" t="s">
        <v>195</v>
      </c>
      <c r="G6" s="248" t="s">
        <v>196</v>
      </c>
      <c r="H6" s="249" t="s">
        <v>197</v>
      </c>
      <c r="I6" s="249"/>
      <c r="J6" s="249"/>
      <c r="K6" s="249"/>
      <c r="L6" s="249" t="s">
        <v>198</v>
      </c>
      <c r="M6" s="249"/>
      <c r="N6" s="249"/>
      <c r="O6" s="249"/>
      <c r="P6" s="249" t="s">
        <v>199</v>
      </c>
      <c r="Q6" s="249"/>
      <c r="R6" s="249"/>
      <c r="S6" s="249"/>
      <c r="T6" s="250" t="s">
        <v>200</v>
      </c>
      <c r="U6" s="251" t="s">
        <v>201</v>
      </c>
      <c r="W6" s="67"/>
    </row>
    <row r="7" spans="1:33" ht="16.5" customHeight="1" thickBot="1">
      <c r="B7" s="246"/>
      <c r="C7" s="247"/>
      <c r="D7" s="247"/>
      <c r="E7" s="247"/>
      <c r="F7" s="247"/>
      <c r="G7" s="247"/>
      <c r="H7" s="252" t="s">
        <v>202</v>
      </c>
      <c r="I7" s="252"/>
      <c r="J7" s="252" t="s">
        <v>203</v>
      </c>
      <c r="K7" s="252"/>
      <c r="L7" s="252" t="s">
        <v>202</v>
      </c>
      <c r="M7" s="252"/>
      <c r="N7" s="252" t="s">
        <v>203</v>
      </c>
      <c r="O7" s="252"/>
      <c r="P7" s="252" t="s">
        <v>202</v>
      </c>
      <c r="Q7" s="252"/>
      <c r="R7" s="252" t="s">
        <v>203</v>
      </c>
      <c r="S7" s="252"/>
      <c r="T7" s="250"/>
      <c r="U7" s="251"/>
      <c r="W7" s="67"/>
    </row>
    <row r="8" spans="1:33" ht="17.25" customHeight="1" thickBot="1">
      <c r="B8" s="246"/>
      <c r="C8" s="247"/>
      <c r="D8" s="247"/>
      <c r="E8" s="247"/>
      <c r="F8" s="247"/>
      <c r="G8" s="247"/>
      <c r="H8" s="68" t="s">
        <v>204</v>
      </c>
      <c r="I8" s="68" t="s">
        <v>205</v>
      </c>
      <c r="J8" s="68" t="s">
        <v>204</v>
      </c>
      <c r="K8" s="68" t="s">
        <v>205</v>
      </c>
      <c r="L8" s="68" t="s">
        <v>204</v>
      </c>
      <c r="M8" s="68" t="s">
        <v>205</v>
      </c>
      <c r="N8" s="68" t="s">
        <v>204</v>
      </c>
      <c r="O8" s="68" t="s">
        <v>205</v>
      </c>
      <c r="P8" s="68" t="s">
        <v>204</v>
      </c>
      <c r="Q8" s="68" t="s">
        <v>205</v>
      </c>
      <c r="R8" s="68" t="s">
        <v>204</v>
      </c>
      <c r="S8" s="68" t="s">
        <v>205</v>
      </c>
      <c r="T8" s="250"/>
      <c r="U8" s="251"/>
      <c r="W8" s="67"/>
    </row>
    <row r="9" spans="1:33" ht="16.5" customHeight="1" thickBot="1">
      <c r="A9" s="17"/>
      <c r="B9" s="253" t="s">
        <v>119</v>
      </c>
      <c r="C9" s="254">
        <v>8</v>
      </c>
      <c r="D9" s="69" t="s">
        <v>206</v>
      </c>
      <c r="E9" s="70" t="s">
        <v>207</v>
      </c>
      <c r="F9" s="69">
        <v>40</v>
      </c>
      <c r="G9" s="69">
        <v>2</v>
      </c>
      <c r="H9" s="71"/>
      <c r="I9" s="71">
        <f>H9*16</f>
        <v>0</v>
      </c>
      <c r="J9" s="71"/>
      <c r="K9" s="71">
        <f>J9*16</f>
        <v>0</v>
      </c>
      <c r="L9" s="71"/>
      <c r="M9" s="71">
        <f>L9*16</f>
        <v>0</v>
      </c>
      <c r="N9" s="71"/>
      <c r="O9" s="71">
        <f>N9*16</f>
        <v>0</v>
      </c>
      <c r="P9" s="71">
        <v>1</v>
      </c>
      <c r="Q9" s="71">
        <f>P9*16</f>
        <v>16</v>
      </c>
      <c r="R9" s="71"/>
      <c r="S9" s="71">
        <f>R9*16</f>
        <v>0</v>
      </c>
      <c r="T9" s="72">
        <f t="shared" ref="T9:U12" si="0">SUM(H9,J9,L9,N9,P9,R9)</f>
        <v>1</v>
      </c>
      <c r="U9" s="73">
        <f t="shared" si="0"/>
        <v>16</v>
      </c>
      <c r="V9" s="17"/>
      <c r="W9" s="17"/>
    </row>
    <row r="10" spans="1:33" ht="16.5" customHeight="1" thickBot="1">
      <c r="A10" s="17"/>
      <c r="B10" s="253"/>
      <c r="C10" s="254"/>
      <c r="D10" s="74" t="s">
        <v>208</v>
      </c>
      <c r="E10" s="75" t="s">
        <v>209</v>
      </c>
      <c r="F10" s="74">
        <v>45</v>
      </c>
      <c r="G10" s="74">
        <v>3</v>
      </c>
      <c r="H10" s="76"/>
      <c r="I10" s="76">
        <f>H10*16</f>
        <v>0</v>
      </c>
      <c r="J10" s="76"/>
      <c r="K10" s="76">
        <f>J10*16</f>
        <v>0</v>
      </c>
      <c r="L10" s="76"/>
      <c r="M10" s="76">
        <f>L10*16</f>
        <v>0</v>
      </c>
      <c r="N10" s="76"/>
      <c r="O10" s="76">
        <f>N10*16</f>
        <v>0</v>
      </c>
      <c r="P10" s="76">
        <v>3</v>
      </c>
      <c r="Q10" s="76">
        <f>P10*16</f>
        <v>48</v>
      </c>
      <c r="R10" s="76"/>
      <c r="S10" s="76">
        <f>R10*16</f>
        <v>0</v>
      </c>
      <c r="T10" s="77">
        <f t="shared" si="0"/>
        <v>3</v>
      </c>
      <c r="U10" s="78">
        <f t="shared" si="0"/>
        <v>48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6.5" customHeight="1">
      <c r="A11" s="17"/>
      <c r="B11" s="253"/>
      <c r="C11" s="254"/>
      <c r="D11" s="74" t="s">
        <v>210</v>
      </c>
      <c r="E11" s="75" t="s">
        <v>211</v>
      </c>
      <c r="F11" s="152">
        <v>30</v>
      </c>
      <c r="G11" s="152">
        <v>2</v>
      </c>
      <c r="H11" s="76"/>
      <c r="I11" s="76">
        <f>H11*16</f>
        <v>0</v>
      </c>
      <c r="J11" s="76"/>
      <c r="K11" s="76">
        <f>J11*16</f>
        <v>0</v>
      </c>
      <c r="L11" s="76"/>
      <c r="M11" s="76">
        <f>L11*16</f>
        <v>0</v>
      </c>
      <c r="N11" s="76"/>
      <c r="O11" s="76">
        <f>N11*16</f>
        <v>0</v>
      </c>
      <c r="P11" s="76"/>
      <c r="Q11" s="76">
        <f>P11*16</f>
        <v>0</v>
      </c>
      <c r="R11" s="76">
        <v>2</v>
      </c>
      <c r="S11" s="76">
        <f>R11*16</f>
        <v>32</v>
      </c>
      <c r="T11" s="77">
        <f t="shared" si="0"/>
        <v>2</v>
      </c>
      <c r="U11" s="78">
        <f t="shared" si="0"/>
        <v>32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6.5" customHeight="1">
      <c r="A12" s="17"/>
      <c r="B12" s="253"/>
      <c r="C12" s="254"/>
      <c r="D12" s="74" t="s">
        <v>212</v>
      </c>
      <c r="E12" s="75" t="s">
        <v>213</v>
      </c>
      <c r="F12" s="74">
        <v>20</v>
      </c>
      <c r="G12" s="74">
        <v>2</v>
      </c>
      <c r="H12" s="76"/>
      <c r="I12" s="76">
        <f>H12*16</f>
        <v>0</v>
      </c>
      <c r="J12" s="76"/>
      <c r="K12" s="76">
        <f>J12*16</f>
        <v>0</v>
      </c>
      <c r="L12" s="76"/>
      <c r="M12" s="76">
        <f>L12*16</f>
        <v>0</v>
      </c>
      <c r="N12" s="76"/>
      <c r="O12" s="76">
        <f>N12*16</f>
        <v>0</v>
      </c>
      <c r="P12" s="76"/>
      <c r="Q12" s="76">
        <f>P12*16</f>
        <v>0</v>
      </c>
      <c r="R12" s="76">
        <v>2</v>
      </c>
      <c r="S12" s="76">
        <f>R12*16</f>
        <v>32</v>
      </c>
      <c r="T12" s="77">
        <f t="shared" si="0"/>
        <v>2</v>
      </c>
      <c r="U12" s="78">
        <f t="shared" si="0"/>
        <v>32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3" spans="1:33" ht="18" customHeight="1">
      <c r="A13" s="17"/>
      <c r="B13" s="253"/>
      <c r="C13" s="254"/>
      <c r="D13" s="255" t="s">
        <v>214</v>
      </c>
      <c r="E13" s="255"/>
      <c r="F13" s="79"/>
      <c r="G13" s="79"/>
      <c r="H13" s="80">
        <f t="shared" ref="H13:U13" si="1">SUM(H9:H12)</f>
        <v>0</v>
      </c>
      <c r="I13" s="80">
        <f t="shared" si="1"/>
        <v>0</v>
      </c>
      <c r="J13" s="80">
        <f t="shared" si="1"/>
        <v>0</v>
      </c>
      <c r="K13" s="80">
        <f t="shared" si="1"/>
        <v>0</v>
      </c>
      <c r="L13" s="80">
        <f t="shared" si="1"/>
        <v>0</v>
      </c>
      <c r="M13" s="80">
        <f t="shared" si="1"/>
        <v>0</v>
      </c>
      <c r="N13" s="80">
        <f t="shared" si="1"/>
        <v>0</v>
      </c>
      <c r="O13" s="80">
        <f t="shared" si="1"/>
        <v>0</v>
      </c>
      <c r="P13" s="80">
        <f t="shared" si="1"/>
        <v>4</v>
      </c>
      <c r="Q13" s="80">
        <f t="shared" si="1"/>
        <v>64</v>
      </c>
      <c r="R13" s="80">
        <f t="shared" si="1"/>
        <v>4</v>
      </c>
      <c r="S13" s="80">
        <f t="shared" si="1"/>
        <v>64</v>
      </c>
      <c r="T13" s="81">
        <f t="shared" si="1"/>
        <v>8</v>
      </c>
      <c r="U13" s="81">
        <f t="shared" si="1"/>
        <v>128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</row>
    <row r="14" spans="1:33" ht="16.5" customHeight="1">
      <c r="A14" s="17"/>
      <c r="B14" s="253" t="s">
        <v>121</v>
      </c>
      <c r="C14" s="254">
        <v>7</v>
      </c>
      <c r="D14" s="69" t="s">
        <v>215</v>
      </c>
      <c r="E14" s="70" t="s">
        <v>216</v>
      </c>
      <c r="F14" s="69">
        <v>24</v>
      </c>
      <c r="G14" s="69">
        <v>5</v>
      </c>
      <c r="H14" s="71"/>
      <c r="I14" s="71">
        <f>H14*16</f>
        <v>0</v>
      </c>
      <c r="J14" s="71"/>
      <c r="K14" s="71">
        <f>J14*16</f>
        <v>0</v>
      </c>
      <c r="L14" s="71"/>
      <c r="M14" s="71">
        <f>L14*16</f>
        <v>0</v>
      </c>
      <c r="N14" s="71"/>
      <c r="O14" s="71">
        <f>N14*16</f>
        <v>0</v>
      </c>
      <c r="P14" s="71">
        <v>3</v>
      </c>
      <c r="Q14" s="71">
        <f>P14*16</f>
        <v>48</v>
      </c>
      <c r="R14" s="71"/>
      <c r="S14" s="71">
        <f>R14*16</f>
        <v>0</v>
      </c>
      <c r="T14" s="72">
        <f t="shared" ref="T14:U16" si="2">SUM(H14,J14,L14,N14,P14,R14)</f>
        <v>3</v>
      </c>
      <c r="U14" s="73">
        <f t="shared" si="2"/>
        <v>48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</row>
    <row r="15" spans="1:33" ht="16.5" customHeight="1">
      <c r="A15" s="17"/>
      <c r="B15" s="253"/>
      <c r="C15" s="254"/>
      <c r="D15" s="74" t="s">
        <v>217</v>
      </c>
      <c r="E15" s="75" t="s">
        <v>218</v>
      </c>
      <c r="F15" s="74">
        <v>16</v>
      </c>
      <c r="G15" s="74">
        <v>3</v>
      </c>
      <c r="H15" s="76"/>
      <c r="I15" s="76">
        <f>H15*16</f>
        <v>0</v>
      </c>
      <c r="J15" s="76"/>
      <c r="K15" s="76">
        <f>J15*16</f>
        <v>0</v>
      </c>
      <c r="L15" s="76"/>
      <c r="M15" s="76">
        <f>L15*16</f>
        <v>0</v>
      </c>
      <c r="N15" s="76"/>
      <c r="O15" s="76">
        <f>N15*16</f>
        <v>0</v>
      </c>
      <c r="P15" s="76"/>
      <c r="Q15" s="76">
        <f>P15*16</f>
        <v>0</v>
      </c>
      <c r="R15" s="76">
        <v>2</v>
      </c>
      <c r="S15" s="76">
        <f>R15*16</f>
        <v>32</v>
      </c>
      <c r="T15" s="77">
        <f t="shared" si="2"/>
        <v>2</v>
      </c>
      <c r="U15" s="78">
        <f t="shared" si="2"/>
        <v>32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</row>
    <row r="16" spans="1:33" ht="16.5" customHeight="1">
      <c r="A16" s="17"/>
      <c r="B16" s="253"/>
      <c r="C16" s="254"/>
      <c r="D16" s="74" t="s">
        <v>219</v>
      </c>
      <c r="E16" s="75" t="s">
        <v>220</v>
      </c>
      <c r="F16" s="74">
        <v>16</v>
      </c>
      <c r="G16" s="74">
        <v>2</v>
      </c>
      <c r="H16" s="76"/>
      <c r="I16" s="76">
        <f>H16*16</f>
        <v>0</v>
      </c>
      <c r="J16" s="76"/>
      <c r="K16" s="76">
        <f>J16*16</f>
        <v>0</v>
      </c>
      <c r="L16" s="76"/>
      <c r="M16" s="76">
        <f>L16*16</f>
        <v>0</v>
      </c>
      <c r="N16" s="76"/>
      <c r="O16" s="76">
        <f>N16*16</f>
        <v>0</v>
      </c>
      <c r="P16" s="76"/>
      <c r="Q16" s="76">
        <f>P16*16</f>
        <v>0</v>
      </c>
      <c r="R16" s="76">
        <v>2</v>
      </c>
      <c r="S16" s="76">
        <f>R16*16</f>
        <v>32</v>
      </c>
      <c r="T16" s="77">
        <f t="shared" si="2"/>
        <v>2</v>
      </c>
      <c r="U16" s="78">
        <f t="shared" si="2"/>
        <v>32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</row>
    <row r="17" spans="1:33" ht="18" customHeight="1">
      <c r="A17" s="17"/>
      <c r="B17" s="253"/>
      <c r="C17" s="254"/>
      <c r="D17" s="255" t="s">
        <v>214</v>
      </c>
      <c r="E17" s="255"/>
      <c r="F17" s="79"/>
      <c r="G17" s="79"/>
      <c r="H17" s="80">
        <f t="shared" ref="H17:U17" si="3">SUM(H14:H16)</f>
        <v>0</v>
      </c>
      <c r="I17" s="80">
        <f t="shared" si="3"/>
        <v>0</v>
      </c>
      <c r="J17" s="80">
        <f t="shared" si="3"/>
        <v>0</v>
      </c>
      <c r="K17" s="80">
        <f t="shared" si="3"/>
        <v>0</v>
      </c>
      <c r="L17" s="80">
        <f t="shared" si="3"/>
        <v>0</v>
      </c>
      <c r="M17" s="80">
        <f t="shared" si="3"/>
        <v>0</v>
      </c>
      <c r="N17" s="80">
        <f t="shared" si="3"/>
        <v>0</v>
      </c>
      <c r="O17" s="80">
        <f t="shared" si="3"/>
        <v>0</v>
      </c>
      <c r="P17" s="80">
        <f t="shared" si="3"/>
        <v>3</v>
      </c>
      <c r="Q17" s="80">
        <f t="shared" si="3"/>
        <v>48</v>
      </c>
      <c r="R17" s="80">
        <f t="shared" si="3"/>
        <v>4</v>
      </c>
      <c r="S17" s="80">
        <f t="shared" si="3"/>
        <v>64</v>
      </c>
      <c r="T17" s="81">
        <f t="shared" si="3"/>
        <v>7</v>
      </c>
      <c r="U17" s="81">
        <f t="shared" si="3"/>
        <v>112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</row>
    <row r="18" spans="1:33" ht="16.5" customHeight="1">
      <c r="A18" s="17"/>
      <c r="B18" s="253" t="s">
        <v>120</v>
      </c>
      <c r="C18" s="254">
        <v>8</v>
      </c>
      <c r="D18" s="69" t="s">
        <v>221</v>
      </c>
      <c r="E18" s="70" t="s">
        <v>222</v>
      </c>
      <c r="F18" s="69">
        <v>80</v>
      </c>
      <c r="G18" s="69">
        <v>3</v>
      </c>
      <c r="H18" s="71"/>
      <c r="I18" s="71">
        <f>H18*16</f>
        <v>0</v>
      </c>
      <c r="J18" s="71"/>
      <c r="K18" s="71">
        <f>J18*16</f>
        <v>0</v>
      </c>
      <c r="L18" s="71"/>
      <c r="M18" s="71">
        <f>L18*16</f>
        <v>0</v>
      </c>
      <c r="N18" s="71"/>
      <c r="O18" s="71">
        <f>N18*16</f>
        <v>0</v>
      </c>
      <c r="P18" s="71">
        <v>4</v>
      </c>
      <c r="Q18" s="71">
        <f>P18*16</f>
        <v>64</v>
      </c>
      <c r="R18" s="71"/>
      <c r="S18" s="71">
        <f>R18*16</f>
        <v>0</v>
      </c>
      <c r="T18" s="72">
        <f t="shared" ref="T18:U20" si="4">SUM(H18,J18,L18,N18,P18,R18)</f>
        <v>4</v>
      </c>
      <c r="U18" s="73">
        <f t="shared" si="4"/>
        <v>64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</row>
    <row r="19" spans="1:33" ht="16.5" customHeight="1">
      <c r="A19" s="17"/>
      <c r="B19" s="253"/>
      <c r="C19" s="254"/>
      <c r="D19" s="74" t="s">
        <v>223</v>
      </c>
      <c r="E19" s="75" t="s">
        <v>224</v>
      </c>
      <c r="F19" s="74">
        <v>20</v>
      </c>
      <c r="G19" s="74">
        <v>3</v>
      </c>
      <c r="H19" s="76"/>
      <c r="I19" s="76">
        <f>H19*16</f>
        <v>0</v>
      </c>
      <c r="J19" s="76"/>
      <c r="K19" s="76">
        <f>J19*16</f>
        <v>0</v>
      </c>
      <c r="L19" s="76"/>
      <c r="M19" s="76">
        <f>L19*16</f>
        <v>0</v>
      </c>
      <c r="N19" s="76"/>
      <c r="O19" s="76">
        <f>N19*16</f>
        <v>0</v>
      </c>
      <c r="P19" s="76"/>
      <c r="Q19" s="76">
        <f>P19*16</f>
        <v>0</v>
      </c>
      <c r="R19" s="76">
        <v>2</v>
      </c>
      <c r="S19" s="76">
        <f>R19*16</f>
        <v>32</v>
      </c>
      <c r="T19" s="77">
        <f t="shared" si="4"/>
        <v>2</v>
      </c>
      <c r="U19" s="78">
        <f t="shared" si="4"/>
        <v>32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</row>
    <row r="20" spans="1:33" ht="16.5" customHeight="1">
      <c r="A20" s="17"/>
      <c r="B20" s="253"/>
      <c r="C20" s="254"/>
      <c r="D20" s="74" t="s">
        <v>225</v>
      </c>
      <c r="E20" s="75" t="s">
        <v>226</v>
      </c>
      <c r="F20" s="74">
        <v>20</v>
      </c>
      <c r="G20" s="74">
        <v>2</v>
      </c>
      <c r="H20" s="76"/>
      <c r="I20" s="76">
        <f>H20*16</f>
        <v>0</v>
      </c>
      <c r="J20" s="76"/>
      <c r="K20" s="76">
        <f>J20*16</f>
        <v>0</v>
      </c>
      <c r="L20" s="76"/>
      <c r="M20" s="76">
        <f>L20*16</f>
        <v>0</v>
      </c>
      <c r="N20" s="76"/>
      <c r="O20" s="76">
        <f>N20*16</f>
        <v>0</v>
      </c>
      <c r="P20" s="76"/>
      <c r="Q20" s="76">
        <f>P20*16</f>
        <v>0</v>
      </c>
      <c r="R20" s="76">
        <v>2</v>
      </c>
      <c r="S20" s="76">
        <f>R20*16</f>
        <v>32</v>
      </c>
      <c r="T20" s="77">
        <f t="shared" si="4"/>
        <v>2</v>
      </c>
      <c r="U20" s="78">
        <f t="shared" si="4"/>
        <v>32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</row>
    <row r="21" spans="1:33" ht="18" customHeight="1">
      <c r="A21" s="17"/>
      <c r="B21" s="253"/>
      <c r="C21" s="254"/>
      <c r="D21" s="255" t="s">
        <v>214</v>
      </c>
      <c r="E21" s="255"/>
      <c r="F21" s="79"/>
      <c r="G21" s="79"/>
      <c r="H21" s="80">
        <f t="shared" ref="H21:U21" si="5">SUM(H18:H20)</f>
        <v>0</v>
      </c>
      <c r="I21" s="80">
        <f t="shared" si="5"/>
        <v>0</v>
      </c>
      <c r="J21" s="80">
        <f t="shared" si="5"/>
        <v>0</v>
      </c>
      <c r="K21" s="80">
        <f t="shared" si="5"/>
        <v>0</v>
      </c>
      <c r="L21" s="80">
        <f t="shared" si="5"/>
        <v>0</v>
      </c>
      <c r="M21" s="80">
        <f t="shared" si="5"/>
        <v>0</v>
      </c>
      <c r="N21" s="80">
        <f t="shared" si="5"/>
        <v>0</v>
      </c>
      <c r="O21" s="80">
        <f t="shared" si="5"/>
        <v>0</v>
      </c>
      <c r="P21" s="80">
        <f t="shared" si="5"/>
        <v>4</v>
      </c>
      <c r="Q21" s="80">
        <f t="shared" si="5"/>
        <v>64</v>
      </c>
      <c r="R21" s="80">
        <f t="shared" si="5"/>
        <v>4</v>
      </c>
      <c r="S21" s="80">
        <f t="shared" si="5"/>
        <v>64</v>
      </c>
      <c r="T21" s="81">
        <f t="shared" si="5"/>
        <v>8</v>
      </c>
      <c r="U21" s="81">
        <f t="shared" si="5"/>
        <v>128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</row>
    <row r="22" spans="1:33" ht="16.5" customHeight="1">
      <c r="A22" s="17"/>
      <c r="B22" s="253" t="s">
        <v>123</v>
      </c>
      <c r="C22" s="254">
        <v>8</v>
      </c>
      <c r="D22" s="69" t="s">
        <v>227</v>
      </c>
      <c r="E22" s="70" t="s">
        <v>228</v>
      </c>
      <c r="F22" s="153">
        <v>20</v>
      </c>
      <c r="G22" s="153">
        <v>3</v>
      </c>
      <c r="H22" s="71"/>
      <c r="I22" s="71">
        <f>H22*16</f>
        <v>0</v>
      </c>
      <c r="J22" s="71"/>
      <c r="K22" s="71">
        <f>J22*16</f>
        <v>0</v>
      </c>
      <c r="L22" s="71"/>
      <c r="M22" s="71">
        <f>L22*16</f>
        <v>0</v>
      </c>
      <c r="N22" s="71"/>
      <c r="O22" s="71">
        <f>N22*16</f>
        <v>0</v>
      </c>
      <c r="P22" s="71">
        <v>2</v>
      </c>
      <c r="Q22" s="71">
        <f>P22*16</f>
        <v>32</v>
      </c>
      <c r="R22" s="71"/>
      <c r="S22" s="71">
        <f>R22*16</f>
        <v>0</v>
      </c>
      <c r="T22" s="72">
        <f t="shared" ref="T22:U25" si="6">SUM(H22,J22,L22,N22,P22,R22)</f>
        <v>2</v>
      </c>
      <c r="U22" s="73">
        <f t="shared" si="6"/>
        <v>32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</row>
    <row r="23" spans="1:33" ht="16.5" customHeight="1">
      <c r="A23" s="17"/>
      <c r="B23" s="253"/>
      <c r="C23" s="254"/>
      <c r="D23" s="74" t="s">
        <v>229</v>
      </c>
      <c r="E23" s="75" t="s">
        <v>230</v>
      </c>
      <c r="F23" s="74">
        <v>20</v>
      </c>
      <c r="G23" s="74">
        <v>4</v>
      </c>
      <c r="H23" s="76"/>
      <c r="I23" s="76">
        <f>H23*16</f>
        <v>0</v>
      </c>
      <c r="J23" s="76"/>
      <c r="K23" s="76">
        <f>J23*16</f>
        <v>0</v>
      </c>
      <c r="L23" s="76"/>
      <c r="M23" s="76">
        <f>L23*16</f>
        <v>0</v>
      </c>
      <c r="N23" s="76"/>
      <c r="O23" s="76">
        <f>N23*16</f>
        <v>0</v>
      </c>
      <c r="P23" s="76">
        <v>2</v>
      </c>
      <c r="Q23" s="76">
        <f>P23*16</f>
        <v>32</v>
      </c>
      <c r="R23" s="76"/>
      <c r="S23" s="76">
        <f>R23*16</f>
        <v>0</v>
      </c>
      <c r="T23" s="77">
        <f t="shared" si="6"/>
        <v>2</v>
      </c>
      <c r="U23" s="78">
        <f t="shared" si="6"/>
        <v>32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</row>
    <row r="24" spans="1:33" ht="16.5" customHeight="1">
      <c r="A24" s="17"/>
      <c r="B24" s="253"/>
      <c r="C24" s="254"/>
      <c r="D24" s="74" t="s">
        <v>231</v>
      </c>
      <c r="E24" s="75" t="s">
        <v>232</v>
      </c>
      <c r="F24" s="152">
        <v>20</v>
      </c>
      <c r="G24" s="152">
        <v>3</v>
      </c>
      <c r="H24" s="76"/>
      <c r="I24" s="76">
        <f>H24*16</f>
        <v>0</v>
      </c>
      <c r="J24" s="76"/>
      <c r="K24" s="76">
        <f>J24*16</f>
        <v>0</v>
      </c>
      <c r="L24" s="76"/>
      <c r="M24" s="76">
        <f>L24*16</f>
        <v>0</v>
      </c>
      <c r="N24" s="76"/>
      <c r="O24" s="76">
        <f>N24*16</f>
        <v>0</v>
      </c>
      <c r="P24" s="76"/>
      <c r="Q24" s="76">
        <f>P24*16</f>
        <v>0</v>
      </c>
      <c r="R24" s="76">
        <v>2</v>
      </c>
      <c r="S24" s="76">
        <f>R24*16</f>
        <v>32</v>
      </c>
      <c r="T24" s="77">
        <f t="shared" si="6"/>
        <v>2</v>
      </c>
      <c r="U24" s="78">
        <f t="shared" si="6"/>
        <v>32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</row>
    <row r="25" spans="1:33" ht="16.5" customHeight="1">
      <c r="A25" s="17"/>
      <c r="B25" s="253"/>
      <c r="C25" s="254"/>
      <c r="D25" s="74" t="s">
        <v>233</v>
      </c>
      <c r="E25" s="75" t="s">
        <v>234</v>
      </c>
      <c r="F25" s="74">
        <v>24</v>
      </c>
      <c r="G25" s="74">
        <v>4</v>
      </c>
      <c r="H25" s="76"/>
      <c r="I25" s="76">
        <f>H25*16</f>
        <v>0</v>
      </c>
      <c r="J25" s="76"/>
      <c r="K25" s="76">
        <f>J25*16</f>
        <v>0</v>
      </c>
      <c r="L25" s="76"/>
      <c r="M25" s="76">
        <f>L25*16</f>
        <v>0</v>
      </c>
      <c r="N25" s="76"/>
      <c r="O25" s="76">
        <f>N25*16</f>
        <v>0</v>
      </c>
      <c r="P25" s="76"/>
      <c r="Q25" s="76">
        <f>P25*16</f>
        <v>0</v>
      </c>
      <c r="R25" s="76">
        <v>2</v>
      </c>
      <c r="S25" s="76">
        <f>R25*16</f>
        <v>32</v>
      </c>
      <c r="T25" s="77">
        <f t="shared" si="6"/>
        <v>2</v>
      </c>
      <c r="U25" s="78">
        <f t="shared" si="6"/>
        <v>32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</row>
    <row r="26" spans="1:33" ht="18" customHeight="1">
      <c r="A26" s="17"/>
      <c r="B26" s="253"/>
      <c r="C26" s="254"/>
      <c r="D26" s="255" t="s">
        <v>214</v>
      </c>
      <c r="E26" s="255"/>
      <c r="F26" s="79"/>
      <c r="G26" s="79"/>
      <c r="H26" s="80">
        <f t="shared" ref="H26:U26" si="7">SUM(H22:H25)</f>
        <v>0</v>
      </c>
      <c r="I26" s="80">
        <f t="shared" si="7"/>
        <v>0</v>
      </c>
      <c r="J26" s="80">
        <f t="shared" si="7"/>
        <v>0</v>
      </c>
      <c r="K26" s="80">
        <f t="shared" si="7"/>
        <v>0</v>
      </c>
      <c r="L26" s="80">
        <f t="shared" si="7"/>
        <v>0</v>
      </c>
      <c r="M26" s="80">
        <f t="shared" si="7"/>
        <v>0</v>
      </c>
      <c r="N26" s="80">
        <f t="shared" si="7"/>
        <v>0</v>
      </c>
      <c r="O26" s="80">
        <f t="shared" si="7"/>
        <v>0</v>
      </c>
      <c r="P26" s="80">
        <f t="shared" si="7"/>
        <v>4</v>
      </c>
      <c r="Q26" s="80">
        <f t="shared" si="7"/>
        <v>64</v>
      </c>
      <c r="R26" s="80">
        <f t="shared" si="7"/>
        <v>4</v>
      </c>
      <c r="S26" s="80">
        <f t="shared" si="7"/>
        <v>64</v>
      </c>
      <c r="T26" s="81">
        <f t="shared" si="7"/>
        <v>8</v>
      </c>
      <c r="U26" s="81">
        <f t="shared" si="7"/>
        <v>128</v>
      </c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</row>
    <row r="27" spans="1:33" ht="16.5" customHeight="1">
      <c r="A27" s="17"/>
      <c r="B27" s="253" t="s">
        <v>122</v>
      </c>
      <c r="C27" s="254">
        <v>8</v>
      </c>
      <c r="D27" s="69" t="s">
        <v>240</v>
      </c>
      <c r="E27" s="70" t="s">
        <v>241</v>
      </c>
      <c r="F27" s="69">
        <v>20</v>
      </c>
      <c r="G27" s="69">
        <v>2</v>
      </c>
      <c r="H27" s="71"/>
      <c r="I27" s="71">
        <f>H27*16</f>
        <v>0</v>
      </c>
      <c r="J27" s="71"/>
      <c r="K27" s="71">
        <f>J27*16</f>
        <v>0</v>
      </c>
      <c r="L27" s="71"/>
      <c r="M27" s="71">
        <f>L27*16</f>
        <v>0</v>
      </c>
      <c r="N27" s="71"/>
      <c r="O27" s="71">
        <f>N27*16</f>
        <v>0</v>
      </c>
      <c r="P27" s="71">
        <v>2</v>
      </c>
      <c r="Q27" s="71">
        <f>P27*16</f>
        <v>32</v>
      </c>
      <c r="R27" s="71"/>
      <c r="S27" s="71">
        <f>R27*16</f>
        <v>0</v>
      </c>
      <c r="T27" s="72">
        <f t="shared" ref="T27:U30" si="8">SUM(H27,J27,L27,N27,P27,R27)</f>
        <v>2</v>
      </c>
      <c r="U27" s="73">
        <f t="shared" si="8"/>
        <v>32</v>
      </c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</row>
    <row r="28" spans="1:33" ht="16.5" customHeight="1">
      <c r="A28" s="17"/>
      <c r="B28" s="253"/>
      <c r="C28" s="254"/>
      <c r="D28" s="74" t="s">
        <v>242</v>
      </c>
      <c r="E28" s="75" t="s">
        <v>243</v>
      </c>
      <c r="F28" s="74">
        <v>20</v>
      </c>
      <c r="G28" s="74">
        <v>3</v>
      </c>
      <c r="H28" s="76"/>
      <c r="I28" s="76">
        <f>H28*16</f>
        <v>0</v>
      </c>
      <c r="J28" s="76"/>
      <c r="K28" s="76">
        <f>J28*16</f>
        <v>0</v>
      </c>
      <c r="L28" s="76"/>
      <c r="M28" s="76">
        <f>L28*16</f>
        <v>0</v>
      </c>
      <c r="N28" s="76"/>
      <c r="O28" s="76">
        <f>N28*16</f>
        <v>0</v>
      </c>
      <c r="P28" s="76">
        <v>2</v>
      </c>
      <c r="Q28" s="76">
        <f>P28*16</f>
        <v>32</v>
      </c>
      <c r="R28" s="76"/>
      <c r="S28" s="76">
        <f>R28*16</f>
        <v>0</v>
      </c>
      <c r="T28" s="77">
        <f t="shared" si="8"/>
        <v>2</v>
      </c>
      <c r="U28" s="78">
        <f t="shared" si="8"/>
        <v>32</v>
      </c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</row>
    <row r="29" spans="1:33" ht="16.5" customHeight="1">
      <c r="A29" s="17"/>
      <c r="B29" s="253"/>
      <c r="C29" s="254"/>
      <c r="D29" s="74" t="s">
        <v>244</v>
      </c>
      <c r="E29" s="75" t="s">
        <v>245</v>
      </c>
      <c r="F29" s="74">
        <v>20</v>
      </c>
      <c r="G29" s="74">
        <v>3</v>
      </c>
      <c r="H29" s="76"/>
      <c r="I29" s="76">
        <f>H29*16</f>
        <v>0</v>
      </c>
      <c r="J29" s="76"/>
      <c r="K29" s="76">
        <f>J29*16</f>
        <v>0</v>
      </c>
      <c r="L29" s="76"/>
      <c r="M29" s="76">
        <f>L29*16</f>
        <v>0</v>
      </c>
      <c r="N29" s="76"/>
      <c r="O29" s="76">
        <f>N29*16</f>
        <v>0</v>
      </c>
      <c r="P29" s="76"/>
      <c r="Q29" s="76">
        <f>P29*16</f>
        <v>0</v>
      </c>
      <c r="R29" s="76">
        <v>2</v>
      </c>
      <c r="S29" s="76">
        <f>R29*16</f>
        <v>32</v>
      </c>
      <c r="T29" s="77">
        <f t="shared" si="8"/>
        <v>2</v>
      </c>
      <c r="U29" s="78">
        <f t="shared" si="8"/>
        <v>32</v>
      </c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</row>
    <row r="30" spans="1:33" ht="16.5" customHeight="1">
      <c r="A30" s="17"/>
      <c r="B30" s="253"/>
      <c r="C30" s="254"/>
      <c r="D30" s="74" t="s">
        <v>246</v>
      </c>
      <c r="E30" s="75" t="s">
        <v>247</v>
      </c>
      <c r="F30" s="74">
        <v>20</v>
      </c>
      <c r="G30" s="74">
        <v>3</v>
      </c>
      <c r="H30" s="76"/>
      <c r="I30" s="76">
        <f>H30*16</f>
        <v>0</v>
      </c>
      <c r="J30" s="76"/>
      <c r="K30" s="76">
        <f>J30*16</f>
        <v>0</v>
      </c>
      <c r="L30" s="76"/>
      <c r="M30" s="76">
        <f>L30*16</f>
        <v>0</v>
      </c>
      <c r="N30" s="76"/>
      <c r="O30" s="76">
        <f>N30*16</f>
        <v>0</v>
      </c>
      <c r="P30" s="76"/>
      <c r="Q30" s="76">
        <f>P30*16</f>
        <v>0</v>
      </c>
      <c r="R30" s="76">
        <v>2</v>
      </c>
      <c r="S30" s="76">
        <f>R30*16</f>
        <v>32</v>
      </c>
      <c r="T30" s="77">
        <f t="shared" si="8"/>
        <v>2</v>
      </c>
      <c r="U30" s="78">
        <f t="shared" si="8"/>
        <v>32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</row>
    <row r="31" spans="1:33" ht="18" customHeight="1">
      <c r="A31" s="17"/>
      <c r="B31" s="253"/>
      <c r="C31" s="254"/>
      <c r="D31" s="255" t="s">
        <v>214</v>
      </c>
      <c r="E31" s="255"/>
      <c r="F31" s="79"/>
      <c r="G31" s="79"/>
      <c r="H31" s="80">
        <f t="shared" ref="H31:U31" si="9">SUM(H27:H30)</f>
        <v>0</v>
      </c>
      <c r="I31" s="80">
        <f t="shared" si="9"/>
        <v>0</v>
      </c>
      <c r="J31" s="80">
        <f t="shared" si="9"/>
        <v>0</v>
      </c>
      <c r="K31" s="80">
        <f t="shared" si="9"/>
        <v>0</v>
      </c>
      <c r="L31" s="80">
        <f t="shared" si="9"/>
        <v>0</v>
      </c>
      <c r="M31" s="80">
        <f t="shared" si="9"/>
        <v>0</v>
      </c>
      <c r="N31" s="80">
        <f t="shared" si="9"/>
        <v>0</v>
      </c>
      <c r="O31" s="80">
        <f t="shared" si="9"/>
        <v>0</v>
      </c>
      <c r="P31" s="80">
        <f t="shared" si="9"/>
        <v>4</v>
      </c>
      <c r="Q31" s="80">
        <f t="shared" si="9"/>
        <v>64</v>
      </c>
      <c r="R31" s="80">
        <f t="shared" si="9"/>
        <v>4</v>
      </c>
      <c r="S31" s="80">
        <f t="shared" si="9"/>
        <v>64</v>
      </c>
      <c r="T31" s="81">
        <f t="shared" si="9"/>
        <v>8</v>
      </c>
      <c r="U31" s="81">
        <f t="shared" si="9"/>
        <v>128</v>
      </c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</row>
    <row r="32" spans="1:33" ht="16.5" customHeight="1">
      <c r="A32" s="17"/>
      <c r="B32" s="253" t="s">
        <v>257</v>
      </c>
      <c r="C32" s="254">
        <v>4</v>
      </c>
      <c r="D32" s="69" t="s">
        <v>258</v>
      </c>
      <c r="E32" s="70" t="s">
        <v>259</v>
      </c>
      <c r="F32" s="69">
        <v>20</v>
      </c>
      <c r="G32" s="69">
        <v>3</v>
      </c>
      <c r="H32" s="71"/>
      <c r="I32" s="71">
        <f>H32*16</f>
        <v>0</v>
      </c>
      <c r="J32" s="71"/>
      <c r="K32" s="71">
        <f>J32*16</f>
        <v>0</v>
      </c>
      <c r="L32" s="71">
        <v>2</v>
      </c>
      <c r="M32" s="71">
        <f>L32*16</f>
        <v>32</v>
      </c>
      <c r="N32" s="71"/>
      <c r="O32" s="71">
        <f>N32*16</f>
        <v>0</v>
      </c>
      <c r="P32" s="71"/>
      <c r="Q32" s="71">
        <f>P32*16</f>
        <v>0</v>
      </c>
      <c r="R32" s="71"/>
      <c r="S32" s="71">
        <f>R32*16</f>
        <v>0</v>
      </c>
      <c r="T32" s="72">
        <f>SUM(H32,J32,L32,N32,P32,R32)</f>
        <v>2</v>
      </c>
      <c r="U32" s="73">
        <f>SUM(I32,K32,M32,O32,Q32,S32)</f>
        <v>32</v>
      </c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</row>
    <row r="33" spans="1:33" ht="16.5" customHeight="1">
      <c r="A33" s="17"/>
      <c r="B33" s="253"/>
      <c r="C33" s="254"/>
      <c r="D33" s="74" t="s">
        <v>260</v>
      </c>
      <c r="E33" s="75" t="s">
        <v>261</v>
      </c>
      <c r="F33" s="74">
        <v>12</v>
      </c>
      <c r="G33" s="74">
        <v>4</v>
      </c>
      <c r="H33" s="76"/>
      <c r="I33" s="76">
        <f>H33*16</f>
        <v>0</v>
      </c>
      <c r="J33" s="76"/>
      <c r="K33" s="76">
        <f>J33*16</f>
        <v>0</v>
      </c>
      <c r="L33" s="76">
        <v>2</v>
      </c>
      <c r="M33" s="76">
        <f>L33*16</f>
        <v>32</v>
      </c>
      <c r="N33" s="76"/>
      <c r="O33" s="76">
        <f>N33*16</f>
        <v>0</v>
      </c>
      <c r="P33" s="76"/>
      <c r="Q33" s="76">
        <f>P33*16</f>
        <v>0</v>
      </c>
      <c r="R33" s="76"/>
      <c r="S33" s="76">
        <f>R33*16</f>
        <v>0</v>
      </c>
      <c r="T33" s="77">
        <f>SUM(H33,J33,L33,N33,P33,R33)</f>
        <v>2</v>
      </c>
      <c r="U33" s="78">
        <f>SUM(I33,K33,M33,O33,Q33,S33)</f>
        <v>32</v>
      </c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</row>
    <row r="34" spans="1:33" ht="18" customHeight="1">
      <c r="A34" s="17"/>
      <c r="B34" s="253"/>
      <c r="C34" s="254"/>
      <c r="D34" s="255" t="s">
        <v>214</v>
      </c>
      <c r="E34" s="255"/>
      <c r="F34" s="79"/>
      <c r="G34" s="79"/>
      <c r="H34" s="80">
        <f t="shared" ref="H34:U34" si="10">SUM(H32:H33)</f>
        <v>0</v>
      </c>
      <c r="I34" s="80">
        <f t="shared" si="10"/>
        <v>0</v>
      </c>
      <c r="J34" s="80">
        <f t="shared" si="10"/>
        <v>0</v>
      </c>
      <c r="K34" s="80">
        <f t="shared" si="10"/>
        <v>0</v>
      </c>
      <c r="L34" s="80">
        <f t="shared" si="10"/>
        <v>4</v>
      </c>
      <c r="M34" s="80">
        <f t="shared" si="10"/>
        <v>64</v>
      </c>
      <c r="N34" s="80">
        <f t="shared" si="10"/>
        <v>0</v>
      </c>
      <c r="O34" s="80">
        <f t="shared" si="10"/>
        <v>0</v>
      </c>
      <c r="P34" s="80">
        <f t="shared" si="10"/>
        <v>0</v>
      </c>
      <c r="Q34" s="80">
        <f t="shared" si="10"/>
        <v>0</v>
      </c>
      <c r="R34" s="80">
        <f t="shared" si="10"/>
        <v>0</v>
      </c>
      <c r="S34" s="80">
        <f t="shared" si="10"/>
        <v>0</v>
      </c>
      <c r="T34" s="81">
        <f t="shared" si="10"/>
        <v>4</v>
      </c>
      <c r="U34" s="81">
        <f t="shared" si="10"/>
        <v>64</v>
      </c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</row>
    <row r="35" spans="1:33" ht="16.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</row>
    <row r="36" spans="1:33" ht="16.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</row>
    <row r="37" spans="1:33" ht="16.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</row>
    <row r="38" spans="1:33" ht="16.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</row>
    <row r="39" spans="1:33" ht="16.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</row>
    <row r="40" spans="1:33" ht="16.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</row>
    <row r="41" spans="1:33" ht="16.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</row>
    <row r="42" spans="1:33" ht="16.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</row>
    <row r="43" spans="1:33" ht="16.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</row>
    <row r="44" spans="1:33" ht="16.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</row>
    <row r="45" spans="1:33" ht="16.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</row>
    <row r="46" spans="1:33" ht="16.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</row>
    <row r="47" spans="1:33" ht="16.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</row>
    <row r="48" spans="1:33" ht="16.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</row>
    <row r="49" spans="1:33" ht="16.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</row>
    <row r="50" spans="1:33" ht="16.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</row>
    <row r="51" spans="1:33" ht="16.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</row>
    <row r="52" spans="1:33" ht="16.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</row>
    <row r="53" spans="1:33" ht="16.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</row>
    <row r="54" spans="1:33" ht="16.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</row>
    <row r="55" spans="1:33" ht="16.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</row>
    <row r="56" spans="1:33" ht="16.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</row>
    <row r="57" spans="1:33" ht="16.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</row>
    <row r="58" spans="1:33" ht="16.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</row>
    <row r="59" spans="1:33" ht="16.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</row>
    <row r="60" spans="1:33" ht="16.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</row>
    <row r="61" spans="1:33" ht="16.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</row>
    <row r="62" spans="1:33" ht="16.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</row>
    <row r="63" spans="1:33" ht="16.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</row>
    <row r="64" spans="1:33" ht="16.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</row>
    <row r="65" spans="1:33" ht="16.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</row>
    <row r="66" spans="1:33" ht="16.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</row>
    <row r="67" spans="1:33" ht="16.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</row>
    <row r="68" spans="1:33" ht="16.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</row>
    <row r="69" spans="1:33" ht="16.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</row>
  </sheetData>
  <mergeCells count="43">
    <mergeCell ref="B27:B31"/>
    <mergeCell ref="C27:C31"/>
    <mergeCell ref="D31:E31"/>
    <mergeCell ref="B32:B34"/>
    <mergeCell ref="C32:C34"/>
    <mergeCell ref="D34:E34"/>
    <mergeCell ref="B18:B21"/>
    <mergeCell ref="C18:C21"/>
    <mergeCell ref="D21:E21"/>
    <mergeCell ref="B22:B26"/>
    <mergeCell ref="C22:C26"/>
    <mergeCell ref="D26:E26"/>
    <mergeCell ref="B9:B13"/>
    <mergeCell ref="C9:C13"/>
    <mergeCell ref="D13:E13"/>
    <mergeCell ref="B14:B17"/>
    <mergeCell ref="C14:C17"/>
    <mergeCell ref="D17:E17"/>
    <mergeCell ref="T6:T8"/>
    <mergeCell ref="U6:U8"/>
    <mergeCell ref="H7:I7"/>
    <mergeCell ref="J7:K7"/>
    <mergeCell ref="L7:M7"/>
    <mergeCell ref="N7:O7"/>
    <mergeCell ref="P7:Q7"/>
    <mergeCell ref="R7:S7"/>
    <mergeCell ref="F6:F8"/>
    <mergeCell ref="G6:G8"/>
    <mergeCell ref="H6:K6"/>
    <mergeCell ref="L6:O6"/>
    <mergeCell ref="P6:S6"/>
    <mergeCell ref="B5:C5"/>
    <mergeCell ref="B6:B8"/>
    <mergeCell ref="C6:C8"/>
    <mergeCell ref="D6:D8"/>
    <mergeCell ref="E6:E8"/>
    <mergeCell ref="B2:U2"/>
    <mergeCell ref="N3:P3"/>
    <mergeCell ref="Q3:S3"/>
    <mergeCell ref="T3:U3"/>
    <mergeCell ref="N4:P4"/>
    <mergeCell ref="Q4:S4"/>
    <mergeCell ref="T4:U4"/>
  </mergeCells>
  <phoneticPr fontId="41" type="noConversion"/>
  <pageMargins left="0.70833333333333304" right="0.70833333333333304" top="0.74791666666666701" bottom="0.7479166666666670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AG69"/>
  <sheetViews>
    <sheetView zoomScaleNormal="100" workbookViewId="0">
      <selection activeCell="AA12" sqref="AA12"/>
    </sheetView>
  </sheetViews>
  <sheetFormatPr defaultColWidth="7.25" defaultRowHeight="16.5"/>
  <cols>
    <col min="1" max="1" width="2.625" style="64" customWidth="1"/>
    <col min="2" max="2" width="10" style="64" customWidth="1"/>
    <col min="3" max="3" width="4.75" style="64" customWidth="1"/>
    <col min="4" max="4" width="16.125" style="64" customWidth="1"/>
    <col min="5" max="5" width="16.25" style="65" customWidth="1"/>
    <col min="6" max="6" width="7.75" style="65" customWidth="1"/>
    <col min="7" max="7" width="9.125" style="64" customWidth="1"/>
    <col min="8" max="19" width="6.625" style="64" customWidth="1"/>
    <col min="20" max="20" width="5.625" style="64" customWidth="1"/>
    <col min="21" max="21" width="6" style="64" customWidth="1"/>
  </cols>
  <sheetData>
    <row r="2" spans="1:33" ht="39.75" customHeight="1">
      <c r="B2" s="239" t="s">
        <v>190</v>
      </c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</row>
    <row r="3" spans="1:33" ht="27" customHeight="1"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240" t="s">
        <v>7</v>
      </c>
      <c r="O3" s="240"/>
      <c r="P3" s="240"/>
      <c r="Q3" s="240" t="s">
        <v>15</v>
      </c>
      <c r="R3" s="240"/>
      <c r="S3" s="240"/>
      <c r="T3" s="241" t="s">
        <v>1</v>
      </c>
      <c r="U3" s="241"/>
    </row>
    <row r="4" spans="1:33" ht="30" customHeight="1" thickBot="1"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242" t="s">
        <v>22</v>
      </c>
      <c r="O4" s="242"/>
      <c r="P4" s="242"/>
      <c r="Q4" s="243" t="s">
        <v>262</v>
      </c>
      <c r="R4" s="243"/>
      <c r="S4" s="243"/>
      <c r="T4" s="244">
        <v>2027</v>
      </c>
      <c r="U4" s="244"/>
    </row>
    <row r="5" spans="1:33" ht="24" customHeight="1" thickBot="1">
      <c r="B5" s="245"/>
      <c r="C5" s="245"/>
    </row>
    <row r="6" spans="1:33" ht="20.25" customHeight="1" thickBot="1">
      <c r="B6" s="246" t="s">
        <v>192</v>
      </c>
      <c r="C6" s="247" t="s">
        <v>36</v>
      </c>
      <c r="D6" s="248" t="s">
        <v>193</v>
      </c>
      <c r="E6" s="248" t="s">
        <v>194</v>
      </c>
      <c r="F6" s="248" t="s">
        <v>195</v>
      </c>
      <c r="G6" s="248" t="s">
        <v>196</v>
      </c>
      <c r="H6" s="249" t="s">
        <v>197</v>
      </c>
      <c r="I6" s="249"/>
      <c r="J6" s="249"/>
      <c r="K6" s="249"/>
      <c r="L6" s="249" t="s">
        <v>198</v>
      </c>
      <c r="M6" s="249"/>
      <c r="N6" s="249"/>
      <c r="O6" s="249"/>
      <c r="P6" s="249" t="s">
        <v>199</v>
      </c>
      <c r="Q6" s="249"/>
      <c r="R6" s="249"/>
      <c r="S6" s="249"/>
      <c r="T6" s="250" t="s">
        <v>200</v>
      </c>
      <c r="U6" s="251" t="s">
        <v>201</v>
      </c>
      <c r="W6" s="67"/>
    </row>
    <row r="7" spans="1:33" ht="16.5" customHeight="1" thickBot="1">
      <c r="B7" s="246"/>
      <c r="C7" s="247"/>
      <c r="D7" s="247"/>
      <c r="E7" s="247"/>
      <c r="F7" s="247"/>
      <c r="G7" s="247"/>
      <c r="H7" s="252" t="s">
        <v>202</v>
      </c>
      <c r="I7" s="252"/>
      <c r="J7" s="252" t="s">
        <v>203</v>
      </c>
      <c r="K7" s="252"/>
      <c r="L7" s="252" t="s">
        <v>202</v>
      </c>
      <c r="M7" s="252"/>
      <c r="N7" s="252" t="s">
        <v>203</v>
      </c>
      <c r="O7" s="252"/>
      <c r="P7" s="252" t="s">
        <v>202</v>
      </c>
      <c r="Q7" s="252"/>
      <c r="R7" s="252" t="s">
        <v>203</v>
      </c>
      <c r="S7" s="252"/>
      <c r="T7" s="250"/>
      <c r="U7" s="251"/>
      <c r="W7" s="67"/>
    </row>
    <row r="8" spans="1:33" ht="17.25" customHeight="1" thickBot="1">
      <c r="B8" s="246"/>
      <c r="C8" s="247"/>
      <c r="D8" s="247"/>
      <c r="E8" s="247"/>
      <c r="F8" s="247"/>
      <c r="G8" s="247"/>
      <c r="H8" s="68" t="s">
        <v>204</v>
      </c>
      <c r="I8" s="68" t="s">
        <v>205</v>
      </c>
      <c r="J8" s="68" t="s">
        <v>204</v>
      </c>
      <c r="K8" s="68" t="s">
        <v>205</v>
      </c>
      <c r="L8" s="68" t="s">
        <v>204</v>
      </c>
      <c r="M8" s="68" t="s">
        <v>205</v>
      </c>
      <c r="N8" s="68" t="s">
        <v>204</v>
      </c>
      <c r="O8" s="68" t="s">
        <v>205</v>
      </c>
      <c r="P8" s="68" t="s">
        <v>204</v>
      </c>
      <c r="Q8" s="68" t="s">
        <v>205</v>
      </c>
      <c r="R8" s="68" t="s">
        <v>204</v>
      </c>
      <c r="S8" s="68" t="s">
        <v>205</v>
      </c>
      <c r="T8" s="250"/>
      <c r="U8" s="251"/>
      <c r="W8" s="67"/>
    </row>
    <row r="9" spans="1:33" ht="16.5" customHeight="1" thickBot="1">
      <c r="A9" s="17"/>
      <c r="B9" s="253" t="s">
        <v>158</v>
      </c>
      <c r="C9" s="254">
        <v>8</v>
      </c>
      <c r="D9" s="69" t="s">
        <v>223</v>
      </c>
      <c r="E9" s="70" t="s">
        <v>224</v>
      </c>
      <c r="F9" s="69">
        <v>20</v>
      </c>
      <c r="G9" s="69">
        <v>3</v>
      </c>
      <c r="H9" s="71"/>
      <c r="I9" s="71">
        <f>H9*16</f>
        <v>0</v>
      </c>
      <c r="J9" s="71"/>
      <c r="K9" s="71">
        <f>J9*16</f>
        <v>0</v>
      </c>
      <c r="L9" s="71">
        <v>2</v>
      </c>
      <c r="M9" s="71">
        <f>L9*16</f>
        <v>32</v>
      </c>
      <c r="N9" s="71"/>
      <c r="O9" s="71">
        <f>N9*16</f>
        <v>0</v>
      </c>
      <c r="P9" s="71"/>
      <c r="Q9" s="71">
        <f>P9*16</f>
        <v>0</v>
      </c>
      <c r="R9" s="71"/>
      <c r="S9" s="71">
        <f>R9*16</f>
        <v>0</v>
      </c>
      <c r="T9" s="72">
        <f t="shared" ref="T9:U11" si="0">SUM(H9,J9,L9,N9,P9,R9)</f>
        <v>2</v>
      </c>
      <c r="U9" s="73">
        <f t="shared" si="0"/>
        <v>32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6.5" customHeight="1">
      <c r="A10" s="17"/>
      <c r="B10" s="253"/>
      <c r="C10" s="254"/>
      <c r="D10" s="74" t="s">
        <v>225</v>
      </c>
      <c r="E10" s="75" t="s">
        <v>226</v>
      </c>
      <c r="F10" s="74">
        <v>20</v>
      </c>
      <c r="G10" s="74">
        <v>2</v>
      </c>
      <c r="H10" s="76"/>
      <c r="I10" s="76">
        <f>H10*16</f>
        <v>0</v>
      </c>
      <c r="J10" s="76"/>
      <c r="K10" s="76">
        <f>J10*16</f>
        <v>0</v>
      </c>
      <c r="L10" s="76">
        <v>2</v>
      </c>
      <c r="M10" s="76">
        <f>L10*16</f>
        <v>32</v>
      </c>
      <c r="N10" s="76"/>
      <c r="O10" s="76">
        <f>N10*16</f>
        <v>0</v>
      </c>
      <c r="P10" s="76"/>
      <c r="Q10" s="76">
        <f>P10*16</f>
        <v>0</v>
      </c>
      <c r="R10" s="76"/>
      <c r="S10" s="76">
        <f>R10*16</f>
        <v>0</v>
      </c>
      <c r="T10" s="77">
        <f t="shared" si="0"/>
        <v>2</v>
      </c>
      <c r="U10" s="78">
        <f t="shared" si="0"/>
        <v>32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6.5" customHeight="1">
      <c r="A11" s="17"/>
      <c r="B11" s="253"/>
      <c r="C11" s="254"/>
      <c r="D11" s="74" t="s">
        <v>263</v>
      </c>
      <c r="E11" s="75" t="s">
        <v>222</v>
      </c>
      <c r="F11" s="74">
        <v>80</v>
      </c>
      <c r="G11" s="74">
        <v>3</v>
      </c>
      <c r="H11" s="76"/>
      <c r="I11" s="76">
        <f>H11*16</f>
        <v>0</v>
      </c>
      <c r="J11" s="76"/>
      <c r="K11" s="76">
        <f>J11*16</f>
        <v>0</v>
      </c>
      <c r="L11" s="76"/>
      <c r="M11" s="76">
        <f>L11*16</f>
        <v>0</v>
      </c>
      <c r="N11" s="76">
        <v>4</v>
      </c>
      <c r="O11" s="76">
        <f>N11*16</f>
        <v>64</v>
      </c>
      <c r="P11" s="76"/>
      <c r="Q11" s="76">
        <f>P11*16</f>
        <v>0</v>
      </c>
      <c r="R11" s="76"/>
      <c r="S11" s="76">
        <f>R11*16</f>
        <v>0</v>
      </c>
      <c r="T11" s="77">
        <f t="shared" si="0"/>
        <v>4</v>
      </c>
      <c r="U11" s="78">
        <f t="shared" si="0"/>
        <v>64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8" customHeight="1">
      <c r="A12" s="17"/>
      <c r="B12" s="253"/>
      <c r="C12" s="254"/>
      <c r="D12" s="255" t="s">
        <v>214</v>
      </c>
      <c r="E12" s="255"/>
      <c r="F12" s="79"/>
      <c r="G12" s="79"/>
      <c r="H12" s="80">
        <f t="shared" ref="H12:U12" si="1">SUM(H9:H11)</f>
        <v>0</v>
      </c>
      <c r="I12" s="80">
        <f t="shared" si="1"/>
        <v>0</v>
      </c>
      <c r="J12" s="80">
        <f t="shared" si="1"/>
        <v>0</v>
      </c>
      <c r="K12" s="80">
        <f t="shared" si="1"/>
        <v>0</v>
      </c>
      <c r="L12" s="80">
        <f t="shared" si="1"/>
        <v>4</v>
      </c>
      <c r="M12" s="80">
        <f t="shared" si="1"/>
        <v>64</v>
      </c>
      <c r="N12" s="80">
        <f t="shared" si="1"/>
        <v>4</v>
      </c>
      <c r="O12" s="80">
        <f t="shared" si="1"/>
        <v>64</v>
      </c>
      <c r="P12" s="80">
        <f t="shared" si="1"/>
        <v>0</v>
      </c>
      <c r="Q12" s="80">
        <f t="shared" si="1"/>
        <v>0</v>
      </c>
      <c r="R12" s="80">
        <f t="shared" si="1"/>
        <v>0</v>
      </c>
      <c r="S12" s="80">
        <f t="shared" si="1"/>
        <v>0</v>
      </c>
      <c r="T12" s="81">
        <f t="shared" si="1"/>
        <v>8</v>
      </c>
      <c r="U12" s="81">
        <f t="shared" si="1"/>
        <v>128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3" spans="1:33" ht="16.5" customHeight="1">
      <c r="A13" s="17"/>
      <c r="B13" s="253" t="s">
        <v>159</v>
      </c>
      <c r="C13" s="254">
        <v>16</v>
      </c>
      <c r="D13" s="69" t="s">
        <v>264</v>
      </c>
      <c r="E13" s="70" t="s">
        <v>253</v>
      </c>
      <c r="F13" s="69">
        <v>40</v>
      </c>
      <c r="G13" s="69">
        <v>2</v>
      </c>
      <c r="H13" s="71"/>
      <c r="I13" s="71">
        <f>H13*16</f>
        <v>0</v>
      </c>
      <c r="J13" s="71"/>
      <c r="K13" s="71">
        <f>J13*16</f>
        <v>0</v>
      </c>
      <c r="L13" s="71"/>
      <c r="M13" s="71">
        <f>L13*16</f>
        <v>0</v>
      </c>
      <c r="N13" s="71"/>
      <c r="O13" s="71">
        <f>N13*16</f>
        <v>0</v>
      </c>
      <c r="P13" s="71">
        <v>4</v>
      </c>
      <c r="Q13" s="71">
        <f>P13*16</f>
        <v>64</v>
      </c>
      <c r="R13" s="71"/>
      <c r="S13" s="71">
        <f>R13*16</f>
        <v>0</v>
      </c>
      <c r="T13" s="72">
        <f t="shared" ref="T13:U16" si="2">SUM(H13,J13,L13,N13,P13,R13)</f>
        <v>4</v>
      </c>
      <c r="U13" s="73">
        <f t="shared" si="2"/>
        <v>64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</row>
    <row r="14" spans="1:33" ht="16.5" customHeight="1">
      <c r="A14" s="17"/>
      <c r="B14" s="253"/>
      <c r="C14" s="254"/>
      <c r="D14" s="74" t="s">
        <v>250</v>
      </c>
      <c r="E14" s="75" t="s">
        <v>251</v>
      </c>
      <c r="F14" s="74">
        <v>40</v>
      </c>
      <c r="G14" s="74">
        <v>3</v>
      </c>
      <c r="H14" s="76"/>
      <c r="I14" s="76">
        <f>H14*16</f>
        <v>0</v>
      </c>
      <c r="J14" s="76"/>
      <c r="K14" s="76">
        <f>J14*16</f>
        <v>0</v>
      </c>
      <c r="L14" s="76"/>
      <c r="M14" s="76">
        <f>L14*16</f>
        <v>0</v>
      </c>
      <c r="N14" s="76"/>
      <c r="O14" s="76">
        <f>N14*16</f>
        <v>0</v>
      </c>
      <c r="P14" s="76">
        <v>4</v>
      </c>
      <c r="Q14" s="76">
        <f>P14*16</f>
        <v>64</v>
      </c>
      <c r="R14" s="76"/>
      <c r="S14" s="76">
        <f>R14*16</f>
        <v>0</v>
      </c>
      <c r="T14" s="77">
        <f t="shared" si="2"/>
        <v>4</v>
      </c>
      <c r="U14" s="78">
        <f t="shared" si="2"/>
        <v>64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</row>
    <row r="15" spans="1:33" ht="16.5" customHeight="1">
      <c r="A15" s="17"/>
      <c r="B15" s="253"/>
      <c r="C15" s="254"/>
      <c r="D15" s="74" t="s">
        <v>248</v>
      </c>
      <c r="E15" s="75" t="s">
        <v>249</v>
      </c>
      <c r="F15" s="74">
        <v>40</v>
      </c>
      <c r="G15" s="74">
        <v>3</v>
      </c>
      <c r="H15" s="76"/>
      <c r="I15" s="76">
        <f>H15*16</f>
        <v>0</v>
      </c>
      <c r="J15" s="76"/>
      <c r="K15" s="76">
        <f>J15*16</f>
        <v>0</v>
      </c>
      <c r="L15" s="76"/>
      <c r="M15" s="76">
        <f>L15*16</f>
        <v>0</v>
      </c>
      <c r="N15" s="76"/>
      <c r="O15" s="76">
        <f>N15*16</f>
        <v>0</v>
      </c>
      <c r="P15" s="76"/>
      <c r="Q15" s="76">
        <f>P15*16</f>
        <v>0</v>
      </c>
      <c r="R15" s="76">
        <v>4</v>
      </c>
      <c r="S15" s="76">
        <f>R15*16</f>
        <v>64</v>
      </c>
      <c r="T15" s="77">
        <f t="shared" si="2"/>
        <v>4</v>
      </c>
      <c r="U15" s="78">
        <f t="shared" si="2"/>
        <v>64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</row>
    <row r="16" spans="1:33" ht="16.5" customHeight="1">
      <c r="A16" s="17"/>
      <c r="B16" s="253"/>
      <c r="C16" s="254"/>
      <c r="D16" s="74" t="s">
        <v>254</v>
      </c>
      <c r="E16" s="75" t="s">
        <v>255</v>
      </c>
      <c r="F16" s="74">
        <v>30</v>
      </c>
      <c r="G16" s="74">
        <v>4</v>
      </c>
      <c r="H16" s="76"/>
      <c r="I16" s="76">
        <f>H16*16</f>
        <v>0</v>
      </c>
      <c r="J16" s="76"/>
      <c r="K16" s="76">
        <f>J16*16</f>
        <v>0</v>
      </c>
      <c r="L16" s="76"/>
      <c r="M16" s="76">
        <f>L16*16</f>
        <v>0</v>
      </c>
      <c r="N16" s="76"/>
      <c r="O16" s="76">
        <f>N16*16</f>
        <v>0</v>
      </c>
      <c r="P16" s="76"/>
      <c r="Q16" s="76">
        <f>P16*16</f>
        <v>0</v>
      </c>
      <c r="R16" s="76">
        <v>4</v>
      </c>
      <c r="S16" s="76">
        <f>R16*16</f>
        <v>64</v>
      </c>
      <c r="T16" s="77">
        <f t="shared" si="2"/>
        <v>4</v>
      </c>
      <c r="U16" s="78">
        <f t="shared" si="2"/>
        <v>64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</row>
    <row r="17" spans="1:33" ht="18" customHeight="1">
      <c r="A17" s="17"/>
      <c r="B17" s="253"/>
      <c r="C17" s="254"/>
      <c r="D17" s="255" t="s">
        <v>214</v>
      </c>
      <c r="E17" s="255"/>
      <c r="F17" s="79"/>
      <c r="G17" s="79"/>
      <c r="H17" s="80">
        <f t="shared" ref="H17:U17" si="3">SUM(H13:H16)</f>
        <v>0</v>
      </c>
      <c r="I17" s="80">
        <f t="shared" si="3"/>
        <v>0</v>
      </c>
      <c r="J17" s="80">
        <f t="shared" si="3"/>
        <v>0</v>
      </c>
      <c r="K17" s="80">
        <f t="shared" si="3"/>
        <v>0</v>
      </c>
      <c r="L17" s="80">
        <f t="shared" si="3"/>
        <v>0</v>
      </c>
      <c r="M17" s="80">
        <f t="shared" si="3"/>
        <v>0</v>
      </c>
      <c r="N17" s="80">
        <f t="shared" si="3"/>
        <v>0</v>
      </c>
      <c r="O17" s="80">
        <f t="shared" si="3"/>
        <v>0</v>
      </c>
      <c r="P17" s="80">
        <f t="shared" si="3"/>
        <v>8</v>
      </c>
      <c r="Q17" s="80">
        <f t="shared" si="3"/>
        <v>128</v>
      </c>
      <c r="R17" s="80">
        <f t="shared" si="3"/>
        <v>8</v>
      </c>
      <c r="S17" s="80">
        <f t="shared" si="3"/>
        <v>128</v>
      </c>
      <c r="T17" s="81">
        <f t="shared" si="3"/>
        <v>16</v>
      </c>
      <c r="U17" s="81">
        <f t="shared" si="3"/>
        <v>256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</row>
    <row r="18" spans="1:33" ht="16.5" customHeight="1">
      <c r="A18" s="17"/>
      <c r="B18" s="253" t="s">
        <v>157</v>
      </c>
      <c r="C18" s="254">
        <v>16</v>
      </c>
      <c r="D18" s="69" t="s">
        <v>206</v>
      </c>
      <c r="E18" s="70" t="s">
        <v>207</v>
      </c>
      <c r="F18" s="69">
        <v>40</v>
      </c>
      <c r="G18" s="69">
        <v>2</v>
      </c>
      <c r="H18" s="71"/>
      <c r="I18" s="71">
        <f>H18*16</f>
        <v>0</v>
      </c>
      <c r="J18" s="71"/>
      <c r="K18" s="71">
        <f>J18*16</f>
        <v>0</v>
      </c>
      <c r="L18" s="71">
        <v>4</v>
      </c>
      <c r="M18" s="71">
        <f>L18*16</f>
        <v>64</v>
      </c>
      <c r="N18" s="71"/>
      <c r="O18" s="71">
        <f>N18*16</f>
        <v>0</v>
      </c>
      <c r="P18" s="71"/>
      <c r="Q18" s="71">
        <f>P18*16</f>
        <v>0</v>
      </c>
      <c r="R18" s="71"/>
      <c r="S18" s="71">
        <f>R18*16</f>
        <v>0</v>
      </c>
      <c r="T18" s="72">
        <f t="shared" ref="T18:U21" si="4">SUM(H18,J18,L18,N18,P18,R18)</f>
        <v>4</v>
      </c>
      <c r="U18" s="73">
        <f t="shared" si="4"/>
        <v>64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</row>
    <row r="19" spans="1:33" ht="16.5" customHeight="1">
      <c r="A19" s="17"/>
      <c r="B19" s="253"/>
      <c r="C19" s="254"/>
      <c r="D19" s="74" t="s">
        <v>265</v>
      </c>
      <c r="E19" s="75" t="s">
        <v>266</v>
      </c>
      <c r="F19" s="74">
        <v>30</v>
      </c>
      <c r="G19" s="74">
        <v>2</v>
      </c>
      <c r="H19" s="76"/>
      <c r="I19" s="76">
        <f>H19*16</f>
        <v>0</v>
      </c>
      <c r="J19" s="76"/>
      <c r="K19" s="76">
        <f>J19*16</f>
        <v>0</v>
      </c>
      <c r="L19" s="76">
        <v>4</v>
      </c>
      <c r="M19" s="76">
        <f>L19*16</f>
        <v>64</v>
      </c>
      <c r="N19" s="76"/>
      <c r="O19" s="76">
        <f>N19*16</f>
        <v>0</v>
      </c>
      <c r="P19" s="76"/>
      <c r="Q19" s="76">
        <f>P19*16</f>
        <v>0</v>
      </c>
      <c r="R19" s="76"/>
      <c r="S19" s="76">
        <f>R19*16</f>
        <v>0</v>
      </c>
      <c r="T19" s="77">
        <f t="shared" si="4"/>
        <v>4</v>
      </c>
      <c r="U19" s="78">
        <f t="shared" si="4"/>
        <v>64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</row>
    <row r="20" spans="1:33" ht="16.5" customHeight="1">
      <c r="A20" s="17"/>
      <c r="B20" s="253"/>
      <c r="C20" s="254"/>
      <c r="D20" s="74" t="s">
        <v>210</v>
      </c>
      <c r="E20" s="75" t="s">
        <v>211</v>
      </c>
      <c r="F20" s="152">
        <v>30</v>
      </c>
      <c r="G20" s="152">
        <v>2</v>
      </c>
      <c r="H20" s="76"/>
      <c r="I20" s="76">
        <f>H20*16</f>
        <v>0</v>
      </c>
      <c r="J20" s="76"/>
      <c r="K20" s="76">
        <f>J20*16</f>
        <v>0</v>
      </c>
      <c r="L20" s="76"/>
      <c r="M20" s="76">
        <f>L20*16</f>
        <v>0</v>
      </c>
      <c r="N20" s="76">
        <v>4</v>
      </c>
      <c r="O20" s="76">
        <f>N20*16</f>
        <v>64</v>
      </c>
      <c r="P20" s="76"/>
      <c r="Q20" s="76">
        <f>P20*16</f>
        <v>0</v>
      </c>
      <c r="R20" s="76"/>
      <c r="S20" s="76">
        <f>R20*16</f>
        <v>0</v>
      </c>
      <c r="T20" s="77">
        <f t="shared" si="4"/>
        <v>4</v>
      </c>
      <c r="U20" s="78">
        <f t="shared" si="4"/>
        <v>64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</row>
    <row r="21" spans="1:33" ht="16.5" customHeight="1">
      <c r="A21" s="17"/>
      <c r="B21" s="253"/>
      <c r="C21" s="254"/>
      <c r="D21" s="74" t="s">
        <v>238</v>
      </c>
      <c r="E21" s="75" t="s">
        <v>239</v>
      </c>
      <c r="F21" s="74">
        <v>40</v>
      </c>
      <c r="G21" s="74">
        <v>2</v>
      </c>
      <c r="H21" s="76"/>
      <c r="I21" s="76">
        <f>H21*16</f>
        <v>0</v>
      </c>
      <c r="J21" s="76"/>
      <c r="K21" s="76">
        <f>J21*16</f>
        <v>0</v>
      </c>
      <c r="L21" s="76"/>
      <c r="M21" s="76">
        <f>L21*16</f>
        <v>0</v>
      </c>
      <c r="N21" s="76">
        <v>4</v>
      </c>
      <c r="O21" s="76">
        <f>N21*16</f>
        <v>64</v>
      </c>
      <c r="P21" s="76"/>
      <c r="Q21" s="76">
        <f>P21*16</f>
        <v>0</v>
      </c>
      <c r="R21" s="76"/>
      <c r="S21" s="76">
        <f>R21*16</f>
        <v>0</v>
      </c>
      <c r="T21" s="77">
        <f t="shared" si="4"/>
        <v>4</v>
      </c>
      <c r="U21" s="78">
        <f t="shared" si="4"/>
        <v>64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</row>
    <row r="22" spans="1:33" ht="18" customHeight="1">
      <c r="A22" s="17"/>
      <c r="B22" s="253"/>
      <c r="C22" s="254"/>
      <c r="D22" s="255" t="s">
        <v>214</v>
      </c>
      <c r="E22" s="255"/>
      <c r="F22" s="79"/>
      <c r="G22" s="79"/>
      <c r="H22" s="80">
        <f t="shared" ref="H22:U22" si="5">SUM(H18:H21)</f>
        <v>0</v>
      </c>
      <c r="I22" s="80">
        <f t="shared" si="5"/>
        <v>0</v>
      </c>
      <c r="J22" s="80">
        <f t="shared" si="5"/>
        <v>0</v>
      </c>
      <c r="K22" s="80">
        <f t="shared" si="5"/>
        <v>0</v>
      </c>
      <c r="L22" s="80">
        <f t="shared" si="5"/>
        <v>8</v>
      </c>
      <c r="M22" s="80">
        <f t="shared" si="5"/>
        <v>128</v>
      </c>
      <c r="N22" s="80">
        <f t="shared" si="5"/>
        <v>8</v>
      </c>
      <c r="O22" s="80">
        <f t="shared" si="5"/>
        <v>128</v>
      </c>
      <c r="P22" s="80">
        <f t="shared" si="5"/>
        <v>0</v>
      </c>
      <c r="Q22" s="80">
        <f t="shared" si="5"/>
        <v>0</v>
      </c>
      <c r="R22" s="80">
        <f t="shared" si="5"/>
        <v>0</v>
      </c>
      <c r="S22" s="80">
        <f t="shared" si="5"/>
        <v>0</v>
      </c>
      <c r="T22" s="81">
        <f t="shared" si="5"/>
        <v>16</v>
      </c>
      <c r="U22" s="81">
        <f t="shared" si="5"/>
        <v>256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</row>
    <row r="23" spans="1:33" ht="16.5" customHeight="1">
      <c r="A23" s="17"/>
      <c r="B23" s="253" t="s">
        <v>122</v>
      </c>
      <c r="C23" s="254">
        <v>18</v>
      </c>
      <c r="D23" s="69" t="s">
        <v>267</v>
      </c>
      <c r="E23" s="70" t="s">
        <v>241</v>
      </c>
      <c r="F23" s="69">
        <v>20</v>
      </c>
      <c r="G23" s="69">
        <v>2</v>
      </c>
      <c r="H23" s="71"/>
      <c r="I23" s="71">
        <f>H23*16</f>
        <v>0</v>
      </c>
      <c r="J23" s="71"/>
      <c r="K23" s="71">
        <f>J23*16</f>
        <v>0</v>
      </c>
      <c r="L23" s="71"/>
      <c r="M23" s="71">
        <f>L23*16</f>
        <v>0</v>
      </c>
      <c r="N23" s="71"/>
      <c r="O23" s="71">
        <f>N23*16</f>
        <v>0</v>
      </c>
      <c r="P23" s="71">
        <v>4</v>
      </c>
      <c r="Q23" s="71">
        <f>P23*16</f>
        <v>64</v>
      </c>
      <c r="R23" s="71"/>
      <c r="S23" s="71">
        <f>R23*16</f>
        <v>0</v>
      </c>
      <c r="T23" s="72">
        <f t="shared" ref="T23:U26" si="6">SUM(H23,J23,L23,N23,P23,R23)</f>
        <v>4</v>
      </c>
      <c r="U23" s="73">
        <f t="shared" si="6"/>
        <v>64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</row>
    <row r="24" spans="1:33" ht="16.5" customHeight="1">
      <c r="A24" s="17"/>
      <c r="B24" s="253"/>
      <c r="C24" s="254"/>
      <c r="D24" s="74" t="s">
        <v>268</v>
      </c>
      <c r="E24" s="75"/>
      <c r="F24" s="82"/>
      <c r="G24" s="82"/>
      <c r="H24" s="76"/>
      <c r="I24" s="76">
        <f>H24*16</f>
        <v>0</v>
      </c>
      <c r="J24" s="76"/>
      <c r="K24" s="76">
        <f>J24*16</f>
        <v>0</v>
      </c>
      <c r="L24" s="76"/>
      <c r="M24" s="76">
        <f>L24*16</f>
        <v>0</v>
      </c>
      <c r="N24" s="76"/>
      <c r="O24" s="76">
        <f>N24*16</f>
        <v>0</v>
      </c>
      <c r="P24" s="76">
        <v>5</v>
      </c>
      <c r="Q24" s="76">
        <f>P24*16</f>
        <v>80</v>
      </c>
      <c r="R24" s="76"/>
      <c r="S24" s="76">
        <f>R24*16</f>
        <v>0</v>
      </c>
      <c r="T24" s="77">
        <f t="shared" si="6"/>
        <v>5</v>
      </c>
      <c r="U24" s="78">
        <f t="shared" si="6"/>
        <v>80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</row>
    <row r="25" spans="1:33" ht="16.5" customHeight="1">
      <c r="A25" s="17"/>
      <c r="B25" s="253"/>
      <c r="C25" s="254"/>
      <c r="D25" s="74" t="s">
        <v>269</v>
      </c>
      <c r="E25" s="75" t="s">
        <v>270</v>
      </c>
      <c r="F25" s="152">
        <v>20</v>
      </c>
      <c r="G25" s="152">
        <v>3</v>
      </c>
      <c r="H25" s="76"/>
      <c r="I25" s="76">
        <f>H25*16</f>
        <v>0</v>
      </c>
      <c r="J25" s="76"/>
      <c r="K25" s="76">
        <f>J25*16</f>
        <v>0</v>
      </c>
      <c r="L25" s="76"/>
      <c r="M25" s="76">
        <f>L25*16</f>
        <v>0</v>
      </c>
      <c r="N25" s="76"/>
      <c r="O25" s="76">
        <f>N25*16</f>
        <v>0</v>
      </c>
      <c r="P25" s="76"/>
      <c r="Q25" s="76">
        <f>P25*16</f>
        <v>0</v>
      </c>
      <c r="R25" s="76">
        <v>4</v>
      </c>
      <c r="S25" s="76">
        <f>R25*16</f>
        <v>64</v>
      </c>
      <c r="T25" s="77">
        <f t="shared" si="6"/>
        <v>4</v>
      </c>
      <c r="U25" s="78">
        <f t="shared" si="6"/>
        <v>64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</row>
    <row r="26" spans="1:33" ht="16.5" customHeight="1">
      <c r="A26" s="17"/>
      <c r="B26" s="253"/>
      <c r="C26" s="254"/>
      <c r="D26" s="74" t="s">
        <v>268</v>
      </c>
      <c r="E26" s="75"/>
      <c r="F26" s="82"/>
      <c r="G26" s="82"/>
      <c r="H26" s="76"/>
      <c r="I26" s="76">
        <f>H26*16</f>
        <v>0</v>
      </c>
      <c r="J26" s="76"/>
      <c r="K26" s="76">
        <f>J26*16</f>
        <v>0</v>
      </c>
      <c r="L26" s="76"/>
      <c r="M26" s="76">
        <f>L26*16</f>
        <v>0</v>
      </c>
      <c r="N26" s="76"/>
      <c r="O26" s="76">
        <f>N26*16</f>
        <v>0</v>
      </c>
      <c r="P26" s="76"/>
      <c r="Q26" s="76">
        <f>P26*16</f>
        <v>0</v>
      </c>
      <c r="R26" s="76">
        <v>5</v>
      </c>
      <c r="S26" s="76">
        <f>R26*16</f>
        <v>80</v>
      </c>
      <c r="T26" s="77">
        <f t="shared" si="6"/>
        <v>5</v>
      </c>
      <c r="U26" s="78">
        <f t="shared" si="6"/>
        <v>80</v>
      </c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</row>
    <row r="27" spans="1:33" ht="18" customHeight="1">
      <c r="A27" s="17"/>
      <c r="B27" s="253"/>
      <c r="C27" s="254"/>
      <c r="D27" s="255" t="s">
        <v>214</v>
      </c>
      <c r="E27" s="255"/>
      <c r="F27" s="79"/>
      <c r="G27" s="79"/>
      <c r="H27" s="80">
        <f t="shared" ref="H27:U27" si="7">SUM(H23:H26)</f>
        <v>0</v>
      </c>
      <c r="I27" s="80">
        <f t="shared" si="7"/>
        <v>0</v>
      </c>
      <c r="J27" s="80">
        <f t="shared" si="7"/>
        <v>0</v>
      </c>
      <c r="K27" s="80">
        <f t="shared" si="7"/>
        <v>0</v>
      </c>
      <c r="L27" s="80">
        <f t="shared" si="7"/>
        <v>0</v>
      </c>
      <c r="M27" s="80">
        <f t="shared" si="7"/>
        <v>0</v>
      </c>
      <c r="N27" s="80">
        <f t="shared" si="7"/>
        <v>0</v>
      </c>
      <c r="O27" s="80">
        <f t="shared" si="7"/>
        <v>0</v>
      </c>
      <c r="P27" s="80">
        <f t="shared" si="7"/>
        <v>9</v>
      </c>
      <c r="Q27" s="80">
        <f t="shared" si="7"/>
        <v>144</v>
      </c>
      <c r="R27" s="80">
        <f t="shared" si="7"/>
        <v>9</v>
      </c>
      <c r="S27" s="80">
        <f t="shared" si="7"/>
        <v>144</v>
      </c>
      <c r="T27" s="81">
        <f t="shared" si="7"/>
        <v>18</v>
      </c>
      <c r="U27" s="81">
        <f t="shared" si="7"/>
        <v>288</v>
      </c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</row>
    <row r="28" spans="1:33" ht="16.5" customHeight="1">
      <c r="A28" s="17"/>
      <c r="B28" s="253" t="s">
        <v>121</v>
      </c>
      <c r="C28" s="254">
        <v>7</v>
      </c>
      <c r="D28" s="69" t="s">
        <v>271</v>
      </c>
      <c r="E28" s="70" t="s">
        <v>667</v>
      </c>
      <c r="F28" s="153">
        <v>20</v>
      </c>
      <c r="G28" s="153">
        <v>2</v>
      </c>
      <c r="H28" s="71"/>
      <c r="I28" s="71">
        <f>H28*16</f>
        <v>0</v>
      </c>
      <c r="J28" s="71"/>
      <c r="K28" s="71">
        <f>J28*16</f>
        <v>0</v>
      </c>
      <c r="L28" s="71"/>
      <c r="M28" s="71">
        <f>L28*16</f>
        <v>0</v>
      </c>
      <c r="N28" s="71"/>
      <c r="O28" s="71">
        <f>N28*16</f>
        <v>0</v>
      </c>
      <c r="P28" s="71">
        <v>3</v>
      </c>
      <c r="Q28" s="71">
        <f>P28*16</f>
        <v>48</v>
      </c>
      <c r="R28" s="71"/>
      <c r="S28" s="71">
        <f>R28*16</f>
        <v>0</v>
      </c>
      <c r="T28" s="72">
        <f>SUM(H28,J28,L28,N28,P28,R28)</f>
        <v>3</v>
      </c>
      <c r="U28" s="73">
        <f>SUM(I28,K28,M28,O28,Q28,S28)</f>
        <v>48</v>
      </c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</row>
    <row r="29" spans="1:33" ht="16.5" customHeight="1">
      <c r="A29" s="17"/>
      <c r="B29" s="253"/>
      <c r="C29" s="254"/>
      <c r="D29" s="74" t="s">
        <v>217</v>
      </c>
      <c r="E29" s="75" t="s">
        <v>272</v>
      </c>
      <c r="F29" s="152">
        <v>16</v>
      </c>
      <c r="G29" s="152">
        <v>3</v>
      </c>
      <c r="H29" s="76"/>
      <c r="I29" s="76">
        <f>H29*16</f>
        <v>0</v>
      </c>
      <c r="J29" s="76"/>
      <c r="K29" s="76">
        <f>J29*16</f>
        <v>0</v>
      </c>
      <c r="L29" s="76"/>
      <c r="M29" s="76">
        <f>L29*16</f>
        <v>0</v>
      </c>
      <c r="N29" s="76"/>
      <c r="O29" s="76">
        <f>N29*16</f>
        <v>0</v>
      </c>
      <c r="P29" s="76"/>
      <c r="Q29" s="76">
        <f>P29*16</f>
        <v>0</v>
      </c>
      <c r="R29" s="76">
        <v>4</v>
      </c>
      <c r="S29" s="76">
        <f>R29*16</f>
        <v>64</v>
      </c>
      <c r="T29" s="77">
        <f>SUM(H29,J29,L29,N29,P29,R29)</f>
        <v>4</v>
      </c>
      <c r="U29" s="78">
        <f>SUM(I29,K29,M29,O29,Q29,S29)</f>
        <v>64</v>
      </c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</row>
    <row r="30" spans="1:33" ht="18" customHeight="1">
      <c r="A30" s="17"/>
      <c r="B30" s="253"/>
      <c r="C30" s="254"/>
      <c r="D30" s="255" t="s">
        <v>214</v>
      </c>
      <c r="E30" s="255"/>
      <c r="F30" s="79"/>
      <c r="G30" s="79"/>
      <c r="H30" s="80">
        <f t="shared" ref="H30:U30" si="8">SUM(H28:H29)</f>
        <v>0</v>
      </c>
      <c r="I30" s="80">
        <f t="shared" si="8"/>
        <v>0</v>
      </c>
      <c r="J30" s="80">
        <f t="shared" si="8"/>
        <v>0</v>
      </c>
      <c r="K30" s="80">
        <f t="shared" si="8"/>
        <v>0</v>
      </c>
      <c r="L30" s="80">
        <f t="shared" si="8"/>
        <v>0</v>
      </c>
      <c r="M30" s="80">
        <f t="shared" si="8"/>
        <v>0</v>
      </c>
      <c r="N30" s="80">
        <f t="shared" si="8"/>
        <v>0</v>
      </c>
      <c r="O30" s="80">
        <f t="shared" si="8"/>
        <v>0</v>
      </c>
      <c r="P30" s="80">
        <f t="shared" si="8"/>
        <v>3</v>
      </c>
      <c r="Q30" s="80">
        <f t="shared" si="8"/>
        <v>48</v>
      </c>
      <c r="R30" s="80">
        <f t="shared" si="8"/>
        <v>4</v>
      </c>
      <c r="S30" s="80">
        <f t="shared" si="8"/>
        <v>64</v>
      </c>
      <c r="T30" s="81">
        <f t="shared" si="8"/>
        <v>7</v>
      </c>
      <c r="U30" s="81">
        <f t="shared" si="8"/>
        <v>112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</row>
    <row r="31" spans="1:33" ht="16.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</row>
    <row r="32" spans="1:33" ht="16.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</row>
    <row r="33" spans="1:33" ht="16.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</row>
    <row r="34" spans="1:33" ht="16.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</row>
    <row r="35" spans="1:33" ht="16.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</row>
    <row r="36" spans="1:33" ht="16.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</row>
    <row r="37" spans="1:33" ht="16.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</row>
    <row r="38" spans="1:33" ht="16.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</row>
    <row r="39" spans="1:33" ht="16.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</row>
    <row r="40" spans="1:33" ht="16.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</row>
    <row r="41" spans="1:33" ht="16.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</row>
    <row r="42" spans="1:33" ht="16.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</row>
    <row r="43" spans="1:33" ht="16.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</row>
    <row r="44" spans="1:33" ht="16.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</row>
    <row r="45" spans="1:33" ht="16.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</row>
    <row r="46" spans="1:33" ht="16.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</row>
    <row r="47" spans="1:33" ht="16.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</row>
    <row r="48" spans="1:33" ht="16.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</row>
    <row r="49" spans="1:33" ht="16.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</row>
    <row r="50" spans="1:33" ht="16.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</row>
    <row r="51" spans="1:33" ht="16.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</row>
    <row r="52" spans="1:33" ht="16.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</row>
    <row r="53" spans="1:33" ht="16.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</row>
    <row r="54" spans="1:33" ht="16.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</row>
    <row r="55" spans="1:33" ht="16.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</row>
    <row r="56" spans="1:33" ht="16.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</row>
    <row r="57" spans="1:33" ht="16.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</row>
    <row r="58" spans="1:33" ht="16.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</row>
    <row r="59" spans="1:33" ht="16.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</row>
    <row r="60" spans="1:33" ht="16.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</row>
    <row r="61" spans="1:33" ht="16.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</row>
    <row r="62" spans="1:33" ht="16.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</row>
    <row r="63" spans="1:33" ht="16.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</row>
    <row r="64" spans="1:33" ht="16.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</row>
    <row r="65" spans="1:33" ht="16.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</row>
    <row r="66" spans="1:33" ht="16.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</row>
    <row r="67" spans="1:33" ht="16.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</row>
    <row r="68" spans="1:33" ht="16.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</row>
    <row r="69" spans="1:33" ht="16.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</row>
  </sheetData>
  <mergeCells count="40">
    <mergeCell ref="B28:B30"/>
    <mergeCell ref="C28:C30"/>
    <mergeCell ref="D30:E30"/>
    <mergeCell ref="B18:B22"/>
    <mergeCell ref="C18:C22"/>
    <mergeCell ref="D22:E22"/>
    <mergeCell ref="B23:B27"/>
    <mergeCell ref="C23:C27"/>
    <mergeCell ref="D27:E27"/>
    <mergeCell ref="B9:B12"/>
    <mergeCell ref="C9:C12"/>
    <mergeCell ref="D12:E12"/>
    <mergeCell ref="B13:B17"/>
    <mergeCell ref="C13:C17"/>
    <mergeCell ref="D17:E17"/>
    <mergeCell ref="T6:T8"/>
    <mergeCell ref="U6:U8"/>
    <mergeCell ref="H7:I7"/>
    <mergeCell ref="J7:K7"/>
    <mergeCell ref="L7:M7"/>
    <mergeCell ref="N7:O7"/>
    <mergeCell ref="P7:Q7"/>
    <mergeCell ref="R7:S7"/>
    <mergeCell ref="F6:F8"/>
    <mergeCell ref="G6:G8"/>
    <mergeCell ref="H6:K6"/>
    <mergeCell ref="L6:O6"/>
    <mergeCell ref="P6:S6"/>
    <mergeCell ref="B5:C5"/>
    <mergeCell ref="B6:B8"/>
    <mergeCell ref="C6:C8"/>
    <mergeCell ref="D6:D8"/>
    <mergeCell ref="E6:E8"/>
    <mergeCell ref="B2:U2"/>
    <mergeCell ref="N3:P3"/>
    <mergeCell ref="Q3:S3"/>
    <mergeCell ref="T3:U3"/>
    <mergeCell ref="N4:P4"/>
    <mergeCell ref="Q4:S4"/>
    <mergeCell ref="T4:U4"/>
  </mergeCells>
  <phoneticPr fontId="41" type="noConversion"/>
  <pageMargins left="0.70833333333333304" right="0.70833333333333304" top="0.74791666666666701" bottom="0.74791666666666701" header="0.511811023622047" footer="0.511811023622047"/>
  <pageSetup paperSize="9"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AG69"/>
  <sheetViews>
    <sheetView zoomScale="91" zoomScaleNormal="91" workbookViewId="0">
      <selection activeCell="B31" sqref="B31:U31"/>
    </sheetView>
  </sheetViews>
  <sheetFormatPr defaultColWidth="7.25" defaultRowHeight="16.5"/>
  <cols>
    <col min="1" max="1" width="2.625" style="64" customWidth="1"/>
    <col min="2" max="2" width="10" style="64" customWidth="1"/>
    <col min="3" max="3" width="4.75" style="64" customWidth="1"/>
    <col min="4" max="4" width="16.125" style="64" customWidth="1"/>
    <col min="5" max="5" width="16.25" style="65" customWidth="1"/>
    <col min="6" max="6" width="7.75" style="65" customWidth="1"/>
    <col min="7" max="7" width="9.125" style="64" customWidth="1"/>
    <col min="8" max="19" width="7.5" style="64" bestFit="1" customWidth="1"/>
    <col min="20" max="20" width="5.625" style="64" customWidth="1"/>
    <col min="21" max="21" width="6" style="64" customWidth="1"/>
  </cols>
  <sheetData>
    <row r="2" spans="1:33" ht="39.75" customHeight="1">
      <c r="B2" s="239" t="s">
        <v>190</v>
      </c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</row>
    <row r="3" spans="1:33" ht="27" customHeight="1"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240" t="s">
        <v>7</v>
      </c>
      <c r="O3" s="240"/>
      <c r="P3" s="240"/>
      <c r="Q3" s="240" t="s">
        <v>15</v>
      </c>
      <c r="R3" s="240"/>
      <c r="S3" s="240"/>
      <c r="T3" s="241" t="s">
        <v>1</v>
      </c>
      <c r="U3" s="241"/>
    </row>
    <row r="4" spans="1:33" ht="30" customHeight="1" thickBot="1"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242" t="s">
        <v>22</v>
      </c>
      <c r="O4" s="242"/>
      <c r="P4" s="242"/>
      <c r="Q4" s="256" t="s">
        <v>273</v>
      </c>
      <c r="R4" s="256"/>
      <c r="S4" s="256"/>
      <c r="T4" s="244">
        <v>2027</v>
      </c>
      <c r="U4" s="244"/>
    </row>
    <row r="5" spans="1:33" ht="24" customHeight="1" thickBot="1">
      <c r="B5" s="245"/>
      <c r="C5" s="245"/>
    </row>
    <row r="6" spans="1:33" ht="20.25" customHeight="1" thickBot="1">
      <c r="B6" s="246" t="s">
        <v>192</v>
      </c>
      <c r="C6" s="247" t="s">
        <v>36</v>
      </c>
      <c r="D6" s="248" t="s">
        <v>193</v>
      </c>
      <c r="E6" s="248" t="s">
        <v>194</v>
      </c>
      <c r="F6" s="248" t="s">
        <v>195</v>
      </c>
      <c r="G6" s="248" t="s">
        <v>196</v>
      </c>
      <c r="H6" s="249" t="s">
        <v>197</v>
      </c>
      <c r="I6" s="249"/>
      <c r="J6" s="249"/>
      <c r="K6" s="249"/>
      <c r="L6" s="249" t="s">
        <v>198</v>
      </c>
      <c r="M6" s="249"/>
      <c r="N6" s="249"/>
      <c r="O6" s="249"/>
      <c r="P6" s="249" t="s">
        <v>199</v>
      </c>
      <c r="Q6" s="249"/>
      <c r="R6" s="249"/>
      <c r="S6" s="249"/>
      <c r="T6" s="250" t="s">
        <v>200</v>
      </c>
      <c r="U6" s="251" t="s">
        <v>201</v>
      </c>
      <c r="W6" s="67"/>
    </row>
    <row r="7" spans="1:33" ht="16.5" customHeight="1" thickBot="1">
      <c r="B7" s="246"/>
      <c r="C7" s="247"/>
      <c r="D7" s="247"/>
      <c r="E7" s="247"/>
      <c r="F7" s="247"/>
      <c r="G7" s="247"/>
      <c r="H7" s="252" t="s">
        <v>202</v>
      </c>
      <c r="I7" s="252"/>
      <c r="J7" s="252" t="s">
        <v>203</v>
      </c>
      <c r="K7" s="252"/>
      <c r="L7" s="252" t="s">
        <v>202</v>
      </c>
      <c r="M7" s="252"/>
      <c r="N7" s="252" t="s">
        <v>203</v>
      </c>
      <c r="O7" s="252"/>
      <c r="P7" s="252" t="s">
        <v>202</v>
      </c>
      <c r="Q7" s="252"/>
      <c r="R7" s="252" t="s">
        <v>203</v>
      </c>
      <c r="S7" s="252"/>
      <c r="T7" s="250"/>
      <c r="U7" s="251"/>
      <c r="W7" s="67"/>
    </row>
    <row r="8" spans="1:33" ht="17.25" customHeight="1" thickBot="1">
      <c r="B8" s="246"/>
      <c r="C8" s="247"/>
      <c r="D8" s="247"/>
      <c r="E8" s="247"/>
      <c r="F8" s="247"/>
      <c r="G8" s="247"/>
      <c r="H8" s="68" t="s">
        <v>204</v>
      </c>
      <c r="I8" s="68" t="s">
        <v>205</v>
      </c>
      <c r="J8" s="68" t="s">
        <v>204</v>
      </c>
      <c r="K8" s="68" t="s">
        <v>205</v>
      </c>
      <c r="L8" s="68" t="s">
        <v>204</v>
      </c>
      <c r="M8" s="68" t="s">
        <v>205</v>
      </c>
      <c r="N8" s="68" t="s">
        <v>204</v>
      </c>
      <c r="O8" s="68" t="s">
        <v>205</v>
      </c>
      <c r="P8" s="68" t="s">
        <v>204</v>
      </c>
      <c r="Q8" s="68" t="s">
        <v>205</v>
      </c>
      <c r="R8" s="68" t="s">
        <v>204</v>
      </c>
      <c r="S8" s="68" t="s">
        <v>205</v>
      </c>
      <c r="T8" s="250"/>
      <c r="U8" s="251"/>
      <c r="W8" s="67"/>
    </row>
    <row r="9" spans="1:33" ht="16.5" customHeight="1" thickBot="1">
      <c r="A9" s="17"/>
      <c r="B9" s="253" t="s">
        <v>119</v>
      </c>
      <c r="C9" s="254">
        <v>8</v>
      </c>
      <c r="D9" s="69" t="s">
        <v>206</v>
      </c>
      <c r="E9" s="70" t="s">
        <v>207</v>
      </c>
      <c r="F9" s="69">
        <v>40</v>
      </c>
      <c r="G9" s="69">
        <v>2</v>
      </c>
      <c r="H9" s="71"/>
      <c r="I9" s="71">
        <f>H9*16</f>
        <v>0</v>
      </c>
      <c r="J9" s="71"/>
      <c r="K9" s="71">
        <f>J9*16</f>
        <v>0</v>
      </c>
      <c r="L9" s="71"/>
      <c r="M9" s="71">
        <f>L9*16</f>
        <v>0</v>
      </c>
      <c r="N9" s="71"/>
      <c r="O9" s="71">
        <f>N9*16</f>
        <v>0</v>
      </c>
      <c r="P9" s="71">
        <v>1</v>
      </c>
      <c r="Q9" s="71">
        <f>P9*16</f>
        <v>16</v>
      </c>
      <c r="R9" s="71"/>
      <c r="S9" s="71">
        <f>R9*16</f>
        <v>0</v>
      </c>
      <c r="T9" s="72">
        <f t="shared" ref="T9:U12" si="0">SUM(H9,J9,L9,N9,P9,R9)</f>
        <v>1</v>
      </c>
      <c r="U9" s="73">
        <f t="shared" si="0"/>
        <v>16</v>
      </c>
      <c r="V9" s="17"/>
      <c r="W9" s="17"/>
    </row>
    <row r="10" spans="1:33" ht="16.5" customHeight="1" thickBot="1">
      <c r="A10" s="17"/>
      <c r="B10" s="253"/>
      <c r="C10" s="254"/>
      <c r="D10" s="74" t="s">
        <v>208</v>
      </c>
      <c r="E10" s="75" t="s">
        <v>209</v>
      </c>
      <c r="F10" s="74">
        <v>45</v>
      </c>
      <c r="G10" s="74">
        <v>3</v>
      </c>
      <c r="H10" s="76"/>
      <c r="I10" s="76">
        <f>H10*16</f>
        <v>0</v>
      </c>
      <c r="J10" s="76"/>
      <c r="K10" s="76">
        <f>J10*16</f>
        <v>0</v>
      </c>
      <c r="L10" s="76"/>
      <c r="M10" s="76">
        <f>L10*16</f>
        <v>0</v>
      </c>
      <c r="N10" s="76"/>
      <c r="O10" s="76">
        <f>N10*16</f>
        <v>0</v>
      </c>
      <c r="P10" s="76">
        <v>3</v>
      </c>
      <c r="Q10" s="76">
        <f>P10*16</f>
        <v>48</v>
      </c>
      <c r="R10" s="76"/>
      <c r="S10" s="76">
        <f>R10*16</f>
        <v>0</v>
      </c>
      <c r="T10" s="77">
        <f t="shared" si="0"/>
        <v>3</v>
      </c>
      <c r="U10" s="78">
        <f t="shared" si="0"/>
        <v>48</v>
      </c>
      <c r="V10" s="17"/>
      <c r="W10" s="17"/>
    </row>
    <row r="11" spans="1:33" ht="16.5" customHeight="1" thickBot="1">
      <c r="A11" s="17"/>
      <c r="B11" s="253"/>
      <c r="C11" s="254"/>
      <c r="D11" s="74" t="s">
        <v>210</v>
      </c>
      <c r="E11" s="75" t="s">
        <v>211</v>
      </c>
      <c r="F11" s="152">
        <v>30</v>
      </c>
      <c r="G11" s="152">
        <v>2</v>
      </c>
      <c r="H11" s="76"/>
      <c r="I11" s="76">
        <f>H11*16</f>
        <v>0</v>
      </c>
      <c r="J11" s="76"/>
      <c r="K11" s="76">
        <f>J11*16</f>
        <v>0</v>
      </c>
      <c r="L11" s="76"/>
      <c r="M11" s="76">
        <f>L11*16</f>
        <v>0</v>
      </c>
      <c r="N11" s="76"/>
      <c r="O11" s="76">
        <f>N11*16</f>
        <v>0</v>
      </c>
      <c r="P11" s="76"/>
      <c r="Q11" s="76">
        <f>P11*16</f>
        <v>0</v>
      </c>
      <c r="R11" s="76">
        <v>2</v>
      </c>
      <c r="S11" s="76">
        <f>R11*16</f>
        <v>32</v>
      </c>
      <c r="T11" s="77">
        <f t="shared" si="0"/>
        <v>2</v>
      </c>
      <c r="U11" s="78">
        <f t="shared" si="0"/>
        <v>32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6.5" customHeight="1">
      <c r="A12" s="17"/>
      <c r="B12" s="253"/>
      <c r="C12" s="254"/>
      <c r="D12" s="74" t="s">
        <v>212</v>
      </c>
      <c r="E12" s="75" t="s">
        <v>213</v>
      </c>
      <c r="F12" s="74">
        <v>20</v>
      </c>
      <c r="G12" s="74">
        <v>2</v>
      </c>
      <c r="H12" s="76"/>
      <c r="I12" s="76">
        <f>H12*16</f>
        <v>0</v>
      </c>
      <c r="J12" s="76"/>
      <c r="K12" s="76">
        <f>J12*16</f>
        <v>0</v>
      </c>
      <c r="L12" s="76"/>
      <c r="M12" s="76">
        <f>L12*16</f>
        <v>0</v>
      </c>
      <c r="N12" s="76"/>
      <c r="O12" s="76">
        <f>N12*16</f>
        <v>0</v>
      </c>
      <c r="P12" s="76"/>
      <c r="Q12" s="76">
        <f>P12*16</f>
        <v>0</v>
      </c>
      <c r="R12" s="76">
        <v>2</v>
      </c>
      <c r="S12" s="76">
        <f>R12*16</f>
        <v>32</v>
      </c>
      <c r="T12" s="77">
        <f t="shared" si="0"/>
        <v>2</v>
      </c>
      <c r="U12" s="78">
        <f t="shared" si="0"/>
        <v>32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3" spans="1:33" ht="18" customHeight="1">
      <c r="A13" s="17"/>
      <c r="B13" s="253"/>
      <c r="C13" s="254"/>
      <c r="D13" s="255" t="s">
        <v>214</v>
      </c>
      <c r="E13" s="255"/>
      <c r="F13" s="79"/>
      <c r="G13" s="79"/>
      <c r="H13" s="80">
        <f t="shared" ref="H13:U13" si="1">SUM(H9:H12)</f>
        <v>0</v>
      </c>
      <c r="I13" s="80">
        <f t="shared" si="1"/>
        <v>0</v>
      </c>
      <c r="J13" s="80">
        <f t="shared" si="1"/>
        <v>0</v>
      </c>
      <c r="K13" s="80">
        <f t="shared" si="1"/>
        <v>0</v>
      </c>
      <c r="L13" s="80">
        <f t="shared" si="1"/>
        <v>0</v>
      </c>
      <c r="M13" s="80">
        <f>SUM(M9:M12)</f>
        <v>0</v>
      </c>
      <c r="N13" s="80">
        <f t="shared" si="1"/>
        <v>0</v>
      </c>
      <c r="O13" s="80">
        <f t="shared" si="1"/>
        <v>0</v>
      </c>
      <c r="P13" s="80">
        <f t="shared" si="1"/>
        <v>4</v>
      </c>
      <c r="Q13" s="80">
        <f t="shared" si="1"/>
        <v>64</v>
      </c>
      <c r="R13" s="80">
        <f t="shared" si="1"/>
        <v>4</v>
      </c>
      <c r="S13" s="80">
        <f t="shared" si="1"/>
        <v>64</v>
      </c>
      <c r="T13" s="81">
        <f t="shared" si="1"/>
        <v>8</v>
      </c>
      <c r="U13" s="81">
        <f t="shared" si="1"/>
        <v>128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</row>
    <row r="14" spans="1:33" ht="16.5" customHeight="1">
      <c r="A14" s="17"/>
      <c r="B14" s="253" t="s">
        <v>121</v>
      </c>
      <c r="C14" s="254">
        <v>7</v>
      </c>
      <c r="D14" s="69" t="s">
        <v>215</v>
      </c>
      <c r="E14" s="70" t="s">
        <v>216</v>
      </c>
      <c r="F14" s="69">
        <v>24</v>
      </c>
      <c r="G14" s="69">
        <v>5</v>
      </c>
      <c r="H14" s="71"/>
      <c r="I14" s="71">
        <f>H14*16</f>
        <v>0</v>
      </c>
      <c r="J14" s="71"/>
      <c r="K14" s="71">
        <f>J14*16</f>
        <v>0</v>
      </c>
      <c r="L14" s="71"/>
      <c r="M14" s="71">
        <f>L14*16</f>
        <v>0</v>
      </c>
      <c r="N14" s="71"/>
      <c r="O14" s="71">
        <f>N14*16</f>
        <v>0</v>
      </c>
      <c r="P14" s="71">
        <v>3</v>
      </c>
      <c r="Q14" s="71">
        <f>P14*16</f>
        <v>48</v>
      </c>
      <c r="R14" s="71"/>
      <c r="S14" s="71">
        <f>R14*16</f>
        <v>0</v>
      </c>
      <c r="T14" s="72">
        <f t="shared" ref="T14:U16" si="2">SUM(H14,J14,L14,N14,P14,R14)</f>
        <v>3</v>
      </c>
      <c r="U14" s="73">
        <f t="shared" si="2"/>
        <v>48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</row>
    <row r="15" spans="1:33" ht="16.5" customHeight="1">
      <c r="A15" s="17"/>
      <c r="B15" s="253"/>
      <c r="C15" s="254"/>
      <c r="D15" s="74" t="s">
        <v>217</v>
      </c>
      <c r="E15" s="75" t="s">
        <v>218</v>
      </c>
      <c r="F15" s="74">
        <v>16</v>
      </c>
      <c r="G15" s="74">
        <v>3</v>
      </c>
      <c r="H15" s="76"/>
      <c r="I15" s="76">
        <f>H15*16</f>
        <v>0</v>
      </c>
      <c r="J15" s="76"/>
      <c r="K15" s="76">
        <f>J15*16</f>
        <v>0</v>
      </c>
      <c r="L15" s="76"/>
      <c r="M15" s="76">
        <f>L15*16</f>
        <v>0</v>
      </c>
      <c r="N15" s="76"/>
      <c r="O15" s="76">
        <f>N15*16</f>
        <v>0</v>
      </c>
      <c r="P15" s="76"/>
      <c r="Q15" s="76">
        <f>P15*16</f>
        <v>0</v>
      </c>
      <c r="R15" s="76">
        <v>2</v>
      </c>
      <c r="S15" s="76">
        <f>R15*16</f>
        <v>32</v>
      </c>
      <c r="T15" s="77">
        <f t="shared" si="2"/>
        <v>2</v>
      </c>
      <c r="U15" s="78">
        <f t="shared" si="2"/>
        <v>32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</row>
    <row r="16" spans="1:33" ht="16.5" customHeight="1">
      <c r="A16" s="17"/>
      <c r="B16" s="253"/>
      <c r="C16" s="254"/>
      <c r="D16" s="74" t="s">
        <v>219</v>
      </c>
      <c r="E16" s="75" t="s">
        <v>220</v>
      </c>
      <c r="F16" s="74">
        <v>16</v>
      </c>
      <c r="G16" s="74">
        <v>2</v>
      </c>
      <c r="H16" s="76"/>
      <c r="I16" s="76">
        <f>H16*16</f>
        <v>0</v>
      </c>
      <c r="J16" s="76"/>
      <c r="K16" s="76">
        <f>J16*16</f>
        <v>0</v>
      </c>
      <c r="L16" s="76"/>
      <c r="M16" s="76">
        <f>L16*16</f>
        <v>0</v>
      </c>
      <c r="N16" s="76"/>
      <c r="O16" s="76">
        <f>N16*16</f>
        <v>0</v>
      </c>
      <c r="P16" s="76"/>
      <c r="Q16" s="76">
        <f>P16*16</f>
        <v>0</v>
      </c>
      <c r="R16" s="76">
        <v>2</v>
      </c>
      <c r="S16" s="76">
        <f>R16*16</f>
        <v>32</v>
      </c>
      <c r="T16" s="77">
        <f t="shared" si="2"/>
        <v>2</v>
      </c>
      <c r="U16" s="78">
        <f t="shared" si="2"/>
        <v>32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</row>
    <row r="17" spans="1:33" ht="18" customHeight="1">
      <c r="A17" s="17"/>
      <c r="B17" s="253"/>
      <c r="C17" s="254"/>
      <c r="D17" s="255" t="s">
        <v>214</v>
      </c>
      <c r="E17" s="255"/>
      <c r="F17" s="79"/>
      <c r="G17" s="79"/>
      <c r="H17" s="80">
        <f t="shared" ref="H17:U17" si="3">SUM(H14:H16)</f>
        <v>0</v>
      </c>
      <c r="I17" s="80">
        <f t="shared" si="3"/>
        <v>0</v>
      </c>
      <c r="J17" s="80">
        <f t="shared" si="3"/>
        <v>0</v>
      </c>
      <c r="K17" s="80">
        <f t="shared" si="3"/>
        <v>0</v>
      </c>
      <c r="L17" s="80">
        <f t="shared" si="3"/>
        <v>0</v>
      </c>
      <c r="M17" s="80">
        <f t="shared" si="3"/>
        <v>0</v>
      </c>
      <c r="N17" s="80">
        <f t="shared" si="3"/>
        <v>0</v>
      </c>
      <c r="O17" s="80">
        <f t="shared" si="3"/>
        <v>0</v>
      </c>
      <c r="P17" s="80">
        <f t="shared" si="3"/>
        <v>3</v>
      </c>
      <c r="Q17" s="80">
        <f t="shared" si="3"/>
        <v>48</v>
      </c>
      <c r="R17" s="80">
        <f t="shared" si="3"/>
        <v>4</v>
      </c>
      <c r="S17" s="80">
        <f t="shared" si="3"/>
        <v>64</v>
      </c>
      <c r="T17" s="81">
        <f t="shared" si="3"/>
        <v>7</v>
      </c>
      <c r="U17" s="81">
        <f t="shared" si="3"/>
        <v>112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</row>
    <row r="18" spans="1:33" ht="16.5" customHeight="1">
      <c r="A18" s="17"/>
      <c r="B18" s="253" t="s">
        <v>166</v>
      </c>
      <c r="C18" s="254">
        <v>4</v>
      </c>
      <c r="D18" s="69" t="s">
        <v>274</v>
      </c>
      <c r="E18" s="70" t="s">
        <v>275</v>
      </c>
      <c r="F18" s="69">
        <v>16</v>
      </c>
      <c r="G18" s="69">
        <v>3</v>
      </c>
      <c r="H18" s="71"/>
      <c r="I18" s="71">
        <f>H18*16</f>
        <v>0</v>
      </c>
      <c r="J18" s="71"/>
      <c r="K18" s="71">
        <f>J18*16</f>
        <v>0</v>
      </c>
      <c r="L18" s="71"/>
      <c r="M18" s="71">
        <f>L18*16</f>
        <v>0</v>
      </c>
      <c r="N18" s="71"/>
      <c r="O18" s="71">
        <f>N18*16</f>
        <v>0</v>
      </c>
      <c r="P18" s="71">
        <v>2</v>
      </c>
      <c r="Q18" s="71">
        <f>P18*16</f>
        <v>32</v>
      </c>
      <c r="R18" s="71"/>
      <c r="S18" s="71">
        <f>R18*16</f>
        <v>0</v>
      </c>
      <c r="T18" s="72">
        <f>SUM(H18,J18,L18,N18,P18,R18)</f>
        <v>2</v>
      </c>
      <c r="U18" s="73">
        <f>SUM(I18,K18,M18,O18,Q18,S18)</f>
        <v>32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</row>
    <row r="19" spans="1:33" ht="16.5" customHeight="1">
      <c r="A19" s="17"/>
      <c r="B19" s="253"/>
      <c r="C19" s="254"/>
      <c r="D19" s="74" t="s">
        <v>276</v>
      </c>
      <c r="E19" s="75" t="s">
        <v>277</v>
      </c>
      <c r="F19" s="74">
        <v>24</v>
      </c>
      <c r="G19" s="74">
        <v>4</v>
      </c>
      <c r="H19" s="76"/>
      <c r="I19" s="76">
        <f>H19*16</f>
        <v>0</v>
      </c>
      <c r="J19" s="76"/>
      <c r="K19" s="76">
        <f>J19*16</f>
        <v>0</v>
      </c>
      <c r="L19" s="76"/>
      <c r="M19" s="76">
        <f>L19*16</f>
        <v>0</v>
      </c>
      <c r="N19" s="76"/>
      <c r="O19" s="76">
        <f>N19*16</f>
        <v>0</v>
      </c>
      <c r="P19" s="76">
        <v>2</v>
      </c>
      <c r="Q19" s="76">
        <f>P19*16</f>
        <v>32</v>
      </c>
      <c r="R19" s="76"/>
      <c r="S19" s="76">
        <f>R19*16</f>
        <v>0</v>
      </c>
      <c r="T19" s="77">
        <f>SUM(H19,J19,L19,N19,P19,R19)</f>
        <v>2</v>
      </c>
      <c r="U19" s="78">
        <f>SUM(I19,K19,M19,O19,Q19,S19)</f>
        <v>32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</row>
    <row r="20" spans="1:33" ht="18" customHeight="1">
      <c r="A20" s="17"/>
      <c r="B20" s="253"/>
      <c r="C20" s="254"/>
      <c r="D20" s="255" t="s">
        <v>214</v>
      </c>
      <c r="E20" s="255"/>
      <c r="F20" s="79"/>
      <c r="G20" s="79"/>
      <c r="H20" s="80">
        <f t="shared" ref="H20:U20" si="4">SUM(H18:H19)</f>
        <v>0</v>
      </c>
      <c r="I20" s="80">
        <f t="shared" si="4"/>
        <v>0</v>
      </c>
      <c r="J20" s="80">
        <f t="shared" si="4"/>
        <v>0</v>
      </c>
      <c r="K20" s="80">
        <f t="shared" si="4"/>
        <v>0</v>
      </c>
      <c r="L20" s="80">
        <f t="shared" si="4"/>
        <v>0</v>
      </c>
      <c r="M20" s="80">
        <f t="shared" si="4"/>
        <v>0</v>
      </c>
      <c r="N20" s="80">
        <f t="shared" si="4"/>
        <v>0</v>
      </c>
      <c r="O20" s="80">
        <f t="shared" si="4"/>
        <v>0</v>
      </c>
      <c r="P20" s="80">
        <f t="shared" si="4"/>
        <v>4</v>
      </c>
      <c r="Q20" s="80">
        <f t="shared" si="4"/>
        <v>64</v>
      </c>
      <c r="R20" s="80">
        <f t="shared" si="4"/>
        <v>0</v>
      </c>
      <c r="S20" s="80">
        <f t="shared" si="4"/>
        <v>0</v>
      </c>
      <c r="T20" s="81">
        <f t="shared" si="4"/>
        <v>4</v>
      </c>
      <c r="U20" s="81">
        <f t="shared" si="4"/>
        <v>64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</row>
    <row r="21" spans="1:33" ht="16.5" customHeight="1">
      <c r="A21" s="17"/>
      <c r="B21" s="253" t="s">
        <v>120</v>
      </c>
      <c r="C21" s="254">
        <v>8</v>
      </c>
      <c r="D21" s="69" t="s">
        <v>221</v>
      </c>
      <c r="E21" s="70" t="s">
        <v>222</v>
      </c>
      <c r="F21" s="69">
        <v>80</v>
      </c>
      <c r="G21" s="69">
        <v>3</v>
      </c>
      <c r="H21" s="71"/>
      <c r="I21" s="71">
        <f>H21*16</f>
        <v>0</v>
      </c>
      <c r="J21" s="71"/>
      <c r="K21" s="71">
        <f>J21*16</f>
        <v>0</v>
      </c>
      <c r="L21" s="71"/>
      <c r="M21" s="71">
        <f>L21*16</f>
        <v>0</v>
      </c>
      <c r="N21" s="71"/>
      <c r="O21" s="71">
        <f>N21*16</f>
        <v>0</v>
      </c>
      <c r="P21" s="71">
        <v>4</v>
      </c>
      <c r="Q21" s="71">
        <f>P21*16</f>
        <v>64</v>
      </c>
      <c r="R21" s="71"/>
      <c r="S21" s="71">
        <f>R21*16</f>
        <v>0</v>
      </c>
      <c r="T21" s="72">
        <f t="shared" ref="T21:U23" si="5">SUM(H21,J21,L21,N21,P21,R21)</f>
        <v>4</v>
      </c>
      <c r="U21" s="73">
        <f t="shared" si="5"/>
        <v>64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</row>
    <row r="22" spans="1:33" ht="16.5" customHeight="1">
      <c r="A22" s="17"/>
      <c r="B22" s="253"/>
      <c r="C22" s="254"/>
      <c r="D22" s="74" t="s">
        <v>223</v>
      </c>
      <c r="E22" s="75" t="s">
        <v>224</v>
      </c>
      <c r="F22" s="74">
        <v>20</v>
      </c>
      <c r="G22" s="74">
        <v>3</v>
      </c>
      <c r="H22" s="76"/>
      <c r="I22" s="76">
        <f>H22*16</f>
        <v>0</v>
      </c>
      <c r="J22" s="76"/>
      <c r="K22" s="76">
        <f>J22*16</f>
        <v>0</v>
      </c>
      <c r="L22" s="76"/>
      <c r="M22" s="76">
        <f>L22*16</f>
        <v>0</v>
      </c>
      <c r="N22" s="76"/>
      <c r="O22" s="76">
        <f>N22*16</f>
        <v>0</v>
      </c>
      <c r="P22" s="76"/>
      <c r="Q22" s="76">
        <f>P22*16</f>
        <v>0</v>
      </c>
      <c r="R22" s="76">
        <v>2</v>
      </c>
      <c r="S22" s="76">
        <f>R22*16</f>
        <v>32</v>
      </c>
      <c r="T22" s="77">
        <f t="shared" si="5"/>
        <v>2</v>
      </c>
      <c r="U22" s="78">
        <f t="shared" si="5"/>
        <v>32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</row>
    <row r="23" spans="1:33" ht="16.5" customHeight="1">
      <c r="A23" s="17"/>
      <c r="B23" s="253"/>
      <c r="C23" s="254"/>
      <c r="D23" s="74" t="s">
        <v>225</v>
      </c>
      <c r="E23" s="75" t="s">
        <v>226</v>
      </c>
      <c r="F23" s="74">
        <v>20</v>
      </c>
      <c r="G23" s="74">
        <v>2</v>
      </c>
      <c r="H23" s="76"/>
      <c r="I23" s="76">
        <f>H23*16</f>
        <v>0</v>
      </c>
      <c r="J23" s="76"/>
      <c r="K23" s="76">
        <f>J23*16</f>
        <v>0</v>
      </c>
      <c r="L23" s="76"/>
      <c r="M23" s="76">
        <f>L23*16</f>
        <v>0</v>
      </c>
      <c r="N23" s="76"/>
      <c r="O23" s="76">
        <f>N23*16</f>
        <v>0</v>
      </c>
      <c r="P23" s="76"/>
      <c r="Q23" s="76">
        <f>P23*16</f>
        <v>0</v>
      </c>
      <c r="R23" s="76">
        <v>2</v>
      </c>
      <c r="S23" s="76">
        <f>R23*16</f>
        <v>32</v>
      </c>
      <c r="T23" s="77">
        <f t="shared" si="5"/>
        <v>2</v>
      </c>
      <c r="U23" s="78">
        <f t="shared" si="5"/>
        <v>32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</row>
    <row r="24" spans="1:33" ht="18" customHeight="1">
      <c r="A24" s="17"/>
      <c r="B24" s="253"/>
      <c r="C24" s="254"/>
      <c r="D24" s="255" t="s">
        <v>214</v>
      </c>
      <c r="E24" s="255"/>
      <c r="F24" s="79"/>
      <c r="G24" s="79"/>
      <c r="H24" s="80">
        <f t="shared" ref="H24:U24" si="6">SUM(H21:H23)</f>
        <v>0</v>
      </c>
      <c r="I24" s="80">
        <f t="shared" si="6"/>
        <v>0</v>
      </c>
      <c r="J24" s="80">
        <f t="shared" si="6"/>
        <v>0</v>
      </c>
      <c r="K24" s="80">
        <f t="shared" si="6"/>
        <v>0</v>
      </c>
      <c r="L24" s="80">
        <f t="shared" si="6"/>
        <v>0</v>
      </c>
      <c r="M24" s="80">
        <f t="shared" si="6"/>
        <v>0</v>
      </c>
      <c r="N24" s="80">
        <f t="shared" si="6"/>
        <v>0</v>
      </c>
      <c r="O24" s="80">
        <f t="shared" si="6"/>
        <v>0</v>
      </c>
      <c r="P24" s="80">
        <f t="shared" si="6"/>
        <v>4</v>
      </c>
      <c r="Q24" s="80">
        <f t="shared" si="6"/>
        <v>64</v>
      </c>
      <c r="R24" s="80">
        <f t="shared" si="6"/>
        <v>4</v>
      </c>
      <c r="S24" s="80">
        <f t="shared" si="6"/>
        <v>64</v>
      </c>
      <c r="T24" s="81">
        <f t="shared" si="6"/>
        <v>8</v>
      </c>
      <c r="U24" s="81">
        <f t="shared" si="6"/>
        <v>128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</row>
    <row r="25" spans="1:33" ht="16.5" customHeight="1">
      <c r="A25" s="17"/>
      <c r="B25" s="253" t="s">
        <v>170</v>
      </c>
      <c r="C25" s="254">
        <v>9</v>
      </c>
      <c r="D25" s="154" t="s">
        <v>671</v>
      </c>
      <c r="E25" s="69"/>
      <c r="F25" s="83"/>
      <c r="G25" s="83"/>
      <c r="H25" s="71"/>
      <c r="I25" s="71">
        <f>H25*16</f>
        <v>0</v>
      </c>
      <c r="J25" s="71"/>
      <c r="K25" s="71">
        <f>J25*16</f>
        <v>0</v>
      </c>
      <c r="L25" s="71"/>
      <c r="M25" s="71">
        <f>L25*16</f>
        <v>0</v>
      </c>
      <c r="N25" s="71"/>
      <c r="O25" s="71">
        <f>N25*16</f>
        <v>0</v>
      </c>
      <c r="P25" s="71">
        <v>3</v>
      </c>
      <c r="Q25" s="71">
        <f>P25*16</f>
        <v>48</v>
      </c>
      <c r="R25" s="71"/>
      <c r="S25" s="71">
        <f>R25*16</f>
        <v>0</v>
      </c>
      <c r="T25" s="72">
        <f t="shared" ref="T25:U28" si="7">SUM(H25,J25,L25,N25,P25,R25)</f>
        <v>3</v>
      </c>
      <c r="U25" s="73">
        <f t="shared" si="7"/>
        <v>48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</row>
    <row r="26" spans="1:33" ht="16.5" customHeight="1">
      <c r="A26" s="17"/>
      <c r="B26" s="253"/>
      <c r="C26" s="254"/>
      <c r="D26" s="155" t="s">
        <v>671</v>
      </c>
      <c r="E26" s="75"/>
      <c r="F26" s="82"/>
      <c r="G26" s="82"/>
      <c r="H26" s="76"/>
      <c r="I26" s="76">
        <f>H26*16</f>
        <v>0</v>
      </c>
      <c r="J26" s="76"/>
      <c r="K26" s="76">
        <f>J26*16</f>
        <v>0</v>
      </c>
      <c r="L26" s="76"/>
      <c r="M26" s="76">
        <f>L26*16</f>
        <v>0</v>
      </c>
      <c r="N26" s="76"/>
      <c r="O26" s="76">
        <f>N26*16</f>
        <v>0</v>
      </c>
      <c r="P26" s="76">
        <v>3</v>
      </c>
      <c r="Q26" s="76">
        <f>P26*16</f>
        <v>48</v>
      </c>
      <c r="R26" s="76"/>
      <c r="S26" s="76">
        <f>R26*16</f>
        <v>0</v>
      </c>
      <c r="T26" s="77">
        <f t="shared" si="7"/>
        <v>3</v>
      </c>
      <c r="U26" s="78">
        <f t="shared" si="7"/>
        <v>48</v>
      </c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</row>
    <row r="27" spans="1:33" ht="16.5" customHeight="1">
      <c r="A27" s="17"/>
      <c r="B27" s="253"/>
      <c r="C27" s="254"/>
      <c r="D27" s="155" t="s">
        <v>671</v>
      </c>
      <c r="E27" s="75"/>
      <c r="F27" s="82"/>
      <c r="G27" s="82"/>
      <c r="H27" s="76"/>
      <c r="I27" s="76">
        <f>H27*16</f>
        <v>0</v>
      </c>
      <c r="J27" s="76"/>
      <c r="K27" s="76">
        <f>J27*16</f>
        <v>0</v>
      </c>
      <c r="L27" s="76"/>
      <c r="M27" s="76">
        <f>L27*16</f>
        <v>0</v>
      </c>
      <c r="N27" s="76"/>
      <c r="O27" s="76">
        <f>N27*16</f>
        <v>0</v>
      </c>
      <c r="P27" s="76"/>
      <c r="Q27" s="76">
        <f>P27*16</f>
        <v>0</v>
      </c>
      <c r="R27" s="76">
        <v>2</v>
      </c>
      <c r="S27" s="76">
        <f>R27*16</f>
        <v>32</v>
      </c>
      <c r="T27" s="77">
        <f t="shared" si="7"/>
        <v>2</v>
      </c>
      <c r="U27" s="78">
        <f t="shared" si="7"/>
        <v>32</v>
      </c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</row>
    <row r="28" spans="1:33" ht="16.5" customHeight="1">
      <c r="A28" s="17"/>
      <c r="B28" s="253"/>
      <c r="C28" s="254"/>
      <c r="D28" s="155" t="s">
        <v>671</v>
      </c>
      <c r="E28" s="75"/>
      <c r="F28" s="82"/>
      <c r="G28" s="82"/>
      <c r="H28" s="76"/>
      <c r="I28" s="76">
        <f>H28*16</f>
        <v>0</v>
      </c>
      <c r="J28" s="76"/>
      <c r="K28" s="76">
        <f>J28*16</f>
        <v>0</v>
      </c>
      <c r="L28" s="76"/>
      <c r="M28" s="76">
        <f>L28*16</f>
        <v>0</v>
      </c>
      <c r="N28" s="76"/>
      <c r="O28" s="76">
        <f>N28*16</f>
        <v>0</v>
      </c>
      <c r="P28" s="76"/>
      <c r="Q28" s="76">
        <f>P28*16</f>
        <v>0</v>
      </c>
      <c r="R28" s="76">
        <v>1</v>
      </c>
      <c r="S28" s="76">
        <f>R28*16</f>
        <v>16</v>
      </c>
      <c r="T28" s="77">
        <f t="shared" si="7"/>
        <v>1</v>
      </c>
      <c r="U28" s="78">
        <f t="shared" si="7"/>
        <v>16</v>
      </c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</row>
    <row r="29" spans="1:33" ht="18" customHeight="1">
      <c r="A29" s="17"/>
      <c r="B29" s="253"/>
      <c r="C29" s="254"/>
      <c r="D29" s="255" t="s">
        <v>214</v>
      </c>
      <c r="E29" s="255"/>
      <c r="F29" s="79"/>
      <c r="G29" s="79"/>
      <c r="H29" s="80">
        <f t="shared" ref="H29:U29" si="8">SUM(H25:H28)</f>
        <v>0</v>
      </c>
      <c r="I29" s="80">
        <f t="shared" si="8"/>
        <v>0</v>
      </c>
      <c r="J29" s="80">
        <f t="shared" si="8"/>
        <v>0</v>
      </c>
      <c r="K29" s="80">
        <f t="shared" si="8"/>
        <v>0</v>
      </c>
      <c r="L29" s="80">
        <f t="shared" si="8"/>
        <v>0</v>
      </c>
      <c r="M29" s="80">
        <f t="shared" si="8"/>
        <v>0</v>
      </c>
      <c r="N29" s="80">
        <f t="shared" si="8"/>
        <v>0</v>
      </c>
      <c r="O29" s="80">
        <f t="shared" si="8"/>
        <v>0</v>
      </c>
      <c r="P29" s="80">
        <f t="shared" si="8"/>
        <v>6</v>
      </c>
      <c r="Q29" s="80">
        <f t="shared" si="8"/>
        <v>96</v>
      </c>
      <c r="R29" s="80">
        <f t="shared" si="8"/>
        <v>3</v>
      </c>
      <c r="S29" s="80">
        <f t="shared" si="8"/>
        <v>48</v>
      </c>
      <c r="T29" s="81">
        <f t="shared" si="8"/>
        <v>9</v>
      </c>
      <c r="U29" s="81">
        <f t="shared" si="8"/>
        <v>144</v>
      </c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</row>
    <row r="30" spans="1:33" ht="16.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</row>
    <row r="31" spans="1:33" ht="31.5" customHeight="1">
      <c r="A31" s="17"/>
      <c r="B31" s="257"/>
      <c r="C31" s="258"/>
      <c r="D31" s="258"/>
      <c r="E31" s="258"/>
      <c r="F31" s="258"/>
      <c r="G31" s="258"/>
      <c r="H31" s="258"/>
      <c r="I31" s="258"/>
      <c r="J31" s="258"/>
      <c r="K31" s="258"/>
      <c r="L31" s="258"/>
      <c r="M31" s="258"/>
      <c r="N31" s="258"/>
      <c r="O31" s="258"/>
      <c r="P31" s="258"/>
      <c r="Q31" s="258"/>
      <c r="R31" s="258"/>
      <c r="S31" s="258"/>
      <c r="T31" s="258"/>
      <c r="U31" s="258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</row>
    <row r="32" spans="1:33" ht="16.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</row>
    <row r="33" spans="1:33" ht="16.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</row>
    <row r="34" spans="1:33" ht="16.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</row>
    <row r="35" spans="1:33" ht="16.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</row>
    <row r="36" spans="1:33" ht="16.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</row>
    <row r="37" spans="1:33" ht="16.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</row>
    <row r="38" spans="1:33" ht="16.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</row>
    <row r="39" spans="1:33" ht="16.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</row>
    <row r="40" spans="1:33" ht="16.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</row>
    <row r="41" spans="1:33" ht="16.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</row>
    <row r="42" spans="1:33" ht="16.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</row>
    <row r="43" spans="1:33" ht="16.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</row>
    <row r="44" spans="1:33" ht="16.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</row>
    <row r="45" spans="1:33" ht="16.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</row>
    <row r="46" spans="1:33" ht="16.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</row>
    <row r="47" spans="1:33" ht="16.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</row>
    <row r="48" spans="1:33" ht="16.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</row>
    <row r="49" spans="1:33" ht="16.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</row>
    <row r="50" spans="1:33" ht="16.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</row>
    <row r="51" spans="1:33" ht="16.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</row>
    <row r="52" spans="1:33" ht="16.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</row>
    <row r="53" spans="1:33" ht="16.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</row>
    <row r="54" spans="1:33" ht="16.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</row>
    <row r="55" spans="1:33" ht="16.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</row>
    <row r="56" spans="1:33" ht="16.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</row>
    <row r="57" spans="1:33" ht="16.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</row>
    <row r="58" spans="1:33" ht="16.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</row>
    <row r="59" spans="1:33" ht="16.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</row>
    <row r="60" spans="1:33" ht="16.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</row>
    <row r="61" spans="1:33" ht="16.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</row>
    <row r="62" spans="1:33" ht="16.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</row>
    <row r="63" spans="1:33" ht="16.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</row>
    <row r="64" spans="1:33" ht="16.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</row>
    <row r="65" spans="1:33" ht="16.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</row>
    <row r="66" spans="1:33" ht="16.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</row>
    <row r="67" spans="1:33" ht="16.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</row>
    <row r="68" spans="1:33" ht="16.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</row>
    <row r="69" spans="1:33" ht="16.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</row>
  </sheetData>
  <mergeCells count="41">
    <mergeCell ref="B25:B29"/>
    <mergeCell ref="C25:C29"/>
    <mergeCell ref="D29:E29"/>
    <mergeCell ref="B31:U31"/>
    <mergeCell ref="B18:B20"/>
    <mergeCell ref="C18:C20"/>
    <mergeCell ref="D20:E20"/>
    <mergeCell ref="B21:B24"/>
    <mergeCell ref="C21:C24"/>
    <mergeCell ref="D24:E24"/>
    <mergeCell ref="B9:B13"/>
    <mergeCell ref="C9:C13"/>
    <mergeCell ref="D13:E13"/>
    <mergeCell ref="B14:B17"/>
    <mergeCell ref="C14:C17"/>
    <mergeCell ref="D17:E17"/>
    <mergeCell ref="T6:T8"/>
    <mergeCell ref="U6:U8"/>
    <mergeCell ref="H7:I7"/>
    <mergeCell ref="J7:K7"/>
    <mergeCell ref="L7:M7"/>
    <mergeCell ref="N7:O7"/>
    <mergeCell ref="P7:Q7"/>
    <mergeCell ref="R7:S7"/>
    <mergeCell ref="F6:F8"/>
    <mergeCell ref="G6:G8"/>
    <mergeCell ref="H6:K6"/>
    <mergeCell ref="L6:O6"/>
    <mergeCell ref="P6:S6"/>
    <mergeCell ref="B5:C5"/>
    <mergeCell ref="B6:B8"/>
    <mergeCell ref="C6:C8"/>
    <mergeCell ref="D6:D8"/>
    <mergeCell ref="E6:E8"/>
    <mergeCell ref="B2:U2"/>
    <mergeCell ref="N3:P3"/>
    <mergeCell ref="Q3:S3"/>
    <mergeCell ref="T3:U3"/>
    <mergeCell ref="N4:P4"/>
    <mergeCell ref="Q4:S4"/>
    <mergeCell ref="T4:U4"/>
  </mergeCells>
  <phoneticPr fontId="41" type="noConversion"/>
  <pageMargins left="0.70833333333333304" right="0.70833333333333304" top="0.74791666666666701" bottom="0.74791666666666701" header="0.511811023622047" footer="0.511811023622047"/>
  <pageSetup paperSize="9" fitToHeight="0" orientation="landscape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AG69"/>
  <sheetViews>
    <sheetView topLeftCell="B1" zoomScaleNormal="100" workbookViewId="0">
      <selection activeCell="I37" sqref="I37"/>
    </sheetView>
  </sheetViews>
  <sheetFormatPr defaultColWidth="7.25" defaultRowHeight="16.5"/>
  <cols>
    <col min="1" max="1" width="2.625" style="64" customWidth="1"/>
    <col min="2" max="2" width="10" style="64" customWidth="1"/>
    <col min="3" max="3" width="4.75" style="64" customWidth="1"/>
    <col min="4" max="4" width="16.125" style="64" customWidth="1"/>
    <col min="5" max="5" width="16.25" style="65" customWidth="1"/>
    <col min="6" max="6" width="7.75" style="65" customWidth="1"/>
    <col min="7" max="7" width="9.125" style="64" customWidth="1"/>
    <col min="8" max="19" width="6.625" style="64" customWidth="1"/>
    <col min="20" max="20" width="5.625" style="64" customWidth="1"/>
    <col min="21" max="21" width="6" style="64" customWidth="1"/>
  </cols>
  <sheetData>
    <row r="2" spans="1:33" ht="39.75" customHeight="1">
      <c r="B2" s="239" t="s">
        <v>190</v>
      </c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</row>
    <row r="3" spans="1:33" ht="27" customHeight="1" thickBot="1"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240" t="s">
        <v>7</v>
      </c>
      <c r="O3" s="240"/>
      <c r="P3" s="240"/>
      <c r="Q3" s="240" t="s">
        <v>15</v>
      </c>
      <c r="R3" s="240"/>
      <c r="S3" s="240"/>
      <c r="T3" s="241" t="s">
        <v>1</v>
      </c>
      <c r="U3" s="241"/>
    </row>
    <row r="4" spans="1:33" ht="30" customHeight="1" thickBot="1"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242" t="s">
        <v>22</v>
      </c>
      <c r="O4" s="242"/>
      <c r="P4" s="242"/>
      <c r="Q4" s="256" t="s">
        <v>278</v>
      </c>
      <c r="R4" s="256"/>
      <c r="S4" s="256"/>
      <c r="T4" s="244">
        <v>2027</v>
      </c>
      <c r="U4" s="244"/>
    </row>
    <row r="5" spans="1:33" ht="24" customHeight="1" thickBot="1">
      <c r="B5" s="245"/>
      <c r="C5" s="245"/>
    </row>
    <row r="6" spans="1:33" ht="20.25" customHeight="1" thickBot="1">
      <c r="B6" s="246" t="s">
        <v>192</v>
      </c>
      <c r="C6" s="247" t="s">
        <v>36</v>
      </c>
      <c r="D6" s="248" t="s">
        <v>193</v>
      </c>
      <c r="E6" s="248" t="s">
        <v>194</v>
      </c>
      <c r="F6" s="248" t="s">
        <v>195</v>
      </c>
      <c r="G6" s="248" t="s">
        <v>196</v>
      </c>
      <c r="H6" s="249" t="s">
        <v>197</v>
      </c>
      <c r="I6" s="249"/>
      <c r="J6" s="249"/>
      <c r="K6" s="249"/>
      <c r="L6" s="249" t="s">
        <v>198</v>
      </c>
      <c r="M6" s="249"/>
      <c r="N6" s="249"/>
      <c r="O6" s="249"/>
      <c r="P6" s="249" t="s">
        <v>199</v>
      </c>
      <c r="Q6" s="249"/>
      <c r="R6" s="249"/>
      <c r="S6" s="249"/>
      <c r="T6" s="250" t="s">
        <v>200</v>
      </c>
      <c r="U6" s="251" t="s">
        <v>201</v>
      </c>
      <c r="W6" s="67"/>
    </row>
    <row r="7" spans="1:33" ht="16.5" customHeight="1" thickBot="1">
      <c r="B7" s="246"/>
      <c r="C7" s="247"/>
      <c r="D7" s="247"/>
      <c r="E7" s="247"/>
      <c r="F7" s="247"/>
      <c r="G7" s="247"/>
      <c r="H7" s="252" t="s">
        <v>202</v>
      </c>
      <c r="I7" s="252"/>
      <c r="J7" s="252" t="s">
        <v>203</v>
      </c>
      <c r="K7" s="252"/>
      <c r="L7" s="252" t="s">
        <v>202</v>
      </c>
      <c r="M7" s="252"/>
      <c r="N7" s="252" t="s">
        <v>203</v>
      </c>
      <c r="O7" s="252"/>
      <c r="P7" s="252" t="s">
        <v>202</v>
      </c>
      <c r="Q7" s="252"/>
      <c r="R7" s="252" t="s">
        <v>203</v>
      </c>
      <c r="S7" s="252"/>
      <c r="T7" s="250"/>
      <c r="U7" s="251"/>
      <c r="W7" s="67"/>
    </row>
    <row r="8" spans="1:33" ht="17.25" customHeight="1" thickBot="1">
      <c r="B8" s="246"/>
      <c r="C8" s="247"/>
      <c r="D8" s="247"/>
      <c r="E8" s="247"/>
      <c r="F8" s="247"/>
      <c r="G8" s="247"/>
      <c r="H8" s="68" t="s">
        <v>204</v>
      </c>
      <c r="I8" s="68" t="s">
        <v>205</v>
      </c>
      <c r="J8" s="68" t="s">
        <v>204</v>
      </c>
      <c r="K8" s="68" t="s">
        <v>205</v>
      </c>
      <c r="L8" s="68" t="s">
        <v>204</v>
      </c>
      <c r="M8" s="68" t="s">
        <v>205</v>
      </c>
      <c r="N8" s="68" t="s">
        <v>204</v>
      </c>
      <c r="O8" s="68" t="s">
        <v>205</v>
      </c>
      <c r="P8" s="68" t="s">
        <v>204</v>
      </c>
      <c r="Q8" s="68" t="s">
        <v>205</v>
      </c>
      <c r="R8" s="68" t="s">
        <v>204</v>
      </c>
      <c r="S8" s="68" t="s">
        <v>205</v>
      </c>
      <c r="T8" s="250"/>
      <c r="U8" s="251"/>
      <c r="W8" s="67"/>
    </row>
    <row r="9" spans="1:33" ht="16.5" customHeight="1" thickBot="1">
      <c r="A9" s="17"/>
      <c r="B9" s="253" t="s">
        <v>178</v>
      </c>
      <c r="C9" s="254">
        <v>8</v>
      </c>
      <c r="D9" s="69" t="s">
        <v>279</v>
      </c>
      <c r="E9" s="70" t="s">
        <v>280</v>
      </c>
      <c r="F9" s="69">
        <v>45</v>
      </c>
      <c r="G9" s="69">
        <v>4</v>
      </c>
      <c r="H9" s="71"/>
      <c r="I9" s="71">
        <f>H9*16</f>
        <v>0</v>
      </c>
      <c r="J9" s="71"/>
      <c r="K9" s="71">
        <f>J9*16</f>
        <v>0</v>
      </c>
      <c r="L9" s="71"/>
      <c r="M9" s="71">
        <f>L9*16</f>
        <v>0</v>
      </c>
      <c r="N9" s="71"/>
      <c r="O9" s="71">
        <f>N9*16</f>
        <v>0</v>
      </c>
      <c r="P9" s="71">
        <v>2</v>
      </c>
      <c r="Q9" s="71">
        <f>P9*16</f>
        <v>32</v>
      </c>
      <c r="R9" s="71"/>
      <c r="S9" s="71">
        <f>R9*16</f>
        <v>0</v>
      </c>
      <c r="T9" s="72">
        <f t="shared" ref="T9:U12" si="0">SUM(H9,J9,L9,N9,P9,R9)</f>
        <v>2</v>
      </c>
      <c r="U9" s="73">
        <f t="shared" si="0"/>
        <v>32</v>
      </c>
      <c r="V9" s="17"/>
      <c r="W9" s="17"/>
    </row>
    <row r="10" spans="1:33" ht="16.5" customHeight="1" thickBot="1">
      <c r="A10" s="17"/>
      <c r="B10" s="253"/>
      <c r="C10" s="254"/>
      <c r="D10" s="74" t="s">
        <v>281</v>
      </c>
      <c r="E10" s="75" t="s">
        <v>282</v>
      </c>
      <c r="F10" s="74">
        <v>45</v>
      </c>
      <c r="G10" s="74">
        <v>5</v>
      </c>
      <c r="H10" s="76"/>
      <c r="I10" s="76">
        <f>H10*16</f>
        <v>0</v>
      </c>
      <c r="J10" s="76"/>
      <c r="K10" s="76">
        <f>J10*16</f>
        <v>0</v>
      </c>
      <c r="L10" s="76"/>
      <c r="M10" s="76">
        <f>L10*16</f>
        <v>0</v>
      </c>
      <c r="N10" s="76"/>
      <c r="O10" s="76">
        <f>N10*16</f>
        <v>0</v>
      </c>
      <c r="P10" s="76">
        <v>2</v>
      </c>
      <c r="Q10" s="76">
        <f>P10*16</f>
        <v>32</v>
      </c>
      <c r="R10" s="76"/>
      <c r="S10" s="76">
        <f>R10*16</f>
        <v>0</v>
      </c>
      <c r="T10" s="77">
        <f t="shared" si="0"/>
        <v>2</v>
      </c>
      <c r="U10" s="78">
        <f t="shared" si="0"/>
        <v>32</v>
      </c>
      <c r="V10" s="17"/>
      <c r="W10" s="17"/>
    </row>
    <row r="11" spans="1:33" ht="16.5" customHeight="1" thickBot="1">
      <c r="A11" s="17"/>
      <c r="B11" s="253"/>
      <c r="C11" s="254"/>
      <c r="D11" s="74" t="s">
        <v>283</v>
      </c>
      <c r="E11" s="75" t="s">
        <v>284</v>
      </c>
      <c r="F11" s="74">
        <v>45</v>
      </c>
      <c r="G11" s="74">
        <v>5</v>
      </c>
      <c r="H11" s="76"/>
      <c r="I11" s="76">
        <f>H11*16</f>
        <v>0</v>
      </c>
      <c r="J11" s="76"/>
      <c r="K11" s="76">
        <f>J11*16</f>
        <v>0</v>
      </c>
      <c r="L11" s="76"/>
      <c r="M11" s="76">
        <f>L11*16</f>
        <v>0</v>
      </c>
      <c r="N11" s="76"/>
      <c r="O11" s="76">
        <f>N11*16</f>
        <v>0</v>
      </c>
      <c r="P11" s="76"/>
      <c r="Q11" s="76">
        <f>P11*16</f>
        <v>0</v>
      </c>
      <c r="R11" s="76">
        <v>2</v>
      </c>
      <c r="S11" s="76">
        <f>R11*16</f>
        <v>32</v>
      </c>
      <c r="T11" s="77">
        <f t="shared" si="0"/>
        <v>2</v>
      </c>
      <c r="U11" s="78">
        <f t="shared" si="0"/>
        <v>32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6.5" customHeight="1">
      <c r="A12" s="17"/>
      <c r="B12" s="253"/>
      <c r="C12" s="254"/>
      <c r="D12" s="74" t="s">
        <v>285</v>
      </c>
      <c r="E12" s="75" t="s">
        <v>286</v>
      </c>
      <c r="F12" s="74">
        <v>45</v>
      </c>
      <c r="G12" s="74">
        <v>5</v>
      </c>
      <c r="H12" s="76"/>
      <c r="I12" s="76">
        <f>H12*16</f>
        <v>0</v>
      </c>
      <c r="J12" s="76"/>
      <c r="K12" s="76">
        <f>J12*16</f>
        <v>0</v>
      </c>
      <c r="L12" s="76"/>
      <c r="M12" s="76">
        <f>L12*16</f>
        <v>0</v>
      </c>
      <c r="N12" s="76"/>
      <c r="O12" s="76">
        <f>N12*16</f>
        <v>0</v>
      </c>
      <c r="P12" s="76"/>
      <c r="Q12" s="76">
        <f>P12*16</f>
        <v>0</v>
      </c>
      <c r="R12" s="76">
        <v>2</v>
      </c>
      <c r="S12" s="76">
        <f>R12*16</f>
        <v>32</v>
      </c>
      <c r="T12" s="77">
        <f t="shared" si="0"/>
        <v>2</v>
      </c>
      <c r="U12" s="78">
        <f t="shared" si="0"/>
        <v>32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3" spans="1:33" ht="18" customHeight="1">
      <c r="A13" s="17"/>
      <c r="B13" s="253"/>
      <c r="C13" s="254"/>
      <c r="D13" s="255" t="s">
        <v>214</v>
      </c>
      <c r="E13" s="255"/>
      <c r="F13" s="79"/>
      <c r="G13" s="79"/>
      <c r="H13" s="80">
        <f t="shared" ref="H13:U13" si="1">SUM(H9:H12)</f>
        <v>0</v>
      </c>
      <c r="I13" s="80">
        <f t="shared" si="1"/>
        <v>0</v>
      </c>
      <c r="J13" s="80">
        <f t="shared" si="1"/>
        <v>0</v>
      </c>
      <c r="K13" s="80">
        <f t="shared" si="1"/>
        <v>0</v>
      </c>
      <c r="L13" s="80">
        <f t="shared" si="1"/>
        <v>0</v>
      </c>
      <c r="M13" s="80">
        <f t="shared" si="1"/>
        <v>0</v>
      </c>
      <c r="N13" s="80">
        <f t="shared" si="1"/>
        <v>0</v>
      </c>
      <c r="O13" s="80">
        <f t="shared" si="1"/>
        <v>0</v>
      </c>
      <c r="P13" s="80">
        <f t="shared" si="1"/>
        <v>4</v>
      </c>
      <c r="Q13" s="80">
        <f t="shared" si="1"/>
        <v>64</v>
      </c>
      <c r="R13" s="80">
        <f t="shared" si="1"/>
        <v>4</v>
      </c>
      <c r="S13" s="80">
        <f t="shared" si="1"/>
        <v>64</v>
      </c>
      <c r="T13" s="81">
        <f t="shared" si="1"/>
        <v>8</v>
      </c>
      <c r="U13" s="81">
        <f t="shared" si="1"/>
        <v>128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</row>
    <row r="14" spans="1:33" ht="16.5" customHeight="1">
      <c r="A14" s="17"/>
      <c r="B14" s="253" t="s">
        <v>179</v>
      </c>
      <c r="C14" s="254">
        <v>8</v>
      </c>
      <c r="D14" s="69" t="s">
        <v>287</v>
      </c>
      <c r="E14" s="70" t="s">
        <v>288</v>
      </c>
      <c r="F14" s="69">
        <v>45</v>
      </c>
      <c r="G14" s="69">
        <v>5</v>
      </c>
      <c r="H14" s="71"/>
      <c r="I14" s="71">
        <f>H14*16</f>
        <v>0</v>
      </c>
      <c r="J14" s="71"/>
      <c r="K14" s="71">
        <f>J14*16</f>
        <v>0</v>
      </c>
      <c r="L14" s="71"/>
      <c r="M14" s="71">
        <f>L14*16</f>
        <v>0</v>
      </c>
      <c r="N14" s="71"/>
      <c r="O14" s="71">
        <f>N14*16</f>
        <v>0</v>
      </c>
      <c r="P14" s="71">
        <v>2</v>
      </c>
      <c r="Q14" s="71">
        <f>P14*16</f>
        <v>32</v>
      </c>
      <c r="R14" s="71"/>
      <c r="S14" s="71">
        <f>R14*16</f>
        <v>0</v>
      </c>
      <c r="T14" s="72">
        <f t="shared" ref="T14:U17" si="2">SUM(H14,J14,L14,N14,P14,R14)</f>
        <v>2</v>
      </c>
      <c r="U14" s="73">
        <f t="shared" si="2"/>
        <v>32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</row>
    <row r="15" spans="1:33" ht="16.5" customHeight="1">
      <c r="A15" s="17"/>
      <c r="B15" s="253"/>
      <c r="C15" s="254"/>
      <c r="D15" s="74" t="s">
        <v>289</v>
      </c>
      <c r="E15" s="75" t="s">
        <v>290</v>
      </c>
      <c r="F15" s="74">
        <v>45</v>
      </c>
      <c r="G15" s="74">
        <v>3</v>
      </c>
      <c r="H15" s="76"/>
      <c r="I15" s="76">
        <f>H15*16</f>
        <v>0</v>
      </c>
      <c r="J15" s="76"/>
      <c r="K15" s="76">
        <f>J15*16</f>
        <v>0</v>
      </c>
      <c r="L15" s="76"/>
      <c r="M15" s="76">
        <f>L15*16</f>
        <v>0</v>
      </c>
      <c r="N15" s="76"/>
      <c r="O15" s="76">
        <f>N15*16</f>
        <v>0</v>
      </c>
      <c r="P15" s="76">
        <v>2</v>
      </c>
      <c r="Q15" s="76">
        <f>P15*16</f>
        <v>32</v>
      </c>
      <c r="R15" s="76"/>
      <c r="S15" s="76">
        <f>R15*16</f>
        <v>0</v>
      </c>
      <c r="T15" s="77">
        <f t="shared" si="2"/>
        <v>2</v>
      </c>
      <c r="U15" s="78">
        <f t="shared" si="2"/>
        <v>32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</row>
    <row r="16" spans="1:33" ht="16.5" customHeight="1">
      <c r="A16" s="17"/>
      <c r="B16" s="253"/>
      <c r="C16" s="254"/>
      <c r="D16" s="84" t="s">
        <v>291</v>
      </c>
      <c r="E16" s="75" t="s">
        <v>292</v>
      </c>
      <c r="F16" s="84">
        <v>60</v>
      </c>
      <c r="G16" s="84">
        <v>3</v>
      </c>
      <c r="H16" s="76"/>
      <c r="I16" s="76">
        <f>H16*16</f>
        <v>0</v>
      </c>
      <c r="J16" s="76"/>
      <c r="K16" s="76">
        <f>J16*16</f>
        <v>0</v>
      </c>
      <c r="L16" s="76"/>
      <c r="M16" s="76">
        <f>L16*16</f>
        <v>0</v>
      </c>
      <c r="N16" s="76"/>
      <c r="O16" s="76">
        <f>N16*16</f>
        <v>0</v>
      </c>
      <c r="P16" s="76"/>
      <c r="Q16" s="76">
        <f>P16*16</f>
        <v>0</v>
      </c>
      <c r="R16" s="76">
        <v>2</v>
      </c>
      <c r="S16" s="76">
        <f>R16*16</f>
        <v>32</v>
      </c>
      <c r="T16" s="77">
        <f t="shared" si="2"/>
        <v>2</v>
      </c>
      <c r="U16" s="78">
        <f t="shared" si="2"/>
        <v>32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</row>
    <row r="17" spans="1:33" ht="16.5" customHeight="1">
      <c r="A17" s="17"/>
      <c r="B17" s="253"/>
      <c r="C17" s="254"/>
      <c r="D17" s="74" t="s">
        <v>293</v>
      </c>
      <c r="E17" s="75" t="s">
        <v>294</v>
      </c>
      <c r="F17" s="74">
        <v>60</v>
      </c>
      <c r="G17" s="74">
        <v>4</v>
      </c>
      <c r="H17" s="76"/>
      <c r="I17" s="76">
        <f>H17*16</f>
        <v>0</v>
      </c>
      <c r="J17" s="76"/>
      <c r="K17" s="76">
        <f>J17*16</f>
        <v>0</v>
      </c>
      <c r="L17" s="76"/>
      <c r="M17" s="76">
        <f>L17*16</f>
        <v>0</v>
      </c>
      <c r="N17" s="76"/>
      <c r="O17" s="76">
        <f>N17*16</f>
        <v>0</v>
      </c>
      <c r="P17" s="76"/>
      <c r="Q17" s="76">
        <f>P17*16</f>
        <v>0</v>
      </c>
      <c r="R17" s="76">
        <v>2</v>
      </c>
      <c r="S17" s="76">
        <f>R17*16</f>
        <v>32</v>
      </c>
      <c r="T17" s="77">
        <f t="shared" si="2"/>
        <v>2</v>
      </c>
      <c r="U17" s="78">
        <f t="shared" si="2"/>
        <v>32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</row>
    <row r="18" spans="1:33" ht="18" customHeight="1">
      <c r="A18" s="17"/>
      <c r="B18" s="253"/>
      <c r="C18" s="254"/>
      <c r="D18" s="255" t="s">
        <v>214</v>
      </c>
      <c r="E18" s="255"/>
      <c r="F18" s="79"/>
      <c r="G18" s="79"/>
      <c r="H18" s="80">
        <f t="shared" ref="H18:U18" si="3">SUM(H14:H17)</f>
        <v>0</v>
      </c>
      <c r="I18" s="80">
        <f t="shared" si="3"/>
        <v>0</v>
      </c>
      <c r="J18" s="80">
        <f t="shared" si="3"/>
        <v>0</v>
      </c>
      <c r="K18" s="80">
        <f t="shared" si="3"/>
        <v>0</v>
      </c>
      <c r="L18" s="80">
        <f t="shared" si="3"/>
        <v>0</v>
      </c>
      <c r="M18" s="80">
        <f t="shared" si="3"/>
        <v>0</v>
      </c>
      <c r="N18" s="80">
        <f t="shared" si="3"/>
        <v>0</v>
      </c>
      <c r="O18" s="80">
        <f t="shared" si="3"/>
        <v>0</v>
      </c>
      <c r="P18" s="80">
        <f t="shared" si="3"/>
        <v>4</v>
      </c>
      <c r="Q18" s="80">
        <f t="shared" si="3"/>
        <v>64</v>
      </c>
      <c r="R18" s="80">
        <f t="shared" si="3"/>
        <v>4</v>
      </c>
      <c r="S18" s="80">
        <f t="shared" si="3"/>
        <v>64</v>
      </c>
      <c r="T18" s="81">
        <f t="shared" si="3"/>
        <v>8</v>
      </c>
      <c r="U18" s="81">
        <f t="shared" si="3"/>
        <v>128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</row>
    <row r="19" spans="1:33" ht="16.5" customHeight="1">
      <c r="A19" s="17"/>
      <c r="B19" s="253" t="s">
        <v>120</v>
      </c>
      <c r="C19" s="254">
        <v>8</v>
      </c>
      <c r="D19" s="69" t="s">
        <v>221</v>
      </c>
      <c r="E19" s="70" t="s">
        <v>222</v>
      </c>
      <c r="F19" s="69">
        <v>80</v>
      </c>
      <c r="G19" s="69">
        <v>3</v>
      </c>
      <c r="H19" s="71"/>
      <c r="I19" s="71">
        <f>H19*16</f>
        <v>0</v>
      </c>
      <c r="J19" s="71"/>
      <c r="K19" s="71">
        <f>J19*16</f>
        <v>0</v>
      </c>
      <c r="L19" s="71"/>
      <c r="M19" s="71">
        <f>L19*16</f>
        <v>0</v>
      </c>
      <c r="N19" s="71"/>
      <c r="O19" s="71">
        <f>N19*16</f>
        <v>0</v>
      </c>
      <c r="P19" s="71">
        <v>4</v>
      </c>
      <c r="Q19" s="71">
        <f>P19*16</f>
        <v>64</v>
      </c>
      <c r="R19" s="71"/>
      <c r="S19" s="71">
        <f>R19*16</f>
        <v>0</v>
      </c>
      <c r="T19" s="72">
        <f t="shared" ref="T19:U21" si="4">SUM(H19,J19,L19,N19,P19,R19)</f>
        <v>4</v>
      </c>
      <c r="U19" s="73">
        <f t="shared" si="4"/>
        <v>64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</row>
    <row r="20" spans="1:33" ht="16.5" customHeight="1">
      <c r="A20" s="17"/>
      <c r="B20" s="253"/>
      <c r="C20" s="254"/>
      <c r="D20" s="74" t="s">
        <v>223</v>
      </c>
      <c r="E20" s="75" t="s">
        <v>224</v>
      </c>
      <c r="F20" s="74">
        <v>20</v>
      </c>
      <c r="G20" s="74">
        <v>3</v>
      </c>
      <c r="H20" s="76"/>
      <c r="I20" s="76">
        <f>H20*16</f>
        <v>0</v>
      </c>
      <c r="J20" s="76"/>
      <c r="K20" s="76">
        <f>J20*16</f>
        <v>0</v>
      </c>
      <c r="L20" s="76"/>
      <c r="M20" s="76">
        <f>L20*16</f>
        <v>0</v>
      </c>
      <c r="N20" s="76"/>
      <c r="O20" s="76">
        <f>N20*16</f>
        <v>0</v>
      </c>
      <c r="P20" s="76"/>
      <c r="Q20" s="76">
        <f>P20*16</f>
        <v>0</v>
      </c>
      <c r="R20" s="76">
        <v>2</v>
      </c>
      <c r="S20" s="76">
        <f>R20*16</f>
        <v>32</v>
      </c>
      <c r="T20" s="77">
        <f t="shared" si="4"/>
        <v>2</v>
      </c>
      <c r="U20" s="78">
        <f t="shared" si="4"/>
        <v>32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</row>
    <row r="21" spans="1:33" ht="16.5" customHeight="1">
      <c r="A21" s="17"/>
      <c r="B21" s="253"/>
      <c r="C21" s="254"/>
      <c r="D21" s="74" t="s">
        <v>225</v>
      </c>
      <c r="E21" s="75" t="s">
        <v>226</v>
      </c>
      <c r="F21" s="74">
        <v>20</v>
      </c>
      <c r="G21" s="74">
        <v>2</v>
      </c>
      <c r="H21" s="76"/>
      <c r="I21" s="76">
        <f>H21*16</f>
        <v>0</v>
      </c>
      <c r="J21" s="76"/>
      <c r="K21" s="76">
        <f>J21*16</f>
        <v>0</v>
      </c>
      <c r="L21" s="76"/>
      <c r="M21" s="76">
        <f>L21*16</f>
        <v>0</v>
      </c>
      <c r="N21" s="76"/>
      <c r="O21" s="76">
        <f>N21*16</f>
        <v>0</v>
      </c>
      <c r="P21" s="76"/>
      <c r="Q21" s="76">
        <f>P21*16</f>
        <v>0</v>
      </c>
      <c r="R21" s="76">
        <v>2</v>
      </c>
      <c r="S21" s="76">
        <f>R21*16</f>
        <v>32</v>
      </c>
      <c r="T21" s="77">
        <f t="shared" si="4"/>
        <v>2</v>
      </c>
      <c r="U21" s="78">
        <f t="shared" si="4"/>
        <v>32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</row>
    <row r="22" spans="1:33" ht="18" customHeight="1">
      <c r="A22" s="17"/>
      <c r="B22" s="253"/>
      <c r="C22" s="254"/>
      <c r="D22" s="255" t="s">
        <v>214</v>
      </c>
      <c r="E22" s="255"/>
      <c r="F22" s="79"/>
      <c r="G22" s="79"/>
      <c r="H22" s="80">
        <f t="shared" ref="H22:U22" si="5">SUM(H19:H21)</f>
        <v>0</v>
      </c>
      <c r="I22" s="80">
        <f t="shared" si="5"/>
        <v>0</v>
      </c>
      <c r="J22" s="80">
        <f t="shared" si="5"/>
        <v>0</v>
      </c>
      <c r="K22" s="80">
        <f t="shared" si="5"/>
        <v>0</v>
      </c>
      <c r="L22" s="80">
        <f t="shared" si="5"/>
        <v>0</v>
      </c>
      <c r="M22" s="80">
        <f t="shared" si="5"/>
        <v>0</v>
      </c>
      <c r="N22" s="80">
        <f t="shared" si="5"/>
        <v>0</v>
      </c>
      <c r="O22" s="80">
        <f t="shared" si="5"/>
        <v>0</v>
      </c>
      <c r="P22" s="80">
        <f t="shared" si="5"/>
        <v>4</v>
      </c>
      <c r="Q22" s="80">
        <f t="shared" si="5"/>
        <v>64</v>
      </c>
      <c r="R22" s="80">
        <f t="shared" si="5"/>
        <v>4</v>
      </c>
      <c r="S22" s="80">
        <f t="shared" si="5"/>
        <v>64</v>
      </c>
      <c r="T22" s="81">
        <f t="shared" si="5"/>
        <v>8</v>
      </c>
      <c r="U22" s="81">
        <f t="shared" si="5"/>
        <v>128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</row>
    <row r="23" spans="1:33" ht="16.5" customHeight="1">
      <c r="A23" s="17"/>
      <c r="B23" s="253" t="s">
        <v>180</v>
      </c>
      <c r="C23" s="254">
        <v>8</v>
      </c>
      <c r="D23" s="69" t="s">
        <v>295</v>
      </c>
      <c r="E23" s="70" t="s">
        <v>296</v>
      </c>
      <c r="F23" s="69">
        <v>16</v>
      </c>
      <c r="G23" s="69">
        <v>3</v>
      </c>
      <c r="H23" s="71"/>
      <c r="I23" s="71">
        <f>H23*16</f>
        <v>0</v>
      </c>
      <c r="J23" s="71"/>
      <c r="K23" s="71">
        <f>J23*16</f>
        <v>0</v>
      </c>
      <c r="L23" s="71"/>
      <c r="M23" s="71">
        <f>L23*16</f>
        <v>0</v>
      </c>
      <c r="N23" s="71"/>
      <c r="O23" s="71">
        <f>N23*16</f>
        <v>0</v>
      </c>
      <c r="P23" s="71">
        <v>2</v>
      </c>
      <c r="Q23" s="71">
        <f>P23*16</f>
        <v>32</v>
      </c>
      <c r="R23" s="71"/>
      <c r="S23" s="71">
        <f>R23*16</f>
        <v>0</v>
      </c>
      <c r="T23" s="72">
        <f t="shared" ref="T23:U26" si="6">SUM(H23,J23,L23,N23,P23,R23)</f>
        <v>2</v>
      </c>
      <c r="U23" s="73">
        <f t="shared" si="6"/>
        <v>32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</row>
    <row r="24" spans="1:33" ht="16.5" customHeight="1">
      <c r="A24" s="17"/>
      <c r="B24" s="253"/>
      <c r="C24" s="254"/>
      <c r="D24" s="74" t="s">
        <v>297</v>
      </c>
      <c r="E24" s="75" t="s">
        <v>298</v>
      </c>
      <c r="F24" s="74">
        <v>32</v>
      </c>
      <c r="G24" s="74">
        <v>5</v>
      </c>
      <c r="H24" s="76"/>
      <c r="I24" s="76">
        <f>H24*16</f>
        <v>0</v>
      </c>
      <c r="J24" s="76"/>
      <c r="K24" s="76">
        <f>J24*16</f>
        <v>0</v>
      </c>
      <c r="L24" s="76"/>
      <c r="M24" s="76">
        <f>L24*16</f>
        <v>0</v>
      </c>
      <c r="N24" s="76"/>
      <c r="O24" s="76">
        <f>N24*16</f>
        <v>0</v>
      </c>
      <c r="P24" s="76">
        <v>2</v>
      </c>
      <c r="Q24" s="76">
        <f>P24*16</f>
        <v>32</v>
      </c>
      <c r="R24" s="76"/>
      <c r="S24" s="76">
        <f>R24*16</f>
        <v>0</v>
      </c>
      <c r="T24" s="77">
        <f t="shared" si="6"/>
        <v>2</v>
      </c>
      <c r="U24" s="78">
        <f t="shared" si="6"/>
        <v>32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</row>
    <row r="25" spans="1:33" ht="16.5" customHeight="1">
      <c r="A25" s="17"/>
      <c r="B25" s="253"/>
      <c r="C25" s="254"/>
      <c r="D25" s="74" t="s">
        <v>299</v>
      </c>
      <c r="E25" s="75" t="s">
        <v>300</v>
      </c>
      <c r="F25" s="74">
        <v>48</v>
      </c>
      <c r="G25" s="74">
        <v>5</v>
      </c>
      <c r="H25" s="76"/>
      <c r="I25" s="76">
        <f>H25*16</f>
        <v>0</v>
      </c>
      <c r="J25" s="76"/>
      <c r="K25" s="76">
        <f>J25*16</f>
        <v>0</v>
      </c>
      <c r="L25" s="76"/>
      <c r="M25" s="76">
        <f>L25*16</f>
        <v>0</v>
      </c>
      <c r="N25" s="76"/>
      <c r="O25" s="76">
        <f>N25*16</f>
        <v>0</v>
      </c>
      <c r="P25" s="76"/>
      <c r="Q25" s="76">
        <f>P25*16</f>
        <v>0</v>
      </c>
      <c r="R25" s="76">
        <v>2</v>
      </c>
      <c r="S25" s="76">
        <f>R25*16</f>
        <v>32</v>
      </c>
      <c r="T25" s="77">
        <f t="shared" si="6"/>
        <v>2</v>
      </c>
      <c r="U25" s="78">
        <f t="shared" si="6"/>
        <v>32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</row>
    <row r="26" spans="1:33" ht="16.5" customHeight="1">
      <c r="A26" s="17"/>
      <c r="B26" s="253"/>
      <c r="C26" s="254"/>
      <c r="D26" s="74" t="s">
        <v>301</v>
      </c>
      <c r="E26" s="75" t="s">
        <v>302</v>
      </c>
      <c r="F26" s="74">
        <v>32</v>
      </c>
      <c r="G26" s="74">
        <v>5</v>
      </c>
      <c r="H26" s="76"/>
      <c r="I26" s="76">
        <f>H26*16</f>
        <v>0</v>
      </c>
      <c r="J26" s="76"/>
      <c r="K26" s="76">
        <f>J26*16</f>
        <v>0</v>
      </c>
      <c r="L26" s="76"/>
      <c r="M26" s="76">
        <f>L26*16</f>
        <v>0</v>
      </c>
      <c r="N26" s="76"/>
      <c r="O26" s="76">
        <f>N26*16</f>
        <v>0</v>
      </c>
      <c r="P26" s="76"/>
      <c r="Q26" s="76">
        <f>P26*16</f>
        <v>0</v>
      </c>
      <c r="R26" s="76">
        <v>2</v>
      </c>
      <c r="S26" s="76">
        <f>R26*16</f>
        <v>32</v>
      </c>
      <c r="T26" s="77">
        <f t="shared" si="6"/>
        <v>2</v>
      </c>
      <c r="U26" s="78">
        <f t="shared" si="6"/>
        <v>32</v>
      </c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</row>
    <row r="27" spans="1:33" ht="18" customHeight="1">
      <c r="A27" s="17"/>
      <c r="B27" s="253"/>
      <c r="C27" s="254"/>
      <c r="D27" s="255" t="s">
        <v>214</v>
      </c>
      <c r="E27" s="255"/>
      <c r="F27" s="79"/>
      <c r="G27" s="79"/>
      <c r="H27" s="80">
        <f t="shared" ref="H27:U27" si="7">SUM(H23:H26)</f>
        <v>0</v>
      </c>
      <c r="I27" s="80">
        <f t="shared" si="7"/>
        <v>0</v>
      </c>
      <c r="J27" s="80">
        <f t="shared" si="7"/>
        <v>0</v>
      </c>
      <c r="K27" s="80">
        <f t="shared" si="7"/>
        <v>0</v>
      </c>
      <c r="L27" s="80">
        <f t="shared" si="7"/>
        <v>0</v>
      </c>
      <c r="M27" s="80">
        <f t="shared" si="7"/>
        <v>0</v>
      </c>
      <c r="N27" s="80">
        <f t="shared" si="7"/>
        <v>0</v>
      </c>
      <c r="O27" s="80">
        <f t="shared" si="7"/>
        <v>0</v>
      </c>
      <c r="P27" s="80">
        <f t="shared" si="7"/>
        <v>4</v>
      </c>
      <c r="Q27" s="80">
        <f t="shared" si="7"/>
        <v>64</v>
      </c>
      <c r="R27" s="80">
        <f t="shared" si="7"/>
        <v>4</v>
      </c>
      <c r="S27" s="80">
        <f t="shared" si="7"/>
        <v>64</v>
      </c>
      <c r="T27" s="81">
        <f t="shared" si="7"/>
        <v>8</v>
      </c>
      <c r="U27" s="81">
        <f t="shared" si="7"/>
        <v>128</v>
      </c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</row>
    <row r="28" spans="1:33" ht="16.5" customHeight="1">
      <c r="A28" s="17"/>
      <c r="B28" s="253" t="s">
        <v>121</v>
      </c>
      <c r="C28" s="254">
        <v>7</v>
      </c>
      <c r="D28" s="69" t="s">
        <v>215</v>
      </c>
      <c r="E28" s="70" t="s">
        <v>216</v>
      </c>
      <c r="F28" s="69">
        <v>24</v>
      </c>
      <c r="G28" s="69">
        <v>5</v>
      </c>
      <c r="H28" s="71"/>
      <c r="I28" s="71">
        <f>H28*16</f>
        <v>0</v>
      </c>
      <c r="J28" s="71"/>
      <c r="K28" s="71">
        <f>J28*16</f>
        <v>0</v>
      </c>
      <c r="L28" s="71"/>
      <c r="M28" s="71">
        <f>L28*16</f>
        <v>0</v>
      </c>
      <c r="N28" s="71"/>
      <c r="O28" s="71">
        <f>N28*16</f>
        <v>0</v>
      </c>
      <c r="P28" s="71">
        <v>3</v>
      </c>
      <c r="Q28" s="71">
        <f>P28*16</f>
        <v>48</v>
      </c>
      <c r="R28" s="71"/>
      <c r="S28" s="71">
        <f>R28*16</f>
        <v>0</v>
      </c>
      <c r="T28" s="72">
        <f t="shared" ref="T28:U30" si="8">SUM(H28,J28,L28,N28,P28,R28)</f>
        <v>3</v>
      </c>
      <c r="U28" s="73">
        <f t="shared" si="8"/>
        <v>48</v>
      </c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</row>
    <row r="29" spans="1:33" ht="16.5" customHeight="1">
      <c r="A29" s="17"/>
      <c r="B29" s="253"/>
      <c r="C29" s="254"/>
      <c r="D29" s="74" t="s">
        <v>217</v>
      </c>
      <c r="E29" s="75" t="s">
        <v>218</v>
      </c>
      <c r="F29" s="74">
        <v>16</v>
      </c>
      <c r="G29" s="74">
        <v>3</v>
      </c>
      <c r="H29" s="76"/>
      <c r="I29" s="76">
        <f>H29*16</f>
        <v>0</v>
      </c>
      <c r="J29" s="76"/>
      <c r="K29" s="76">
        <f>J29*16</f>
        <v>0</v>
      </c>
      <c r="L29" s="76"/>
      <c r="M29" s="76">
        <f>L29*16</f>
        <v>0</v>
      </c>
      <c r="N29" s="76"/>
      <c r="O29" s="76">
        <f>N29*16</f>
        <v>0</v>
      </c>
      <c r="P29" s="76"/>
      <c r="Q29" s="76">
        <f>P29*16</f>
        <v>0</v>
      </c>
      <c r="R29" s="76">
        <v>2</v>
      </c>
      <c r="S29" s="76">
        <f>R29*16</f>
        <v>32</v>
      </c>
      <c r="T29" s="77">
        <f t="shared" si="8"/>
        <v>2</v>
      </c>
      <c r="U29" s="78">
        <f t="shared" si="8"/>
        <v>32</v>
      </c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</row>
    <row r="30" spans="1:33" ht="16.5" customHeight="1">
      <c r="A30" s="17"/>
      <c r="B30" s="253"/>
      <c r="C30" s="254"/>
      <c r="D30" s="74" t="s">
        <v>219</v>
      </c>
      <c r="E30" s="75" t="s">
        <v>220</v>
      </c>
      <c r="F30" s="74">
        <v>16</v>
      </c>
      <c r="G30" s="74">
        <v>2</v>
      </c>
      <c r="H30" s="76"/>
      <c r="I30" s="76">
        <f>H30*16</f>
        <v>0</v>
      </c>
      <c r="J30" s="76"/>
      <c r="K30" s="76">
        <f>J30*16</f>
        <v>0</v>
      </c>
      <c r="L30" s="76"/>
      <c r="M30" s="76">
        <f>L30*16</f>
        <v>0</v>
      </c>
      <c r="N30" s="76"/>
      <c r="O30" s="76">
        <f>N30*16</f>
        <v>0</v>
      </c>
      <c r="P30" s="76"/>
      <c r="Q30" s="76">
        <f>P30*16</f>
        <v>0</v>
      </c>
      <c r="R30" s="76">
        <v>2</v>
      </c>
      <c r="S30" s="76">
        <f>R30*16</f>
        <v>32</v>
      </c>
      <c r="T30" s="77">
        <f t="shared" si="8"/>
        <v>2</v>
      </c>
      <c r="U30" s="78">
        <f t="shared" si="8"/>
        <v>32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</row>
    <row r="31" spans="1:33" ht="18" customHeight="1">
      <c r="A31" s="17"/>
      <c r="B31" s="253"/>
      <c r="C31" s="254"/>
      <c r="D31" s="255" t="s">
        <v>214</v>
      </c>
      <c r="E31" s="255"/>
      <c r="F31" s="79"/>
      <c r="G31" s="79"/>
      <c r="H31" s="80">
        <f t="shared" ref="H31:U31" si="9">SUM(H28:H30)</f>
        <v>0</v>
      </c>
      <c r="I31" s="80">
        <f t="shared" si="9"/>
        <v>0</v>
      </c>
      <c r="J31" s="80">
        <f t="shared" si="9"/>
        <v>0</v>
      </c>
      <c r="K31" s="80">
        <f t="shared" si="9"/>
        <v>0</v>
      </c>
      <c r="L31" s="80">
        <f t="shared" si="9"/>
        <v>0</v>
      </c>
      <c r="M31" s="80">
        <f t="shared" si="9"/>
        <v>0</v>
      </c>
      <c r="N31" s="80">
        <f t="shared" si="9"/>
        <v>0</v>
      </c>
      <c r="O31" s="80">
        <f t="shared" si="9"/>
        <v>0</v>
      </c>
      <c r="P31" s="80">
        <f t="shared" si="9"/>
        <v>3</v>
      </c>
      <c r="Q31" s="80">
        <f t="shared" si="9"/>
        <v>48</v>
      </c>
      <c r="R31" s="80">
        <f t="shared" si="9"/>
        <v>4</v>
      </c>
      <c r="S31" s="80">
        <f t="shared" si="9"/>
        <v>64</v>
      </c>
      <c r="T31" s="81">
        <f t="shared" si="9"/>
        <v>7</v>
      </c>
      <c r="U31" s="81">
        <f t="shared" si="9"/>
        <v>112</v>
      </c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</row>
    <row r="32" spans="1:33" ht="16.5" customHeight="1">
      <c r="A32" s="17"/>
      <c r="B32" s="253" t="s">
        <v>187</v>
      </c>
      <c r="C32" s="254">
        <v>9</v>
      </c>
      <c r="D32" s="69" t="s">
        <v>303</v>
      </c>
      <c r="E32" s="70" t="s">
        <v>304</v>
      </c>
      <c r="F32" s="69">
        <v>30</v>
      </c>
      <c r="G32" s="69">
        <v>5</v>
      </c>
      <c r="H32" s="71"/>
      <c r="I32" s="71">
        <f>H32*16</f>
        <v>0</v>
      </c>
      <c r="J32" s="71"/>
      <c r="K32" s="71">
        <f>J32*16</f>
        <v>0</v>
      </c>
      <c r="L32" s="71"/>
      <c r="M32" s="71">
        <f>L32*16</f>
        <v>0</v>
      </c>
      <c r="N32" s="71"/>
      <c r="O32" s="71">
        <f>N32*16</f>
        <v>0</v>
      </c>
      <c r="P32" s="71">
        <v>1</v>
      </c>
      <c r="Q32" s="71">
        <f>P32*16</f>
        <v>16</v>
      </c>
      <c r="R32" s="71"/>
      <c r="S32" s="71">
        <f>R32*16</f>
        <v>0</v>
      </c>
      <c r="T32" s="72">
        <f t="shared" ref="T32:U36" si="10">SUM(H32,J32,L32,N32,P32,R32)</f>
        <v>1</v>
      </c>
      <c r="U32" s="73">
        <f t="shared" si="10"/>
        <v>16</v>
      </c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</row>
    <row r="33" spans="1:33" ht="16.5" customHeight="1">
      <c r="A33" s="17"/>
      <c r="B33" s="253"/>
      <c r="C33" s="254"/>
      <c r="D33" s="74" t="s">
        <v>305</v>
      </c>
      <c r="E33" s="75" t="s">
        <v>306</v>
      </c>
      <c r="F33" s="74">
        <v>30</v>
      </c>
      <c r="G33" s="74">
        <v>3</v>
      </c>
      <c r="H33" s="76"/>
      <c r="I33" s="76">
        <f>H33*16</f>
        <v>0</v>
      </c>
      <c r="J33" s="76"/>
      <c r="K33" s="76">
        <f>J33*16</f>
        <v>0</v>
      </c>
      <c r="L33" s="76"/>
      <c r="M33" s="76">
        <f>L33*16</f>
        <v>0</v>
      </c>
      <c r="N33" s="76"/>
      <c r="O33" s="76">
        <f>N33*16</f>
        <v>0</v>
      </c>
      <c r="P33" s="76">
        <v>2</v>
      </c>
      <c r="Q33" s="76">
        <f>P33*16</f>
        <v>32</v>
      </c>
      <c r="R33" s="76"/>
      <c r="S33" s="76">
        <f>R33*16</f>
        <v>0</v>
      </c>
      <c r="T33" s="77">
        <f t="shared" si="10"/>
        <v>2</v>
      </c>
      <c r="U33" s="78">
        <f t="shared" si="10"/>
        <v>32</v>
      </c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</row>
    <row r="34" spans="1:33" ht="16.5" customHeight="1">
      <c r="A34" s="17"/>
      <c r="B34" s="253"/>
      <c r="C34" s="254"/>
      <c r="D34" s="74" t="s">
        <v>307</v>
      </c>
      <c r="E34" s="75" t="s">
        <v>308</v>
      </c>
      <c r="F34" s="74">
        <v>30</v>
      </c>
      <c r="G34" s="74">
        <v>4</v>
      </c>
      <c r="H34" s="76"/>
      <c r="I34" s="76">
        <f>H34*16</f>
        <v>0</v>
      </c>
      <c r="J34" s="76"/>
      <c r="K34" s="76">
        <f>J34*16</f>
        <v>0</v>
      </c>
      <c r="L34" s="76"/>
      <c r="M34" s="76">
        <f>L34*16</f>
        <v>0</v>
      </c>
      <c r="N34" s="76"/>
      <c r="O34" s="76">
        <f>N34*16</f>
        <v>0</v>
      </c>
      <c r="P34" s="76">
        <v>2</v>
      </c>
      <c r="Q34" s="76">
        <f>P34*16</f>
        <v>32</v>
      </c>
      <c r="R34" s="76"/>
      <c r="S34" s="76">
        <f>R34*16</f>
        <v>0</v>
      </c>
      <c r="T34" s="77">
        <f t="shared" si="10"/>
        <v>2</v>
      </c>
      <c r="U34" s="78">
        <f t="shared" si="10"/>
        <v>32</v>
      </c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</row>
    <row r="35" spans="1:33" ht="16.5" customHeight="1">
      <c r="A35" s="17"/>
      <c r="B35" s="253"/>
      <c r="C35" s="254"/>
      <c r="D35" s="74" t="s">
        <v>309</v>
      </c>
      <c r="E35" s="75" t="s">
        <v>310</v>
      </c>
      <c r="F35" s="74">
        <v>50</v>
      </c>
      <c r="G35" s="74">
        <v>4</v>
      </c>
      <c r="H35" s="76"/>
      <c r="I35" s="76">
        <f>H35*16</f>
        <v>0</v>
      </c>
      <c r="J35" s="76"/>
      <c r="K35" s="76">
        <f>J35*16</f>
        <v>0</v>
      </c>
      <c r="L35" s="76"/>
      <c r="M35" s="76">
        <f>L35*16</f>
        <v>0</v>
      </c>
      <c r="N35" s="76"/>
      <c r="O35" s="76">
        <f>N35*16</f>
        <v>0</v>
      </c>
      <c r="P35" s="76"/>
      <c r="Q35" s="76">
        <f>P35*16</f>
        <v>0</v>
      </c>
      <c r="R35" s="76">
        <v>2</v>
      </c>
      <c r="S35" s="76">
        <f>R35*16</f>
        <v>32</v>
      </c>
      <c r="T35" s="77">
        <f t="shared" si="10"/>
        <v>2</v>
      </c>
      <c r="U35" s="78">
        <f t="shared" si="10"/>
        <v>32</v>
      </c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</row>
    <row r="36" spans="1:33" ht="16.5" customHeight="1">
      <c r="A36" s="17"/>
      <c r="B36" s="253"/>
      <c r="C36" s="254"/>
      <c r="D36" s="74" t="s">
        <v>311</v>
      </c>
      <c r="E36" s="75" t="s">
        <v>312</v>
      </c>
      <c r="F36" s="74">
        <v>70</v>
      </c>
      <c r="G36" s="74">
        <v>5</v>
      </c>
      <c r="H36" s="76"/>
      <c r="I36" s="76">
        <f>H36*16</f>
        <v>0</v>
      </c>
      <c r="J36" s="76"/>
      <c r="K36" s="76">
        <f>J36*16</f>
        <v>0</v>
      </c>
      <c r="L36" s="76"/>
      <c r="M36" s="76">
        <f>L36*16</f>
        <v>0</v>
      </c>
      <c r="N36" s="76"/>
      <c r="O36" s="76">
        <f>N36*16</f>
        <v>0</v>
      </c>
      <c r="P36" s="76"/>
      <c r="Q36" s="76">
        <f>P36*16</f>
        <v>0</v>
      </c>
      <c r="R36" s="76">
        <v>2</v>
      </c>
      <c r="S36" s="76">
        <f>R36*16</f>
        <v>32</v>
      </c>
      <c r="T36" s="77">
        <f t="shared" si="10"/>
        <v>2</v>
      </c>
      <c r="U36" s="78">
        <f t="shared" si="10"/>
        <v>32</v>
      </c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</row>
    <row r="37" spans="1:33" ht="18" customHeight="1">
      <c r="A37" s="17"/>
      <c r="B37" s="253"/>
      <c r="C37" s="254"/>
      <c r="D37" s="255" t="s">
        <v>214</v>
      </c>
      <c r="E37" s="255"/>
      <c r="F37" s="79"/>
      <c r="G37" s="79"/>
      <c r="H37" s="80">
        <f t="shared" ref="H37:U37" si="11">SUM(H32:H36)</f>
        <v>0</v>
      </c>
      <c r="I37" s="80">
        <f t="shared" si="11"/>
        <v>0</v>
      </c>
      <c r="J37" s="80">
        <f t="shared" si="11"/>
        <v>0</v>
      </c>
      <c r="K37" s="80">
        <f t="shared" si="11"/>
        <v>0</v>
      </c>
      <c r="L37" s="80">
        <f t="shared" si="11"/>
        <v>0</v>
      </c>
      <c r="M37" s="80">
        <f t="shared" si="11"/>
        <v>0</v>
      </c>
      <c r="N37" s="80">
        <f t="shared" si="11"/>
        <v>0</v>
      </c>
      <c r="O37" s="80">
        <f t="shared" si="11"/>
        <v>0</v>
      </c>
      <c r="P37" s="80">
        <f t="shared" si="11"/>
        <v>5</v>
      </c>
      <c r="Q37" s="80">
        <f t="shared" si="11"/>
        <v>80</v>
      </c>
      <c r="R37" s="80">
        <f t="shared" si="11"/>
        <v>4</v>
      </c>
      <c r="S37" s="80">
        <f t="shared" si="11"/>
        <v>64</v>
      </c>
      <c r="T37" s="81">
        <f t="shared" si="11"/>
        <v>9</v>
      </c>
      <c r="U37" s="81">
        <f t="shared" si="11"/>
        <v>144</v>
      </c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</row>
    <row r="38" spans="1:33" ht="16.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</row>
    <row r="39" spans="1:33" ht="31.5" customHeight="1">
      <c r="A39" s="17"/>
      <c r="B39" s="257"/>
      <c r="C39" s="258"/>
      <c r="D39" s="258"/>
      <c r="E39" s="258"/>
      <c r="F39" s="258"/>
      <c r="G39" s="258"/>
      <c r="H39" s="258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</row>
    <row r="40" spans="1:33" ht="16.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</row>
    <row r="41" spans="1:33" ht="16.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</row>
    <row r="42" spans="1:33" ht="16.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</row>
    <row r="43" spans="1:33" ht="16.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</row>
    <row r="44" spans="1:33" ht="16.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</row>
    <row r="45" spans="1:33" ht="16.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</row>
    <row r="46" spans="1:33" ht="16.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</row>
    <row r="47" spans="1:33" ht="16.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</row>
    <row r="48" spans="1:33" ht="16.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</row>
    <row r="49" spans="1:33" ht="16.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</row>
    <row r="50" spans="1:33" ht="16.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</row>
    <row r="51" spans="1:33" ht="16.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</row>
    <row r="52" spans="1:33" ht="16.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</row>
    <row r="53" spans="1:33" ht="16.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</row>
    <row r="54" spans="1:33" ht="16.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</row>
    <row r="55" spans="1:33" ht="16.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</row>
    <row r="56" spans="1:33" ht="16.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</row>
    <row r="57" spans="1:33" ht="16.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</row>
    <row r="58" spans="1:33" ht="16.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</row>
    <row r="59" spans="1:33" ht="16.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</row>
    <row r="60" spans="1:33" ht="16.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</row>
    <row r="61" spans="1:33" ht="16.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</row>
    <row r="62" spans="1:33" ht="16.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</row>
    <row r="63" spans="1:33" ht="16.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</row>
    <row r="64" spans="1:33" ht="16.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</row>
    <row r="65" spans="1:33" ht="16.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</row>
    <row r="66" spans="1:33" ht="16.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</row>
    <row r="67" spans="1:33" ht="16.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</row>
    <row r="68" spans="1:33" ht="16.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</row>
    <row r="69" spans="1:33" ht="16.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</row>
  </sheetData>
  <mergeCells count="44">
    <mergeCell ref="B39:U39"/>
    <mergeCell ref="B28:B31"/>
    <mergeCell ref="C28:C31"/>
    <mergeCell ref="D31:E31"/>
    <mergeCell ref="B32:B37"/>
    <mergeCell ref="C32:C37"/>
    <mergeCell ref="D37:E37"/>
    <mergeCell ref="B19:B22"/>
    <mergeCell ref="C19:C22"/>
    <mergeCell ref="D22:E22"/>
    <mergeCell ref="B23:B27"/>
    <mergeCell ref="C23:C27"/>
    <mergeCell ref="D27:E27"/>
    <mergeCell ref="B9:B13"/>
    <mergeCell ref="C9:C13"/>
    <mergeCell ref="D13:E13"/>
    <mergeCell ref="B14:B18"/>
    <mergeCell ref="C14:C18"/>
    <mergeCell ref="D18:E18"/>
    <mergeCell ref="T6:T8"/>
    <mergeCell ref="U6:U8"/>
    <mergeCell ref="H7:I7"/>
    <mergeCell ref="J7:K7"/>
    <mergeCell ref="L7:M7"/>
    <mergeCell ref="N7:O7"/>
    <mergeCell ref="P7:Q7"/>
    <mergeCell ref="R7:S7"/>
    <mergeCell ref="F6:F8"/>
    <mergeCell ref="G6:G8"/>
    <mergeCell ref="H6:K6"/>
    <mergeCell ref="L6:O6"/>
    <mergeCell ref="P6:S6"/>
    <mergeCell ref="B5:C5"/>
    <mergeCell ref="B6:B8"/>
    <mergeCell ref="C6:C8"/>
    <mergeCell ref="D6:D8"/>
    <mergeCell ref="E6:E8"/>
    <mergeCell ref="B2:U2"/>
    <mergeCell ref="N3:P3"/>
    <mergeCell ref="Q3:S3"/>
    <mergeCell ref="T3:U3"/>
    <mergeCell ref="N4:P4"/>
    <mergeCell ref="Q4:S4"/>
    <mergeCell ref="T4:U4"/>
  </mergeCells>
  <phoneticPr fontId="41" type="noConversion"/>
  <pageMargins left="0.70833333333333304" right="0.70833333333333304" top="0.74791666666666701" bottom="0.74791666666666701" header="0.511811023622047" footer="0.511811023622047"/>
  <pageSetup paperSize="9"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AG69"/>
  <sheetViews>
    <sheetView zoomScaleNormal="100" workbookViewId="0">
      <selection activeCell="W5" sqref="W5:AH10"/>
    </sheetView>
  </sheetViews>
  <sheetFormatPr defaultColWidth="7.25" defaultRowHeight="16.5"/>
  <cols>
    <col min="1" max="1" width="2.625" style="64" customWidth="1"/>
    <col min="2" max="2" width="10" style="64" customWidth="1"/>
    <col min="3" max="3" width="4.75" style="64" customWidth="1"/>
    <col min="4" max="4" width="16.125" style="64" customWidth="1"/>
    <col min="5" max="5" width="16.25" style="65" customWidth="1"/>
    <col min="6" max="6" width="7.75" style="65" customWidth="1"/>
    <col min="7" max="7" width="9.125" style="64" customWidth="1"/>
    <col min="8" max="19" width="6.625" style="64" customWidth="1"/>
    <col min="20" max="20" width="5.625" style="64" customWidth="1"/>
    <col min="21" max="21" width="6" style="64" customWidth="1"/>
  </cols>
  <sheetData>
    <row r="2" spans="1:33" ht="39.75" customHeight="1">
      <c r="B2" s="239" t="s">
        <v>190</v>
      </c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</row>
    <row r="3" spans="1:33" ht="27" customHeight="1"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240" t="s">
        <v>7</v>
      </c>
      <c r="O3" s="240"/>
      <c r="P3" s="240"/>
      <c r="Q3" s="240" t="s">
        <v>15</v>
      </c>
      <c r="R3" s="240"/>
      <c r="S3" s="240"/>
      <c r="T3" s="241" t="s">
        <v>1</v>
      </c>
      <c r="U3" s="241"/>
    </row>
    <row r="4" spans="1:33" ht="30" customHeight="1" thickBot="1"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242" t="s">
        <v>22</v>
      </c>
      <c r="O4" s="242"/>
      <c r="P4" s="242"/>
      <c r="Q4" s="256" t="s">
        <v>313</v>
      </c>
      <c r="R4" s="256"/>
      <c r="S4" s="256"/>
      <c r="T4" s="244">
        <v>2027</v>
      </c>
      <c r="U4" s="244"/>
    </row>
    <row r="5" spans="1:33" ht="24" customHeight="1" thickBot="1">
      <c r="B5" s="245"/>
      <c r="C5" s="245"/>
    </row>
    <row r="6" spans="1:33" ht="20.25" customHeight="1" thickBot="1">
      <c r="B6" s="246" t="s">
        <v>192</v>
      </c>
      <c r="C6" s="247" t="s">
        <v>36</v>
      </c>
      <c r="D6" s="248" t="s">
        <v>193</v>
      </c>
      <c r="E6" s="248" t="s">
        <v>194</v>
      </c>
      <c r="F6" s="248" t="s">
        <v>195</v>
      </c>
      <c r="G6" s="248" t="s">
        <v>196</v>
      </c>
      <c r="H6" s="249" t="s">
        <v>197</v>
      </c>
      <c r="I6" s="249"/>
      <c r="J6" s="249"/>
      <c r="K6" s="249"/>
      <c r="L6" s="249" t="s">
        <v>198</v>
      </c>
      <c r="M6" s="249"/>
      <c r="N6" s="249"/>
      <c r="O6" s="249"/>
      <c r="P6" s="249" t="s">
        <v>199</v>
      </c>
      <c r="Q6" s="249"/>
      <c r="R6" s="249"/>
      <c r="S6" s="249"/>
      <c r="T6" s="250" t="s">
        <v>200</v>
      </c>
      <c r="U6" s="251" t="s">
        <v>201</v>
      </c>
    </row>
    <row r="7" spans="1:33" ht="16.5" customHeight="1" thickBot="1">
      <c r="B7" s="246"/>
      <c r="C7" s="247"/>
      <c r="D7" s="247"/>
      <c r="E7" s="247"/>
      <c r="F7" s="247"/>
      <c r="G7" s="247"/>
      <c r="H7" s="252" t="s">
        <v>202</v>
      </c>
      <c r="I7" s="252"/>
      <c r="J7" s="252" t="s">
        <v>203</v>
      </c>
      <c r="K7" s="252"/>
      <c r="L7" s="252" t="s">
        <v>202</v>
      </c>
      <c r="M7" s="252"/>
      <c r="N7" s="252" t="s">
        <v>203</v>
      </c>
      <c r="O7" s="252"/>
      <c r="P7" s="252" t="s">
        <v>202</v>
      </c>
      <c r="Q7" s="252"/>
      <c r="R7" s="252" t="s">
        <v>203</v>
      </c>
      <c r="S7" s="252"/>
      <c r="T7" s="250"/>
      <c r="U7" s="251"/>
    </row>
    <row r="8" spans="1:33" ht="17.25" customHeight="1" thickBot="1">
      <c r="B8" s="246"/>
      <c r="C8" s="247"/>
      <c r="D8" s="247"/>
      <c r="E8" s="247"/>
      <c r="F8" s="247"/>
      <c r="G8" s="247"/>
      <c r="H8" s="68" t="s">
        <v>204</v>
      </c>
      <c r="I8" s="68" t="s">
        <v>205</v>
      </c>
      <c r="J8" s="68" t="s">
        <v>204</v>
      </c>
      <c r="K8" s="68" t="s">
        <v>205</v>
      </c>
      <c r="L8" s="68" t="s">
        <v>204</v>
      </c>
      <c r="M8" s="68" t="s">
        <v>205</v>
      </c>
      <c r="N8" s="68" t="s">
        <v>204</v>
      </c>
      <c r="O8" s="68" t="s">
        <v>205</v>
      </c>
      <c r="P8" s="68" t="s">
        <v>204</v>
      </c>
      <c r="Q8" s="68" t="s">
        <v>205</v>
      </c>
      <c r="R8" s="68" t="s">
        <v>204</v>
      </c>
      <c r="S8" s="68" t="s">
        <v>205</v>
      </c>
      <c r="T8" s="250"/>
      <c r="U8" s="251"/>
    </row>
    <row r="9" spans="1:33" ht="16.5" customHeight="1" thickBot="1">
      <c r="A9" s="17"/>
      <c r="B9" s="253" t="s">
        <v>178</v>
      </c>
      <c r="C9" s="254">
        <v>8</v>
      </c>
      <c r="D9" s="69" t="s">
        <v>279</v>
      </c>
      <c r="E9" s="70" t="s">
        <v>280</v>
      </c>
      <c r="F9" s="69">
        <v>45</v>
      </c>
      <c r="G9" s="69">
        <v>4</v>
      </c>
      <c r="H9" s="71"/>
      <c r="I9" s="71">
        <f>H9*16</f>
        <v>0</v>
      </c>
      <c r="J9" s="71"/>
      <c r="K9" s="71">
        <f>J9*16</f>
        <v>0</v>
      </c>
      <c r="L9" s="71"/>
      <c r="M9" s="71">
        <f>L9*16</f>
        <v>0</v>
      </c>
      <c r="N9" s="71"/>
      <c r="O9" s="71">
        <f>N9*16</f>
        <v>0</v>
      </c>
      <c r="P9" s="71">
        <v>2</v>
      </c>
      <c r="Q9" s="71">
        <f>P9*16</f>
        <v>32</v>
      </c>
      <c r="R9" s="71"/>
      <c r="S9" s="71">
        <f>R9*16</f>
        <v>0</v>
      </c>
      <c r="T9" s="72">
        <f t="shared" ref="T9:U12" si="0">SUM(H9,J9,L9,N9,P9,R9)</f>
        <v>2</v>
      </c>
      <c r="U9" s="73">
        <f t="shared" si="0"/>
        <v>32</v>
      </c>
      <c r="V9" s="17"/>
    </row>
    <row r="10" spans="1:33" ht="16.5" customHeight="1" thickBot="1">
      <c r="A10" s="17"/>
      <c r="B10" s="253"/>
      <c r="C10" s="254"/>
      <c r="D10" s="74" t="s">
        <v>281</v>
      </c>
      <c r="E10" s="75" t="s">
        <v>282</v>
      </c>
      <c r="F10" s="74">
        <v>45</v>
      </c>
      <c r="G10" s="74">
        <v>5</v>
      </c>
      <c r="H10" s="76"/>
      <c r="I10" s="76">
        <f>H10*16</f>
        <v>0</v>
      </c>
      <c r="J10" s="76"/>
      <c r="K10" s="76">
        <f>J10*16</f>
        <v>0</v>
      </c>
      <c r="L10" s="76"/>
      <c r="M10" s="76">
        <f>L10*16</f>
        <v>0</v>
      </c>
      <c r="N10" s="76"/>
      <c r="O10" s="76">
        <f>N10*16</f>
        <v>0</v>
      </c>
      <c r="P10" s="76">
        <v>2</v>
      </c>
      <c r="Q10" s="76">
        <f>P10*16</f>
        <v>32</v>
      </c>
      <c r="R10" s="76"/>
      <c r="S10" s="76">
        <f>R10*16</f>
        <v>0</v>
      </c>
      <c r="T10" s="77">
        <f t="shared" si="0"/>
        <v>2</v>
      </c>
      <c r="U10" s="78">
        <f t="shared" si="0"/>
        <v>32</v>
      </c>
      <c r="V10" s="17"/>
    </row>
    <row r="11" spans="1:33" ht="16.5" customHeight="1" thickBot="1">
      <c r="A11" s="17"/>
      <c r="B11" s="253"/>
      <c r="C11" s="254"/>
      <c r="D11" s="74" t="s">
        <v>283</v>
      </c>
      <c r="E11" s="75" t="s">
        <v>284</v>
      </c>
      <c r="F11" s="74">
        <v>45</v>
      </c>
      <c r="G11" s="74">
        <v>5</v>
      </c>
      <c r="H11" s="76"/>
      <c r="I11" s="76">
        <f>H11*16</f>
        <v>0</v>
      </c>
      <c r="J11" s="76"/>
      <c r="K11" s="76">
        <f>J11*16</f>
        <v>0</v>
      </c>
      <c r="L11" s="76"/>
      <c r="M11" s="76">
        <f>L11*16</f>
        <v>0</v>
      </c>
      <c r="N11" s="76"/>
      <c r="O11" s="76">
        <f>N11*16</f>
        <v>0</v>
      </c>
      <c r="P11" s="76"/>
      <c r="Q11" s="76">
        <f>P11*16</f>
        <v>0</v>
      </c>
      <c r="R11" s="76">
        <v>2</v>
      </c>
      <c r="S11" s="76">
        <f>R11*16</f>
        <v>32</v>
      </c>
      <c r="T11" s="77">
        <f t="shared" si="0"/>
        <v>2</v>
      </c>
      <c r="U11" s="78">
        <f t="shared" si="0"/>
        <v>32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6.5" customHeight="1">
      <c r="A12" s="17"/>
      <c r="B12" s="253"/>
      <c r="C12" s="254"/>
      <c r="D12" s="74" t="s">
        <v>285</v>
      </c>
      <c r="E12" s="75" t="s">
        <v>286</v>
      </c>
      <c r="F12" s="74">
        <v>45</v>
      </c>
      <c r="G12" s="74">
        <v>5</v>
      </c>
      <c r="H12" s="76"/>
      <c r="I12" s="76">
        <f>H12*16</f>
        <v>0</v>
      </c>
      <c r="J12" s="76"/>
      <c r="K12" s="76">
        <f>J12*16</f>
        <v>0</v>
      </c>
      <c r="L12" s="76"/>
      <c r="M12" s="76">
        <f>L12*16</f>
        <v>0</v>
      </c>
      <c r="N12" s="76"/>
      <c r="O12" s="76">
        <f>N12*16</f>
        <v>0</v>
      </c>
      <c r="P12" s="76"/>
      <c r="Q12" s="76">
        <f>P12*16</f>
        <v>0</v>
      </c>
      <c r="R12" s="76">
        <v>2</v>
      </c>
      <c r="S12" s="76">
        <f>R12*16</f>
        <v>32</v>
      </c>
      <c r="T12" s="77">
        <f t="shared" si="0"/>
        <v>2</v>
      </c>
      <c r="U12" s="78">
        <f t="shared" si="0"/>
        <v>32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3" spans="1:33" ht="18" customHeight="1">
      <c r="A13" s="17"/>
      <c r="B13" s="253"/>
      <c r="C13" s="254"/>
      <c r="D13" s="255" t="s">
        <v>214</v>
      </c>
      <c r="E13" s="255"/>
      <c r="F13" s="79"/>
      <c r="G13" s="79"/>
      <c r="H13" s="80">
        <f t="shared" ref="H13:U13" si="1">SUM(H9:H12)</f>
        <v>0</v>
      </c>
      <c r="I13" s="80">
        <f t="shared" si="1"/>
        <v>0</v>
      </c>
      <c r="J13" s="80">
        <f t="shared" si="1"/>
        <v>0</v>
      </c>
      <c r="K13" s="80">
        <f t="shared" si="1"/>
        <v>0</v>
      </c>
      <c r="L13" s="80">
        <f t="shared" si="1"/>
        <v>0</v>
      </c>
      <c r="M13" s="80">
        <f t="shared" si="1"/>
        <v>0</v>
      </c>
      <c r="N13" s="80">
        <f t="shared" si="1"/>
        <v>0</v>
      </c>
      <c r="O13" s="80">
        <f t="shared" si="1"/>
        <v>0</v>
      </c>
      <c r="P13" s="80">
        <f t="shared" si="1"/>
        <v>4</v>
      </c>
      <c r="Q13" s="80">
        <f t="shared" si="1"/>
        <v>64</v>
      </c>
      <c r="R13" s="80">
        <f t="shared" si="1"/>
        <v>4</v>
      </c>
      <c r="S13" s="80">
        <f t="shared" si="1"/>
        <v>64</v>
      </c>
      <c r="T13" s="81">
        <f t="shared" si="1"/>
        <v>8</v>
      </c>
      <c r="U13" s="81">
        <f t="shared" si="1"/>
        <v>128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</row>
    <row r="14" spans="1:33" ht="16.5" customHeight="1">
      <c r="A14" s="17"/>
      <c r="B14" s="253" t="s">
        <v>179</v>
      </c>
      <c r="C14" s="254">
        <v>8</v>
      </c>
      <c r="D14" s="69" t="s">
        <v>287</v>
      </c>
      <c r="E14" s="70" t="s">
        <v>288</v>
      </c>
      <c r="F14" s="69">
        <v>45</v>
      </c>
      <c r="G14" s="69">
        <v>5</v>
      </c>
      <c r="H14" s="71"/>
      <c r="I14" s="71">
        <f>H14*16</f>
        <v>0</v>
      </c>
      <c r="J14" s="71"/>
      <c r="K14" s="71">
        <f>J14*16</f>
        <v>0</v>
      </c>
      <c r="L14" s="71"/>
      <c r="M14" s="71">
        <f>L14*16</f>
        <v>0</v>
      </c>
      <c r="N14" s="71"/>
      <c r="O14" s="71">
        <f>N14*16</f>
        <v>0</v>
      </c>
      <c r="P14" s="71">
        <v>2</v>
      </c>
      <c r="Q14" s="71">
        <f>P14*16</f>
        <v>32</v>
      </c>
      <c r="R14" s="71"/>
      <c r="S14" s="71">
        <f>R14*16</f>
        <v>0</v>
      </c>
      <c r="T14" s="72">
        <f t="shared" ref="T14:U17" si="2">SUM(H14,J14,L14,N14,P14,R14)</f>
        <v>2</v>
      </c>
      <c r="U14" s="73">
        <f t="shared" si="2"/>
        <v>32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</row>
    <row r="15" spans="1:33" ht="16.5" customHeight="1">
      <c r="A15" s="17"/>
      <c r="B15" s="253"/>
      <c r="C15" s="254"/>
      <c r="D15" s="74" t="s">
        <v>289</v>
      </c>
      <c r="E15" s="75" t="s">
        <v>290</v>
      </c>
      <c r="F15" s="74">
        <v>45</v>
      </c>
      <c r="G15" s="74">
        <v>3</v>
      </c>
      <c r="H15" s="76"/>
      <c r="I15" s="76">
        <f>H15*16</f>
        <v>0</v>
      </c>
      <c r="J15" s="76"/>
      <c r="K15" s="76">
        <f>J15*16</f>
        <v>0</v>
      </c>
      <c r="L15" s="76"/>
      <c r="M15" s="76">
        <f>L15*16</f>
        <v>0</v>
      </c>
      <c r="N15" s="76"/>
      <c r="O15" s="76">
        <f>N15*16</f>
        <v>0</v>
      </c>
      <c r="P15" s="76">
        <v>2</v>
      </c>
      <c r="Q15" s="76">
        <f>P15*16</f>
        <v>32</v>
      </c>
      <c r="R15" s="76"/>
      <c r="S15" s="76">
        <f>R15*16</f>
        <v>0</v>
      </c>
      <c r="T15" s="77">
        <f t="shared" si="2"/>
        <v>2</v>
      </c>
      <c r="U15" s="78">
        <f t="shared" si="2"/>
        <v>32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</row>
    <row r="16" spans="1:33" ht="16.5" customHeight="1">
      <c r="A16" s="17"/>
      <c r="B16" s="253"/>
      <c r="C16" s="254"/>
      <c r="D16" s="84" t="s">
        <v>291</v>
      </c>
      <c r="E16" s="75" t="s">
        <v>292</v>
      </c>
      <c r="F16" s="84">
        <v>60</v>
      </c>
      <c r="G16" s="84">
        <v>3</v>
      </c>
      <c r="H16" s="76"/>
      <c r="I16" s="76">
        <f>H16*16</f>
        <v>0</v>
      </c>
      <c r="J16" s="76"/>
      <c r="K16" s="76">
        <f>J16*16</f>
        <v>0</v>
      </c>
      <c r="L16" s="76"/>
      <c r="M16" s="76">
        <f>L16*16</f>
        <v>0</v>
      </c>
      <c r="N16" s="76"/>
      <c r="O16" s="76">
        <f>N16*16</f>
        <v>0</v>
      </c>
      <c r="P16" s="76"/>
      <c r="Q16" s="76">
        <f>P16*16</f>
        <v>0</v>
      </c>
      <c r="R16" s="76">
        <v>2</v>
      </c>
      <c r="S16" s="76">
        <f>R16*16</f>
        <v>32</v>
      </c>
      <c r="T16" s="77">
        <f t="shared" si="2"/>
        <v>2</v>
      </c>
      <c r="U16" s="78">
        <f t="shared" si="2"/>
        <v>32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</row>
    <row r="17" spans="1:33" ht="16.5" customHeight="1">
      <c r="A17" s="17"/>
      <c r="B17" s="253"/>
      <c r="C17" s="254"/>
      <c r="D17" s="74" t="s">
        <v>293</v>
      </c>
      <c r="E17" s="75" t="s">
        <v>294</v>
      </c>
      <c r="F17" s="74">
        <v>60</v>
      </c>
      <c r="G17" s="74">
        <v>4</v>
      </c>
      <c r="H17" s="76"/>
      <c r="I17" s="76">
        <f>H17*16</f>
        <v>0</v>
      </c>
      <c r="J17" s="76"/>
      <c r="K17" s="76">
        <f>J17*16</f>
        <v>0</v>
      </c>
      <c r="L17" s="76"/>
      <c r="M17" s="76">
        <f>L17*16</f>
        <v>0</v>
      </c>
      <c r="N17" s="76"/>
      <c r="O17" s="76">
        <f>N17*16</f>
        <v>0</v>
      </c>
      <c r="P17" s="76"/>
      <c r="Q17" s="76">
        <f>P17*16</f>
        <v>0</v>
      </c>
      <c r="R17" s="76">
        <v>2</v>
      </c>
      <c r="S17" s="76">
        <f>R17*16</f>
        <v>32</v>
      </c>
      <c r="T17" s="77">
        <f t="shared" si="2"/>
        <v>2</v>
      </c>
      <c r="U17" s="78">
        <f t="shared" si="2"/>
        <v>32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</row>
    <row r="18" spans="1:33" ht="18" customHeight="1">
      <c r="A18" s="17"/>
      <c r="B18" s="253"/>
      <c r="C18" s="254"/>
      <c r="D18" s="255" t="s">
        <v>214</v>
      </c>
      <c r="E18" s="255"/>
      <c r="F18" s="79"/>
      <c r="G18" s="79"/>
      <c r="H18" s="80">
        <f t="shared" ref="H18:U18" si="3">SUM(H14:H17)</f>
        <v>0</v>
      </c>
      <c r="I18" s="80">
        <f t="shared" si="3"/>
        <v>0</v>
      </c>
      <c r="J18" s="80">
        <f t="shared" si="3"/>
        <v>0</v>
      </c>
      <c r="K18" s="80">
        <f t="shared" si="3"/>
        <v>0</v>
      </c>
      <c r="L18" s="80">
        <f t="shared" si="3"/>
        <v>0</v>
      </c>
      <c r="M18" s="80">
        <f t="shared" si="3"/>
        <v>0</v>
      </c>
      <c r="N18" s="80">
        <f t="shared" si="3"/>
        <v>0</v>
      </c>
      <c r="O18" s="80">
        <f t="shared" si="3"/>
        <v>0</v>
      </c>
      <c r="P18" s="80">
        <f t="shared" si="3"/>
        <v>4</v>
      </c>
      <c r="Q18" s="80">
        <f t="shared" si="3"/>
        <v>64</v>
      </c>
      <c r="R18" s="80">
        <f t="shared" si="3"/>
        <v>4</v>
      </c>
      <c r="S18" s="80">
        <f t="shared" si="3"/>
        <v>64</v>
      </c>
      <c r="T18" s="81">
        <f t="shared" si="3"/>
        <v>8</v>
      </c>
      <c r="U18" s="81">
        <f t="shared" si="3"/>
        <v>128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</row>
    <row r="19" spans="1:33" ht="16.5" customHeight="1">
      <c r="A19" s="17"/>
      <c r="B19" s="253" t="s">
        <v>120</v>
      </c>
      <c r="C19" s="254">
        <v>8</v>
      </c>
      <c r="D19" s="69" t="s">
        <v>221</v>
      </c>
      <c r="E19" s="70" t="s">
        <v>222</v>
      </c>
      <c r="F19" s="69">
        <v>80</v>
      </c>
      <c r="G19" s="69">
        <v>3</v>
      </c>
      <c r="H19" s="71"/>
      <c r="I19" s="71">
        <f>H19*16</f>
        <v>0</v>
      </c>
      <c r="J19" s="71"/>
      <c r="K19" s="71">
        <f>J19*16</f>
        <v>0</v>
      </c>
      <c r="L19" s="71"/>
      <c r="M19" s="71">
        <f>L19*16</f>
        <v>0</v>
      </c>
      <c r="N19" s="71"/>
      <c r="O19" s="71">
        <f>N19*16</f>
        <v>0</v>
      </c>
      <c r="P19" s="71">
        <v>4</v>
      </c>
      <c r="Q19" s="71">
        <f>P19*16</f>
        <v>64</v>
      </c>
      <c r="R19" s="71"/>
      <c r="S19" s="71">
        <f>R19*16</f>
        <v>0</v>
      </c>
      <c r="T19" s="72">
        <f t="shared" ref="T19:U21" si="4">SUM(H19,J19,L19,N19,P19,R19)</f>
        <v>4</v>
      </c>
      <c r="U19" s="73">
        <f t="shared" si="4"/>
        <v>64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</row>
    <row r="20" spans="1:33" ht="16.5" customHeight="1">
      <c r="A20" s="17"/>
      <c r="B20" s="253"/>
      <c r="C20" s="254"/>
      <c r="D20" s="74" t="s">
        <v>223</v>
      </c>
      <c r="E20" s="75" t="s">
        <v>224</v>
      </c>
      <c r="F20" s="74">
        <v>20</v>
      </c>
      <c r="G20" s="74">
        <v>3</v>
      </c>
      <c r="H20" s="76"/>
      <c r="I20" s="76">
        <f>H20*16</f>
        <v>0</v>
      </c>
      <c r="J20" s="76"/>
      <c r="K20" s="76">
        <f>J20*16</f>
        <v>0</v>
      </c>
      <c r="L20" s="76"/>
      <c r="M20" s="76">
        <f>L20*16</f>
        <v>0</v>
      </c>
      <c r="N20" s="76"/>
      <c r="O20" s="76">
        <f>N20*16</f>
        <v>0</v>
      </c>
      <c r="P20" s="76"/>
      <c r="Q20" s="76">
        <f>P20*16</f>
        <v>0</v>
      </c>
      <c r="R20" s="76">
        <v>2</v>
      </c>
      <c r="S20" s="76">
        <f>R20*16</f>
        <v>32</v>
      </c>
      <c r="T20" s="77">
        <f t="shared" si="4"/>
        <v>2</v>
      </c>
      <c r="U20" s="78">
        <f t="shared" si="4"/>
        <v>32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</row>
    <row r="21" spans="1:33" ht="16.5" customHeight="1">
      <c r="A21" s="17"/>
      <c r="B21" s="253"/>
      <c r="C21" s="254"/>
      <c r="D21" s="74" t="s">
        <v>225</v>
      </c>
      <c r="E21" s="75" t="s">
        <v>226</v>
      </c>
      <c r="F21" s="74">
        <v>20</v>
      </c>
      <c r="G21" s="74">
        <v>2</v>
      </c>
      <c r="H21" s="76"/>
      <c r="I21" s="76">
        <f>H21*16</f>
        <v>0</v>
      </c>
      <c r="J21" s="76"/>
      <c r="K21" s="76">
        <f>J21*16</f>
        <v>0</v>
      </c>
      <c r="L21" s="76"/>
      <c r="M21" s="76">
        <f>L21*16</f>
        <v>0</v>
      </c>
      <c r="N21" s="76"/>
      <c r="O21" s="76">
        <f>N21*16</f>
        <v>0</v>
      </c>
      <c r="P21" s="76"/>
      <c r="Q21" s="76">
        <f>P21*16</f>
        <v>0</v>
      </c>
      <c r="R21" s="76">
        <v>2</v>
      </c>
      <c r="S21" s="76">
        <f>R21*16</f>
        <v>32</v>
      </c>
      <c r="T21" s="77">
        <f t="shared" si="4"/>
        <v>2</v>
      </c>
      <c r="U21" s="78">
        <f t="shared" si="4"/>
        <v>32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</row>
    <row r="22" spans="1:33" ht="18" customHeight="1">
      <c r="A22" s="17"/>
      <c r="B22" s="253"/>
      <c r="C22" s="254"/>
      <c r="D22" s="255" t="s">
        <v>214</v>
      </c>
      <c r="E22" s="255"/>
      <c r="F22" s="79"/>
      <c r="G22" s="79"/>
      <c r="H22" s="80">
        <f t="shared" ref="H22:U22" si="5">SUM(H19:H21)</f>
        <v>0</v>
      </c>
      <c r="I22" s="80">
        <f t="shared" si="5"/>
        <v>0</v>
      </c>
      <c r="J22" s="80">
        <f t="shared" si="5"/>
        <v>0</v>
      </c>
      <c r="K22" s="80">
        <f t="shared" si="5"/>
        <v>0</v>
      </c>
      <c r="L22" s="80">
        <f t="shared" si="5"/>
        <v>0</v>
      </c>
      <c r="M22" s="80">
        <f t="shared" si="5"/>
        <v>0</v>
      </c>
      <c r="N22" s="80">
        <f t="shared" si="5"/>
        <v>0</v>
      </c>
      <c r="O22" s="80">
        <f t="shared" si="5"/>
        <v>0</v>
      </c>
      <c r="P22" s="80">
        <f t="shared" si="5"/>
        <v>4</v>
      </c>
      <c r="Q22" s="80">
        <f t="shared" si="5"/>
        <v>64</v>
      </c>
      <c r="R22" s="80">
        <f t="shared" si="5"/>
        <v>4</v>
      </c>
      <c r="S22" s="80">
        <f t="shared" si="5"/>
        <v>64</v>
      </c>
      <c r="T22" s="81">
        <f t="shared" si="5"/>
        <v>8</v>
      </c>
      <c r="U22" s="81">
        <f t="shared" si="5"/>
        <v>128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</row>
    <row r="23" spans="1:33" ht="16.5" customHeight="1">
      <c r="A23" s="17"/>
      <c r="B23" s="253" t="s">
        <v>180</v>
      </c>
      <c r="C23" s="254">
        <v>8</v>
      </c>
      <c r="D23" s="69" t="s">
        <v>295</v>
      </c>
      <c r="E23" s="70" t="s">
        <v>296</v>
      </c>
      <c r="F23" s="69">
        <v>16</v>
      </c>
      <c r="G23" s="69">
        <v>3</v>
      </c>
      <c r="H23" s="71"/>
      <c r="I23" s="71">
        <f>H23*16</f>
        <v>0</v>
      </c>
      <c r="J23" s="71"/>
      <c r="K23" s="71">
        <f>J23*16</f>
        <v>0</v>
      </c>
      <c r="L23" s="71"/>
      <c r="M23" s="71">
        <f>L23*16</f>
        <v>0</v>
      </c>
      <c r="N23" s="71"/>
      <c r="O23" s="71">
        <f>N23*16</f>
        <v>0</v>
      </c>
      <c r="P23" s="71">
        <v>2</v>
      </c>
      <c r="Q23" s="71">
        <f>P23*16</f>
        <v>32</v>
      </c>
      <c r="R23" s="71"/>
      <c r="S23" s="71">
        <f>R23*16</f>
        <v>0</v>
      </c>
      <c r="T23" s="72">
        <f t="shared" ref="T23:U26" si="6">SUM(H23,J23,L23,N23,P23,R23)</f>
        <v>2</v>
      </c>
      <c r="U23" s="73">
        <f t="shared" si="6"/>
        <v>32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</row>
    <row r="24" spans="1:33" ht="16.5" customHeight="1">
      <c r="A24" s="17"/>
      <c r="B24" s="253"/>
      <c r="C24" s="254"/>
      <c r="D24" s="74" t="s">
        <v>297</v>
      </c>
      <c r="E24" s="75" t="s">
        <v>298</v>
      </c>
      <c r="F24" s="74">
        <v>32</v>
      </c>
      <c r="G24" s="74">
        <v>5</v>
      </c>
      <c r="H24" s="76"/>
      <c r="I24" s="76">
        <f>H24*16</f>
        <v>0</v>
      </c>
      <c r="J24" s="76"/>
      <c r="K24" s="76">
        <f>J24*16</f>
        <v>0</v>
      </c>
      <c r="L24" s="76"/>
      <c r="M24" s="76">
        <f>L24*16</f>
        <v>0</v>
      </c>
      <c r="N24" s="76"/>
      <c r="O24" s="76">
        <f>N24*16</f>
        <v>0</v>
      </c>
      <c r="P24" s="76">
        <v>2</v>
      </c>
      <c r="Q24" s="76">
        <f>P24*16</f>
        <v>32</v>
      </c>
      <c r="R24" s="76"/>
      <c r="S24" s="76">
        <f>R24*16</f>
        <v>0</v>
      </c>
      <c r="T24" s="77">
        <f t="shared" si="6"/>
        <v>2</v>
      </c>
      <c r="U24" s="78">
        <f t="shared" si="6"/>
        <v>32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</row>
    <row r="25" spans="1:33" ht="16.5" customHeight="1">
      <c r="A25" s="17"/>
      <c r="B25" s="253"/>
      <c r="C25" s="254"/>
      <c r="D25" s="74" t="s">
        <v>299</v>
      </c>
      <c r="E25" s="75" t="s">
        <v>300</v>
      </c>
      <c r="F25" s="74">
        <v>48</v>
      </c>
      <c r="G25" s="74">
        <v>5</v>
      </c>
      <c r="H25" s="76"/>
      <c r="I25" s="76">
        <f>H25*16</f>
        <v>0</v>
      </c>
      <c r="J25" s="76"/>
      <c r="K25" s="76">
        <f>J25*16</f>
        <v>0</v>
      </c>
      <c r="L25" s="76"/>
      <c r="M25" s="76">
        <f>L25*16</f>
        <v>0</v>
      </c>
      <c r="N25" s="76"/>
      <c r="O25" s="76">
        <f>N25*16</f>
        <v>0</v>
      </c>
      <c r="P25" s="76"/>
      <c r="Q25" s="76">
        <f>P25*16</f>
        <v>0</v>
      </c>
      <c r="R25" s="76">
        <v>2</v>
      </c>
      <c r="S25" s="76">
        <f>R25*16</f>
        <v>32</v>
      </c>
      <c r="T25" s="77">
        <f t="shared" si="6"/>
        <v>2</v>
      </c>
      <c r="U25" s="78">
        <f t="shared" si="6"/>
        <v>32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</row>
    <row r="26" spans="1:33" ht="16.5" customHeight="1">
      <c r="A26" s="17"/>
      <c r="B26" s="253"/>
      <c r="C26" s="254"/>
      <c r="D26" s="74" t="s">
        <v>301</v>
      </c>
      <c r="E26" s="75" t="s">
        <v>302</v>
      </c>
      <c r="F26" s="74">
        <v>32</v>
      </c>
      <c r="G26" s="74">
        <v>5</v>
      </c>
      <c r="H26" s="76"/>
      <c r="I26" s="76">
        <f>H26*16</f>
        <v>0</v>
      </c>
      <c r="J26" s="76"/>
      <c r="K26" s="76">
        <f>J26*16</f>
        <v>0</v>
      </c>
      <c r="L26" s="76"/>
      <c r="M26" s="76">
        <f>L26*16</f>
        <v>0</v>
      </c>
      <c r="N26" s="76"/>
      <c r="O26" s="76">
        <f>N26*16</f>
        <v>0</v>
      </c>
      <c r="P26" s="76"/>
      <c r="Q26" s="76">
        <f>P26*16</f>
        <v>0</v>
      </c>
      <c r="R26" s="76">
        <v>2</v>
      </c>
      <c r="S26" s="76">
        <f>R26*16</f>
        <v>32</v>
      </c>
      <c r="T26" s="77">
        <f t="shared" si="6"/>
        <v>2</v>
      </c>
      <c r="U26" s="78">
        <f t="shared" si="6"/>
        <v>32</v>
      </c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</row>
    <row r="27" spans="1:33" ht="18" customHeight="1">
      <c r="A27" s="17"/>
      <c r="B27" s="253"/>
      <c r="C27" s="254"/>
      <c r="D27" s="255" t="s">
        <v>214</v>
      </c>
      <c r="E27" s="255"/>
      <c r="F27" s="79"/>
      <c r="G27" s="79"/>
      <c r="H27" s="80">
        <f t="shared" ref="H27:U27" si="7">SUM(H23:H26)</f>
        <v>0</v>
      </c>
      <c r="I27" s="80">
        <f t="shared" si="7"/>
        <v>0</v>
      </c>
      <c r="J27" s="80">
        <f t="shared" si="7"/>
        <v>0</v>
      </c>
      <c r="K27" s="80">
        <f t="shared" si="7"/>
        <v>0</v>
      </c>
      <c r="L27" s="80">
        <f t="shared" si="7"/>
        <v>0</v>
      </c>
      <c r="M27" s="80">
        <f t="shared" si="7"/>
        <v>0</v>
      </c>
      <c r="N27" s="80">
        <f t="shared" si="7"/>
        <v>0</v>
      </c>
      <c r="O27" s="80">
        <f t="shared" si="7"/>
        <v>0</v>
      </c>
      <c r="P27" s="80">
        <f t="shared" si="7"/>
        <v>4</v>
      </c>
      <c r="Q27" s="80">
        <f t="shared" si="7"/>
        <v>64</v>
      </c>
      <c r="R27" s="80">
        <f t="shared" si="7"/>
        <v>4</v>
      </c>
      <c r="S27" s="80">
        <f t="shared" si="7"/>
        <v>64</v>
      </c>
      <c r="T27" s="81">
        <f t="shared" si="7"/>
        <v>8</v>
      </c>
      <c r="U27" s="81">
        <f t="shared" si="7"/>
        <v>128</v>
      </c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</row>
    <row r="28" spans="1:33" ht="16.5" customHeight="1">
      <c r="A28" s="17"/>
      <c r="B28" s="253" t="s">
        <v>121</v>
      </c>
      <c r="C28" s="254">
        <v>7</v>
      </c>
      <c r="D28" s="69" t="s">
        <v>215</v>
      </c>
      <c r="E28" s="70" t="s">
        <v>216</v>
      </c>
      <c r="F28" s="69">
        <v>24</v>
      </c>
      <c r="G28" s="69">
        <v>5</v>
      </c>
      <c r="H28" s="71"/>
      <c r="I28" s="71">
        <f>H28*16</f>
        <v>0</v>
      </c>
      <c r="J28" s="71"/>
      <c r="K28" s="71">
        <f>J28*16</f>
        <v>0</v>
      </c>
      <c r="L28" s="71"/>
      <c r="M28" s="71">
        <f>L28*16</f>
        <v>0</v>
      </c>
      <c r="N28" s="71"/>
      <c r="O28" s="71">
        <f>N28*16</f>
        <v>0</v>
      </c>
      <c r="P28" s="71">
        <v>3</v>
      </c>
      <c r="Q28" s="71">
        <f>P28*16</f>
        <v>48</v>
      </c>
      <c r="R28" s="71"/>
      <c r="S28" s="71">
        <f>R28*16</f>
        <v>0</v>
      </c>
      <c r="T28" s="72">
        <f t="shared" ref="T28:U30" si="8">SUM(H28,J28,L28,N28,P28,R28)</f>
        <v>3</v>
      </c>
      <c r="U28" s="73">
        <f t="shared" si="8"/>
        <v>48</v>
      </c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</row>
    <row r="29" spans="1:33" ht="16.5" customHeight="1">
      <c r="A29" s="17"/>
      <c r="B29" s="253"/>
      <c r="C29" s="254"/>
      <c r="D29" s="74" t="s">
        <v>217</v>
      </c>
      <c r="E29" s="75" t="s">
        <v>218</v>
      </c>
      <c r="F29" s="74">
        <v>16</v>
      </c>
      <c r="G29" s="74">
        <v>3</v>
      </c>
      <c r="H29" s="76"/>
      <c r="I29" s="76">
        <f>H29*16</f>
        <v>0</v>
      </c>
      <c r="J29" s="76"/>
      <c r="K29" s="76">
        <f>J29*16</f>
        <v>0</v>
      </c>
      <c r="L29" s="76"/>
      <c r="M29" s="76">
        <f>L29*16</f>
        <v>0</v>
      </c>
      <c r="N29" s="76"/>
      <c r="O29" s="76">
        <f>N29*16</f>
        <v>0</v>
      </c>
      <c r="P29" s="76"/>
      <c r="Q29" s="76">
        <f>P29*16</f>
        <v>0</v>
      </c>
      <c r="R29" s="76">
        <v>2</v>
      </c>
      <c r="S29" s="76">
        <f>R29*16</f>
        <v>32</v>
      </c>
      <c r="T29" s="77">
        <f t="shared" si="8"/>
        <v>2</v>
      </c>
      <c r="U29" s="78">
        <f t="shared" si="8"/>
        <v>32</v>
      </c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</row>
    <row r="30" spans="1:33" ht="16.5" customHeight="1">
      <c r="A30" s="17"/>
      <c r="B30" s="253"/>
      <c r="C30" s="254"/>
      <c r="D30" s="74" t="s">
        <v>219</v>
      </c>
      <c r="E30" s="75" t="s">
        <v>220</v>
      </c>
      <c r="F30" s="74">
        <v>16</v>
      </c>
      <c r="G30" s="74">
        <v>2</v>
      </c>
      <c r="H30" s="76"/>
      <c r="I30" s="76">
        <f>H30*16</f>
        <v>0</v>
      </c>
      <c r="J30" s="76"/>
      <c r="K30" s="76">
        <f>J30*16</f>
        <v>0</v>
      </c>
      <c r="L30" s="76"/>
      <c r="M30" s="76">
        <f>L30*16</f>
        <v>0</v>
      </c>
      <c r="N30" s="76"/>
      <c r="O30" s="76">
        <f>N30*16</f>
        <v>0</v>
      </c>
      <c r="P30" s="76"/>
      <c r="Q30" s="76">
        <f>P30*16</f>
        <v>0</v>
      </c>
      <c r="R30" s="76">
        <v>2</v>
      </c>
      <c r="S30" s="76">
        <f>R30*16</f>
        <v>32</v>
      </c>
      <c r="T30" s="77">
        <f t="shared" si="8"/>
        <v>2</v>
      </c>
      <c r="U30" s="78">
        <f t="shared" si="8"/>
        <v>32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</row>
    <row r="31" spans="1:33" ht="18" customHeight="1">
      <c r="A31" s="17"/>
      <c r="B31" s="253"/>
      <c r="C31" s="254"/>
      <c r="D31" s="255" t="s">
        <v>214</v>
      </c>
      <c r="E31" s="255"/>
      <c r="F31" s="79"/>
      <c r="G31" s="79"/>
      <c r="H31" s="80">
        <f t="shared" ref="H31:U31" si="9">SUM(H28:H30)</f>
        <v>0</v>
      </c>
      <c r="I31" s="80">
        <f t="shared" si="9"/>
        <v>0</v>
      </c>
      <c r="J31" s="80">
        <f t="shared" si="9"/>
        <v>0</v>
      </c>
      <c r="K31" s="80">
        <f t="shared" si="9"/>
        <v>0</v>
      </c>
      <c r="L31" s="80">
        <f t="shared" si="9"/>
        <v>0</v>
      </c>
      <c r="M31" s="80">
        <f t="shared" si="9"/>
        <v>0</v>
      </c>
      <c r="N31" s="80">
        <f t="shared" si="9"/>
        <v>0</v>
      </c>
      <c r="O31" s="80">
        <f t="shared" si="9"/>
        <v>0</v>
      </c>
      <c r="P31" s="80">
        <f t="shared" si="9"/>
        <v>3</v>
      </c>
      <c r="Q31" s="80">
        <f t="shared" si="9"/>
        <v>48</v>
      </c>
      <c r="R31" s="80">
        <f t="shared" si="9"/>
        <v>4</v>
      </c>
      <c r="S31" s="80">
        <f t="shared" si="9"/>
        <v>64</v>
      </c>
      <c r="T31" s="81">
        <f t="shared" si="9"/>
        <v>7</v>
      </c>
      <c r="U31" s="81">
        <f t="shared" si="9"/>
        <v>112</v>
      </c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</row>
    <row r="32" spans="1:33" ht="16.5" customHeight="1">
      <c r="A32" s="17"/>
      <c r="B32" s="253" t="s">
        <v>189</v>
      </c>
      <c r="C32" s="254">
        <v>9</v>
      </c>
      <c r="D32" s="69" t="s">
        <v>314</v>
      </c>
      <c r="E32" s="70" t="s">
        <v>315</v>
      </c>
      <c r="F32" s="69">
        <v>30</v>
      </c>
      <c r="G32" s="69">
        <v>5</v>
      </c>
      <c r="H32" s="71"/>
      <c r="I32" s="71">
        <f>H32*16</f>
        <v>0</v>
      </c>
      <c r="J32" s="71"/>
      <c r="K32" s="71">
        <f>J32*16</f>
        <v>0</v>
      </c>
      <c r="L32" s="71"/>
      <c r="M32" s="71">
        <f>L32*16</f>
        <v>0</v>
      </c>
      <c r="N32" s="71"/>
      <c r="O32" s="71">
        <f>N32*16</f>
        <v>0</v>
      </c>
      <c r="P32" s="71">
        <v>1</v>
      </c>
      <c r="Q32" s="71">
        <f>P32*16</f>
        <v>16</v>
      </c>
      <c r="R32" s="71"/>
      <c r="S32" s="71">
        <f>R32*16</f>
        <v>0</v>
      </c>
      <c r="T32" s="72">
        <f t="shared" ref="T32:U36" si="10">SUM(H32,J32,L32,N32,P32,R32)</f>
        <v>1</v>
      </c>
      <c r="U32" s="73">
        <f t="shared" si="10"/>
        <v>16</v>
      </c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</row>
    <row r="33" spans="1:33" ht="16.5" customHeight="1">
      <c r="A33" s="17"/>
      <c r="B33" s="253"/>
      <c r="C33" s="254"/>
      <c r="D33" s="74" t="s">
        <v>316</v>
      </c>
      <c r="E33" s="75" t="s">
        <v>317</v>
      </c>
      <c r="F33" s="74">
        <v>30</v>
      </c>
      <c r="G33" s="74">
        <v>3</v>
      </c>
      <c r="H33" s="76"/>
      <c r="I33" s="76">
        <f>H33*16</f>
        <v>0</v>
      </c>
      <c r="J33" s="76"/>
      <c r="K33" s="76">
        <f>J33*16</f>
        <v>0</v>
      </c>
      <c r="L33" s="76"/>
      <c r="M33" s="76">
        <f>L33*16</f>
        <v>0</v>
      </c>
      <c r="N33" s="76"/>
      <c r="O33" s="76">
        <f>N33*16</f>
        <v>0</v>
      </c>
      <c r="P33" s="76">
        <v>2</v>
      </c>
      <c r="Q33" s="76">
        <f>P33*16</f>
        <v>32</v>
      </c>
      <c r="R33" s="76"/>
      <c r="S33" s="76">
        <f>R33*16</f>
        <v>0</v>
      </c>
      <c r="T33" s="77">
        <f t="shared" si="10"/>
        <v>2</v>
      </c>
      <c r="U33" s="78">
        <f t="shared" si="10"/>
        <v>32</v>
      </c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</row>
    <row r="34" spans="1:33" ht="16.5" customHeight="1">
      <c r="A34" s="17"/>
      <c r="B34" s="253"/>
      <c r="C34" s="254"/>
      <c r="D34" s="74" t="s">
        <v>318</v>
      </c>
      <c r="E34" s="75" t="s">
        <v>319</v>
      </c>
      <c r="F34" s="74">
        <v>30</v>
      </c>
      <c r="G34" s="74">
        <v>3</v>
      </c>
      <c r="H34" s="76"/>
      <c r="I34" s="76">
        <f>H34*16</f>
        <v>0</v>
      </c>
      <c r="J34" s="76"/>
      <c r="K34" s="76">
        <f>J34*16</f>
        <v>0</v>
      </c>
      <c r="L34" s="76"/>
      <c r="M34" s="76">
        <f>L34*16</f>
        <v>0</v>
      </c>
      <c r="N34" s="76"/>
      <c r="O34" s="76">
        <f>N34*16</f>
        <v>0</v>
      </c>
      <c r="P34" s="76">
        <v>2</v>
      </c>
      <c r="Q34" s="76">
        <f>P34*16</f>
        <v>32</v>
      </c>
      <c r="R34" s="76"/>
      <c r="S34" s="76">
        <f>R34*16</f>
        <v>0</v>
      </c>
      <c r="T34" s="77">
        <f t="shared" si="10"/>
        <v>2</v>
      </c>
      <c r="U34" s="78">
        <f t="shared" si="10"/>
        <v>32</v>
      </c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</row>
    <row r="35" spans="1:33" ht="16.5" customHeight="1">
      <c r="A35" s="17"/>
      <c r="B35" s="253"/>
      <c r="C35" s="254"/>
      <c r="D35" s="74" t="s">
        <v>320</v>
      </c>
      <c r="E35" s="75" t="s">
        <v>321</v>
      </c>
      <c r="F35" s="74">
        <v>30</v>
      </c>
      <c r="G35" s="74">
        <v>3</v>
      </c>
      <c r="H35" s="76"/>
      <c r="I35" s="76">
        <f>H35*16</f>
        <v>0</v>
      </c>
      <c r="J35" s="76"/>
      <c r="K35" s="76">
        <f>J35*16</f>
        <v>0</v>
      </c>
      <c r="L35" s="76"/>
      <c r="M35" s="76">
        <f>L35*16</f>
        <v>0</v>
      </c>
      <c r="N35" s="76"/>
      <c r="O35" s="76">
        <f>N35*16</f>
        <v>0</v>
      </c>
      <c r="P35" s="76"/>
      <c r="Q35" s="76">
        <f>P35*16</f>
        <v>0</v>
      </c>
      <c r="R35" s="76">
        <v>2</v>
      </c>
      <c r="S35" s="76">
        <f>R35*16</f>
        <v>32</v>
      </c>
      <c r="T35" s="77">
        <f t="shared" si="10"/>
        <v>2</v>
      </c>
      <c r="U35" s="78">
        <f t="shared" si="10"/>
        <v>32</v>
      </c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</row>
    <row r="36" spans="1:33" ht="16.5" customHeight="1">
      <c r="A36" s="17"/>
      <c r="B36" s="253"/>
      <c r="C36" s="254"/>
      <c r="D36" s="74" t="s">
        <v>322</v>
      </c>
      <c r="E36" s="75" t="s">
        <v>323</v>
      </c>
      <c r="F36" s="74">
        <v>30</v>
      </c>
      <c r="G36" s="74">
        <v>5</v>
      </c>
      <c r="H36" s="76"/>
      <c r="I36" s="76">
        <f>H36*16</f>
        <v>0</v>
      </c>
      <c r="J36" s="76"/>
      <c r="K36" s="76">
        <f>J36*16</f>
        <v>0</v>
      </c>
      <c r="L36" s="76"/>
      <c r="M36" s="76">
        <f>L36*16</f>
        <v>0</v>
      </c>
      <c r="N36" s="76"/>
      <c r="O36" s="76">
        <f>N36*16</f>
        <v>0</v>
      </c>
      <c r="P36" s="76"/>
      <c r="Q36" s="76">
        <f>P36*16</f>
        <v>0</v>
      </c>
      <c r="R36" s="76">
        <v>2</v>
      </c>
      <c r="S36" s="76">
        <f>R36*16</f>
        <v>32</v>
      </c>
      <c r="T36" s="77">
        <f t="shared" si="10"/>
        <v>2</v>
      </c>
      <c r="U36" s="78">
        <f t="shared" si="10"/>
        <v>32</v>
      </c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</row>
    <row r="37" spans="1:33" ht="18" customHeight="1">
      <c r="A37" s="17"/>
      <c r="B37" s="253"/>
      <c r="C37" s="254"/>
      <c r="D37" s="255" t="s">
        <v>214</v>
      </c>
      <c r="E37" s="255"/>
      <c r="F37" s="79"/>
      <c r="G37" s="79"/>
      <c r="H37" s="80">
        <f t="shared" ref="H37:U37" si="11">SUM(H32:H36)</f>
        <v>0</v>
      </c>
      <c r="I37" s="80">
        <f t="shared" si="11"/>
        <v>0</v>
      </c>
      <c r="J37" s="80">
        <f t="shared" si="11"/>
        <v>0</v>
      </c>
      <c r="K37" s="80">
        <f t="shared" si="11"/>
        <v>0</v>
      </c>
      <c r="L37" s="80">
        <f t="shared" si="11"/>
        <v>0</v>
      </c>
      <c r="M37" s="80">
        <f t="shared" si="11"/>
        <v>0</v>
      </c>
      <c r="N37" s="80">
        <f t="shared" si="11"/>
        <v>0</v>
      </c>
      <c r="O37" s="80">
        <f t="shared" si="11"/>
        <v>0</v>
      </c>
      <c r="P37" s="80">
        <f t="shared" si="11"/>
        <v>5</v>
      </c>
      <c r="Q37" s="80">
        <f t="shared" si="11"/>
        <v>80</v>
      </c>
      <c r="R37" s="80">
        <f t="shared" si="11"/>
        <v>4</v>
      </c>
      <c r="S37" s="80">
        <f t="shared" si="11"/>
        <v>64</v>
      </c>
      <c r="T37" s="81">
        <f t="shared" si="11"/>
        <v>9</v>
      </c>
      <c r="U37" s="81">
        <f t="shared" si="11"/>
        <v>144</v>
      </c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</row>
    <row r="38" spans="1:33" ht="16.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</row>
    <row r="39" spans="1:33" ht="16.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</row>
    <row r="40" spans="1:33" ht="16.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</row>
    <row r="41" spans="1:33" ht="16.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</row>
    <row r="42" spans="1:33" ht="16.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</row>
    <row r="43" spans="1:33" ht="16.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</row>
    <row r="44" spans="1:33" ht="16.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</row>
    <row r="45" spans="1:33" ht="16.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</row>
    <row r="46" spans="1:33" ht="16.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</row>
    <row r="47" spans="1:33" ht="16.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</row>
    <row r="48" spans="1:33" ht="16.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</row>
    <row r="49" spans="1:33" ht="16.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</row>
    <row r="50" spans="1:33" ht="16.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</row>
    <row r="51" spans="1:33" ht="16.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</row>
    <row r="52" spans="1:33" ht="16.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</row>
    <row r="53" spans="1:33" ht="16.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</row>
    <row r="54" spans="1:33" ht="16.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</row>
    <row r="55" spans="1:33" ht="16.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</row>
    <row r="56" spans="1:33" ht="16.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</row>
    <row r="57" spans="1:33" ht="16.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</row>
    <row r="58" spans="1:33" ht="16.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</row>
    <row r="59" spans="1:33" ht="16.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</row>
    <row r="60" spans="1:33" ht="16.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</row>
    <row r="61" spans="1:33" ht="16.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</row>
    <row r="62" spans="1:33" ht="16.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</row>
    <row r="63" spans="1:33" ht="16.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</row>
    <row r="64" spans="1:33" ht="16.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</row>
    <row r="65" spans="1:33" ht="16.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</row>
    <row r="66" spans="1:33" ht="16.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</row>
    <row r="67" spans="1:33" ht="16.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</row>
    <row r="68" spans="1:33" ht="16.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</row>
    <row r="69" spans="1:33" ht="16.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</row>
  </sheetData>
  <mergeCells count="43">
    <mergeCell ref="B28:B31"/>
    <mergeCell ref="C28:C31"/>
    <mergeCell ref="D31:E31"/>
    <mergeCell ref="B32:B37"/>
    <mergeCell ref="C32:C37"/>
    <mergeCell ref="D37:E37"/>
    <mergeCell ref="B19:B22"/>
    <mergeCell ref="C19:C22"/>
    <mergeCell ref="D22:E22"/>
    <mergeCell ref="B23:B27"/>
    <mergeCell ref="C23:C27"/>
    <mergeCell ref="D27:E27"/>
    <mergeCell ref="B9:B13"/>
    <mergeCell ref="C9:C13"/>
    <mergeCell ref="D13:E13"/>
    <mergeCell ref="B14:B18"/>
    <mergeCell ref="C14:C18"/>
    <mergeCell ref="D18:E18"/>
    <mergeCell ref="T6:T8"/>
    <mergeCell ref="U6:U8"/>
    <mergeCell ref="H7:I7"/>
    <mergeCell ref="J7:K7"/>
    <mergeCell ref="L7:M7"/>
    <mergeCell ref="N7:O7"/>
    <mergeCell ref="P7:Q7"/>
    <mergeCell ref="R7:S7"/>
    <mergeCell ref="F6:F8"/>
    <mergeCell ref="G6:G8"/>
    <mergeCell ref="H6:K6"/>
    <mergeCell ref="L6:O6"/>
    <mergeCell ref="P6:S6"/>
    <mergeCell ref="B5:C5"/>
    <mergeCell ref="B6:B8"/>
    <mergeCell ref="C6:C8"/>
    <mergeCell ref="D6:D8"/>
    <mergeCell ref="E6:E8"/>
    <mergeCell ref="B2:U2"/>
    <mergeCell ref="N3:P3"/>
    <mergeCell ref="Q3:S3"/>
    <mergeCell ref="T3:U3"/>
    <mergeCell ref="N4:P4"/>
    <mergeCell ref="Q4:S4"/>
    <mergeCell ref="T4:U4"/>
  </mergeCells>
  <phoneticPr fontId="41" type="noConversion"/>
  <pageMargins left="0.70833333333333304" right="0.70833333333333304" top="0.74791666666666701" bottom="0.74791666666666701" header="0.511811023622047" footer="0.511811023622047"/>
  <pageSetup paperSize="9" fitToHeight="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51"/>
  <sheetViews>
    <sheetView zoomScaleNormal="100" workbookViewId="0">
      <pane ySplit="1" topLeftCell="A2" activePane="bottomLeft" state="frozen"/>
      <selection pane="bottomLeft" activeCell="K2" sqref="K2"/>
    </sheetView>
  </sheetViews>
  <sheetFormatPr defaultColWidth="7.25" defaultRowHeight="16.5"/>
  <cols>
    <col min="1" max="1" width="14.125" style="65" customWidth="1"/>
    <col min="2" max="5" width="7.75" style="65" customWidth="1"/>
    <col min="6" max="6" width="9.75" style="65" customWidth="1"/>
    <col min="9" max="9" width="15" style="64" customWidth="1"/>
    <col min="10" max="10" width="11.5" style="64" customWidth="1"/>
    <col min="11" max="11" width="11.125" style="64" customWidth="1"/>
  </cols>
  <sheetData>
    <row r="1" spans="1:12" ht="16.5" customHeight="1">
      <c r="A1" s="85" t="s">
        <v>43</v>
      </c>
      <c r="B1" s="85" t="s">
        <v>42</v>
      </c>
      <c r="C1" s="85" t="s">
        <v>8</v>
      </c>
      <c r="D1" s="85" t="s">
        <v>42</v>
      </c>
      <c r="E1" s="85" t="s">
        <v>324</v>
      </c>
      <c r="F1" s="85" t="s">
        <v>325</v>
      </c>
      <c r="G1" s="86"/>
      <c r="H1" s="87" t="s">
        <v>326</v>
      </c>
      <c r="I1" s="87" t="s">
        <v>8</v>
      </c>
      <c r="J1" s="87" t="s">
        <v>9</v>
      </c>
      <c r="K1" s="87" t="s">
        <v>10</v>
      </c>
      <c r="L1" s="87" t="s">
        <v>16</v>
      </c>
    </row>
    <row r="2" spans="1:12">
      <c r="A2" s="88" t="s">
        <v>50</v>
      </c>
      <c r="B2" s="88" t="s">
        <v>327</v>
      </c>
      <c r="C2" s="88" t="s">
        <v>48</v>
      </c>
      <c r="D2" s="88" t="s">
        <v>49</v>
      </c>
      <c r="E2" s="88">
        <v>4</v>
      </c>
      <c r="F2" s="89" t="s">
        <v>51</v>
      </c>
      <c r="G2" s="86"/>
      <c r="H2" s="88" t="s">
        <v>328</v>
      </c>
      <c r="I2" s="88" t="s">
        <v>23</v>
      </c>
      <c r="J2" s="88" t="s">
        <v>25</v>
      </c>
      <c r="K2" s="88" t="s">
        <v>25</v>
      </c>
      <c r="L2" s="88" t="s">
        <v>27</v>
      </c>
    </row>
    <row r="3" spans="1:12">
      <c r="A3" s="88" t="s">
        <v>55</v>
      </c>
      <c r="B3" s="88" t="s">
        <v>327</v>
      </c>
      <c r="C3" s="88" t="s">
        <v>48</v>
      </c>
      <c r="D3" s="88" t="s">
        <v>49</v>
      </c>
      <c r="E3" s="88">
        <v>4</v>
      </c>
      <c r="F3" s="89" t="s">
        <v>51</v>
      </c>
      <c r="G3" s="86"/>
      <c r="H3" s="88" t="s">
        <v>329</v>
      </c>
      <c r="I3" s="88" t="s">
        <v>330</v>
      </c>
      <c r="J3" s="88" t="s">
        <v>24</v>
      </c>
      <c r="K3" s="88" t="s">
        <v>24</v>
      </c>
      <c r="L3" s="88" t="s">
        <v>154</v>
      </c>
    </row>
    <row r="4" spans="1:12">
      <c r="A4" s="88" t="s">
        <v>331</v>
      </c>
      <c r="B4" s="88" t="s">
        <v>327</v>
      </c>
      <c r="C4" s="88" t="s">
        <v>48</v>
      </c>
      <c r="D4" s="88" t="s">
        <v>27</v>
      </c>
      <c r="E4" s="88">
        <v>4</v>
      </c>
      <c r="F4" s="89" t="s">
        <v>59</v>
      </c>
      <c r="G4" s="86"/>
      <c r="H4" s="88" t="s">
        <v>332</v>
      </c>
      <c r="I4" s="88" t="s">
        <v>333</v>
      </c>
      <c r="J4" s="88" t="s">
        <v>334</v>
      </c>
      <c r="K4" s="88" t="s">
        <v>334</v>
      </c>
      <c r="L4" s="88" t="s">
        <v>335</v>
      </c>
    </row>
    <row r="5" spans="1:12">
      <c r="A5" s="88" t="s">
        <v>58</v>
      </c>
      <c r="B5" s="88" t="s">
        <v>327</v>
      </c>
      <c r="C5" s="88" t="s">
        <v>48</v>
      </c>
      <c r="D5" s="88" t="s">
        <v>27</v>
      </c>
      <c r="E5" s="88">
        <v>4</v>
      </c>
      <c r="F5" s="89" t="s">
        <v>59</v>
      </c>
      <c r="G5" s="86"/>
      <c r="H5" s="88" t="s">
        <v>336</v>
      </c>
      <c r="I5" s="88" t="s">
        <v>337</v>
      </c>
      <c r="J5" s="88" t="s">
        <v>163</v>
      </c>
      <c r="K5" s="88" t="s">
        <v>163</v>
      </c>
      <c r="L5" s="88"/>
    </row>
    <row r="6" spans="1:12">
      <c r="A6" s="88" t="s">
        <v>338</v>
      </c>
      <c r="B6" s="88" t="s">
        <v>327</v>
      </c>
      <c r="C6" s="88" t="s">
        <v>48</v>
      </c>
      <c r="D6" s="88" t="s">
        <v>27</v>
      </c>
      <c r="E6" s="88">
        <v>4</v>
      </c>
      <c r="F6" s="89" t="s">
        <v>59</v>
      </c>
      <c r="G6" s="86"/>
      <c r="H6" s="88" t="s">
        <v>339</v>
      </c>
      <c r="I6" s="88" t="s">
        <v>340</v>
      </c>
      <c r="J6" s="88" t="s">
        <v>174</v>
      </c>
      <c r="K6" s="88" t="s">
        <v>174</v>
      </c>
      <c r="L6" s="88"/>
    </row>
    <row r="7" spans="1:12">
      <c r="A7" s="88" t="s">
        <v>341</v>
      </c>
      <c r="B7" s="88" t="s">
        <v>327</v>
      </c>
      <c r="C7" s="88" t="s">
        <v>48</v>
      </c>
      <c r="D7" s="88" t="s">
        <v>342</v>
      </c>
      <c r="E7" s="88">
        <v>4</v>
      </c>
      <c r="F7" s="89" t="s">
        <v>59</v>
      </c>
      <c r="G7" s="86"/>
      <c r="H7" s="88" t="s">
        <v>343</v>
      </c>
      <c r="I7" s="88" t="s">
        <v>344</v>
      </c>
      <c r="J7" s="88" t="s">
        <v>345</v>
      </c>
      <c r="K7" s="88" t="s">
        <v>345</v>
      </c>
      <c r="L7" s="86"/>
    </row>
    <row r="8" spans="1:12">
      <c r="A8" s="88" t="s">
        <v>346</v>
      </c>
      <c r="B8" s="88" t="s">
        <v>327</v>
      </c>
      <c r="C8" s="88" t="s">
        <v>48</v>
      </c>
      <c r="D8" s="88" t="s">
        <v>342</v>
      </c>
      <c r="E8" s="88">
        <v>4</v>
      </c>
      <c r="F8" s="89" t="s">
        <v>59</v>
      </c>
      <c r="G8" s="86"/>
      <c r="H8" s="88" t="s">
        <v>347</v>
      </c>
      <c r="I8" s="88" t="s">
        <v>348</v>
      </c>
      <c r="J8" s="88" t="s">
        <v>349</v>
      </c>
      <c r="K8" s="88" t="s">
        <v>349</v>
      </c>
      <c r="L8" s="86"/>
    </row>
    <row r="9" spans="1:12">
      <c r="A9" s="88" t="s">
        <v>350</v>
      </c>
      <c r="B9" s="88" t="s">
        <v>327</v>
      </c>
      <c r="C9" s="88" t="s">
        <v>48</v>
      </c>
      <c r="D9" s="88" t="s">
        <v>342</v>
      </c>
      <c r="E9" s="88">
        <v>4</v>
      </c>
      <c r="F9" s="89" t="s">
        <v>59</v>
      </c>
      <c r="G9" s="86"/>
      <c r="H9" s="88" t="s">
        <v>351</v>
      </c>
      <c r="I9" s="88" t="s">
        <v>352</v>
      </c>
      <c r="J9" s="88" t="s">
        <v>353</v>
      </c>
      <c r="K9" s="88" t="s">
        <v>353</v>
      </c>
      <c r="L9" s="86"/>
    </row>
    <row r="10" spans="1:12">
      <c r="A10" s="88" t="s">
        <v>354</v>
      </c>
      <c r="B10" s="88" t="s">
        <v>327</v>
      </c>
      <c r="C10" s="88" t="s">
        <v>48</v>
      </c>
      <c r="D10" s="88" t="s">
        <v>355</v>
      </c>
      <c r="E10" s="88">
        <v>4</v>
      </c>
      <c r="F10" s="89" t="s">
        <v>59</v>
      </c>
      <c r="G10" s="86"/>
      <c r="H10" s="88" t="s">
        <v>356</v>
      </c>
      <c r="I10" s="88" t="s">
        <v>357</v>
      </c>
      <c r="J10" s="88" t="s">
        <v>358</v>
      </c>
      <c r="K10" s="88" t="s">
        <v>358</v>
      </c>
      <c r="L10" s="86"/>
    </row>
    <row r="11" spans="1:12">
      <c r="A11" s="88" t="s">
        <v>359</v>
      </c>
      <c r="B11" s="88" t="s">
        <v>327</v>
      </c>
      <c r="C11" s="88" t="s">
        <v>48</v>
      </c>
      <c r="D11" s="88" t="s">
        <v>355</v>
      </c>
      <c r="E11" s="88">
        <v>4</v>
      </c>
      <c r="F11" s="89" t="s">
        <v>59</v>
      </c>
      <c r="G11" s="86"/>
      <c r="H11" s="88" t="s">
        <v>360</v>
      </c>
      <c r="I11" s="88" t="s">
        <v>361</v>
      </c>
      <c r="J11" s="88" t="s">
        <v>362</v>
      </c>
      <c r="K11" s="88" t="s">
        <v>362</v>
      </c>
      <c r="L11" s="86"/>
    </row>
    <row r="12" spans="1:12">
      <c r="A12" s="88" t="s">
        <v>363</v>
      </c>
      <c r="B12" s="88" t="s">
        <v>327</v>
      </c>
      <c r="C12" s="88" t="s">
        <v>48</v>
      </c>
      <c r="D12" s="88" t="s">
        <v>355</v>
      </c>
      <c r="E12" s="88">
        <v>4</v>
      </c>
      <c r="F12" s="89" t="s">
        <v>59</v>
      </c>
      <c r="G12" s="86"/>
      <c r="H12" s="88" t="s">
        <v>364</v>
      </c>
      <c r="I12" s="88" t="s">
        <v>365</v>
      </c>
      <c r="J12" s="88" t="s">
        <v>366</v>
      </c>
      <c r="K12" s="88" t="s">
        <v>366</v>
      </c>
      <c r="L12" s="86"/>
    </row>
    <row r="13" spans="1:12">
      <c r="A13" s="88" t="s">
        <v>367</v>
      </c>
      <c r="B13" s="88" t="s">
        <v>327</v>
      </c>
      <c r="C13" s="88" t="s">
        <v>65</v>
      </c>
      <c r="D13" s="88" t="s">
        <v>49</v>
      </c>
      <c r="E13" s="88">
        <v>4</v>
      </c>
      <c r="F13" s="89" t="s">
        <v>51</v>
      </c>
      <c r="G13" s="86"/>
      <c r="H13" s="88" t="s">
        <v>21</v>
      </c>
      <c r="I13" s="88" t="s">
        <v>368</v>
      </c>
      <c r="J13" s="88" t="s">
        <v>369</v>
      </c>
      <c r="K13" s="88" t="s">
        <v>369</v>
      </c>
      <c r="L13" s="86"/>
    </row>
    <row r="14" spans="1:12">
      <c r="A14" s="88" t="s">
        <v>370</v>
      </c>
      <c r="B14" s="88" t="s">
        <v>327</v>
      </c>
      <c r="C14" s="88" t="s">
        <v>65</v>
      </c>
      <c r="D14" s="88" t="s">
        <v>49</v>
      </c>
      <c r="E14" s="88">
        <v>4</v>
      </c>
      <c r="F14" s="89" t="s">
        <v>51</v>
      </c>
      <c r="G14" s="86"/>
      <c r="H14" s="88" t="s">
        <v>371</v>
      </c>
      <c r="I14" s="88" t="s">
        <v>142</v>
      </c>
      <c r="J14" s="88" t="s">
        <v>372</v>
      </c>
      <c r="K14" s="88" t="s">
        <v>372</v>
      </c>
      <c r="L14" s="86"/>
    </row>
    <row r="15" spans="1:12">
      <c r="A15" s="88" t="s">
        <v>373</v>
      </c>
      <c r="B15" s="88" t="s">
        <v>327</v>
      </c>
      <c r="C15" s="88" t="s">
        <v>65</v>
      </c>
      <c r="D15" s="88" t="s">
        <v>27</v>
      </c>
      <c r="E15" s="88">
        <v>4</v>
      </c>
      <c r="F15" s="89" t="s">
        <v>59</v>
      </c>
      <c r="G15" s="86"/>
      <c r="H15" s="88" t="s">
        <v>374</v>
      </c>
      <c r="I15" s="88" t="s">
        <v>375</v>
      </c>
      <c r="J15" s="88" t="s">
        <v>376</v>
      </c>
      <c r="K15" s="88" t="s">
        <v>376</v>
      </c>
      <c r="L15" s="86"/>
    </row>
    <row r="16" spans="1:12">
      <c r="A16" s="88" t="s">
        <v>377</v>
      </c>
      <c r="B16" s="88" t="s">
        <v>327</v>
      </c>
      <c r="C16" s="88" t="s">
        <v>65</v>
      </c>
      <c r="D16" s="88" t="s">
        <v>27</v>
      </c>
      <c r="E16" s="88">
        <v>4</v>
      </c>
      <c r="F16" s="89" t="s">
        <v>59</v>
      </c>
      <c r="G16" s="86"/>
      <c r="H16" s="88" t="s">
        <v>378</v>
      </c>
      <c r="I16" s="88" t="s">
        <v>379</v>
      </c>
      <c r="J16" s="88" t="s">
        <v>380</v>
      </c>
      <c r="K16" s="88" t="s">
        <v>380</v>
      </c>
      <c r="L16" s="86"/>
    </row>
    <row r="17" spans="1:12">
      <c r="A17" s="88" t="s">
        <v>381</v>
      </c>
      <c r="B17" s="88" t="s">
        <v>327</v>
      </c>
      <c r="C17" s="88" t="s">
        <v>65</v>
      </c>
      <c r="D17" s="88" t="s">
        <v>27</v>
      </c>
      <c r="E17" s="88">
        <v>4</v>
      </c>
      <c r="F17" s="89" t="s">
        <v>59</v>
      </c>
      <c r="G17" s="86"/>
      <c r="H17" s="88" t="s">
        <v>382</v>
      </c>
      <c r="I17" s="88" t="s">
        <v>383</v>
      </c>
      <c r="J17" s="88" t="s">
        <v>384</v>
      </c>
      <c r="K17" s="88" t="s">
        <v>384</v>
      </c>
      <c r="L17" s="86"/>
    </row>
    <row r="18" spans="1:12">
      <c r="A18" s="88" t="s">
        <v>385</v>
      </c>
      <c r="B18" s="88" t="s">
        <v>327</v>
      </c>
      <c r="C18" s="88" t="s">
        <v>65</v>
      </c>
      <c r="D18" s="88" t="s">
        <v>342</v>
      </c>
      <c r="E18" s="88">
        <v>4</v>
      </c>
      <c r="F18" s="89" t="s">
        <v>59</v>
      </c>
      <c r="G18" s="86"/>
      <c r="H18" s="88" t="s">
        <v>386</v>
      </c>
      <c r="I18" s="88" t="s">
        <v>387</v>
      </c>
      <c r="J18" s="88" t="s">
        <v>388</v>
      </c>
      <c r="K18" s="88" t="s">
        <v>388</v>
      </c>
      <c r="L18" s="86"/>
    </row>
    <row r="19" spans="1:12">
      <c r="A19" s="88" t="s">
        <v>389</v>
      </c>
      <c r="B19" s="88" t="s">
        <v>327</v>
      </c>
      <c r="C19" s="88" t="s">
        <v>65</v>
      </c>
      <c r="D19" s="88" t="s">
        <v>342</v>
      </c>
      <c r="E19" s="88">
        <v>4</v>
      </c>
      <c r="F19" s="89" t="s">
        <v>59</v>
      </c>
      <c r="G19" s="86"/>
      <c r="J19" s="88" t="s">
        <v>390</v>
      </c>
      <c r="K19" s="88" t="s">
        <v>390</v>
      </c>
      <c r="L19" s="86"/>
    </row>
    <row r="20" spans="1:12">
      <c r="A20" s="88" t="s">
        <v>391</v>
      </c>
      <c r="B20" s="88" t="s">
        <v>327</v>
      </c>
      <c r="C20" s="88" t="s">
        <v>65</v>
      </c>
      <c r="D20" s="88" t="s">
        <v>342</v>
      </c>
      <c r="E20" s="88">
        <v>4</v>
      </c>
      <c r="F20" s="89" t="s">
        <v>59</v>
      </c>
      <c r="G20" s="86"/>
      <c r="J20" s="88" t="s">
        <v>392</v>
      </c>
      <c r="K20" s="88" t="s">
        <v>392</v>
      </c>
      <c r="L20" s="86"/>
    </row>
    <row r="21" spans="1:12">
      <c r="A21" s="88" t="s">
        <v>393</v>
      </c>
      <c r="B21" s="88" t="s">
        <v>327</v>
      </c>
      <c r="C21" s="88" t="s">
        <v>65</v>
      </c>
      <c r="D21" s="88" t="s">
        <v>342</v>
      </c>
      <c r="E21" s="88">
        <v>4</v>
      </c>
      <c r="F21" s="89" t="s">
        <v>59</v>
      </c>
      <c r="G21" s="86"/>
      <c r="J21" s="88" t="s">
        <v>394</v>
      </c>
      <c r="K21" s="88" t="s">
        <v>394</v>
      </c>
      <c r="L21" s="86"/>
    </row>
    <row r="22" spans="1:12">
      <c r="A22" s="88" t="s">
        <v>395</v>
      </c>
      <c r="B22" s="88" t="s">
        <v>327</v>
      </c>
      <c r="C22" s="88" t="s">
        <v>65</v>
      </c>
      <c r="D22" s="88" t="s">
        <v>342</v>
      </c>
      <c r="E22" s="88">
        <v>4</v>
      </c>
      <c r="F22" s="89" t="s">
        <v>59</v>
      </c>
      <c r="G22" s="86"/>
      <c r="H22" s="88"/>
      <c r="I22" s="88"/>
      <c r="J22" s="88" t="s">
        <v>396</v>
      </c>
      <c r="K22" s="88" t="s">
        <v>396</v>
      </c>
      <c r="L22" s="86"/>
    </row>
    <row r="23" spans="1:12">
      <c r="A23" s="88" t="s">
        <v>73</v>
      </c>
      <c r="B23" s="88" t="s">
        <v>327</v>
      </c>
      <c r="C23" s="88" t="s">
        <v>65</v>
      </c>
      <c r="D23" s="88" t="s">
        <v>355</v>
      </c>
      <c r="E23" s="88">
        <v>4</v>
      </c>
      <c r="F23" s="89" t="s">
        <v>59</v>
      </c>
      <c r="G23" s="86"/>
      <c r="H23" s="88"/>
      <c r="I23" s="88"/>
      <c r="J23" s="88" t="s">
        <v>397</v>
      </c>
      <c r="K23" s="88" t="s">
        <v>397</v>
      </c>
      <c r="L23" s="86"/>
    </row>
    <row r="24" spans="1:12">
      <c r="A24" s="88" t="s">
        <v>398</v>
      </c>
      <c r="B24" s="88" t="s">
        <v>327</v>
      </c>
      <c r="C24" s="88" t="s">
        <v>65</v>
      </c>
      <c r="D24" s="88" t="s">
        <v>355</v>
      </c>
      <c r="E24" s="88">
        <v>4</v>
      </c>
      <c r="F24" s="89" t="s">
        <v>59</v>
      </c>
      <c r="G24" s="86"/>
      <c r="H24" s="88"/>
      <c r="I24" s="88"/>
      <c r="J24" s="88" t="s">
        <v>399</v>
      </c>
      <c r="K24" s="88" t="s">
        <v>399</v>
      </c>
      <c r="L24" s="86"/>
    </row>
    <row r="25" spans="1:12">
      <c r="A25" s="88" t="s">
        <v>400</v>
      </c>
      <c r="B25" s="88" t="s">
        <v>327</v>
      </c>
      <c r="C25" s="88" t="s">
        <v>65</v>
      </c>
      <c r="D25" s="88" t="s">
        <v>355</v>
      </c>
      <c r="E25" s="88">
        <v>4</v>
      </c>
      <c r="F25" s="89" t="s">
        <v>59</v>
      </c>
      <c r="G25" s="86"/>
      <c r="H25" s="88"/>
      <c r="I25" s="88"/>
      <c r="J25" s="88" t="s">
        <v>401</v>
      </c>
      <c r="K25" s="88" t="s">
        <v>401</v>
      </c>
      <c r="L25" s="86"/>
    </row>
    <row r="26" spans="1:12">
      <c r="A26" s="88" t="s">
        <v>402</v>
      </c>
      <c r="B26" s="88" t="s">
        <v>327</v>
      </c>
      <c r="C26" s="88" t="s">
        <v>75</v>
      </c>
      <c r="D26" s="88" t="s">
        <v>49</v>
      </c>
      <c r="E26" s="88">
        <v>4</v>
      </c>
      <c r="F26" s="89" t="s">
        <v>51</v>
      </c>
      <c r="G26" s="86"/>
      <c r="H26" s="86"/>
      <c r="I26" s="88"/>
      <c r="J26" s="88" t="s">
        <v>403</v>
      </c>
      <c r="K26" s="88" t="s">
        <v>403</v>
      </c>
      <c r="L26" s="86"/>
    </row>
    <row r="27" spans="1:12">
      <c r="A27" s="88" t="s">
        <v>404</v>
      </c>
      <c r="B27" s="88" t="s">
        <v>327</v>
      </c>
      <c r="C27" s="88" t="s">
        <v>75</v>
      </c>
      <c r="D27" s="88" t="s">
        <v>27</v>
      </c>
      <c r="E27" s="88">
        <v>4</v>
      </c>
      <c r="F27" s="89" t="s">
        <v>59</v>
      </c>
      <c r="G27" s="86"/>
      <c r="H27" s="86"/>
      <c r="I27" s="86"/>
      <c r="J27" s="88" t="s">
        <v>405</v>
      </c>
      <c r="K27" s="88" t="s">
        <v>405</v>
      </c>
      <c r="L27" s="86"/>
    </row>
    <row r="28" spans="1:12">
      <c r="A28" s="88" t="s">
        <v>406</v>
      </c>
      <c r="B28" s="88" t="s">
        <v>327</v>
      </c>
      <c r="C28" s="88" t="s">
        <v>75</v>
      </c>
      <c r="D28" s="88" t="s">
        <v>27</v>
      </c>
      <c r="E28" s="88">
        <v>4</v>
      </c>
      <c r="F28" s="89" t="s">
        <v>59</v>
      </c>
      <c r="G28" s="86"/>
      <c r="H28" s="86"/>
      <c r="I28" s="86"/>
      <c r="J28" s="88" t="s">
        <v>407</v>
      </c>
      <c r="K28" s="88" t="s">
        <v>407</v>
      </c>
      <c r="L28" s="86"/>
    </row>
    <row r="29" spans="1:12">
      <c r="A29" s="88" t="s">
        <v>408</v>
      </c>
      <c r="B29" s="88" t="s">
        <v>327</v>
      </c>
      <c r="C29" s="88" t="s">
        <v>75</v>
      </c>
      <c r="D29" s="88" t="s">
        <v>27</v>
      </c>
      <c r="E29" s="88">
        <v>4</v>
      </c>
      <c r="F29" s="89" t="s">
        <v>59</v>
      </c>
      <c r="G29" s="86"/>
      <c r="H29" s="86"/>
      <c r="I29" s="86"/>
      <c r="J29" s="88" t="s">
        <v>409</v>
      </c>
      <c r="K29" s="88" t="s">
        <v>409</v>
      </c>
      <c r="L29" s="86"/>
    </row>
    <row r="30" spans="1:12">
      <c r="A30" s="88" t="s">
        <v>410</v>
      </c>
      <c r="B30" s="88" t="s">
        <v>327</v>
      </c>
      <c r="C30" s="88" t="s">
        <v>75</v>
      </c>
      <c r="D30" s="88" t="s">
        <v>27</v>
      </c>
      <c r="E30" s="88">
        <v>4</v>
      </c>
      <c r="F30" s="89" t="s">
        <v>59</v>
      </c>
      <c r="G30" s="86"/>
      <c r="H30" s="86"/>
      <c r="I30" s="86"/>
      <c r="J30" s="88" t="s">
        <v>411</v>
      </c>
      <c r="K30" s="88" t="s">
        <v>411</v>
      </c>
      <c r="L30" s="86"/>
    </row>
    <row r="31" spans="1:12">
      <c r="A31" s="88" t="s">
        <v>412</v>
      </c>
      <c r="B31" s="88" t="s">
        <v>327</v>
      </c>
      <c r="C31" s="88" t="s">
        <v>75</v>
      </c>
      <c r="D31" s="88" t="s">
        <v>342</v>
      </c>
      <c r="E31" s="88">
        <v>4</v>
      </c>
      <c r="F31" s="89" t="s">
        <v>59</v>
      </c>
      <c r="G31" s="86"/>
      <c r="H31" s="86"/>
      <c r="I31" s="86"/>
      <c r="J31" s="88" t="s">
        <v>413</v>
      </c>
      <c r="K31" s="88" t="s">
        <v>413</v>
      </c>
      <c r="L31" s="86"/>
    </row>
    <row r="32" spans="1:12">
      <c r="A32" s="88" t="s">
        <v>414</v>
      </c>
      <c r="B32" s="88" t="s">
        <v>327</v>
      </c>
      <c r="C32" s="88" t="s">
        <v>75</v>
      </c>
      <c r="D32" s="88" t="s">
        <v>342</v>
      </c>
      <c r="E32" s="88">
        <v>4</v>
      </c>
      <c r="F32" s="89" t="s">
        <v>59</v>
      </c>
      <c r="G32" s="86"/>
      <c r="H32" s="86"/>
      <c r="I32" s="86"/>
      <c r="J32" s="88" t="s">
        <v>415</v>
      </c>
      <c r="K32" s="88" t="s">
        <v>415</v>
      </c>
      <c r="L32" s="86"/>
    </row>
    <row r="33" spans="1:12">
      <c r="A33" s="88" t="s">
        <v>416</v>
      </c>
      <c r="B33" s="88" t="s">
        <v>327</v>
      </c>
      <c r="C33" s="88" t="s">
        <v>75</v>
      </c>
      <c r="D33" s="88" t="s">
        <v>342</v>
      </c>
      <c r="E33" s="88">
        <v>4</v>
      </c>
      <c r="F33" s="89" t="s">
        <v>59</v>
      </c>
      <c r="G33" s="86"/>
      <c r="H33" s="86"/>
      <c r="I33" s="86"/>
      <c r="J33" s="88" t="s">
        <v>417</v>
      </c>
      <c r="K33" s="88" t="s">
        <v>417</v>
      </c>
      <c r="L33" s="86"/>
    </row>
    <row r="34" spans="1:12">
      <c r="A34" s="88" t="s">
        <v>418</v>
      </c>
      <c r="B34" s="88" t="s">
        <v>327</v>
      </c>
      <c r="C34" s="88" t="s">
        <v>75</v>
      </c>
      <c r="D34" s="88" t="s">
        <v>342</v>
      </c>
      <c r="E34" s="88">
        <v>4</v>
      </c>
      <c r="F34" s="89" t="s">
        <v>59</v>
      </c>
      <c r="G34" s="86"/>
      <c r="H34" s="86"/>
      <c r="I34" s="86"/>
      <c r="J34" s="88" t="s">
        <v>419</v>
      </c>
      <c r="K34" s="88" t="s">
        <v>419</v>
      </c>
      <c r="L34" s="86"/>
    </row>
    <row r="35" spans="1:12">
      <c r="A35" s="88" t="s">
        <v>420</v>
      </c>
      <c r="B35" s="88" t="s">
        <v>327</v>
      </c>
      <c r="C35" s="88" t="s">
        <v>75</v>
      </c>
      <c r="D35" s="88" t="s">
        <v>342</v>
      </c>
      <c r="E35" s="88">
        <v>4</v>
      </c>
      <c r="F35" s="89" t="s">
        <v>59</v>
      </c>
      <c r="G35" s="86"/>
      <c r="H35" s="86"/>
      <c r="I35" s="86"/>
      <c r="J35" s="88" t="s">
        <v>421</v>
      </c>
      <c r="K35" s="88" t="s">
        <v>421</v>
      </c>
      <c r="L35" s="86"/>
    </row>
    <row r="36" spans="1:12">
      <c r="A36" s="88" t="s">
        <v>422</v>
      </c>
      <c r="B36" s="88" t="s">
        <v>327</v>
      </c>
      <c r="C36" s="88" t="s">
        <v>75</v>
      </c>
      <c r="D36" s="88" t="s">
        <v>355</v>
      </c>
      <c r="E36" s="88">
        <v>4</v>
      </c>
      <c r="F36" s="89" t="s">
        <v>59</v>
      </c>
      <c r="G36" s="86"/>
      <c r="H36" s="86"/>
      <c r="I36" s="86"/>
      <c r="J36" s="88" t="s">
        <v>423</v>
      </c>
      <c r="K36" s="88" t="s">
        <v>423</v>
      </c>
      <c r="L36" s="86"/>
    </row>
    <row r="37" spans="1:12">
      <c r="A37" s="88" t="s">
        <v>78</v>
      </c>
      <c r="B37" s="88" t="s">
        <v>327</v>
      </c>
      <c r="C37" s="88" t="s">
        <v>75</v>
      </c>
      <c r="D37" s="88" t="s">
        <v>355</v>
      </c>
      <c r="E37" s="88">
        <v>4</v>
      </c>
      <c r="F37" s="89" t="s">
        <v>59</v>
      </c>
      <c r="G37" s="86"/>
      <c r="H37" s="86"/>
      <c r="I37" s="86"/>
      <c r="J37" s="88" t="s">
        <v>424</v>
      </c>
      <c r="K37" s="88" t="s">
        <v>424</v>
      </c>
      <c r="L37" s="86"/>
    </row>
    <row r="38" spans="1:12">
      <c r="A38" s="88" t="s">
        <v>425</v>
      </c>
      <c r="B38" s="88" t="s">
        <v>327</v>
      </c>
      <c r="C38" s="88" t="s">
        <v>75</v>
      </c>
      <c r="D38" s="88" t="s">
        <v>355</v>
      </c>
      <c r="E38" s="88">
        <v>4</v>
      </c>
      <c r="F38" s="89" t="s">
        <v>59</v>
      </c>
      <c r="G38" s="86"/>
      <c r="H38" s="86"/>
      <c r="I38" s="86"/>
      <c r="J38" s="88" t="s">
        <v>426</v>
      </c>
      <c r="K38" s="88" t="s">
        <v>426</v>
      </c>
      <c r="L38" s="86"/>
    </row>
    <row r="39" spans="1:12">
      <c r="A39" s="88" t="s">
        <v>81</v>
      </c>
      <c r="B39" s="88" t="s">
        <v>327</v>
      </c>
      <c r="C39" s="88" t="s">
        <v>427</v>
      </c>
      <c r="D39" s="88" t="s">
        <v>49</v>
      </c>
      <c r="E39" s="88">
        <v>3</v>
      </c>
      <c r="F39" s="89" t="s">
        <v>428</v>
      </c>
      <c r="G39" s="86"/>
      <c r="H39" s="86"/>
      <c r="I39" s="86"/>
      <c r="J39" s="88" t="s">
        <v>429</v>
      </c>
      <c r="K39" s="88" t="s">
        <v>429</v>
      </c>
      <c r="L39" s="86"/>
    </row>
    <row r="40" spans="1:12">
      <c r="A40" s="88" t="s">
        <v>83</v>
      </c>
      <c r="B40" s="88" t="s">
        <v>327</v>
      </c>
      <c r="C40" s="88" t="s">
        <v>427</v>
      </c>
      <c r="D40" s="88" t="s">
        <v>49</v>
      </c>
      <c r="E40" s="88">
        <v>3</v>
      </c>
      <c r="F40" s="89" t="s">
        <v>428</v>
      </c>
      <c r="G40" s="86"/>
      <c r="H40" s="86"/>
      <c r="I40" s="86"/>
      <c r="J40" s="88" t="s">
        <v>430</v>
      </c>
      <c r="K40" s="88" t="s">
        <v>430</v>
      </c>
      <c r="L40" s="86"/>
    </row>
    <row r="41" spans="1:12" ht="17.25" customHeight="1">
      <c r="A41" s="88" t="s">
        <v>84</v>
      </c>
      <c r="B41" s="88" t="s">
        <v>327</v>
      </c>
      <c r="C41" s="88" t="s">
        <v>431</v>
      </c>
      <c r="D41" s="88" t="s">
        <v>49</v>
      </c>
      <c r="E41" s="88">
        <v>4</v>
      </c>
      <c r="F41" s="89" t="s">
        <v>51</v>
      </c>
      <c r="G41" s="86"/>
      <c r="H41" s="86"/>
      <c r="I41" s="86"/>
      <c r="J41" s="88" t="s">
        <v>432</v>
      </c>
      <c r="K41" s="88" t="s">
        <v>432</v>
      </c>
      <c r="L41" s="86"/>
    </row>
    <row r="42" spans="1:12" ht="17.25" customHeight="1">
      <c r="A42" s="88" t="s">
        <v>85</v>
      </c>
      <c r="B42" s="88" t="s">
        <v>327</v>
      </c>
      <c r="C42" s="88" t="s">
        <v>431</v>
      </c>
      <c r="D42" s="88" t="s">
        <v>49</v>
      </c>
      <c r="E42" s="88">
        <v>4</v>
      </c>
      <c r="F42" s="89" t="s">
        <v>51</v>
      </c>
      <c r="G42" s="86"/>
      <c r="H42" s="86"/>
      <c r="I42" s="86"/>
      <c r="J42" s="88" t="s">
        <v>433</v>
      </c>
      <c r="K42" s="88" t="s">
        <v>433</v>
      </c>
      <c r="L42" s="86"/>
    </row>
    <row r="43" spans="1:12" ht="17.25" customHeight="1">
      <c r="A43" s="88" t="s">
        <v>434</v>
      </c>
      <c r="B43" s="88" t="s">
        <v>327</v>
      </c>
      <c r="C43" s="88" t="s">
        <v>431</v>
      </c>
      <c r="D43" s="88" t="s">
        <v>27</v>
      </c>
      <c r="E43" s="88">
        <v>4</v>
      </c>
      <c r="F43" s="89" t="s">
        <v>59</v>
      </c>
      <c r="G43" s="86"/>
      <c r="H43" s="86"/>
      <c r="I43" s="86"/>
      <c r="J43" s="88" t="s">
        <v>435</v>
      </c>
      <c r="K43" s="88" t="s">
        <v>435</v>
      </c>
      <c r="L43" s="86"/>
    </row>
    <row r="44" spans="1:12" ht="17.25" customHeight="1">
      <c r="A44" s="88" t="s">
        <v>436</v>
      </c>
      <c r="B44" s="88" t="s">
        <v>327</v>
      </c>
      <c r="C44" s="88" t="s">
        <v>431</v>
      </c>
      <c r="D44" s="88" t="s">
        <v>27</v>
      </c>
      <c r="E44" s="88">
        <v>4</v>
      </c>
      <c r="F44" s="89" t="s">
        <v>59</v>
      </c>
      <c r="G44" s="86"/>
      <c r="H44" s="86"/>
      <c r="I44" s="86"/>
      <c r="J44" s="88" t="s">
        <v>437</v>
      </c>
      <c r="K44" s="88" t="s">
        <v>437</v>
      </c>
      <c r="L44" s="86"/>
    </row>
    <row r="45" spans="1:12" ht="17.25" customHeight="1">
      <c r="A45" s="88" t="s">
        <v>438</v>
      </c>
      <c r="B45" s="88" t="s">
        <v>327</v>
      </c>
      <c r="C45" s="88" t="s">
        <v>431</v>
      </c>
      <c r="D45" s="88" t="s">
        <v>27</v>
      </c>
      <c r="E45" s="88">
        <v>4</v>
      </c>
      <c r="F45" s="89" t="s">
        <v>59</v>
      </c>
      <c r="G45" s="86"/>
      <c r="H45" s="86"/>
      <c r="I45" s="86"/>
      <c r="J45" s="88" t="s">
        <v>439</v>
      </c>
      <c r="K45" s="88" t="s">
        <v>439</v>
      </c>
      <c r="L45" s="86"/>
    </row>
    <row r="46" spans="1:12" ht="17.25" customHeight="1">
      <c r="A46" s="88" t="s">
        <v>440</v>
      </c>
      <c r="B46" s="88" t="s">
        <v>327</v>
      </c>
      <c r="C46" s="88" t="s">
        <v>431</v>
      </c>
      <c r="D46" s="88" t="s">
        <v>27</v>
      </c>
      <c r="E46" s="88">
        <v>4</v>
      </c>
      <c r="F46" s="89" t="s">
        <v>59</v>
      </c>
      <c r="G46" s="86"/>
      <c r="H46" s="86"/>
      <c r="I46" s="86"/>
      <c r="J46" s="88" t="s">
        <v>441</v>
      </c>
      <c r="K46" s="88" t="s">
        <v>441</v>
      </c>
      <c r="L46" s="86"/>
    </row>
    <row r="47" spans="1:12">
      <c r="A47" s="88" t="s">
        <v>442</v>
      </c>
      <c r="B47" s="88" t="s">
        <v>327</v>
      </c>
      <c r="C47" s="88" t="s">
        <v>431</v>
      </c>
      <c r="D47" s="88" t="s">
        <v>342</v>
      </c>
      <c r="E47" s="88">
        <v>4</v>
      </c>
      <c r="F47" s="89" t="s">
        <v>59</v>
      </c>
      <c r="G47" s="86"/>
      <c r="H47" s="86"/>
      <c r="I47" s="86"/>
      <c r="J47" s="88" t="s">
        <v>443</v>
      </c>
      <c r="K47" s="88" t="s">
        <v>443</v>
      </c>
      <c r="L47" s="86"/>
    </row>
    <row r="48" spans="1:12">
      <c r="A48" s="88" t="s">
        <v>444</v>
      </c>
      <c r="B48" s="88" t="s">
        <v>327</v>
      </c>
      <c r="C48" s="88" t="s">
        <v>431</v>
      </c>
      <c r="D48" s="88" t="s">
        <v>342</v>
      </c>
      <c r="E48" s="88">
        <v>4</v>
      </c>
      <c r="F48" s="89" t="s">
        <v>59</v>
      </c>
      <c r="G48" s="86"/>
      <c r="H48" s="86"/>
      <c r="I48" s="86"/>
      <c r="J48" s="88" t="s">
        <v>445</v>
      </c>
      <c r="K48" s="88" t="s">
        <v>445</v>
      </c>
      <c r="L48" s="86"/>
    </row>
    <row r="49" spans="1:12">
      <c r="A49" s="88" t="s">
        <v>446</v>
      </c>
      <c r="B49" s="88" t="s">
        <v>327</v>
      </c>
      <c r="C49" s="88" t="s">
        <v>431</v>
      </c>
      <c r="D49" s="88" t="s">
        <v>342</v>
      </c>
      <c r="E49" s="88">
        <v>4</v>
      </c>
      <c r="F49" s="89" t="s">
        <v>59</v>
      </c>
      <c r="G49" s="86"/>
      <c r="H49" s="86"/>
      <c r="I49" s="86"/>
      <c r="J49" s="90" t="s">
        <v>447</v>
      </c>
      <c r="K49" s="90" t="s">
        <v>447</v>
      </c>
      <c r="L49" s="90"/>
    </row>
    <row r="50" spans="1:12">
      <c r="A50" s="88" t="s">
        <v>448</v>
      </c>
      <c r="B50" s="88" t="s">
        <v>327</v>
      </c>
      <c r="C50" s="88" t="s">
        <v>431</v>
      </c>
      <c r="D50" s="88" t="s">
        <v>342</v>
      </c>
      <c r="E50" s="88">
        <v>4</v>
      </c>
      <c r="F50" s="89" t="s">
        <v>59</v>
      </c>
      <c r="G50" s="90"/>
      <c r="H50" s="90"/>
      <c r="I50" s="90"/>
      <c r="J50" s="90" t="s">
        <v>449</v>
      </c>
      <c r="K50" s="90" t="s">
        <v>449</v>
      </c>
      <c r="L50" s="90"/>
    </row>
    <row r="51" spans="1:12">
      <c r="A51" s="88" t="s">
        <v>450</v>
      </c>
      <c r="B51" s="88" t="s">
        <v>327</v>
      </c>
      <c r="C51" s="88" t="s">
        <v>431</v>
      </c>
      <c r="D51" s="88" t="s">
        <v>342</v>
      </c>
      <c r="E51" s="88">
        <v>4</v>
      </c>
      <c r="F51" s="89" t="s">
        <v>59</v>
      </c>
      <c r="G51" s="90"/>
      <c r="H51" s="90"/>
      <c r="I51" s="90"/>
      <c r="J51" s="90" t="s">
        <v>451</v>
      </c>
      <c r="K51" s="90" t="s">
        <v>451</v>
      </c>
      <c r="L51" s="90"/>
    </row>
    <row r="52" spans="1:12">
      <c r="A52" s="88" t="s">
        <v>452</v>
      </c>
      <c r="B52" s="88" t="s">
        <v>327</v>
      </c>
      <c r="C52" s="88" t="s">
        <v>431</v>
      </c>
      <c r="D52" s="88" t="s">
        <v>342</v>
      </c>
      <c r="E52" s="88">
        <v>4</v>
      </c>
      <c r="F52" s="89" t="s">
        <v>59</v>
      </c>
      <c r="G52" s="90"/>
      <c r="H52" s="90"/>
      <c r="I52" s="90"/>
      <c r="J52" s="90" t="s">
        <v>453</v>
      </c>
      <c r="K52" s="90" t="s">
        <v>453</v>
      </c>
      <c r="L52" s="90"/>
    </row>
    <row r="53" spans="1:12">
      <c r="A53" s="88" t="s">
        <v>454</v>
      </c>
      <c r="B53" s="88" t="s">
        <v>327</v>
      </c>
      <c r="C53" s="88" t="s">
        <v>431</v>
      </c>
      <c r="D53" s="88" t="s">
        <v>342</v>
      </c>
      <c r="E53" s="88">
        <v>4</v>
      </c>
      <c r="F53" s="89" t="s">
        <v>59</v>
      </c>
      <c r="G53" s="90"/>
      <c r="H53" s="90"/>
      <c r="I53" s="90"/>
      <c r="J53" s="90" t="s">
        <v>455</v>
      </c>
      <c r="K53" s="90" t="s">
        <v>455</v>
      </c>
      <c r="L53" s="90"/>
    </row>
    <row r="54" spans="1:12">
      <c r="A54" s="88" t="s">
        <v>456</v>
      </c>
      <c r="B54" s="88" t="s">
        <v>327</v>
      </c>
      <c r="C54" s="88" t="s">
        <v>431</v>
      </c>
      <c r="D54" s="88" t="s">
        <v>342</v>
      </c>
      <c r="E54" s="88">
        <v>4</v>
      </c>
      <c r="F54" s="89" t="s">
        <v>59</v>
      </c>
      <c r="G54" s="90"/>
      <c r="H54" s="90"/>
      <c r="I54" s="90"/>
      <c r="J54" s="90" t="s">
        <v>457</v>
      </c>
      <c r="K54" s="90" t="s">
        <v>457</v>
      </c>
      <c r="L54" s="90"/>
    </row>
    <row r="55" spans="1:12">
      <c r="A55" s="88" t="s">
        <v>458</v>
      </c>
      <c r="B55" s="88" t="s">
        <v>327</v>
      </c>
      <c r="C55" s="88" t="s">
        <v>431</v>
      </c>
      <c r="D55" s="88" t="s">
        <v>342</v>
      </c>
      <c r="E55" s="88">
        <v>4</v>
      </c>
      <c r="F55" s="89" t="s">
        <v>59</v>
      </c>
      <c r="G55" s="90"/>
      <c r="H55" s="90"/>
      <c r="I55" s="90"/>
      <c r="J55" s="90" t="s">
        <v>459</v>
      </c>
      <c r="K55" s="90" t="s">
        <v>459</v>
      </c>
      <c r="L55" s="90"/>
    </row>
    <row r="56" spans="1:12">
      <c r="A56" s="88" t="s">
        <v>460</v>
      </c>
      <c r="B56" s="88" t="s">
        <v>327</v>
      </c>
      <c r="C56" s="88" t="s">
        <v>431</v>
      </c>
      <c r="D56" s="88" t="s">
        <v>355</v>
      </c>
      <c r="E56" s="88">
        <v>4</v>
      </c>
      <c r="F56" s="89" t="s">
        <v>59</v>
      </c>
      <c r="G56" s="90"/>
      <c r="H56" s="90"/>
      <c r="I56" s="90"/>
      <c r="J56" s="90" t="s">
        <v>461</v>
      </c>
      <c r="K56" s="90" t="s">
        <v>461</v>
      </c>
      <c r="L56" s="90"/>
    </row>
    <row r="57" spans="1:12">
      <c r="A57" s="88" t="s">
        <v>462</v>
      </c>
      <c r="B57" s="88" t="s">
        <v>327</v>
      </c>
      <c r="C57" s="88" t="s">
        <v>431</v>
      </c>
      <c r="D57" s="88" t="s">
        <v>355</v>
      </c>
      <c r="E57" s="88">
        <v>4</v>
      </c>
      <c r="F57" s="89" t="s">
        <v>59</v>
      </c>
      <c r="G57" s="90"/>
      <c r="H57" s="90"/>
      <c r="I57" s="90"/>
      <c r="J57" s="90" t="s">
        <v>463</v>
      </c>
      <c r="K57" s="90" t="s">
        <v>463</v>
      </c>
      <c r="L57" s="90"/>
    </row>
    <row r="58" spans="1:12">
      <c r="A58" s="88" t="s">
        <v>464</v>
      </c>
      <c r="B58" s="88" t="s">
        <v>327</v>
      </c>
      <c r="C58" s="88" t="s">
        <v>431</v>
      </c>
      <c r="D58" s="88" t="s">
        <v>355</v>
      </c>
      <c r="E58" s="88">
        <v>4</v>
      </c>
      <c r="F58" s="89" t="s">
        <v>59</v>
      </c>
      <c r="G58" s="90"/>
      <c r="H58" s="90"/>
      <c r="I58" s="90"/>
      <c r="J58" s="90" t="s">
        <v>465</v>
      </c>
      <c r="K58" s="90" t="s">
        <v>465</v>
      </c>
      <c r="L58" s="90"/>
    </row>
    <row r="59" spans="1:12">
      <c r="A59" s="88" t="s">
        <v>466</v>
      </c>
      <c r="B59" s="88" t="s">
        <v>327</v>
      </c>
      <c r="C59" s="88" t="s">
        <v>431</v>
      </c>
      <c r="D59" s="88" t="s">
        <v>355</v>
      </c>
      <c r="E59" s="88">
        <v>4</v>
      </c>
      <c r="F59" s="89" t="s">
        <v>59</v>
      </c>
      <c r="G59" s="90"/>
      <c r="H59" s="90"/>
      <c r="I59" s="90"/>
      <c r="J59" s="90" t="s">
        <v>467</v>
      </c>
      <c r="K59" s="90" t="s">
        <v>467</v>
      </c>
      <c r="L59" s="90"/>
    </row>
    <row r="60" spans="1:12">
      <c r="A60" s="88" t="s">
        <v>468</v>
      </c>
      <c r="B60" s="88" t="s">
        <v>327</v>
      </c>
      <c r="C60" s="88" t="s">
        <v>431</v>
      </c>
      <c r="D60" s="88" t="s">
        <v>355</v>
      </c>
      <c r="E60" s="88">
        <v>4</v>
      </c>
      <c r="F60" s="89" t="s">
        <v>59</v>
      </c>
      <c r="G60" s="90"/>
      <c r="H60" s="90"/>
      <c r="I60" s="90"/>
      <c r="J60" s="88"/>
      <c r="K60" s="88"/>
      <c r="L60" s="90"/>
    </row>
    <row r="61" spans="1:12">
      <c r="A61" s="88" t="s">
        <v>469</v>
      </c>
      <c r="B61" s="88" t="s">
        <v>327</v>
      </c>
      <c r="C61" s="88" t="s">
        <v>431</v>
      </c>
      <c r="D61" s="88" t="s">
        <v>355</v>
      </c>
      <c r="E61" s="88">
        <v>4</v>
      </c>
      <c r="F61" s="89" t="s">
        <v>59</v>
      </c>
      <c r="G61" s="90"/>
      <c r="H61" s="90"/>
      <c r="I61" s="90"/>
      <c r="J61" s="88"/>
      <c r="K61" s="88"/>
      <c r="L61" s="90"/>
    </row>
    <row r="62" spans="1:12">
      <c r="A62" s="88" t="s">
        <v>87</v>
      </c>
      <c r="B62" s="88" t="s">
        <v>327</v>
      </c>
      <c r="C62" s="88" t="s">
        <v>86</v>
      </c>
      <c r="D62" s="88" t="s">
        <v>49</v>
      </c>
      <c r="E62" s="88">
        <v>4</v>
      </c>
      <c r="F62" s="89" t="s">
        <v>51</v>
      </c>
      <c r="G62" s="90"/>
      <c r="H62" s="90"/>
      <c r="I62" s="90"/>
      <c r="L62" s="90"/>
    </row>
    <row r="63" spans="1:12">
      <c r="A63" s="88" t="s">
        <v>88</v>
      </c>
      <c r="B63" s="88" t="s">
        <v>327</v>
      </c>
      <c r="C63" s="88" t="s">
        <v>86</v>
      </c>
      <c r="D63" s="88" t="s">
        <v>49</v>
      </c>
      <c r="E63" s="88">
        <v>4</v>
      </c>
      <c r="F63" s="89" t="s">
        <v>51</v>
      </c>
      <c r="G63" s="90"/>
      <c r="H63" s="90"/>
      <c r="I63" s="90"/>
      <c r="J63" s="88"/>
      <c r="K63" s="88"/>
      <c r="L63" s="90"/>
    </row>
    <row r="64" spans="1:12">
      <c r="A64" s="88" t="s">
        <v>470</v>
      </c>
      <c r="B64" s="88" t="s">
        <v>327</v>
      </c>
      <c r="C64" s="88" t="s">
        <v>86</v>
      </c>
      <c r="D64" s="88" t="s">
        <v>49</v>
      </c>
      <c r="E64" s="88">
        <v>4</v>
      </c>
      <c r="F64" s="89" t="s">
        <v>51</v>
      </c>
      <c r="G64" s="90"/>
      <c r="H64" s="90"/>
      <c r="I64" s="90"/>
      <c r="L64" s="90"/>
    </row>
    <row r="65" spans="1:12">
      <c r="A65" s="88" t="s">
        <v>471</v>
      </c>
      <c r="B65" s="88" t="s">
        <v>327</v>
      </c>
      <c r="C65" s="88" t="s">
        <v>86</v>
      </c>
      <c r="D65" s="88" t="s">
        <v>49</v>
      </c>
      <c r="E65" s="88">
        <v>4</v>
      </c>
      <c r="F65" s="89" t="s">
        <v>51</v>
      </c>
      <c r="G65" s="90"/>
      <c r="H65" s="90"/>
      <c r="I65" s="90"/>
      <c r="J65" s="88"/>
      <c r="K65" s="88"/>
      <c r="L65" s="90"/>
    </row>
    <row r="66" spans="1:12">
      <c r="A66" s="88" t="s">
        <v>472</v>
      </c>
      <c r="B66" s="88" t="s">
        <v>327</v>
      </c>
      <c r="C66" s="88" t="s">
        <v>86</v>
      </c>
      <c r="D66" s="88" t="s">
        <v>27</v>
      </c>
      <c r="E66" s="88">
        <v>4</v>
      </c>
      <c r="F66" s="89" t="s">
        <v>59</v>
      </c>
      <c r="G66" s="90"/>
      <c r="H66" s="90"/>
      <c r="I66" s="90"/>
      <c r="J66" s="88"/>
      <c r="K66" s="88"/>
      <c r="L66" s="90"/>
    </row>
    <row r="67" spans="1:12">
      <c r="A67" s="88" t="s">
        <v>473</v>
      </c>
      <c r="B67" s="88" t="s">
        <v>327</v>
      </c>
      <c r="C67" s="88" t="s">
        <v>86</v>
      </c>
      <c r="D67" s="88" t="s">
        <v>27</v>
      </c>
      <c r="E67" s="88">
        <v>4</v>
      </c>
      <c r="F67" s="89" t="s">
        <v>59</v>
      </c>
      <c r="G67" s="90"/>
      <c r="H67" s="90"/>
      <c r="I67" s="90"/>
      <c r="J67" s="88"/>
      <c r="K67" s="88"/>
      <c r="L67" s="90"/>
    </row>
    <row r="68" spans="1:12">
      <c r="A68" s="88" t="s">
        <v>474</v>
      </c>
      <c r="B68" s="88" t="s">
        <v>327</v>
      </c>
      <c r="C68" s="88" t="s">
        <v>86</v>
      </c>
      <c r="D68" s="88" t="s">
        <v>27</v>
      </c>
      <c r="E68" s="88">
        <v>4</v>
      </c>
      <c r="F68" s="89" t="s">
        <v>59</v>
      </c>
      <c r="G68" s="90"/>
      <c r="H68" s="90"/>
      <c r="I68" s="90"/>
      <c r="J68" s="88"/>
      <c r="K68" s="88"/>
      <c r="L68" s="90"/>
    </row>
    <row r="69" spans="1:12">
      <c r="A69" s="88" t="s">
        <v>475</v>
      </c>
      <c r="B69" s="88" t="s">
        <v>327</v>
      </c>
      <c r="C69" s="88" t="s">
        <v>86</v>
      </c>
      <c r="D69" s="88" t="s">
        <v>27</v>
      </c>
      <c r="E69" s="88">
        <v>4</v>
      </c>
      <c r="F69" s="89" t="s">
        <v>59</v>
      </c>
      <c r="G69" s="90"/>
      <c r="H69" s="90"/>
      <c r="I69" s="90"/>
      <c r="L69" s="90"/>
    </row>
    <row r="70" spans="1:12">
      <c r="A70" s="88" t="s">
        <v>476</v>
      </c>
      <c r="B70" s="88" t="s">
        <v>327</v>
      </c>
      <c r="C70" s="88" t="s">
        <v>86</v>
      </c>
      <c r="D70" s="88" t="s">
        <v>342</v>
      </c>
      <c r="E70" s="88">
        <v>4</v>
      </c>
      <c r="F70" s="89" t="s">
        <v>59</v>
      </c>
      <c r="G70" s="90"/>
      <c r="H70" s="90"/>
      <c r="I70" s="90"/>
      <c r="L70" s="90"/>
    </row>
    <row r="71" spans="1:12">
      <c r="A71" s="88" t="s">
        <v>477</v>
      </c>
      <c r="B71" s="88" t="s">
        <v>327</v>
      </c>
      <c r="C71" s="88" t="s">
        <v>86</v>
      </c>
      <c r="D71" s="88" t="s">
        <v>342</v>
      </c>
      <c r="E71" s="88">
        <v>4</v>
      </c>
      <c r="F71" s="89" t="s">
        <v>59</v>
      </c>
      <c r="G71" s="90"/>
      <c r="H71" s="90"/>
      <c r="I71" s="90"/>
      <c r="L71" s="90"/>
    </row>
    <row r="72" spans="1:12">
      <c r="A72" s="88" t="s">
        <v>478</v>
      </c>
      <c r="B72" s="88" t="s">
        <v>327</v>
      </c>
      <c r="C72" s="88" t="s">
        <v>86</v>
      </c>
      <c r="D72" s="88" t="s">
        <v>342</v>
      </c>
      <c r="E72" s="88">
        <v>4</v>
      </c>
      <c r="F72" s="89" t="s">
        <v>59</v>
      </c>
      <c r="G72" s="90"/>
      <c r="H72" s="90"/>
      <c r="I72" s="90"/>
      <c r="L72" s="90"/>
    </row>
    <row r="73" spans="1:12">
      <c r="A73" s="88" t="s">
        <v>479</v>
      </c>
      <c r="B73" s="88" t="s">
        <v>327</v>
      </c>
      <c r="C73" s="88" t="s">
        <v>86</v>
      </c>
      <c r="D73" s="88" t="s">
        <v>342</v>
      </c>
      <c r="E73" s="88">
        <v>4</v>
      </c>
      <c r="F73" s="89" t="s">
        <v>59</v>
      </c>
      <c r="G73" s="90"/>
      <c r="H73" s="90"/>
      <c r="I73" s="90"/>
      <c r="L73" s="90"/>
    </row>
    <row r="74" spans="1:12">
      <c r="A74" s="88" t="s">
        <v>480</v>
      </c>
      <c r="B74" s="88" t="s">
        <v>327</v>
      </c>
      <c r="C74" s="88" t="s">
        <v>86</v>
      </c>
      <c r="D74" s="88" t="s">
        <v>342</v>
      </c>
      <c r="E74" s="88">
        <v>4</v>
      </c>
      <c r="F74" s="89" t="s">
        <v>59</v>
      </c>
      <c r="G74" s="90"/>
      <c r="H74" s="90"/>
      <c r="I74" s="90"/>
      <c r="L74" s="90"/>
    </row>
    <row r="75" spans="1:12">
      <c r="A75" s="88" t="s">
        <v>481</v>
      </c>
      <c r="B75" s="88" t="s">
        <v>327</v>
      </c>
      <c r="C75" s="88" t="s">
        <v>86</v>
      </c>
      <c r="D75" s="88" t="s">
        <v>342</v>
      </c>
      <c r="E75" s="88">
        <v>4</v>
      </c>
      <c r="F75" s="89" t="s">
        <v>59</v>
      </c>
      <c r="G75" s="90"/>
      <c r="H75" s="90"/>
      <c r="I75" s="90"/>
      <c r="L75" s="90"/>
    </row>
    <row r="76" spans="1:12">
      <c r="A76" s="88" t="s">
        <v>482</v>
      </c>
      <c r="B76" s="88" t="s">
        <v>327</v>
      </c>
      <c r="C76" s="88" t="s">
        <v>86</v>
      </c>
      <c r="D76" s="88" t="s">
        <v>342</v>
      </c>
      <c r="E76" s="88">
        <v>4</v>
      </c>
      <c r="F76" s="89" t="s">
        <v>59</v>
      </c>
      <c r="G76" s="90"/>
      <c r="H76" s="90"/>
      <c r="I76" s="90"/>
      <c r="L76" s="90"/>
    </row>
    <row r="77" spans="1:12">
      <c r="A77" s="88" t="s">
        <v>483</v>
      </c>
      <c r="B77" s="88" t="s">
        <v>327</v>
      </c>
      <c r="C77" s="88" t="s">
        <v>86</v>
      </c>
      <c r="D77" s="88" t="s">
        <v>342</v>
      </c>
      <c r="E77" s="88">
        <v>4</v>
      </c>
      <c r="F77" s="89" t="s">
        <v>59</v>
      </c>
      <c r="G77" s="90"/>
      <c r="H77" s="90"/>
      <c r="I77" s="90"/>
      <c r="L77" s="90"/>
    </row>
    <row r="78" spans="1:12">
      <c r="A78" s="88" t="s">
        <v>484</v>
      </c>
      <c r="B78" s="88" t="s">
        <v>327</v>
      </c>
      <c r="C78" s="88" t="s">
        <v>86</v>
      </c>
      <c r="D78" s="88" t="s">
        <v>355</v>
      </c>
      <c r="E78" s="88">
        <v>4</v>
      </c>
      <c r="F78" s="89" t="s">
        <v>59</v>
      </c>
      <c r="G78" s="90"/>
      <c r="H78" s="90"/>
      <c r="I78" s="90"/>
      <c r="L78" s="90"/>
    </row>
    <row r="79" spans="1:12">
      <c r="A79" s="88" t="s">
        <v>485</v>
      </c>
      <c r="B79" s="88" t="s">
        <v>327</v>
      </c>
      <c r="C79" s="88" t="s">
        <v>86</v>
      </c>
      <c r="D79" s="88" t="s">
        <v>355</v>
      </c>
      <c r="E79" s="88">
        <v>4</v>
      </c>
      <c r="F79" s="89" t="s">
        <v>59</v>
      </c>
      <c r="G79" s="90"/>
      <c r="H79" s="90"/>
      <c r="I79" s="90"/>
      <c r="L79" s="90"/>
    </row>
    <row r="80" spans="1:12">
      <c r="A80" s="88" t="s">
        <v>486</v>
      </c>
      <c r="B80" s="88" t="s">
        <v>327</v>
      </c>
      <c r="C80" s="88" t="s">
        <v>86</v>
      </c>
      <c r="D80" s="88" t="s">
        <v>355</v>
      </c>
      <c r="E80" s="88">
        <v>4</v>
      </c>
      <c r="F80" s="89" t="s">
        <v>59</v>
      </c>
      <c r="G80" s="90"/>
      <c r="H80" s="90"/>
      <c r="I80" s="90"/>
      <c r="L80" s="90"/>
    </row>
    <row r="81" spans="1:12">
      <c r="A81" s="88" t="s">
        <v>487</v>
      </c>
      <c r="B81" s="88" t="s">
        <v>327</v>
      </c>
      <c r="C81" s="88" t="s">
        <v>89</v>
      </c>
      <c r="D81" s="88" t="s">
        <v>27</v>
      </c>
      <c r="E81" s="88">
        <v>3</v>
      </c>
      <c r="F81" s="89" t="s">
        <v>68</v>
      </c>
      <c r="G81" s="90"/>
      <c r="H81" s="90"/>
      <c r="I81" s="90"/>
      <c r="L81" s="90"/>
    </row>
    <row r="82" spans="1:12">
      <c r="A82" s="88" t="s">
        <v>488</v>
      </c>
      <c r="B82" s="88" t="s">
        <v>327</v>
      </c>
      <c r="C82" s="88" t="s">
        <v>89</v>
      </c>
      <c r="D82" s="88" t="s">
        <v>27</v>
      </c>
      <c r="E82" s="88">
        <v>3</v>
      </c>
      <c r="F82" s="89" t="s">
        <v>68</v>
      </c>
      <c r="G82" s="90"/>
      <c r="H82" s="90"/>
      <c r="I82" s="90"/>
      <c r="L82" s="90"/>
    </row>
    <row r="83" spans="1:12">
      <c r="A83" s="88" t="s">
        <v>489</v>
      </c>
      <c r="B83" s="88" t="s">
        <v>327</v>
      </c>
      <c r="C83" s="88" t="s">
        <v>89</v>
      </c>
      <c r="D83" s="88" t="s">
        <v>342</v>
      </c>
      <c r="E83" s="88">
        <v>3</v>
      </c>
      <c r="F83" s="89" t="s">
        <v>68</v>
      </c>
      <c r="G83" s="90"/>
      <c r="H83" s="90"/>
      <c r="I83" s="90"/>
      <c r="L83" s="90"/>
    </row>
    <row r="84" spans="1:12">
      <c r="A84" s="88" t="s">
        <v>490</v>
      </c>
      <c r="B84" s="88" t="s">
        <v>327</v>
      </c>
      <c r="C84" s="88" t="s">
        <v>89</v>
      </c>
      <c r="D84" s="88" t="s">
        <v>342</v>
      </c>
      <c r="E84" s="88">
        <v>3</v>
      </c>
      <c r="F84" s="89" t="s">
        <v>68</v>
      </c>
      <c r="G84" s="90"/>
      <c r="H84" s="90"/>
      <c r="I84" s="90"/>
      <c r="L84" s="90"/>
    </row>
    <row r="85" spans="1:12">
      <c r="A85" s="88" t="s">
        <v>491</v>
      </c>
      <c r="B85" s="88" t="s">
        <v>327</v>
      </c>
      <c r="C85" s="88" t="s">
        <v>89</v>
      </c>
      <c r="D85" s="88" t="s">
        <v>342</v>
      </c>
      <c r="E85" s="88">
        <v>2</v>
      </c>
      <c r="F85" s="89" t="s">
        <v>95</v>
      </c>
      <c r="G85" s="90"/>
      <c r="H85" s="90"/>
      <c r="I85" s="90"/>
      <c r="J85" s="90"/>
      <c r="K85" s="90"/>
      <c r="L85" s="90"/>
    </row>
    <row r="86" spans="1:12">
      <c r="A86" s="88" t="s">
        <v>492</v>
      </c>
      <c r="B86" s="88" t="s">
        <v>327</v>
      </c>
      <c r="C86" s="88" t="s">
        <v>89</v>
      </c>
      <c r="D86" s="88" t="s">
        <v>355</v>
      </c>
      <c r="E86" s="88">
        <v>3</v>
      </c>
      <c r="F86" s="89" t="s">
        <v>68</v>
      </c>
      <c r="G86" s="90"/>
      <c r="H86" s="90"/>
      <c r="I86" s="90"/>
      <c r="J86" s="90"/>
      <c r="K86" s="90"/>
      <c r="L86" s="90"/>
    </row>
    <row r="87" spans="1:12">
      <c r="A87" s="88" t="s">
        <v>493</v>
      </c>
      <c r="B87" s="88" t="s">
        <v>327</v>
      </c>
      <c r="C87" s="88" t="s">
        <v>89</v>
      </c>
      <c r="D87" s="88" t="s">
        <v>355</v>
      </c>
      <c r="E87" s="88">
        <v>2</v>
      </c>
      <c r="F87" s="89" t="s">
        <v>95</v>
      </c>
      <c r="G87" s="90"/>
      <c r="H87" s="90"/>
      <c r="I87" s="90"/>
      <c r="J87" s="90"/>
      <c r="K87" s="90"/>
      <c r="L87" s="90"/>
    </row>
    <row r="88" spans="1:12" ht="17.25" customHeight="1">
      <c r="A88" s="88" t="s">
        <v>97</v>
      </c>
      <c r="B88" s="88" t="s">
        <v>327</v>
      </c>
      <c r="C88" s="88" t="s">
        <v>96</v>
      </c>
      <c r="D88" s="88" t="s">
        <v>27</v>
      </c>
      <c r="E88" s="88">
        <v>3</v>
      </c>
      <c r="F88" s="89" t="s">
        <v>68</v>
      </c>
      <c r="G88" s="90"/>
      <c r="H88" s="90"/>
      <c r="I88" s="90"/>
      <c r="J88" s="90"/>
      <c r="K88" s="90"/>
      <c r="L88" s="90"/>
    </row>
    <row r="89" spans="1:12">
      <c r="A89" s="88" t="s">
        <v>99</v>
      </c>
      <c r="B89" s="88" t="s">
        <v>327</v>
      </c>
      <c r="C89" s="88" t="s">
        <v>96</v>
      </c>
      <c r="D89" s="88" t="s">
        <v>27</v>
      </c>
      <c r="E89" s="88">
        <v>3</v>
      </c>
      <c r="F89" s="89" t="s">
        <v>68</v>
      </c>
      <c r="G89" s="90"/>
      <c r="H89" s="90"/>
      <c r="I89" s="90"/>
      <c r="J89" s="90"/>
      <c r="K89" s="90"/>
      <c r="L89" s="90"/>
    </row>
    <row r="90" spans="1:12">
      <c r="A90" s="88" t="s">
        <v>494</v>
      </c>
      <c r="B90" s="88" t="s">
        <v>327</v>
      </c>
      <c r="C90" s="88" t="s">
        <v>96</v>
      </c>
      <c r="D90" s="88" t="s">
        <v>27</v>
      </c>
      <c r="E90" s="88">
        <v>3</v>
      </c>
      <c r="F90" s="89" t="s">
        <v>68</v>
      </c>
      <c r="G90" s="90"/>
      <c r="H90" s="90"/>
      <c r="I90" s="90"/>
      <c r="J90" s="90"/>
      <c r="K90" s="90"/>
      <c r="L90" s="90"/>
    </row>
    <row r="91" spans="1:12">
      <c r="A91" s="88" t="s">
        <v>495</v>
      </c>
      <c r="B91" s="88" t="s">
        <v>327</v>
      </c>
      <c r="C91" s="88" t="s">
        <v>96</v>
      </c>
      <c r="D91" s="88" t="s">
        <v>342</v>
      </c>
      <c r="E91" s="88">
        <v>3</v>
      </c>
      <c r="F91" s="89" t="s">
        <v>68</v>
      </c>
      <c r="G91" s="90"/>
      <c r="H91" s="90"/>
      <c r="I91" s="90"/>
      <c r="J91" s="90"/>
      <c r="K91" s="90"/>
      <c r="L91" s="90"/>
    </row>
    <row r="92" spans="1:12">
      <c r="A92" s="88" t="s">
        <v>98</v>
      </c>
      <c r="B92" s="88" t="s">
        <v>327</v>
      </c>
      <c r="C92" s="88" t="s">
        <v>96</v>
      </c>
      <c r="D92" s="88" t="s">
        <v>342</v>
      </c>
      <c r="E92" s="88">
        <v>3</v>
      </c>
      <c r="F92" s="89" t="s">
        <v>68</v>
      </c>
      <c r="G92" s="90"/>
      <c r="H92" s="90"/>
      <c r="I92" s="90"/>
      <c r="J92" s="90"/>
      <c r="K92" s="90"/>
      <c r="L92" s="90"/>
    </row>
    <row r="93" spans="1:12">
      <c r="A93" s="88" t="s">
        <v>100</v>
      </c>
      <c r="B93" s="88" t="s">
        <v>327</v>
      </c>
      <c r="C93" s="88" t="s">
        <v>96</v>
      </c>
      <c r="D93" s="88" t="s">
        <v>342</v>
      </c>
      <c r="E93" s="88">
        <v>3</v>
      </c>
      <c r="F93" s="89" t="s">
        <v>68</v>
      </c>
      <c r="G93" s="90"/>
      <c r="H93" s="90"/>
      <c r="I93" s="90"/>
      <c r="J93" s="90"/>
      <c r="K93" s="90"/>
      <c r="L93" s="90"/>
    </row>
    <row r="94" spans="1:12">
      <c r="A94" s="88" t="s">
        <v>496</v>
      </c>
      <c r="B94" s="88" t="s">
        <v>327</v>
      </c>
      <c r="C94" s="88" t="s">
        <v>96</v>
      </c>
      <c r="D94" s="88" t="s">
        <v>342</v>
      </c>
      <c r="E94" s="88">
        <v>3</v>
      </c>
      <c r="F94" s="89" t="s">
        <v>68</v>
      </c>
      <c r="G94" s="90"/>
      <c r="H94" s="90"/>
      <c r="I94" s="90"/>
      <c r="J94" s="90"/>
      <c r="K94" s="90"/>
      <c r="L94" s="90"/>
    </row>
    <row r="95" spans="1:12">
      <c r="A95" s="88" t="s">
        <v>497</v>
      </c>
      <c r="B95" s="88" t="s">
        <v>327</v>
      </c>
      <c r="C95" s="88" t="s">
        <v>96</v>
      </c>
      <c r="D95" s="88" t="s">
        <v>355</v>
      </c>
      <c r="E95" s="88">
        <v>3</v>
      </c>
      <c r="F95" s="89" t="s">
        <v>68</v>
      </c>
      <c r="G95" s="90"/>
      <c r="H95" s="90"/>
      <c r="I95" s="90"/>
      <c r="J95" s="90"/>
      <c r="K95" s="90"/>
      <c r="L95" s="90"/>
    </row>
    <row r="96" spans="1:12">
      <c r="A96" s="88" t="s">
        <v>498</v>
      </c>
      <c r="B96" s="88" t="s">
        <v>327</v>
      </c>
      <c r="C96" s="88" t="s">
        <v>96</v>
      </c>
      <c r="D96" s="88" t="s">
        <v>355</v>
      </c>
      <c r="E96" s="88">
        <v>3</v>
      </c>
      <c r="F96" s="89" t="s">
        <v>68</v>
      </c>
      <c r="G96" s="90"/>
      <c r="H96" s="90"/>
      <c r="I96" s="90"/>
      <c r="J96" s="90"/>
      <c r="K96" s="90"/>
      <c r="L96" s="90"/>
    </row>
    <row r="97" spans="1:12">
      <c r="A97" s="88" t="s">
        <v>499</v>
      </c>
      <c r="B97" s="88" t="s">
        <v>327</v>
      </c>
      <c r="C97" s="88" t="s">
        <v>499</v>
      </c>
      <c r="D97" s="88" t="s">
        <v>27</v>
      </c>
      <c r="E97" s="88">
        <v>4</v>
      </c>
      <c r="F97" s="89" t="s">
        <v>59</v>
      </c>
      <c r="G97" s="90"/>
      <c r="H97" s="90"/>
      <c r="I97" s="90"/>
      <c r="J97" s="90"/>
      <c r="K97" s="90"/>
      <c r="L97" s="90"/>
    </row>
    <row r="98" spans="1:12">
      <c r="A98" s="88" t="s">
        <v>500</v>
      </c>
      <c r="B98" s="88" t="s">
        <v>327</v>
      </c>
      <c r="C98" s="88" t="s">
        <v>499</v>
      </c>
      <c r="D98" s="88" t="s">
        <v>27</v>
      </c>
      <c r="E98" s="88">
        <v>4</v>
      </c>
      <c r="F98" s="89" t="s">
        <v>59</v>
      </c>
      <c r="G98" s="90"/>
      <c r="H98" s="90"/>
      <c r="I98" s="90"/>
      <c r="J98" s="90"/>
      <c r="K98" s="90"/>
      <c r="L98" s="90"/>
    </row>
    <row r="99" spans="1:12">
      <c r="A99" s="88" t="s">
        <v>501</v>
      </c>
      <c r="B99" s="88" t="s">
        <v>327</v>
      </c>
      <c r="C99" s="88" t="s">
        <v>499</v>
      </c>
      <c r="D99" s="88" t="s">
        <v>342</v>
      </c>
      <c r="E99" s="88">
        <v>4</v>
      </c>
      <c r="F99" s="89" t="s">
        <v>59</v>
      </c>
      <c r="G99" s="90"/>
      <c r="H99" s="90"/>
      <c r="I99" s="90"/>
      <c r="J99" s="90"/>
      <c r="K99" s="90"/>
      <c r="L99" s="90"/>
    </row>
    <row r="100" spans="1:12">
      <c r="A100" s="88" t="s">
        <v>502</v>
      </c>
      <c r="B100" s="88" t="s">
        <v>327</v>
      </c>
      <c r="C100" s="88" t="s">
        <v>499</v>
      </c>
      <c r="D100" s="88" t="s">
        <v>342</v>
      </c>
      <c r="E100" s="88">
        <v>4</v>
      </c>
      <c r="F100" s="89" t="s">
        <v>59</v>
      </c>
      <c r="G100" s="90"/>
      <c r="H100" s="90"/>
      <c r="I100" s="90"/>
      <c r="J100" s="90"/>
      <c r="K100" s="90"/>
      <c r="L100" s="90"/>
    </row>
    <row r="101" spans="1:12">
      <c r="A101" s="88" t="s">
        <v>143</v>
      </c>
      <c r="B101" s="88" t="s">
        <v>327</v>
      </c>
      <c r="C101" s="88" t="s">
        <v>499</v>
      </c>
      <c r="D101" s="88" t="s">
        <v>342</v>
      </c>
      <c r="E101" s="88">
        <v>4</v>
      </c>
      <c r="F101" s="89" t="s">
        <v>59</v>
      </c>
      <c r="G101" s="90"/>
      <c r="H101" s="90"/>
      <c r="I101" s="90"/>
      <c r="J101" s="90"/>
      <c r="K101" s="90"/>
      <c r="L101" s="90"/>
    </row>
    <row r="102" spans="1:12">
      <c r="A102" s="88" t="s">
        <v>503</v>
      </c>
      <c r="B102" s="88" t="s">
        <v>327</v>
      </c>
      <c r="C102" s="88" t="s">
        <v>499</v>
      </c>
      <c r="D102" s="88" t="s">
        <v>342</v>
      </c>
      <c r="E102" s="88">
        <v>4</v>
      </c>
      <c r="F102" s="89" t="s">
        <v>59</v>
      </c>
      <c r="G102" s="90"/>
      <c r="H102" s="90"/>
      <c r="I102" s="90"/>
      <c r="J102" s="90"/>
      <c r="K102" s="90"/>
      <c r="L102" s="90"/>
    </row>
    <row r="103" spans="1:12">
      <c r="A103" s="88" t="s">
        <v>504</v>
      </c>
      <c r="B103" s="88" t="s">
        <v>327</v>
      </c>
      <c r="C103" s="88" t="s">
        <v>499</v>
      </c>
      <c r="D103" s="88" t="s">
        <v>355</v>
      </c>
      <c r="E103" s="88">
        <v>4</v>
      </c>
      <c r="F103" s="89" t="s">
        <v>59</v>
      </c>
      <c r="G103" s="90"/>
      <c r="H103" s="90"/>
      <c r="I103" s="90"/>
      <c r="J103" s="90"/>
      <c r="K103" s="90"/>
      <c r="L103" s="90"/>
    </row>
    <row r="104" spans="1:12">
      <c r="A104" s="88" t="s">
        <v>505</v>
      </c>
      <c r="B104" s="88" t="s">
        <v>327</v>
      </c>
      <c r="C104" s="88" t="s">
        <v>499</v>
      </c>
      <c r="D104" s="88" t="s">
        <v>355</v>
      </c>
      <c r="E104" s="88">
        <v>4</v>
      </c>
      <c r="F104" s="89" t="s">
        <v>59</v>
      </c>
      <c r="G104" s="90"/>
      <c r="H104" s="90"/>
      <c r="I104" s="90"/>
      <c r="J104" s="90"/>
      <c r="K104" s="90"/>
      <c r="L104" s="90"/>
    </row>
    <row r="105" spans="1:12">
      <c r="A105" s="88" t="s">
        <v>506</v>
      </c>
      <c r="B105" s="88" t="s">
        <v>327</v>
      </c>
      <c r="C105" s="88" t="s">
        <v>499</v>
      </c>
      <c r="D105" s="88" t="s">
        <v>355</v>
      </c>
      <c r="E105" s="88">
        <v>4</v>
      </c>
      <c r="F105" s="89" t="s">
        <v>59</v>
      </c>
      <c r="G105" s="90"/>
      <c r="H105" s="90"/>
      <c r="I105" s="90"/>
      <c r="J105" s="90"/>
      <c r="K105" s="90"/>
      <c r="L105" s="90"/>
    </row>
    <row r="106" spans="1:12">
      <c r="A106" s="88" t="s">
        <v>507</v>
      </c>
      <c r="B106" s="88" t="s">
        <v>327</v>
      </c>
      <c r="C106" s="88" t="s">
        <v>499</v>
      </c>
      <c r="D106" s="88" t="s">
        <v>355</v>
      </c>
      <c r="E106" s="88">
        <v>2</v>
      </c>
      <c r="F106" s="89" t="s">
        <v>95</v>
      </c>
      <c r="G106" s="90"/>
      <c r="H106" s="90"/>
      <c r="I106" s="90"/>
      <c r="J106" s="90"/>
      <c r="K106" s="90"/>
      <c r="L106" s="90"/>
    </row>
    <row r="107" spans="1:12">
      <c r="A107" s="88" t="s">
        <v>508</v>
      </c>
      <c r="B107" s="88" t="s">
        <v>327</v>
      </c>
      <c r="C107" s="88" t="s">
        <v>499</v>
      </c>
      <c r="D107" s="88" t="s">
        <v>355</v>
      </c>
      <c r="E107" s="88">
        <v>4</v>
      </c>
      <c r="F107" s="89" t="s">
        <v>59</v>
      </c>
      <c r="G107" s="90"/>
      <c r="H107" s="90"/>
      <c r="I107" s="90"/>
      <c r="J107" s="90"/>
      <c r="K107" s="90"/>
      <c r="L107" s="90"/>
    </row>
    <row r="108" spans="1:12">
      <c r="A108" s="88" t="s">
        <v>509</v>
      </c>
      <c r="B108" s="88" t="s">
        <v>327</v>
      </c>
      <c r="C108" s="88" t="s">
        <v>510</v>
      </c>
      <c r="D108" s="88" t="s">
        <v>27</v>
      </c>
      <c r="E108" s="88">
        <v>4</v>
      </c>
      <c r="F108" s="89" t="s">
        <v>59</v>
      </c>
      <c r="G108" s="90"/>
      <c r="H108" s="90"/>
      <c r="I108" s="90"/>
      <c r="J108" s="90"/>
      <c r="K108" s="90"/>
      <c r="L108" s="90"/>
    </row>
    <row r="109" spans="1:12">
      <c r="A109" s="88" t="s">
        <v>511</v>
      </c>
      <c r="B109" s="88" t="s">
        <v>327</v>
      </c>
      <c r="C109" s="88" t="s">
        <v>499</v>
      </c>
      <c r="D109" s="88" t="s">
        <v>27</v>
      </c>
      <c r="E109" s="88">
        <v>4</v>
      </c>
      <c r="F109" s="89" t="s">
        <v>59</v>
      </c>
      <c r="G109" s="90"/>
      <c r="H109" s="90"/>
      <c r="I109" s="90"/>
      <c r="J109" s="90"/>
      <c r="K109" s="90"/>
      <c r="L109" s="90"/>
    </row>
    <row r="110" spans="1:12">
      <c r="A110" s="88" t="s">
        <v>512</v>
      </c>
      <c r="B110" s="88" t="s">
        <v>327</v>
      </c>
      <c r="C110" s="88" t="s">
        <v>499</v>
      </c>
      <c r="D110" s="88" t="s">
        <v>27</v>
      </c>
      <c r="E110" s="88">
        <v>4</v>
      </c>
      <c r="F110" s="89" t="s">
        <v>59</v>
      </c>
      <c r="G110" s="90"/>
      <c r="H110" s="90"/>
      <c r="I110" s="90"/>
      <c r="J110" s="90"/>
      <c r="K110" s="90"/>
      <c r="L110" s="90"/>
    </row>
    <row r="111" spans="1:12">
      <c r="A111" s="88" t="s">
        <v>103</v>
      </c>
      <c r="B111" s="88" t="s">
        <v>327</v>
      </c>
      <c r="C111" s="88" t="s">
        <v>499</v>
      </c>
      <c r="D111" s="88" t="s">
        <v>27</v>
      </c>
      <c r="E111" s="88">
        <v>4</v>
      </c>
      <c r="F111" s="89" t="s">
        <v>59</v>
      </c>
      <c r="G111" s="90"/>
      <c r="H111" s="90"/>
      <c r="I111" s="90"/>
      <c r="J111" s="90"/>
      <c r="K111" s="90"/>
      <c r="L111" s="90"/>
    </row>
    <row r="112" spans="1:12">
      <c r="A112" s="88" t="s">
        <v>513</v>
      </c>
      <c r="B112" s="88" t="s">
        <v>327</v>
      </c>
      <c r="C112" s="88" t="s">
        <v>499</v>
      </c>
      <c r="D112" s="88" t="s">
        <v>27</v>
      </c>
      <c r="E112" s="88">
        <v>4</v>
      </c>
      <c r="F112" s="89" t="s">
        <v>59</v>
      </c>
      <c r="G112" s="90"/>
      <c r="H112" s="90"/>
      <c r="I112" s="90"/>
      <c r="J112" s="90"/>
      <c r="K112" s="90"/>
      <c r="L112" s="90"/>
    </row>
    <row r="113" spans="1:12">
      <c r="A113" s="88" t="s">
        <v>514</v>
      </c>
      <c r="B113" s="88" t="s">
        <v>327</v>
      </c>
      <c r="C113" s="88" t="s">
        <v>499</v>
      </c>
      <c r="D113" s="88" t="s">
        <v>27</v>
      </c>
      <c r="E113" s="88">
        <v>4</v>
      </c>
      <c r="F113" s="89" t="s">
        <v>59</v>
      </c>
      <c r="G113" s="90"/>
      <c r="H113" s="90"/>
      <c r="I113" s="90"/>
      <c r="J113" s="90"/>
      <c r="K113" s="90"/>
      <c r="L113" s="90"/>
    </row>
    <row r="114" spans="1:12">
      <c r="A114" s="88" t="s">
        <v>515</v>
      </c>
      <c r="B114" s="88" t="s">
        <v>327</v>
      </c>
      <c r="C114" s="88" t="s">
        <v>510</v>
      </c>
      <c r="D114" s="88" t="s">
        <v>27</v>
      </c>
      <c r="E114" s="88">
        <v>4</v>
      </c>
      <c r="F114" s="89" t="s">
        <v>59</v>
      </c>
      <c r="G114" s="90"/>
      <c r="H114" s="90"/>
      <c r="I114" s="90"/>
      <c r="J114" s="90"/>
      <c r="K114" s="90"/>
      <c r="L114" s="90"/>
    </row>
    <row r="115" spans="1:12">
      <c r="A115" s="88" t="s">
        <v>516</v>
      </c>
      <c r="B115" s="88" t="s">
        <v>327</v>
      </c>
      <c r="C115" s="88" t="s">
        <v>510</v>
      </c>
      <c r="D115" s="88" t="s">
        <v>27</v>
      </c>
      <c r="E115" s="88">
        <v>4</v>
      </c>
      <c r="F115" s="89" t="s">
        <v>59</v>
      </c>
      <c r="G115" s="90"/>
      <c r="H115" s="90"/>
      <c r="I115" s="90"/>
      <c r="J115" s="90"/>
      <c r="K115" s="90"/>
      <c r="L115" s="90"/>
    </row>
    <row r="116" spans="1:12">
      <c r="A116" s="88" t="s">
        <v>517</v>
      </c>
      <c r="B116" s="88" t="s">
        <v>327</v>
      </c>
      <c r="C116" s="88" t="s">
        <v>510</v>
      </c>
      <c r="D116" s="88" t="s">
        <v>27</v>
      </c>
      <c r="E116" s="88">
        <v>4</v>
      </c>
      <c r="F116" s="89" t="s">
        <v>59</v>
      </c>
      <c r="G116" s="90"/>
      <c r="H116" s="90"/>
      <c r="I116" s="90"/>
      <c r="J116" s="90"/>
      <c r="K116" s="90"/>
      <c r="L116" s="90"/>
    </row>
    <row r="117" spans="1:12">
      <c r="A117" s="88" t="s">
        <v>518</v>
      </c>
      <c r="B117" s="88" t="s">
        <v>327</v>
      </c>
      <c r="C117" s="88" t="s">
        <v>510</v>
      </c>
      <c r="D117" s="88" t="s">
        <v>27</v>
      </c>
      <c r="E117" s="88">
        <v>4</v>
      </c>
      <c r="F117" s="89" t="s">
        <v>59</v>
      </c>
      <c r="G117" s="90"/>
      <c r="H117" s="90"/>
      <c r="I117" s="90"/>
      <c r="J117" s="90"/>
      <c r="K117" s="90"/>
      <c r="L117" s="90"/>
    </row>
    <row r="118" spans="1:12">
      <c r="A118" s="88" t="s">
        <v>519</v>
      </c>
      <c r="B118" s="88" t="s">
        <v>327</v>
      </c>
      <c r="C118" s="88" t="s">
        <v>510</v>
      </c>
      <c r="D118" s="88" t="s">
        <v>27</v>
      </c>
      <c r="E118" s="88">
        <v>4</v>
      </c>
      <c r="F118" s="89" t="s">
        <v>59</v>
      </c>
      <c r="G118" s="90"/>
      <c r="H118" s="90"/>
      <c r="I118" s="90"/>
      <c r="J118" s="90"/>
      <c r="K118" s="90"/>
      <c r="L118" s="90"/>
    </row>
    <row r="119" spans="1:12">
      <c r="A119" s="88" t="s">
        <v>520</v>
      </c>
      <c r="B119" s="88" t="s">
        <v>327</v>
      </c>
      <c r="C119" s="88" t="s">
        <v>510</v>
      </c>
      <c r="D119" s="88" t="s">
        <v>27</v>
      </c>
      <c r="E119" s="88">
        <v>4</v>
      </c>
      <c r="F119" s="89" t="s">
        <v>59</v>
      </c>
      <c r="G119" s="90"/>
      <c r="H119" s="90"/>
      <c r="I119" s="90"/>
      <c r="J119" s="90"/>
      <c r="K119" s="90"/>
      <c r="L119" s="90"/>
    </row>
    <row r="120" spans="1:12">
      <c r="A120" s="88" t="s">
        <v>521</v>
      </c>
      <c r="B120" s="88" t="s">
        <v>327</v>
      </c>
      <c r="C120" s="88" t="s">
        <v>510</v>
      </c>
      <c r="D120" s="88" t="s">
        <v>27</v>
      </c>
      <c r="E120" s="88">
        <v>4</v>
      </c>
      <c r="F120" s="89" t="s">
        <v>59</v>
      </c>
      <c r="G120" s="90"/>
      <c r="H120" s="90"/>
      <c r="I120" s="90"/>
      <c r="J120" s="90"/>
      <c r="K120" s="90"/>
      <c r="L120" s="90"/>
    </row>
    <row r="121" spans="1:12">
      <c r="A121" s="88" t="s">
        <v>522</v>
      </c>
      <c r="B121" s="88" t="s">
        <v>327</v>
      </c>
      <c r="C121" s="88" t="s">
        <v>510</v>
      </c>
      <c r="D121" s="88" t="s">
        <v>27</v>
      </c>
      <c r="E121" s="88">
        <v>4</v>
      </c>
      <c r="F121" s="89" t="s">
        <v>59</v>
      </c>
      <c r="G121" s="90"/>
      <c r="H121" s="90"/>
      <c r="I121" s="90"/>
      <c r="J121" s="90"/>
      <c r="K121" s="90"/>
      <c r="L121" s="90"/>
    </row>
    <row r="122" spans="1:12">
      <c r="A122" s="88" t="s">
        <v>523</v>
      </c>
      <c r="B122" s="88" t="s">
        <v>327</v>
      </c>
      <c r="C122" s="88" t="s">
        <v>510</v>
      </c>
      <c r="D122" s="88" t="s">
        <v>27</v>
      </c>
      <c r="E122" s="88">
        <v>4</v>
      </c>
      <c r="F122" s="89" t="s">
        <v>59</v>
      </c>
      <c r="G122" s="90"/>
      <c r="H122" s="90"/>
      <c r="I122" s="90"/>
      <c r="J122" s="90"/>
      <c r="K122" s="90"/>
      <c r="L122" s="90"/>
    </row>
    <row r="123" spans="1:12">
      <c r="A123" s="88" t="s">
        <v>524</v>
      </c>
      <c r="B123" s="88" t="s">
        <v>327</v>
      </c>
      <c r="C123" s="88" t="s">
        <v>510</v>
      </c>
      <c r="D123" s="88" t="s">
        <v>27</v>
      </c>
      <c r="E123" s="88">
        <v>4</v>
      </c>
      <c r="F123" s="89" t="s">
        <v>59</v>
      </c>
      <c r="G123" s="90"/>
      <c r="H123" s="90"/>
      <c r="I123" s="90"/>
      <c r="J123" s="90"/>
      <c r="K123" s="90"/>
      <c r="L123" s="90"/>
    </row>
    <row r="124" spans="1:12">
      <c r="A124" s="88" t="s">
        <v>525</v>
      </c>
      <c r="B124" s="88" t="s">
        <v>327</v>
      </c>
      <c r="C124" s="88" t="s">
        <v>510</v>
      </c>
      <c r="D124" s="88" t="s">
        <v>342</v>
      </c>
      <c r="E124" s="88">
        <v>4</v>
      </c>
      <c r="F124" s="89" t="s">
        <v>59</v>
      </c>
      <c r="G124" s="90"/>
      <c r="H124" s="90"/>
      <c r="I124" s="90"/>
      <c r="J124" s="90"/>
      <c r="K124" s="90"/>
      <c r="L124" s="90"/>
    </row>
    <row r="125" spans="1:12">
      <c r="A125" s="88" t="s">
        <v>526</v>
      </c>
      <c r="B125" s="88" t="s">
        <v>327</v>
      </c>
      <c r="C125" s="88" t="s">
        <v>510</v>
      </c>
      <c r="D125" s="88" t="s">
        <v>342</v>
      </c>
      <c r="E125" s="88">
        <v>4</v>
      </c>
      <c r="F125" s="89" t="s">
        <v>59</v>
      </c>
      <c r="G125" s="90"/>
      <c r="H125" s="90"/>
      <c r="I125" s="90"/>
      <c r="J125" s="90"/>
      <c r="K125" s="90"/>
      <c r="L125" s="90"/>
    </row>
    <row r="126" spans="1:12">
      <c r="A126" s="88" t="s">
        <v>527</v>
      </c>
      <c r="B126" s="88" t="s">
        <v>327</v>
      </c>
      <c r="C126" s="88" t="s">
        <v>510</v>
      </c>
      <c r="D126" s="88" t="s">
        <v>342</v>
      </c>
      <c r="E126" s="88">
        <v>4</v>
      </c>
      <c r="F126" s="89" t="s">
        <v>59</v>
      </c>
      <c r="G126" s="90"/>
      <c r="H126" s="90"/>
      <c r="I126" s="90"/>
      <c r="J126" s="90"/>
      <c r="K126" s="90"/>
      <c r="L126" s="90"/>
    </row>
    <row r="127" spans="1:12">
      <c r="A127" s="88" t="s">
        <v>528</v>
      </c>
      <c r="B127" s="88" t="s">
        <v>327</v>
      </c>
      <c r="C127" s="88" t="s">
        <v>510</v>
      </c>
      <c r="D127" s="88" t="s">
        <v>342</v>
      </c>
      <c r="E127" s="88">
        <v>4</v>
      </c>
      <c r="F127" s="89" t="s">
        <v>59</v>
      </c>
      <c r="G127" s="90"/>
      <c r="H127" s="90"/>
      <c r="I127" s="90"/>
      <c r="J127" s="90"/>
      <c r="K127" s="90"/>
      <c r="L127" s="90"/>
    </row>
    <row r="128" spans="1:12">
      <c r="A128" s="88" t="s">
        <v>529</v>
      </c>
      <c r="B128" s="88" t="s">
        <v>327</v>
      </c>
      <c r="C128" s="88" t="s">
        <v>510</v>
      </c>
      <c r="D128" s="88" t="s">
        <v>342</v>
      </c>
      <c r="E128" s="88">
        <v>4</v>
      </c>
      <c r="F128" s="89" t="s">
        <v>59</v>
      </c>
      <c r="G128" s="90"/>
      <c r="H128" s="90"/>
      <c r="I128" s="90"/>
      <c r="J128" s="90"/>
      <c r="K128" s="90"/>
      <c r="L128" s="90"/>
    </row>
    <row r="129" spans="1:12">
      <c r="A129" s="88" t="s">
        <v>530</v>
      </c>
      <c r="B129" s="88" t="s">
        <v>327</v>
      </c>
      <c r="C129" s="88" t="s">
        <v>510</v>
      </c>
      <c r="D129" s="88" t="s">
        <v>342</v>
      </c>
      <c r="E129" s="88">
        <v>4</v>
      </c>
      <c r="F129" s="89" t="s">
        <v>59</v>
      </c>
      <c r="G129" s="90"/>
      <c r="H129" s="90"/>
      <c r="I129" s="90"/>
      <c r="J129" s="90"/>
      <c r="K129" s="90"/>
      <c r="L129" s="90"/>
    </row>
    <row r="130" spans="1:12">
      <c r="A130" s="88" t="s">
        <v>531</v>
      </c>
      <c r="B130" s="88" t="s">
        <v>327</v>
      </c>
      <c r="C130" s="88" t="s">
        <v>510</v>
      </c>
      <c r="D130" s="88" t="s">
        <v>342</v>
      </c>
      <c r="E130" s="88">
        <v>4</v>
      </c>
      <c r="F130" s="89" t="s">
        <v>59</v>
      </c>
      <c r="G130" s="90"/>
      <c r="H130" s="90"/>
      <c r="I130" s="90"/>
      <c r="J130" s="90"/>
      <c r="K130" s="90"/>
      <c r="L130" s="90"/>
    </row>
    <row r="131" spans="1:12">
      <c r="A131" s="88" t="s">
        <v>532</v>
      </c>
      <c r="B131" s="88" t="s">
        <v>327</v>
      </c>
      <c r="C131" s="88" t="s">
        <v>510</v>
      </c>
      <c r="D131" s="88" t="s">
        <v>355</v>
      </c>
      <c r="E131" s="88">
        <v>4</v>
      </c>
      <c r="F131" s="89" t="s">
        <v>59</v>
      </c>
      <c r="G131" s="90"/>
      <c r="H131" s="90"/>
      <c r="I131" s="90"/>
      <c r="J131" s="90"/>
      <c r="K131" s="90"/>
      <c r="L131" s="90"/>
    </row>
    <row r="132" spans="1:12">
      <c r="A132" s="88" t="s">
        <v>533</v>
      </c>
      <c r="B132" s="88" t="s">
        <v>327</v>
      </c>
      <c r="C132" s="88" t="s">
        <v>510</v>
      </c>
      <c r="D132" s="88" t="s">
        <v>355</v>
      </c>
      <c r="E132" s="88">
        <v>4</v>
      </c>
      <c r="F132" s="89" t="s">
        <v>59</v>
      </c>
      <c r="G132" s="90"/>
      <c r="H132" s="90"/>
      <c r="I132" s="90"/>
      <c r="J132" s="90"/>
      <c r="K132" s="90"/>
      <c r="L132" s="90"/>
    </row>
    <row r="133" spans="1:12">
      <c r="A133" s="88" t="s">
        <v>534</v>
      </c>
      <c r="B133" s="88" t="s">
        <v>327</v>
      </c>
      <c r="C133" s="88" t="s">
        <v>510</v>
      </c>
      <c r="D133" s="88" t="s">
        <v>355</v>
      </c>
      <c r="E133" s="88">
        <v>4</v>
      </c>
      <c r="F133" s="89" t="s">
        <v>59</v>
      </c>
      <c r="G133" s="90"/>
      <c r="H133" s="90"/>
      <c r="I133" s="90"/>
      <c r="J133" s="90"/>
      <c r="K133" s="90"/>
      <c r="L133" s="90"/>
    </row>
    <row r="134" spans="1:12">
      <c r="A134" s="88" t="s">
        <v>535</v>
      </c>
      <c r="B134" s="88" t="s">
        <v>327</v>
      </c>
      <c r="C134" s="88" t="s">
        <v>510</v>
      </c>
      <c r="D134" s="88" t="s">
        <v>355</v>
      </c>
      <c r="E134" s="88">
        <v>4</v>
      </c>
      <c r="F134" s="89" t="s">
        <v>59</v>
      </c>
      <c r="G134" s="90"/>
      <c r="H134" s="90"/>
      <c r="I134" s="90"/>
      <c r="J134" s="90"/>
      <c r="K134" s="90"/>
      <c r="L134" s="90"/>
    </row>
    <row r="135" spans="1:12">
      <c r="A135" s="88" t="s">
        <v>536</v>
      </c>
      <c r="B135" s="88" t="s">
        <v>327</v>
      </c>
      <c r="C135" s="88" t="s">
        <v>510</v>
      </c>
      <c r="D135" s="88" t="s">
        <v>355</v>
      </c>
      <c r="E135" s="88">
        <v>4</v>
      </c>
      <c r="F135" s="89" t="s">
        <v>59</v>
      </c>
      <c r="G135" s="90"/>
      <c r="H135" s="90"/>
      <c r="I135" s="90"/>
      <c r="J135" s="90"/>
      <c r="K135" s="90"/>
      <c r="L135" s="90"/>
    </row>
    <row r="136" spans="1:12">
      <c r="A136" s="88" t="s">
        <v>537</v>
      </c>
      <c r="B136" s="88" t="s">
        <v>327</v>
      </c>
      <c r="C136" s="88" t="s">
        <v>510</v>
      </c>
      <c r="D136" s="88" t="s">
        <v>355</v>
      </c>
      <c r="E136" s="88">
        <v>4</v>
      </c>
      <c r="F136" s="89" t="s">
        <v>59</v>
      </c>
      <c r="G136" s="90"/>
      <c r="H136" s="90"/>
      <c r="I136" s="90"/>
      <c r="J136" s="90"/>
      <c r="K136" s="90"/>
      <c r="L136" s="90"/>
    </row>
    <row r="137" spans="1:12">
      <c r="A137" s="88" t="s">
        <v>538</v>
      </c>
      <c r="B137" s="88" t="s">
        <v>327</v>
      </c>
      <c r="C137" s="88" t="s">
        <v>510</v>
      </c>
      <c r="D137" s="88" t="s">
        <v>355</v>
      </c>
      <c r="E137" s="88">
        <v>4</v>
      </c>
      <c r="F137" s="89" t="s">
        <v>59</v>
      </c>
      <c r="G137" s="90"/>
      <c r="H137" s="90"/>
      <c r="I137" s="90"/>
      <c r="J137" s="90"/>
      <c r="K137" s="90"/>
      <c r="L137" s="90"/>
    </row>
    <row r="138" spans="1:12">
      <c r="A138" s="88" t="s">
        <v>539</v>
      </c>
      <c r="B138" s="88" t="s">
        <v>327</v>
      </c>
      <c r="C138" s="88" t="s">
        <v>510</v>
      </c>
      <c r="D138" s="88" t="s">
        <v>355</v>
      </c>
      <c r="E138" s="88">
        <v>4</v>
      </c>
      <c r="F138" s="89" t="s">
        <v>59</v>
      </c>
      <c r="G138" s="90"/>
      <c r="H138" s="90"/>
      <c r="I138" s="90"/>
      <c r="J138" s="90"/>
      <c r="K138" s="90"/>
      <c r="L138" s="90"/>
    </row>
    <row r="139" spans="1:12">
      <c r="A139" s="88" t="s">
        <v>540</v>
      </c>
      <c r="B139" s="88" t="s">
        <v>327</v>
      </c>
      <c r="C139" s="88" t="s">
        <v>540</v>
      </c>
      <c r="D139" s="88" t="s">
        <v>27</v>
      </c>
      <c r="E139" s="88">
        <v>4</v>
      </c>
      <c r="F139" s="89" t="s">
        <v>59</v>
      </c>
      <c r="G139" s="90"/>
      <c r="H139" s="90"/>
      <c r="I139" s="90"/>
      <c r="J139" s="90"/>
      <c r="K139" s="90"/>
      <c r="L139" s="90"/>
    </row>
    <row r="140" spans="1:12">
      <c r="A140" s="88" t="s">
        <v>541</v>
      </c>
      <c r="B140" s="88" t="s">
        <v>327</v>
      </c>
      <c r="C140" s="88" t="s">
        <v>540</v>
      </c>
      <c r="D140" s="88" t="s">
        <v>342</v>
      </c>
      <c r="E140" s="88">
        <v>4</v>
      </c>
      <c r="F140" s="89" t="s">
        <v>59</v>
      </c>
      <c r="G140" s="90"/>
      <c r="H140" s="90"/>
      <c r="I140" s="90"/>
      <c r="J140" s="90"/>
      <c r="K140" s="90"/>
      <c r="L140" s="90"/>
    </row>
    <row r="141" spans="1:12">
      <c r="A141" s="88" t="s">
        <v>542</v>
      </c>
      <c r="B141" s="88" t="s">
        <v>327</v>
      </c>
      <c r="C141" s="88" t="s">
        <v>543</v>
      </c>
      <c r="D141" s="88" t="s">
        <v>27</v>
      </c>
      <c r="E141" s="88">
        <v>3</v>
      </c>
      <c r="F141" s="89" t="s">
        <v>68</v>
      </c>
      <c r="G141" s="90"/>
      <c r="H141" s="90"/>
      <c r="I141" s="90"/>
      <c r="J141" s="90"/>
      <c r="K141" s="90"/>
      <c r="L141" s="90"/>
    </row>
    <row r="142" spans="1:12">
      <c r="A142" s="88" t="s">
        <v>544</v>
      </c>
      <c r="B142" s="88" t="s">
        <v>327</v>
      </c>
      <c r="C142" s="88" t="s">
        <v>543</v>
      </c>
      <c r="D142" s="88" t="s">
        <v>27</v>
      </c>
      <c r="E142" s="88">
        <v>3</v>
      </c>
      <c r="F142" s="89" t="s">
        <v>68</v>
      </c>
      <c r="G142" s="90"/>
      <c r="H142" s="90"/>
      <c r="I142" s="90"/>
      <c r="J142" s="90"/>
      <c r="K142" s="90"/>
      <c r="L142" s="90"/>
    </row>
    <row r="143" spans="1:12">
      <c r="A143" s="88" t="s">
        <v>545</v>
      </c>
      <c r="B143" s="88" t="s">
        <v>327</v>
      </c>
      <c r="C143" s="88" t="s">
        <v>543</v>
      </c>
      <c r="D143" s="88" t="s">
        <v>342</v>
      </c>
      <c r="E143" s="88">
        <v>3</v>
      </c>
      <c r="F143" s="89" t="s">
        <v>68</v>
      </c>
      <c r="G143" s="90"/>
      <c r="H143" s="90"/>
      <c r="I143" s="90"/>
      <c r="J143" s="90"/>
      <c r="K143" s="90"/>
      <c r="L143" s="90"/>
    </row>
    <row r="144" spans="1:12">
      <c r="A144" s="88" t="s">
        <v>546</v>
      </c>
      <c r="B144" s="88" t="s">
        <v>327</v>
      </c>
      <c r="C144" s="88" t="s">
        <v>543</v>
      </c>
      <c r="D144" s="88" t="s">
        <v>342</v>
      </c>
      <c r="E144" s="88">
        <v>3</v>
      </c>
      <c r="F144" s="89" t="s">
        <v>68</v>
      </c>
      <c r="G144" s="90"/>
      <c r="H144" s="90"/>
      <c r="I144" s="90"/>
      <c r="J144" s="90"/>
      <c r="K144" s="90"/>
      <c r="L144" s="90"/>
    </row>
    <row r="145" spans="1:12">
      <c r="A145" s="88" t="s">
        <v>547</v>
      </c>
      <c r="B145" s="88" t="s">
        <v>327</v>
      </c>
      <c r="C145" s="88" t="s">
        <v>543</v>
      </c>
      <c r="D145" s="88" t="s">
        <v>342</v>
      </c>
      <c r="E145" s="88">
        <v>3</v>
      </c>
      <c r="F145" s="89" t="s">
        <v>68</v>
      </c>
      <c r="G145" s="90"/>
      <c r="H145" s="90"/>
      <c r="I145" s="90"/>
      <c r="J145" s="90"/>
      <c r="K145" s="90"/>
      <c r="L145" s="90"/>
    </row>
    <row r="146" spans="1:12">
      <c r="A146" s="88" t="s">
        <v>548</v>
      </c>
      <c r="B146" s="88" t="s">
        <v>327</v>
      </c>
      <c r="C146" s="88" t="s">
        <v>543</v>
      </c>
      <c r="D146" s="88" t="s">
        <v>342</v>
      </c>
      <c r="E146" s="88">
        <v>3</v>
      </c>
      <c r="F146" s="89" t="s">
        <v>68</v>
      </c>
      <c r="G146" s="90"/>
      <c r="H146" s="90"/>
      <c r="I146" s="90"/>
      <c r="J146" s="90"/>
      <c r="K146" s="90"/>
      <c r="L146" s="90"/>
    </row>
    <row r="147" spans="1:12">
      <c r="A147" s="88" t="s">
        <v>549</v>
      </c>
      <c r="B147" s="88" t="s">
        <v>327</v>
      </c>
      <c r="C147" s="88" t="s">
        <v>543</v>
      </c>
      <c r="D147" s="88" t="s">
        <v>342</v>
      </c>
      <c r="E147" s="88">
        <v>3</v>
      </c>
      <c r="F147" s="89" t="s">
        <v>68</v>
      </c>
      <c r="G147" s="90"/>
      <c r="H147" s="90"/>
      <c r="I147" s="90"/>
      <c r="J147" s="90"/>
      <c r="K147" s="90"/>
      <c r="L147" s="90"/>
    </row>
    <row r="148" spans="1:12">
      <c r="A148" s="88" t="s">
        <v>550</v>
      </c>
      <c r="B148" s="88" t="s">
        <v>327</v>
      </c>
      <c r="C148" s="88" t="s">
        <v>543</v>
      </c>
      <c r="D148" s="88" t="s">
        <v>342</v>
      </c>
      <c r="E148" s="88">
        <v>3</v>
      </c>
      <c r="F148" s="89" t="s">
        <v>68</v>
      </c>
      <c r="G148" s="90"/>
      <c r="H148" s="90"/>
      <c r="I148" s="90"/>
      <c r="J148" s="90"/>
      <c r="K148" s="90"/>
      <c r="L148" s="90"/>
    </row>
    <row r="149" spans="1:12">
      <c r="A149" s="88" t="s">
        <v>551</v>
      </c>
      <c r="B149" s="88" t="s">
        <v>327</v>
      </c>
      <c r="C149" s="88" t="s">
        <v>543</v>
      </c>
      <c r="D149" s="88" t="s">
        <v>355</v>
      </c>
      <c r="E149" s="88">
        <v>3</v>
      </c>
      <c r="F149" s="89" t="s">
        <v>68</v>
      </c>
      <c r="G149" s="90"/>
      <c r="H149" s="90"/>
      <c r="I149" s="90"/>
      <c r="J149" s="90"/>
      <c r="K149" s="90"/>
      <c r="L149" s="90"/>
    </row>
    <row r="150" spans="1:12">
      <c r="A150" s="88" t="s">
        <v>552</v>
      </c>
      <c r="B150" s="88" t="s">
        <v>327</v>
      </c>
      <c r="C150" s="88" t="s">
        <v>543</v>
      </c>
      <c r="D150" s="88" t="s">
        <v>355</v>
      </c>
      <c r="E150" s="88">
        <v>3</v>
      </c>
      <c r="F150" s="89" t="s">
        <v>68</v>
      </c>
      <c r="G150" s="90"/>
      <c r="H150" s="90"/>
      <c r="I150" s="90"/>
      <c r="J150" s="90"/>
      <c r="K150" s="90"/>
      <c r="L150" s="90"/>
    </row>
    <row r="151" spans="1:12">
      <c r="A151" s="88"/>
      <c r="B151" s="88"/>
      <c r="C151" s="88"/>
      <c r="D151" s="88"/>
      <c r="E151" s="88"/>
      <c r="F151" s="89"/>
      <c r="G151" s="90"/>
      <c r="H151" s="90"/>
      <c r="I151" s="90"/>
      <c r="J151" s="90"/>
      <c r="K151" s="90"/>
      <c r="L151" s="90"/>
    </row>
  </sheetData>
  <autoFilter ref="A1:F151" xr:uid="{00000000-0009-0000-0000-00000A000000}"/>
  <phoneticPr fontId="41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999"/>
  <sheetViews>
    <sheetView showGridLines="0" zoomScaleNormal="100" workbookViewId="0">
      <pane ySplit="2" topLeftCell="A3" activePane="bottomLeft" state="frozen"/>
      <selection pane="bottomLeft" activeCell="C89" sqref="C89"/>
    </sheetView>
  </sheetViews>
  <sheetFormatPr defaultColWidth="0" defaultRowHeight="13.5" zeroHeight="1"/>
  <cols>
    <col min="1" max="1" width="0.75" style="91" customWidth="1"/>
    <col min="2" max="2" width="6.375" style="91" customWidth="1"/>
    <col min="3" max="3" width="0.75" style="91" customWidth="1"/>
    <col min="4" max="4" width="3.375" style="91" customWidth="1"/>
    <col min="5" max="5" width="5" style="91" customWidth="1"/>
    <col min="6" max="6" width="4.75" style="91" customWidth="1"/>
    <col min="7" max="7" width="9.5" style="91" customWidth="1"/>
    <col min="8" max="8" width="7.75" style="91" customWidth="1"/>
    <col min="9" max="9" width="10.75" style="91" customWidth="1"/>
    <col min="10" max="10" width="1.25" style="91" customWidth="1"/>
    <col min="11" max="11" width="0.75" style="91" customWidth="1"/>
    <col min="12" max="12" width="9.125" style="91" customWidth="1"/>
    <col min="13" max="13" width="8.625" style="91" customWidth="1"/>
    <col min="14" max="14" width="14.125" style="91" customWidth="1"/>
    <col min="15" max="15" width="7.125" style="91" customWidth="1"/>
    <col min="16" max="16" width="8.125" style="91" customWidth="1"/>
    <col min="17" max="17" width="1" style="91" customWidth="1"/>
    <col min="18" max="18" width="0.375" style="91" customWidth="1"/>
    <col min="19" max="26" width="9" style="91" hidden="1" customWidth="1"/>
    <col min="27" max="16384" width="9.375" style="91" hidden="1"/>
  </cols>
  <sheetData>
    <row r="1" spans="2:26" ht="15" customHeight="1"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2:26" ht="36" customHeight="1">
      <c r="B2" s="259" t="s">
        <v>553</v>
      </c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92"/>
      <c r="S2" s="92"/>
      <c r="T2" s="92"/>
      <c r="U2" s="92"/>
      <c r="V2" s="92"/>
      <c r="W2" s="92"/>
      <c r="X2" s="92"/>
      <c r="Y2" s="92"/>
      <c r="Z2" s="92"/>
    </row>
    <row r="3" spans="2:26" ht="24" customHeight="1">
      <c r="B3" s="93" t="s">
        <v>42</v>
      </c>
      <c r="C3" s="260" t="s">
        <v>554</v>
      </c>
      <c r="D3" s="260"/>
      <c r="E3" s="260"/>
      <c r="F3" s="260"/>
      <c r="G3" s="260"/>
      <c r="H3" s="260"/>
      <c r="I3" s="260"/>
      <c r="J3" s="260"/>
      <c r="K3" s="261" t="s">
        <v>555</v>
      </c>
      <c r="L3" s="261"/>
      <c r="M3" s="261"/>
      <c r="N3" s="261"/>
      <c r="O3" s="261"/>
      <c r="P3" s="261"/>
      <c r="Q3" s="261"/>
      <c r="R3" s="92"/>
      <c r="S3" s="92"/>
      <c r="T3" s="92"/>
      <c r="U3" s="92"/>
      <c r="V3" s="92"/>
      <c r="W3" s="92"/>
      <c r="X3" s="92"/>
      <c r="Y3" s="92"/>
      <c r="Z3" s="92"/>
    </row>
    <row r="4" spans="2:26" ht="15" customHeight="1">
      <c r="B4" s="262" t="s">
        <v>556</v>
      </c>
      <c r="C4" s="94" t="s">
        <v>557</v>
      </c>
      <c r="D4" s="95"/>
      <c r="E4" s="95"/>
      <c r="F4" s="95"/>
      <c r="G4" s="95"/>
      <c r="H4" s="95"/>
      <c r="I4" s="95"/>
      <c r="J4" s="96"/>
      <c r="K4" s="97" t="s">
        <v>557</v>
      </c>
      <c r="L4" s="95"/>
      <c r="M4" s="95"/>
      <c r="N4" s="95"/>
      <c r="O4" s="95"/>
      <c r="P4" s="95"/>
      <c r="Q4" s="96"/>
      <c r="R4" s="92"/>
      <c r="S4" s="92"/>
      <c r="T4" s="92"/>
      <c r="U4" s="92"/>
      <c r="V4" s="92"/>
      <c r="W4" s="92"/>
      <c r="X4" s="92"/>
      <c r="Y4" s="92"/>
      <c r="Z4" s="92"/>
    </row>
    <row r="5" spans="2:26" ht="18.75" customHeight="1">
      <c r="B5" s="262"/>
      <c r="C5" s="98"/>
      <c r="D5" s="263" t="s">
        <v>558</v>
      </c>
      <c r="E5" s="263"/>
      <c r="F5" s="263"/>
      <c r="G5" s="263"/>
      <c r="H5" s="264" t="s">
        <v>559</v>
      </c>
      <c r="I5" s="264"/>
      <c r="J5" s="99"/>
      <c r="K5" s="100"/>
      <c r="L5" s="263" t="s">
        <v>558</v>
      </c>
      <c r="M5" s="263"/>
      <c r="N5" s="263"/>
      <c r="O5" s="264" t="s">
        <v>560</v>
      </c>
      <c r="P5" s="264"/>
      <c r="Q5" s="99"/>
      <c r="R5" s="92"/>
      <c r="S5" s="92"/>
      <c r="T5" s="92"/>
      <c r="U5" s="92"/>
      <c r="V5" s="92"/>
      <c r="W5" s="92"/>
      <c r="X5" s="92"/>
      <c r="Y5" s="92"/>
      <c r="Z5" s="92"/>
    </row>
    <row r="6" spans="2:26" ht="18.75" customHeight="1">
      <c r="B6" s="262"/>
      <c r="C6" s="98"/>
      <c r="D6" s="263" t="s">
        <v>561</v>
      </c>
      <c r="E6" s="263"/>
      <c r="F6" s="263"/>
      <c r="G6" s="263"/>
      <c r="H6" s="264" t="s">
        <v>562</v>
      </c>
      <c r="I6" s="264"/>
      <c r="J6" s="99"/>
      <c r="K6" s="100"/>
      <c r="L6" s="263" t="s">
        <v>561</v>
      </c>
      <c r="M6" s="263"/>
      <c r="N6" s="263"/>
      <c r="O6" s="264" t="s">
        <v>563</v>
      </c>
      <c r="P6" s="264"/>
      <c r="Q6" s="99"/>
      <c r="R6" s="92"/>
      <c r="S6" s="92"/>
      <c r="T6" s="92"/>
      <c r="U6" s="92"/>
      <c r="V6" s="92"/>
      <c r="W6" s="92"/>
      <c r="X6" s="92"/>
      <c r="Y6" s="92"/>
      <c r="Z6" s="92"/>
    </row>
    <row r="7" spans="2:26" ht="18.75" customHeight="1">
      <c r="B7" s="262"/>
      <c r="C7" s="98"/>
      <c r="D7" s="263" t="s">
        <v>564</v>
      </c>
      <c r="E7" s="263"/>
      <c r="F7" s="263"/>
      <c r="G7" s="263"/>
      <c r="H7" s="264" t="s">
        <v>565</v>
      </c>
      <c r="I7" s="264"/>
      <c r="J7" s="99"/>
      <c r="K7" s="100"/>
      <c r="L7" s="263" t="s">
        <v>564</v>
      </c>
      <c r="M7" s="263"/>
      <c r="N7" s="263"/>
      <c r="O7" s="264" t="s">
        <v>566</v>
      </c>
      <c r="P7" s="264"/>
      <c r="Q7" s="99"/>
      <c r="R7" s="92"/>
      <c r="S7" s="92"/>
      <c r="T7" s="92"/>
      <c r="U7" s="92"/>
      <c r="V7" s="92"/>
      <c r="W7" s="92"/>
      <c r="X7" s="92"/>
      <c r="Y7" s="92"/>
      <c r="Z7" s="92"/>
    </row>
    <row r="8" spans="2:26" ht="18.75" customHeight="1">
      <c r="B8" s="262"/>
      <c r="C8" s="98"/>
      <c r="D8" s="263" t="s">
        <v>567</v>
      </c>
      <c r="E8" s="263"/>
      <c r="F8" s="263"/>
      <c r="G8" s="263"/>
      <c r="H8" s="264" t="s">
        <v>568</v>
      </c>
      <c r="I8" s="264"/>
      <c r="J8" s="99"/>
      <c r="K8" s="100"/>
      <c r="L8" s="263" t="s">
        <v>567</v>
      </c>
      <c r="M8" s="263"/>
      <c r="N8" s="263"/>
      <c r="O8" s="264" t="s">
        <v>568</v>
      </c>
      <c r="P8" s="264"/>
      <c r="Q8" s="99"/>
      <c r="R8" s="92"/>
      <c r="S8" s="92"/>
      <c r="T8" s="92"/>
      <c r="U8" s="92"/>
      <c r="V8" s="92"/>
      <c r="W8" s="92"/>
      <c r="X8" s="92"/>
      <c r="Y8" s="92"/>
      <c r="Z8" s="92"/>
    </row>
    <row r="9" spans="2:26" ht="8.25" customHeight="1">
      <c r="B9" s="262"/>
      <c r="C9" s="101"/>
      <c r="D9" s="102"/>
      <c r="E9" s="102"/>
      <c r="F9" s="102"/>
      <c r="G9" s="102"/>
      <c r="H9" s="102"/>
      <c r="I9" s="102"/>
      <c r="J9" s="103"/>
      <c r="K9" s="104"/>
      <c r="L9" s="102"/>
      <c r="M9" s="102"/>
      <c r="N9" s="102"/>
      <c r="O9" s="102"/>
      <c r="P9" s="102"/>
      <c r="Q9" s="103"/>
      <c r="R9" s="92"/>
      <c r="S9" s="92"/>
      <c r="T9" s="92"/>
      <c r="U9" s="92"/>
      <c r="V9" s="92"/>
      <c r="W9" s="92"/>
      <c r="X9" s="92"/>
      <c r="Y9" s="92"/>
      <c r="Z9" s="92"/>
    </row>
    <row r="10" spans="2:26" ht="6.75" customHeight="1">
      <c r="B10" s="265" t="s">
        <v>569</v>
      </c>
      <c r="C10" s="94"/>
      <c r="D10" s="95"/>
      <c r="E10" s="95"/>
      <c r="F10" s="95"/>
      <c r="G10" s="95"/>
      <c r="H10" s="95"/>
      <c r="I10" s="95"/>
      <c r="J10" s="96"/>
      <c r="K10" s="97"/>
      <c r="L10" s="95"/>
      <c r="M10" s="95"/>
      <c r="N10" s="95"/>
      <c r="O10" s="95"/>
      <c r="P10" s="95"/>
      <c r="Q10" s="96"/>
      <c r="R10" s="92"/>
      <c r="S10" s="92"/>
      <c r="T10" s="92"/>
      <c r="U10" s="92"/>
      <c r="V10" s="92"/>
      <c r="W10" s="92"/>
      <c r="X10" s="92"/>
      <c r="Y10" s="92"/>
      <c r="Z10" s="92"/>
    </row>
    <row r="11" spans="2:26" ht="16.5" customHeight="1">
      <c r="B11" s="265"/>
      <c r="C11" s="98"/>
      <c r="D11" s="266" t="s">
        <v>327</v>
      </c>
      <c r="E11" s="266"/>
      <c r="F11" s="266"/>
      <c r="G11" s="267" t="s">
        <v>570</v>
      </c>
      <c r="H11" s="267"/>
      <c r="I11" s="267"/>
      <c r="J11" s="99"/>
      <c r="K11" s="100"/>
      <c r="L11" s="263" t="s">
        <v>327</v>
      </c>
      <c r="M11" s="263"/>
      <c r="N11" s="268" t="s">
        <v>571</v>
      </c>
      <c r="O11" s="268"/>
      <c r="P11" s="268"/>
      <c r="Q11" s="99"/>
      <c r="R11" s="92"/>
      <c r="S11" s="92"/>
      <c r="T11" s="92"/>
      <c r="U11" s="92"/>
      <c r="V11" s="92"/>
      <c r="W11" s="92"/>
      <c r="X11" s="92"/>
      <c r="Y11" s="92"/>
      <c r="Z11" s="92"/>
    </row>
    <row r="12" spans="2:26" ht="16.5" customHeight="1">
      <c r="B12" s="265"/>
      <c r="C12" s="98"/>
      <c r="D12" s="266" t="s">
        <v>572</v>
      </c>
      <c r="E12" s="266"/>
      <c r="F12" s="266"/>
      <c r="G12" s="267" t="s">
        <v>573</v>
      </c>
      <c r="H12" s="267"/>
      <c r="I12" s="267"/>
      <c r="J12" s="99"/>
      <c r="K12" s="100"/>
      <c r="L12" s="263"/>
      <c r="M12" s="263"/>
      <c r="N12" s="268"/>
      <c r="O12" s="268"/>
      <c r="P12" s="268"/>
      <c r="Q12" s="99"/>
      <c r="R12" s="92"/>
      <c r="S12" s="92"/>
      <c r="T12" s="92"/>
      <c r="U12" s="92"/>
      <c r="V12" s="92"/>
      <c r="W12" s="92"/>
      <c r="X12" s="92"/>
      <c r="Y12" s="92"/>
      <c r="Z12" s="92"/>
    </row>
    <row r="13" spans="2:26" ht="16.5" customHeight="1">
      <c r="B13" s="265"/>
      <c r="C13" s="98"/>
      <c r="D13" s="266" t="s">
        <v>574</v>
      </c>
      <c r="E13" s="266"/>
      <c r="F13" s="266"/>
      <c r="G13" s="264" t="s">
        <v>575</v>
      </c>
      <c r="H13" s="264"/>
      <c r="I13" s="264"/>
      <c r="J13" s="99"/>
      <c r="K13" s="100"/>
      <c r="L13" s="263" t="s">
        <v>70</v>
      </c>
      <c r="M13" s="263"/>
      <c r="N13" s="264" t="s">
        <v>575</v>
      </c>
      <c r="O13" s="264"/>
      <c r="P13" s="264"/>
      <c r="Q13" s="99"/>
      <c r="R13" s="92"/>
      <c r="S13" s="92"/>
      <c r="T13" s="92"/>
      <c r="U13" s="92"/>
      <c r="V13" s="92"/>
      <c r="W13" s="92"/>
      <c r="X13" s="92"/>
      <c r="Y13" s="92"/>
      <c r="Z13" s="92"/>
    </row>
    <row r="14" spans="2:26" ht="6.75" customHeight="1">
      <c r="B14" s="265"/>
      <c r="C14" s="101"/>
      <c r="D14" s="102"/>
      <c r="E14" s="102"/>
      <c r="F14" s="102"/>
      <c r="G14" s="102"/>
      <c r="H14" s="102"/>
      <c r="I14" s="102"/>
      <c r="J14" s="103"/>
      <c r="K14" s="104"/>
      <c r="L14" s="102"/>
      <c r="M14" s="102"/>
      <c r="N14" s="102"/>
      <c r="O14" s="102"/>
      <c r="P14" s="102"/>
      <c r="Q14" s="103"/>
      <c r="R14" s="92"/>
      <c r="S14" s="92"/>
      <c r="T14" s="92"/>
      <c r="U14" s="92"/>
      <c r="V14" s="92"/>
      <c r="W14" s="92"/>
      <c r="X14" s="92"/>
      <c r="Y14" s="92"/>
      <c r="Z14" s="92"/>
    </row>
    <row r="15" spans="2:26" ht="6.75" customHeight="1">
      <c r="B15" s="265" t="s">
        <v>576</v>
      </c>
      <c r="C15" s="94"/>
      <c r="D15" s="95"/>
      <c r="E15" s="95"/>
      <c r="F15" s="95"/>
      <c r="G15" s="95"/>
      <c r="H15" s="95"/>
      <c r="I15" s="95"/>
      <c r="J15" s="96"/>
      <c r="K15" s="97"/>
      <c r="L15" s="95"/>
      <c r="M15" s="95"/>
      <c r="N15" s="95"/>
      <c r="O15" s="95"/>
      <c r="P15" s="95"/>
      <c r="Q15" s="96"/>
      <c r="R15" s="92"/>
      <c r="S15" s="92"/>
      <c r="T15" s="92"/>
      <c r="U15" s="92"/>
      <c r="V15" s="92"/>
      <c r="W15" s="92"/>
      <c r="X15" s="92"/>
      <c r="Y15" s="92"/>
      <c r="Z15" s="92"/>
    </row>
    <row r="16" spans="2:26" ht="20.25" customHeight="1">
      <c r="B16" s="265"/>
      <c r="C16" s="98"/>
      <c r="D16" s="263" t="s">
        <v>577</v>
      </c>
      <c r="E16" s="263"/>
      <c r="F16" s="263"/>
      <c r="G16" s="263"/>
      <c r="H16" s="264">
        <v>1</v>
      </c>
      <c r="I16" s="264"/>
      <c r="J16" s="99"/>
      <c r="K16" s="100"/>
      <c r="L16" s="263" t="s">
        <v>577</v>
      </c>
      <c r="M16" s="263"/>
      <c r="N16" s="263"/>
      <c r="O16" s="264" t="s">
        <v>578</v>
      </c>
      <c r="P16" s="264"/>
      <c r="Q16" s="99"/>
      <c r="R16" s="92"/>
      <c r="S16" s="92"/>
      <c r="T16" s="92"/>
      <c r="U16" s="92"/>
      <c r="V16" s="92"/>
      <c r="W16" s="92"/>
      <c r="X16" s="92"/>
      <c r="Y16" s="92"/>
      <c r="Z16" s="92"/>
    </row>
    <row r="17" spans="2:26" ht="20.25" customHeight="1">
      <c r="B17" s="265"/>
      <c r="C17" s="98"/>
      <c r="D17" s="263" t="s">
        <v>579</v>
      </c>
      <c r="E17" s="263"/>
      <c r="F17" s="263"/>
      <c r="G17" s="263"/>
      <c r="H17" s="264">
        <v>179</v>
      </c>
      <c r="I17" s="264"/>
      <c r="J17" s="99"/>
      <c r="K17" s="100"/>
      <c r="L17" s="263" t="s">
        <v>580</v>
      </c>
      <c r="M17" s="263"/>
      <c r="N17" s="263"/>
      <c r="O17" s="264" t="s">
        <v>581</v>
      </c>
      <c r="P17" s="264"/>
      <c r="Q17" s="99"/>
      <c r="R17" s="92"/>
      <c r="S17" s="92"/>
      <c r="T17" s="92"/>
      <c r="U17" s="92"/>
      <c r="V17" s="92"/>
      <c r="W17" s="92"/>
      <c r="X17" s="92"/>
      <c r="Y17" s="92"/>
      <c r="Z17" s="92"/>
    </row>
    <row r="18" spans="2:26" ht="20.25" customHeight="1">
      <c r="B18" s="265"/>
      <c r="C18" s="98"/>
      <c r="D18" s="263" t="s">
        <v>582</v>
      </c>
      <c r="E18" s="263"/>
      <c r="F18" s="263"/>
      <c r="G18" s="263"/>
      <c r="H18" s="264">
        <v>368</v>
      </c>
      <c r="I18" s="264"/>
      <c r="J18" s="99"/>
      <c r="K18" s="100"/>
      <c r="L18" s="263" t="s">
        <v>583</v>
      </c>
      <c r="M18" s="263"/>
      <c r="N18" s="263"/>
      <c r="O18" s="264" t="s">
        <v>584</v>
      </c>
      <c r="P18" s="264"/>
      <c r="Q18" s="99"/>
      <c r="R18" s="92"/>
      <c r="S18" s="92"/>
      <c r="T18" s="92"/>
      <c r="U18" s="92"/>
      <c r="V18" s="92"/>
      <c r="W18" s="92"/>
      <c r="X18" s="92"/>
      <c r="Y18" s="92"/>
      <c r="Z18" s="92"/>
    </row>
    <row r="19" spans="2:26" ht="20.25" customHeight="1">
      <c r="B19" s="265"/>
      <c r="C19" s="98"/>
      <c r="D19" s="263" t="s">
        <v>585</v>
      </c>
      <c r="E19" s="263"/>
      <c r="F19" s="263"/>
      <c r="G19" s="263"/>
      <c r="H19" s="264">
        <v>548</v>
      </c>
      <c r="I19" s="264"/>
      <c r="J19" s="99"/>
      <c r="K19" s="100"/>
      <c r="L19" s="263" t="s">
        <v>585</v>
      </c>
      <c r="M19" s="263"/>
      <c r="N19" s="263"/>
      <c r="O19" s="264" t="s">
        <v>586</v>
      </c>
      <c r="P19" s="264"/>
      <c r="Q19" s="99"/>
      <c r="R19" s="92"/>
      <c r="S19" s="92"/>
      <c r="T19" s="92"/>
      <c r="U19" s="92"/>
      <c r="V19" s="92"/>
      <c r="W19" s="92"/>
      <c r="X19" s="92"/>
      <c r="Y19" s="92"/>
      <c r="Z19" s="92"/>
    </row>
    <row r="20" spans="2:26" ht="5.25" customHeight="1">
      <c r="B20" s="265"/>
      <c r="C20" s="101"/>
      <c r="D20" s="102"/>
      <c r="E20" s="102"/>
      <c r="F20" s="102"/>
      <c r="G20" s="102"/>
      <c r="H20" s="102"/>
      <c r="I20" s="102"/>
      <c r="J20" s="103"/>
      <c r="K20" s="104"/>
      <c r="L20" s="102"/>
      <c r="M20" s="102"/>
      <c r="N20" s="102"/>
      <c r="O20" s="102"/>
      <c r="P20" s="102"/>
      <c r="Q20" s="103"/>
      <c r="R20" s="92"/>
      <c r="S20" s="92"/>
      <c r="T20" s="92"/>
      <c r="U20" s="92"/>
      <c r="V20" s="92"/>
      <c r="W20" s="92"/>
      <c r="X20" s="92"/>
      <c r="Y20" s="92"/>
      <c r="Z20" s="92"/>
    </row>
    <row r="21" spans="2:26" ht="5.25" customHeight="1">
      <c r="B21" s="265" t="s">
        <v>587</v>
      </c>
      <c r="C21" s="94"/>
      <c r="D21" s="95"/>
      <c r="E21" s="95"/>
      <c r="F21" s="95"/>
      <c r="G21" s="95"/>
      <c r="H21" s="95"/>
      <c r="I21" s="95"/>
      <c r="J21" s="96"/>
      <c r="K21" s="97"/>
      <c r="L21" s="95"/>
      <c r="M21" s="95"/>
      <c r="N21" s="95"/>
      <c r="O21" s="95"/>
      <c r="P21" s="95"/>
      <c r="Q21" s="96"/>
      <c r="R21" s="92"/>
      <c r="S21" s="92"/>
      <c r="T21" s="92"/>
      <c r="U21" s="92"/>
      <c r="V21" s="92"/>
      <c r="W21" s="92"/>
      <c r="X21" s="92"/>
      <c r="Y21" s="92"/>
      <c r="Z21" s="92"/>
    </row>
    <row r="22" spans="2:26" ht="31.5" customHeight="1">
      <c r="B22" s="265"/>
      <c r="C22" s="98"/>
      <c r="D22" s="106"/>
      <c r="E22" s="107"/>
      <c r="F22" s="108" t="s">
        <v>588</v>
      </c>
      <c r="G22" s="108" t="s">
        <v>589</v>
      </c>
      <c r="H22" s="108" t="s">
        <v>590</v>
      </c>
      <c r="I22" s="109" t="s">
        <v>591</v>
      </c>
      <c r="J22" s="110"/>
      <c r="K22" s="111"/>
      <c r="L22" s="106"/>
      <c r="M22" s="108" t="s">
        <v>589</v>
      </c>
      <c r="N22" s="108" t="s">
        <v>592</v>
      </c>
      <c r="O22" s="275" t="s">
        <v>591</v>
      </c>
      <c r="P22" s="275"/>
      <c r="Q22" s="99"/>
      <c r="R22" s="92"/>
      <c r="S22" s="92"/>
      <c r="T22" s="92"/>
      <c r="U22" s="92"/>
      <c r="V22" s="92"/>
      <c r="W22" s="92"/>
      <c r="X22" s="92"/>
      <c r="Y22" s="92"/>
      <c r="Z22" s="92"/>
    </row>
    <row r="23" spans="2:26" ht="15.75" customHeight="1">
      <c r="B23" s="265"/>
      <c r="C23" s="98"/>
      <c r="D23" s="276" t="s">
        <v>589</v>
      </c>
      <c r="E23" s="277" t="s">
        <v>593</v>
      </c>
      <c r="F23" s="277" t="s">
        <v>594</v>
      </c>
      <c r="G23" s="113" t="s">
        <v>48</v>
      </c>
      <c r="H23" s="113" t="s">
        <v>595</v>
      </c>
      <c r="I23" s="278">
        <v>24</v>
      </c>
      <c r="J23" s="110"/>
      <c r="K23" s="111"/>
      <c r="L23" s="276" t="s">
        <v>596</v>
      </c>
      <c r="M23" s="112" t="s">
        <v>48</v>
      </c>
      <c r="N23" s="112" t="s">
        <v>597</v>
      </c>
      <c r="O23" s="279">
        <v>24</v>
      </c>
      <c r="P23" s="279"/>
      <c r="Q23" s="99"/>
      <c r="R23" s="92"/>
      <c r="S23" s="92"/>
      <c r="T23" s="92"/>
      <c r="U23" s="92"/>
      <c r="V23" s="92"/>
      <c r="W23" s="92"/>
      <c r="X23" s="92"/>
      <c r="Y23" s="92"/>
      <c r="Z23" s="92"/>
    </row>
    <row r="24" spans="2:26" ht="15" customHeight="1">
      <c r="B24" s="265"/>
      <c r="C24" s="98"/>
      <c r="D24" s="276"/>
      <c r="E24" s="277"/>
      <c r="F24" s="277"/>
      <c r="G24" s="114" t="s">
        <v>65</v>
      </c>
      <c r="H24" s="114" t="s">
        <v>598</v>
      </c>
      <c r="I24" s="278"/>
      <c r="J24" s="110"/>
      <c r="K24" s="111"/>
      <c r="L24" s="276"/>
      <c r="M24" s="115" t="s">
        <v>65</v>
      </c>
      <c r="N24" s="115" t="s">
        <v>599</v>
      </c>
      <c r="O24" s="279"/>
      <c r="P24" s="279"/>
      <c r="Q24" s="99"/>
      <c r="R24" s="92"/>
      <c r="S24" s="92"/>
      <c r="T24" s="92"/>
      <c r="U24" s="92"/>
      <c r="V24" s="92"/>
      <c r="W24" s="92"/>
      <c r="X24" s="92"/>
      <c r="Y24" s="92"/>
      <c r="Z24" s="92"/>
    </row>
    <row r="25" spans="2:26" ht="15" customHeight="1">
      <c r="B25" s="265"/>
      <c r="C25" s="98"/>
      <c r="D25" s="276"/>
      <c r="E25" s="277"/>
      <c r="F25" s="277"/>
      <c r="G25" s="114" t="s">
        <v>75</v>
      </c>
      <c r="H25" s="114" t="s">
        <v>600</v>
      </c>
      <c r="I25" s="278"/>
      <c r="J25" s="110"/>
      <c r="K25" s="111"/>
      <c r="L25" s="276"/>
      <c r="M25" s="115" t="s">
        <v>75</v>
      </c>
      <c r="N25" s="115" t="s">
        <v>601</v>
      </c>
      <c r="O25" s="279"/>
      <c r="P25" s="279"/>
      <c r="Q25" s="99"/>
      <c r="R25" s="92"/>
      <c r="S25" s="92"/>
      <c r="T25" s="92"/>
      <c r="U25" s="92"/>
      <c r="V25" s="92"/>
      <c r="W25" s="92"/>
      <c r="X25" s="92"/>
      <c r="Y25" s="92"/>
      <c r="Z25" s="92"/>
    </row>
    <row r="26" spans="2:26" ht="15" customHeight="1">
      <c r="B26" s="265"/>
      <c r="C26" s="98"/>
      <c r="D26" s="276"/>
      <c r="E26" s="277"/>
      <c r="F26" s="277"/>
      <c r="G26" s="116" t="s">
        <v>427</v>
      </c>
      <c r="H26" s="116" t="s">
        <v>602</v>
      </c>
      <c r="I26" s="117">
        <v>6</v>
      </c>
      <c r="J26" s="110"/>
      <c r="K26" s="111"/>
      <c r="L26" s="276"/>
      <c r="M26" s="280" t="s">
        <v>603</v>
      </c>
      <c r="N26" s="118" t="s">
        <v>604</v>
      </c>
      <c r="O26" s="281">
        <v>6</v>
      </c>
      <c r="P26" s="281"/>
      <c r="Q26" s="99"/>
      <c r="R26" s="92"/>
      <c r="S26" s="92"/>
      <c r="T26" s="92"/>
      <c r="U26" s="92"/>
      <c r="V26" s="92"/>
      <c r="W26" s="92"/>
      <c r="X26" s="92"/>
      <c r="Y26" s="92"/>
      <c r="Z26" s="92"/>
    </row>
    <row r="27" spans="2:26" ht="46.5" customHeight="1">
      <c r="B27" s="265"/>
      <c r="C27" s="98"/>
      <c r="D27" s="276"/>
      <c r="E27" s="277"/>
      <c r="F27" s="280" t="s">
        <v>605</v>
      </c>
      <c r="G27" s="118" t="s">
        <v>603</v>
      </c>
      <c r="H27" s="118" t="s">
        <v>606</v>
      </c>
      <c r="I27" s="282">
        <v>12</v>
      </c>
      <c r="J27" s="110"/>
      <c r="K27" s="111"/>
      <c r="L27" s="276"/>
      <c r="M27" s="280"/>
      <c r="N27" s="116" t="s">
        <v>607</v>
      </c>
      <c r="O27" s="283">
        <v>12</v>
      </c>
      <c r="P27" s="283"/>
      <c r="Q27" s="99"/>
      <c r="R27" s="92"/>
      <c r="S27" s="92"/>
      <c r="T27" s="92"/>
      <c r="U27" s="92"/>
      <c r="V27" s="92"/>
      <c r="W27" s="92"/>
      <c r="X27" s="92"/>
      <c r="Y27" s="92"/>
      <c r="Z27" s="92"/>
    </row>
    <row r="28" spans="2:26" ht="30.75" customHeight="1">
      <c r="B28" s="265"/>
      <c r="C28" s="98"/>
      <c r="D28" s="276"/>
      <c r="E28" s="277"/>
      <c r="F28" s="280"/>
      <c r="G28" s="116" t="s">
        <v>86</v>
      </c>
      <c r="H28" s="116" t="s">
        <v>608</v>
      </c>
      <c r="I28" s="282"/>
      <c r="J28" s="110"/>
      <c r="K28" s="111"/>
      <c r="L28" s="276"/>
      <c r="M28" s="115" t="s">
        <v>86</v>
      </c>
      <c r="N28" s="115" t="s">
        <v>609</v>
      </c>
      <c r="O28" s="283"/>
      <c r="P28" s="283"/>
      <c r="Q28" s="99"/>
      <c r="R28" s="92"/>
      <c r="S28" s="92"/>
      <c r="T28" s="92"/>
      <c r="U28" s="92"/>
      <c r="V28" s="92"/>
      <c r="W28" s="92"/>
      <c r="X28" s="92"/>
      <c r="Y28" s="92"/>
      <c r="Z28" s="92"/>
    </row>
    <row r="29" spans="2:26" ht="15" customHeight="1">
      <c r="B29" s="265"/>
      <c r="C29" s="98"/>
      <c r="D29" s="276"/>
      <c r="E29" s="277"/>
      <c r="F29" s="280" t="s">
        <v>610</v>
      </c>
      <c r="G29" s="118" t="s">
        <v>89</v>
      </c>
      <c r="H29" s="121"/>
      <c r="I29" s="119">
        <v>8</v>
      </c>
      <c r="J29" s="110"/>
      <c r="K29" s="111"/>
      <c r="L29" s="276"/>
      <c r="M29" s="115" t="s">
        <v>89</v>
      </c>
      <c r="N29" s="122"/>
      <c r="O29" s="282">
        <v>8</v>
      </c>
      <c r="P29" s="282"/>
      <c r="Q29" s="99"/>
      <c r="R29" s="92"/>
      <c r="S29" s="92"/>
      <c r="T29" s="92"/>
      <c r="U29" s="92"/>
      <c r="V29" s="92"/>
      <c r="W29" s="92"/>
      <c r="X29" s="92"/>
      <c r="Y29" s="92"/>
      <c r="Z29" s="92"/>
    </row>
    <row r="30" spans="2:26" ht="15" customHeight="1">
      <c r="B30" s="265"/>
      <c r="C30" s="98"/>
      <c r="D30" s="276"/>
      <c r="E30" s="277"/>
      <c r="F30" s="280"/>
      <c r="G30" s="116" t="s">
        <v>96</v>
      </c>
      <c r="H30" s="123"/>
      <c r="I30" s="117">
        <v>6</v>
      </c>
      <c r="J30" s="110"/>
      <c r="K30" s="111"/>
      <c r="L30" s="276"/>
      <c r="M30" s="115" t="s">
        <v>96</v>
      </c>
      <c r="N30" s="122"/>
      <c r="O30" s="282">
        <v>6</v>
      </c>
      <c r="P30" s="282"/>
      <c r="Q30" s="99"/>
      <c r="R30" s="92"/>
      <c r="S30" s="92"/>
      <c r="T30" s="92"/>
      <c r="U30" s="92"/>
      <c r="V30" s="92"/>
      <c r="W30" s="92"/>
      <c r="X30" s="92"/>
      <c r="Y30" s="92"/>
      <c r="Z30" s="92"/>
    </row>
    <row r="31" spans="2:26" ht="62.25" customHeight="1">
      <c r="B31" s="265"/>
      <c r="C31" s="98"/>
      <c r="D31" s="276"/>
      <c r="E31" s="277"/>
      <c r="F31" s="115" t="s">
        <v>611</v>
      </c>
      <c r="G31" s="115" t="s">
        <v>612</v>
      </c>
      <c r="H31" s="122"/>
      <c r="I31" s="120">
        <v>10</v>
      </c>
      <c r="J31" s="110"/>
      <c r="K31" s="111"/>
      <c r="L31" s="276"/>
      <c r="M31" s="115" t="s">
        <v>613</v>
      </c>
      <c r="N31" s="122"/>
      <c r="O31" s="282">
        <v>8</v>
      </c>
      <c r="P31" s="282"/>
      <c r="Q31" s="99"/>
      <c r="R31" s="92"/>
      <c r="S31" s="92"/>
      <c r="T31" s="92"/>
      <c r="U31" s="92"/>
      <c r="V31" s="92"/>
      <c r="W31" s="92"/>
      <c r="X31" s="92"/>
      <c r="Y31" s="92"/>
      <c r="Z31" s="92"/>
    </row>
    <row r="32" spans="2:26" ht="18.75" customHeight="1">
      <c r="B32" s="265"/>
      <c r="C32" s="98"/>
      <c r="D32" s="276"/>
      <c r="E32" s="277"/>
      <c r="F32" s="269" t="s">
        <v>585</v>
      </c>
      <c r="G32" s="269"/>
      <c r="H32" s="269"/>
      <c r="I32" s="124">
        <v>66</v>
      </c>
      <c r="J32" s="110"/>
      <c r="K32" s="111"/>
      <c r="L32" s="276"/>
      <c r="M32" s="269" t="s">
        <v>585</v>
      </c>
      <c r="N32" s="269"/>
      <c r="O32" s="270">
        <v>64</v>
      </c>
      <c r="P32" s="270"/>
      <c r="Q32" s="99"/>
      <c r="R32" s="92"/>
      <c r="S32" s="92"/>
      <c r="T32" s="92"/>
      <c r="U32" s="92"/>
      <c r="V32" s="92"/>
      <c r="W32" s="92"/>
      <c r="X32" s="92"/>
      <c r="Y32" s="92"/>
      <c r="Z32" s="92"/>
    </row>
    <row r="33" spans="2:26" ht="35.25" customHeight="1">
      <c r="B33" s="265"/>
      <c r="C33" s="98"/>
      <c r="D33" s="276"/>
      <c r="E33" s="125" t="s">
        <v>614</v>
      </c>
      <c r="F33" s="271" t="s">
        <v>615</v>
      </c>
      <c r="G33" s="271"/>
      <c r="H33" s="271"/>
      <c r="I33" s="124">
        <v>86</v>
      </c>
      <c r="J33" s="110"/>
      <c r="K33" s="111"/>
      <c r="L33" s="126" t="s">
        <v>616</v>
      </c>
      <c r="M33" s="271" t="s">
        <v>617</v>
      </c>
      <c r="N33" s="271"/>
      <c r="O33" s="270">
        <v>80</v>
      </c>
      <c r="P33" s="270"/>
      <c r="Q33" s="99"/>
      <c r="R33" s="92"/>
      <c r="S33" s="92"/>
      <c r="T33" s="92"/>
      <c r="U33" s="92"/>
      <c r="V33" s="92"/>
      <c r="W33" s="92"/>
      <c r="X33" s="92"/>
      <c r="Y33" s="92"/>
      <c r="Z33" s="92"/>
    </row>
    <row r="34" spans="2:26" ht="21.75" customHeight="1">
      <c r="B34" s="265"/>
      <c r="C34" s="98"/>
      <c r="D34" s="272" t="s">
        <v>564</v>
      </c>
      <c r="E34" s="272"/>
      <c r="F34" s="272"/>
      <c r="G34" s="272"/>
      <c r="H34" s="272"/>
      <c r="I34" s="127">
        <v>22</v>
      </c>
      <c r="J34" s="110"/>
      <c r="K34" s="111"/>
      <c r="L34" s="272" t="s">
        <v>564</v>
      </c>
      <c r="M34" s="272"/>
      <c r="N34" s="272"/>
      <c r="O34" s="273">
        <v>30</v>
      </c>
      <c r="P34" s="273"/>
      <c r="Q34" s="99"/>
      <c r="R34" s="92"/>
      <c r="S34" s="92"/>
      <c r="T34" s="92"/>
      <c r="U34" s="92"/>
      <c r="V34" s="92"/>
      <c r="W34" s="92"/>
      <c r="X34" s="92"/>
      <c r="Y34" s="92"/>
      <c r="Z34" s="92"/>
    </row>
    <row r="35" spans="2:26" ht="24" customHeight="1">
      <c r="B35" s="265"/>
      <c r="C35" s="98"/>
      <c r="D35" s="272" t="s">
        <v>567</v>
      </c>
      <c r="E35" s="272"/>
      <c r="F35" s="272"/>
      <c r="G35" s="272"/>
      <c r="H35" s="272"/>
      <c r="I35" s="127">
        <v>18</v>
      </c>
      <c r="J35" s="110"/>
      <c r="K35" s="111"/>
      <c r="L35" s="272" t="s">
        <v>567</v>
      </c>
      <c r="M35" s="272"/>
      <c r="N35" s="272"/>
      <c r="O35" s="273">
        <v>18</v>
      </c>
      <c r="P35" s="273"/>
      <c r="Q35" s="99"/>
      <c r="R35" s="92"/>
      <c r="S35" s="92"/>
      <c r="T35" s="92"/>
      <c r="U35" s="92"/>
      <c r="V35" s="92"/>
      <c r="W35" s="92"/>
      <c r="X35" s="92"/>
      <c r="Y35" s="92"/>
      <c r="Z35" s="92"/>
    </row>
    <row r="36" spans="2:26" ht="15" customHeight="1">
      <c r="B36" s="265"/>
      <c r="C36" s="98"/>
      <c r="D36" s="274" t="s">
        <v>618</v>
      </c>
      <c r="E36" s="274"/>
      <c r="F36" s="274"/>
      <c r="G36" s="274"/>
      <c r="H36" s="274"/>
      <c r="I36" s="124">
        <v>192</v>
      </c>
      <c r="J36" s="110"/>
      <c r="K36" s="111"/>
      <c r="L36" s="274" t="s">
        <v>618</v>
      </c>
      <c r="M36" s="274"/>
      <c r="N36" s="274"/>
      <c r="O36" s="270">
        <v>192</v>
      </c>
      <c r="P36" s="270"/>
      <c r="Q36" s="99"/>
      <c r="R36" s="92"/>
      <c r="S36" s="92"/>
      <c r="T36" s="92"/>
      <c r="U36" s="92"/>
      <c r="V36" s="92"/>
      <c r="W36" s="92"/>
      <c r="X36" s="92"/>
      <c r="Y36" s="92"/>
      <c r="Z36" s="92"/>
    </row>
    <row r="37" spans="2:26" ht="5.25" customHeight="1">
      <c r="B37" s="265"/>
      <c r="C37" s="101"/>
      <c r="D37" s="102"/>
      <c r="E37" s="102"/>
      <c r="F37" s="102"/>
      <c r="G37" s="102"/>
      <c r="H37" s="102"/>
      <c r="I37" s="102"/>
      <c r="J37" s="103"/>
      <c r="K37" s="104"/>
      <c r="L37" s="102"/>
      <c r="M37" s="102"/>
      <c r="N37" s="102"/>
      <c r="O37" s="102"/>
      <c r="P37" s="102"/>
      <c r="Q37" s="103"/>
      <c r="R37" s="92"/>
      <c r="S37" s="92"/>
      <c r="T37" s="92"/>
      <c r="U37" s="92"/>
      <c r="V37" s="92"/>
      <c r="W37" s="92"/>
      <c r="X37" s="92"/>
      <c r="Y37" s="92"/>
      <c r="Z37" s="92"/>
    </row>
    <row r="38" spans="2:26" ht="5.25" customHeight="1">
      <c r="B38" s="265" t="s">
        <v>619</v>
      </c>
      <c r="C38" s="94"/>
      <c r="D38" s="95"/>
      <c r="E38" s="95"/>
      <c r="F38" s="95"/>
      <c r="G38" s="95"/>
      <c r="H38" s="95"/>
      <c r="I38" s="95"/>
      <c r="J38" s="96"/>
      <c r="K38" s="97"/>
      <c r="L38" s="95"/>
      <c r="M38" s="95"/>
      <c r="N38" s="95"/>
      <c r="O38" s="95"/>
      <c r="P38" s="95"/>
      <c r="Q38" s="96"/>
      <c r="R38" s="92"/>
      <c r="S38" s="92"/>
      <c r="T38" s="92"/>
      <c r="U38" s="92"/>
      <c r="V38" s="92"/>
      <c r="W38" s="92"/>
      <c r="X38" s="92"/>
      <c r="Y38" s="92"/>
      <c r="Z38" s="92"/>
    </row>
    <row r="39" spans="2:26" ht="15" customHeight="1">
      <c r="B39" s="265"/>
      <c r="C39" s="128" t="s">
        <v>620</v>
      </c>
      <c r="D39" s="92"/>
      <c r="E39" s="92"/>
      <c r="F39" s="92"/>
      <c r="G39" s="92"/>
      <c r="H39" s="92"/>
      <c r="I39" s="92"/>
      <c r="J39" s="99"/>
      <c r="K39" s="100"/>
      <c r="L39" s="129" t="s">
        <v>621</v>
      </c>
      <c r="M39" s="129"/>
      <c r="N39" s="129"/>
      <c r="O39" s="129"/>
      <c r="P39" s="129"/>
      <c r="Q39" s="99"/>
      <c r="R39" s="129"/>
      <c r="S39" s="129"/>
      <c r="T39" s="129"/>
      <c r="U39" s="129"/>
      <c r="V39" s="129"/>
      <c r="W39" s="129"/>
      <c r="X39" s="129"/>
      <c r="Y39" s="129"/>
      <c r="Z39" s="129"/>
    </row>
    <row r="40" spans="2:26" ht="15" customHeight="1">
      <c r="B40" s="265"/>
      <c r="C40" s="128" t="s">
        <v>622</v>
      </c>
      <c r="D40" s="129"/>
      <c r="E40" s="129"/>
      <c r="F40" s="129"/>
      <c r="G40" s="129"/>
      <c r="H40" s="129"/>
      <c r="I40" s="129"/>
      <c r="J40" s="99"/>
      <c r="K40" s="100"/>
      <c r="L40" s="129" t="s">
        <v>623</v>
      </c>
      <c r="M40" s="129"/>
      <c r="N40" s="129"/>
      <c r="O40" s="129"/>
      <c r="P40" s="129"/>
      <c r="Q40" s="99"/>
      <c r="R40" s="129"/>
      <c r="S40" s="129"/>
      <c r="T40" s="129"/>
      <c r="U40" s="129"/>
      <c r="V40" s="129"/>
      <c r="W40" s="129"/>
      <c r="X40" s="129"/>
      <c r="Y40" s="129"/>
      <c r="Z40" s="129"/>
    </row>
    <row r="41" spans="2:26" ht="5.25" customHeight="1">
      <c r="B41" s="265"/>
      <c r="C41" s="101"/>
      <c r="D41" s="102"/>
      <c r="E41" s="102"/>
      <c r="F41" s="102"/>
      <c r="G41" s="102"/>
      <c r="H41" s="102"/>
      <c r="I41" s="102"/>
      <c r="J41" s="103"/>
      <c r="K41" s="104"/>
      <c r="L41" s="102"/>
      <c r="M41" s="102"/>
      <c r="N41" s="102"/>
      <c r="O41" s="102"/>
      <c r="P41" s="102"/>
      <c r="Q41" s="103"/>
      <c r="R41" s="129"/>
      <c r="S41" s="129"/>
      <c r="T41" s="129"/>
      <c r="U41" s="129"/>
      <c r="V41" s="129"/>
      <c r="W41" s="129"/>
      <c r="X41" s="129"/>
      <c r="Y41" s="129"/>
      <c r="Z41" s="129"/>
    </row>
    <row r="42" spans="2:26" ht="5.25" customHeight="1">
      <c r="B42" s="265" t="s">
        <v>616</v>
      </c>
      <c r="C42" s="94"/>
      <c r="D42" s="95"/>
      <c r="E42" s="95"/>
      <c r="F42" s="95"/>
      <c r="G42" s="95"/>
      <c r="H42" s="95"/>
      <c r="I42" s="95"/>
      <c r="J42" s="96"/>
      <c r="K42" s="97"/>
      <c r="L42" s="95"/>
      <c r="M42" s="95"/>
      <c r="N42" s="95"/>
      <c r="O42" s="95"/>
      <c r="P42" s="95"/>
      <c r="Q42" s="96"/>
      <c r="R42" s="129"/>
      <c r="S42" s="129"/>
      <c r="T42" s="129"/>
      <c r="U42" s="129"/>
      <c r="V42" s="129"/>
      <c r="W42" s="129"/>
      <c r="X42" s="129"/>
      <c r="Y42" s="129"/>
      <c r="Z42" s="129"/>
    </row>
    <row r="43" spans="2:26" ht="15" customHeight="1">
      <c r="B43" s="265"/>
      <c r="C43" s="128"/>
      <c r="D43" s="129" t="s">
        <v>624</v>
      </c>
      <c r="E43" s="129"/>
      <c r="F43" s="129"/>
      <c r="G43" s="129"/>
      <c r="H43" s="129"/>
      <c r="I43" s="129"/>
      <c r="J43" s="99"/>
      <c r="K43" s="100"/>
      <c r="L43" s="129" t="s">
        <v>625</v>
      </c>
      <c r="M43" s="129"/>
      <c r="N43" s="129"/>
      <c r="O43" s="129"/>
      <c r="P43" s="129"/>
      <c r="Q43" s="99"/>
      <c r="R43" s="129"/>
      <c r="S43" s="129"/>
      <c r="T43" s="129"/>
      <c r="U43" s="129"/>
      <c r="V43" s="129"/>
      <c r="W43" s="129"/>
      <c r="X43" s="129"/>
      <c r="Y43" s="129"/>
      <c r="Z43" s="129"/>
    </row>
    <row r="44" spans="2:26" ht="15" customHeight="1">
      <c r="B44" s="265"/>
      <c r="C44" s="128"/>
      <c r="D44" s="129" t="s">
        <v>626</v>
      </c>
      <c r="E44" s="130"/>
      <c r="F44" s="130"/>
      <c r="G44" s="130"/>
      <c r="H44" s="130"/>
      <c r="I44" s="130"/>
      <c r="J44" s="99"/>
      <c r="K44" s="100"/>
      <c r="L44" s="129"/>
      <c r="M44" s="129"/>
      <c r="N44" s="129"/>
      <c r="O44" s="129"/>
      <c r="P44" s="129"/>
      <c r="Q44" s="99"/>
      <c r="R44" s="129"/>
      <c r="S44" s="129"/>
      <c r="T44" s="129"/>
      <c r="U44" s="129"/>
      <c r="V44" s="129"/>
      <c r="W44" s="129"/>
      <c r="X44" s="129"/>
      <c r="Y44" s="129"/>
      <c r="Z44" s="129"/>
    </row>
    <row r="45" spans="2:26" ht="15" customHeight="1">
      <c r="B45" s="265"/>
      <c r="C45" s="128"/>
      <c r="D45" s="284" t="s">
        <v>42</v>
      </c>
      <c r="E45" s="284"/>
      <c r="F45" s="284"/>
      <c r="G45" s="285" t="s">
        <v>627</v>
      </c>
      <c r="H45" s="285"/>
      <c r="I45" s="105" t="s">
        <v>628</v>
      </c>
      <c r="J45" s="99"/>
      <c r="K45" s="100"/>
      <c r="L45" s="284" t="s">
        <v>42</v>
      </c>
      <c r="M45" s="284"/>
      <c r="N45" s="285" t="s">
        <v>627</v>
      </c>
      <c r="O45" s="285"/>
      <c r="P45" s="105" t="s">
        <v>628</v>
      </c>
      <c r="Q45" s="99"/>
      <c r="R45" s="129"/>
      <c r="S45" s="129"/>
      <c r="T45" s="129"/>
      <c r="U45" s="129"/>
      <c r="V45" s="129"/>
      <c r="W45" s="129"/>
      <c r="X45" s="129"/>
      <c r="Y45" s="129"/>
      <c r="Z45" s="129"/>
    </row>
    <row r="46" spans="2:26" ht="38.25" customHeight="1">
      <c r="B46" s="265"/>
      <c r="C46" s="128"/>
      <c r="D46" s="263" t="s">
        <v>629</v>
      </c>
      <c r="E46" s="263"/>
      <c r="F46" s="131">
        <v>1</v>
      </c>
      <c r="G46" s="286" t="s">
        <v>630</v>
      </c>
      <c r="H46" s="286"/>
      <c r="I46" s="264">
        <v>86</v>
      </c>
      <c r="J46" s="99"/>
      <c r="K46" s="100"/>
      <c r="L46" s="132" t="s">
        <v>629</v>
      </c>
      <c r="M46" s="131">
        <v>3</v>
      </c>
      <c r="N46" s="286" t="s">
        <v>631</v>
      </c>
      <c r="O46" s="286"/>
      <c r="P46" s="264">
        <v>80</v>
      </c>
      <c r="Q46" s="99"/>
      <c r="R46" s="129"/>
      <c r="S46" s="129"/>
      <c r="T46" s="129"/>
      <c r="U46" s="129"/>
      <c r="V46" s="129"/>
      <c r="W46" s="129"/>
      <c r="X46" s="129"/>
      <c r="Y46" s="129"/>
      <c r="Z46" s="129"/>
    </row>
    <row r="47" spans="2:26" ht="16.5" customHeight="1">
      <c r="B47" s="265"/>
      <c r="C47" s="128"/>
      <c r="D47" s="263" t="s">
        <v>632</v>
      </c>
      <c r="E47" s="263"/>
      <c r="F47" s="131">
        <v>179</v>
      </c>
      <c r="G47" s="287" t="s">
        <v>633</v>
      </c>
      <c r="H47" s="287"/>
      <c r="I47" s="264"/>
      <c r="J47" s="99"/>
      <c r="K47" s="100"/>
      <c r="L47" s="132" t="s">
        <v>634</v>
      </c>
      <c r="M47" s="131">
        <v>216</v>
      </c>
      <c r="N47" s="287" t="s">
        <v>633</v>
      </c>
      <c r="O47" s="287"/>
      <c r="P47" s="264"/>
      <c r="Q47" s="99"/>
      <c r="R47" s="129"/>
      <c r="S47" s="129"/>
      <c r="T47" s="129"/>
      <c r="U47" s="129"/>
      <c r="V47" s="129"/>
      <c r="W47" s="129"/>
      <c r="X47" s="129"/>
      <c r="Y47" s="129"/>
      <c r="Z47" s="129"/>
    </row>
    <row r="48" spans="2:26" ht="16.5" customHeight="1">
      <c r="B48" s="265"/>
      <c r="C48" s="128"/>
      <c r="D48" s="263" t="s">
        <v>192</v>
      </c>
      <c r="E48" s="263"/>
      <c r="F48" s="131">
        <v>368</v>
      </c>
      <c r="G48" s="287" t="s">
        <v>633</v>
      </c>
      <c r="H48" s="287"/>
      <c r="I48" s="264"/>
      <c r="J48" s="99"/>
      <c r="K48" s="100"/>
      <c r="L48" s="132" t="s">
        <v>635</v>
      </c>
      <c r="M48" s="131">
        <v>309</v>
      </c>
      <c r="N48" s="287" t="s">
        <v>633</v>
      </c>
      <c r="O48" s="287"/>
      <c r="P48" s="264"/>
      <c r="Q48" s="99"/>
      <c r="R48" s="129"/>
      <c r="S48" s="129"/>
      <c r="T48" s="129"/>
      <c r="U48" s="129"/>
      <c r="V48" s="129"/>
      <c r="W48" s="129"/>
      <c r="X48" s="129"/>
      <c r="Y48" s="129"/>
      <c r="Z48" s="129"/>
    </row>
    <row r="49" spans="2:26" ht="5.25" customHeight="1">
      <c r="B49" s="265"/>
      <c r="C49" s="101"/>
      <c r="D49" s="102"/>
      <c r="E49" s="102"/>
      <c r="F49" s="102"/>
      <c r="G49" s="102"/>
      <c r="H49" s="102"/>
      <c r="I49" s="102"/>
      <c r="J49" s="103"/>
      <c r="K49" s="104"/>
      <c r="L49" s="102"/>
      <c r="M49" s="102"/>
      <c r="N49" s="102"/>
      <c r="O49" s="102"/>
      <c r="P49" s="102"/>
      <c r="Q49" s="103"/>
      <c r="R49" s="129"/>
      <c r="S49" s="129"/>
      <c r="T49" s="129"/>
      <c r="U49" s="129"/>
      <c r="V49" s="129"/>
      <c r="W49" s="129"/>
      <c r="X49" s="129"/>
      <c r="Y49" s="129"/>
      <c r="Z49" s="129"/>
    </row>
    <row r="50" spans="2:26" ht="5.25" customHeight="1">
      <c r="B50" s="265" t="s">
        <v>636</v>
      </c>
      <c r="C50" s="94"/>
      <c r="D50" s="95"/>
      <c r="E50" s="95"/>
      <c r="F50" s="95"/>
      <c r="G50" s="95"/>
      <c r="H50" s="95"/>
      <c r="I50" s="95"/>
      <c r="J50" s="96"/>
      <c r="K50" s="97"/>
      <c r="L50" s="95"/>
      <c r="M50" s="95"/>
      <c r="N50" s="95"/>
      <c r="O50" s="95"/>
      <c r="P50" s="95"/>
      <c r="Q50" s="96"/>
      <c r="R50" s="129"/>
      <c r="S50" s="129"/>
      <c r="T50" s="129"/>
      <c r="U50" s="129"/>
      <c r="V50" s="129"/>
      <c r="W50" s="129"/>
      <c r="X50" s="129"/>
      <c r="Y50" s="129"/>
      <c r="Z50" s="129"/>
    </row>
    <row r="51" spans="2:26" ht="26.25" customHeight="1">
      <c r="B51" s="265"/>
      <c r="C51" s="128"/>
      <c r="D51" s="288" t="s">
        <v>42</v>
      </c>
      <c r="E51" s="288"/>
      <c r="F51" s="288"/>
      <c r="G51" s="134" t="s">
        <v>52</v>
      </c>
      <c r="H51" s="134" t="s">
        <v>53</v>
      </c>
      <c r="I51" s="135" t="s">
        <v>637</v>
      </c>
      <c r="J51" s="110"/>
      <c r="K51" s="111"/>
      <c r="L51" s="288" t="s">
        <v>42</v>
      </c>
      <c r="M51" s="288"/>
      <c r="N51" s="134" t="s">
        <v>52</v>
      </c>
      <c r="O51" s="134" t="s">
        <v>53</v>
      </c>
      <c r="P51" s="135" t="s">
        <v>637</v>
      </c>
      <c r="Q51" s="99"/>
      <c r="R51" s="129"/>
      <c r="S51" s="129"/>
      <c r="T51" s="129"/>
      <c r="U51" s="129"/>
      <c r="V51" s="129"/>
      <c r="W51" s="129"/>
      <c r="X51" s="129"/>
      <c r="Y51" s="129"/>
      <c r="Z51" s="129"/>
    </row>
    <row r="52" spans="2:26" ht="15" customHeight="1">
      <c r="B52" s="265"/>
      <c r="C52" s="128"/>
      <c r="D52" s="289" t="s">
        <v>56</v>
      </c>
      <c r="E52" s="289"/>
      <c r="F52" s="289"/>
      <c r="G52" s="136">
        <v>8</v>
      </c>
      <c r="H52" s="136">
        <v>-2</v>
      </c>
      <c r="I52" s="137" t="s">
        <v>638</v>
      </c>
      <c r="J52" s="110"/>
      <c r="K52" s="111"/>
      <c r="L52" s="289" t="s">
        <v>56</v>
      </c>
      <c r="M52" s="289"/>
      <c r="N52" s="136">
        <v>4</v>
      </c>
      <c r="O52" s="136">
        <v>-1</v>
      </c>
      <c r="P52" s="137" t="s">
        <v>51</v>
      </c>
      <c r="Q52" s="99"/>
      <c r="R52" s="129"/>
      <c r="S52" s="129"/>
      <c r="T52" s="129"/>
      <c r="U52" s="129"/>
      <c r="V52" s="129"/>
      <c r="W52" s="129"/>
      <c r="X52" s="129"/>
      <c r="Y52" s="129"/>
      <c r="Z52" s="129"/>
    </row>
    <row r="53" spans="2:26" ht="27.75" customHeight="1">
      <c r="B53" s="265"/>
      <c r="C53" s="128"/>
      <c r="D53" s="289" t="s">
        <v>639</v>
      </c>
      <c r="E53" s="289"/>
      <c r="F53" s="289"/>
      <c r="G53" s="136">
        <v>6</v>
      </c>
      <c r="H53" s="138"/>
      <c r="I53" s="137" t="s">
        <v>640</v>
      </c>
      <c r="J53" s="110"/>
      <c r="K53" s="111"/>
      <c r="L53" s="289" t="s">
        <v>641</v>
      </c>
      <c r="M53" s="289"/>
      <c r="N53" s="136">
        <v>3</v>
      </c>
      <c r="O53" s="138"/>
      <c r="P53" s="137">
        <v>3</v>
      </c>
      <c r="Q53" s="99"/>
      <c r="R53" s="129"/>
      <c r="S53" s="129"/>
      <c r="T53" s="129"/>
      <c r="U53" s="129"/>
      <c r="V53" s="129"/>
      <c r="W53" s="129"/>
      <c r="X53" s="129"/>
      <c r="Y53" s="129"/>
      <c r="Z53" s="129"/>
    </row>
    <row r="54" spans="2:26" ht="15" customHeight="1">
      <c r="B54" s="265"/>
      <c r="C54" s="128"/>
      <c r="D54" s="289" t="s">
        <v>642</v>
      </c>
      <c r="E54" s="289"/>
      <c r="F54" s="289"/>
      <c r="G54" s="136">
        <v>5</v>
      </c>
      <c r="H54" s="136" t="s">
        <v>643</v>
      </c>
      <c r="I54" s="137" t="s">
        <v>644</v>
      </c>
      <c r="J54" s="110"/>
      <c r="K54" s="111"/>
      <c r="L54" s="289" t="s">
        <v>63</v>
      </c>
      <c r="M54" s="289"/>
      <c r="N54" s="136">
        <v>4</v>
      </c>
      <c r="O54" s="136" t="s">
        <v>64</v>
      </c>
      <c r="P54" s="137" t="s">
        <v>59</v>
      </c>
      <c r="Q54" s="99"/>
      <c r="R54" s="129"/>
      <c r="S54" s="129"/>
      <c r="T54" s="129"/>
      <c r="U54" s="129"/>
      <c r="V54" s="129"/>
      <c r="W54" s="129"/>
      <c r="X54" s="129"/>
      <c r="Y54" s="129"/>
      <c r="Z54" s="129"/>
    </row>
    <row r="55" spans="2:26" ht="15" customHeight="1">
      <c r="B55" s="265"/>
      <c r="C55" s="128"/>
      <c r="D55" s="289" t="s">
        <v>645</v>
      </c>
      <c r="E55" s="289"/>
      <c r="F55" s="289"/>
      <c r="G55" s="136">
        <v>5</v>
      </c>
      <c r="H55" s="136" t="s">
        <v>646</v>
      </c>
      <c r="I55" s="137" t="s">
        <v>647</v>
      </c>
      <c r="J55" s="110"/>
      <c r="K55" s="111"/>
      <c r="L55" s="289" t="s">
        <v>648</v>
      </c>
      <c r="M55" s="289"/>
      <c r="N55" s="136">
        <v>3</v>
      </c>
      <c r="O55" s="136" t="s">
        <v>64</v>
      </c>
      <c r="P55" s="137" t="s">
        <v>68</v>
      </c>
      <c r="Q55" s="99"/>
      <c r="R55" s="129"/>
      <c r="S55" s="129"/>
      <c r="T55" s="129"/>
      <c r="U55" s="129"/>
      <c r="V55" s="129"/>
      <c r="W55" s="129"/>
      <c r="X55" s="129"/>
      <c r="Y55" s="129"/>
      <c r="Z55" s="129"/>
    </row>
    <row r="56" spans="2:26" ht="15" customHeight="1">
      <c r="B56" s="265"/>
      <c r="C56" s="128"/>
      <c r="D56" s="289" t="s">
        <v>649</v>
      </c>
      <c r="E56" s="289"/>
      <c r="F56" s="289"/>
      <c r="G56" s="136">
        <v>5</v>
      </c>
      <c r="H56" s="136" t="s">
        <v>646</v>
      </c>
      <c r="I56" s="137" t="s">
        <v>647</v>
      </c>
      <c r="J56" s="110"/>
      <c r="K56" s="111"/>
      <c r="L56" s="289" t="s">
        <v>70</v>
      </c>
      <c r="M56" s="289"/>
      <c r="N56" s="290" t="s">
        <v>650</v>
      </c>
      <c r="O56" s="290"/>
      <c r="P56" s="290"/>
      <c r="Q56" s="99"/>
      <c r="R56" s="129"/>
      <c r="S56" s="129"/>
      <c r="T56" s="129"/>
      <c r="U56" s="129"/>
      <c r="V56" s="129"/>
      <c r="W56" s="129"/>
      <c r="X56" s="129"/>
      <c r="Y56" s="129"/>
      <c r="Z56" s="129"/>
    </row>
    <row r="57" spans="2:26" ht="15" customHeight="1">
      <c r="B57" s="265"/>
      <c r="C57" s="128"/>
      <c r="D57" s="289" t="s">
        <v>574</v>
      </c>
      <c r="E57" s="289"/>
      <c r="F57" s="289"/>
      <c r="G57" s="290" t="s">
        <v>650</v>
      </c>
      <c r="H57" s="290"/>
      <c r="I57" s="290"/>
      <c r="J57" s="110"/>
      <c r="K57" s="111"/>
      <c r="L57" s="139"/>
      <c r="M57" s="129"/>
      <c r="N57" s="129"/>
      <c r="O57" s="129"/>
      <c r="P57" s="129"/>
      <c r="Q57" s="99"/>
      <c r="R57" s="129"/>
      <c r="S57" s="129"/>
      <c r="T57" s="129"/>
      <c r="U57" s="129"/>
      <c r="V57" s="129"/>
      <c r="W57" s="129"/>
      <c r="X57" s="129"/>
      <c r="Y57" s="129"/>
      <c r="Z57" s="129"/>
    </row>
    <row r="58" spans="2:26" ht="15" customHeight="1">
      <c r="B58" s="265"/>
      <c r="C58" s="128"/>
      <c r="D58" s="129"/>
      <c r="E58" s="129"/>
      <c r="F58" s="129"/>
      <c r="G58" s="129"/>
      <c r="H58" s="129"/>
      <c r="I58" s="129"/>
      <c r="J58" s="99"/>
      <c r="K58" s="100"/>
      <c r="L58" s="129"/>
      <c r="M58" s="129"/>
      <c r="N58" s="129"/>
      <c r="O58" s="129"/>
      <c r="P58" s="129"/>
      <c r="Q58" s="99"/>
      <c r="R58" s="129"/>
      <c r="S58" s="129"/>
      <c r="T58" s="129"/>
      <c r="U58" s="129"/>
      <c r="V58" s="129"/>
      <c r="W58" s="129"/>
      <c r="X58" s="129"/>
      <c r="Y58" s="129"/>
      <c r="Z58" s="129"/>
    </row>
    <row r="59" spans="2:26" ht="33.75" customHeight="1">
      <c r="B59" s="265"/>
      <c r="C59" s="128"/>
      <c r="D59" s="291" t="s">
        <v>651</v>
      </c>
      <c r="E59" s="291"/>
      <c r="F59" s="291"/>
      <c r="G59" s="291"/>
      <c r="H59" s="291"/>
      <c r="I59" s="291"/>
      <c r="J59" s="99"/>
      <c r="K59" s="100"/>
      <c r="L59" s="293" t="s">
        <v>652</v>
      </c>
      <c r="M59" s="293"/>
      <c r="N59" s="293"/>
      <c r="O59" s="293"/>
      <c r="P59" s="293"/>
      <c r="Q59" s="99"/>
      <c r="R59" s="129"/>
      <c r="S59" s="129"/>
      <c r="T59" s="129"/>
      <c r="U59" s="129"/>
      <c r="V59" s="129"/>
      <c r="W59" s="129"/>
      <c r="X59" s="129"/>
      <c r="Y59" s="129"/>
      <c r="Z59" s="129"/>
    </row>
    <row r="60" spans="2:26" ht="5.25" customHeight="1">
      <c r="B60" s="265"/>
      <c r="C60" s="101"/>
      <c r="D60" s="102"/>
      <c r="E60" s="102"/>
      <c r="F60" s="102"/>
      <c r="G60" s="102"/>
      <c r="H60" s="102"/>
      <c r="I60" s="102"/>
      <c r="J60" s="103"/>
      <c r="K60" s="104"/>
      <c r="L60" s="102"/>
      <c r="M60" s="102"/>
      <c r="N60" s="102"/>
      <c r="O60" s="102"/>
      <c r="P60" s="102"/>
      <c r="Q60" s="103"/>
      <c r="R60" s="129"/>
      <c r="S60" s="129"/>
      <c r="T60" s="129"/>
      <c r="U60" s="129"/>
      <c r="V60" s="129"/>
      <c r="W60" s="129"/>
      <c r="X60" s="129"/>
      <c r="Y60" s="129"/>
      <c r="Z60" s="129"/>
    </row>
    <row r="61" spans="2:26" ht="5.25" customHeight="1">
      <c r="B61" s="294" t="s">
        <v>653</v>
      </c>
      <c r="C61" s="128"/>
      <c r="D61" s="129"/>
      <c r="E61" s="129"/>
      <c r="F61" s="129"/>
      <c r="G61" s="129"/>
      <c r="H61" s="129"/>
      <c r="I61" s="129"/>
      <c r="J61" s="129"/>
      <c r="K61" s="97"/>
      <c r="L61" s="95"/>
      <c r="M61" s="95"/>
      <c r="N61" s="95"/>
      <c r="O61" s="95"/>
      <c r="P61" s="95"/>
      <c r="Q61" s="96"/>
      <c r="R61" s="129"/>
      <c r="S61" s="129"/>
      <c r="T61" s="129"/>
      <c r="U61" s="129"/>
      <c r="V61" s="129"/>
      <c r="W61" s="129"/>
      <c r="X61" s="129"/>
      <c r="Y61" s="129"/>
      <c r="Z61" s="129"/>
    </row>
    <row r="62" spans="2:26" ht="15" customHeight="1">
      <c r="B62" s="294"/>
      <c r="C62" s="128"/>
      <c r="D62" s="129"/>
      <c r="E62" s="129"/>
      <c r="F62" s="129"/>
      <c r="G62" s="129"/>
      <c r="H62" s="129"/>
      <c r="I62" s="129"/>
      <c r="J62" s="129"/>
      <c r="K62" s="100"/>
      <c r="L62" s="129" t="s">
        <v>654</v>
      </c>
      <c r="M62" s="129"/>
      <c r="N62" s="129"/>
      <c r="O62" s="129"/>
      <c r="P62" s="129"/>
      <c r="Q62" s="99"/>
      <c r="R62" s="129"/>
      <c r="S62" s="129"/>
      <c r="T62" s="129"/>
      <c r="U62" s="129"/>
      <c r="V62" s="129"/>
      <c r="W62" s="129"/>
      <c r="X62" s="129"/>
      <c r="Y62" s="129"/>
      <c r="Z62" s="129"/>
    </row>
    <row r="63" spans="2:26" ht="15" customHeight="1">
      <c r="B63" s="294"/>
      <c r="C63" s="128"/>
      <c r="D63" s="129"/>
      <c r="E63" s="129"/>
      <c r="F63" s="129"/>
      <c r="G63" s="129"/>
      <c r="H63" s="129"/>
      <c r="I63" s="129"/>
      <c r="J63" s="129"/>
      <c r="K63" s="100"/>
      <c r="L63" s="92" t="s">
        <v>655</v>
      </c>
      <c r="M63" s="129"/>
      <c r="N63" s="129"/>
      <c r="O63" s="129"/>
      <c r="P63" s="129"/>
      <c r="Q63" s="99"/>
      <c r="R63" s="129"/>
      <c r="S63" s="129"/>
      <c r="T63" s="129"/>
      <c r="U63" s="129"/>
      <c r="V63" s="129"/>
      <c r="W63" s="129"/>
      <c r="X63" s="129"/>
      <c r="Y63" s="129"/>
      <c r="Z63" s="129"/>
    </row>
    <row r="64" spans="2:26" ht="15" customHeight="1">
      <c r="B64" s="294"/>
      <c r="C64" s="128"/>
      <c r="D64" s="129"/>
      <c r="E64" s="129"/>
      <c r="F64" s="129"/>
      <c r="G64" s="129"/>
      <c r="H64" s="129"/>
      <c r="I64" s="129"/>
      <c r="J64" s="129"/>
      <c r="K64" s="100"/>
      <c r="L64" s="284" t="s">
        <v>42</v>
      </c>
      <c r="M64" s="295" t="s">
        <v>656</v>
      </c>
      <c r="N64" s="295"/>
      <c r="O64" s="296" t="s">
        <v>657</v>
      </c>
      <c r="P64" s="296"/>
      <c r="Q64" s="99"/>
      <c r="R64" s="129"/>
      <c r="S64" s="129"/>
      <c r="T64" s="129"/>
      <c r="U64" s="129"/>
      <c r="V64" s="129"/>
      <c r="W64" s="129"/>
      <c r="X64" s="129"/>
      <c r="Y64" s="129"/>
      <c r="Z64" s="129"/>
    </row>
    <row r="65" spans="2:26" ht="15" customHeight="1">
      <c r="B65" s="294"/>
      <c r="C65" s="128"/>
      <c r="D65" s="129"/>
      <c r="E65" s="129"/>
      <c r="F65" s="129"/>
      <c r="G65" s="129"/>
      <c r="H65" s="129"/>
      <c r="I65" s="129"/>
      <c r="J65" s="129"/>
      <c r="K65" s="100"/>
      <c r="L65" s="284"/>
      <c r="M65" s="131" t="s">
        <v>658</v>
      </c>
      <c r="N65" s="131" t="s">
        <v>659</v>
      </c>
      <c r="O65" s="131" t="s">
        <v>658</v>
      </c>
      <c r="P65" s="140" t="s">
        <v>659</v>
      </c>
      <c r="Q65" s="99"/>
      <c r="R65" s="129"/>
      <c r="S65" s="129"/>
      <c r="T65" s="129"/>
      <c r="U65" s="129"/>
      <c r="V65" s="129"/>
      <c r="W65" s="129"/>
      <c r="X65" s="129"/>
      <c r="Y65" s="129"/>
      <c r="Z65" s="129"/>
    </row>
    <row r="66" spans="2:26" ht="15" customHeight="1">
      <c r="B66" s="294"/>
      <c r="C66" s="128"/>
      <c r="D66" s="129"/>
      <c r="E66" s="129"/>
      <c r="F66" s="129"/>
      <c r="G66" s="129"/>
      <c r="H66" s="129"/>
      <c r="I66" s="129"/>
      <c r="J66" s="129"/>
      <c r="K66" s="100"/>
      <c r="L66" s="141" t="s">
        <v>50</v>
      </c>
      <c r="M66" s="133">
        <v>2</v>
      </c>
      <c r="N66" s="133">
        <v>2</v>
      </c>
      <c r="O66" s="133">
        <v>4</v>
      </c>
      <c r="P66" s="105">
        <v>0</v>
      </c>
      <c r="Q66" s="99"/>
      <c r="R66" s="129"/>
      <c r="S66" s="129"/>
      <c r="T66" s="129"/>
      <c r="U66" s="129"/>
      <c r="V66" s="129"/>
      <c r="W66" s="129"/>
      <c r="X66" s="129"/>
      <c r="Y66" s="129"/>
      <c r="Z66" s="129"/>
    </row>
    <row r="67" spans="2:26" ht="15" customHeight="1">
      <c r="B67" s="294"/>
      <c r="C67" s="128"/>
      <c r="D67" s="129"/>
      <c r="E67" s="129"/>
      <c r="F67" s="129"/>
      <c r="G67" s="129"/>
      <c r="H67" s="129"/>
      <c r="I67" s="129"/>
      <c r="J67" s="129"/>
      <c r="K67" s="100"/>
      <c r="L67" s="141" t="s">
        <v>370</v>
      </c>
      <c r="M67" s="133">
        <v>2</v>
      </c>
      <c r="N67" s="133">
        <v>2</v>
      </c>
      <c r="O67" s="133">
        <v>0</v>
      </c>
      <c r="P67" s="105">
        <v>4</v>
      </c>
      <c r="Q67" s="99"/>
      <c r="R67" s="129"/>
      <c r="S67" s="129"/>
      <c r="T67" s="129"/>
      <c r="U67" s="129"/>
      <c r="V67" s="129"/>
      <c r="W67" s="129"/>
      <c r="X67" s="129"/>
      <c r="Y67" s="129"/>
      <c r="Z67" s="129"/>
    </row>
    <row r="68" spans="2:26" ht="15" customHeight="1">
      <c r="B68" s="294"/>
      <c r="C68" s="128"/>
      <c r="D68" s="129"/>
      <c r="E68" s="129"/>
      <c r="F68" s="129"/>
      <c r="G68" s="129"/>
      <c r="H68" s="129"/>
      <c r="I68" s="129"/>
      <c r="J68" s="129"/>
      <c r="K68" s="100"/>
      <c r="L68" s="141" t="s">
        <v>331</v>
      </c>
      <c r="M68" s="133">
        <v>2</v>
      </c>
      <c r="N68" s="133">
        <v>2</v>
      </c>
      <c r="O68" s="133">
        <v>4</v>
      </c>
      <c r="P68" s="105">
        <v>0</v>
      </c>
      <c r="Q68" s="99"/>
      <c r="R68" s="129"/>
      <c r="S68" s="129"/>
      <c r="T68" s="129"/>
      <c r="U68" s="129"/>
      <c r="V68" s="129"/>
      <c r="W68" s="129"/>
      <c r="X68" s="129"/>
      <c r="Y68" s="129"/>
      <c r="Z68" s="129"/>
    </row>
    <row r="69" spans="2:26" ht="15" customHeight="1">
      <c r="B69" s="294"/>
      <c r="C69" s="128"/>
      <c r="D69" s="129"/>
      <c r="E69" s="129"/>
      <c r="F69" s="129"/>
      <c r="G69" s="129"/>
      <c r="H69" s="129"/>
      <c r="I69" s="129"/>
      <c r="J69" s="129"/>
      <c r="K69" s="100"/>
      <c r="L69" s="92" t="s">
        <v>660</v>
      </c>
      <c r="M69" s="129"/>
      <c r="N69" s="129"/>
      <c r="O69" s="129"/>
      <c r="P69" s="129"/>
      <c r="Q69" s="99"/>
      <c r="R69" s="129"/>
      <c r="S69" s="129"/>
      <c r="T69" s="129"/>
      <c r="U69" s="129"/>
      <c r="V69" s="129"/>
      <c r="W69" s="129"/>
      <c r="X69" s="129"/>
      <c r="Y69" s="129"/>
      <c r="Z69" s="129"/>
    </row>
    <row r="70" spans="2:26" ht="15" customHeight="1">
      <c r="B70" s="294"/>
      <c r="C70" s="128"/>
      <c r="D70" s="129"/>
      <c r="E70" s="129"/>
      <c r="F70" s="129"/>
      <c r="G70" s="129"/>
      <c r="H70" s="129"/>
      <c r="I70" s="129"/>
      <c r="J70" s="129"/>
      <c r="K70" s="100"/>
      <c r="L70" s="284" t="s">
        <v>42</v>
      </c>
      <c r="M70" s="295" t="s">
        <v>656</v>
      </c>
      <c r="N70" s="295"/>
      <c r="O70" s="296" t="s">
        <v>657</v>
      </c>
      <c r="P70" s="296"/>
      <c r="Q70" s="99"/>
      <c r="R70" s="129"/>
      <c r="S70" s="129"/>
      <c r="T70" s="129"/>
      <c r="U70" s="129"/>
      <c r="V70" s="129"/>
      <c r="W70" s="129"/>
      <c r="X70" s="129"/>
      <c r="Y70" s="129"/>
      <c r="Z70" s="129"/>
    </row>
    <row r="71" spans="2:26" ht="15" customHeight="1">
      <c r="B71" s="294"/>
      <c r="C71" s="128"/>
      <c r="D71" s="129"/>
      <c r="E71" s="129"/>
      <c r="F71" s="129"/>
      <c r="G71" s="129"/>
      <c r="H71" s="129"/>
      <c r="I71" s="129"/>
      <c r="J71" s="129"/>
      <c r="K71" s="100"/>
      <c r="L71" s="284"/>
      <c r="M71" s="131" t="s">
        <v>658</v>
      </c>
      <c r="N71" s="131" t="s">
        <v>659</v>
      </c>
      <c r="O71" s="131" t="s">
        <v>658</v>
      </c>
      <c r="P71" s="140" t="s">
        <v>659</v>
      </c>
      <c r="Q71" s="99"/>
      <c r="R71" s="129"/>
      <c r="S71" s="129"/>
      <c r="T71" s="129"/>
      <c r="U71" s="129"/>
      <c r="V71" s="129"/>
      <c r="W71" s="129"/>
      <c r="X71" s="129"/>
      <c r="Y71" s="129"/>
      <c r="Z71" s="129"/>
    </row>
    <row r="72" spans="2:26" ht="15" customHeight="1">
      <c r="B72" s="294"/>
      <c r="C72" s="128"/>
      <c r="D72" s="129"/>
      <c r="E72" s="129"/>
      <c r="F72" s="129"/>
      <c r="G72" s="129"/>
      <c r="H72" s="129"/>
      <c r="I72" s="129"/>
      <c r="J72" s="129"/>
      <c r="K72" s="100"/>
      <c r="L72" s="141" t="s">
        <v>629</v>
      </c>
      <c r="M72" s="133">
        <v>1</v>
      </c>
      <c r="N72" s="133">
        <v>1</v>
      </c>
      <c r="O72" s="133">
        <v>2</v>
      </c>
      <c r="P72" s="105">
        <v>0</v>
      </c>
      <c r="Q72" s="99"/>
      <c r="R72" s="129"/>
      <c r="S72" s="129"/>
      <c r="T72" s="129"/>
      <c r="U72" s="129"/>
      <c r="V72" s="129"/>
      <c r="W72" s="129"/>
      <c r="X72" s="129"/>
      <c r="Y72" s="129"/>
      <c r="Z72" s="129"/>
    </row>
    <row r="73" spans="2:26" ht="15" customHeight="1">
      <c r="B73" s="294"/>
      <c r="C73" s="128"/>
      <c r="D73" s="129"/>
      <c r="E73" s="129"/>
      <c r="F73" s="129"/>
      <c r="G73" s="129"/>
      <c r="H73" s="129"/>
      <c r="I73" s="129"/>
      <c r="J73" s="129"/>
      <c r="K73" s="100"/>
      <c r="L73" s="141" t="s">
        <v>634</v>
      </c>
      <c r="M73" s="133">
        <v>2</v>
      </c>
      <c r="N73" s="133">
        <v>2</v>
      </c>
      <c r="O73" s="133">
        <v>0</v>
      </c>
      <c r="P73" s="105">
        <v>4</v>
      </c>
      <c r="Q73" s="99"/>
      <c r="R73" s="129"/>
      <c r="S73" s="129"/>
      <c r="T73" s="129"/>
      <c r="U73" s="129"/>
      <c r="V73" s="129"/>
      <c r="W73" s="129"/>
      <c r="X73" s="129"/>
      <c r="Y73" s="129"/>
      <c r="Z73" s="129"/>
    </row>
    <row r="74" spans="2:26" ht="15" customHeight="1">
      <c r="B74" s="294"/>
      <c r="C74" s="128"/>
      <c r="D74" s="129"/>
      <c r="E74" s="129"/>
      <c r="F74" s="129"/>
      <c r="G74" s="129"/>
      <c r="H74" s="129"/>
      <c r="I74" s="129"/>
      <c r="J74" s="129"/>
      <c r="K74" s="100"/>
      <c r="L74" s="297" t="s">
        <v>635</v>
      </c>
      <c r="M74" s="298" t="s">
        <v>661</v>
      </c>
      <c r="N74" s="298" t="s">
        <v>661</v>
      </c>
      <c r="O74" s="142">
        <v>8</v>
      </c>
      <c r="P74" s="143">
        <v>0</v>
      </c>
      <c r="Q74" s="99"/>
      <c r="R74" s="129"/>
      <c r="S74" s="129"/>
      <c r="T74" s="129"/>
      <c r="U74" s="129"/>
      <c r="V74" s="129"/>
      <c r="W74" s="129"/>
      <c r="X74" s="129"/>
      <c r="Y74" s="129"/>
      <c r="Z74" s="129"/>
    </row>
    <row r="75" spans="2:26" ht="15" customHeight="1">
      <c r="B75" s="294"/>
      <c r="C75" s="128"/>
      <c r="D75" s="129"/>
      <c r="E75" s="129"/>
      <c r="F75" s="129"/>
      <c r="G75" s="129"/>
      <c r="H75" s="129"/>
      <c r="I75" s="129"/>
      <c r="J75" s="129"/>
      <c r="K75" s="100"/>
      <c r="L75" s="297"/>
      <c r="M75" s="298"/>
      <c r="N75" s="298"/>
      <c r="O75" s="142">
        <v>4</v>
      </c>
      <c r="P75" s="143">
        <v>4</v>
      </c>
      <c r="Q75" s="99"/>
      <c r="R75" s="129"/>
      <c r="S75" s="129"/>
      <c r="T75" s="129"/>
      <c r="U75" s="129"/>
      <c r="V75" s="129"/>
      <c r="W75" s="129"/>
      <c r="X75" s="129"/>
      <c r="Y75" s="129"/>
      <c r="Z75" s="129"/>
    </row>
    <row r="76" spans="2:26" ht="33.75" customHeight="1">
      <c r="B76" s="294"/>
      <c r="C76" s="128"/>
      <c r="D76" s="129"/>
      <c r="E76" s="129"/>
      <c r="F76" s="129"/>
      <c r="G76" s="129"/>
      <c r="H76" s="129"/>
      <c r="I76" s="129"/>
      <c r="J76" s="129"/>
      <c r="K76" s="100"/>
      <c r="L76" s="291" t="s">
        <v>662</v>
      </c>
      <c r="M76" s="291"/>
      <c r="N76" s="291"/>
      <c r="O76" s="291"/>
      <c r="P76" s="291"/>
      <c r="Q76" s="99"/>
      <c r="R76" s="129"/>
      <c r="S76" s="129"/>
      <c r="T76" s="129"/>
      <c r="U76" s="129"/>
      <c r="V76" s="129"/>
      <c r="W76" s="129"/>
      <c r="X76" s="129"/>
      <c r="Y76" s="129"/>
      <c r="Z76" s="129"/>
    </row>
    <row r="77" spans="2:26" ht="5.25" customHeight="1">
      <c r="B77" s="294"/>
      <c r="C77" s="144"/>
      <c r="D77" s="145"/>
      <c r="E77" s="145"/>
      <c r="F77" s="145"/>
      <c r="G77" s="145"/>
      <c r="H77" s="145"/>
      <c r="I77" s="145"/>
      <c r="J77" s="145"/>
      <c r="K77" s="146"/>
      <c r="L77" s="145"/>
      <c r="M77" s="145"/>
      <c r="N77" s="145"/>
      <c r="O77" s="145"/>
      <c r="P77" s="145"/>
      <c r="Q77" s="147"/>
      <c r="R77" s="129"/>
      <c r="S77" s="129"/>
      <c r="T77" s="129"/>
      <c r="U77" s="129"/>
      <c r="V77" s="129"/>
      <c r="W77" s="129"/>
      <c r="X77" s="129"/>
      <c r="Y77" s="129"/>
      <c r="Z77" s="129"/>
    </row>
    <row r="78" spans="2:26" ht="5.25" customHeight="1">
      <c r="B78" s="292" t="s">
        <v>663</v>
      </c>
      <c r="C78" s="148"/>
      <c r="D78" s="149"/>
      <c r="E78" s="149"/>
      <c r="F78" s="149"/>
      <c r="G78" s="149"/>
      <c r="H78" s="149"/>
      <c r="I78" s="149"/>
      <c r="J78" s="149"/>
      <c r="K78" s="150"/>
      <c r="L78" s="149"/>
      <c r="M78" s="149"/>
      <c r="N78" s="149"/>
      <c r="O78" s="149"/>
      <c r="P78" s="149"/>
      <c r="Q78" s="151"/>
      <c r="R78" s="129"/>
      <c r="S78" s="129"/>
      <c r="T78" s="129"/>
      <c r="U78" s="129"/>
      <c r="V78" s="129"/>
      <c r="W78" s="129"/>
      <c r="X78" s="129"/>
      <c r="Y78" s="129"/>
      <c r="Z78" s="129"/>
    </row>
    <row r="79" spans="2:26" ht="15" customHeight="1">
      <c r="B79" s="292"/>
      <c r="C79" s="128"/>
      <c r="D79" s="92" t="s">
        <v>664</v>
      </c>
      <c r="E79" s="129"/>
      <c r="F79" s="129"/>
      <c r="G79" s="129"/>
      <c r="H79" s="129"/>
      <c r="I79" s="129"/>
      <c r="J79" s="129"/>
      <c r="K79" s="100"/>
      <c r="L79" s="92" t="s">
        <v>665</v>
      </c>
      <c r="M79" s="129"/>
      <c r="N79" s="129"/>
      <c r="O79" s="129"/>
      <c r="P79" s="129"/>
      <c r="Q79" s="99"/>
      <c r="R79" s="129"/>
      <c r="S79" s="129"/>
      <c r="T79" s="129"/>
      <c r="U79" s="129"/>
      <c r="V79" s="129"/>
      <c r="W79" s="129"/>
      <c r="X79" s="129"/>
      <c r="Y79" s="129"/>
      <c r="Z79" s="129"/>
    </row>
    <row r="80" spans="2:26" ht="15" customHeight="1">
      <c r="B80" s="292"/>
      <c r="C80" s="128"/>
      <c r="D80" s="129"/>
      <c r="E80" s="129"/>
      <c r="F80" s="129"/>
      <c r="G80" s="129"/>
      <c r="H80" s="129"/>
      <c r="I80" s="129"/>
      <c r="J80" s="129"/>
      <c r="K80" s="100"/>
      <c r="L80" s="129" t="s">
        <v>666</v>
      </c>
      <c r="M80" s="129"/>
      <c r="N80" s="129"/>
      <c r="O80" s="129"/>
      <c r="P80" s="129"/>
      <c r="Q80" s="99"/>
      <c r="R80" s="129"/>
      <c r="S80" s="129"/>
      <c r="T80" s="129"/>
      <c r="U80" s="129"/>
      <c r="V80" s="129"/>
      <c r="W80" s="129"/>
      <c r="X80" s="129"/>
      <c r="Y80" s="129"/>
      <c r="Z80" s="129"/>
    </row>
    <row r="81" spans="2:26" ht="5.25" customHeight="1">
      <c r="B81" s="292"/>
      <c r="C81" s="101"/>
      <c r="D81" s="102"/>
      <c r="E81" s="102"/>
      <c r="F81" s="102"/>
      <c r="G81" s="102"/>
      <c r="H81" s="102"/>
      <c r="I81" s="102"/>
      <c r="J81" s="102"/>
      <c r="K81" s="104"/>
      <c r="L81" s="102"/>
      <c r="M81" s="102"/>
      <c r="N81" s="102"/>
      <c r="O81" s="102"/>
      <c r="P81" s="102"/>
      <c r="Q81" s="103"/>
      <c r="R81" s="129"/>
      <c r="S81" s="129"/>
      <c r="T81" s="129"/>
      <c r="U81" s="129"/>
      <c r="V81" s="129"/>
      <c r="W81" s="129"/>
      <c r="X81" s="129"/>
      <c r="Y81" s="129"/>
      <c r="Z81" s="129"/>
    </row>
    <row r="82" spans="2:26" ht="4.5" customHeight="1"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</row>
    <row r="83" spans="2:26" ht="15" hidden="1" customHeight="1">
      <c r="B83" s="129"/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</row>
    <row r="84" spans="2:26" ht="15" hidden="1" customHeight="1"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</row>
    <row r="85" spans="2:26" ht="15" hidden="1" customHeight="1">
      <c r="B85" s="129"/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</row>
    <row r="86" spans="2:26" ht="15" hidden="1" customHeight="1"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spans="2:26" ht="15" hidden="1" customHeight="1"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spans="2:26" ht="15" hidden="1" customHeight="1"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spans="2:26" ht="15" hidden="1" customHeight="1"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</row>
    <row r="90" spans="2:26" ht="15" hidden="1" customHeight="1">
      <c r="B90" s="129"/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</row>
    <row r="91" spans="2:26" ht="15" hidden="1" customHeight="1">
      <c r="B91" s="129"/>
      <c r="C91" s="129"/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</row>
    <row r="92" spans="2:26" ht="15" hidden="1" customHeight="1"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</row>
    <row r="93" spans="2:26" ht="15" hidden="1" customHeight="1"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</row>
    <row r="94" spans="2:26" ht="15" hidden="1" customHeight="1"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</row>
    <row r="95" spans="2:26" ht="15" hidden="1" customHeight="1"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</row>
    <row r="96" spans="2:26" ht="15" hidden="1" customHeight="1">
      <c r="B96" s="129"/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</row>
    <row r="97" spans="2:26" ht="15" hidden="1" customHeight="1"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</row>
    <row r="98" spans="2:26" ht="15" hidden="1" customHeight="1">
      <c r="B98" s="129"/>
      <c r="C98" s="129"/>
      <c r="D98" s="129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</row>
    <row r="99" spans="2:26" ht="15" hidden="1" customHeight="1"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</row>
    <row r="100" spans="2:26" ht="15" hidden="1" customHeight="1"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</row>
    <row r="101" spans="2:26" ht="15" hidden="1" customHeight="1"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</row>
    <row r="102" spans="2:26" ht="15" hidden="1" customHeight="1">
      <c r="B102" s="129"/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</row>
    <row r="103" spans="2:26" ht="15" hidden="1" customHeight="1"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</row>
    <row r="104" spans="2:26" ht="15" hidden="1" customHeight="1"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</row>
    <row r="105" spans="2:26" ht="15" hidden="1" customHeight="1">
      <c r="B105" s="129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</row>
    <row r="106" spans="2:26" ht="15" hidden="1" customHeight="1">
      <c r="B106" s="129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</row>
    <row r="107" spans="2:26" ht="15" hidden="1" customHeight="1">
      <c r="B107" s="129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</row>
    <row r="108" spans="2:26" ht="15" hidden="1" customHeight="1"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spans="2:26" ht="15" hidden="1" customHeight="1">
      <c r="B109" s="129"/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</row>
    <row r="110" spans="2:26" ht="15" hidden="1" customHeight="1">
      <c r="B110" s="129"/>
      <c r="C110" s="129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</row>
    <row r="111" spans="2:26" ht="15" hidden="1" customHeight="1">
      <c r="B111" s="129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</row>
    <row r="112" spans="2:26" ht="15" hidden="1" customHeight="1">
      <c r="B112" s="129"/>
      <c r="C112" s="129"/>
      <c r="D112" s="129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</row>
    <row r="113" spans="2:26" ht="15" hidden="1" customHeight="1">
      <c r="B113" s="129"/>
      <c r="C113" s="129"/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</row>
    <row r="114" spans="2:26" ht="15" hidden="1" customHeight="1">
      <c r="B114" s="129"/>
      <c r="C114" s="129"/>
      <c r="D114" s="129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</row>
    <row r="115" spans="2:26" ht="15" hidden="1" customHeight="1">
      <c r="B115" s="129"/>
      <c r="C115" s="129"/>
      <c r="D115" s="129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</row>
    <row r="116" spans="2:26" ht="15" hidden="1" customHeight="1">
      <c r="B116" s="129"/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</row>
    <row r="117" spans="2:26" ht="15" hidden="1" customHeight="1">
      <c r="B117" s="129"/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spans="2:26" ht="15" hidden="1" customHeight="1"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</row>
    <row r="119" spans="2:26" ht="15" hidden="1" customHeight="1">
      <c r="B119" s="129"/>
      <c r="C119" s="129"/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</row>
    <row r="120" spans="2:26" ht="15" hidden="1" customHeight="1">
      <c r="B120" s="129"/>
      <c r="C120" s="129"/>
      <c r="D120" s="129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</row>
    <row r="121" spans="2:26" ht="15" hidden="1" customHeight="1"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</row>
    <row r="122" spans="2:26" ht="15" hidden="1" customHeight="1">
      <c r="B122" s="129"/>
      <c r="C122" s="129"/>
      <c r="D122" s="129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</row>
    <row r="123" spans="2:26" ht="15" hidden="1" customHeight="1">
      <c r="B123" s="129"/>
      <c r="C123" s="129"/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</row>
    <row r="124" spans="2:26" ht="15" hidden="1" customHeight="1">
      <c r="B124" s="129"/>
      <c r="C124" s="129"/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</row>
    <row r="125" spans="2:26" ht="15" hidden="1" customHeight="1">
      <c r="B125" s="129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</row>
    <row r="126" spans="2:26" ht="15" hidden="1" customHeight="1">
      <c r="B126" s="129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</row>
    <row r="127" spans="2:26" ht="15" hidden="1" customHeight="1">
      <c r="B127" s="129"/>
      <c r="C127" s="129"/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</row>
    <row r="128" spans="2:26" ht="15" hidden="1" customHeight="1">
      <c r="B128" s="129"/>
      <c r="C128" s="129"/>
      <c r="D128" s="129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</row>
    <row r="129" spans="2:26" ht="15" hidden="1" customHeight="1">
      <c r="B129" s="129"/>
      <c r="C129" s="129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</row>
    <row r="130" spans="2:26" ht="15" hidden="1" customHeight="1">
      <c r="B130" s="129"/>
      <c r="C130" s="129"/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</row>
    <row r="131" spans="2:26" ht="15" hidden="1" customHeight="1">
      <c r="B131" s="129"/>
      <c r="C131" s="129"/>
      <c r="D131" s="129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</row>
    <row r="132" spans="2:26" ht="15" hidden="1" customHeight="1">
      <c r="B132" s="129"/>
      <c r="C132" s="129"/>
      <c r="D132" s="129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</row>
    <row r="133" spans="2:26" ht="15" hidden="1" customHeight="1">
      <c r="B133" s="129"/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</row>
    <row r="134" spans="2:26" ht="15" hidden="1" customHeight="1">
      <c r="B134" s="129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</row>
    <row r="135" spans="2:26" ht="15" hidden="1" customHeight="1">
      <c r="B135" s="129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</row>
    <row r="136" spans="2:26" ht="15" hidden="1" customHeight="1">
      <c r="B136" s="129"/>
      <c r="C136" s="129"/>
      <c r="D136" s="129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</row>
    <row r="137" spans="2:26" ht="15" hidden="1" customHeight="1">
      <c r="B137" s="129"/>
      <c r="C137" s="129"/>
      <c r="D137" s="129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spans="2:26" ht="15" hidden="1" customHeight="1">
      <c r="B138" s="129"/>
      <c r="C138" s="129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</row>
    <row r="139" spans="2:26" ht="15" hidden="1" customHeight="1">
      <c r="B139" s="129"/>
      <c r="C139" s="129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</row>
    <row r="140" spans="2:26" ht="15" hidden="1" customHeight="1">
      <c r="B140" s="129"/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</row>
    <row r="141" spans="2:26" ht="15" hidden="1" customHeight="1">
      <c r="B141" s="129"/>
      <c r="C141" s="129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</row>
    <row r="142" spans="2:26" ht="15" hidden="1" customHeight="1">
      <c r="B142" s="129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</row>
    <row r="143" spans="2:26" ht="15" hidden="1" customHeight="1">
      <c r="B143" s="129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</row>
    <row r="144" spans="2:26" ht="15" hidden="1" customHeight="1">
      <c r="B144" s="129"/>
      <c r="C144" s="129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</row>
    <row r="145" spans="2:26" ht="15" hidden="1" customHeight="1">
      <c r="B145" s="129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</row>
    <row r="146" spans="2:26" ht="15" hidden="1" customHeight="1">
      <c r="B146" s="129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</row>
    <row r="147" spans="2:26" ht="15" hidden="1" customHeight="1">
      <c r="B147" s="129"/>
      <c r="C147" s="129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</row>
    <row r="148" spans="2:26" ht="15" hidden="1" customHeight="1">
      <c r="B148" s="129"/>
      <c r="C148" s="129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</row>
    <row r="149" spans="2:26" ht="15" hidden="1" customHeight="1">
      <c r="B149" s="129"/>
      <c r="C149" s="129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</row>
    <row r="150" spans="2:26" ht="15" hidden="1" customHeight="1">
      <c r="B150" s="129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</row>
    <row r="151" spans="2:26" ht="15" hidden="1" customHeight="1"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</row>
    <row r="152" spans="2:26" ht="15" hidden="1" customHeight="1">
      <c r="B152" s="129"/>
      <c r="C152" s="129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spans="2:26" ht="15" hidden="1" customHeight="1">
      <c r="B153" s="129"/>
      <c r="C153" s="129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</row>
    <row r="154" spans="2:26" ht="15" hidden="1" customHeight="1">
      <c r="B154" s="129"/>
      <c r="C154" s="129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spans="2:26" ht="15" hidden="1" customHeight="1">
      <c r="B155" s="129"/>
      <c r="C155" s="129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</row>
    <row r="156" spans="2:26" ht="15" hidden="1" customHeight="1">
      <c r="B156" s="129"/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spans="2:26" ht="15" hidden="1" customHeight="1">
      <c r="B157" s="129"/>
      <c r="C157" s="129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spans="2:26" ht="15" hidden="1" customHeight="1">
      <c r="B158" s="129"/>
      <c r="C158" s="129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</row>
    <row r="159" spans="2:26" ht="15" hidden="1" customHeight="1">
      <c r="B159" s="129"/>
      <c r="C159" s="129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</row>
    <row r="160" spans="2:26" ht="15" hidden="1" customHeight="1">
      <c r="B160" s="129"/>
      <c r="C160" s="129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</row>
    <row r="161" spans="2:26" ht="15" hidden="1" customHeight="1">
      <c r="B161" s="129"/>
      <c r="C161" s="129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</row>
    <row r="162" spans="2:26" ht="15" hidden="1" customHeight="1">
      <c r="B162" s="129"/>
      <c r="C162" s="129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</row>
    <row r="163" spans="2:26" ht="15" hidden="1" customHeight="1">
      <c r="B163" s="129"/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</row>
    <row r="164" spans="2:26" ht="15" hidden="1" customHeight="1">
      <c r="B164" s="129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</row>
    <row r="165" spans="2:26" ht="15" hidden="1" customHeight="1">
      <c r="B165" s="129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</row>
    <row r="166" spans="2:26" ht="15" hidden="1" customHeight="1">
      <c r="B166" s="129"/>
      <c r="C166" s="129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</row>
    <row r="167" spans="2:26" ht="15" hidden="1" customHeight="1">
      <c r="B167" s="129"/>
      <c r="C167" s="129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</row>
    <row r="168" spans="2:26" ht="15" hidden="1" customHeight="1">
      <c r="B168" s="129"/>
      <c r="C168" s="129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</row>
    <row r="169" spans="2:26" ht="15" hidden="1" customHeight="1">
      <c r="B169" s="129"/>
      <c r="C169" s="129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</row>
    <row r="170" spans="2:26" ht="15" hidden="1" customHeight="1">
      <c r="B170" s="129"/>
      <c r="C170" s="129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</row>
    <row r="171" spans="2:26" ht="15" hidden="1" customHeight="1">
      <c r="B171" s="129"/>
      <c r="C171" s="129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</row>
    <row r="172" spans="2:26" ht="15" hidden="1" customHeight="1">
      <c r="B172" s="129"/>
      <c r="C172" s="129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</row>
    <row r="173" spans="2:26" ht="15" hidden="1" customHeight="1">
      <c r="B173" s="129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</row>
    <row r="174" spans="2:26" ht="15" hidden="1" customHeight="1">
      <c r="B174" s="129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</row>
    <row r="175" spans="2:26" ht="15" hidden="1" customHeight="1">
      <c r="B175" s="129"/>
      <c r="C175" s="129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</row>
    <row r="176" spans="2:26" ht="15" hidden="1" customHeight="1">
      <c r="B176" s="129"/>
      <c r="C176" s="129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</row>
    <row r="177" spans="2:26" ht="15" hidden="1" customHeight="1"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</row>
    <row r="178" spans="2:26" ht="15" hidden="1" customHeight="1">
      <c r="B178" s="129"/>
      <c r="C178" s="129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</row>
    <row r="179" spans="2:26" ht="15" hidden="1" customHeight="1"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</row>
    <row r="180" spans="2:26" ht="15" hidden="1" customHeight="1">
      <c r="B180" s="129"/>
      <c r="C180" s="129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</row>
    <row r="181" spans="2:26" ht="15" hidden="1" customHeight="1"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</row>
    <row r="182" spans="2:26" ht="15" hidden="1" customHeight="1">
      <c r="B182" s="129"/>
      <c r="C182" s="129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</row>
    <row r="183" spans="2:26" ht="15" hidden="1" customHeight="1">
      <c r="B183" s="129"/>
      <c r="C183" s="129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</row>
    <row r="184" spans="2:26" ht="15" hidden="1" customHeight="1">
      <c r="B184" s="129"/>
      <c r="C184" s="129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</row>
    <row r="185" spans="2:26" ht="15" hidden="1" customHeight="1">
      <c r="B185" s="129"/>
      <c r="C185" s="129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</row>
    <row r="186" spans="2:26" ht="15" hidden="1" customHeight="1">
      <c r="B186" s="129"/>
      <c r="C186" s="129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</row>
    <row r="187" spans="2:26" ht="15" hidden="1" customHeight="1">
      <c r="B187" s="129"/>
      <c r="C187" s="129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</row>
    <row r="188" spans="2:26" ht="15" hidden="1" customHeight="1">
      <c r="B188" s="129"/>
      <c r="C188" s="129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</row>
    <row r="189" spans="2:26" ht="15" hidden="1" customHeight="1">
      <c r="B189" s="129"/>
      <c r="C189" s="129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</row>
    <row r="190" spans="2:26" ht="15" hidden="1" customHeight="1">
      <c r="B190" s="129"/>
      <c r="C190" s="129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</row>
    <row r="191" spans="2:26" ht="15" hidden="1" customHeight="1">
      <c r="B191" s="129"/>
      <c r="C191" s="129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</row>
    <row r="192" spans="2:26" ht="15" hidden="1" customHeight="1">
      <c r="B192" s="129"/>
      <c r="C192" s="129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</row>
    <row r="193" spans="2:26" ht="15" hidden="1" customHeight="1">
      <c r="B193" s="129"/>
      <c r="C193" s="129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</row>
    <row r="194" spans="2:26" ht="15" hidden="1" customHeight="1">
      <c r="B194" s="129"/>
      <c r="C194" s="129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</row>
    <row r="195" spans="2:26" ht="15" hidden="1" customHeight="1">
      <c r="B195" s="129"/>
      <c r="C195" s="129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</row>
    <row r="196" spans="2:26" ht="15" hidden="1" customHeight="1">
      <c r="B196" s="129"/>
      <c r="C196" s="129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</row>
    <row r="197" spans="2:26" ht="15" hidden="1" customHeight="1">
      <c r="B197" s="129"/>
      <c r="C197" s="129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</row>
    <row r="198" spans="2:26" ht="15" hidden="1" customHeight="1">
      <c r="B198" s="129"/>
      <c r="C198" s="129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</row>
    <row r="199" spans="2:26" ht="15" hidden="1" customHeight="1">
      <c r="B199" s="129"/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</row>
    <row r="200" spans="2:26" ht="15" hidden="1" customHeight="1">
      <c r="B200" s="129"/>
      <c r="C200" s="129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</row>
    <row r="201" spans="2:26" ht="15" hidden="1" customHeight="1">
      <c r="B201" s="129"/>
      <c r="C201" s="129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</row>
    <row r="202" spans="2:26" ht="15" hidden="1" customHeight="1">
      <c r="B202" s="129"/>
      <c r="C202" s="129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</row>
    <row r="203" spans="2:26" ht="15" hidden="1" customHeight="1">
      <c r="B203" s="129"/>
      <c r="C203" s="129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</row>
    <row r="204" spans="2:26" ht="15" hidden="1" customHeight="1">
      <c r="B204" s="129"/>
      <c r="C204" s="129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</row>
    <row r="205" spans="2:26" ht="15" hidden="1" customHeight="1"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</row>
    <row r="206" spans="2:26" ht="15" hidden="1" customHeight="1">
      <c r="B206" s="129"/>
      <c r="C206" s="129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</row>
    <row r="207" spans="2:26" ht="15" hidden="1" customHeight="1"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</row>
    <row r="208" spans="2:26" ht="15" hidden="1" customHeight="1">
      <c r="B208" s="129"/>
      <c r="C208" s="129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</row>
    <row r="209" spans="2:26" ht="15" hidden="1" customHeight="1">
      <c r="B209" s="129"/>
      <c r="C209" s="129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</row>
    <row r="210" spans="2:26" ht="15" hidden="1" customHeight="1">
      <c r="B210" s="129"/>
      <c r="C210" s="129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</row>
    <row r="211" spans="2:26" ht="15" hidden="1" customHeight="1">
      <c r="B211" s="129"/>
      <c r="C211" s="129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</row>
    <row r="212" spans="2:26" ht="15" hidden="1" customHeight="1">
      <c r="B212" s="129"/>
      <c r="C212" s="129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</row>
    <row r="213" spans="2:26" ht="15" hidden="1" customHeight="1">
      <c r="B213" s="129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</row>
    <row r="214" spans="2:26" ht="15" hidden="1" customHeight="1">
      <c r="B214" s="129"/>
      <c r="C214" s="129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</row>
    <row r="215" spans="2:26" ht="15" hidden="1" customHeight="1">
      <c r="B215" s="129"/>
      <c r="C215" s="129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</row>
    <row r="216" spans="2:26" ht="15" hidden="1" customHeight="1">
      <c r="B216" s="129"/>
      <c r="C216" s="129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</row>
    <row r="217" spans="2:26" ht="15" hidden="1" customHeight="1">
      <c r="B217" s="129"/>
      <c r="C217" s="129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</row>
    <row r="218" spans="2:26" ht="15" hidden="1" customHeight="1">
      <c r="B218" s="129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</row>
    <row r="219" spans="2:26" ht="15" hidden="1" customHeight="1">
      <c r="B219" s="129"/>
      <c r="C219" s="129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</row>
    <row r="220" spans="2:26" ht="15" hidden="1" customHeight="1"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</row>
    <row r="221" spans="2:26" ht="15" hidden="1" customHeight="1">
      <c r="B221" s="129"/>
      <c r="C221" s="129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</row>
    <row r="222" spans="2:26" ht="15" hidden="1" customHeight="1">
      <c r="B222" s="129"/>
      <c r="C222" s="129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</row>
    <row r="223" spans="2:26" ht="15" hidden="1" customHeight="1"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</row>
    <row r="224" spans="2:26" ht="15" hidden="1" customHeight="1">
      <c r="B224" s="129"/>
      <c r="C224" s="129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</row>
    <row r="225" spans="2:26" ht="15" hidden="1" customHeight="1">
      <c r="B225" s="129"/>
      <c r="C225" s="129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</row>
    <row r="226" spans="2:26" ht="15" hidden="1" customHeight="1">
      <c r="B226" s="129"/>
      <c r="C226" s="129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</row>
    <row r="227" spans="2:26" ht="15" hidden="1" customHeight="1">
      <c r="B227" s="129"/>
      <c r="C227" s="129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</row>
    <row r="228" spans="2:26" ht="15" hidden="1" customHeight="1">
      <c r="B228" s="129"/>
      <c r="C228" s="129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</row>
    <row r="229" spans="2:26" ht="15" hidden="1" customHeight="1">
      <c r="B229" s="129"/>
      <c r="C229" s="129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</row>
    <row r="230" spans="2:26" ht="15" hidden="1" customHeight="1">
      <c r="B230" s="129"/>
      <c r="C230" s="129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</row>
    <row r="231" spans="2:26" ht="15" hidden="1" customHeight="1">
      <c r="B231" s="129"/>
      <c r="C231" s="129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</row>
    <row r="232" spans="2:26" ht="15" hidden="1" customHeight="1">
      <c r="B232" s="129"/>
      <c r="C232" s="129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</row>
    <row r="233" spans="2:26" ht="15" hidden="1" customHeight="1">
      <c r="B233" s="129"/>
      <c r="C233" s="129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</row>
    <row r="234" spans="2:26" ht="15" hidden="1" customHeight="1">
      <c r="B234" s="129"/>
      <c r="C234" s="129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</row>
    <row r="235" spans="2:26" ht="15" hidden="1" customHeight="1">
      <c r="B235" s="129"/>
      <c r="C235" s="129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</row>
    <row r="236" spans="2:26" ht="15" hidden="1" customHeight="1">
      <c r="B236" s="129"/>
      <c r="C236" s="129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</row>
    <row r="237" spans="2:26" ht="15" hidden="1" customHeight="1">
      <c r="B237" s="129"/>
      <c r="C237" s="129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</row>
    <row r="238" spans="2:26" ht="15" hidden="1" customHeight="1">
      <c r="B238" s="129"/>
      <c r="C238" s="129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</row>
    <row r="239" spans="2:26" ht="15" hidden="1" customHeight="1">
      <c r="B239" s="129"/>
      <c r="C239" s="129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</row>
    <row r="240" spans="2:26" ht="15" hidden="1" customHeight="1"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</row>
    <row r="241" spans="2:26" ht="15" hidden="1" customHeight="1"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</row>
    <row r="242" spans="2:26" ht="15" hidden="1" customHeight="1">
      <c r="B242" s="129"/>
      <c r="C242" s="129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</row>
    <row r="243" spans="2:26" ht="15" hidden="1" customHeight="1"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</row>
    <row r="244" spans="2:26" ht="15" hidden="1" customHeight="1">
      <c r="B244" s="129"/>
      <c r="C244" s="129"/>
      <c r="D244" s="129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</row>
    <row r="245" spans="2:26" ht="15" hidden="1" customHeight="1"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</row>
    <row r="246" spans="2:26" ht="15" hidden="1" customHeight="1">
      <c r="B246" s="129"/>
      <c r="C246" s="129"/>
      <c r="D246" s="129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</row>
    <row r="247" spans="2:26" ht="15" hidden="1" customHeight="1">
      <c r="B247" s="129"/>
      <c r="C247" s="129"/>
      <c r="D247" s="129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</row>
    <row r="248" spans="2:26" ht="15" hidden="1" customHeight="1"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</row>
    <row r="249" spans="2:26" ht="15" hidden="1" customHeight="1"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</row>
    <row r="250" spans="2:26" ht="15" hidden="1" customHeight="1">
      <c r="B250" s="129"/>
      <c r="C250" s="129"/>
      <c r="D250" s="129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</row>
    <row r="251" spans="2:26" ht="15" hidden="1" customHeight="1"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</row>
    <row r="252" spans="2:26" ht="15" hidden="1" customHeight="1"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</row>
    <row r="253" spans="2:26" ht="15" hidden="1" customHeight="1"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</row>
    <row r="254" spans="2:26" ht="15" hidden="1" customHeight="1">
      <c r="B254" s="129"/>
      <c r="C254" s="129"/>
      <c r="D254" s="129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</row>
    <row r="255" spans="2:26" ht="15" hidden="1" customHeight="1"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</row>
    <row r="256" spans="2:26" ht="15" hidden="1" customHeight="1"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</row>
    <row r="257" spans="2:26" ht="15" hidden="1" customHeight="1">
      <c r="B257" s="129"/>
      <c r="C257" s="129"/>
      <c r="D257" s="129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</row>
    <row r="258" spans="2:26" ht="15" hidden="1" customHeight="1">
      <c r="B258" s="129"/>
      <c r="C258" s="129"/>
      <c r="D258" s="129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</row>
    <row r="259" spans="2:26" ht="15" hidden="1" customHeight="1"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</row>
    <row r="260" spans="2:26" ht="15" hidden="1" customHeight="1">
      <c r="B260" s="129"/>
      <c r="C260" s="129"/>
      <c r="D260" s="129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</row>
    <row r="261" spans="2:26" ht="15" hidden="1" customHeight="1">
      <c r="B261" s="129"/>
      <c r="C261" s="129"/>
      <c r="D261" s="129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</row>
    <row r="262" spans="2:26" ht="15" hidden="1" customHeight="1">
      <c r="B262" s="129"/>
      <c r="C262" s="129"/>
      <c r="D262" s="129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</row>
    <row r="263" spans="2:26" ht="15" hidden="1" customHeight="1"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</row>
    <row r="264" spans="2:26" ht="15" hidden="1" customHeight="1">
      <c r="B264" s="129"/>
      <c r="C264" s="129"/>
      <c r="D264" s="129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</row>
    <row r="265" spans="2:26" ht="15" hidden="1" customHeight="1">
      <c r="B265" s="129"/>
      <c r="C265" s="129"/>
      <c r="D265" s="129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</row>
    <row r="266" spans="2:26" ht="15" hidden="1" customHeight="1">
      <c r="B266" s="129"/>
      <c r="C266" s="129"/>
      <c r="D266" s="129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</row>
    <row r="267" spans="2:26" ht="15" hidden="1" customHeight="1"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 spans="2:26" ht="15" hidden="1" customHeight="1"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</row>
    <row r="269" spans="2:26" ht="15" hidden="1" customHeight="1"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</row>
    <row r="270" spans="2:26" ht="15" hidden="1" customHeight="1">
      <c r="B270" s="129"/>
      <c r="C270" s="129"/>
      <c r="D270" s="129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</row>
    <row r="271" spans="2:26" ht="15" hidden="1" customHeight="1"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</row>
    <row r="272" spans="2:26" ht="15" hidden="1" customHeight="1">
      <c r="B272" s="129"/>
      <c r="C272" s="129"/>
      <c r="D272" s="129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</row>
    <row r="273" spans="2:26" ht="15" hidden="1" customHeight="1"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  <row r="274" spans="2:26" ht="15" hidden="1" customHeight="1">
      <c r="B274" s="129"/>
      <c r="C274" s="129"/>
      <c r="D274" s="129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</row>
    <row r="275" spans="2:26" ht="15" hidden="1" customHeight="1"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</row>
    <row r="276" spans="2:26" ht="15" hidden="1" customHeight="1"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</row>
    <row r="277" spans="2:26" ht="15" hidden="1" customHeight="1"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</row>
    <row r="278" spans="2:26" ht="15" hidden="1" customHeight="1"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</row>
    <row r="279" spans="2:26" ht="15" hidden="1" customHeight="1"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</row>
    <row r="280" spans="2:26" ht="15" hidden="1" customHeight="1"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 spans="2:26" ht="15" hidden="1" customHeight="1">
      <c r="B281" s="129"/>
      <c r="C281" s="129"/>
      <c r="D281" s="129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</row>
    <row r="282" spans="2:26" ht="15" hidden="1" customHeight="1">
      <c r="B282" s="129"/>
      <c r="C282" s="129"/>
      <c r="D282" s="129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</row>
    <row r="283" spans="2:26" ht="15" hidden="1" customHeight="1"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 spans="2:26" ht="15" hidden="1" customHeight="1"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</row>
    <row r="285" spans="2:26" ht="15" hidden="1" customHeight="1"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</row>
    <row r="286" spans="2:26" ht="15" hidden="1" customHeight="1"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</row>
    <row r="287" spans="2:26" ht="15" hidden="1" customHeight="1"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</row>
    <row r="288" spans="2:26" ht="15" hidden="1" customHeight="1"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</row>
    <row r="289" spans="2:26" ht="15" hidden="1" customHeight="1"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</row>
    <row r="290" spans="2:26" ht="15" hidden="1" customHeight="1">
      <c r="B290" s="129"/>
      <c r="C290" s="129"/>
      <c r="D290" s="129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 spans="2:26" ht="15" hidden="1" customHeight="1"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 spans="2:26" ht="15" hidden="1" customHeight="1"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 spans="2:26" ht="15" hidden="1" customHeight="1"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 spans="2:26" ht="15" hidden="1" customHeight="1"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 spans="2:26" ht="15" hidden="1" customHeight="1"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 spans="2:26" ht="15" hidden="1" customHeight="1"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 spans="2:26" ht="15" hidden="1" customHeight="1"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 spans="2:26" ht="15" hidden="1" customHeight="1"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 spans="2:26" ht="15" hidden="1" customHeight="1"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 spans="2:26" ht="15" hidden="1" customHeight="1"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 spans="2:26" ht="15" hidden="1" customHeight="1"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 spans="2:26" ht="15" hidden="1" customHeight="1"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 spans="2:26" ht="15" hidden="1" customHeight="1"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 spans="2:26" ht="15" hidden="1" customHeight="1"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 spans="2:26" ht="15" hidden="1" customHeight="1"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 spans="2:26" ht="15" hidden="1" customHeight="1"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 spans="2:26" ht="15" hidden="1" customHeight="1"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 spans="2:26" ht="15" hidden="1" customHeight="1"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 spans="2:26" ht="15" hidden="1" customHeight="1"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 spans="2:26" ht="15" hidden="1" customHeight="1"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 spans="2:26" ht="15" hidden="1" customHeight="1"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 spans="2:26" ht="15" hidden="1" customHeight="1"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 spans="2:26" ht="15" hidden="1" customHeight="1"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 spans="2:26" ht="15" hidden="1" customHeight="1"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 spans="2:26" ht="15" hidden="1" customHeight="1"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 spans="2:26" ht="15" hidden="1" customHeight="1"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 spans="2:26" ht="15" hidden="1" customHeight="1"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 spans="2:26" ht="15" hidden="1" customHeight="1"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 spans="2:26" ht="15" hidden="1" customHeight="1"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 spans="2:26" ht="15" hidden="1" customHeight="1"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 spans="2:26" ht="15" hidden="1" customHeight="1"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 spans="2:26" ht="15" hidden="1" customHeight="1"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 spans="2:26" ht="15" hidden="1" customHeight="1"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 spans="2:26" ht="15" hidden="1" customHeight="1"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 spans="2:26" ht="15" hidden="1" customHeight="1"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 spans="2:26" ht="15" hidden="1" customHeight="1"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 spans="2:26" ht="15" hidden="1" customHeight="1">
      <c r="B327" s="129"/>
      <c r="C327" s="129"/>
      <c r="D327" s="129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 spans="2:26" ht="15" hidden="1" customHeight="1">
      <c r="B328" s="129"/>
      <c r="C328" s="129"/>
      <c r="D328" s="129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 spans="2:26" ht="15" hidden="1" customHeight="1"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 spans="2:26" ht="15" hidden="1" customHeight="1">
      <c r="B330" s="129"/>
      <c r="C330" s="129"/>
      <c r="D330" s="129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 spans="2:26" ht="15" hidden="1" customHeight="1">
      <c r="B331" s="129"/>
      <c r="C331" s="129"/>
      <c r="D331" s="129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 spans="2:26" ht="15" hidden="1" customHeight="1">
      <c r="B332" s="129"/>
      <c r="C332" s="129"/>
      <c r="D332" s="129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 spans="2:26" ht="15" hidden="1" customHeight="1"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 spans="2:26" ht="15" hidden="1" customHeight="1">
      <c r="B334" s="129"/>
      <c r="C334" s="129"/>
      <c r="D334" s="129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 spans="2:26" ht="15" hidden="1" customHeight="1">
      <c r="B335" s="129"/>
      <c r="C335" s="129"/>
      <c r="D335" s="129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 spans="2:26" ht="15" hidden="1" customHeight="1">
      <c r="B336" s="129"/>
      <c r="C336" s="129"/>
      <c r="D336" s="129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 spans="2:26" ht="15" hidden="1" customHeight="1"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 spans="2:26" ht="15" hidden="1" customHeight="1">
      <c r="B338" s="129"/>
      <c r="C338" s="129"/>
      <c r="D338" s="129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 spans="2:26" ht="15" hidden="1" customHeight="1">
      <c r="B339" s="129"/>
      <c r="C339" s="129"/>
      <c r="D339" s="129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 spans="2:26" ht="15" hidden="1" customHeight="1"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 spans="2:26" ht="15" hidden="1" customHeight="1">
      <c r="B341" s="129"/>
      <c r="C341" s="129"/>
      <c r="D341" s="129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 spans="2:26" ht="15" hidden="1" customHeight="1">
      <c r="B342" s="129"/>
      <c r="C342" s="129"/>
      <c r="D342" s="129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 spans="2:26" ht="15" hidden="1" customHeight="1">
      <c r="B343" s="129"/>
      <c r="C343" s="129"/>
      <c r="D343" s="129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 spans="2:26" ht="15" hidden="1" customHeight="1">
      <c r="B344" s="129"/>
      <c r="C344" s="129"/>
      <c r="D344" s="129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 spans="2:26" ht="15" hidden="1" customHeight="1"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 spans="2:26" ht="15" hidden="1" customHeight="1"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 spans="2:26" ht="15" hidden="1" customHeight="1">
      <c r="B347" s="129"/>
      <c r="C347" s="129"/>
      <c r="D347" s="129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 spans="2:26" ht="15" hidden="1" customHeight="1">
      <c r="B348" s="129"/>
      <c r="C348" s="129"/>
      <c r="D348" s="129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 spans="2:26" ht="15" hidden="1" customHeight="1"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 spans="2:26" ht="15" hidden="1" customHeight="1">
      <c r="B350" s="129"/>
      <c r="C350" s="129"/>
      <c r="D350" s="129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 spans="2:26" ht="15" hidden="1" customHeight="1">
      <c r="B351" s="129"/>
      <c r="C351" s="129"/>
      <c r="D351" s="129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 spans="2:26" ht="15" hidden="1" customHeight="1">
      <c r="B352" s="129"/>
      <c r="C352" s="129"/>
      <c r="D352" s="129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 spans="2:26" ht="15" hidden="1" customHeight="1"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 spans="2:26" ht="15" hidden="1" customHeight="1">
      <c r="B354" s="129"/>
      <c r="C354" s="129"/>
      <c r="D354" s="129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 spans="2:26" ht="15" hidden="1" customHeight="1">
      <c r="B355" s="129"/>
      <c r="C355" s="129"/>
      <c r="D355" s="129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 spans="2:26" ht="15" hidden="1" customHeight="1">
      <c r="B356" s="129"/>
      <c r="C356" s="129"/>
      <c r="D356" s="129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 spans="2:26" ht="15" hidden="1" customHeight="1">
      <c r="B357" s="129"/>
      <c r="C357" s="129"/>
      <c r="D357" s="129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 spans="2:26" ht="15" hidden="1" customHeight="1">
      <c r="B358" s="129"/>
      <c r="C358" s="129"/>
      <c r="D358" s="129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 spans="2:26" ht="15" hidden="1" customHeight="1">
      <c r="B359" s="129"/>
      <c r="C359" s="129"/>
      <c r="D359" s="129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 spans="2:26" ht="15" hidden="1" customHeight="1"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 spans="2:26" ht="15" hidden="1" customHeight="1">
      <c r="B361" s="129"/>
      <c r="C361" s="129"/>
      <c r="D361" s="129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 spans="2:26" ht="15" hidden="1" customHeight="1">
      <c r="B362" s="129"/>
      <c r="C362" s="129"/>
      <c r="D362" s="129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 spans="2:26" ht="15" hidden="1" customHeight="1">
      <c r="B363" s="129"/>
      <c r="C363" s="129"/>
      <c r="D363" s="129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 spans="2:26" ht="15" hidden="1" customHeight="1">
      <c r="B364" s="129"/>
      <c r="C364" s="129"/>
      <c r="D364" s="129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 spans="2:26" ht="15" hidden="1" customHeight="1">
      <c r="B365" s="129"/>
      <c r="C365" s="129"/>
      <c r="D365" s="129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 spans="2:26" ht="15" hidden="1" customHeight="1"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 spans="2:26" ht="15" hidden="1" customHeight="1"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 spans="2:26" ht="15" hidden="1" customHeight="1"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 spans="2:26" ht="15" hidden="1" customHeight="1"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 spans="2:26" ht="15" hidden="1" customHeight="1"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 spans="2:26" ht="15" hidden="1" customHeight="1"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 spans="2:26" ht="15" hidden="1" customHeight="1"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 spans="2:26" ht="15" hidden="1" customHeight="1"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 spans="2:26" ht="15" hidden="1" customHeight="1"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 spans="2:26" ht="15" hidden="1" customHeight="1"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 spans="2:26" ht="15" hidden="1" customHeight="1"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 spans="2:26" ht="15" hidden="1" customHeight="1"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 spans="2:26" ht="15" hidden="1" customHeight="1"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 spans="2:26" ht="15" hidden="1" customHeight="1"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 spans="2:26" ht="15" hidden="1" customHeight="1"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 spans="2:26" ht="15" hidden="1" customHeight="1"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 spans="2:26" ht="15" hidden="1" customHeight="1"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 spans="2:26" ht="15" hidden="1" customHeight="1"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 spans="2:26" ht="15" hidden="1" customHeight="1"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 spans="2:26" ht="15" hidden="1" customHeight="1"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 spans="2:26" ht="15" hidden="1" customHeight="1"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 spans="2:26" ht="15" hidden="1" customHeight="1"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 spans="2:26" ht="15" hidden="1" customHeight="1"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 spans="2:26" ht="15" hidden="1" customHeight="1"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 spans="2:26" ht="15" hidden="1" customHeight="1"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 spans="2:26" ht="15" hidden="1" customHeight="1"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 spans="2:26" ht="15" hidden="1" customHeight="1"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 spans="2:26" ht="15" hidden="1" customHeight="1"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 spans="2:26" ht="15" hidden="1" customHeight="1"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 spans="2:26" ht="15" hidden="1" customHeight="1"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 spans="2:26" ht="15" hidden="1" customHeight="1"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 spans="2:26" ht="15" hidden="1" customHeight="1"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 spans="2:26" ht="15" hidden="1" customHeight="1"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 spans="2:26" ht="15" hidden="1" customHeight="1"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 spans="2:26" ht="15" hidden="1" customHeight="1"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 spans="2:26" ht="15" hidden="1" customHeight="1"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 spans="2:26" ht="15" hidden="1" customHeight="1"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 spans="2:26" ht="15" hidden="1" customHeight="1"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 spans="2:26" ht="15" hidden="1" customHeight="1"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 spans="2:26" ht="15" hidden="1" customHeight="1"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 spans="2:26" ht="15" hidden="1" customHeight="1"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 spans="2:26" ht="15" hidden="1" customHeight="1"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 spans="2:26" ht="15" hidden="1" customHeight="1"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 spans="2:26" ht="15" hidden="1" customHeight="1"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 spans="2:26" ht="15" hidden="1" customHeight="1"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 spans="2:26" ht="15" hidden="1" customHeight="1"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 spans="2:26" ht="15" hidden="1" customHeight="1"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 spans="2:26" ht="15" hidden="1" customHeight="1"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 spans="2:26" ht="15" hidden="1" customHeight="1"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 spans="2:26" ht="15" hidden="1" customHeight="1"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 spans="2:26" ht="15" hidden="1" customHeight="1"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 spans="2:26" ht="15" hidden="1" customHeight="1"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 spans="2:26" ht="15" hidden="1" customHeight="1"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 spans="2:26" ht="15" hidden="1" customHeight="1"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 spans="2:26" ht="15" hidden="1" customHeight="1"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 spans="2:26" ht="15" hidden="1" customHeight="1"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 spans="2:26" ht="15" hidden="1" customHeight="1"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 spans="2:26" ht="15" hidden="1" customHeight="1"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 spans="2:26" ht="15" hidden="1" customHeight="1"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 spans="2:26" ht="15" hidden="1" customHeight="1"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 spans="2:26" ht="15" hidden="1" customHeight="1"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 spans="2:26" ht="15" hidden="1" customHeight="1"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 spans="2:26" ht="15" hidden="1" customHeight="1"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 spans="2:26" ht="15" hidden="1" customHeight="1"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 spans="2:26" ht="15" hidden="1" customHeight="1"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 spans="2:26" ht="15" hidden="1" customHeight="1"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 spans="2:26" ht="15" hidden="1" customHeight="1"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 spans="2:26" ht="15" hidden="1" customHeight="1"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 spans="2:26" ht="15" hidden="1" customHeight="1"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 spans="2:26" ht="15" hidden="1" customHeight="1"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 spans="2:26" ht="15" hidden="1" customHeight="1"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 spans="2:26" ht="15" hidden="1" customHeight="1"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 spans="2:26" ht="15" hidden="1" customHeight="1"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 spans="2:26" ht="15" hidden="1" customHeight="1"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 spans="2:26" ht="15" hidden="1" customHeight="1"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 spans="2:26" ht="15" hidden="1" customHeight="1"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 spans="2:26" ht="15" hidden="1" customHeight="1"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 spans="2:26" ht="15" hidden="1" customHeight="1"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 spans="2:26" ht="15" hidden="1" customHeight="1"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 spans="2:26" ht="15" hidden="1" customHeight="1"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 spans="2:26" ht="15" hidden="1" customHeight="1"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 spans="2:26" ht="15" hidden="1" customHeight="1"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 spans="2:26" ht="15" hidden="1" customHeight="1"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 spans="2:26" ht="15" hidden="1" customHeight="1"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 spans="2:26" ht="15" hidden="1" customHeight="1"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 spans="2:26" ht="15" hidden="1" customHeight="1"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 spans="2:26" ht="15" hidden="1" customHeight="1"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 spans="2:26" ht="15" hidden="1" customHeight="1"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 spans="2:26" ht="15" hidden="1" customHeight="1"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 spans="2:26" ht="15" hidden="1" customHeight="1"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 spans="2:26" ht="15" hidden="1" customHeight="1"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 spans="2:26" ht="15" hidden="1" customHeight="1"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 spans="2:26" ht="15" hidden="1" customHeight="1"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 spans="2:26" ht="15" hidden="1" customHeight="1"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 spans="2:26" ht="15" hidden="1" customHeight="1"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 spans="2:26" ht="15" hidden="1" customHeight="1"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 spans="2:26" ht="15" hidden="1" customHeight="1"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 spans="2:26" ht="15" hidden="1" customHeight="1"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 spans="2:26" ht="15" hidden="1" customHeight="1"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 spans="2:26" ht="15" hidden="1" customHeight="1"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 spans="2:26" ht="15" hidden="1" customHeight="1"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 spans="2:26" ht="15" hidden="1" customHeight="1"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 spans="2:26" ht="15" hidden="1" customHeight="1"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 spans="2:26" ht="15" hidden="1" customHeight="1"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 spans="2:26" ht="15" hidden="1" customHeight="1"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 spans="2:26" ht="15" hidden="1" customHeight="1"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 spans="2:26" ht="15" hidden="1" customHeight="1"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 spans="2:26" ht="15" hidden="1" customHeight="1"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 spans="2:26" ht="15" hidden="1" customHeight="1"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 spans="2:26" ht="15" hidden="1" customHeight="1"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 spans="2:26" ht="15" hidden="1" customHeight="1"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 spans="2:26" ht="15" hidden="1" customHeight="1"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 spans="2:26" ht="15" hidden="1" customHeight="1"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 spans="2:26" ht="15" hidden="1" customHeight="1"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 spans="2:26" ht="15" hidden="1" customHeight="1"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 spans="2:26" ht="15" hidden="1" customHeight="1"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 spans="2:26" ht="15" hidden="1" customHeight="1"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 spans="2:26" ht="15" hidden="1" customHeight="1"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 spans="2:26" ht="15" hidden="1" customHeight="1"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 spans="2:26" ht="15" hidden="1" customHeight="1"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 spans="2:26" ht="15" hidden="1" customHeight="1"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 spans="2:26" ht="15" hidden="1" customHeight="1"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 spans="2:26" ht="15" hidden="1" customHeight="1"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 spans="2:26" ht="15" hidden="1" customHeight="1"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 spans="2:26" ht="15" hidden="1" customHeight="1"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 spans="2:26" ht="15" hidden="1" customHeight="1"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 spans="2:26" ht="15" hidden="1" customHeight="1"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 spans="2:26" ht="15" hidden="1" customHeight="1"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 spans="2:26" ht="15" hidden="1" customHeight="1"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 spans="2:26" ht="15" hidden="1" customHeight="1"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 spans="2:26" ht="15" hidden="1" customHeight="1"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 spans="2:26" ht="15" hidden="1" customHeight="1"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 spans="2:26" ht="15" hidden="1" customHeight="1"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 spans="2:26" ht="15" hidden="1" customHeight="1"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 spans="2:26" ht="15" hidden="1" customHeight="1"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 spans="2:26" ht="15" hidden="1" customHeight="1"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 spans="2:26" ht="15" hidden="1" customHeight="1"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 spans="2:26" ht="15" hidden="1" customHeight="1"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 spans="2:26" ht="15" hidden="1" customHeight="1"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 spans="2:26" ht="15" hidden="1" customHeight="1"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 spans="2:26" ht="15" hidden="1" customHeight="1"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 spans="2:26" ht="15" hidden="1" customHeight="1"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 spans="2:26" ht="15" hidden="1" customHeight="1"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 spans="2:26" ht="15" hidden="1" customHeight="1"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 spans="2:26" ht="15" hidden="1" customHeight="1"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 spans="2:26" ht="15" hidden="1" customHeight="1"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 spans="2:26" ht="15" hidden="1" customHeight="1"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 spans="2:26" ht="15" hidden="1" customHeight="1"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 spans="2:26" ht="15" hidden="1" customHeight="1"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 spans="2:26" ht="15" hidden="1" customHeight="1"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 spans="2:26" ht="15" hidden="1" customHeight="1"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 spans="2:26" ht="15" hidden="1" customHeight="1"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 spans="2:26" ht="15" hidden="1" customHeight="1"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 spans="2:26" ht="15" hidden="1" customHeight="1"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 spans="2:26" ht="15" hidden="1" customHeight="1"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 spans="2:26" ht="15" hidden="1" customHeight="1"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 spans="2:26" ht="15" hidden="1" customHeight="1"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 spans="2:26" ht="15" hidden="1" customHeight="1"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 spans="2:26" ht="15" hidden="1" customHeight="1"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 spans="2:26" ht="15" hidden="1" customHeight="1"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 spans="2:26" ht="15" hidden="1" customHeight="1"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 spans="2:26" ht="15" hidden="1" customHeight="1"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 spans="2:26" ht="15" hidden="1" customHeight="1"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 spans="2:26" ht="15" hidden="1" customHeight="1"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 spans="2:26" ht="15" hidden="1" customHeight="1"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 spans="2:26" ht="15" hidden="1" customHeight="1"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 spans="2:26" ht="15" hidden="1" customHeight="1"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 spans="2:26" ht="15" hidden="1" customHeight="1"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 spans="2:26" ht="15" hidden="1" customHeight="1"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 spans="2:26" ht="15" hidden="1" customHeight="1"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 spans="2:26" ht="15" hidden="1" customHeight="1"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 spans="2:26" ht="15" hidden="1" customHeight="1"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 spans="2:26" ht="15" hidden="1" customHeight="1"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 spans="2:26" ht="15" hidden="1" customHeight="1"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 spans="2:26" ht="15" hidden="1" customHeight="1"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 spans="2:26" ht="15" hidden="1" customHeight="1"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 spans="2:26" ht="15" hidden="1" customHeight="1"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 spans="2:26" ht="15" hidden="1" customHeight="1"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 spans="2:26" ht="15" hidden="1" customHeight="1"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 spans="2:26" ht="15" hidden="1" customHeight="1"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 spans="2:26" ht="15" hidden="1" customHeight="1"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 spans="2:26" ht="15" hidden="1" customHeight="1"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 spans="2:26" ht="15" hidden="1" customHeight="1"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 spans="2:26" ht="15" hidden="1" customHeight="1"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 spans="2:26" ht="15" hidden="1" customHeight="1"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 spans="2:26" ht="15" hidden="1" customHeight="1"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 spans="2:26" ht="15" hidden="1" customHeight="1"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 spans="2:26" ht="15" hidden="1" customHeight="1"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 spans="2:26" ht="15" hidden="1" customHeight="1"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 spans="2:26" ht="15" hidden="1" customHeight="1"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 spans="2:26" ht="15" hidden="1" customHeight="1"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 spans="2:26" ht="15" hidden="1" customHeight="1"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 spans="2:26" ht="15" hidden="1" customHeight="1"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 spans="2:26" ht="15" hidden="1" customHeight="1"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 spans="2:26" ht="15" hidden="1" customHeight="1"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 spans="2:26" ht="15" hidden="1" customHeight="1"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 spans="2:26" ht="15" hidden="1" customHeight="1"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 spans="2:26" ht="15" hidden="1" customHeight="1"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 spans="2:26" ht="15" hidden="1" customHeight="1"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 spans="2:26" ht="15" hidden="1" customHeight="1"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 spans="2:26" ht="15" hidden="1" customHeight="1"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 spans="2:26" ht="15" hidden="1" customHeight="1"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 spans="2:26" ht="15" hidden="1" customHeight="1"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 spans="2:26" ht="15" hidden="1" customHeight="1"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 spans="2:26" ht="15" hidden="1" customHeight="1"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 spans="2:26" ht="15" hidden="1" customHeight="1"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 spans="2:26" ht="15" hidden="1" customHeight="1"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 spans="2:26" ht="15" hidden="1" customHeight="1"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 spans="2:26" ht="15" hidden="1" customHeight="1"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 spans="2:26" ht="15" hidden="1" customHeight="1"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 spans="2:26" ht="15" hidden="1" customHeight="1"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 spans="2:26" ht="15" hidden="1" customHeight="1"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 spans="2:26" ht="15" hidden="1" customHeight="1"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 spans="2:26" ht="15" hidden="1" customHeight="1"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 spans="2:26" ht="15" hidden="1" customHeight="1"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 spans="2:26" ht="15" hidden="1" customHeight="1"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 spans="2:26" ht="15" hidden="1" customHeight="1"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 spans="2:26" ht="15" hidden="1" customHeight="1"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 spans="2:26" ht="15" hidden="1" customHeight="1"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 spans="2:26" ht="15" hidden="1" customHeight="1"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 spans="2:26" ht="15" hidden="1" customHeight="1"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 spans="2:26" ht="15" hidden="1" customHeight="1"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 spans="2:26" ht="15" hidden="1" customHeight="1"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 spans="2:26" ht="15" hidden="1" customHeight="1"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 spans="2:26" ht="15" hidden="1" customHeight="1"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 spans="2:26" ht="15" hidden="1" customHeight="1"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 spans="2:26" ht="15" hidden="1" customHeight="1"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 spans="2:26" ht="15" hidden="1" customHeight="1"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 spans="2:26" ht="15" hidden="1" customHeight="1"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 spans="2:26" ht="15" hidden="1" customHeight="1"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 spans="2:26" ht="15" hidden="1" customHeight="1"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 spans="2:26" ht="15" hidden="1" customHeight="1"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 spans="2:26" ht="15" hidden="1" customHeight="1"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 spans="2:26" ht="15" hidden="1" customHeight="1"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 spans="2:26" ht="15" hidden="1" customHeight="1"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 spans="2:26" ht="15" hidden="1" customHeight="1"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 spans="2:26" ht="15" hidden="1" customHeight="1"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 spans="2:26" ht="15" hidden="1" customHeight="1"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 spans="2:26" ht="15" hidden="1" customHeight="1"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 spans="2:26" ht="15" hidden="1" customHeight="1"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 spans="2:26" ht="15" hidden="1" customHeight="1"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 spans="2:26" ht="15" hidden="1" customHeight="1"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 spans="2:26" ht="15" hidden="1" customHeight="1"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 spans="2:26" ht="15" hidden="1" customHeight="1"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 spans="2:26" ht="15" hidden="1" customHeight="1"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 spans="2:26" ht="15" hidden="1" customHeight="1"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 spans="2:26" ht="15" hidden="1" customHeight="1"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 spans="2:26" ht="15" hidden="1" customHeight="1"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 spans="2:26" ht="15" hidden="1" customHeight="1"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 spans="2:26" ht="15" hidden="1" customHeight="1"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 spans="2:26" ht="15" hidden="1" customHeight="1"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 spans="2:26" ht="15" hidden="1" customHeight="1"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 spans="2:26" ht="15" hidden="1" customHeight="1"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 spans="2:26" ht="15" hidden="1" customHeight="1"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 spans="2:26" ht="15" hidden="1" customHeight="1"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 spans="2:26" ht="15" hidden="1" customHeight="1"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 spans="2:26" ht="15" hidden="1" customHeight="1"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 spans="2:26" ht="15" hidden="1" customHeight="1"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 spans="2:26" ht="15" hidden="1" customHeight="1"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 spans="2:26" ht="15" hidden="1" customHeight="1"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 spans="2:26" ht="15" hidden="1" customHeight="1"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 spans="2:26" ht="15" hidden="1" customHeight="1"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 spans="2:26" ht="15" hidden="1" customHeight="1"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 spans="2:26" ht="15" hidden="1" customHeight="1"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 spans="2:26" ht="15" hidden="1" customHeight="1"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 spans="2:26" ht="15" hidden="1" customHeight="1"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 spans="2:26" ht="15" hidden="1" customHeight="1"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 spans="2:26" ht="15" hidden="1" customHeight="1"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 spans="2:26" ht="15" hidden="1" customHeight="1"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 spans="2:26" ht="15" hidden="1" customHeight="1"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 spans="2:26" ht="15" hidden="1" customHeight="1"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 spans="2:26" ht="15" hidden="1" customHeight="1"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 spans="2:26" ht="15" hidden="1" customHeight="1"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 spans="2:26" ht="15" hidden="1" customHeight="1"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 spans="2:26" ht="15" hidden="1" customHeight="1"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 spans="2:26" ht="15" hidden="1" customHeight="1"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 spans="2:26" ht="15" hidden="1" customHeight="1"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 spans="2:26" ht="15" hidden="1" customHeight="1"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 spans="2:26" ht="15" hidden="1" customHeight="1"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 spans="2:26" ht="15" hidden="1" customHeight="1"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 spans="2:26" ht="15" hidden="1" customHeight="1"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 spans="2:26" ht="15" hidden="1" customHeight="1"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 spans="2:26" ht="15" hidden="1" customHeight="1"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 spans="2:26" ht="15" hidden="1" customHeight="1"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 spans="2:26" ht="15" hidden="1" customHeight="1"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 spans="2:26" ht="15" hidden="1" customHeight="1"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 spans="2:26" ht="15" hidden="1" customHeight="1"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 spans="2:26" ht="15" hidden="1" customHeight="1"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 spans="2:26" ht="15" hidden="1" customHeight="1"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 spans="2:26" ht="15" hidden="1" customHeight="1"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 spans="2:26" ht="15" hidden="1" customHeight="1"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 spans="2:26" ht="15" hidden="1" customHeight="1"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 spans="2:26" ht="15" hidden="1" customHeight="1"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 spans="2:26" ht="15" hidden="1" customHeight="1"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 spans="2:26" ht="15" hidden="1" customHeight="1"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 spans="2:26" ht="15" hidden="1" customHeight="1"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 spans="2:26" ht="15" hidden="1" customHeight="1"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 spans="2:26" ht="15" hidden="1" customHeight="1"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 spans="2:26" ht="15" hidden="1" customHeight="1"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 spans="2:26" ht="15" hidden="1" customHeight="1"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 spans="2:26" ht="15" hidden="1" customHeight="1"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 spans="2:26" ht="15" hidden="1" customHeight="1"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 spans="2:26" ht="15" hidden="1" customHeight="1"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 spans="2:26" ht="15" hidden="1" customHeight="1"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 spans="2:26" ht="15" hidden="1" customHeight="1"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 spans="2:26" ht="15" hidden="1" customHeight="1"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 spans="2:26" ht="15" hidden="1" customHeight="1"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 spans="2:26" ht="15" hidden="1" customHeight="1"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 spans="2:26" ht="15" hidden="1" customHeight="1"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 spans="2:26" ht="15" hidden="1" customHeight="1"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 spans="2:26" ht="15" hidden="1" customHeight="1"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 spans="2:26" ht="15" hidden="1" customHeight="1"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 spans="2:26" ht="15" hidden="1" customHeight="1"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 spans="2:26" ht="15" hidden="1" customHeight="1"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 spans="2:26" ht="15" hidden="1" customHeight="1"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 spans="2:26" ht="15" hidden="1" customHeight="1"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 spans="2:26" ht="15" hidden="1" customHeight="1"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 spans="2:26" ht="15" hidden="1" customHeight="1"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 spans="2:26" ht="15" hidden="1" customHeight="1"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 spans="2:26" ht="15" hidden="1" customHeight="1"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 spans="2:26" ht="15" hidden="1" customHeight="1"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 spans="2:26" ht="15" hidden="1" customHeight="1"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 spans="2:26" ht="15" hidden="1" customHeight="1"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 spans="2:26" ht="15" hidden="1" customHeight="1"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 spans="2:26" ht="15" hidden="1" customHeight="1"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 spans="2:26" ht="15" hidden="1" customHeight="1"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 spans="2:26" ht="15" hidden="1" customHeight="1"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 spans="2:26" ht="15" hidden="1" customHeight="1"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 spans="2:26" ht="15" hidden="1" customHeight="1"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 spans="2:26" ht="15" hidden="1" customHeight="1"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 spans="2:26" ht="15" hidden="1" customHeight="1"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 spans="2:26" ht="15" hidden="1" customHeight="1"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 spans="2:26" ht="15" hidden="1" customHeight="1"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 spans="2:26" ht="15" hidden="1" customHeight="1"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 spans="2:26" ht="15" hidden="1" customHeight="1"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 spans="2:26" ht="15" hidden="1" customHeight="1"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 spans="2:26" ht="15" hidden="1" customHeight="1"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 spans="2:26" ht="15" hidden="1" customHeight="1"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 spans="2:26" ht="15" hidden="1" customHeight="1"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 spans="2:26" ht="15" hidden="1" customHeight="1"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 spans="2:26" ht="15" hidden="1" customHeight="1"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 spans="2:26" ht="15" hidden="1" customHeight="1"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 spans="2:26" ht="15" hidden="1" customHeight="1"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 spans="2:26" ht="15" hidden="1" customHeight="1"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 spans="2:26" ht="15" hidden="1" customHeight="1"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 spans="2:26" ht="15" hidden="1" customHeight="1"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 spans="2:26" ht="15" hidden="1" customHeight="1"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 spans="2:26" ht="15" hidden="1" customHeight="1"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 spans="2:26" ht="15" hidden="1" customHeight="1"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 spans="2:26" ht="15" hidden="1" customHeight="1"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 spans="2:26" ht="15" hidden="1" customHeight="1"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 spans="2:26" ht="15" hidden="1" customHeight="1"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 spans="2:26" ht="15" hidden="1" customHeight="1"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 spans="2:26" ht="15" hidden="1" customHeight="1"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 spans="2:26" ht="15" hidden="1" customHeight="1"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 spans="2:26" ht="15" hidden="1" customHeight="1"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 spans="2:26" ht="15" hidden="1" customHeight="1"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 spans="2:26" ht="15" hidden="1" customHeight="1"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 spans="2:26" ht="15" hidden="1" customHeight="1"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 spans="2:26" ht="15" hidden="1" customHeight="1"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 spans="2:26" ht="15" hidden="1" customHeight="1"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 spans="2:26" ht="15" hidden="1" customHeight="1"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 spans="2:26" ht="15" hidden="1" customHeight="1"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 spans="2:26" ht="15" hidden="1" customHeight="1"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 spans="2:26" ht="15" hidden="1" customHeight="1"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 spans="2:26" ht="15" hidden="1" customHeight="1"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 spans="2:26" ht="15" hidden="1" customHeight="1"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 spans="2:26" ht="15" hidden="1" customHeight="1"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 spans="2:26" ht="15" hidden="1" customHeight="1"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 spans="2:26" ht="15" hidden="1" customHeight="1"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 spans="2:26" ht="15" hidden="1" customHeight="1"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 spans="2:26" ht="15" hidden="1" customHeight="1"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 spans="2:26" ht="15" hidden="1" customHeight="1"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 spans="2:26" ht="15" hidden="1" customHeight="1"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 spans="2:26" ht="15" hidden="1" customHeight="1"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 spans="2:26" ht="15" hidden="1" customHeight="1"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 spans="2:26" ht="15" hidden="1" customHeight="1"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 spans="2:26" ht="15" hidden="1" customHeight="1"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 spans="2:26" ht="15" hidden="1" customHeight="1"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 spans="2:26" ht="15" hidden="1" customHeight="1"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 spans="2:26" ht="15" hidden="1" customHeight="1"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 spans="2:26" ht="15" hidden="1" customHeight="1"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 spans="2:26" ht="15" hidden="1" customHeight="1"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 spans="2:26" ht="15" hidden="1" customHeight="1"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 spans="2:26" ht="15" hidden="1" customHeight="1"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 spans="2:26" ht="15" hidden="1" customHeight="1"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 spans="2:26" ht="15" hidden="1" customHeight="1"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 spans="2:26" ht="15" hidden="1" customHeight="1"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 spans="2:26" ht="15" hidden="1" customHeight="1"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 spans="2:26" ht="15" hidden="1" customHeight="1"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 spans="2:26" ht="15" hidden="1" customHeight="1"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 spans="2:26" ht="15" hidden="1" customHeight="1"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 spans="2:26" ht="15" hidden="1" customHeight="1"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 spans="2:26" ht="15" hidden="1" customHeight="1"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 spans="2:26" ht="15" hidden="1" customHeight="1"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 spans="2:26" ht="15" hidden="1" customHeight="1"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 spans="2:26" ht="15" hidden="1" customHeight="1"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 spans="2:26" ht="15" hidden="1" customHeight="1"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 spans="2:26" ht="15" hidden="1" customHeight="1"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 spans="2:26" ht="15" hidden="1" customHeight="1"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 spans="2:26" ht="15" hidden="1" customHeight="1"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 spans="2:26" ht="15" hidden="1" customHeight="1"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 spans="2:26" ht="15" hidden="1" customHeight="1"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 spans="2:26" ht="15" hidden="1" customHeight="1"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 spans="2:26" ht="15" hidden="1" customHeight="1"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 spans="2:26" ht="15" hidden="1" customHeight="1"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 spans="2:26" ht="15" hidden="1" customHeight="1"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 spans="2:26" ht="15" hidden="1" customHeight="1"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 spans="2:26" ht="15" hidden="1" customHeight="1"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 spans="2:26" ht="15" hidden="1" customHeight="1"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 spans="2:26" ht="15" hidden="1" customHeight="1"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 spans="2:26" ht="15" hidden="1" customHeight="1"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 spans="2:26" ht="15" hidden="1" customHeight="1"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 spans="2:26" ht="15" hidden="1" customHeight="1"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 spans="2:26" ht="15" hidden="1" customHeight="1"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 spans="2:26" ht="15" hidden="1" customHeight="1"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 spans="2:26" ht="15" hidden="1" customHeight="1"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 spans="2:26" ht="15" hidden="1" customHeight="1"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 spans="2:26" ht="15" hidden="1" customHeight="1"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 spans="2:26" ht="15" hidden="1" customHeight="1"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 spans="2:26" ht="15" hidden="1" customHeight="1"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 spans="2:26" ht="15" hidden="1" customHeight="1"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 spans="2:26" ht="15" hidden="1" customHeight="1"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 spans="2:26" ht="15" hidden="1" customHeight="1"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 spans="2:26" ht="15" hidden="1" customHeight="1"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 spans="2:26" ht="15" hidden="1" customHeight="1"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 spans="2:26" ht="15" hidden="1" customHeight="1"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 spans="2:26" ht="15" hidden="1" customHeight="1"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 spans="2:26" ht="15" hidden="1" customHeight="1"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 spans="2:26" ht="15" hidden="1" customHeight="1"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 spans="2:26" ht="15" hidden="1" customHeight="1"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 spans="2:26" ht="15" hidden="1" customHeight="1"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 spans="2:26" ht="15" hidden="1" customHeight="1"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 spans="2:26" ht="15" hidden="1" customHeight="1"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 spans="2:26" ht="15" hidden="1" customHeight="1"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 spans="2:26" ht="15" hidden="1" customHeight="1"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 spans="2:26" ht="15" hidden="1" customHeight="1"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 spans="2:26" ht="15" hidden="1" customHeight="1"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 spans="2:26" ht="15" hidden="1" customHeight="1"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 spans="2:26" ht="15" hidden="1" customHeight="1"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 spans="2:26" ht="15" hidden="1" customHeight="1"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 spans="2:26" ht="15" hidden="1" customHeight="1"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 spans="2:26" ht="15" hidden="1" customHeight="1"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 spans="2:26" ht="15" hidden="1" customHeight="1"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 spans="2:26" ht="15" hidden="1" customHeight="1"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 spans="2:26" ht="15" hidden="1" customHeight="1"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 spans="2:26" ht="15" hidden="1" customHeight="1"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 spans="2:26" ht="15" hidden="1" customHeight="1"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 spans="2:26" ht="15" hidden="1" customHeight="1"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 spans="2:26" ht="15" hidden="1" customHeight="1"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 spans="2:26" ht="15" hidden="1" customHeight="1"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 spans="2:26" ht="15" hidden="1" customHeight="1"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 spans="2:26" ht="15" hidden="1" customHeight="1"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 spans="2:26" ht="15" hidden="1" customHeight="1"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 spans="2:26" ht="15" hidden="1" customHeight="1"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 spans="2:26" ht="15" hidden="1" customHeight="1"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 spans="2:26" ht="15" hidden="1" customHeight="1"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 spans="2:26" ht="15" hidden="1" customHeight="1"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 spans="2:26" ht="15" hidden="1" customHeight="1"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 spans="2:26" ht="15" hidden="1" customHeight="1"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 spans="2:26" ht="15" hidden="1" customHeight="1"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 spans="2:26" ht="15" hidden="1" customHeight="1"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 spans="2:26" ht="15" hidden="1" customHeight="1"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 spans="2:26" ht="15" hidden="1" customHeight="1"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 spans="2:26" ht="15" hidden="1" customHeight="1"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 spans="2:26" ht="15" hidden="1" customHeight="1"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 spans="2:26" ht="15" hidden="1" customHeight="1"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 spans="2:26" ht="15" hidden="1" customHeight="1"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 spans="2:26" ht="15" hidden="1" customHeight="1"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 spans="2:26" ht="15" hidden="1" customHeight="1"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 spans="2:26" ht="15" hidden="1" customHeight="1"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 spans="2:26" ht="15" hidden="1" customHeight="1"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 spans="2:26" ht="15" hidden="1" customHeight="1"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 spans="2:26" ht="15" hidden="1" customHeight="1"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 spans="2:26" ht="15" hidden="1" customHeight="1"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 spans="2:26" ht="15" hidden="1" customHeight="1"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 spans="2:26" ht="15" hidden="1" customHeight="1"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 spans="2:26" ht="15" hidden="1" customHeight="1"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 spans="2:26" ht="15" hidden="1" customHeight="1"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 spans="2:26" ht="15" hidden="1" customHeight="1"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 spans="2:26" ht="15" hidden="1" customHeight="1"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 spans="2:26" ht="15" hidden="1" customHeight="1"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 spans="2:26" ht="15" hidden="1" customHeight="1"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 spans="2:26" ht="15" hidden="1" customHeight="1"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 spans="2:26" ht="15" hidden="1" customHeight="1"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 spans="2:26" ht="15" hidden="1" customHeight="1"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 spans="2:26" ht="15" hidden="1" customHeight="1"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 spans="2:26" ht="15" hidden="1" customHeight="1"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 spans="2:26" ht="15" hidden="1" customHeight="1"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 spans="2:26" ht="15" hidden="1" customHeight="1"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 spans="2:26" ht="15" hidden="1" customHeight="1"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 spans="2:26" ht="15" hidden="1" customHeight="1"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 spans="2:26" ht="15" hidden="1" customHeight="1"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 spans="2:26" ht="15" hidden="1" customHeight="1"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 spans="2:26" ht="15" hidden="1" customHeight="1"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 spans="2:26" ht="15" hidden="1" customHeight="1"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 spans="2:26" ht="15" hidden="1" customHeight="1"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 spans="2:26" ht="15" hidden="1" customHeight="1"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 spans="2:26" ht="15" hidden="1" customHeight="1"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 spans="2:26" ht="15" hidden="1" customHeight="1"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 spans="2:26" ht="15" hidden="1" customHeight="1"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 spans="2:26" ht="15" hidden="1" customHeight="1"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 spans="2:26" ht="15" hidden="1" customHeight="1"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 spans="2:26" ht="15" hidden="1" customHeight="1"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 spans="2:26" ht="15" hidden="1" customHeight="1"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 spans="2:26" ht="15" hidden="1" customHeight="1"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 spans="2:26" ht="15" hidden="1" customHeight="1"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 spans="2:26" ht="15" hidden="1" customHeight="1"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 spans="2:26" ht="15" hidden="1" customHeight="1"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 spans="2:26" ht="15" hidden="1" customHeight="1"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 spans="2:26" ht="15" hidden="1" customHeight="1"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 spans="2:26" ht="15" hidden="1" customHeight="1"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 spans="2:26" ht="15" hidden="1" customHeight="1"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 spans="2:26" ht="15" hidden="1" customHeight="1"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 spans="2:26" ht="15" hidden="1" customHeight="1"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 spans="2:26" ht="15" hidden="1" customHeight="1"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 spans="2:26" ht="15" hidden="1" customHeight="1"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 spans="2:26" ht="15" hidden="1" customHeight="1"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 spans="2:26" ht="15" hidden="1" customHeight="1"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 spans="2:26" ht="15" hidden="1" customHeight="1"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 spans="2:26" ht="15" hidden="1" customHeight="1"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 spans="2:26" ht="15" hidden="1" customHeight="1"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 spans="2:26" ht="15" hidden="1" customHeight="1"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 spans="2:26" ht="15" hidden="1" customHeight="1"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 spans="2:26" ht="15" hidden="1" customHeight="1"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 spans="2:26" ht="15" hidden="1" customHeight="1"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 spans="2:26" ht="15" hidden="1" customHeight="1"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 spans="2:26" ht="15" hidden="1" customHeight="1"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 spans="2:26" ht="15" hidden="1" customHeight="1"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 spans="2:26" ht="15" hidden="1" customHeight="1"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 spans="2:26" ht="15" hidden="1" customHeight="1"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 spans="2:26" ht="15" hidden="1" customHeight="1"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 spans="2:26" ht="15" hidden="1" customHeight="1"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 spans="2:26" ht="15" hidden="1" customHeight="1"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 spans="2:26" ht="15" hidden="1" customHeight="1"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 spans="2:26" ht="15" hidden="1" customHeight="1"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 spans="2:26" ht="15" hidden="1" customHeight="1"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 spans="2:26" ht="15" hidden="1" customHeight="1"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 spans="2:26" ht="15" hidden="1" customHeight="1"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 spans="2:26" ht="15" hidden="1" customHeight="1"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 spans="2:26" ht="15" hidden="1" customHeight="1"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 spans="2:26" ht="15" hidden="1" customHeight="1"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 spans="2:26" ht="15" hidden="1" customHeight="1"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 spans="2:26" ht="15" hidden="1" customHeight="1"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 spans="2:26" ht="15" hidden="1" customHeight="1"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 spans="2:26" ht="15" hidden="1" customHeight="1"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 spans="2:26" ht="15" hidden="1" customHeight="1"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 spans="2:26" ht="15" hidden="1" customHeight="1"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 spans="2:26" ht="15" hidden="1" customHeight="1"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 spans="2:26" ht="15" hidden="1" customHeight="1"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 spans="2:26" ht="15" hidden="1" customHeight="1"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 spans="2:26" ht="15" hidden="1" customHeight="1"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 spans="2:26" ht="15" hidden="1" customHeight="1"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 spans="2:26" ht="15" hidden="1" customHeight="1"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 spans="2:26" ht="15" hidden="1" customHeight="1"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 spans="2:26" ht="15" hidden="1" customHeight="1"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 spans="2:26" ht="15" hidden="1" customHeight="1"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 spans="2:26" ht="15" hidden="1" customHeight="1"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 spans="2:26" ht="15" hidden="1" customHeight="1"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 spans="2:26" ht="15" hidden="1" customHeight="1"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 spans="2:26" ht="15" hidden="1" customHeight="1"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 spans="2:26" ht="15" hidden="1" customHeight="1"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 spans="2:26" ht="15" hidden="1" customHeight="1"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 spans="2:26" ht="15" hidden="1" customHeight="1"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 spans="2:26" ht="15" hidden="1" customHeight="1"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 spans="2:26" ht="15" hidden="1" customHeight="1"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 spans="2:26" ht="15" hidden="1" customHeight="1"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 spans="2:26" ht="15" hidden="1" customHeight="1"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 spans="2:26" ht="15" hidden="1" customHeight="1"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 spans="2:26" ht="15" hidden="1" customHeight="1"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 spans="2:26" ht="15" hidden="1" customHeight="1"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 spans="2:26" ht="15" hidden="1" customHeight="1">
      <c r="B937" s="129"/>
      <c r="C937" s="129"/>
      <c r="D937" s="129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 spans="2:26" ht="15" hidden="1" customHeight="1">
      <c r="B938" s="129"/>
      <c r="C938" s="129"/>
      <c r="D938" s="129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 spans="2:26" ht="15" hidden="1" customHeight="1">
      <c r="B939" s="129"/>
      <c r="C939" s="129"/>
      <c r="D939" s="129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 spans="2:26" ht="15" hidden="1" customHeight="1">
      <c r="B940" s="129"/>
      <c r="C940" s="129"/>
      <c r="D940" s="129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 spans="2:26" ht="15" hidden="1" customHeight="1">
      <c r="B941" s="129"/>
      <c r="C941" s="129"/>
      <c r="D941" s="129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 spans="2:26" ht="15" hidden="1" customHeight="1">
      <c r="B942" s="129"/>
      <c r="C942" s="129"/>
      <c r="D942" s="129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 spans="2:26" ht="15" hidden="1" customHeight="1">
      <c r="B943" s="129"/>
      <c r="C943" s="129"/>
      <c r="D943" s="129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 spans="2:26" ht="15" hidden="1" customHeight="1">
      <c r="B944" s="129"/>
      <c r="C944" s="129"/>
      <c r="D944" s="129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 spans="2:26" ht="15" hidden="1" customHeight="1">
      <c r="B945" s="129"/>
      <c r="C945" s="129"/>
      <c r="D945" s="129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 spans="2:26" ht="15" hidden="1" customHeight="1">
      <c r="B946" s="129"/>
      <c r="C946" s="129"/>
      <c r="D946" s="129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 spans="2:26" ht="15" hidden="1" customHeight="1">
      <c r="B947" s="129"/>
      <c r="C947" s="129"/>
      <c r="D947" s="129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 spans="2:26" ht="15" hidden="1" customHeight="1">
      <c r="B948" s="129"/>
      <c r="C948" s="129"/>
      <c r="D948" s="129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 spans="2:26" ht="15" hidden="1" customHeight="1">
      <c r="B949" s="129"/>
      <c r="C949" s="129"/>
      <c r="D949" s="129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 spans="2:26" ht="15" hidden="1" customHeight="1">
      <c r="B950" s="129"/>
      <c r="C950" s="129"/>
      <c r="D950" s="129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 spans="2:26" ht="15" hidden="1" customHeight="1">
      <c r="B951" s="129"/>
      <c r="C951" s="129"/>
      <c r="D951" s="129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 spans="2:26" ht="15" hidden="1" customHeight="1">
      <c r="B952" s="129"/>
      <c r="C952" s="129"/>
      <c r="D952" s="129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 spans="2:26" ht="15" hidden="1" customHeight="1">
      <c r="B953" s="129"/>
      <c r="C953" s="129"/>
      <c r="D953" s="129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 spans="2:26" ht="15" hidden="1" customHeight="1">
      <c r="B954" s="129"/>
      <c r="C954" s="129"/>
      <c r="D954" s="129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 spans="2:26" ht="15" hidden="1" customHeight="1">
      <c r="B955" s="129"/>
      <c r="C955" s="129"/>
      <c r="D955" s="129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 spans="2:26" ht="15" hidden="1" customHeight="1">
      <c r="B956" s="129"/>
      <c r="C956" s="129"/>
      <c r="D956" s="129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 spans="2:26" ht="15" hidden="1" customHeight="1">
      <c r="B957" s="129"/>
      <c r="C957" s="129"/>
      <c r="D957" s="129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 spans="2:26" ht="15" hidden="1" customHeight="1">
      <c r="B958" s="129"/>
      <c r="C958" s="129"/>
      <c r="D958" s="129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 spans="2:26" ht="15" hidden="1" customHeight="1">
      <c r="B959" s="129"/>
      <c r="C959" s="129"/>
      <c r="D959" s="129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 spans="2:26" ht="15" hidden="1" customHeight="1">
      <c r="B960" s="129"/>
      <c r="C960" s="129"/>
      <c r="D960" s="129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 spans="2:26" ht="15" hidden="1" customHeight="1">
      <c r="B961" s="129"/>
      <c r="C961" s="129"/>
      <c r="D961" s="129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 spans="2:26" ht="15" hidden="1" customHeight="1">
      <c r="B962" s="129"/>
      <c r="C962" s="129"/>
      <c r="D962" s="129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 spans="2:26" ht="15" hidden="1" customHeight="1">
      <c r="B963" s="129"/>
      <c r="C963" s="129"/>
      <c r="D963" s="129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 spans="2:26" ht="15" hidden="1" customHeight="1">
      <c r="B964" s="129"/>
      <c r="C964" s="129"/>
      <c r="D964" s="129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 spans="2:26" ht="15" hidden="1" customHeight="1">
      <c r="B965" s="129"/>
      <c r="C965" s="129"/>
      <c r="D965" s="129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 spans="2:26" ht="15" hidden="1" customHeight="1">
      <c r="B966" s="129"/>
      <c r="C966" s="129"/>
      <c r="D966" s="129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 spans="2:26" ht="15" hidden="1" customHeight="1">
      <c r="B967" s="129"/>
      <c r="C967" s="129"/>
      <c r="D967" s="129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 spans="2:26" ht="15" hidden="1" customHeight="1">
      <c r="B968" s="129"/>
      <c r="C968" s="129"/>
      <c r="D968" s="129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 spans="2:26" ht="15" hidden="1" customHeight="1">
      <c r="B969" s="129"/>
      <c r="C969" s="129"/>
      <c r="D969" s="129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 spans="2:26" ht="15" hidden="1" customHeight="1">
      <c r="B970" s="129"/>
      <c r="C970" s="129"/>
      <c r="D970" s="129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 spans="2:26" ht="15" hidden="1" customHeight="1">
      <c r="B971" s="129"/>
      <c r="C971" s="129"/>
      <c r="D971" s="129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 spans="2:26" ht="15" hidden="1" customHeight="1">
      <c r="B972" s="129"/>
      <c r="C972" s="129"/>
      <c r="D972" s="129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 spans="2:26" ht="15" hidden="1" customHeight="1">
      <c r="B973" s="129"/>
      <c r="C973" s="129"/>
      <c r="D973" s="129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 spans="2:26" ht="15" hidden="1" customHeight="1">
      <c r="B974" s="129"/>
      <c r="C974" s="129"/>
      <c r="D974" s="129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 spans="2:26" ht="15" hidden="1" customHeight="1">
      <c r="B975" s="129"/>
      <c r="C975" s="129"/>
      <c r="D975" s="129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 spans="2:26" ht="15" hidden="1" customHeight="1">
      <c r="B976" s="129"/>
      <c r="C976" s="129"/>
      <c r="D976" s="129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 spans="2:26" ht="15" hidden="1" customHeight="1">
      <c r="B977" s="129"/>
      <c r="C977" s="129"/>
      <c r="D977" s="129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 spans="2:26" ht="15" hidden="1" customHeight="1">
      <c r="B978" s="129"/>
      <c r="C978" s="129"/>
      <c r="D978" s="129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 spans="2:26" ht="15" hidden="1" customHeight="1">
      <c r="B979" s="129"/>
      <c r="C979" s="129"/>
      <c r="D979" s="129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 spans="2:26" ht="15" hidden="1" customHeight="1">
      <c r="B980" s="129"/>
      <c r="C980" s="129"/>
      <c r="D980" s="129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 spans="2:26" ht="15" hidden="1" customHeight="1">
      <c r="B981" s="129"/>
      <c r="C981" s="129"/>
      <c r="D981" s="129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 spans="2:26" ht="15" hidden="1" customHeight="1">
      <c r="B982" s="129"/>
      <c r="C982" s="129"/>
      <c r="D982" s="129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 spans="2:26" ht="15" hidden="1" customHeight="1">
      <c r="B983" s="129"/>
      <c r="C983" s="129"/>
      <c r="D983" s="129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 spans="2:26" ht="15" hidden="1" customHeight="1">
      <c r="B984" s="129"/>
      <c r="C984" s="129"/>
      <c r="D984" s="129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 spans="2:26" ht="15" hidden="1" customHeight="1">
      <c r="B985" s="129"/>
      <c r="C985" s="129"/>
      <c r="D985" s="129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  <row r="986" spans="2:26" ht="15" hidden="1" customHeight="1">
      <c r="B986" s="129"/>
      <c r="C986" s="129"/>
      <c r="D986" s="129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</row>
    <row r="987" spans="2:26" ht="15" hidden="1" customHeight="1">
      <c r="B987" s="129"/>
      <c r="C987" s="129"/>
      <c r="D987" s="129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</row>
    <row r="988" spans="2:26" ht="15" hidden="1" customHeight="1">
      <c r="B988" s="129"/>
      <c r="C988" s="129"/>
      <c r="D988" s="129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</row>
    <row r="989" spans="2:26" ht="15" hidden="1" customHeight="1">
      <c r="B989" s="129"/>
      <c r="C989" s="129"/>
      <c r="D989" s="129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</row>
    <row r="990" spans="2:26" ht="15" hidden="1" customHeight="1">
      <c r="B990" s="129"/>
      <c r="C990" s="129"/>
      <c r="D990" s="129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</row>
    <row r="991" spans="2:26" ht="15" hidden="1" customHeight="1">
      <c r="B991" s="129"/>
      <c r="C991" s="129"/>
      <c r="D991" s="129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</row>
    <row r="992" spans="2:26" ht="15" hidden="1" customHeight="1">
      <c r="B992" s="129"/>
      <c r="C992" s="129"/>
      <c r="D992" s="129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</row>
    <row r="993" spans="2:26" ht="15" hidden="1" customHeight="1">
      <c r="B993" s="129"/>
      <c r="C993" s="129"/>
      <c r="D993" s="129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</row>
    <row r="994" spans="2:26" ht="15" hidden="1" customHeight="1">
      <c r="B994" s="129"/>
      <c r="C994" s="129"/>
      <c r="D994" s="129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</row>
    <row r="995" spans="2:26" ht="15" hidden="1" customHeight="1">
      <c r="B995" s="129"/>
      <c r="C995" s="129"/>
      <c r="D995" s="129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</row>
    <row r="996" spans="2:26" ht="15" hidden="1" customHeight="1">
      <c r="B996" s="129"/>
      <c r="C996" s="129"/>
      <c r="D996" s="129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</row>
    <row r="997" spans="2:26" ht="15" hidden="1" customHeight="1">
      <c r="B997" s="129"/>
      <c r="C997" s="129"/>
      <c r="D997" s="129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</row>
    <row r="998" spans="2:26" ht="15" hidden="1" customHeight="1">
      <c r="B998" s="129"/>
      <c r="C998" s="129"/>
      <c r="D998" s="129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</row>
    <row r="999" spans="2:26" ht="15" hidden="1" customHeight="1">
      <c r="B999" s="129"/>
      <c r="C999" s="129"/>
      <c r="D999" s="129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B78:B81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  <mergeCell ref="M74:M75"/>
    <mergeCell ref="N74:N75"/>
    <mergeCell ref="L76:P76"/>
    <mergeCell ref="P46:P48"/>
    <mergeCell ref="D47:E47"/>
    <mergeCell ref="G47:H47"/>
    <mergeCell ref="N47:O47"/>
    <mergeCell ref="D48:E48"/>
    <mergeCell ref="G48:H48"/>
    <mergeCell ref="N48:O48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L55:M55"/>
    <mergeCell ref="D56:F56"/>
    <mergeCell ref="L56:M56"/>
    <mergeCell ref="N56:P56"/>
    <mergeCell ref="D57:F57"/>
    <mergeCell ref="G57:I57"/>
    <mergeCell ref="D59:I59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D35:H35"/>
    <mergeCell ref="L35:N35"/>
    <mergeCell ref="O35:P35"/>
    <mergeCell ref="D36:H36"/>
    <mergeCell ref="L36:N36"/>
    <mergeCell ref="O36:P36"/>
    <mergeCell ref="B38:B41"/>
    <mergeCell ref="B21:B37"/>
    <mergeCell ref="O22:P22"/>
    <mergeCell ref="D23:D33"/>
    <mergeCell ref="E23:E32"/>
    <mergeCell ref="F23:F26"/>
    <mergeCell ref="I23:I25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O31:P31"/>
    <mergeCell ref="F32:H32"/>
    <mergeCell ref="M32:N32"/>
    <mergeCell ref="O32:P32"/>
    <mergeCell ref="F33:H33"/>
    <mergeCell ref="M33:N33"/>
    <mergeCell ref="O33:P33"/>
    <mergeCell ref="D34:H34"/>
    <mergeCell ref="L34:N34"/>
    <mergeCell ref="O34:P34"/>
    <mergeCell ref="B15:B20"/>
    <mergeCell ref="D16:G16"/>
    <mergeCell ref="H16:I16"/>
    <mergeCell ref="L16:N16"/>
    <mergeCell ref="O16:P16"/>
    <mergeCell ref="D17:G17"/>
    <mergeCell ref="H17:I17"/>
    <mergeCell ref="L17:N17"/>
    <mergeCell ref="O17:P17"/>
    <mergeCell ref="D18:G18"/>
    <mergeCell ref="H18:I18"/>
    <mergeCell ref="L18:N18"/>
    <mergeCell ref="O18:P18"/>
    <mergeCell ref="D19:G19"/>
    <mergeCell ref="H19:I19"/>
    <mergeCell ref="L19:N19"/>
    <mergeCell ref="O19:P19"/>
    <mergeCell ref="B10:B14"/>
    <mergeCell ref="D11:F11"/>
    <mergeCell ref="G11:I11"/>
    <mergeCell ref="L11:M12"/>
    <mergeCell ref="N11:P12"/>
    <mergeCell ref="D12:F12"/>
    <mergeCell ref="G12:I12"/>
    <mergeCell ref="D13:F13"/>
    <mergeCell ref="G13:I13"/>
    <mergeCell ref="L13:M13"/>
    <mergeCell ref="N13:P13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L6:N6"/>
    <mergeCell ref="O6:P6"/>
    <mergeCell ref="D7:G7"/>
    <mergeCell ref="H7:I7"/>
    <mergeCell ref="L7:N7"/>
    <mergeCell ref="O7:P7"/>
    <mergeCell ref="D8:G8"/>
    <mergeCell ref="H8:I8"/>
    <mergeCell ref="L8:N8"/>
    <mergeCell ref="O8:P8"/>
  </mergeCells>
  <phoneticPr fontId="41" type="noConversion"/>
  <pageMargins left="0.7" right="0.7" top="0.75" bottom="0.75" header="0.511811023622047" footer="0.511811023622047"/>
  <pageSetup paperSize="9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10</vt:i4>
      </vt:variant>
    </vt:vector>
  </HeadingPairs>
  <TitlesOfParts>
    <vt:vector size="22" baseType="lpstr">
      <vt:lpstr>교육과정편제표(회계사무과)</vt:lpstr>
      <vt:lpstr>교육과정편제표(회계사무과_도제)</vt:lpstr>
      <vt:lpstr>교육과정편제표(AI융합경영과)</vt:lpstr>
      <vt:lpstr>교육과정편제표(AI콘텐츠과)</vt:lpstr>
      <vt:lpstr>실무과목 능력단위(회계사무과_회계사무원)</vt:lpstr>
      <vt:lpstr>실무과목 능력단위(회계사무과_경영지원사무원)</vt:lpstr>
      <vt:lpstr>실무과목 능력단위(회계사무과_도제)</vt:lpstr>
      <vt:lpstr>실무과목 능력단위(AI융합경영과)</vt:lpstr>
      <vt:lpstr>실무과목 능력단위(AI콘텐츠과_챗크리에이터)</vt:lpstr>
      <vt:lpstr>실무과목 능력단위(AI콘텐츠과_AI디자이너)</vt:lpstr>
      <vt:lpstr>삭제금지</vt:lpstr>
      <vt:lpstr>(참고1) 편성 기준🔐</vt:lpstr>
      <vt:lpstr>'교육과정편제표(AI융합경영과)'!Print_Area</vt:lpstr>
      <vt:lpstr>'교육과정편제표(AI콘텐츠과)'!Print_Area</vt:lpstr>
      <vt:lpstr>'교육과정편제표(회계사무과)'!Print_Area</vt:lpstr>
      <vt:lpstr>'교육과정편제표(회계사무과_도제)'!Print_Area</vt:lpstr>
      <vt:lpstr>'실무과목 능력단위(AI융합경영과)'!Print_Area</vt:lpstr>
      <vt:lpstr>'실무과목 능력단위(AI콘텐츠과_AI디자이너)'!Print_Area</vt:lpstr>
      <vt:lpstr>'실무과목 능력단위(AI콘텐츠과_챗크리에이터)'!Print_Area</vt:lpstr>
      <vt:lpstr>'실무과목 능력단위(회계사무과_경영지원사무원)'!Print_Area</vt:lpstr>
      <vt:lpstr>'실무과목 능력단위(회계사무과_도제)'!Print_Area</vt:lpstr>
      <vt:lpstr>'실무과목 능력단위(회계사무과_회계사무원)'!Print_Area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KRIVET</dc:creator>
  <dc:description/>
  <cp:lastModifiedBy>chaelim Hwang</cp:lastModifiedBy>
  <cp:revision>0</cp:revision>
  <cp:lastPrinted>2026-10-19T04:30:30Z</cp:lastPrinted>
  <dcterms:created xsi:type="dcterms:W3CDTF">2020-03-04T02:26:59Z</dcterms:created>
  <dcterms:modified xsi:type="dcterms:W3CDTF">2026-10-20T00:52:33Z</dcterms:modified>
  <dc:language>en-US</dc:language>
</cp:coreProperties>
</file>