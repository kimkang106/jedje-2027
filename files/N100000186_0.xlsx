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김웅T\2. 행정 업무\2. 교육과정연구\교육과정 편제표\"/>
    </mc:Choice>
  </mc:AlternateContent>
  <xr:revisionPtr revIDLastSave="0" documentId="13_ncr:1_{58BD164E-9924-4EF0-B740-20F04FA3B282}" xr6:coauthVersionLast="47" xr6:coauthVersionMax="47" xr10:uidLastSave="{00000000-0000-0000-0000-000000000000}"/>
  <bookViews>
    <workbookView xWindow="28680" yWindow="-120" windowWidth="29040" windowHeight="15720" tabRatio="795" xr2:uid="{00000000-000D-0000-FFFF-FFFF00000000}"/>
  </bookViews>
  <sheets>
    <sheet name="교육과정편제표(뷰티디자인과)" sheetId="8" r:id="rId1"/>
    <sheet name="실무과목 능력단위(뷰티디자인과)" sheetId="14" r:id="rId2"/>
    <sheet name="교육과정편제표(스마트경영과)" sheetId="25" r:id="rId3"/>
    <sheet name="실무과목 능력단위(스마트경영과)" sheetId="23" r:id="rId4"/>
    <sheet name="교육과정편제표(융합미디어과)" sheetId="26" r:id="rId5"/>
    <sheet name="실무과목 능력단위(융합미디어과)" sheetId="24" r:id="rId6"/>
    <sheet name="삭제금지" sheetId="4" r:id="rId7"/>
    <sheet name="(참고1) 편성 기준🔐" sheetId="16" r:id="rId8"/>
  </sheets>
  <definedNames>
    <definedName name="_xlnm._FilterDatabase" localSheetId="0" hidden="1">'교육과정편제표(뷰티디자인과)'!$M$3:$P$4</definedName>
    <definedName name="_xlnm._FilterDatabase" localSheetId="2" hidden="1">'교육과정편제표(스마트경영과)'!$M$3:$P$4</definedName>
    <definedName name="_xlnm._FilterDatabase" localSheetId="4" hidden="1">'교육과정편제표(융합미디어과)'!$M$3:$P$4</definedName>
    <definedName name="_xlnm._FilterDatabase" localSheetId="6" hidden="1">삭제금지!$A$1:$F$151</definedName>
    <definedName name="_xlnm._FilterDatabase" localSheetId="1" hidden="1">'실무과목 능력단위(뷰티디자인과)'!#REF!</definedName>
    <definedName name="_xlnm._FilterDatabase" localSheetId="3" hidden="1">'실무과목 능력단위(스마트경영과)'!#REF!</definedName>
    <definedName name="_xlnm._FilterDatabase" localSheetId="5" hidden="1">'실무과목 능력단위(융합미디어과)'!#REF!</definedName>
    <definedName name="_xlnm.Print_Area" localSheetId="0">'교육과정편제표(뷰티디자인과)'!$A$1:$AE$70</definedName>
    <definedName name="_xlnm.Print_Area" localSheetId="2">'교육과정편제표(스마트경영과)'!$A$1:$AE$73</definedName>
    <definedName name="_xlnm.Print_Area" localSheetId="4">'교육과정편제표(융합미디어과)'!$A$1:$AE$71</definedName>
    <definedName name="_xlnm.Print_Area" localSheetId="1">'실무과목 능력단위(뷰티디자인과)'!$A$1:$V$43</definedName>
    <definedName name="_xlnm.Print_Area" localSheetId="3">'실무과목 능력단위(스마트경영과)'!$A$1:$V$35</definedName>
    <definedName name="_xlnm.Print_Area" localSheetId="5">'실무과목 능력단위(융합미디어과)'!$A$1:$V$36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10" i="23" l="1"/>
  <c r="S10" i="23"/>
  <c r="K10" i="23"/>
  <c r="T9" i="23"/>
  <c r="S9" i="23"/>
  <c r="Q9" i="23"/>
  <c r="K9" i="23"/>
  <c r="S69" i="26"/>
  <c r="O69" i="26"/>
  <c r="K69" i="26"/>
  <c r="W69" i="26" s="1"/>
  <c r="W68" i="26"/>
  <c r="W67" i="26"/>
  <c r="AA68" i="26" s="1"/>
  <c r="Y64" i="26"/>
  <c r="W64" i="26"/>
  <c r="Y63" i="26"/>
  <c r="M63" i="26"/>
  <c r="K63" i="26"/>
  <c r="Y61" i="26"/>
  <c r="U61" i="26"/>
  <c r="U63" i="26" s="1"/>
  <c r="S61" i="26"/>
  <c r="S63" i="26" s="1"/>
  <c r="Q61" i="26"/>
  <c r="O61" i="26"/>
  <c r="M61" i="26"/>
  <c r="K61" i="26"/>
  <c r="J61" i="26"/>
  <c r="H61" i="26"/>
  <c r="W57" i="26"/>
  <c r="W52" i="26"/>
  <c r="W49" i="26"/>
  <c r="W48" i="26"/>
  <c r="W45" i="26"/>
  <c r="W44" i="26"/>
  <c r="W42" i="26"/>
  <c r="W41" i="26"/>
  <c r="W40" i="26"/>
  <c r="Y39" i="26"/>
  <c r="U39" i="26"/>
  <c r="S39" i="26"/>
  <c r="Q39" i="26"/>
  <c r="O39" i="26"/>
  <c r="M39" i="26"/>
  <c r="K39" i="26"/>
  <c r="J39" i="26"/>
  <c r="J63" i="26" s="1"/>
  <c r="H39" i="26"/>
  <c r="H63" i="26" s="1"/>
  <c r="W37" i="26"/>
  <c r="W36" i="26"/>
  <c r="W35" i="26"/>
  <c r="W34" i="26"/>
  <c r="W33" i="26"/>
  <c r="X33" i="26" s="1"/>
  <c r="W32" i="26"/>
  <c r="W31" i="26"/>
  <c r="W30" i="26"/>
  <c r="W29" i="26"/>
  <c r="J29" i="26"/>
  <c r="W28" i="26"/>
  <c r="X28" i="26" s="1"/>
  <c r="J28" i="26"/>
  <c r="W27" i="26"/>
  <c r="W26" i="26"/>
  <c r="X26" i="26" s="1"/>
  <c r="W25" i="26"/>
  <c r="W24" i="26"/>
  <c r="W23" i="26"/>
  <c r="W22" i="26"/>
  <c r="W21" i="26"/>
  <c r="W20" i="26"/>
  <c r="W19" i="26"/>
  <c r="W18" i="26"/>
  <c r="X18" i="26" s="1"/>
  <c r="W17" i="26"/>
  <c r="W16" i="26"/>
  <c r="W15" i="26"/>
  <c r="W14" i="26"/>
  <c r="X14" i="26" s="1"/>
  <c r="W13" i="26"/>
  <c r="W11" i="26"/>
  <c r="W10" i="26"/>
  <c r="W9" i="26"/>
  <c r="X9" i="26" s="1"/>
  <c r="S71" i="25"/>
  <c r="O71" i="25"/>
  <c r="K71" i="25"/>
  <c r="W70" i="25"/>
  <c r="W69" i="25"/>
  <c r="AA70" i="25" s="1"/>
  <c r="Y66" i="25"/>
  <c r="W66" i="25"/>
  <c r="Y63" i="25"/>
  <c r="U63" i="25"/>
  <c r="S63" i="25"/>
  <c r="Q63" i="25"/>
  <c r="O63" i="25"/>
  <c r="M63" i="25"/>
  <c r="K63" i="25"/>
  <c r="J63" i="25"/>
  <c r="H63" i="25"/>
  <c r="W59" i="25"/>
  <c r="W54" i="25"/>
  <c r="W51" i="25"/>
  <c r="W50" i="25"/>
  <c r="W45" i="25"/>
  <c r="W44" i="25"/>
  <c r="W42" i="25"/>
  <c r="W41" i="25"/>
  <c r="W40" i="25"/>
  <c r="Y39" i="25"/>
  <c r="U39" i="25"/>
  <c r="S39" i="25"/>
  <c r="Q39" i="25"/>
  <c r="O39" i="25"/>
  <c r="M39" i="25"/>
  <c r="K39" i="25"/>
  <c r="H39" i="25"/>
  <c r="W37" i="25"/>
  <c r="W36" i="25"/>
  <c r="W35" i="25"/>
  <c r="W34" i="25"/>
  <c r="W33" i="25"/>
  <c r="X33" i="25" s="1"/>
  <c r="W32" i="25"/>
  <c r="W31" i="25"/>
  <c r="W30" i="25"/>
  <c r="W29" i="25"/>
  <c r="J29" i="25"/>
  <c r="W28" i="25"/>
  <c r="X28" i="25" s="1"/>
  <c r="J28" i="25"/>
  <c r="J39" i="25" s="1"/>
  <c r="W27" i="25"/>
  <c r="W26" i="25"/>
  <c r="W25" i="25"/>
  <c r="W24" i="25"/>
  <c r="W23" i="25"/>
  <c r="W22" i="25"/>
  <c r="W21" i="25"/>
  <c r="W20" i="25"/>
  <c r="W19" i="25"/>
  <c r="W18" i="25"/>
  <c r="X18" i="25" s="1"/>
  <c r="W17" i="25"/>
  <c r="W16" i="25"/>
  <c r="W15" i="25"/>
  <c r="W14" i="25"/>
  <c r="W13" i="25"/>
  <c r="W11" i="25"/>
  <c r="W10" i="25"/>
  <c r="W9" i="25"/>
  <c r="X26" i="25" l="1"/>
  <c r="W71" i="25"/>
  <c r="Q63" i="26"/>
  <c r="X24" i="26"/>
  <c r="X22" i="26"/>
  <c r="W39" i="26"/>
  <c r="AA39" i="26" s="1"/>
  <c r="O63" i="26"/>
  <c r="W63" i="26" s="1"/>
  <c r="AA65" i="26" s="1"/>
  <c r="X24" i="25"/>
  <c r="U10" i="23"/>
  <c r="U9" i="23"/>
  <c r="W61" i="26"/>
  <c r="X14" i="25"/>
  <c r="J65" i="25"/>
  <c r="S65" i="25"/>
  <c r="Q65" i="25"/>
  <c r="O65" i="25"/>
  <c r="X9" i="25"/>
  <c r="Y65" i="25"/>
  <c r="H65" i="25"/>
  <c r="X22" i="25"/>
  <c r="W39" i="25"/>
  <c r="AA39" i="25" s="1"/>
  <c r="M65" i="25"/>
  <c r="W63" i="25"/>
  <c r="U65" i="25"/>
  <c r="Y68" i="26"/>
  <c r="AA70" i="26" s="1"/>
  <c r="K65" i="25"/>
  <c r="Y70" i="25"/>
  <c r="AA72" i="25" s="1"/>
  <c r="R23" i="23"/>
  <c r="P23" i="23"/>
  <c r="S20" i="23"/>
  <c r="S19" i="23"/>
  <c r="S23" i="23" s="1"/>
  <c r="Q23" i="23"/>
  <c r="U31" i="14"/>
  <c r="T31" i="14"/>
  <c r="Q31" i="14"/>
  <c r="P31" i="14"/>
  <c r="F31" i="14"/>
  <c r="U26" i="14"/>
  <c r="T26" i="14"/>
  <c r="U21" i="14"/>
  <c r="T21" i="14"/>
  <c r="F21" i="14"/>
  <c r="U16" i="14"/>
  <c r="T16" i="14"/>
  <c r="O16" i="14"/>
  <c r="N16" i="14"/>
  <c r="M16" i="14"/>
  <c r="F16" i="14"/>
  <c r="R11" i="14"/>
  <c r="P11" i="14"/>
  <c r="N11" i="14"/>
  <c r="L11" i="14"/>
  <c r="I11" i="14"/>
  <c r="H11" i="14"/>
  <c r="F11" i="14"/>
  <c r="T10" i="14"/>
  <c r="S10" i="14"/>
  <c r="Q10" i="14"/>
  <c r="O10" i="14"/>
  <c r="M10" i="14"/>
  <c r="T9" i="14"/>
  <c r="S9" i="14"/>
  <c r="Q9" i="14"/>
  <c r="O9" i="14"/>
  <c r="M9" i="14"/>
  <c r="K9" i="14"/>
  <c r="W65" i="25" l="1"/>
  <c r="AA67" i="25" s="1"/>
  <c r="T11" i="14"/>
  <c r="O11" i="14"/>
  <c r="U10" i="14"/>
  <c r="U9" i="14"/>
  <c r="M11" i="14"/>
  <c r="Q11" i="14"/>
  <c r="S11" i="14"/>
  <c r="K23" i="23"/>
  <c r="J23" i="23"/>
  <c r="H23" i="23"/>
  <c r="I22" i="23"/>
  <c r="I21" i="23"/>
  <c r="I23" i="23" s="1"/>
  <c r="K20" i="23"/>
  <c r="T19" i="23"/>
  <c r="K19" i="23"/>
  <c r="U19" i="23" s="1"/>
  <c r="U11" i="14" l="1"/>
  <c r="U20" i="23"/>
  <c r="K9" i="24" l="1"/>
  <c r="O9" i="24"/>
  <c r="U9" i="24" s="1"/>
  <c r="Q9" i="24"/>
  <c r="S9" i="24"/>
  <c r="T9" i="24"/>
  <c r="R13" i="24" l="1"/>
  <c r="N13" i="24"/>
  <c r="L13" i="24"/>
  <c r="K13" i="24"/>
  <c r="J13" i="24"/>
  <c r="H13" i="24"/>
  <c r="I12" i="24"/>
  <c r="I13" i="24" s="1"/>
  <c r="H39" i="8"/>
  <c r="W56" i="8"/>
  <c r="W51" i="8"/>
  <c r="W48" i="8"/>
  <c r="U60" i="8"/>
  <c r="S60" i="8"/>
  <c r="Q60" i="8"/>
  <c r="O60" i="8"/>
  <c r="M60" i="8"/>
  <c r="K60" i="8"/>
  <c r="J60" i="8"/>
  <c r="W34" i="8"/>
  <c r="W35" i="8"/>
  <c r="W36" i="8"/>
  <c r="W33" i="8"/>
  <c r="W20" i="8"/>
  <c r="W16" i="8"/>
  <c r="W11" i="8"/>
  <c r="S68" i="8"/>
  <c r="O68" i="8"/>
  <c r="K68" i="8"/>
  <c r="W67" i="8"/>
  <c r="Y67" i="8" s="1"/>
  <c r="W66" i="8"/>
  <c r="AA67" i="8" s="1"/>
  <c r="Y63" i="8"/>
  <c r="W63" i="8"/>
  <c r="Y60" i="8"/>
  <c r="H60" i="8"/>
  <c r="W47" i="8"/>
  <c r="W44" i="8"/>
  <c r="W42" i="8"/>
  <c r="W41" i="8"/>
  <c r="W40" i="8"/>
  <c r="Y39" i="8"/>
  <c r="U39" i="8"/>
  <c r="S39" i="8"/>
  <c r="Q39" i="8"/>
  <c r="O39" i="8"/>
  <c r="M39" i="8"/>
  <c r="K39" i="8"/>
  <c r="W37" i="8"/>
  <c r="W32" i="8"/>
  <c r="W31" i="8"/>
  <c r="W30" i="8"/>
  <c r="W29" i="8"/>
  <c r="J29" i="8"/>
  <c r="W28" i="8"/>
  <c r="J28" i="8"/>
  <c r="J39" i="8" s="1"/>
  <c r="W27" i="8"/>
  <c r="W26" i="8"/>
  <c r="W25" i="8"/>
  <c r="W24" i="8"/>
  <c r="W23" i="8"/>
  <c r="W22" i="8"/>
  <c r="W21" i="8"/>
  <c r="W19" i="8"/>
  <c r="W18" i="8"/>
  <c r="W17" i="8"/>
  <c r="W15" i="8"/>
  <c r="W14" i="8"/>
  <c r="W13" i="8"/>
  <c r="W10" i="8"/>
  <c r="W9" i="8"/>
  <c r="O13" i="24" l="1"/>
  <c r="M13" i="24"/>
  <c r="S13" i="24"/>
  <c r="X33" i="8"/>
  <c r="X28" i="8"/>
  <c r="X24" i="8"/>
  <c r="O62" i="8"/>
  <c r="X18" i="8"/>
  <c r="M62" i="8"/>
  <c r="W68" i="8"/>
  <c r="Q62" i="8"/>
  <c r="U62" i="8"/>
  <c r="X26" i="8"/>
  <c r="S62" i="8"/>
  <c r="X14" i="8"/>
  <c r="J62" i="8"/>
  <c r="X9" i="8"/>
  <c r="AA69" i="8"/>
  <c r="Y62" i="8"/>
  <c r="H62" i="8"/>
  <c r="W39" i="8"/>
  <c r="AA39" i="8" s="1"/>
  <c r="X22" i="8"/>
  <c r="W60" i="8" l="1"/>
  <c r="K62" i="8" l="1"/>
  <c r="W62" i="8" s="1"/>
  <c r="AA64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0" authorId="0" shapeId="0" xr:uid="{3A7FA50C-F21E-46FD-A9A4-F7E332FA43DA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1" authorId="0" shapeId="0" xr:uid="{A1F71FE4-64BC-4482-A032-DA4E5F98D368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0" authorId="0" shapeId="0" xr:uid="{35EE88F9-7B79-4ABA-A5C8-06BA4520E9A4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0" authorId="0" shapeId="0" xr:uid="{00FE627C-2C4F-4ACB-9063-949C705209D8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1" authorId="0" shapeId="0" xr:uid="{E224B234-E0D5-47CC-950D-55384AE41781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3" authorId="0" shapeId="0" xr:uid="{A517C511-8559-43EA-8AD4-0AA32139FFF5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Y40" authorId="0" shapeId="0" xr:uid="{1327B49F-886C-45A1-B644-B1993371F32C}">
      <text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41" authorId="0" shapeId="0" xr:uid="{E5E70617-931C-4E39-AFF4-70A24B4B5B70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</text>
    </comment>
    <comment ref="J61" authorId="0" shapeId="0" xr:uid="{3B25A7D6-940C-43D5-A30C-8E15CF07C33C}">
      <text>
        <r>
          <rPr>
            <b/>
            <sz val="9"/>
            <color indexed="81"/>
            <rFont val="돋움"/>
            <family val="3"/>
            <charset val="129"/>
          </rPr>
          <t>합계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<sst xmlns="http://schemas.openxmlformats.org/spreadsheetml/2006/main" count="2051" uniqueCount="718">
  <si>
    <t>1학기</t>
  </si>
  <si>
    <t>구분</t>
    <phoneticPr fontId="6" type="noConversion"/>
  </si>
  <si>
    <t>교과영역</t>
    <phoneticPr fontId="6" type="noConversion"/>
  </si>
  <si>
    <t>교과군</t>
    <phoneticPr fontId="6" type="noConversion"/>
  </si>
  <si>
    <t>문학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</si>
  <si>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</si>
  <si>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</si>
  <si>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</si>
  <si>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체육</t>
    <phoneticPr fontId="9" type="noConversion"/>
  </si>
  <si>
    <t>음악</t>
    <phoneticPr fontId="9" type="noConversion"/>
  </si>
  <si>
    <t>기술·가정</t>
    <phoneticPr fontId="9" type="noConversion"/>
  </si>
  <si>
    <t>진로활동</t>
    <phoneticPr fontId="9" type="noConversion"/>
  </si>
  <si>
    <t>공통</t>
    <phoneticPr fontId="9" type="noConversion"/>
  </si>
  <si>
    <t>실무과목</t>
    <phoneticPr fontId="9" type="noConversion"/>
  </si>
  <si>
    <t>내용영역(능력단위)</t>
  </si>
  <si>
    <t>능력단위코드</t>
  </si>
  <si>
    <t>내용영역 합계</t>
    <phoneticPr fontId="9" type="noConversion"/>
  </si>
  <si>
    <t>보통교과</t>
    <phoneticPr fontId="9" type="noConversion"/>
  </si>
  <si>
    <t>구분</t>
    <phoneticPr fontId="9" type="noConversion"/>
  </si>
  <si>
    <t>과목명</t>
    <phoneticPr fontId="9" type="noConversion"/>
  </si>
  <si>
    <t>운영가능단위</t>
    <phoneticPr fontId="9" type="noConversion"/>
  </si>
  <si>
    <t>국어</t>
    <phoneticPr fontId="9" type="noConversion"/>
  </si>
  <si>
    <t>수학</t>
    <phoneticPr fontId="9" type="noConversion"/>
  </si>
  <si>
    <t>영어</t>
    <phoneticPr fontId="9" type="noConversion"/>
  </si>
  <si>
    <t>한국사</t>
    <phoneticPr fontId="9" type="noConversion"/>
  </si>
  <si>
    <t>사회</t>
    <phoneticPr fontId="9" type="noConversion"/>
  </si>
  <si>
    <t>과학</t>
    <phoneticPr fontId="9" type="noConversion"/>
  </si>
  <si>
    <t>체육</t>
    <phoneticPr fontId="9" type="noConversion"/>
  </si>
  <si>
    <t>예술</t>
    <phoneticPr fontId="9" type="noConversion"/>
  </si>
  <si>
    <t>기술·가정</t>
    <phoneticPr fontId="9" type="noConversion"/>
  </si>
  <si>
    <t>제2외국어</t>
    <phoneticPr fontId="9" type="noConversion"/>
  </si>
  <si>
    <t>한문</t>
    <phoneticPr fontId="9" type="noConversion"/>
  </si>
  <si>
    <t>교양</t>
    <phoneticPr fontId="9" type="noConversion"/>
  </si>
  <si>
    <t>공통</t>
    <phoneticPr fontId="9" type="noConversion"/>
  </si>
  <si>
    <t>일반</t>
    <phoneticPr fontId="9" type="noConversion"/>
  </si>
  <si>
    <t>진로</t>
    <phoneticPr fontId="9" type="noConversion"/>
  </si>
  <si>
    <t>확률과 통계</t>
    <phoneticPr fontId="9" type="noConversion"/>
  </si>
  <si>
    <t>기하</t>
    <phoneticPr fontId="9" type="noConversion"/>
  </si>
  <si>
    <t>영어Ⅰ</t>
    <phoneticPr fontId="9" type="noConversion"/>
  </si>
  <si>
    <t>영어 독해와 작문</t>
    <phoneticPr fontId="9" type="noConversion"/>
  </si>
  <si>
    <t>영어Ⅱ</t>
    <phoneticPr fontId="9" type="noConversion"/>
  </si>
  <si>
    <t>영미 문학 읽기</t>
    <phoneticPr fontId="9" type="noConversion"/>
  </si>
  <si>
    <t>경제</t>
    <phoneticPr fontId="9" type="noConversion"/>
  </si>
  <si>
    <t>윤리와 사상</t>
    <phoneticPr fontId="9" type="noConversion"/>
  </si>
  <si>
    <t>여행지리</t>
    <phoneticPr fontId="9" type="noConversion"/>
  </si>
  <si>
    <t>사회문제 탐구</t>
    <phoneticPr fontId="9" type="noConversion"/>
  </si>
  <si>
    <t>체육 탐구</t>
    <phoneticPr fontId="9" type="noConversion"/>
  </si>
  <si>
    <t>미술</t>
    <phoneticPr fontId="9" type="noConversion"/>
  </si>
  <si>
    <t>연극</t>
    <phoneticPr fontId="9" type="noConversion"/>
  </si>
  <si>
    <t>정보</t>
    <phoneticPr fontId="9" type="noConversion"/>
  </si>
  <si>
    <t>진로와 직업</t>
    <phoneticPr fontId="9" type="noConversion"/>
  </si>
  <si>
    <t>보건</t>
    <phoneticPr fontId="9" type="noConversion"/>
  </si>
  <si>
    <t>논술</t>
    <phoneticPr fontId="9" type="noConversion"/>
  </si>
  <si>
    <t>학교명</t>
    <phoneticPr fontId="5" type="noConversion"/>
  </si>
  <si>
    <t>기준학과1</t>
    <phoneticPr fontId="5" type="noConversion"/>
  </si>
  <si>
    <t>기준학과2</t>
    <phoneticPr fontId="9" type="noConversion"/>
  </si>
  <si>
    <t>학과</t>
    <phoneticPr fontId="5" type="noConversion"/>
  </si>
  <si>
    <t>과목</t>
    <phoneticPr fontId="9" type="noConversion"/>
  </si>
  <si>
    <t>1학년</t>
    <phoneticPr fontId="9" type="noConversion"/>
  </si>
  <si>
    <t>2학년</t>
    <phoneticPr fontId="9" type="noConversion"/>
  </si>
  <si>
    <t>3학년</t>
    <phoneticPr fontId="9" type="noConversion"/>
  </si>
  <si>
    <t>과정</t>
    <phoneticPr fontId="9" type="noConversion"/>
  </si>
  <si>
    <t>2학기</t>
    <phoneticPr fontId="9" type="noConversion"/>
  </si>
  <si>
    <t>동아리활동</t>
    <phoneticPr fontId="9" type="noConversion"/>
  </si>
  <si>
    <t>교과군</t>
    <phoneticPr fontId="5" type="noConversion"/>
  </si>
  <si>
    <t>교과군</t>
    <phoneticPr fontId="9" type="noConversion"/>
  </si>
  <si>
    <t>경영·금융</t>
    <phoneticPr fontId="9" type="noConversion"/>
  </si>
  <si>
    <t>보건·복지</t>
    <phoneticPr fontId="9" type="noConversion"/>
  </si>
  <si>
    <t>기계</t>
    <phoneticPr fontId="9" type="noConversion"/>
  </si>
  <si>
    <t>재료</t>
    <phoneticPr fontId="9" type="noConversion"/>
  </si>
  <si>
    <t>화학공업</t>
    <phoneticPr fontId="9" type="noConversion"/>
  </si>
  <si>
    <t>전기·전자</t>
    <phoneticPr fontId="9" type="noConversion"/>
  </si>
  <si>
    <t>정보·통신</t>
    <phoneticPr fontId="9" type="noConversion"/>
  </si>
  <si>
    <t>시·도</t>
    <phoneticPr fontId="9" type="noConversion"/>
  </si>
  <si>
    <t>서울</t>
    <phoneticPr fontId="9" type="noConversion"/>
  </si>
  <si>
    <t>부산</t>
    <phoneticPr fontId="9" type="noConversion"/>
  </si>
  <si>
    <t>대구</t>
    <phoneticPr fontId="9" type="noConversion"/>
  </si>
  <si>
    <t>인천</t>
    <phoneticPr fontId="9" type="noConversion"/>
  </si>
  <si>
    <t>광주</t>
    <phoneticPr fontId="9" type="noConversion"/>
  </si>
  <si>
    <t>대전</t>
    <phoneticPr fontId="9" type="noConversion"/>
  </si>
  <si>
    <t>울산</t>
    <phoneticPr fontId="9" type="noConversion"/>
  </si>
  <si>
    <t>세종</t>
    <phoneticPr fontId="9" type="noConversion"/>
  </si>
  <si>
    <t>경기</t>
    <phoneticPr fontId="9" type="noConversion"/>
  </si>
  <si>
    <t>강원</t>
    <phoneticPr fontId="9" type="noConversion"/>
  </si>
  <si>
    <t>충북</t>
    <phoneticPr fontId="9" type="noConversion"/>
  </si>
  <si>
    <t>충남</t>
    <phoneticPr fontId="9" type="noConversion"/>
  </si>
  <si>
    <t>전북</t>
    <phoneticPr fontId="9" type="noConversion"/>
  </si>
  <si>
    <t>전남</t>
    <phoneticPr fontId="9" type="noConversion"/>
  </si>
  <si>
    <t>경북</t>
    <phoneticPr fontId="9" type="noConversion"/>
  </si>
  <si>
    <t>경남</t>
    <phoneticPr fontId="9" type="noConversion"/>
  </si>
  <si>
    <t>제주</t>
    <phoneticPr fontId="9" type="noConversion"/>
  </si>
  <si>
    <t>기준학과1</t>
    <phoneticPr fontId="9" type="noConversion"/>
  </si>
  <si>
    <t>기준학과2</t>
    <phoneticPr fontId="9" type="noConversion"/>
  </si>
  <si>
    <t>유통과</t>
    <phoneticPr fontId="9" type="noConversion"/>
  </si>
  <si>
    <t>보육과</t>
    <phoneticPr fontId="9" type="noConversion"/>
  </si>
  <si>
    <t>디자인과</t>
    <phoneticPr fontId="9" type="noConversion"/>
  </si>
  <si>
    <t>문화콘텐츠과</t>
    <phoneticPr fontId="9" type="noConversion"/>
  </si>
  <si>
    <t>미용과</t>
    <phoneticPr fontId="9" type="noConversion"/>
  </si>
  <si>
    <t>토목과</t>
    <phoneticPr fontId="9" type="noConversion"/>
  </si>
  <si>
    <t>기계과</t>
    <phoneticPr fontId="9" type="noConversion"/>
  </si>
  <si>
    <t>자동차과</t>
    <phoneticPr fontId="9" type="noConversion"/>
  </si>
  <si>
    <t>조선과</t>
    <phoneticPr fontId="9" type="noConversion"/>
  </si>
  <si>
    <t>항공과</t>
    <phoneticPr fontId="9" type="noConversion"/>
  </si>
  <si>
    <t>금속재료과</t>
    <phoneticPr fontId="9" type="noConversion"/>
  </si>
  <si>
    <t>세라믹과</t>
    <phoneticPr fontId="9" type="noConversion"/>
  </si>
  <si>
    <t>화학공업과</t>
    <phoneticPr fontId="9" type="noConversion"/>
  </si>
  <si>
    <t>섬유과</t>
    <phoneticPr fontId="9" type="noConversion"/>
  </si>
  <si>
    <t>의류과</t>
    <phoneticPr fontId="9" type="noConversion"/>
  </si>
  <si>
    <t>전기과</t>
    <phoneticPr fontId="9" type="noConversion"/>
  </si>
  <si>
    <t>전자과</t>
    <phoneticPr fontId="9" type="noConversion"/>
  </si>
  <si>
    <t>정보컴퓨터과</t>
    <phoneticPr fontId="9" type="noConversion"/>
  </si>
  <si>
    <t>식품가공과</t>
    <phoneticPr fontId="9" type="noConversion"/>
  </si>
  <si>
    <t>공예과</t>
    <phoneticPr fontId="9" type="noConversion"/>
  </si>
  <si>
    <t>산업안전과</t>
    <phoneticPr fontId="9" type="noConversion"/>
  </si>
  <si>
    <t>농업과</t>
    <phoneticPr fontId="9" type="noConversion"/>
  </si>
  <si>
    <t>원예과</t>
    <phoneticPr fontId="9" type="noConversion"/>
  </si>
  <si>
    <t>산림자원과</t>
    <phoneticPr fontId="9" type="noConversion"/>
  </si>
  <si>
    <t>과정</t>
    <phoneticPr fontId="9" type="noConversion"/>
  </si>
  <si>
    <t>도제</t>
    <phoneticPr fontId="9" type="noConversion"/>
  </si>
  <si>
    <t>과정평가형</t>
    <phoneticPr fontId="9" type="noConversion"/>
  </si>
  <si>
    <t>교과(군)</t>
    <phoneticPr fontId="6" type="noConversion"/>
  </si>
  <si>
    <t>경제수학</t>
    <phoneticPr fontId="9" type="noConversion"/>
  </si>
  <si>
    <t>기준 단위</t>
    <phoneticPr fontId="6" type="noConversion"/>
  </si>
  <si>
    <t>일반</t>
    <phoneticPr fontId="9" type="noConversion"/>
  </si>
  <si>
    <t>1학기</t>
    <phoneticPr fontId="9" type="noConversion"/>
  </si>
  <si>
    <t>이수시간</t>
    <phoneticPr fontId="9" type="noConversion"/>
  </si>
  <si>
    <t>이수시간 
합계</t>
    <phoneticPr fontId="9" type="noConversion"/>
  </si>
  <si>
    <t>학과명</t>
    <phoneticPr fontId="9" type="noConversion"/>
  </si>
  <si>
    <t>인력양성유형</t>
    <phoneticPr fontId="9" type="noConversion"/>
  </si>
  <si>
    <t>학교명</t>
    <phoneticPr fontId="9" type="noConversion"/>
  </si>
  <si>
    <t>입학년도</t>
    <phoneticPr fontId="9" type="noConversion"/>
  </si>
  <si>
    <t>기준 
학점</t>
    <phoneticPr fontId="6" type="noConversion"/>
  </si>
  <si>
    <t>운영
가능
학점</t>
    <phoneticPr fontId="9" type="noConversion"/>
  </si>
  <si>
    <t>운영
학점</t>
    <phoneticPr fontId="6" type="noConversion"/>
  </si>
  <si>
    <t>이수
학점</t>
    <phoneticPr fontId="6" type="noConversion"/>
  </si>
  <si>
    <t>필수
이수
학점</t>
    <phoneticPr fontId="6" type="noConversion"/>
  </si>
  <si>
    <t>이수학점</t>
    <phoneticPr fontId="9" type="noConversion"/>
  </si>
  <si>
    <t>이수학점 
합계</t>
    <phoneticPr fontId="9" type="noConversion"/>
  </si>
  <si>
    <t>운영
학점</t>
    <phoneticPr fontId="9" type="noConversion"/>
  </si>
  <si>
    <t>훈련시간</t>
    <phoneticPr fontId="9" type="noConversion"/>
  </si>
  <si>
    <t>능력단위 수준</t>
    <phoneticPr fontId="9" type="noConversion"/>
  </si>
  <si>
    <t>담당자
연락처</t>
    <phoneticPr fontId="9" type="noConversion"/>
  </si>
  <si>
    <t>직</t>
    <phoneticPr fontId="9" type="noConversion"/>
  </si>
  <si>
    <t>내선번호</t>
    <phoneticPr fontId="9" type="noConversion"/>
  </si>
  <si>
    <t>교감</t>
    <phoneticPr fontId="9" type="noConversion"/>
  </si>
  <si>
    <t>교육과정담당</t>
    <phoneticPr fontId="9" type="noConversion"/>
  </si>
  <si>
    <t>학기별 이수학점</t>
    <phoneticPr fontId="9" type="noConversion"/>
  </si>
  <si>
    <t>실무과목 능력단위 편성표</t>
    <phoneticPr fontId="9" type="noConversion"/>
  </si>
  <si>
    <t>성명</t>
    <phoneticPr fontId="9" type="noConversion"/>
  </si>
  <si>
    <t>최소학점수</t>
    <phoneticPr fontId="9" type="noConversion"/>
  </si>
  <si>
    <t>교과최소학점</t>
  </si>
  <si>
    <t>창체최소학점</t>
  </si>
  <si>
    <t>문화예술디자인방송</t>
    <phoneticPr fontId="9" type="noConversion"/>
  </si>
  <si>
    <t>미용</t>
    <phoneticPr fontId="9" type="noConversion"/>
  </si>
  <si>
    <t>관광레저</t>
    <phoneticPr fontId="9" type="noConversion"/>
  </si>
  <si>
    <t>건축토목</t>
    <phoneticPr fontId="9" type="noConversion"/>
  </si>
  <si>
    <t>섬유의류</t>
    <phoneticPr fontId="9" type="noConversion"/>
  </si>
  <si>
    <t>환경안전소방</t>
    <phoneticPr fontId="9" type="noConversion"/>
  </si>
  <si>
    <t>농림수산</t>
    <phoneticPr fontId="9" type="noConversion"/>
  </si>
  <si>
    <t>수산해운</t>
    <phoneticPr fontId="9" type="noConversion"/>
  </si>
  <si>
    <t>식품조리</t>
    <phoneticPr fontId="9" type="noConversion"/>
  </si>
  <si>
    <t>융복합지식재산</t>
    <phoneticPr fontId="9" type="noConversion"/>
  </si>
  <si>
    <t>경영사무과</t>
    <phoneticPr fontId="9" type="noConversion"/>
  </si>
  <si>
    <t>세무회계과</t>
    <phoneticPr fontId="9" type="noConversion"/>
  </si>
  <si>
    <t>금융정보화</t>
    <phoneticPr fontId="9" type="noConversion"/>
  </si>
  <si>
    <t>마케팅과</t>
    <phoneticPr fontId="9" type="noConversion"/>
  </si>
  <si>
    <t>복지과</t>
    <phoneticPr fontId="9" type="noConversion"/>
  </si>
  <si>
    <t>간호과</t>
    <phoneticPr fontId="9" type="noConversion"/>
  </si>
  <si>
    <t>방송과</t>
    <phoneticPr fontId="9" type="noConversion"/>
  </si>
  <si>
    <t>관광과</t>
    <phoneticPr fontId="9" type="noConversion"/>
  </si>
  <si>
    <t>레저산업과</t>
    <phoneticPr fontId="9" type="noConversion"/>
  </si>
  <si>
    <t>조리과</t>
    <phoneticPr fontId="9" type="noConversion"/>
  </si>
  <si>
    <t>식음료과</t>
    <phoneticPr fontId="9" type="noConversion"/>
  </si>
  <si>
    <t>제과제빵과</t>
    <phoneticPr fontId="9" type="noConversion"/>
  </si>
  <si>
    <t>공간정보과</t>
    <phoneticPr fontId="9" type="noConversion"/>
  </si>
  <si>
    <t>건축과</t>
    <phoneticPr fontId="9" type="noConversion"/>
  </si>
  <si>
    <t>건축인테리어과</t>
    <phoneticPr fontId="9" type="noConversion"/>
  </si>
  <si>
    <t>스마트시트과</t>
    <phoneticPr fontId="9" type="noConversion"/>
  </si>
  <si>
    <t>공조산업설비과</t>
    <phoneticPr fontId="9" type="noConversion"/>
  </si>
  <si>
    <t>바이오화학공업과</t>
    <phoneticPr fontId="9" type="noConversion"/>
  </si>
  <si>
    <t>에너지화학공업과</t>
    <phoneticPr fontId="9" type="noConversion"/>
  </si>
  <si>
    <t>통신과</t>
    <phoneticPr fontId="9" type="noConversion"/>
  </si>
  <si>
    <t>소프트웨어과</t>
    <phoneticPr fontId="9" type="noConversion"/>
  </si>
  <si>
    <t>환경과</t>
    <phoneticPr fontId="9" type="noConversion"/>
  </si>
  <si>
    <t>소방과</t>
    <phoneticPr fontId="9" type="noConversion"/>
  </si>
  <si>
    <t>동물자원과</t>
    <phoneticPr fontId="9" type="noConversion"/>
  </si>
  <si>
    <t>농업기계과</t>
    <phoneticPr fontId="9" type="noConversion"/>
  </si>
  <si>
    <t>농업토목과</t>
    <phoneticPr fontId="9" type="noConversion"/>
  </si>
  <si>
    <t>족경과</t>
    <phoneticPr fontId="9" type="noConversion"/>
  </si>
  <si>
    <t>해양생산과</t>
    <phoneticPr fontId="9" type="noConversion"/>
  </si>
  <si>
    <t>수산양식과</t>
    <phoneticPr fontId="9" type="noConversion"/>
  </si>
  <si>
    <t>항해과</t>
    <phoneticPr fontId="9" type="noConversion"/>
  </si>
  <si>
    <t>해양레저과</t>
    <phoneticPr fontId="9" type="noConversion"/>
  </si>
  <si>
    <t>기관과</t>
    <phoneticPr fontId="9" type="noConversion"/>
  </si>
  <si>
    <t>스마트공장과</t>
    <phoneticPr fontId="9" type="noConversion"/>
  </si>
  <si>
    <t>발명특허과</t>
    <phoneticPr fontId="9" type="noConversion"/>
  </si>
  <si>
    <t>공통국어1</t>
  </si>
  <si>
    <t>공통국어1</t>
    <phoneticPr fontId="9" type="noConversion"/>
  </si>
  <si>
    <t>공통국어2</t>
    <phoneticPr fontId="9" type="noConversion"/>
  </si>
  <si>
    <t>화법과 언어</t>
  </si>
  <si>
    <t>화법과 언어</t>
    <phoneticPr fontId="9" type="noConversion"/>
  </si>
  <si>
    <t>독서와 작문</t>
    <phoneticPr fontId="9" type="noConversion"/>
  </si>
  <si>
    <t>주제탐구독서</t>
    <phoneticPr fontId="9" type="noConversion"/>
  </si>
  <si>
    <t>문학과 영상</t>
    <phoneticPr fontId="9" type="noConversion"/>
  </si>
  <si>
    <t>직무의사소통</t>
    <phoneticPr fontId="9" type="noConversion"/>
  </si>
  <si>
    <t>독서 토론과 글쓰기</t>
    <phoneticPr fontId="9" type="noConversion"/>
  </si>
  <si>
    <t>매체 의사소통</t>
    <phoneticPr fontId="9" type="noConversion"/>
  </si>
  <si>
    <t>언어생활 탐구</t>
    <phoneticPr fontId="9" type="noConversion"/>
  </si>
  <si>
    <t>융합</t>
    <phoneticPr fontId="9" type="noConversion"/>
  </si>
  <si>
    <t>공통수학1</t>
    <phoneticPr fontId="9" type="noConversion"/>
  </si>
  <si>
    <t>공통수학2</t>
  </si>
  <si>
    <t>공통수학2</t>
    <phoneticPr fontId="9" type="noConversion"/>
  </si>
  <si>
    <t>대수</t>
    <phoneticPr fontId="9" type="noConversion"/>
  </si>
  <si>
    <t>미적분 Ⅰ</t>
    <phoneticPr fontId="9" type="noConversion"/>
  </si>
  <si>
    <t>미적분 Ⅱ</t>
    <phoneticPr fontId="9" type="noConversion"/>
  </si>
  <si>
    <t>인공지능 수학</t>
    <phoneticPr fontId="9" type="noConversion"/>
  </si>
  <si>
    <t>공통영어1</t>
    <phoneticPr fontId="9" type="noConversion"/>
  </si>
  <si>
    <t>직무수학</t>
    <phoneticPr fontId="9" type="noConversion"/>
  </si>
  <si>
    <t>진로</t>
    <phoneticPr fontId="9" type="noConversion"/>
  </si>
  <si>
    <t>수학과 문화</t>
    <phoneticPr fontId="9" type="noConversion"/>
  </si>
  <si>
    <t>실용 통계</t>
    <phoneticPr fontId="9" type="noConversion"/>
  </si>
  <si>
    <t>수학과제 탐구</t>
    <phoneticPr fontId="9" type="noConversion"/>
  </si>
  <si>
    <t>공통영어2</t>
    <phoneticPr fontId="9" type="noConversion"/>
  </si>
  <si>
    <t>영어 발표와 토론</t>
    <phoneticPr fontId="9" type="noConversion"/>
  </si>
  <si>
    <t>직무영어</t>
    <phoneticPr fontId="9" type="noConversion"/>
  </si>
  <si>
    <t>심화영어</t>
    <phoneticPr fontId="9" type="noConversion"/>
  </si>
  <si>
    <t>심화 영어 독해와 작문</t>
    <phoneticPr fontId="9" type="noConversion"/>
  </si>
  <si>
    <t>실생활 영어 회화</t>
    <phoneticPr fontId="9" type="noConversion"/>
  </si>
  <si>
    <t>미디어 영어</t>
    <phoneticPr fontId="9" type="noConversion"/>
  </si>
  <si>
    <t>세계 문화와 영어</t>
    <phoneticPr fontId="9" type="noConversion"/>
  </si>
  <si>
    <t>한국사1</t>
    <phoneticPr fontId="9" type="noConversion"/>
  </si>
  <si>
    <t>한국사2</t>
    <phoneticPr fontId="9" type="noConversion"/>
  </si>
  <si>
    <t>공통</t>
    <phoneticPr fontId="9" type="noConversion"/>
  </si>
  <si>
    <t>통합사회1</t>
    <phoneticPr fontId="9" type="noConversion"/>
  </si>
  <si>
    <t>통합사회2</t>
    <phoneticPr fontId="9" type="noConversion"/>
  </si>
  <si>
    <t>한국지리 탐구</t>
    <phoneticPr fontId="9" type="noConversion"/>
  </si>
  <si>
    <t>도시의 미래 탐구</t>
    <phoneticPr fontId="9" type="noConversion"/>
  </si>
  <si>
    <t>동아시아 주제 탐구</t>
    <phoneticPr fontId="9" type="noConversion"/>
  </si>
  <si>
    <t>정치</t>
    <phoneticPr fontId="9" type="noConversion"/>
  </si>
  <si>
    <t>법과 사회</t>
    <phoneticPr fontId="9" type="noConversion"/>
  </si>
  <si>
    <t>인문학과 윤리</t>
    <phoneticPr fontId="9" type="noConversion"/>
  </si>
  <si>
    <t>국제 관계의 이해</t>
    <phoneticPr fontId="9" type="noConversion"/>
  </si>
  <si>
    <t>역사로 탐구하는 현대세계</t>
    <phoneticPr fontId="9" type="noConversion"/>
  </si>
  <si>
    <t>금융과 경제생활</t>
    <phoneticPr fontId="9" type="noConversion"/>
  </si>
  <si>
    <t>윤리문제 탐구</t>
    <phoneticPr fontId="9" type="noConversion"/>
  </si>
  <si>
    <t>기후 변화와 지속가능한 세계</t>
    <phoneticPr fontId="9" type="noConversion"/>
  </si>
  <si>
    <t>세계시민과 지리</t>
    <phoneticPr fontId="9" type="noConversion"/>
  </si>
  <si>
    <t>세계사</t>
    <phoneticPr fontId="9" type="noConversion"/>
  </si>
  <si>
    <t>사회와 문화</t>
    <phoneticPr fontId="9" type="noConversion"/>
  </si>
  <si>
    <t>현대사회와 윤리</t>
    <phoneticPr fontId="9" type="noConversion"/>
  </si>
  <si>
    <t>일반</t>
    <phoneticPr fontId="9" type="noConversion"/>
  </si>
  <si>
    <t>통합과학1</t>
    <phoneticPr fontId="9" type="noConversion"/>
  </si>
  <si>
    <t>통합과학2</t>
    <phoneticPr fontId="9" type="noConversion"/>
  </si>
  <si>
    <t>과학탐구실험1</t>
    <phoneticPr fontId="9" type="noConversion"/>
  </si>
  <si>
    <t>과학탐구실험2</t>
    <phoneticPr fontId="9" type="noConversion"/>
  </si>
  <si>
    <t>물리학</t>
    <phoneticPr fontId="9" type="noConversion"/>
  </si>
  <si>
    <t>화학</t>
    <phoneticPr fontId="9" type="noConversion"/>
  </si>
  <si>
    <t>생명과학</t>
    <phoneticPr fontId="9" type="noConversion"/>
  </si>
  <si>
    <t>지구과학</t>
    <phoneticPr fontId="9" type="noConversion"/>
  </si>
  <si>
    <t>역학과 에너지</t>
    <phoneticPr fontId="9" type="noConversion"/>
  </si>
  <si>
    <t>전자기와 빛</t>
    <phoneticPr fontId="9" type="noConversion"/>
  </si>
  <si>
    <t>물질과 에너지</t>
    <phoneticPr fontId="9" type="noConversion"/>
  </si>
  <si>
    <t>화학반응의 세계</t>
    <phoneticPr fontId="9" type="noConversion"/>
  </si>
  <si>
    <t>세포와 물질대사</t>
    <phoneticPr fontId="9" type="noConversion"/>
  </si>
  <si>
    <t>생물의 유전</t>
    <phoneticPr fontId="9" type="noConversion"/>
  </si>
  <si>
    <t>지구시스템과학</t>
    <phoneticPr fontId="9" type="noConversion"/>
  </si>
  <si>
    <t>행성우주과학</t>
    <phoneticPr fontId="9" type="noConversion"/>
  </si>
  <si>
    <t>과학의 역사와 문화</t>
    <phoneticPr fontId="9" type="noConversion"/>
  </si>
  <si>
    <t>기후 변화와 환경생태</t>
    <phoneticPr fontId="9" type="noConversion"/>
  </si>
  <si>
    <t>융합과학 탐구</t>
    <phoneticPr fontId="9" type="noConversion"/>
  </si>
  <si>
    <t>융합</t>
    <phoneticPr fontId="9" type="noConversion"/>
  </si>
  <si>
    <t>체육 Ⅰ</t>
    <phoneticPr fontId="9" type="noConversion"/>
  </si>
  <si>
    <t>운동과 건강 Ⅰ</t>
    <phoneticPr fontId="9" type="noConversion"/>
  </si>
  <si>
    <t>체육Ⅱ</t>
    <phoneticPr fontId="9" type="noConversion"/>
  </si>
  <si>
    <t>운동과 건강Ⅱ</t>
    <phoneticPr fontId="9" type="noConversion"/>
  </si>
  <si>
    <t>스프츠생활</t>
    <phoneticPr fontId="9" type="noConversion"/>
  </si>
  <si>
    <t>스포츠 활동과 분석</t>
    <phoneticPr fontId="9" type="noConversion"/>
  </si>
  <si>
    <t>음악 연주와 창작</t>
    <phoneticPr fontId="9" type="noConversion"/>
  </si>
  <si>
    <t>음악 감상과 비평</t>
    <phoneticPr fontId="9" type="noConversion"/>
  </si>
  <si>
    <t>미술 창작</t>
    <phoneticPr fontId="9" type="noConversion"/>
  </si>
  <si>
    <t>미술 감상과 비평</t>
    <phoneticPr fontId="9" type="noConversion"/>
  </si>
  <si>
    <t>음악과 미디어</t>
    <phoneticPr fontId="9" type="noConversion"/>
  </si>
  <si>
    <t>미술과 매체</t>
    <phoneticPr fontId="9" type="noConversion"/>
  </si>
  <si>
    <t>로봇과 공학세계</t>
    <phoneticPr fontId="9" type="noConversion"/>
  </si>
  <si>
    <t>가족과 가정생활</t>
    <phoneticPr fontId="9" type="noConversion"/>
  </si>
  <si>
    <t>인공지능 기초</t>
    <phoneticPr fontId="9" type="noConversion"/>
  </si>
  <si>
    <t>데이터 과학</t>
    <phoneticPr fontId="9" type="noConversion"/>
  </si>
  <si>
    <t>창의 공학 설계</t>
    <phoneticPr fontId="9" type="noConversion"/>
  </si>
  <si>
    <t>지식 재산 일반</t>
    <phoneticPr fontId="9" type="noConversion"/>
  </si>
  <si>
    <t>생애 설계와 자립</t>
    <phoneticPr fontId="9" type="noConversion"/>
  </si>
  <si>
    <t>아동발달과 부모</t>
    <phoneticPr fontId="9" type="noConversion"/>
  </si>
  <si>
    <t>소프트웨워와 생활</t>
    <phoneticPr fontId="9" type="noConversion"/>
  </si>
  <si>
    <t>독일어</t>
    <phoneticPr fontId="9" type="noConversion"/>
  </si>
  <si>
    <t>프랑스어</t>
    <phoneticPr fontId="9" type="noConversion"/>
  </si>
  <si>
    <t>스페인어</t>
    <phoneticPr fontId="9" type="noConversion"/>
  </si>
  <si>
    <t>중국어</t>
    <phoneticPr fontId="9" type="noConversion"/>
  </si>
  <si>
    <t>일본어</t>
    <phoneticPr fontId="9" type="noConversion"/>
  </si>
  <si>
    <t>러시아어</t>
    <phoneticPr fontId="9" type="noConversion"/>
  </si>
  <si>
    <t>아랍어</t>
    <phoneticPr fontId="9" type="noConversion"/>
  </si>
  <si>
    <t>베트남어</t>
    <phoneticPr fontId="9" type="noConversion"/>
  </si>
  <si>
    <t>독일어 회화</t>
    <phoneticPr fontId="9" type="noConversion"/>
  </si>
  <si>
    <t>프랑스어 회화</t>
    <phoneticPr fontId="9" type="noConversion"/>
  </si>
  <si>
    <t>스페인어 회화</t>
    <phoneticPr fontId="9" type="noConversion"/>
  </si>
  <si>
    <t>중국어 회화</t>
    <phoneticPr fontId="9" type="noConversion"/>
  </si>
  <si>
    <t>일본어 회화</t>
    <phoneticPr fontId="9" type="noConversion"/>
  </si>
  <si>
    <t>러시아어 회화</t>
    <phoneticPr fontId="9" type="noConversion"/>
  </si>
  <si>
    <t>아랍어 회화</t>
    <phoneticPr fontId="9" type="noConversion"/>
  </si>
  <si>
    <t>베트남어 회화</t>
    <phoneticPr fontId="9" type="noConversion"/>
  </si>
  <si>
    <t>심화 독일어</t>
    <phoneticPr fontId="9" type="noConversion"/>
  </si>
  <si>
    <t>심화 프랑스어</t>
    <phoneticPr fontId="9" type="noConversion"/>
  </si>
  <si>
    <t>심화 일본어</t>
    <phoneticPr fontId="9" type="noConversion"/>
  </si>
  <si>
    <t>심화 중국어</t>
    <phoneticPr fontId="9" type="noConversion"/>
  </si>
  <si>
    <t>심화 러시아어</t>
    <phoneticPr fontId="9" type="noConversion"/>
  </si>
  <si>
    <t>심화 아랍어</t>
    <phoneticPr fontId="9" type="noConversion"/>
  </si>
  <si>
    <t>심화 베트남어</t>
    <phoneticPr fontId="9" type="noConversion"/>
  </si>
  <si>
    <t>심화 한문</t>
    <phoneticPr fontId="9" type="noConversion"/>
  </si>
  <si>
    <t>한문</t>
    <phoneticPr fontId="9" type="noConversion"/>
  </si>
  <si>
    <t>보통교과</t>
  </si>
  <si>
    <t>독일어권 문화</t>
    <phoneticPr fontId="9" type="noConversion"/>
  </si>
  <si>
    <t>프랑스어권 문화</t>
    <phoneticPr fontId="9" type="noConversion"/>
  </si>
  <si>
    <t>스페인어권 문화</t>
    <phoneticPr fontId="9" type="noConversion"/>
  </si>
  <si>
    <t>중국 문화</t>
    <phoneticPr fontId="9" type="noConversion"/>
  </si>
  <si>
    <t>일본 문화</t>
    <phoneticPr fontId="9" type="noConversion"/>
  </si>
  <si>
    <t>러시아 문화</t>
    <phoneticPr fontId="9" type="noConversion"/>
  </si>
  <si>
    <t>아랍 문화</t>
    <phoneticPr fontId="9" type="noConversion"/>
  </si>
  <si>
    <t>베트남 문화</t>
    <phoneticPr fontId="9" type="noConversion"/>
  </si>
  <si>
    <t>생태와 환경</t>
    <phoneticPr fontId="9" type="noConversion"/>
  </si>
  <si>
    <t>인간과 철학</t>
    <phoneticPr fontId="9" type="noConversion"/>
  </si>
  <si>
    <t>논리와 사고</t>
    <phoneticPr fontId="9" type="noConversion"/>
  </si>
  <si>
    <t>인간과 심리</t>
    <phoneticPr fontId="9" type="noConversion"/>
  </si>
  <si>
    <t>교육의 이해</t>
    <phoneticPr fontId="9" type="noConversion"/>
  </si>
  <si>
    <t>삶과 종료</t>
    <phoneticPr fontId="9" type="noConversion"/>
  </si>
  <si>
    <t>인간과 경제활동</t>
    <phoneticPr fontId="9" type="noConversion"/>
  </si>
  <si>
    <t>보통</t>
    <phoneticPr fontId="6" type="noConversion"/>
  </si>
  <si>
    <t>3~4</t>
    <phoneticPr fontId="9" type="noConversion"/>
  </si>
  <si>
    <t>진로선택</t>
    <phoneticPr fontId="9" type="noConversion"/>
  </si>
  <si>
    <t>3~5</t>
    <phoneticPr fontId="9" type="noConversion"/>
  </si>
  <si>
    <t>직무 수학</t>
    <phoneticPr fontId="9" type="noConversion"/>
  </si>
  <si>
    <t>사회(역사/도덕 포함)</t>
    <phoneticPr fontId="9" type="noConversion"/>
  </si>
  <si>
    <t>일반선택</t>
    <phoneticPr fontId="9" type="noConversion"/>
  </si>
  <si>
    <t>체육1</t>
    <phoneticPr fontId="9" type="noConversion"/>
  </si>
  <si>
    <t>2~4</t>
    <phoneticPr fontId="9" type="noConversion"/>
  </si>
  <si>
    <t>체육2</t>
    <phoneticPr fontId="9" type="noConversion"/>
  </si>
  <si>
    <t>1~2</t>
    <phoneticPr fontId="9" type="noConversion"/>
  </si>
  <si>
    <t>전문공통</t>
    <phoneticPr fontId="9" type="noConversion"/>
  </si>
  <si>
    <t>전공일반</t>
    <phoneticPr fontId="9" type="noConversion"/>
  </si>
  <si>
    <t>전공실무</t>
    <phoneticPr fontId="9" type="noConversion"/>
  </si>
  <si>
    <t>문화·예술·디자인·방송</t>
    <phoneticPr fontId="9" type="noConversion"/>
  </si>
  <si>
    <r>
      <t>자율</t>
    </r>
    <r>
      <rPr>
        <sz val="10"/>
        <rFont val="맑은 고딕"/>
        <family val="3"/>
        <charset val="129"/>
      </rPr>
      <t>〮</t>
    </r>
    <r>
      <rPr>
        <sz val="10"/>
        <rFont val="맑은 고딕"/>
        <family val="3"/>
        <charset val="129"/>
        <scheme val="minor"/>
      </rPr>
      <t>자치활동</t>
    </r>
    <phoneticPr fontId="9" type="noConversion"/>
  </si>
  <si>
    <t>시도명</t>
    <phoneticPr fontId="9" type="noConversion"/>
  </si>
  <si>
    <t>합계</t>
    <phoneticPr fontId="9" type="noConversion"/>
  </si>
  <si>
    <t>총이수 합계</t>
    <phoneticPr fontId="9" type="noConversion"/>
  </si>
  <si>
    <t>창의적체험활동</t>
    <phoneticPr fontId="9" type="noConversion"/>
  </si>
  <si>
    <t>3~4</t>
  </si>
  <si>
    <t>3↑</t>
    <phoneticPr fontId="9" type="noConversion"/>
  </si>
  <si>
    <t>3~5</t>
  </si>
  <si>
    <t>2~4</t>
  </si>
  <si>
    <t>스포츠 문화*</t>
    <phoneticPr fontId="9" type="noConversion"/>
  </si>
  <si>
    <r>
      <t xml:space="preserve">  2022 개정 직업계고 교육과정 편성</t>
    </r>
    <r>
      <rPr>
        <b/>
        <sz val="24"/>
        <color theme="4" tint="-0.249977111117893"/>
        <rFont val="Arial"/>
        <family val="2"/>
      </rPr>
      <t>‧</t>
    </r>
    <r>
      <rPr>
        <b/>
        <sz val="24"/>
        <color theme="4" tint="-0.249977111117893"/>
        <rFont val="맑은 고딕"/>
        <family val="3"/>
        <charset val="129"/>
      </rPr>
      <t xml:space="preserve">운영 기준 비교 </t>
    </r>
  </si>
  <si>
    <t>구분</t>
  </si>
  <si>
    <t>2015 개정 교육과정</t>
  </si>
  <si>
    <t>2022 개정 교육과정</t>
  </si>
  <si>
    <t>3년간
이수 학점</t>
    <phoneticPr fontId="9" type="noConversion"/>
  </si>
  <si>
    <t xml:space="preserve"> • 192학점[창체 18학점(288시간) 포함]</t>
    <phoneticPr fontId="9" type="noConversion"/>
  </si>
  <si>
    <t>보통교과 필수 이수 학점</t>
  </si>
  <si>
    <t>66학점</t>
  </si>
  <si>
    <t>64학점</t>
  </si>
  <si>
    <t>전문교과 필수 이수 학점</t>
  </si>
  <si>
    <t>86학점</t>
  </si>
  <si>
    <t>80학점</t>
  </si>
  <si>
    <t>자율 이수 학점</t>
  </si>
  <si>
    <t>22학점</t>
  </si>
  <si>
    <t>30학점</t>
  </si>
  <si>
    <t>창의적 체험활동</t>
  </si>
  <si>
    <t>18학점</t>
  </si>
  <si>
    <t>교과분류</t>
    <phoneticPr fontId="9" type="noConversion"/>
  </si>
  <si>
    <t>공통 과목, 선택 과목(일반, 진로)</t>
    <phoneticPr fontId="9" type="noConversion"/>
  </si>
  <si>
    <t>공통 과목
선택 과목(일반, 진로, 융합)</t>
    <phoneticPr fontId="9" type="noConversion"/>
  </si>
  <si>
    <t>전문교과 Ⅰ</t>
  </si>
  <si>
    <t>과학, 체육, 예술, 외국어, 국제 계열</t>
    <phoneticPr fontId="9" type="noConversion"/>
  </si>
  <si>
    <t>전문교과 Ⅱ</t>
  </si>
  <si>
    <t>NCS 기반 17개 교과(군)</t>
  </si>
  <si>
    <t>전문교과</t>
  </si>
  <si>
    <t>과목군 재구조화</t>
    <phoneticPr fontId="9" type="noConversion"/>
  </si>
  <si>
    <t>전문 공통 과목</t>
  </si>
  <si>
    <t>3 (+2)</t>
  </si>
  <si>
    <t>기초 과목</t>
  </si>
  <si>
    <t>전공 일반 과목</t>
  </si>
  <si>
    <t>216 (+37)</t>
  </si>
  <si>
    <t>실무 과목</t>
  </si>
  <si>
    <t>전공 실무 과목</t>
  </si>
  <si>
    <t>309 (-59)</t>
  </si>
  <si>
    <t>소계</t>
  </si>
  <si>
    <t>528 (-20)</t>
  </si>
  <si>
    <t>학점
배당
기준</t>
    <phoneticPr fontId="9" type="noConversion"/>
  </si>
  <si>
    <t>교과 영역</t>
  </si>
  <si>
    <t>교과
(군)</t>
  </si>
  <si>
    <t>공통 과목
(학점)</t>
  </si>
  <si>
    <t>필수 이수 학점</t>
  </si>
  <si>
    <t>공통 과목</t>
  </si>
  <si>
    <t>보통
교과</t>
  </si>
  <si>
    <t>기초</t>
  </si>
  <si>
    <t>국어</t>
  </si>
  <si>
    <t>국어(8)</t>
  </si>
  <si>
    <t>보통 교과</t>
  </si>
  <si>
    <t>공통국어1, 2</t>
  </si>
  <si>
    <t>수학</t>
  </si>
  <si>
    <t>수학(8)</t>
  </si>
  <si>
    <t>공통수학1, 2</t>
  </si>
  <si>
    <t>영어</t>
  </si>
  <si>
    <t>영어(8)</t>
  </si>
  <si>
    <t>공통영어1, 2</t>
  </si>
  <si>
    <t>한국사</t>
  </si>
  <si>
    <t>한국사(6)</t>
  </si>
  <si>
    <t>사회
(역사/도덕 포함)</t>
  </si>
  <si>
    <t>한국사1, 2</t>
  </si>
  <si>
    <t>탐구</t>
  </si>
  <si>
    <t>통합사회(8)</t>
  </si>
  <si>
    <t>통합사회1, 2</t>
  </si>
  <si>
    <t>과학</t>
  </si>
  <si>
    <t>통합과학(8)</t>
  </si>
  <si>
    <t>통합과학1, 2</t>
  </si>
  <si>
    <r>
      <t>체육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예술</t>
    </r>
  </si>
  <si>
    <t>체육</t>
  </si>
  <si>
    <t>예술</t>
  </si>
  <si>
    <r>
      <t>생활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</si>
  <si>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
제2외국어/
한문/교양</t>
    </r>
  </si>
  <si>
    <r>
      <t>기술</t>
    </r>
    <r>
      <rPr>
        <sz val="10"/>
        <color rgb="FF292929"/>
        <rFont val="&quot;맑은 고딕&quot;"/>
        <family val="3"/>
        <charset val="129"/>
      </rPr>
      <t>･</t>
    </r>
    <r>
      <rPr>
        <sz val="10"/>
        <color rgb="FF292929"/>
        <rFont val="맑은 고딕"/>
        <family val="3"/>
        <charset val="129"/>
      </rPr>
      <t>가정/정보/
 제2외국어/
 한문/교양</t>
    </r>
  </si>
  <si>
    <t>전문
교과Ⅱ</t>
  </si>
  <si>
    <t>17개 교과(군) 등</t>
  </si>
  <si>
    <t>전문
교과</t>
  </si>
  <si>
    <t>17개 교과(군)</t>
  </si>
  <si>
    <t>총 이수 학점</t>
  </si>
  <si>
    <t>선택
과목</t>
  </si>
  <si>
    <t>• 일반 선택, 진로 선택</t>
  </si>
  <si>
    <t>• 일반 선택, 진로 선택, 융합 선택</t>
  </si>
  <si>
    <t>※ 진로 선택: 실용 국어, 실용 영어, 실용 수학</t>
  </si>
  <si>
    <t>※ 진로 선택: 직무 의사소통, 직무 수학, 직무 영어</t>
  </si>
  <si>
    <t>전문
교과</t>
    <phoneticPr fontId="9" type="noConversion"/>
  </si>
  <si>
    <t>• 전문교과 Ⅰ(특목고) - 내용 생략</t>
  </si>
  <si>
    <t>• 전문교과(직업계고)</t>
  </si>
  <si>
    <t>• 전문교과 Ⅱ(직업계고)</t>
  </si>
  <si>
    <t>내용</t>
  </si>
  <si>
    <t>필수이수학점</t>
    <phoneticPr fontId="9" type="noConversion"/>
  </si>
  <si>
    <t>필수이수학점</t>
  </si>
  <si>
    <t>전문공통과목</t>
  </si>
  <si>
    <t>성공적인직업생활</t>
    <phoneticPr fontId="9" type="noConversion"/>
  </si>
  <si>
    <t>성공적인직업생활
노동인권과산업안전보건
디지털과직업생활</t>
  </si>
  <si>
    <t>기초과목</t>
  </si>
  <si>
    <t>전공일반과목</t>
  </si>
  <si>
    <t>실무과목</t>
  </si>
  <si>
    <t>전공실무과목</t>
  </si>
  <si>
    <t>이수
학점
증감
범위</t>
    <phoneticPr fontId="9" type="noConversion"/>
  </si>
  <si>
    <t>기준학점</t>
  </si>
  <si>
    <t>증감</t>
  </si>
  <si>
    <t>편성가능
학점</t>
    <phoneticPr fontId="9" type="noConversion"/>
  </si>
  <si>
    <t>편성가능
학점</t>
  </si>
  <si>
    <t>공통과목</t>
  </si>
  <si>
    <t>6~8</t>
  </si>
  <si>
    <t>한국사
(2학기 이상 편성)</t>
  </si>
  <si>
    <t>6이상</t>
  </si>
  <si>
    <t>한국사 1, 2</t>
  </si>
  <si>
    <t>일반선택과목</t>
  </si>
  <si>
    <t>±2</t>
  </si>
  <si>
    <t>3~7</t>
  </si>
  <si>
    <t>선택과목</t>
  </si>
  <si>
    <t>±1</t>
  </si>
  <si>
    <t>진로선택과목</t>
  </si>
  <si>
    <t>±3</t>
  </si>
  <si>
    <t>2~8</t>
  </si>
  <si>
    <t>체육, 예술, 교양 교과(군)</t>
  </si>
  <si>
    <t>교양 교과목</t>
  </si>
  <si>
    <t>2학점 이상</t>
  </si>
  <si>
    <t>※ 체육교과: 매학기 편성(단, 직업계의 경우, 현장실습이 있는 학년에는 탄력적으로 운영)</t>
  </si>
  <si>
    <t>"※ 체육교과: 매학기 편성(단, 직업계의 경우, 현장실습이 있는 학년에는 탄력적으로 운영)"</t>
    <phoneticPr fontId="9" type="noConversion"/>
  </si>
  <si>
    <t>학기별
이수
과목
편성</t>
    <phoneticPr fontId="9" type="noConversion"/>
  </si>
  <si>
    <t>모든 과목은 학기 단위로 이수</t>
  </si>
  <si>
    <t>&lt;보통교과&gt;</t>
  </si>
  <si>
    <t>편성 불가</t>
  </si>
  <si>
    <t>편성 가능</t>
  </si>
  <si>
    <t>2학기</t>
  </si>
  <si>
    <t>&lt;전문교과&gt;</t>
  </si>
  <si>
    <t>전공실무과목</t>
    <phoneticPr fontId="9" type="noConversion"/>
  </si>
  <si>
    <t>-</t>
  </si>
  <si>
    <t>※  단, 전공실무과목은 하나의 능력 단위가 다음 학기에 이어서 평가하지 않는다는 전제하에 2개 학기 편성·운영 가능</t>
    <phoneticPr fontId="9" type="noConversion"/>
  </si>
  <si>
    <t>창의적
체험
활동</t>
    <phoneticPr fontId="9" type="noConversion"/>
  </si>
  <si>
    <t>• 4개 영역: 자율활동, 동아리 활동, 봉사활동, 진로 활동</t>
  </si>
  <si>
    <r>
      <t xml:space="preserve"> • 3개 영역: 자율</t>
    </r>
    <r>
      <rPr>
        <sz val="10"/>
        <color theme="1"/>
        <rFont val="Arial"/>
        <family val="2"/>
      </rPr>
      <t>・</t>
    </r>
    <r>
      <rPr>
        <sz val="10"/>
        <color theme="1"/>
        <rFont val="맑은 고딕"/>
        <family val="3"/>
        <charset val="129"/>
      </rPr>
      <t>자치활동, 동아리활동, 진로활동</t>
    </r>
  </si>
  <si>
    <t>※ 봉사활동은 동아리활동 영역에 편성되어 있으며, 모든 활동과 연계 가능</t>
  </si>
  <si>
    <t>충남</t>
  </si>
  <si>
    <t>미용</t>
  </si>
  <si>
    <t>미용과</t>
  </si>
  <si>
    <t>뷰티디자인과</t>
    <phoneticPr fontId="9" type="noConversion"/>
  </si>
  <si>
    <t>일반</t>
  </si>
  <si>
    <t>미용사</t>
    <phoneticPr fontId="9" type="noConversion"/>
  </si>
  <si>
    <t>방미란</t>
    <phoneticPr fontId="9" type="noConversion"/>
  </si>
  <si>
    <t>교무홍보부장</t>
    <phoneticPr fontId="9" type="noConversion"/>
  </si>
  <si>
    <t>김 웅</t>
    <phoneticPr fontId="9" type="noConversion"/>
  </si>
  <si>
    <t>041)953-3501</t>
    <phoneticPr fontId="9" type="noConversion"/>
  </si>
  <si>
    <t>영어I</t>
    <phoneticPr fontId="9" type="noConversion"/>
  </si>
  <si>
    <t>스포츠 과학*</t>
    <phoneticPr fontId="9" type="noConversion"/>
  </si>
  <si>
    <t>1~3</t>
    <phoneticPr fontId="9" type="noConversion"/>
  </si>
  <si>
    <t>성공적인 직업생활</t>
    <phoneticPr fontId="9" type="noConversion"/>
  </si>
  <si>
    <t>미용의 기초</t>
    <phoneticPr fontId="5" type="noConversion"/>
  </si>
  <si>
    <t>미용 안전·보건</t>
    <phoneticPr fontId="5" type="noConversion"/>
  </si>
  <si>
    <t>네일미용</t>
    <phoneticPr fontId="9" type="noConversion"/>
  </si>
  <si>
    <t>메이크업</t>
    <phoneticPr fontId="9" type="noConversion"/>
  </si>
  <si>
    <t>피부미용</t>
    <phoneticPr fontId="9" type="noConversion"/>
  </si>
  <si>
    <t>비서</t>
    <phoneticPr fontId="9" type="noConversion"/>
  </si>
  <si>
    <t>디자인일반</t>
    <phoneticPr fontId="9" type="noConversion"/>
  </si>
  <si>
    <t>컴퓨터그래픽</t>
    <phoneticPr fontId="9" type="noConversion"/>
  </si>
  <si>
    <t>시각디자인</t>
    <phoneticPr fontId="9" type="noConversion"/>
  </si>
  <si>
    <t>경영·금융</t>
  </si>
  <si>
    <t>원랭스 헤어커트</t>
    <phoneticPr fontId="9" type="noConversion"/>
  </si>
  <si>
    <t>손발 기본관리</t>
    <phoneticPr fontId="9" type="noConversion"/>
  </si>
  <si>
    <t>네일 컬러링</t>
    <phoneticPr fontId="9" type="noConversion"/>
  </si>
  <si>
    <t>랩 네일</t>
    <phoneticPr fontId="9" type="noConversion"/>
  </si>
  <si>
    <t>아크릴 네일</t>
    <phoneticPr fontId="9" type="noConversion"/>
  </si>
  <si>
    <t>1201010156_21v6</t>
    <phoneticPr fontId="9" type="noConversion"/>
  </si>
  <si>
    <t>1201010128_21v5</t>
    <phoneticPr fontId="9" type="noConversion"/>
  </si>
  <si>
    <t>1201010212_19v5</t>
    <phoneticPr fontId="9" type="noConversion"/>
  </si>
  <si>
    <t>방송
콘텐츠제작</t>
    <phoneticPr fontId="9" type="noConversion"/>
  </si>
  <si>
    <t>영화
콘텐츠제작</t>
    <phoneticPr fontId="9" type="noConversion"/>
  </si>
  <si>
    <t>광고
콘텐츠제작</t>
    <phoneticPr fontId="9" type="noConversion"/>
  </si>
  <si>
    <t>1201010415_23v5</t>
    <phoneticPr fontId="9" type="noConversion"/>
  </si>
  <si>
    <t>1201010416_23v5</t>
    <phoneticPr fontId="9" type="noConversion"/>
  </si>
  <si>
    <t>1201010405_23v5</t>
    <phoneticPr fontId="9" type="noConversion"/>
  </si>
  <si>
    <t>1201010407_23v5</t>
    <phoneticPr fontId="9" type="noConversion"/>
  </si>
  <si>
    <t>웨딩 메이크업</t>
    <phoneticPr fontId="9" type="noConversion"/>
  </si>
  <si>
    <t>시대별 메이크업</t>
    <phoneticPr fontId="9" type="noConversion"/>
  </si>
  <si>
    <t>1201010347_19v5</t>
    <phoneticPr fontId="9" type="noConversion"/>
  </si>
  <si>
    <t>1201010342_19v3</t>
    <phoneticPr fontId="9" type="noConversion"/>
  </si>
  <si>
    <t>제작편집</t>
    <phoneticPr fontId="9" type="noConversion"/>
  </si>
  <si>
    <t>촬영 제작</t>
    <phoneticPr fontId="9" type="noConversion"/>
  </si>
  <si>
    <t>크리에이티브 전략 수립</t>
    <phoneticPr fontId="9" type="noConversion"/>
  </si>
  <si>
    <t>0803020411_16v2</t>
    <phoneticPr fontId="9" type="noConversion"/>
  </si>
  <si>
    <t>0803020421_16v2</t>
    <phoneticPr fontId="9" type="noConversion"/>
  </si>
  <si>
    <t>0803020414_16v2</t>
    <phoneticPr fontId="9" type="noConversion"/>
  </si>
  <si>
    <t>융합미디어과</t>
    <phoneticPr fontId="9" type="noConversion"/>
  </si>
  <si>
    <t>경영사무과</t>
  </si>
  <si>
    <t>문화예술디자인방송</t>
  </si>
  <si>
    <t>문화콘텐츠과</t>
  </si>
  <si>
    <t>디자인과</t>
  </si>
  <si>
    <t>영상콘텐츠제작자</t>
    <phoneticPr fontId="9" type="noConversion"/>
  </si>
  <si>
    <t>시안 디자인 개발 응용</t>
    <phoneticPr fontId="9" type="noConversion"/>
  </si>
  <si>
    <t>0802010120_20v3</t>
    <phoneticPr fontId="9" type="noConversion"/>
  </si>
  <si>
    <t>최종 디자인 실행</t>
    <phoneticPr fontId="9" type="noConversion"/>
  </si>
  <si>
    <t>0802010122_20v4</t>
    <phoneticPr fontId="9" type="noConversion"/>
  </si>
  <si>
    <t>시안 디자인 개발 심화</t>
  </si>
  <si>
    <t>0802010121_20v3</t>
    <phoneticPr fontId="9" type="noConversion"/>
  </si>
  <si>
    <t>디자인 개발 완료</t>
    <phoneticPr fontId="9" type="noConversion"/>
  </si>
  <si>
    <t>0802010123_20v4</t>
    <phoneticPr fontId="9" type="noConversion"/>
  </si>
  <si>
    <t>0803020817_18v3</t>
    <phoneticPr fontId="9" type="noConversion"/>
  </si>
  <si>
    <t>캐릭터 응용콘텐츠 적용</t>
    <phoneticPr fontId="9" type="noConversion"/>
  </si>
  <si>
    <t>0803020819_18v1</t>
    <phoneticPr fontId="9" type="noConversion"/>
  </si>
  <si>
    <t>전표관리</t>
    <phoneticPr fontId="9" type="noConversion"/>
  </si>
  <si>
    <t>결산처리</t>
    <phoneticPr fontId="9" type="noConversion"/>
  </si>
  <si>
    <t>0203020101_20v4</t>
    <phoneticPr fontId="9" type="noConversion"/>
  </si>
  <si>
    <t>사무자동화 프로그램 활용</t>
    <phoneticPr fontId="9" type="noConversion"/>
  </si>
  <si>
    <t>문서 작성</t>
    <phoneticPr fontId="9" type="noConversion"/>
  </si>
  <si>
    <t>0202030201_22v3</t>
    <phoneticPr fontId="9" type="noConversion"/>
  </si>
  <si>
    <t>0202030209_22v2</t>
    <phoneticPr fontId="9" type="noConversion"/>
  </si>
  <si>
    <t>경영진 일정관리</t>
    <phoneticPr fontId="9" type="noConversion"/>
  </si>
  <si>
    <t>0202030103_22v2</t>
    <phoneticPr fontId="9" type="noConversion"/>
  </si>
  <si>
    <t>부가가치세 신고</t>
    <phoneticPr fontId="9" type="noConversion"/>
  </si>
  <si>
    <t>원천징수</t>
    <phoneticPr fontId="9" type="noConversion"/>
  </si>
  <si>
    <t>0203020205_23v6</t>
    <phoneticPr fontId="9" type="noConversion"/>
  </si>
  <si>
    <t>0203020204_23v6</t>
    <phoneticPr fontId="9" type="noConversion"/>
  </si>
  <si>
    <t>학과 간
선택
(부전공)</t>
    <phoneticPr fontId="9" type="noConversion"/>
  </si>
  <si>
    <t>전공실무(고시외)</t>
    <phoneticPr fontId="9" type="noConversion"/>
  </si>
  <si>
    <t>전공일반(고시외)</t>
    <phoneticPr fontId="9" type="noConversion"/>
  </si>
  <si>
    <t>뷰티디자인
(전공선택)</t>
    <phoneticPr fontId="9" type="noConversion"/>
  </si>
  <si>
    <t>융합미디어
(부전공)</t>
    <phoneticPr fontId="9" type="noConversion"/>
  </si>
  <si>
    <t>뷰티디자인
(부전공)</t>
    <phoneticPr fontId="9" type="noConversion"/>
  </si>
  <si>
    <t>융합미디어
(전공선택)</t>
    <phoneticPr fontId="9" type="noConversion"/>
  </si>
  <si>
    <t>운동과 건강</t>
    <phoneticPr fontId="9" type="noConversion"/>
  </si>
  <si>
    <t>전문
(융합미디어과
전공필수)</t>
    <phoneticPr fontId="9" type="noConversion"/>
  </si>
  <si>
    <t>전문
(뷰티디자인과
전공필수)</t>
    <phoneticPr fontId="9" type="noConversion"/>
  </si>
  <si>
    <t>베이직 헤어컬러</t>
    <phoneticPr fontId="9" type="noConversion"/>
  </si>
  <si>
    <t>1201010125_21v6</t>
    <phoneticPr fontId="9" type="noConversion"/>
  </si>
  <si>
    <t>피부미용 얼굴 매뉴얼테크닉</t>
    <phoneticPr fontId="9" type="noConversion"/>
  </si>
  <si>
    <t>1201010213_20v6</t>
  </si>
  <si>
    <t>속눈썹 연장</t>
    <phoneticPr fontId="9" type="noConversion"/>
  </si>
  <si>
    <t>헤어미용1</t>
    <phoneticPr fontId="9" type="noConversion"/>
  </si>
  <si>
    <t>콜드펌</t>
    <phoneticPr fontId="9" type="noConversion"/>
  </si>
  <si>
    <t>1201010159_21v6</t>
    <phoneticPr fontId="9" type="noConversion"/>
  </si>
  <si>
    <t>히팅펌</t>
    <phoneticPr fontId="9" type="noConversion"/>
  </si>
  <si>
    <t>1201010161_21v6</t>
    <phoneticPr fontId="9" type="noConversion"/>
  </si>
  <si>
    <t>블로우 드라이 스타일</t>
    <phoneticPr fontId="9" type="noConversion"/>
  </si>
  <si>
    <t>1201010157_21v5</t>
    <phoneticPr fontId="9" type="noConversion"/>
  </si>
  <si>
    <t>1201010214_19v5</t>
    <phoneticPr fontId="9" type="noConversion"/>
  </si>
  <si>
    <t>피부미용 림프관리</t>
    <phoneticPr fontId="9" type="noConversion"/>
  </si>
  <si>
    <t>1201010227_20v5</t>
  </si>
  <si>
    <t>54
(택1)</t>
    <phoneticPr fontId="9" type="noConversion"/>
  </si>
  <si>
    <r>
      <t xml:space="preserve">기초 
피부 미용
</t>
    </r>
    <r>
      <rPr>
        <b/>
        <sz val="11"/>
        <color rgb="FF0070C0"/>
        <rFont val="맑은 고딕"/>
        <family val="3"/>
        <charset val="129"/>
      </rPr>
      <t>(고시 외)</t>
    </r>
    <phoneticPr fontId="9" type="noConversion"/>
  </si>
  <si>
    <t>1201010319_19v5</t>
    <phoneticPr fontId="9" type="noConversion"/>
  </si>
  <si>
    <t>야외 촬영</t>
    <phoneticPr fontId="9" type="noConversion"/>
  </si>
  <si>
    <t>0803020120_16v3</t>
    <phoneticPr fontId="9" type="noConversion"/>
  </si>
  <si>
    <t>0803020117_23v4</t>
    <phoneticPr fontId="9" type="noConversion"/>
  </si>
  <si>
    <t>0803020211_16v2</t>
  </si>
  <si>
    <t>캐릭터제작</t>
    <phoneticPr fontId="9" type="noConversion"/>
  </si>
  <si>
    <t>한국미래문화고등학교</t>
    <phoneticPr fontId="9" type="noConversion"/>
  </si>
  <si>
    <t>2027학년도 교육과정 편제 및 학점배당표(마이스터고/특성화고)</t>
    <phoneticPr fontId="9" type="noConversion"/>
  </si>
  <si>
    <t>정보컴퓨터과</t>
  </si>
  <si>
    <t>스마트경영과</t>
    <phoneticPr fontId="9" type="noConversion"/>
  </si>
  <si>
    <t>경영사무원</t>
    <phoneticPr fontId="9" type="noConversion"/>
  </si>
  <si>
    <t>전문
(스마트경영과
전공필수)</t>
    <phoneticPr fontId="9" type="noConversion"/>
  </si>
  <si>
    <t>스마트경영
(전공선택)</t>
    <phoneticPr fontId="9" type="noConversion"/>
  </si>
  <si>
    <t>스마트경영
(부전공)</t>
    <phoneticPr fontId="9" type="noConversion"/>
  </si>
  <si>
    <t>직무 영어</t>
    <phoneticPr fontId="9" type="noConversion"/>
  </si>
  <si>
    <t>기술·가정
/정보</t>
    <phoneticPr fontId="9" type="noConversion"/>
  </si>
  <si>
    <t>네일 미용</t>
    <phoneticPr fontId="9" type="noConversion"/>
  </si>
  <si>
    <t>기초 피부 미용</t>
    <phoneticPr fontId="9" type="noConversion"/>
  </si>
  <si>
    <t>피부 미용</t>
    <phoneticPr fontId="9" type="noConversion"/>
  </si>
  <si>
    <t>헤어 미용</t>
    <phoneticPr fontId="9" type="noConversion"/>
  </si>
  <si>
    <t>헤어미용2</t>
    <phoneticPr fontId="9" type="noConversion"/>
  </si>
  <si>
    <t>인공지능 일반</t>
    <phoneticPr fontId="9" type="noConversion"/>
  </si>
  <si>
    <t>컴퓨터 시스템 일반</t>
    <phoneticPr fontId="9" type="noConversion"/>
  </si>
  <si>
    <t>빅데이터 엑셀</t>
    <phoneticPr fontId="9" type="noConversion"/>
  </si>
  <si>
    <t>빅데이터 프로그래밍</t>
    <phoneticPr fontId="9" type="noConversion"/>
  </si>
  <si>
    <t>빅 데이터 분석</t>
    <phoneticPr fontId="9" type="noConversion"/>
  </si>
  <si>
    <t>뷰티디자인
( 부전공)</t>
    <phoneticPr fontId="9" type="noConversion"/>
  </si>
  <si>
    <t>회계 원리</t>
    <phoneticPr fontId="5" type="noConversion"/>
  </si>
  <si>
    <t>회계 정보 처리 시스템</t>
    <phoneticPr fontId="5" type="noConversion"/>
  </si>
  <si>
    <t>상업 경제</t>
    <phoneticPr fontId="9" type="noConversion"/>
  </si>
  <si>
    <t>금융 일반</t>
    <phoneticPr fontId="9" type="noConversion"/>
  </si>
  <si>
    <t>세무 일반</t>
    <phoneticPr fontId="9" type="noConversion"/>
  </si>
  <si>
    <t>회계 실무</t>
    <phoneticPr fontId="9" type="noConversion"/>
  </si>
  <si>
    <t>세무 실무</t>
    <phoneticPr fontId="9" type="noConversion"/>
  </si>
  <si>
    <t>사무 행정</t>
    <phoneticPr fontId="9" type="noConversion"/>
  </si>
  <si>
    <t>영상 제작 기초</t>
    <phoneticPr fontId="5" type="noConversion"/>
  </si>
  <si>
    <t>방송 일반</t>
    <phoneticPr fontId="5" type="noConversion"/>
  </si>
  <si>
    <t>방송 콘텐츠 제작</t>
    <phoneticPr fontId="9" type="noConversion"/>
  </si>
  <si>
    <t>영화 콘텐츠 제작</t>
    <phoneticPr fontId="9" type="noConversion"/>
  </si>
  <si>
    <t>광고 콘텐츠 제작</t>
    <phoneticPr fontId="9" type="noConversion"/>
  </si>
  <si>
    <t>문화·예술·디자인·방송</t>
  </si>
  <si>
    <r>
      <t>조형</t>
    </r>
    <r>
      <rPr>
        <sz val="8"/>
        <color rgb="FFFF0000"/>
        <rFont val="맑은 고딕"/>
        <family val="3"/>
        <charset val="129"/>
        <scheme val="minor"/>
      </rPr>
      <t>(미술 감상과 비평)</t>
    </r>
    <phoneticPr fontId="9" type="noConversion"/>
  </si>
  <si>
    <r>
      <t>색채 일반</t>
    </r>
    <r>
      <rPr>
        <sz val="8"/>
        <color rgb="FFFF0000"/>
        <rFont val="맑은 고딕"/>
        <family val="3"/>
        <charset val="129"/>
        <scheme val="minor"/>
      </rPr>
      <t>(미술과 매체)</t>
    </r>
    <phoneticPr fontId="9" type="noConversion"/>
  </si>
  <si>
    <r>
      <t>사무 관리</t>
    </r>
    <r>
      <rPr>
        <sz val="8"/>
        <color rgb="FFFF0000"/>
        <rFont val="맑은 고딕"/>
        <family val="3"/>
        <charset val="129"/>
        <scheme val="minor"/>
      </rPr>
      <t>(정보)</t>
    </r>
    <phoneticPr fontId="9" type="noConversion"/>
  </si>
  <si>
    <r>
      <t>정보 처리와 관리</t>
    </r>
    <r>
      <rPr>
        <sz val="8"/>
        <color rgb="FFFF0000"/>
        <rFont val="맑은 고딕"/>
        <family val="3"/>
        <charset val="129"/>
        <scheme val="minor"/>
      </rPr>
      <t>(데이터과학)</t>
    </r>
    <phoneticPr fontId="9" type="noConversion"/>
  </si>
  <si>
    <r>
      <t>영화와 삶</t>
    </r>
    <r>
      <rPr>
        <sz val="8"/>
        <color rgb="FFFF0000"/>
        <rFont val="맑은 고딕"/>
        <family val="3"/>
        <charset val="129"/>
        <scheme val="minor"/>
      </rPr>
      <t>(문화 콘텐츠 산업 일반)</t>
    </r>
    <phoneticPr fontId="9" type="noConversion"/>
  </si>
  <si>
    <r>
      <t>영화의 이해</t>
    </r>
    <r>
      <rPr>
        <sz val="8"/>
        <color rgb="FFFF0000"/>
        <rFont val="맑은 고딕"/>
        <family val="3"/>
        <charset val="129"/>
        <scheme val="minor"/>
      </rPr>
      <t>(미디어 콘텐츠 일반)</t>
    </r>
    <phoneticPr fontId="9" type="noConversion"/>
  </si>
  <si>
    <t>헤어샴푸</t>
    <phoneticPr fontId="9" type="noConversion"/>
  </si>
  <si>
    <r>
      <t xml:space="preserve">헤어미용2
</t>
    </r>
    <r>
      <rPr>
        <b/>
        <sz val="11"/>
        <color rgb="FF0070C0"/>
        <rFont val="맑은 고딕"/>
        <family val="3"/>
        <charset val="129"/>
      </rPr>
      <t>(고시 외)</t>
    </r>
    <phoneticPr fontId="9" type="noConversion"/>
  </si>
  <si>
    <r>
      <t xml:space="preserve">헤어미용1
</t>
    </r>
    <r>
      <rPr>
        <b/>
        <sz val="11"/>
        <color rgb="FF0070C0"/>
        <rFont val="맑은 고딕"/>
        <family val="3"/>
        <charset val="129"/>
      </rPr>
      <t>(고시 외)</t>
    </r>
    <phoneticPr fontId="9" type="noConversion"/>
  </si>
  <si>
    <t>피부미용 피부분석</t>
    <phoneticPr fontId="9" type="noConversion"/>
  </si>
  <si>
    <t>피부미용 얼굴각질관리</t>
    <phoneticPr fontId="9" type="noConversion"/>
  </si>
  <si>
    <t>피부미용 눈썹미용관리</t>
    <phoneticPr fontId="9" type="noConversion"/>
  </si>
  <si>
    <t>1201010202_19v3</t>
    <phoneticPr fontId="9" type="noConversion"/>
  </si>
  <si>
    <t>1201010222_17v4</t>
    <phoneticPr fontId="9" type="noConversion"/>
  </si>
  <si>
    <t>두피·모발관리</t>
    <phoneticPr fontId="9" type="noConversion"/>
  </si>
  <si>
    <t>1201010112_21v5</t>
    <phoneticPr fontId="9" type="noConversion"/>
  </si>
  <si>
    <t>그래쥬에이션 헤어커트</t>
    <phoneticPr fontId="9" type="noConversion"/>
  </si>
  <si>
    <t>레이어 헤어커트</t>
    <phoneticPr fontId="9" type="noConversion"/>
  </si>
  <si>
    <t>1201010131_21v5</t>
    <phoneticPr fontId="9" type="noConversion"/>
  </si>
  <si>
    <t>1201010132_21v6</t>
    <phoneticPr fontId="9" type="noConversion"/>
  </si>
  <si>
    <t>피부미용 필수기구 활용</t>
    <phoneticPr fontId="9" type="noConversion"/>
  </si>
  <si>
    <t>피부미용 화장품사용</t>
    <phoneticPr fontId="9" type="noConversion"/>
  </si>
  <si>
    <t>1201010231_19v4</t>
    <phoneticPr fontId="9" type="noConversion"/>
  </si>
  <si>
    <t>1201010243_17v4</t>
    <phoneticPr fontId="9" type="noConversion"/>
  </si>
  <si>
    <t>1201010220_20v6</t>
    <phoneticPr fontId="9" type="noConversion"/>
  </si>
  <si>
    <t>피부미용 얼굴 팩·마스크</t>
    <phoneticPr fontId="9" type="noConversion"/>
  </si>
  <si>
    <t>피부미용 몸매 팩·마스크</t>
    <phoneticPr fontId="9" type="noConversion"/>
  </si>
  <si>
    <t>빅 데이터
분석</t>
    <phoneticPr fontId="9" type="noConversion"/>
  </si>
  <si>
    <t>데이터 분석 기초 기술 활용</t>
    <phoneticPr fontId="9" type="noConversion"/>
  </si>
  <si>
    <t>분석 데이터 전처리</t>
    <phoneticPr fontId="9" type="noConversion"/>
  </si>
  <si>
    <t>탐색적 데이터 분석</t>
    <phoneticPr fontId="9" type="noConversion"/>
  </si>
  <si>
    <t>빅데이터 분석 결과 시각화</t>
    <phoneticPr fontId="9" type="noConversion"/>
  </si>
  <si>
    <t>2001010516_21v1</t>
    <phoneticPr fontId="9" type="noConversion"/>
  </si>
  <si>
    <t>2001010510_21v4</t>
    <phoneticPr fontId="9" type="noConversion"/>
  </si>
  <si>
    <t>2001010511_21v4</t>
    <phoneticPr fontId="9" type="noConversion"/>
  </si>
  <si>
    <t>2001010509_21v4</t>
    <phoneticPr fontId="9" type="noConversion"/>
  </si>
  <si>
    <t>0203020104_23v5</t>
    <phoneticPr fontId="9" type="noConversion"/>
  </si>
  <si>
    <t>응대업무</t>
    <phoneticPr fontId="9" type="noConversion"/>
  </si>
  <si>
    <t>0202030105_22v2</t>
    <phoneticPr fontId="9" type="noConversion"/>
  </si>
  <si>
    <t>문서 관리</t>
    <phoneticPr fontId="9" type="noConversion"/>
  </si>
  <si>
    <t>0202030202_22v3</t>
    <phoneticPr fontId="9" type="noConversion"/>
  </si>
  <si>
    <t>광고 전략 수립</t>
    <phoneticPr fontId="9" type="noConversion"/>
  </si>
  <si>
    <t>영상 CG 작업</t>
    <phoneticPr fontId="9" type="noConversion"/>
  </si>
  <si>
    <t>0803020402_16v2</t>
    <phoneticPr fontId="9" type="noConversion"/>
  </si>
  <si>
    <t>시나리오 창작</t>
    <phoneticPr fontId="9" type="noConversion"/>
  </si>
  <si>
    <t>촬영</t>
    <phoneticPr fontId="9" type="noConversion"/>
  </si>
  <si>
    <t>편집</t>
    <phoneticPr fontId="9" type="noConversion"/>
  </si>
  <si>
    <t>0803020220_22v3</t>
    <phoneticPr fontId="9" type="noConversion"/>
  </si>
  <si>
    <t>0803020219_16v2</t>
    <phoneticPr fontId="9" type="noConversion"/>
  </si>
  <si>
    <t>0803020221_16v2</t>
    <phoneticPr fontId="9" type="noConversion"/>
  </si>
  <si>
    <t>0803020213_16v2</t>
    <phoneticPr fontId="9" type="noConversion"/>
  </si>
  <si>
    <t>0803020203_22v3</t>
    <phoneticPr fontId="9" type="noConversion"/>
  </si>
  <si>
    <t>2D 캐릭터 제작</t>
    <phoneticPr fontId="9" type="noConversion"/>
  </si>
  <si>
    <t>캐릭터 콘셉트 설정</t>
    <phoneticPr fontId="9" type="noConversion"/>
  </si>
  <si>
    <t>캐릭터 콘텐츠 제작 기획</t>
    <phoneticPr fontId="9" type="noConversion"/>
  </si>
  <si>
    <t>0803020811_18v3</t>
    <phoneticPr fontId="9" type="noConversion"/>
  </si>
  <si>
    <t>0803020816_18v2</t>
    <phoneticPr fontId="9" type="noConversion"/>
  </si>
  <si>
    <t>제작계획</t>
    <phoneticPr fontId="9" type="noConversion"/>
  </si>
  <si>
    <t>종합편집</t>
    <phoneticPr fontId="9" type="noConversion"/>
  </si>
  <si>
    <t>0803020114_16v3</t>
    <phoneticPr fontId="9" type="noConversion"/>
  </si>
  <si>
    <t>0803020123_23v3</t>
    <phoneticPr fontId="9" type="noConversion"/>
  </si>
  <si>
    <t>헤어 아이론 스타일</t>
    <phoneticPr fontId="9" type="noConversion"/>
  </si>
  <si>
    <t>1201010158_21v5</t>
    <phoneticPr fontId="9" type="noConversion"/>
  </si>
  <si>
    <t>미디어 메이크업</t>
    <phoneticPr fontId="9" type="noConversion"/>
  </si>
  <si>
    <t>1201010348_19v5</t>
    <phoneticPr fontId="9" type="noConversion"/>
  </si>
  <si>
    <t>정보통신</t>
    <phoneticPr fontId="9" type="noConversion"/>
  </si>
  <si>
    <t>제작기획</t>
    <phoneticPr fontId="9" type="noConversion"/>
  </si>
  <si>
    <t>사운드 후반작업</t>
    <phoneticPr fontId="9" type="noConversion"/>
  </si>
  <si>
    <t>영상 후반작업</t>
    <phoneticPr fontId="9" type="noConversion"/>
  </si>
  <si>
    <t>직무 의사소통</t>
    <phoneticPr fontId="9" type="noConversion"/>
  </si>
  <si>
    <t>비즈니스 커뮤니케이션</t>
    <phoneticPr fontId="9" type="noConversion"/>
  </si>
  <si>
    <t>융합선택</t>
    <phoneticPr fontId="9" type="noConversion"/>
  </si>
  <si>
    <t>사무행정 업무 관리</t>
    <phoneticPr fontId="9" type="noConversion"/>
  </si>
  <si>
    <t>0202030207_22v4</t>
    <phoneticPr fontId="9" type="noConversion"/>
  </si>
  <si>
    <t>경영진 지원업무</t>
    <phoneticPr fontId="9" type="noConversion"/>
  </si>
  <si>
    <t>보고업무</t>
    <phoneticPr fontId="9" type="noConversion"/>
  </si>
  <si>
    <t>0202030101_22v2</t>
    <phoneticPr fontId="9" type="noConversion"/>
  </si>
  <si>
    <t>0202030106_22v2</t>
    <phoneticPr fontId="9" type="noConversion"/>
  </si>
  <si>
    <t>원가관리</t>
    <phoneticPr fontId="9" type="noConversion"/>
  </si>
  <si>
    <t>회계정보시스템 운용</t>
    <phoneticPr fontId="9" type="noConversion"/>
  </si>
  <si>
    <t>0203020110_20v2</t>
    <phoneticPr fontId="9" type="noConversion"/>
  </si>
  <si>
    <t>0203020105_20v4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</si>
</sst>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&quot;0&quot;&quot;;&quot;&quot;;&quot;&quot;"/>
    <numFmt numFmtId="177" formatCode="mm&quot;월&quot;\ dd&quot;일&quot;"/>
  </numFmts>
  <fonts count="64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i/>
      <sz val="10"/>
      <color rgb="FF0070C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Malgun Gothic"/>
      <family val="3"/>
      <charset val="129"/>
    </font>
    <font>
      <sz val="9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10"/>
      <color rgb="FF000000"/>
      <name val="맑은 고딕"/>
      <family val="2"/>
      <scheme val="minor"/>
    </font>
    <font>
      <b/>
      <sz val="24"/>
      <color theme="4" tint="-0.249977111117893"/>
      <name val="맑은 고딕"/>
      <family val="3"/>
      <charset val="129"/>
    </font>
    <font>
      <b/>
      <sz val="24"/>
      <color theme="4" tint="-0.249977111117893"/>
      <name val="Arial"/>
      <family val="2"/>
    </font>
    <font>
      <sz val="24"/>
      <color theme="4" tint="-0.249977111117893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0"/>
      <color rgb="FF292929"/>
      <name val="맑은 고딕"/>
      <family val="3"/>
      <charset val="129"/>
    </font>
    <font>
      <sz val="10"/>
      <color rgb="FF292929"/>
      <name val="맑은 고딕"/>
      <family val="3"/>
      <charset val="129"/>
    </font>
    <font>
      <sz val="10"/>
      <color rgb="FF292929"/>
      <name val="&quot;맑은 고딕&quot;"/>
      <family val="3"/>
      <charset val="129"/>
    </font>
    <font>
      <b/>
      <u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sz val="9"/>
      <color rgb="FF0000FF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Arial"/>
      <family val="2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color rgb="FF000000"/>
      <name val="굴림"/>
      <family val="3"/>
      <charset val="129"/>
    </font>
    <font>
      <sz val="6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</font>
    <font>
      <sz val="8"/>
      <color rgb="FFFF0000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7"/>
      </patternFill>
    </fill>
    <fill>
      <patternFill patternType="solid">
        <fgColor indexed="41"/>
        <bgColor indexed="64"/>
      </patternFill>
    </fill>
    <fill>
      <patternFill patternType="solid">
        <f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4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F0"/>
        <bgColor indexed="64"/>
      </patternFill>
    </fill>
  </fills>
  <borders count="19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 diagonalUp="1" diagonalDown="1">
      <left style="hair">
        <color indexed="64"/>
      </left>
      <right style="hair">
        <color indexed="64"/>
      </right>
      <top style="medium">
        <color indexed="64"/>
      </top>
      <bottom/>
      <diagonal style="hair">
        <color indexed="64"/>
      </diagonal>
    </border>
    <border diagonalUp="1" diagonalDown="1">
      <left style="hair">
        <color indexed="64"/>
      </left>
      <right style="hair">
        <color indexed="64"/>
      </right>
      <top/>
      <bottom style="medium">
        <color indexed="64"/>
      </bottom>
      <diagonal style="hair">
        <color indexed="64"/>
      </diagonal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">
    <xf numFmtId="0" fontId="0" fillId="0" borderId="0">
      <alignment vertical="center"/>
    </xf>
    <xf numFmtId="0" fontId="4" fillId="0" borderId="1" applyNumberFormat="0" applyFill="0" applyAlignment="0" applyProtection="0">
      <alignment vertical="center"/>
    </xf>
    <xf numFmtId="0" fontId="7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2" borderId="2" applyNumberFormat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4" fillId="14" borderId="2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2" fillId="0" borderId="0"/>
  </cellStyleXfs>
  <cellXfs count="70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4" fillId="12" borderId="32" xfId="3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0" fillId="0" borderId="0" xfId="0" applyProtection="1">
      <alignment vertical="center"/>
      <protection locked="0"/>
    </xf>
    <xf numFmtId="0" fontId="22" fillId="0" borderId="0" xfId="0" applyFont="1">
      <alignment vertical="center"/>
    </xf>
    <xf numFmtId="0" fontId="14" fillId="12" borderId="74" xfId="3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6" fillId="0" borderId="0" xfId="0" applyFont="1" applyProtection="1">
      <alignment vertical="center"/>
      <protection locked="0"/>
    </xf>
    <xf numFmtId="0" fontId="10" fillId="0" borderId="0" xfId="0" applyFont="1" applyProtection="1">
      <alignment vertical="center"/>
      <protection locked="0"/>
    </xf>
    <xf numFmtId="0" fontId="13" fillId="6" borderId="27" xfId="4" applyFont="1" applyFill="1" applyBorder="1" applyAlignment="1" applyProtection="1">
      <alignment horizontal="center" vertical="center" wrapText="1"/>
    </xf>
    <xf numFmtId="0" fontId="32" fillId="0" borderId="0" xfId="0" applyFont="1" applyBorder="1" applyAlignment="1">
      <alignment vertical="center"/>
    </xf>
    <xf numFmtId="0" fontId="32" fillId="0" borderId="0" xfId="0" applyFont="1" applyBorder="1" applyAlignment="1">
      <alignment horizontal="left" vertical="center"/>
    </xf>
    <xf numFmtId="0" fontId="13" fillId="10" borderId="92" xfId="6" applyFont="1" applyFill="1" applyBorder="1" applyAlignment="1" applyProtection="1">
      <alignment horizontal="center" vertical="center" wrapText="1"/>
    </xf>
    <xf numFmtId="0" fontId="12" fillId="12" borderId="93" xfId="0" applyFont="1" applyFill="1" applyBorder="1" applyAlignment="1" applyProtection="1">
      <alignment horizontal="center" vertical="center"/>
      <protection locked="0"/>
    </xf>
    <xf numFmtId="0" fontId="12" fillId="12" borderId="28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/>
      <protection locked="0"/>
    </xf>
    <xf numFmtId="0" fontId="12" fillId="12" borderId="14" xfId="0" applyFont="1" applyFill="1" applyBorder="1" applyAlignment="1" applyProtection="1">
      <alignment horizontal="center" vertical="center" shrinkToFit="1"/>
      <protection locked="0"/>
    </xf>
    <xf numFmtId="0" fontId="25" fillId="3" borderId="54" xfId="3" applyFont="1" applyBorder="1" applyAlignment="1" applyProtection="1">
      <alignment horizontal="center" vertical="center"/>
      <protection locked="0"/>
    </xf>
    <xf numFmtId="176" fontId="18" fillId="16" borderId="94" xfId="7" applyNumberFormat="1" applyFont="1" applyFill="1" applyBorder="1" applyAlignment="1" applyProtection="1">
      <alignment horizontal="center" vertical="center" shrinkToFit="1"/>
    </xf>
    <xf numFmtId="0" fontId="28" fillId="11" borderId="94" xfId="7" applyFont="1" applyFill="1" applyBorder="1" applyAlignment="1" applyProtection="1">
      <alignment horizontal="center" vertical="center" wrapText="1"/>
    </xf>
    <xf numFmtId="176" fontId="36" fillId="16" borderId="94" xfId="7" applyNumberFormat="1" applyFont="1" applyFill="1" applyBorder="1" applyAlignment="1" applyProtection="1">
      <alignment horizontal="center" vertical="center" shrinkToFit="1"/>
    </xf>
    <xf numFmtId="176" fontId="38" fillId="18" borderId="11" xfId="0" applyNumberFormat="1" applyFont="1" applyFill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176" fontId="12" fillId="16" borderId="30" xfId="0" applyNumberFormat="1" applyFont="1" applyFill="1" applyBorder="1" applyAlignment="1">
      <alignment horizontal="right" vertical="center"/>
    </xf>
    <xf numFmtId="176" fontId="12" fillId="16" borderId="105" xfId="0" applyNumberFormat="1" applyFont="1" applyFill="1" applyBorder="1" applyAlignment="1">
      <alignment horizontal="right" vertical="center"/>
    </xf>
    <xf numFmtId="176" fontId="12" fillId="16" borderId="94" xfId="0" applyNumberFormat="1" applyFont="1" applyFill="1" applyBorder="1" applyAlignment="1">
      <alignment horizontal="right" vertical="center"/>
    </xf>
    <xf numFmtId="176" fontId="12" fillId="16" borderId="29" xfId="0" applyNumberFormat="1" applyFont="1" applyFill="1" applyBorder="1" applyAlignment="1">
      <alignment horizontal="right" vertical="center"/>
    </xf>
    <xf numFmtId="176" fontId="7" fillId="0" borderId="103" xfId="0" applyNumberFormat="1" applyFont="1" applyBorder="1" applyAlignment="1">
      <alignment horizontal="right" vertical="center"/>
    </xf>
    <xf numFmtId="176" fontId="7" fillId="0" borderId="11" xfId="0" applyNumberFormat="1" applyFont="1" applyBorder="1" applyAlignment="1">
      <alignment horizontal="right" vertical="center"/>
    </xf>
    <xf numFmtId="176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1" xfId="7" applyNumberFormat="1" applyFont="1" applyFill="1" applyBorder="1" applyAlignment="1" applyProtection="1">
      <alignment horizontal="center" vertical="center" shrinkToFit="1"/>
    </xf>
    <xf numFmtId="0" fontId="37" fillId="9" borderId="112" xfId="7" applyNumberFormat="1" applyFont="1" applyFill="1" applyBorder="1" applyAlignment="1" applyProtection="1">
      <alignment horizontal="center" vertical="center" shrinkToFit="1"/>
    </xf>
    <xf numFmtId="176" fontId="36" fillId="16" borderId="30" xfId="7" applyNumberFormat="1" applyFont="1" applyFill="1" applyBorder="1" applyAlignment="1" applyProtection="1">
      <alignment horizontal="center" vertical="center" shrinkToFit="1"/>
    </xf>
    <xf numFmtId="0" fontId="37" fillId="0" borderId="112" xfId="7" applyNumberFormat="1" applyFont="1" applyFill="1" applyBorder="1" applyAlignment="1" applyProtection="1">
      <alignment horizontal="center" vertical="center" shrinkToFit="1"/>
    </xf>
    <xf numFmtId="0" fontId="12" fillId="12" borderId="113" xfId="0" applyFont="1" applyFill="1" applyBorder="1" applyAlignment="1" applyProtection="1">
      <alignment horizontal="center" vertical="center"/>
      <protection locked="0"/>
    </xf>
    <xf numFmtId="0" fontId="29" fillId="15" borderId="39" xfId="4" applyFont="1" applyFill="1" applyBorder="1" applyAlignment="1" applyProtection="1">
      <alignment horizontal="center" vertical="center" wrapText="1"/>
    </xf>
    <xf numFmtId="0" fontId="29" fillId="15" borderId="42" xfId="4" applyFont="1" applyFill="1" applyBorder="1" applyAlignment="1" applyProtection="1">
      <alignment horizontal="center" vertical="center" wrapText="1"/>
    </xf>
    <xf numFmtId="0" fontId="29" fillId="15" borderId="55" xfId="4" applyFont="1" applyFill="1" applyBorder="1" applyAlignment="1" applyProtection="1">
      <alignment horizontal="center" vertical="center" wrapText="1"/>
    </xf>
    <xf numFmtId="0" fontId="29" fillId="0" borderId="56" xfId="4" applyFont="1" applyFill="1" applyBorder="1" applyAlignment="1" applyProtection="1">
      <alignment horizontal="center" vertical="center" wrapText="1"/>
    </xf>
    <xf numFmtId="0" fontId="29" fillId="0" borderId="98" xfId="4" applyFont="1" applyFill="1" applyBorder="1" applyAlignment="1" applyProtection="1">
      <alignment horizontal="center" vertical="center" wrapText="1"/>
    </xf>
    <xf numFmtId="0" fontId="29" fillId="15" borderId="67" xfId="4" applyFont="1" applyFill="1" applyBorder="1" applyAlignment="1" applyProtection="1">
      <alignment horizontal="center" vertical="center" wrapText="1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6" borderId="23" xfId="4" applyFont="1" applyFill="1" applyBorder="1" applyAlignment="1" applyProtection="1">
      <alignment horizontal="center" vertical="center" wrapText="1"/>
    </xf>
    <xf numFmtId="0" fontId="12" fillId="0" borderId="107" xfId="0" applyFont="1" applyBorder="1" applyAlignment="1" applyProtection="1">
      <alignment horizontal="center" vertical="center"/>
      <protection locked="0"/>
    </xf>
    <xf numFmtId="176" fontId="13" fillId="15" borderId="36" xfId="0" applyNumberFormat="1" applyFont="1" applyFill="1" applyBorder="1" applyAlignment="1">
      <alignment horizontal="center" vertical="center" wrapText="1"/>
    </xf>
    <xf numFmtId="0" fontId="13" fillId="15" borderId="39" xfId="4" applyFont="1" applyFill="1" applyBorder="1" applyAlignment="1" applyProtection="1">
      <alignment horizontal="center" vertical="center" wrapText="1"/>
    </xf>
    <xf numFmtId="0" fontId="13" fillId="15" borderId="64" xfId="4" applyFont="1" applyFill="1" applyBorder="1" applyAlignment="1" applyProtection="1">
      <alignment horizontal="center" vertical="center" wrapText="1"/>
    </xf>
    <xf numFmtId="0" fontId="13" fillId="15" borderId="41" xfId="4" applyFont="1" applyFill="1" applyBorder="1" applyAlignment="1" applyProtection="1">
      <alignment horizontal="center" vertical="center" wrapText="1"/>
    </xf>
    <xf numFmtId="0" fontId="13" fillId="15" borderId="39" xfId="5" applyFont="1" applyFill="1" applyBorder="1" applyAlignment="1" applyProtection="1">
      <alignment horizontal="center" vertical="center" wrapText="1"/>
    </xf>
    <xf numFmtId="176" fontId="13" fillId="15" borderId="37" xfId="0" applyNumberFormat="1" applyFont="1" applyFill="1" applyBorder="1" applyAlignment="1">
      <alignment horizontal="center" vertical="center" wrapText="1"/>
    </xf>
    <xf numFmtId="0" fontId="13" fillId="15" borderId="42" xfId="4" applyFont="1" applyFill="1" applyBorder="1" applyAlignment="1" applyProtection="1">
      <alignment horizontal="center" vertical="center" wrapText="1"/>
    </xf>
    <xf numFmtId="0" fontId="13" fillId="15" borderId="32" xfId="4" applyFont="1" applyFill="1" applyBorder="1" applyAlignment="1" applyProtection="1">
      <alignment horizontal="center" vertical="center" wrapText="1"/>
    </xf>
    <xf numFmtId="0" fontId="13" fillId="15" borderId="43" xfId="4" applyFont="1" applyFill="1" applyBorder="1" applyAlignment="1" applyProtection="1">
      <alignment horizontal="center" vertical="center" wrapText="1"/>
    </xf>
    <xf numFmtId="0" fontId="13" fillId="15" borderId="42" xfId="5" applyFont="1" applyFill="1" applyBorder="1" applyAlignment="1" applyProtection="1">
      <alignment horizontal="center" vertical="center" wrapText="1"/>
    </xf>
    <xf numFmtId="176" fontId="13" fillId="15" borderId="96" xfId="0" applyNumberFormat="1" applyFont="1" applyFill="1" applyBorder="1" applyAlignment="1">
      <alignment horizontal="center" vertical="center" wrapText="1"/>
    </xf>
    <xf numFmtId="0" fontId="13" fillId="15" borderId="44" xfId="4" applyFont="1" applyFill="1" applyBorder="1" applyAlignment="1" applyProtection="1">
      <alignment horizontal="center" vertical="center" wrapText="1"/>
    </xf>
    <xf numFmtId="0" fontId="13" fillId="15" borderId="45" xfId="4" applyFont="1" applyFill="1" applyBorder="1" applyAlignment="1" applyProtection="1">
      <alignment horizontal="center" vertical="center" wrapText="1"/>
    </xf>
    <xf numFmtId="0" fontId="13" fillId="15" borderId="46" xfId="4" applyFont="1" applyFill="1" applyBorder="1" applyAlignment="1" applyProtection="1">
      <alignment horizontal="center" vertical="center" wrapText="1"/>
    </xf>
    <xf numFmtId="176" fontId="13" fillId="15" borderId="38" xfId="0" applyNumberFormat="1" applyFont="1" applyFill="1" applyBorder="1" applyAlignment="1">
      <alignment horizontal="center" vertical="center" wrapText="1"/>
    </xf>
    <xf numFmtId="0" fontId="13" fillId="15" borderId="40" xfId="4" applyFont="1" applyFill="1" applyBorder="1" applyAlignment="1" applyProtection="1">
      <alignment horizontal="center" vertical="center" wrapText="1"/>
    </xf>
    <xf numFmtId="176" fontId="13" fillId="15" borderId="77" xfId="0" applyNumberFormat="1" applyFont="1" applyFill="1" applyBorder="1" applyAlignment="1">
      <alignment horizontal="center" vertical="center" wrapText="1"/>
    </xf>
    <xf numFmtId="0" fontId="13" fillId="15" borderId="72" xfId="4" applyFont="1" applyFill="1" applyBorder="1" applyAlignment="1" applyProtection="1">
      <alignment horizontal="center" vertical="center" wrapText="1"/>
    </xf>
    <xf numFmtId="0" fontId="13" fillId="15" borderId="5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5" borderId="44" xfId="5" applyFont="1" applyFill="1" applyBorder="1" applyAlignment="1" applyProtection="1">
      <alignment horizontal="center" vertical="center" wrapText="1"/>
    </xf>
    <xf numFmtId="0" fontId="13" fillId="15" borderId="91" xfId="4" applyFont="1" applyFill="1" applyBorder="1" applyAlignment="1" applyProtection="1">
      <alignment horizontal="center" vertical="center" wrapText="1"/>
    </xf>
    <xf numFmtId="0" fontId="13" fillId="15" borderId="97" xfId="4" applyFont="1" applyFill="1" applyBorder="1" applyAlignment="1" applyProtection="1">
      <alignment horizontal="center" vertical="center" shrinkToFit="1"/>
    </xf>
    <xf numFmtId="0" fontId="13" fillId="15" borderId="37" xfId="4" applyFont="1" applyFill="1" applyBorder="1" applyAlignment="1" applyProtection="1">
      <alignment horizontal="center" vertical="center" wrapText="1"/>
    </xf>
    <xf numFmtId="0" fontId="13" fillId="15" borderId="37" xfId="4" applyFont="1" applyFill="1" applyBorder="1" applyAlignment="1" applyProtection="1">
      <alignment horizontal="center" vertical="center" shrinkToFit="1"/>
    </xf>
    <xf numFmtId="0" fontId="13" fillId="15" borderId="1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shrinkToFit="1"/>
    </xf>
    <xf numFmtId="0" fontId="13" fillId="15" borderId="36" xfId="4" applyFont="1" applyFill="1" applyBorder="1" applyAlignment="1" applyProtection="1">
      <alignment horizontal="center" vertical="center" wrapText="1"/>
    </xf>
    <xf numFmtId="0" fontId="13" fillId="15" borderId="38" xfId="4" applyFont="1" applyFill="1" applyBorder="1" applyAlignment="1" applyProtection="1">
      <alignment horizontal="center" vertical="center" shrinkToFit="1"/>
    </xf>
    <xf numFmtId="0" fontId="22" fillId="15" borderId="36" xfId="4" applyFont="1" applyFill="1" applyBorder="1" applyAlignment="1" applyProtection="1">
      <alignment horizontal="center" vertical="center" wrapText="1"/>
    </xf>
    <xf numFmtId="0" fontId="22" fillId="15" borderId="37" xfId="4" applyFont="1" applyFill="1" applyBorder="1" applyAlignment="1" applyProtection="1">
      <alignment horizontal="center" vertical="center" shrinkToFit="1"/>
    </xf>
    <xf numFmtId="0" fontId="23" fillId="0" borderId="0" xfId="0" applyFont="1" applyAlignment="1" applyProtection="1">
      <alignment horizontal="center" vertical="center"/>
      <protection locked="0"/>
    </xf>
    <xf numFmtId="0" fontId="13" fillId="6" borderId="71" xfId="4" applyFont="1" applyFill="1" applyBorder="1" applyAlignment="1" applyProtection="1">
      <alignment horizontal="center" vertical="center" wrapText="1"/>
    </xf>
    <xf numFmtId="0" fontId="22" fillId="0" borderId="123" xfId="0" applyFont="1" applyBorder="1" applyAlignment="1" applyProtection="1">
      <alignment horizontal="center" vertical="center"/>
      <protection locked="0"/>
    </xf>
    <xf numFmtId="0" fontId="35" fillId="0" borderId="0" xfId="16" applyFont="1" applyAlignment="1">
      <alignment vertical="center"/>
    </xf>
    <xf numFmtId="0" fontId="16" fillId="0" borderId="0" xfId="16" applyFont="1" applyAlignment="1"/>
    <xf numFmtId="0" fontId="35" fillId="19" borderId="124" xfId="16" applyFont="1" applyFill="1" applyBorder="1" applyAlignment="1">
      <alignment horizontal="center" vertical="center"/>
    </xf>
    <xf numFmtId="0" fontId="35" fillId="0" borderId="125" xfId="16" applyFont="1" applyBorder="1" applyAlignment="1">
      <alignment vertical="center"/>
    </xf>
    <xf numFmtId="0" fontId="35" fillId="0" borderId="26" xfId="16" applyFont="1" applyBorder="1" applyAlignment="1">
      <alignment vertical="center"/>
    </xf>
    <xf numFmtId="0" fontId="35" fillId="0" borderId="23" xfId="16" applyFont="1" applyBorder="1" applyAlignment="1">
      <alignment vertical="center"/>
    </xf>
    <xf numFmtId="0" fontId="35" fillId="0" borderId="4" xfId="16" applyFont="1" applyBorder="1" applyAlignment="1">
      <alignment vertical="center"/>
    </xf>
    <xf numFmtId="0" fontId="35" fillId="0" borderId="127" xfId="16" applyFont="1" applyBorder="1" applyAlignment="1">
      <alignment vertical="center"/>
    </xf>
    <xf numFmtId="0" fontId="35" fillId="0" borderId="19" xfId="16" applyFont="1" applyBorder="1" applyAlignment="1">
      <alignment vertical="center"/>
    </xf>
    <xf numFmtId="0" fontId="35" fillId="0" borderId="6" xfId="16" applyFont="1" applyBorder="1" applyAlignment="1">
      <alignment vertical="center"/>
    </xf>
    <xf numFmtId="0" fontId="35" fillId="0" borderId="132" xfId="16" applyFont="1" applyBorder="1" applyAlignment="1">
      <alignment vertical="center"/>
    </xf>
    <xf numFmtId="0" fontId="35" fillId="0" borderId="3" xfId="16" applyFont="1" applyBorder="1" applyAlignment="1">
      <alignment vertical="center"/>
    </xf>
    <xf numFmtId="0" fontId="35" fillId="0" borderId="20" xfId="16" applyFont="1" applyBorder="1" applyAlignment="1">
      <alignment vertical="center"/>
    </xf>
    <xf numFmtId="0" fontId="35" fillId="0" borderId="18" xfId="16" applyFont="1" applyBorder="1" applyAlignment="1">
      <alignment vertical="center"/>
    </xf>
    <xf numFmtId="0" fontId="35" fillId="21" borderId="138" xfId="16" applyFont="1" applyFill="1" applyBorder="1" applyAlignment="1">
      <alignment horizontal="center" vertical="center" wrapText="1"/>
    </xf>
    <xf numFmtId="0" fontId="35" fillId="21" borderId="139" xfId="16" applyFont="1" applyFill="1" applyBorder="1" applyAlignment="1">
      <alignment horizontal="center" vertical="center" wrapText="1"/>
    </xf>
    <xf numFmtId="0" fontId="48" fillId="21" borderId="139" xfId="16" applyFont="1" applyFill="1" applyBorder="1" applyAlignment="1">
      <alignment horizontal="center" vertical="center" wrapText="1"/>
    </xf>
    <xf numFmtId="0" fontId="48" fillId="21" borderId="140" xfId="16" applyFont="1" applyFill="1" applyBorder="1" applyAlignment="1">
      <alignment horizontal="center" vertical="center" wrapText="1"/>
    </xf>
    <xf numFmtId="0" fontId="35" fillId="0" borderId="19" xfId="16" applyFont="1" applyBorder="1" applyAlignment="1">
      <alignment vertical="center" wrapText="1"/>
    </xf>
    <xf numFmtId="0" fontId="35" fillId="0" borderId="6" xfId="16" applyFont="1" applyBorder="1" applyAlignment="1">
      <alignment vertical="center" wrapText="1"/>
    </xf>
    <xf numFmtId="0" fontId="49" fillId="0" borderId="144" xfId="16" applyFont="1" applyBorder="1" applyAlignment="1">
      <alignment horizontal="center" vertical="center" wrapText="1"/>
    </xf>
    <xf numFmtId="0" fontId="49" fillId="0" borderId="146" xfId="16" applyFont="1" applyBorder="1" applyAlignment="1">
      <alignment horizontal="center" vertical="center" wrapText="1"/>
    </xf>
    <xf numFmtId="0" fontId="49" fillId="0" borderId="150" xfId="16" applyFont="1" applyBorder="1" applyAlignment="1">
      <alignment horizontal="center" vertical="center" wrapText="1"/>
    </xf>
    <xf numFmtId="0" fontId="49" fillId="0" borderId="151" xfId="16" applyFont="1" applyBorder="1" applyAlignment="1">
      <alignment horizontal="center" vertical="center" wrapText="1"/>
    </xf>
    <xf numFmtId="0" fontId="49" fillId="0" borderId="154" xfId="16" applyFont="1" applyBorder="1" applyAlignment="1">
      <alignment horizontal="center" vertical="center" wrapText="1"/>
    </xf>
    <xf numFmtId="0" fontId="49" fillId="0" borderId="155" xfId="16" applyFont="1" applyBorder="1" applyAlignment="1">
      <alignment horizontal="center" vertical="center" wrapText="1"/>
    </xf>
    <xf numFmtId="0" fontId="49" fillId="0" borderId="157" xfId="16" applyFont="1" applyBorder="1" applyAlignment="1">
      <alignment horizontal="center" vertical="center" wrapText="1"/>
    </xf>
    <xf numFmtId="0" fontId="35" fillId="0" borderId="157" xfId="16" applyFont="1" applyBorder="1" applyAlignment="1">
      <alignment horizontal="center" vertical="center" wrapText="1"/>
    </xf>
    <xf numFmtId="0" fontId="49" fillId="0" borderId="158" xfId="16" applyFont="1" applyBorder="1" applyAlignment="1">
      <alignment horizontal="center" vertical="center" wrapText="1"/>
    </xf>
    <xf numFmtId="0" fontId="35" fillId="0" borderId="151" xfId="16" applyFont="1" applyBorder="1" applyAlignment="1">
      <alignment horizontal="center" vertical="center" wrapText="1"/>
    </xf>
    <xf numFmtId="0" fontId="35" fillId="0" borderId="154" xfId="16" applyFont="1" applyBorder="1" applyAlignment="1">
      <alignment horizontal="center" vertical="center" wrapText="1"/>
    </xf>
    <xf numFmtId="0" fontId="49" fillId="0" borderId="130" xfId="16" applyFont="1" applyBorder="1" applyAlignment="1">
      <alignment horizontal="center" vertical="center" wrapText="1"/>
    </xf>
    <xf numFmtId="0" fontId="51" fillId="21" borderId="130" xfId="16" applyFont="1" applyFill="1" applyBorder="1" applyAlignment="1">
      <alignment horizontal="center" vertical="center" wrapText="1"/>
    </xf>
    <xf numFmtId="0" fontId="52" fillId="0" borderId="151" xfId="16" applyFont="1" applyBorder="1" applyAlignment="1">
      <alignment horizontal="center" vertical="center" wrapText="1"/>
    </xf>
    <xf numFmtId="0" fontId="52" fillId="0" borderId="129" xfId="16" applyFont="1" applyBorder="1" applyAlignment="1">
      <alignment horizontal="center" vertical="center" wrapText="1"/>
    </xf>
    <xf numFmtId="0" fontId="51" fillId="0" borderId="130" xfId="16" applyFont="1" applyBorder="1" applyAlignment="1">
      <alignment horizontal="center" vertical="center" wrapText="1"/>
    </xf>
    <xf numFmtId="0" fontId="35" fillId="0" borderId="0" xfId="16" applyFont="1" applyBorder="1" applyAlignment="1">
      <alignment vertical="center"/>
    </xf>
    <xf numFmtId="0" fontId="53" fillId="0" borderId="0" xfId="16" applyFont="1" applyBorder="1" applyAlignment="1">
      <alignment horizontal="center" vertical="center"/>
    </xf>
    <xf numFmtId="0" fontId="47" fillId="0" borderId="130" xfId="16" applyFont="1" applyBorder="1" applyAlignment="1">
      <alignment horizontal="center" vertical="center"/>
    </xf>
    <xf numFmtId="0" fontId="47" fillId="20" borderId="151" xfId="16" applyFont="1" applyFill="1" applyBorder="1" applyAlignment="1">
      <alignment horizontal="center" vertical="center"/>
    </xf>
    <xf numFmtId="0" fontId="47" fillId="20" borderId="129" xfId="16" applyFont="1" applyFill="1" applyBorder="1" applyAlignment="1">
      <alignment horizontal="center" vertical="center" wrapText="1"/>
    </xf>
    <xf numFmtId="0" fontId="53" fillId="0" borderId="151" xfId="16" applyFont="1" applyBorder="1" applyAlignment="1">
      <alignment horizontal="center" vertical="center" wrapText="1"/>
    </xf>
    <xf numFmtId="0" fontId="53" fillId="0" borderId="130" xfId="16" applyFont="1" applyBorder="1" applyAlignment="1">
      <alignment horizontal="center" vertical="center" wrapText="1"/>
    </xf>
    <xf numFmtId="0" fontId="47" fillId="0" borderId="151" xfId="16" applyFont="1" applyBorder="1" applyAlignment="1">
      <alignment horizontal="center" vertical="center" wrapText="1"/>
    </xf>
    <xf numFmtId="0" fontId="47" fillId="0" borderId="130" xfId="16" applyFont="1" applyBorder="1" applyAlignment="1">
      <alignment horizontal="center" vertical="center" wrapText="1"/>
    </xf>
    <xf numFmtId="0" fontId="35" fillId="0" borderId="151" xfId="16" applyFont="1" applyBorder="1" applyAlignment="1">
      <alignment vertical="center" wrapText="1"/>
    </xf>
    <xf numFmtId="0" fontId="35" fillId="0" borderId="0" xfId="16" applyFont="1" applyBorder="1" applyAlignment="1">
      <alignment vertical="center" wrapText="1"/>
    </xf>
    <xf numFmtId="0" fontId="47" fillId="20" borderId="130" xfId="16" applyFont="1" applyFill="1" applyBorder="1" applyAlignment="1">
      <alignment horizontal="center" vertical="center"/>
    </xf>
    <xf numFmtId="0" fontId="47" fillId="0" borderId="129" xfId="16" applyFont="1" applyBorder="1" applyAlignment="1">
      <alignment horizontal="center" vertical="center"/>
    </xf>
    <xf numFmtId="0" fontId="47" fillId="0" borderId="151" xfId="16" applyFont="1" applyBorder="1" applyAlignment="1">
      <alignment horizontal="center" vertical="center"/>
    </xf>
    <xf numFmtId="0" fontId="54" fillId="0" borderId="151" xfId="16" applyFont="1" applyBorder="1" applyAlignment="1">
      <alignment horizontal="center" vertical="center"/>
    </xf>
    <xf numFmtId="0" fontId="54" fillId="0" borderId="130" xfId="16" applyFont="1" applyBorder="1" applyAlignment="1">
      <alignment horizontal="center" vertical="center"/>
    </xf>
    <xf numFmtId="0" fontId="35" fillId="0" borderId="137" xfId="16" applyFont="1" applyBorder="1" applyAlignment="1">
      <alignment vertical="center"/>
    </xf>
    <xf numFmtId="0" fontId="35" fillId="0" borderId="135" xfId="16" applyFont="1" applyBorder="1" applyAlignment="1">
      <alignment vertical="center"/>
    </xf>
    <xf numFmtId="0" fontId="35" fillId="0" borderId="162" xfId="16" applyFont="1" applyBorder="1" applyAlignment="1">
      <alignment vertical="center"/>
    </xf>
    <xf numFmtId="0" fontId="35" fillId="0" borderId="163" xfId="16" applyFont="1" applyBorder="1" applyAlignment="1">
      <alignment vertical="center"/>
    </xf>
    <xf numFmtId="0" fontId="35" fillId="0" borderId="111" xfId="16" applyFont="1" applyBorder="1" applyAlignment="1">
      <alignment vertical="center"/>
    </xf>
    <xf numFmtId="0" fontId="35" fillId="0" borderId="133" xfId="16" applyFont="1" applyBorder="1" applyAlignment="1">
      <alignment vertical="center"/>
    </xf>
    <xf numFmtId="0" fontId="35" fillId="0" borderId="165" xfId="16" applyFont="1" applyBorder="1" applyAlignment="1">
      <alignment vertical="center"/>
    </xf>
    <xf numFmtId="0" fontId="35" fillId="0" borderId="166" xfId="16" applyFont="1" applyBorder="1" applyAlignment="1">
      <alignment vertical="center"/>
    </xf>
    <xf numFmtId="0" fontId="18" fillId="16" borderId="94" xfId="7" applyNumberFormat="1" applyFont="1" applyFill="1" applyBorder="1" applyAlignment="1" applyProtection="1">
      <alignment horizontal="center" vertical="center" shrinkToFit="1"/>
    </xf>
    <xf numFmtId="0" fontId="12" fillId="0" borderId="0" xfId="0" applyFont="1" applyAlignment="1" applyProtection="1">
      <alignment horizontal="center" vertical="center"/>
      <protection locked="0"/>
    </xf>
    <xf numFmtId="0" fontId="29" fillId="0" borderId="64" xfId="4" applyFont="1" applyFill="1" applyBorder="1" applyAlignment="1" applyProtection="1">
      <alignment horizontal="center" vertical="center" wrapText="1"/>
    </xf>
    <xf numFmtId="0" fontId="29" fillId="0" borderId="91" xfId="4" applyFont="1" applyFill="1" applyBorder="1" applyAlignment="1" applyProtection="1">
      <alignment horizontal="center" vertical="center" wrapText="1"/>
    </xf>
    <xf numFmtId="0" fontId="29" fillId="0" borderId="40" xfId="4" applyFont="1" applyFill="1" applyBorder="1" applyAlignment="1" applyProtection="1">
      <alignment horizontal="center" vertical="center" wrapText="1"/>
    </xf>
    <xf numFmtId="0" fontId="29" fillId="0" borderId="32" xfId="4" applyFont="1" applyFill="1" applyBorder="1" applyAlignment="1" applyProtection="1">
      <alignment horizontal="center" vertical="center" wrapText="1"/>
    </xf>
    <xf numFmtId="0" fontId="36" fillId="16" borderId="94" xfId="7" applyNumberFormat="1" applyFont="1" applyFill="1" applyBorder="1" applyAlignment="1" applyProtection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13" fillId="15" borderId="167" xfId="4" applyFont="1" applyFill="1" applyBorder="1" applyAlignment="1" applyProtection="1">
      <alignment horizontal="center" vertical="center" wrapText="1"/>
    </xf>
    <xf numFmtId="0" fontId="13" fillId="15" borderId="168" xfId="4" applyFont="1" applyFill="1" applyBorder="1" applyAlignment="1" applyProtection="1">
      <alignment horizontal="center" vertical="center" wrapText="1"/>
    </xf>
    <xf numFmtId="0" fontId="13" fillId="15" borderId="169" xfId="4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0" xfId="0" applyBorder="1" applyProtection="1">
      <alignment vertical="center"/>
      <protection locked="0"/>
    </xf>
    <xf numFmtId="0" fontId="13" fillId="15" borderId="67" xfId="4" applyFont="1" applyFill="1" applyBorder="1" applyAlignment="1" applyProtection="1">
      <alignment horizontal="center" vertical="center" wrapText="1"/>
    </xf>
    <xf numFmtId="0" fontId="13" fillId="15" borderId="99" xfId="4" applyFont="1" applyFill="1" applyBorder="1" applyAlignment="1" applyProtection="1">
      <alignment horizontal="center" vertical="center" wrapText="1"/>
    </xf>
    <xf numFmtId="0" fontId="13" fillId="15" borderId="98" xfId="4" applyFont="1" applyFill="1" applyBorder="1" applyAlignment="1" applyProtection="1">
      <alignment horizontal="center" vertical="center" wrapText="1"/>
    </xf>
    <xf numFmtId="176" fontId="13" fillId="15" borderId="97" xfId="0" applyNumberFormat="1" applyFont="1" applyFill="1" applyBorder="1" applyAlignment="1">
      <alignment horizontal="center" vertical="center" wrapText="1"/>
    </xf>
    <xf numFmtId="0" fontId="12" fillId="12" borderId="94" xfId="0" applyFont="1" applyFill="1" applyBorder="1" applyAlignment="1" applyProtection="1">
      <alignment horizontal="center" vertical="center"/>
      <protection locked="0"/>
    </xf>
    <xf numFmtId="0" fontId="13" fillId="15" borderId="86" xfId="5" applyFont="1" applyFill="1" applyBorder="1" applyAlignment="1" applyProtection="1">
      <alignment horizontal="center" vertical="center" wrapText="1"/>
    </xf>
    <xf numFmtId="0" fontId="13" fillId="15" borderId="172" xfId="5" applyFont="1" applyFill="1" applyBorder="1" applyAlignment="1" applyProtection="1">
      <alignment horizontal="center" vertical="center" wrapText="1"/>
    </xf>
    <xf numFmtId="0" fontId="13" fillId="15" borderId="173" xfId="5" applyFont="1" applyFill="1" applyBorder="1" applyAlignment="1" applyProtection="1">
      <alignment horizontal="center" vertical="center" wrapText="1"/>
    </xf>
    <xf numFmtId="0" fontId="13" fillId="15" borderId="97" xfId="4" applyFont="1" applyFill="1" applyBorder="1" applyAlignment="1" applyProtection="1">
      <alignment horizontal="center" vertical="center" wrapText="1"/>
    </xf>
    <xf numFmtId="0" fontId="29" fillId="15" borderId="167" xfId="4" applyFont="1" applyFill="1" applyBorder="1" applyAlignment="1" applyProtection="1">
      <alignment horizontal="center" vertical="center" wrapText="1"/>
    </xf>
    <xf numFmtId="0" fontId="29" fillId="0" borderId="168" xfId="4" applyFont="1" applyFill="1" applyBorder="1" applyAlignment="1" applyProtection="1">
      <alignment horizontal="center" vertical="center" wrapText="1"/>
    </xf>
    <xf numFmtId="0" fontId="13" fillId="15" borderId="57" xfId="4" applyFont="1" applyFill="1" applyBorder="1" applyAlignment="1" applyProtection="1">
      <alignment horizontal="center" vertical="center" wrapText="1"/>
    </xf>
    <xf numFmtId="176" fontId="58" fillId="16" borderId="94" xfId="0" applyNumberFormat="1" applyFont="1" applyFill="1" applyBorder="1" applyAlignment="1">
      <alignment horizontal="right" vertical="center"/>
    </xf>
    <xf numFmtId="176" fontId="58" fillId="16" borderId="29" xfId="0" applyNumberFormat="1" applyFont="1" applyFill="1" applyBorder="1" applyAlignment="1">
      <alignment horizontal="right" vertical="center"/>
    </xf>
    <xf numFmtId="0" fontId="20" fillId="0" borderId="11" xfId="7" applyNumberFormat="1" applyFont="1" applyFill="1" applyBorder="1" applyAlignment="1" applyProtection="1">
      <alignment horizontal="center" vertical="center" shrinkToFit="1"/>
    </xf>
    <xf numFmtId="176" fontId="18" fillId="0" borderId="11" xfId="7" applyNumberFormat="1" applyFont="1" applyFill="1" applyBorder="1" applyAlignment="1" applyProtection="1">
      <alignment horizontal="center" vertical="center" shrinkToFit="1"/>
    </xf>
    <xf numFmtId="0" fontId="20" fillId="9" borderId="93" xfId="7" applyNumberFormat="1" applyFont="1" applyFill="1" applyBorder="1" applyAlignment="1" applyProtection="1">
      <alignment horizontal="center" vertical="center" shrinkToFit="1"/>
    </xf>
    <xf numFmtId="176" fontId="20" fillId="9" borderId="93" xfId="7" applyNumberFormat="1" applyFont="1" applyFill="1" applyBorder="1" applyAlignment="1" applyProtection="1">
      <alignment horizontal="center" vertical="center" shrinkToFit="1"/>
    </xf>
    <xf numFmtId="176" fontId="59" fillId="0" borderId="93" xfId="0" applyNumberFormat="1" applyFont="1" applyBorder="1">
      <alignment vertical="center"/>
    </xf>
    <xf numFmtId="176" fontId="59" fillId="0" borderId="28" xfId="0" applyNumberFormat="1" applyFont="1" applyBorder="1">
      <alignment vertical="center"/>
    </xf>
    <xf numFmtId="0" fontId="20" fillId="9" borderId="14" xfId="7" applyNumberFormat="1" applyFont="1" applyFill="1" applyBorder="1" applyAlignment="1" applyProtection="1">
      <alignment horizontal="center" vertical="center" shrinkToFit="1"/>
    </xf>
    <xf numFmtId="0" fontId="20" fillId="9" borderId="11" xfId="7" applyNumberFormat="1" applyFont="1" applyFill="1" applyBorder="1" applyAlignment="1" applyProtection="1">
      <alignment horizontal="center" vertical="center" shrinkToFit="1"/>
    </xf>
    <xf numFmtId="176" fontId="20" fillId="9" borderId="14" xfId="7" applyNumberFormat="1" applyFont="1" applyFill="1" applyBorder="1" applyAlignment="1" applyProtection="1">
      <alignment horizontal="center" vertical="center" shrinkToFit="1"/>
    </xf>
    <xf numFmtId="176" fontId="20" fillId="9" borderId="11" xfId="7" applyNumberFormat="1" applyFont="1" applyFill="1" applyBorder="1" applyAlignment="1" applyProtection="1">
      <alignment horizontal="center" vertical="center" shrinkToFit="1"/>
    </xf>
    <xf numFmtId="176" fontId="59" fillId="0" borderId="11" xfId="0" applyNumberFormat="1" applyFont="1" applyBorder="1">
      <alignment vertical="center"/>
    </xf>
    <xf numFmtId="176" fontId="59" fillId="0" borderId="103" xfId="0" applyNumberFormat="1" applyFont="1" applyBorder="1">
      <alignment vertical="center"/>
    </xf>
    <xf numFmtId="176" fontId="18" fillId="16" borderId="94" xfId="7" applyNumberFormat="1" applyFont="1" applyFill="1" applyBorder="1" applyAlignment="1" applyProtection="1">
      <alignment horizontal="right" vertical="center" shrinkToFit="1"/>
    </xf>
    <xf numFmtId="176" fontId="20" fillId="0" borderId="11" xfId="7" applyNumberFormat="1" applyFont="1" applyFill="1" applyBorder="1" applyAlignment="1" applyProtection="1">
      <alignment horizontal="center" vertical="center" shrinkToFit="1"/>
    </xf>
    <xf numFmtId="176" fontId="59" fillId="0" borderId="11" xfId="0" applyNumberFormat="1" applyFont="1" applyFill="1" applyBorder="1" applyAlignment="1">
      <alignment horizontal="right" vertical="center"/>
    </xf>
    <xf numFmtId="176" fontId="59" fillId="0" borderId="103" xfId="0" applyNumberFormat="1" applyFont="1" applyFill="1" applyBorder="1" applyAlignment="1">
      <alignment horizontal="right" vertical="center"/>
    </xf>
    <xf numFmtId="0" fontId="36" fillId="16" borderId="94" xfId="7" applyNumberFormat="1" applyFont="1" applyFill="1" applyBorder="1" applyAlignment="1" applyProtection="1">
      <alignment horizontal="center" vertical="center" shrinkToFit="1"/>
    </xf>
    <xf numFmtId="0" fontId="18" fillId="16" borderId="94" xfId="7" applyNumberFormat="1" applyFont="1" applyFill="1" applyBorder="1" applyAlignment="1" applyProtection="1">
      <alignment horizontal="center" vertical="center" shrinkToFit="1"/>
    </xf>
    <xf numFmtId="0" fontId="36" fillId="16" borderId="30" xfId="7" applyNumberFormat="1" applyFont="1" applyFill="1" applyBorder="1" applyAlignment="1" applyProtection="1">
      <alignment horizontal="center" vertical="center" shrinkToFit="1"/>
    </xf>
    <xf numFmtId="0" fontId="61" fillId="15" borderId="96" xfId="4" applyFont="1" applyFill="1" applyBorder="1" applyAlignment="1" applyProtection="1">
      <alignment horizontal="center" vertical="center" wrapText="1"/>
    </xf>
    <xf numFmtId="0" fontId="61" fillId="15" borderId="37" xfId="4" applyFont="1" applyFill="1" applyBorder="1" applyAlignment="1" applyProtection="1">
      <alignment horizontal="center" vertical="center" wrapText="1"/>
    </xf>
    <xf numFmtId="0" fontId="61" fillId="15" borderId="97" xfId="4" applyFont="1" applyFill="1" applyBorder="1" applyAlignment="1" applyProtection="1">
      <alignment horizontal="center" vertical="center" wrapText="1"/>
    </xf>
    <xf numFmtId="0" fontId="28" fillId="11" borderId="94" xfId="7" applyFont="1" applyFill="1" applyBorder="1" applyAlignment="1">
      <alignment horizontal="center" vertical="center" wrapText="1"/>
    </xf>
    <xf numFmtId="0" fontId="20" fillId="9" borderId="11" xfId="7" applyFont="1" applyFill="1" applyBorder="1" applyAlignment="1">
      <alignment horizontal="center" vertical="center" shrinkToFit="1"/>
    </xf>
    <xf numFmtId="176" fontId="20" fillId="9" borderId="11" xfId="7" applyNumberFormat="1" applyFont="1" applyFill="1" applyBorder="1" applyAlignment="1">
      <alignment horizontal="center" vertical="center" shrinkToFit="1"/>
    </xf>
    <xf numFmtId="0" fontId="18" fillId="16" borderId="94" xfId="7" applyFont="1" applyFill="1" applyBorder="1" applyAlignment="1">
      <alignment horizontal="center" vertical="center" shrinkToFit="1"/>
    </xf>
    <xf numFmtId="176" fontId="18" fillId="16" borderId="94" xfId="7" applyNumberFormat="1" applyFont="1" applyFill="1" applyBorder="1" applyAlignment="1">
      <alignment horizontal="center" vertical="center" shrinkToFit="1"/>
    </xf>
    <xf numFmtId="176" fontId="18" fillId="16" borderId="94" xfId="7" applyNumberFormat="1" applyFont="1" applyFill="1" applyBorder="1" applyAlignment="1">
      <alignment horizontal="right" vertical="center" shrinkToFit="1"/>
    </xf>
    <xf numFmtId="0" fontId="37" fillId="9" borderId="11" xfId="7" applyFont="1" applyFill="1" applyBorder="1" applyAlignment="1">
      <alignment horizontal="center" vertical="center" shrinkToFit="1"/>
    </xf>
    <xf numFmtId="176" fontId="37" fillId="9" borderId="11" xfId="7" applyNumberFormat="1" applyFont="1" applyFill="1" applyBorder="1" applyAlignment="1">
      <alignment horizontal="center" vertical="center" shrinkToFit="1"/>
    </xf>
    <xf numFmtId="0" fontId="36" fillId="16" borderId="94" xfId="7" applyFont="1" applyFill="1" applyBorder="1" applyAlignment="1">
      <alignment horizontal="center" vertical="center" shrinkToFit="1"/>
    </xf>
    <xf numFmtId="0" fontId="36" fillId="16" borderId="94" xfId="7" applyFont="1" applyFill="1" applyBorder="1" applyAlignment="1">
      <alignment horizontal="right" vertical="center" shrinkToFit="1"/>
    </xf>
    <xf numFmtId="0" fontId="36" fillId="16" borderId="30" xfId="7" applyFont="1" applyFill="1" applyBorder="1" applyAlignment="1">
      <alignment horizontal="center" vertical="center" shrinkToFit="1"/>
    </xf>
    <xf numFmtId="176" fontId="36" fillId="16" borderId="30" xfId="7" applyNumberFormat="1" applyFont="1" applyFill="1" applyBorder="1" applyAlignment="1">
      <alignment horizontal="center" vertical="center" shrinkToFit="1"/>
    </xf>
    <xf numFmtId="176" fontId="36" fillId="16" borderId="94" xfId="7" applyNumberFormat="1" applyFont="1" applyFill="1" applyBorder="1" applyAlignment="1">
      <alignment horizontal="center" vertical="center" shrinkToFit="1"/>
    </xf>
    <xf numFmtId="0" fontId="37" fillId="0" borderId="181" xfId="7" applyFont="1" applyBorder="1" applyAlignment="1">
      <alignment horizontal="center" vertical="center" shrinkToFit="1"/>
    </xf>
    <xf numFmtId="0" fontId="37" fillId="9" borderId="182" xfId="7" applyFont="1" applyFill="1" applyBorder="1" applyAlignment="1">
      <alignment horizontal="center" vertical="center" shrinkToFit="1"/>
    </xf>
    <xf numFmtId="0" fontId="37" fillId="9" borderId="9" xfId="7" applyFont="1" applyFill="1" applyBorder="1" applyAlignment="1">
      <alignment horizontal="center" vertical="center" shrinkToFit="1"/>
    </xf>
    <xf numFmtId="0" fontId="37" fillId="9" borderId="186" xfId="7" applyFont="1" applyFill="1" applyBorder="1" applyAlignment="1">
      <alignment horizontal="center" vertical="center" shrinkToFit="1"/>
    </xf>
    <xf numFmtId="176" fontId="37" fillId="9" borderId="186" xfId="7" applyNumberFormat="1" applyFont="1" applyFill="1" applyBorder="1" applyAlignment="1">
      <alignment horizontal="center" vertical="center" shrinkToFit="1"/>
    </xf>
    <xf numFmtId="176" fontId="7" fillId="0" borderId="186" xfId="0" applyNumberFormat="1" applyFont="1" applyBorder="1" applyAlignment="1">
      <alignment horizontal="right" vertical="center"/>
    </xf>
    <xf numFmtId="176" fontId="7" fillId="0" borderId="185" xfId="0" applyNumberFormat="1" applyFont="1" applyBorder="1" applyAlignment="1">
      <alignment horizontal="right" vertical="center"/>
    </xf>
    <xf numFmtId="0" fontId="37" fillId="9" borderId="184" xfId="7" applyFont="1" applyFill="1" applyBorder="1" applyAlignment="1">
      <alignment horizontal="center" vertical="center" shrinkToFit="1"/>
    </xf>
    <xf numFmtId="176" fontId="37" fillId="9" borderId="184" xfId="7" applyNumberFormat="1" applyFont="1" applyFill="1" applyBorder="1" applyAlignment="1">
      <alignment horizontal="center" vertical="center" shrinkToFit="1"/>
    </xf>
    <xf numFmtId="176" fontId="7" fillId="0" borderId="184" xfId="0" applyNumberFormat="1" applyFont="1" applyBorder="1" applyAlignment="1">
      <alignment horizontal="right" vertical="center"/>
    </xf>
    <xf numFmtId="176" fontId="7" fillId="0" borderId="183" xfId="0" applyNumberFormat="1" applyFont="1" applyBorder="1" applyAlignment="1">
      <alignment horizontal="right" vertical="center"/>
    </xf>
    <xf numFmtId="176" fontId="37" fillId="9" borderId="9" xfId="7" applyNumberFormat="1" applyFont="1" applyFill="1" applyBorder="1" applyAlignment="1">
      <alignment horizontal="center" vertical="center" shrinkToFit="1"/>
    </xf>
    <xf numFmtId="176" fontId="7" fillId="0" borderId="9" xfId="0" applyNumberFormat="1" applyFont="1" applyBorder="1" applyAlignment="1">
      <alignment horizontal="right" vertical="center"/>
    </xf>
    <xf numFmtId="176" fontId="7" fillId="0" borderId="171" xfId="0" applyNumberFormat="1" applyFont="1" applyBorder="1" applyAlignment="1">
      <alignment horizontal="right" vertical="center"/>
    </xf>
    <xf numFmtId="0" fontId="37" fillId="9" borderId="187" xfId="7" applyFont="1" applyFill="1" applyBorder="1" applyAlignment="1">
      <alignment horizontal="center" vertical="center" shrinkToFit="1"/>
    </xf>
    <xf numFmtId="176" fontId="7" fillId="0" borderId="189" xfId="0" applyNumberFormat="1" applyFont="1" applyBorder="1" applyAlignment="1">
      <alignment horizontal="right" vertical="center"/>
    </xf>
    <xf numFmtId="176" fontId="7" fillId="0" borderId="188" xfId="0" applyNumberFormat="1" applyFont="1" applyBorder="1" applyAlignment="1">
      <alignment horizontal="right" vertical="center"/>
    </xf>
    <xf numFmtId="176" fontId="38" fillId="18" borderId="9" xfId="0" applyNumberFormat="1" applyFont="1" applyFill="1" applyBorder="1" applyAlignment="1">
      <alignment horizontal="center" vertical="center" shrinkToFit="1"/>
    </xf>
    <xf numFmtId="0" fontId="37" fillId="9" borderId="186" xfId="7" applyNumberFormat="1" applyFont="1" applyFill="1" applyBorder="1" applyAlignment="1" applyProtection="1">
      <alignment horizontal="center" vertical="center" shrinkToFit="1"/>
    </xf>
    <xf numFmtId="176" fontId="37" fillId="9" borderId="186" xfId="7" applyNumberFormat="1" applyFont="1" applyFill="1" applyBorder="1" applyAlignment="1" applyProtection="1">
      <alignment horizontal="center" vertical="center" shrinkToFit="1"/>
    </xf>
    <xf numFmtId="0" fontId="37" fillId="9" borderId="9" xfId="7" applyNumberFormat="1" applyFont="1" applyFill="1" applyBorder="1" applyAlignment="1" applyProtection="1">
      <alignment horizontal="center" vertical="center" shrinkToFit="1"/>
    </xf>
    <xf numFmtId="176" fontId="37" fillId="9" borderId="9" xfId="7" applyNumberFormat="1" applyFont="1" applyFill="1" applyBorder="1" applyAlignment="1" applyProtection="1">
      <alignment horizontal="center" vertical="center" shrinkToFit="1"/>
    </xf>
    <xf numFmtId="0" fontId="37" fillId="9" borderId="184" xfId="7" applyNumberFormat="1" applyFont="1" applyFill="1" applyBorder="1" applyAlignment="1" applyProtection="1">
      <alignment horizontal="center" vertical="center" shrinkToFit="1"/>
    </xf>
    <xf numFmtId="176" fontId="37" fillId="9" borderId="184" xfId="7" applyNumberFormat="1" applyFont="1" applyFill="1" applyBorder="1" applyAlignment="1" applyProtection="1">
      <alignment horizontal="center" vertical="center" shrinkToFit="1"/>
    </xf>
    <xf numFmtId="0" fontId="37" fillId="9" borderId="187" xfId="7" applyNumberFormat="1" applyFont="1" applyFill="1" applyBorder="1" applyAlignment="1" applyProtection="1">
      <alignment horizontal="center" vertical="center" shrinkToFit="1"/>
    </xf>
    <xf numFmtId="0" fontId="60" fillId="0" borderId="117" xfId="0" applyFont="1" applyBorder="1" applyAlignment="1">
      <alignment horizontal="center" vertical="center"/>
    </xf>
    <xf numFmtId="0" fontId="37" fillId="9" borderId="189" xfId="7" applyNumberFormat="1" applyFont="1" applyFill="1" applyBorder="1" applyAlignment="1" applyProtection="1">
      <alignment horizontal="center" vertical="center" shrinkToFit="1"/>
    </xf>
    <xf numFmtId="176" fontId="37" fillId="9" borderId="189" xfId="7" applyNumberFormat="1" applyFont="1" applyFill="1" applyBorder="1" applyAlignment="1" applyProtection="1">
      <alignment horizontal="center" vertical="center" shrinkToFit="1"/>
    </xf>
    <xf numFmtId="0" fontId="36" fillId="16" borderId="94" xfId="7" applyNumberFormat="1" applyFont="1" applyFill="1" applyBorder="1" applyAlignment="1" applyProtection="1">
      <alignment horizontal="center" vertical="center" shrinkToFit="1"/>
    </xf>
    <xf numFmtId="0" fontId="37" fillId="9" borderId="93" xfId="7" applyFont="1" applyFill="1" applyBorder="1" applyAlignment="1">
      <alignment horizontal="center" vertical="center" shrinkToFit="1"/>
    </xf>
    <xf numFmtId="176" fontId="37" fillId="9" borderId="93" xfId="7" applyNumberFormat="1" applyFont="1" applyFill="1" applyBorder="1" applyAlignment="1">
      <alignment horizontal="center" vertical="center" shrinkToFit="1"/>
    </xf>
    <xf numFmtId="176" fontId="7" fillId="0" borderId="93" xfId="0" applyNumberFormat="1" applyFont="1" applyBorder="1" applyAlignment="1">
      <alignment horizontal="right" vertical="center"/>
    </xf>
    <xf numFmtId="176" fontId="7" fillId="0" borderId="28" xfId="0" applyNumberFormat="1" applyFont="1" applyBorder="1" applyAlignment="1">
      <alignment horizontal="right" vertical="center"/>
    </xf>
    <xf numFmtId="0" fontId="37" fillId="0" borderId="11" xfId="7" applyFont="1" applyBorder="1" applyAlignment="1">
      <alignment horizontal="center" vertical="center" shrinkToFit="1"/>
    </xf>
    <xf numFmtId="0" fontId="20" fillId="0" borderId="190" xfId="7" applyFont="1" applyBorder="1" applyAlignment="1">
      <alignment horizontal="center" vertical="center" shrinkToFit="1"/>
    </xf>
    <xf numFmtId="176" fontId="18" fillId="0" borderId="190" xfId="7" applyNumberFormat="1" applyFont="1" applyBorder="1" applyAlignment="1">
      <alignment horizontal="center" vertical="center" shrinkToFit="1"/>
    </xf>
    <xf numFmtId="176" fontId="20" fillId="0" borderId="190" xfId="7" applyNumberFormat="1" applyFont="1" applyBorder="1" applyAlignment="1">
      <alignment horizontal="center" vertical="center" shrinkToFit="1"/>
    </xf>
    <xf numFmtId="176" fontId="59" fillId="0" borderId="190" xfId="0" applyNumberFormat="1" applyFont="1" applyBorder="1" applyAlignment="1">
      <alignment horizontal="right" vertical="center"/>
    </xf>
    <xf numFmtId="176" fontId="59" fillId="0" borderId="191" xfId="0" applyNumberFormat="1" applyFont="1" applyBorder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36" fillId="16" borderId="94" xfId="7" applyNumberFormat="1" applyFont="1" applyFill="1" applyBorder="1" applyAlignment="1" applyProtection="1">
      <alignment horizontal="center" vertical="center" shrinkToFit="1"/>
    </xf>
    <xf numFmtId="0" fontId="22" fillId="15" borderId="96" xfId="4" applyFont="1" applyFill="1" applyBorder="1" applyAlignment="1" applyProtection="1">
      <alignment horizontal="center" vertical="center" shrinkToFit="1"/>
    </xf>
    <xf numFmtId="0" fontId="37" fillId="9" borderId="0" xfId="7" applyFont="1" applyFill="1" applyBorder="1" applyAlignment="1">
      <alignment horizontal="center" vertical="center" shrinkToFit="1"/>
    </xf>
    <xf numFmtId="0" fontId="37" fillId="9" borderId="14" xfId="7" applyFont="1" applyFill="1" applyBorder="1" applyAlignment="1">
      <alignment horizontal="center" vertical="center" shrinkToFit="1"/>
    </xf>
    <xf numFmtId="0" fontId="37" fillId="9" borderId="193" xfId="7" applyFont="1" applyFill="1" applyBorder="1" applyAlignment="1">
      <alignment horizontal="center" vertical="center" shrinkToFit="1"/>
    </xf>
    <xf numFmtId="176" fontId="37" fillId="9" borderId="14" xfId="7" applyNumberFormat="1" applyFont="1" applyFill="1" applyBorder="1" applyAlignment="1">
      <alignment horizontal="center" vertical="center" shrinkToFit="1"/>
    </xf>
    <xf numFmtId="176" fontId="7" fillId="0" borderId="14" xfId="0" applyNumberFormat="1" applyFont="1" applyBorder="1" applyAlignment="1">
      <alignment horizontal="right" vertical="center"/>
    </xf>
    <xf numFmtId="176" fontId="7" fillId="0" borderId="10" xfId="0" applyNumberFormat="1" applyFont="1" applyBorder="1" applyAlignment="1">
      <alignment horizontal="right" vertical="center"/>
    </xf>
    <xf numFmtId="0" fontId="37" fillId="0" borderId="9" xfId="7" applyFont="1" applyBorder="1" applyAlignment="1">
      <alignment horizontal="center" vertical="center" shrinkToFit="1"/>
    </xf>
    <xf numFmtId="0" fontId="37" fillId="9" borderId="0" xfId="7" applyNumberFormat="1" applyFont="1" applyFill="1" applyBorder="1" applyAlignment="1" applyProtection="1">
      <alignment horizontal="center" vertical="center" shrinkToFit="1"/>
    </xf>
    <xf numFmtId="0" fontId="37" fillId="9" borderId="14" xfId="7" applyNumberFormat="1" applyFont="1" applyFill="1" applyBorder="1" applyAlignment="1" applyProtection="1">
      <alignment horizontal="center" vertical="center" shrinkToFit="1"/>
    </xf>
    <xf numFmtId="0" fontId="37" fillId="9" borderId="193" xfId="7" applyNumberFormat="1" applyFont="1" applyFill="1" applyBorder="1" applyAlignment="1" applyProtection="1">
      <alignment horizontal="center" vertical="center" shrinkToFit="1"/>
    </xf>
    <xf numFmtId="176" fontId="37" fillId="9" borderId="14" xfId="7" applyNumberFormat="1" applyFont="1" applyFill="1" applyBorder="1" applyAlignment="1" applyProtection="1">
      <alignment horizontal="center" vertical="center" shrinkToFit="1"/>
    </xf>
    <xf numFmtId="0" fontId="20" fillId="0" borderId="93" xfId="7" applyNumberFormat="1" applyFont="1" applyFill="1" applyBorder="1" applyAlignment="1" applyProtection="1">
      <alignment horizontal="center" vertical="center" shrinkToFit="1"/>
    </xf>
    <xf numFmtId="176" fontId="18" fillId="0" borderId="93" xfId="7" applyNumberFormat="1" applyFont="1" applyFill="1" applyBorder="1" applyAlignment="1" applyProtection="1">
      <alignment horizontal="center" vertical="center" shrinkToFit="1"/>
    </xf>
    <xf numFmtId="176" fontId="20" fillId="0" borderId="93" xfId="7" applyNumberFormat="1" applyFont="1" applyFill="1" applyBorder="1" applyAlignment="1" applyProtection="1">
      <alignment horizontal="center" vertical="center" shrinkToFit="1"/>
    </xf>
    <xf numFmtId="176" fontId="59" fillId="0" borderId="93" xfId="0" applyNumberFormat="1" applyFont="1" applyFill="1" applyBorder="1" applyAlignment="1">
      <alignment horizontal="right" vertical="center"/>
    </xf>
    <xf numFmtId="176" fontId="59" fillId="0" borderId="28" xfId="0" applyNumberFormat="1" applyFont="1" applyFill="1" applyBorder="1" applyAlignment="1">
      <alignment horizontal="right" vertical="center"/>
    </xf>
    <xf numFmtId="0" fontId="20" fillId="0" borderId="14" xfId="7" applyNumberFormat="1" applyFont="1" applyFill="1" applyBorder="1" applyAlignment="1" applyProtection="1">
      <alignment horizontal="center" vertical="center" shrinkToFit="1"/>
    </xf>
    <xf numFmtId="176" fontId="18" fillId="0" borderId="14" xfId="7" applyNumberFormat="1" applyFont="1" applyFill="1" applyBorder="1" applyAlignment="1" applyProtection="1">
      <alignment horizontal="center" vertical="center" shrinkToFit="1"/>
    </xf>
    <xf numFmtId="176" fontId="20" fillId="0" borderId="14" xfId="7" applyNumberFormat="1" applyFont="1" applyFill="1" applyBorder="1" applyAlignment="1" applyProtection="1">
      <alignment horizontal="center" vertical="center" shrinkToFit="1"/>
    </xf>
    <xf numFmtId="176" fontId="59" fillId="0" borderId="14" xfId="0" applyNumberFormat="1" applyFont="1" applyFill="1" applyBorder="1" applyAlignment="1">
      <alignment horizontal="right" vertical="center"/>
    </xf>
    <xf numFmtId="176" fontId="59" fillId="0" borderId="10" xfId="0" applyNumberFormat="1" applyFont="1" applyFill="1" applyBorder="1" applyAlignment="1">
      <alignment horizontal="right" vertical="center"/>
    </xf>
    <xf numFmtId="0" fontId="37" fillId="0" borderId="11" xfId="7" applyNumberFormat="1" applyFont="1" applyFill="1" applyBorder="1" applyAlignment="1" applyProtection="1">
      <alignment horizontal="center" vertical="center" shrinkToFit="1"/>
    </xf>
    <xf numFmtId="0" fontId="37" fillId="0" borderId="93" xfId="7" applyNumberFormat="1" applyFont="1" applyFill="1" applyBorder="1" applyAlignment="1" applyProtection="1">
      <alignment horizontal="center" vertical="center" shrinkToFit="1"/>
    </xf>
    <xf numFmtId="0" fontId="37" fillId="9" borderId="93" xfId="7" applyNumberFormat="1" applyFont="1" applyFill="1" applyBorder="1" applyAlignment="1" applyProtection="1">
      <alignment horizontal="center" vertical="center" shrinkToFit="1"/>
    </xf>
    <xf numFmtId="176" fontId="37" fillId="9" borderId="93" xfId="7" applyNumberFormat="1" applyFont="1" applyFill="1" applyBorder="1" applyAlignment="1" applyProtection="1">
      <alignment horizontal="center" vertical="center" shrinkToFit="1"/>
    </xf>
    <xf numFmtId="176" fontId="59" fillId="0" borderId="14" xfId="0" applyNumberFormat="1" applyFont="1" applyBorder="1">
      <alignment vertical="center"/>
    </xf>
    <xf numFmtId="176" fontId="59" fillId="0" borderId="10" xfId="0" applyNumberFormat="1" applyFont="1" applyBorder="1">
      <alignment vertical="center"/>
    </xf>
    <xf numFmtId="0" fontId="20" fillId="9" borderId="93" xfId="7" applyFont="1" applyFill="1" applyBorder="1" applyAlignment="1">
      <alignment horizontal="center" vertical="center" shrinkToFit="1"/>
    </xf>
    <xf numFmtId="176" fontId="20" fillId="9" borderId="93" xfId="7" applyNumberFormat="1" applyFont="1" applyFill="1" applyBorder="1" applyAlignment="1">
      <alignment horizontal="center" vertical="center" shrinkToFit="1"/>
    </xf>
    <xf numFmtId="0" fontId="37" fillId="0" borderId="14" xfId="7" applyFont="1" applyBorder="1" applyAlignment="1">
      <alignment horizontal="center" vertical="center" shrinkToFit="1"/>
    </xf>
    <xf numFmtId="0" fontId="37" fillId="0" borderId="93" xfId="7" applyFont="1" applyBorder="1" applyAlignment="1">
      <alignment horizontal="center" vertical="center" shrinkToFit="1"/>
    </xf>
    <xf numFmtId="0" fontId="20" fillId="0" borderId="11" xfId="7" applyFont="1" applyBorder="1" applyAlignment="1">
      <alignment horizontal="center" vertical="center" shrinkToFit="1"/>
    </xf>
    <xf numFmtId="176" fontId="18" fillId="0" borderId="11" xfId="7" applyNumberFormat="1" applyFont="1" applyBorder="1" applyAlignment="1">
      <alignment horizontal="center" vertical="center" shrinkToFit="1"/>
    </xf>
    <xf numFmtId="176" fontId="20" fillId="0" borderId="11" xfId="7" applyNumberFormat="1" applyFont="1" applyBorder="1" applyAlignment="1">
      <alignment horizontal="center" vertical="center" shrinkToFit="1"/>
    </xf>
    <xf numFmtId="176" fontId="59" fillId="0" borderId="11" xfId="0" applyNumberFormat="1" applyFont="1" applyBorder="1" applyAlignment="1">
      <alignment horizontal="right" vertical="center"/>
    </xf>
    <xf numFmtId="176" fontId="59" fillId="0" borderId="103" xfId="0" applyNumberFormat="1" applyFont="1" applyBorder="1" applyAlignment="1">
      <alignment horizontal="right" vertical="center"/>
    </xf>
    <xf numFmtId="0" fontId="20" fillId="0" borderId="93" xfId="7" applyFont="1" applyBorder="1" applyAlignment="1">
      <alignment horizontal="center" vertical="center" shrinkToFit="1"/>
    </xf>
    <xf numFmtId="176" fontId="18" fillId="0" borderId="93" xfId="7" applyNumberFormat="1" applyFont="1" applyBorder="1" applyAlignment="1">
      <alignment horizontal="center" vertical="center" shrinkToFit="1"/>
    </xf>
    <xf numFmtId="176" fontId="20" fillId="0" borderId="93" xfId="7" applyNumberFormat="1" applyFont="1" applyBorder="1" applyAlignment="1">
      <alignment horizontal="center" vertical="center" shrinkToFit="1"/>
    </xf>
    <xf numFmtId="176" fontId="59" fillId="0" borderId="93" xfId="0" applyNumberFormat="1" applyFont="1" applyBorder="1" applyAlignment="1">
      <alignment horizontal="right" vertical="center"/>
    </xf>
    <xf numFmtId="176" fontId="59" fillId="0" borderId="28" xfId="0" applyNumberFormat="1" applyFont="1" applyBorder="1" applyAlignment="1">
      <alignment horizontal="right" vertical="center"/>
    </xf>
    <xf numFmtId="0" fontId="20" fillId="0" borderId="14" xfId="7" applyFont="1" applyBorder="1" applyAlignment="1">
      <alignment horizontal="center" vertical="center" shrinkToFit="1"/>
    </xf>
    <xf numFmtId="176" fontId="18" fillId="0" borderId="14" xfId="7" applyNumberFormat="1" applyFont="1" applyBorder="1" applyAlignment="1">
      <alignment horizontal="center" vertical="center" shrinkToFit="1"/>
    </xf>
    <xf numFmtId="176" fontId="20" fillId="0" borderId="14" xfId="7" applyNumberFormat="1" applyFont="1" applyBorder="1" applyAlignment="1">
      <alignment horizontal="center" vertical="center" shrinkToFit="1"/>
    </xf>
    <xf numFmtId="176" fontId="59" fillId="0" borderId="14" xfId="0" applyNumberFormat="1" applyFont="1" applyBorder="1" applyAlignment="1">
      <alignment horizontal="right" vertical="center"/>
    </xf>
    <xf numFmtId="176" fontId="59" fillId="0" borderId="10" xfId="0" applyNumberFormat="1" applyFont="1" applyBorder="1" applyAlignment="1">
      <alignment horizontal="right" vertical="center"/>
    </xf>
    <xf numFmtId="0" fontId="37" fillId="9" borderId="194" xfId="7" applyFont="1" applyFill="1" applyBorder="1" applyAlignment="1">
      <alignment horizontal="center" vertical="center" shrinkToFit="1"/>
    </xf>
    <xf numFmtId="0" fontId="37" fillId="9" borderId="113" xfId="7" applyFont="1" applyFill="1" applyBorder="1" applyAlignment="1">
      <alignment horizontal="center" vertical="center" shrinkToFit="1"/>
    </xf>
    <xf numFmtId="176" fontId="38" fillId="18" borderId="93" xfId="0" applyNumberFormat="1" applyFont="1" applyFill="1" applyBorder="1" applyAlignment="1">
      <alignment horizontal="center" vertical="center" shrinkToFit="1"/>
    </xf>
    <xf numFmtId="0" fontId="37" fillId="9" borderId="107" xfId="7" applyFont="1" applyFill="1" applyBorder="1" applyAlignment="1">
      <alignment horizontal="center" vertical="center" shrinkToFit="1"/>
    </xf>
    <xf numFmtId="176" fontId="38" fillId="18" borderId="14" xfId="0" applyNumberFormat="1" applyFont="1" applyFill="1" applyBorder="1" applyAlignment="1">
      <alignment horizontal="center" vertical="center" shrinkToFit="1"/>
    </xf>
    <xf numFmtId="0" fontId="37" fillId="0" borderId="190" xfId="7" applyFont="1" applyBorder="1" applyAlignment="1">
      <alignment horizontal="center" vertical="center" shrinkToFit="1"/>
    </xf>
    <xf numFmtId="0" fontId="37" fillId="9" borderId="192" xfId="7" applyFont="1" applyFill="1" applyBorder="1" applyAlignment="1">
      <alignment horizontal="center" vertical="center" shrinkToFit="1"/>
    </xf>
    <xf numFmtId="0" fontId="37" fillId="9" borderId="190" xfId="7" applyFont="1" applyFill="1" applyBorder="1" applyAlignment="1">
      <alignment horizontal="center" vertical="center" shrinkToFit="1"/>
    </xf>
    <xf numFmtId="176" fontId="37" fillId="9" borderId="190" xfId="7" applyNumberFormat="1" applyFont="1" applyFill="1" applyBorder="1" applyAlignment="1">
      <alignment horizontal="center" vertical="center" shrinkToFit="1"/>
    </xf>
    <xf numFmtId="176" fontId="38" fillId="18" borderId="190" xfId="0" applyNumberFormat="1" applyFont="1" applyFill="1" applyBorder="1" applyAlignment="1">
      <alignment horizontal="center" vertical="center" shrinkToFit="1"/>
    </xf>
    <xf numFmtId="176" fontId="7" fillId="0" borderId="190" xfId="0" applyNumberFormat="1" applyFont="1" applyBorder="1" applyAlignment="1">
      <alignment horizontal="right" vertical="center"/>
    </xf>
    <xf numFmtId="176" fontId="7" fillId="0" borderId="191" xfId="0" applyNumberFormat="1" applyFont="1" applyBorder="1" applyAlignment="1">
      <alignment horizontal="right" vertical="center"/>
    </xf>
    <xf numFmtId="0" fontId="0" fillId="0" borderId="14" xfId="0" applyBorder="1" applyAlignment="1">
      <alignment horizontal="center" vertical="center"/>
    </xf>
    <xf numFmtId="0" fontId="13" fillId="15" borderId="4" xfId="5" applyFont="1" applyFill="1" applyBorder="1" applyAlignment="1" applyProtection="1">
      <alignment horizontal="center" vertical="center" wrapText="1"/>
    </xf>
    <xf numFmtId="0" fontId="13" fillId="15" borderId="23" xfId="5" applyFont="1" applyFill="1" applyBorder="1" applyAlignment="1" applyProtection="1">
      <alignment horizontal="center" vertical="center" wrapText="1"/>
    </xf>
    <xf numFmtId="0" fontId="13" fillId="15" borderId="6" xfId="5" applyFont="1" applyFill="1" applyBorder="1" applyAlignment="1" applyProtection="1">
      <alignment horizontal="center" vertical="center" wrapText="1"/>
    </xf>
    <xf numFmtId="0" fontId="13" fillId="15" borderId="19" xfId="5" applyFont="1" applyFill="1" applyBorder="1" applyAlignment="1" applyProtection="1">
      <alignment horizontal="center" vertical="center" wrapText="1"/>
    </xf>
    <xf numFmtId="0" fontId="13" fillId="23" borderId="13" xfId="4" applyFont="1" applyFill="1" applyBorder="1" applyAlignment="1" applyProtection="1">
      <alignment horizontal="center" vertical="center" wrapText="1"/>
    </xf>
    <xf numFmtId="0" fontId="13" fillId="23" borderId="16" xfId="4" applyFont="1" applyFill="1" applyBorder="1" applyAlignment="1" applyProtection="1">
      <alignment horizontal="center" vertical="center" wrapText="1"/>
    </xf>
    <xf numFmtId="0" fontId="13" fillId="0" borderId="48" xfId="0" applyFont="1" applyFill="1" applyBorder="1" applyAlignment="1" applyProtection="1">
      <alignment horizontal="center" vertical="center" shrinkToFit="1"/>
      <protection locked="0"/>
    </xf>
    <xf numFmtId="0" fontId="13" fillId="0" borderId="52" xfId="0" applyFont="1" applyFill="1" applyBorder="1" applyAlignment="1" applyProtection="1">
      <alignment horizontal="center" vertical="center" shrinkToFit="1"/>
      <protection locked="0"/>
    </xf>
    <xf numFmtId="0" fontId="13" fillId="0" borderId="48" xfId="4" applyFont="1" applyFill="1" applyBorder="1" applyAlignment="1" applyProtection="1">
      <alignment horizontal="center" vertical="center" wrapText="1"/>
      <protection locked="0"/>
    </xf>
    <xf numFmtId="0" fontId="13" fillId="0" borderId="34" xfId="4" applyFont="1" applyFill="1" applyBorder="1" applyAlignment="1" applyProtection="1">
      <alignment horizontal="center" vertical="center" wrapText="1"/>
      <protection locked="0"/>
    </xf>
    <xf numFmtId="0" fontId="13" fillId="0" borderId="33" xfId="4" applyFont="1" applyFill="1" applyBorder="1" applyAlignment="1" applyProtection="1">
      <alignment horizontal="center" vertical="center" wrapText="1"/>
      <protection locked="0"/>
    </xf>
    <xf numFmtId="0" fontId="13" fillId="0" borderId="116" xfId="4" applyFont="1" applyFill="1" applyBorder="1" applyAlignment="1" applyProtection="1">
      <alignment horizontal="center" vertical="center" wrapText="1"/>
      <protection locked="0"/>
    </xf>
    <xf numFmtId="0" fontId="13" fillId="0" borderId="117" xfId="4" applyFont="1" applyFill="1" applyBorder="1" applyAlignment="1" applyProtection="1">
      <alignment horizontal="center" vertical="center" wrapText="1"/>
      <protection locked="0"/>
    </xf>
    <xf numFmtId="0" fontId="13" fillId="0" borderId="52" xfId="4" applyFont="1" applyFill="1" applyBorder="1" applyAlignment="1" applyProtection="1">
      <alignment horizontal="center" vertical="center" wrapText="1"/>
      <protection locked="0"/>
    </xf>
    <xf numFmtId="0" fontId="13" fillId="0" borderId="68" xfId="4" applyFont="1" applyFill="1" applyBorder="1" applyAlignment="1" applyProtection="1">
      <alignment horizontal="center" vertical="center" wrapText="1"/>
      <protection locked="0"/>
    </xf>
    <xf numFmtId="0" fontId="13" fillId="0" borderId="62" xfId="4" applyFont="1" applyFill="1" applyBorder="1" applyAlignment="1" applyProtection="1">
      <alignment horizontal="center" vertical="center" wrapText="1"/>
      <protection locked="0"/>
    </xf>
    <xf numFmtId="0" fontId="13" fillId="0" borderId="106" xfId="4" applyFont="1" applyFill="1" applyBorder="1" applyAlignment="1" applyProtection="1">
      <alignment horizontal="center" vertical="center" wrapText="1"/>
      <protection locked="0"/>
    </xf>
    <xf numFmtId="0" fontId="13" fillId="0" borderId="15" xfId="4" applyFont="1" applyFill="1" applyBorder="1" applyAlignment="1" applyProtection="1">
      <alignment horizontal="center" vertical="center" wrapText="1"/>
      <protection locked="0"/>
    </xf>
    <xf numFmtId="0" fontId="13" fillId="0" borderId="63" xfId="4" applyFont="1" applyFill="1" applyBorder="1" applyAlignment="1" applyProtection="1">
      <alignment horizontal="center" vertical="center" wrapText="1"/>
      <protection locked="0"/>
    </xf>
    <xf numFmtId="0" fontId="13" fillId="0" borderId="27" xfId="4" applyFont="1" applyFill="1" applyBorder="1" applyAlignment="1" applyProtection="1">
      <alignment horizontal="center" vertical="center" wrapText="1"/>
      <protection locked="0"/>
    </xf>
    <xf numFmtId="0" fontId="13" fillId="0" borderId="69" xfId="4" applyFont="1" applyFill="1" applyBorder="1" applyAlignment="1" applyProtection="1">
      <alignment horizontal="center" vertical="center" wrapText="1"/>
      <protection locked="0"/>
    </xf>
    <xf numFmtId="0" fontId="13" fillId="0" borderId="114" xfId="4" applyFont="1" applyFill="1" applyBorder="1" applyAlignment="1" applyProtection="1">
      <alignment horizontal="center" vertical="center" wrapText="1"/>
      <protection locked="0"/>
    </xf>
    <xf numFmtId="0" fontId="13" fillId="0" borderId="76" xfId="4" applyFont="1" applyFill="1" applyBorder="1" applyAlignment="1" applyProtection="1">
      <alignment horizontal="center" vertical="center" wrapText="1"/>
      <protection locked="0"/>
    </xf>
    <xf numFmtId="0" fontId="13" fillId="0" borderId="49" xfId="4" applyFont="1" applyFill="1" applyBorder="1" applyAlignment="1" applyProtection="1">
      <alignment horizontal="center" vertical="center" wrapText="1"/>
      <protection locked="0"/>
    </xf>
    <xf numFmtId="0" fontId="13" fillId="0" borderId="115" xfId="4" applyFont="1" applyFill="1" applyBorder="1" applyAlignment="1" applyProtection="1">
      <alignment horizontal="center" vertical="center" wrapText="1"/>
      <protection locked="0"/>
    </xf>
    <xf numFmtId="0" fontId="13" fillId="0" borderId="58" xfId="4" applyFont="1" applyFill="1" applyBorder="1" applyAlignment="1" applyProtection="1">
      <alignment horizontal="center" vertical="center" wrapText="1"/>
      <protection locked="0"/>
    </xf>
    <xf numFmtId="0" fontId="13" fillId="15" borderId="22" xfId="5" applyFont="1" applyFill="1" applyBorder="1" applyAlignment="1" applyProtection="1">
      <alignment horizontal="center" vertical="center" wrapText="1"/>
    </xf>
    <xf numFmtId="0" fontId="13" fillId="15" borderId="27" xfId="5" applyFont="1" applyFill="1" applyBorder="1" applyAlignment="1" applyProtection="1">
      <alignment horizontal="center" vertical="center" wrapText="1"/>
    </xf>
    <xf numFmtId="0" fontId="13" fillId="10" borderId="56" xfId="6" applyFont="1" applyFill="1" applyBorder="1" applyAlignment="1" applyProtection="1">
      <alignment horizontal="center" vertical="center" wrapText="1"/>
    </xf>
    <xf numFmtId="0" fontId="13" fillId="10" borderId="57" xfId="6" applyFont="1" applyFill="1" applyBorder="1" applyAlignment="1" applyProtection="1">
      <alignment horizontal="center" vertical="center" wrapText="1"/>
    </xf>
    <xf numFmtId="0" fontId="13" fillId="10" borderId="22" xfId="6" applyFont="1" applyFill="1" applyBorder="1" applyAlignment="1" applyProtection="1">
      <alignment horizontal="center" vertical="center" wrapText="1"/>
    </xf>
    <xf numFmtId="0" fontId="13" fillId="10" borderId="63" xfId="6" applyFont="1" applyFill="1" applyBorder="1" applyAlignment="1" applyProtection="1">
      <alignment horizontal="center" vertical="center" wrapText="1"/>
    </xf>
    <xf numFmtId="0" fontId="13" fillId="10" borderId="84" xfId="6" applyFont="1" applyFill="1" applyBorder="1" applyAlignment="1" applyProtection="1">
      <alignment horizontal="center" vertical="center" wrapText="1"/>
    </xf>
    <xf numFmtId="0" fontId="13" fillId="0" borderId="120" xfId="4" applyFont="1" applyFill="1" applyBorder="1" applyAlignment="1" applyProtection="1">
      <alignment horizontal="center" vertical="center" wrapText="1"/>
      <protection locked="0"/>
    </xf>
    <xf numFmtId="0" fontId="13" fillId="0" borderId="50" xfId="4" applyFont="1" applyFill="1" applyBorder="1" applyAlignment="1" applyProtection="1">
      <alignment horizontal="center" vertical="center" wrapText="1"/>
      <protection locked="0"/>
    </xf>
    <xf numFmtId="0" fontId="13" fillId="0" borderId="118" xfId="4" applyFont="1" applyFill="1" applyBorder="1" applyAlignment="1" applyProtection="1">
      <alignment horizontal="center" vertical="center" wrapText="1"/>
      <protection locked="0"/>
    </xf>
    <xf numFmtId="0" fontId="13" fillId="0" borderId="119" xfId="4" applyFont="1" applyFill="1" applyBorder="1" applyAlignment="1" applyProtection="1">
      <alignment horizontal="center" vertical="center" wrapText="1"/>
      <protection locked="0"/>
    </xf>
    <xf numFmtId="0" fontId="13" fillId="0" borderId="51" xfId="4" applyFont="1" applyFill="1" applyBorder="1" applyAlignment="1" applyProtection="1">
      <alignment horizontal="center" vertical="center" wrapText="1"/>
      <protection locked="0"/>
    </xf>
    <xf numFmtId="0" fontId="13" fillId="6" borderId="31" xfId="4" applyFont="1" applyFill="1" applyBorder="1" applyAlignment="1" applyProtection="1">
      <alignment horizontal="center" vertical="center" wrapText="1"/>
    </xf>
    <xf numFmtId="0" fontId="13" fillId="15" borderId="48" xfId="5" applyFont="1" applyFill="1" applyBorder="1" applyAlignment="1" applyProtection="1">
      <alignment horizontal="center" vertical="center" wrapText="1"/>
    </xf>
    <xf numFmtId="0" fontId="13" fillId="15" borderId="52" xfId="5" applyFont="1" applyFill="1" applyBorder="1" applyAlignment="1" applyProtection="1">
      <alignment horizontal="center" vertical="center" wrapText="1"/>
    </xf>
    <xf numFmtId="0" fontId="15" fillId="17" borderId="21" xfId="0" applyFont="1" applyFill="1" applyBorder="1" applyAlignment="1" applyProtection="1">
      <alignment horizontal="center" vertical="center"/>
      <protection locked="0"/>
    </xf>
    <xf numFmtId="0" fontId="15" fillId="17" borderId="27" xfId="0" applyFont="1" applyFill="1" applyBorder="1" applyAlignment="1" applyProtection="1">
      <alignment horizontal="center" vertic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center"/>
      <protection locked="0"/>
    </xf>
    <xf numFmtId="0" fontId="15" fillId="17" borderId="22" xfId="0" applyFont="1" applyFill="1" applyBorder="1" applyAlignment="1" applyProtection="1">
      <alignment horizontal="center" vertical="center"/>
      <protection locked="0"/>
    </xf>
    <xf numFmtId="0" fontId="15" fillId="17" borderId="63" xfId="0" applyFont="1" applyFill="1" applyBorder="1" applyAlignment="1" applyProtection="1">
      <alignment horizontal="center" vertical="center"/>
      <protection locked="0"/>
    </xf>
    <xf numFmtId="0" fontId="13" fillId="0" borderId="122" xfId="4" applyFont="1" applyFill="1" applyBorder="1" applyAlignment="1" applyProtection="1">
      <alignment horizontal="center" vertical="center" wrapText="1"/>
      <protection locked="0"/>
    </xf>
    <xf numFmtId="0" fontId="13" fillId="0" borderId="66" xfId="4" applyFont="1" applyFill="1" applyBorder="1" applyAlignment="1" applyProtection="1">
      <alignment horizontal="center" vertical="center" wrapText="1"/>
      <protection locked="0"/>
    </xf>
    <xf numFmtId="0" fontId="13" fillId="0" borderId="65" xfId="4" applyFont="1" applyFill="1" applyBorder="1" applyAlignment="1" applyProtection="1">
      <alignment horizontal="center" vertical="center" wrapText="1"/>
      <protection locked="0"/>
    </xf>
    <xf numFmtId="0" fontId="13" fillId="0" borderId="121" xfId="4" applyFont="1" applyFill="1" applyBorder="1" applyAlignment="1" applyProtection="1">
      <alignment horizontal="center" vertical="center" wrapText="1"/>
      <protection locked="0"/>
    </xf>
    <xf numFmtId="0" fontId="13" fillId="0" borderId="23" xfId="4" applyFont="1" applyFill="1" applyBorder="1" applyAlignment="1" applyProtection="1">
      <alignment horizontal="center" vertical="center" wrapText="1"/>
      <protection locked="0"/>
    </xf>
    <xf numFmtId="0" fontId="12" fillId="8" borderId="95" xfId="0" applyFont="1" applyFill="1" applyBorder="1" applyAlignment="1" applyProtection="1">
      <alignment horizontal="center" vertical="center" wrapText="1"/>
      <protection locked="0"/>
    </xf>
    <xf numFmtId="0" fontId="12" fillId="8" borderId="24" xfId="0" applyFont="1" applyFill="1" applyBorder="1" applyAlignment="1" applyProtection="1">
      <alignment horizontal="center" vertical="center" wrapText="1"/>
      <protection locked="0"/>
    </xf>
    <xf numFmtId="0" fontId="12" fillId="8" borderId="25" xfId="0" applyFont="1" applyFill="1" applyBorder="1" applyAlignment="1" applyProtection="1">
      <alignment horizontal="center" vertical="center" wrapText="1"/>
      <protection locked="0"/>
    </xf>
    <xf numFmtId="0" fontId="14" fillId="4" borderId="34" xfId="3" applyFont="1" applyFill="1" applyBorder="1" applyAlignment="1" applyProtection="1">
      <alignment horizontal="center" vertical="center" wrapText="1"/>
      <protection locked="0"/>
    </xf>
    <xf numFmtId="0" fontId="14" fillId="4" borderId="32" xfId="3" applyFont="1" applyFill="1" applyBorder="1" applyAlignment="1" applyProtection="1">
      <alignment horizontal="center" vertical="center" wrapText="1"/>
      <protection locked="0"/>
    </xf>
    <xf numFmtId="0" fontId="14" fillId="4" borderId="33" xfId="3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15" borderId="23" xfId="4" applyFont="1" applyFill="1" applyBorder="1" applyAlignment="1" applyProtection="1">
      <alignment horizontal="center" vertical="center" wrapText="1"/>
    </xf>
    <xf numFmtId="0" fontId="13" fillId="15" borderId="19" xfId="4" applyFont="1" applyFill="1" applyBorder="1" applyAlignment="1" applyProtection="1">
      <alignment horizontal="center" vertical="center" wrapText="1"/>
    </xf>
    <xf numFmtId="0" fontId="13" fillId="15" borderId="4" xfId="4" applyFont="1" applyFill="1" applyBorder="1" applyAlignment="1" applyProtection="1">
      <alignment horizontal="center" vertical="center" wrapText="1"/>
    </xf>
    <xf numFmtId="0" fontId="13" fillId="15" borderId="6" xfId="4" applyFont="1" applyFill="1" applyBorder="1" applyAlignment="1" applyProtection="1">
      <alignment horizontal="center" vertical="center" wrapText="1"/>
    </xf>
    <xf numFmtId="0" fontId="13" fillId="15" borderId="13" xfId="0" applyFont="1" applyFill="1" applyBorder="1" applyAlignment="1">
      <alignment horizontal="center" vertical="center" wrapText="1"/>
    </xf>
    <xf numFmtId="0" fontId="13" fillId="15" borderId="16" xfId="0" applyFont="1" applyFill="1" applyBorder="1" applyAlignment="1">
      <alignment horizontal="center" vertical="center" wrapText="1"/>
    </xf>
    <xf numFmtId="0" fontId="13" fillId="15" borderId="77" xfId="0" applyFont="1" applyFill="1" applyBorder="1" applyAlignment="1">
      <alignment horizontal="center" vertical="center" wrapText="1"/>
    </xf>
    <xf numFmtId="0" fontId="13" fillId="0" borderId="47" xfId="4" applyFont="1" applyFill="1" applyBorder="1" applyAlignment="1" applyProtection="1">
      <alignment horizontal="center" vertical="center" wrapText="1"/>
      <protection locked="0"/>
    </xf>
    <xf numFmtId="0" fontId="13" fillId="0" borderId="54" xfId="4" applyFont="1" applyFill="1" applyBorder="1" applyAlignment="1" applyProtection="1">
      <alignment horizontal="center" vertical="center" wrapText="1"/>
      <protection locked="0"/>
    </xf>
    <xf numFmtId="0" fontId="15" fillId="8" borderId="13" xfId="0" applyFont="1" applyFill="1" applyBorder="1" applyAlignment="1" applyProtection="1">
      <alignment horizontal="center" vertical="center"/>
      <protection locked="0"/>
    </xf>
    <xf numFmtId="0" fontId="15" fillId="8" borderId="77" xfId="0" applyFont="1" applyFill="1" applyBorder="1" applyAlignment="1" applyProtection="1">
      <alignment horizontal="center" vertical="center"/>
      <protection locked="0"/>
    </xf>
    <xf numFmtId="0" fontId="15" fillId="8" borderId="4" xfId="0" applyFont="1" applyFill="1" applyBorder="1" applyAlignment="1" applyProtection="1">
      <alignment horizontal="center" vertical="center"/>
      <protection locked="0"/>
    </xf>
    <xf numFmtId="0" fontId="15" fillId="8" borderId="26" xfId="0" applyFont="1" applyFill="1" applyBorder="1" applyAlignment="1" applyProtection="1">
      <alignment horizontal="center" vertical="center"/>
      <protection locked="0"/>
    </xf>
    <xf numFmtId="0" fontId="15" fillId="8" borderId="18" xfId="0" applyFont="1" applyFill="1" applyBorder="1" applyAlignment="1" applyProtection="1">
      <alignment horizontal="center" vertical="center"/>
      <protection locked="0"/>
    </xf>
    <xf numFmtId="0" fontId="15" fillId="8" borderId="3" xfId="0" applyFont="1" applyFill="1" applyBorder="1" applyAlignment="1" applyProtection="1">
      <alignment horizontal="center" vertical="center"/>
      <protection locked="0"/>
    </xf>
    <xf numFmtId="0" fontId="15" fillId="8" borderId="23" xfId="0" applyFont="1" applyFill="1" applyBorder="1" applyAlignment="1" applyProtection="1">
      <alignment horizontal="center" vertical="center"/>
      <protection locked="0"/>
    </xf>
    <xf numFmtId="0" fontId="15" fillId="8" borderId="20" xfId="0" applyFont="1" applyFill="1" applyBorder="1" applyAlignment="1" applyProtection="1">
      <alignment horizontal="center" vertical="center"/>
      <protection locked="0"/>
    </xf>
    <xf numFmtId="0" fontId="15" fillId="8" borderId="22" xfId="0" applyFont="1" applyFill="1" applyBorder="1" applyAlignment="1" applyProtection="1">
      <alignment horizontal="center" vertical="center"/>
      <protection locked="0"/>
    </xf>
    <xf numFmtId="0" fontId="15" fillId="8" borderId="21" xfId="0" applyFont="1" applyFill="1" applyBorder="1" applyAlignment="1" applyProtection="1">
      <alignment horizontal="center" vertical="center"/>
      <protection locked="0"/>
    </xf>
    <xf numFmtId="0" fontId="15" fillId="8" borderId="27" xfId="0" applyFont="1" applyFill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21" xfId="0" applyFont="1" applyBorder="1" applyAlignment="1" applyProtection="1">
      <alignment horizontal="center" vertical="center"/>
      <protection locked="0"/>
    </xf>
    <xf numFmtId="0" fontId="22" fillId="0" borderId="106" xfId="0" applyFont="1" applyBorder="1" applyAlignment="1" applyProtection="1">
      <alignment horizontal="center" vertical="center"/>
      <protection locked="0"/>
    </xf>
    <xf numFmtId="0" fontId="22" fillId="0" borderId="27" xfId="0" applyFont="1" applyBorder="1" applyAlignment="1" applyProtection="1">
      <alignment horizontal="center" vertical="center"/>
      <protection locked="0"/>
    </xf>
    <xf numFmtId="0" fontId="22" fillId="0" borderId="22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 wrapText="1"/>
      <protection locked="0"/>
    </xf>
    <xf numFmtId="0" fontId="22" fillId="0" borderId="21" xfId="0" applyFont="1" applyBorder="1" applyAlignment="1" applyProtection="1">
      <alignment horizontal="center" vertical="center" wrapText="1"/>
      <protection locked="0"/>
    </xf>
    <xf numFmtId="0" fontId="22" fillId="0" borderId="27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4" fillId="4" borderId="4" xfId="3" applyFont="1" applyFill="1" applyBorder="1" applyAlignment="1" applyProtection="1">
      <alignment horizontal="center" vertical="center" wrapText="1"/>
      <protection locked="0"/>
    </xf>
    <xf numFmtId="0" fontId="14" fillId="4" borderId="23" xfId="3" applyFont="1" applyFill="1" applyBorder="1" applyAlignment="1" applyProtection="1">
      <alignment horizontal="center" vertical="center" wrapText="1"/>
      <protection locked="0"/>
    </xf>
    <xf numFmtId="0" fontId="14" fillId="4" borderId="18" xfId="3" applyFont="1" applyFill="1" applyBorder="1" applyAlignment="1" applyProtection="1">
      <alignment horizontal="center" vertical="center" wrapText="1"/>
      <protection locked="0"/>
    </xf>
    <xf numFmtId="0" fontId="14" fillId="4" borderId="20" xfId="3" applyFont="1" applyFill="1" applyBorder="1" applyAlignment="1" applyProtection="1">
      <alignment horizontal="center" vertical="center" wrapText="1"/>
      <protection locked="0"/>
    </xf>
    <xf numFmtId="0" fontId="14" fillId="4" borderId="36" xfId="3" applyFont="1" applyFill="1" applyBorder="1" applyAlignment="1" applyProtection="1">
      <alignment horizontal="center" vertical="center" wrapText="1"/>
      <protection locked="0"/>
    </xf>
    <xf numFmtId="0" fontId="14" fillId="4" borderId="37" xfId="3" applyFont="1" applyFill="1" applyBorder="1" applyAlignment="1" applyProtection="1">
      <alignment horizontal="center" vertical="center" wrapText="1"/>
      <protection locked="0"/>
    </xf>
    <xf numFmtId="0" fontId="14" fillId="4" borderId="47" xfId="3" applyFont="1" applyFill="1" applyBorder="1" applyAlignment="1" applyProtection="1">
      <alignment horizontal="center" vertical="center" wrapText="1"/>
      <protection locked="0"/>
    </xf>
    <xf numFmtId="0" fontId="14" fillId="4" borderId="76" xfId="3" applyFont="1" applyFill="1" applyBorder="1" applyAlignment="1" applyProtection="1">
      <alignment horizontal="center" vertical="center" wrapText="1"/>
      <protection locked="0"/>
    </xf>
    <xf numFmtId="0" fontId="14" fillId="4" borderId="58" xfId="3" applyFont="1" applyFill="1" applyBorder="1" applyAlignment="1" applyProtection="1">
      <alignment horizontal="center" vertical="center" wrapText="1"/>
      <protection locked="0"/>
    </xf>
    <xf numFmtId="0" fontId="14" fillId="4" borderId="39" xfId="3" applyFont="1" applyFill="1" applyBorder="1" applyAlignment="1" applyProtection="1">
      <alignment horizontal="center" vertical="center" wrapText="1"/>
      <protection locked="0"/>
    </xf>
    <xf numFmtId="0" fontId="14" fillId="4" borderId="42" xfId="3" applyFont="1" applyFill="1" applyBorder="1" applyAlignment="1" applyProtection="1">
      <alignment horizontal="center" vertical="center" wrapText="1"/>
      <protection locked="0"/>
    </xf>
    <xf numFmtId="0" fontId="14" fillId="4" borderId="49" xfId="3" applyFont="1" applyFill="1" applyBorder="1" applyAlignment="1" applyProtection="1">
      <alignment horizontal="center" vertical="center" wrapText="1"/>
      <protection locked="0"/>
    </xf>
    <xf numFmtId="0" fontId="14" fillId="4" borderId="40" xfId="3" applyFont="1" applyFill="1" applyBorder="1" applyAlignment="1" applyProtection="1">
      <alignment horizontal="center" vertical="center" wrapText="1"/>
      <protection locked="0"/>
    </xf>
    <xf numFmtId="0" fontId="14" fillId="4" borderId="82" xfId="3" applyFont="1" applyFill="1" applyBorder="1" applyAlignment="1" applyProtection="1">
      <alignment horizontal="center" vertical="center" wrapText="1"/>
      <protection locked="0"/>
    </xf>
    <xf numFmtId="0" fontId="14" fillId="4" borderId="85" xfId="3" applyFont="1" applyFill="1" applyBorder="1" applyAlignment="1" applyProtection="1">
      <alignment horizontal="center" vertical="center" wrapText="1"/>
      <protection locked="0"/>
    </xf>
    <xf numFmtId="0" fontId="14" fillId="4" borderId="69" xfId="3" applyFont="1" applyFill="1" applyBorder="1" applyAlignment="1" applyProtection="1">
      <alignment horizontal="center" vertical="center" wrapText="1"/>
      <protection locked="0"/>
    </xf>
    <xf numFmtId="0" fontId="14" fillId="4" borderId="41" xfId="3" applyFont="1" applyFill="1" applyBorder="1" applyAlignment="1" applyProtection="1">
      <alignment horizontal="center" vertical="center" wrapText="1"/>
      <protection locked="0"/>
    </xf>
    <xf numFmtId="0" fontId="14" fillId="4" borderId="43" xfId="3" applyFont="1" applyFill="1" applyBorder="1" applyAlignment="1" applyProtection="1">
      <alignment horizontal="center" vertical="center" wrapText="1"/>
      <protection locked="0"/>
    </xf>
    <xf numFmtId="0" fontId="14" fillId="4" borderId="52" xfId="3" applyFont="1" applyFill="1" applyBorder="1" applyAlignment="1" applyProtection="1">
      <alignment horizontal="center" vertical="center" wrapText="1"/>
      <protection locked="0"/>
    </xf>
    <xf numFmtId="0" fontId="25" fillId="3" borderId="35" xfId="3" applyFont="1" applyBorder="1" applyAlignment="1" applyProtection="1">
      <alignment horizontal="center" vertical="center"/>
      <protection locked="0"/>
    </xf>
    <xf numFmtId="0" fontId="25" fillId="3" borderId="71" xfId="3" applyFont="1" applyBorder="1" applyAlignment="1" applyProtection="1">
      <alignment horizontal="center" vertical="center"/>
      <protection locked="0"/>
    </xf>
    <xf numFmtId="0" fontId="14" fillId="4" borderId="83" xfId="3" applyFont="1" applyFill="1" applyBorder="1" applyAlignment="1" applyProtection="1">
      <alignment horizontal="center" vertical="center" wrapText="1"/>
      <protection locked="0"/>
    </xf>
    <xf numFmtId="0" fontId="14" fillId="4" borderId="86" xfId="3" applyFont="1" applyFill="1" applyBorder="1" applyAlignment="1" applyProtection="1">
      <alignment horizontal="center" vertical="center" wrapText="1"/>
      <protection locked="0"/>
    </xf>
    <xf numFmtId="0" fontId="13" fillId="0" borderId="4" xfId="4" applyFont="1" applyFill="1" applyBorder="1" applyAlignment="1" applyProtection="1">
      <alignment horizontal="center" vertical="center" wrapText="1"/>
      <protection locked="0"/>
    </xf>
    <xf numFmtId="0" fontId="13" fillId="15" borderId="73" xfId="4" applyFont="1" applyFill="1" applyBorder="1" applyAlignment="1" applyProtection="1">
      <alignment horizontal="center" vertical="center" wrapText="1"/>
    </xf>
    <xf numFmtId="0" fontId="13" fillId="15" borderId="60" xfId="4" applyFont="1" applyFill="1" applyBorder="1" applyAlignment="1" applyProtection="1">
      <alignment horizontal="center" vertical="center" wrapText="1"/>
    </xf>
    <xf numFmtId="0" fontId="13" fillId="0" borderId="18" xfId="4" applyFont="1" applyFill="1" applyBorder="1" applyAlignment="1" applyProtection="1">
      <alignment horizontal="center" vertical="center" wrapText="1"/>
      <protection locked="0"/>
    </xf>
    <xf numFmtId="0" fontId="13" fillId="0" borderId="20" xfId="4" applyFont="1" applyFill="1" applyBorder="1" applyAlignment="1" applyProtection="1">
      <alignment horizontal="center" vertical="center" wrapText="1"/>
      <protection locked="0"/>
    </xf>
    <xf numFmtId="0" fontId="13" fillId="15" borderId="73" xfId="5" applyFont="1" applyFill="1" applyBorder="1" applyAlignment="1" applyProtection="1">
      <alignment horizontal="center" vertical="center" wrapText="1"/>
    </xf>
    <xf numFmtId="0" fontId="13" fillId="15" borderId="75" xfId="5" applyFont="1" applyFill="1" applyBorder="1" applyAlignment="1" applyProtection="1">
      <alignment horizontal="center" vertical="center" wrapText="1"/>
    </xf>
    <xf numFmtId="0" fontId="13" fillId="15" borderId="60" xfId="5" applyFont="1" applyFill="1" applyBorder="1" applyAlignment="1" applyProtection="1">
      <alignment horizontal="center" vertical="center" wrapText="1"/>
    </xf>
    <xf numFmtId="0" fontId="39" fillId="15" borderId="13" xfId="0" applyFont="1" applyFill="1" applyBorder="1" applyAlignment="1">
      <alignment horizontal="center" vertical="center" wrapText="1"/>
    </xf>
    <xf numFmtId="0" fontId="39" fillId="15" borderId="16" xfId="0" applyFont="1" applyFill="1" applyBorder="1" applyAlignment="1">
      <alignment horizontal="center" vertical="center" wrapText="1"/>
    </xf>
    <xf numFmtId="0" fontId="13" fillId="15" borderId="13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3" fillId="15" borderId="77" xfId="0" applyFont="1" applyFill="1" applyBorder="1" applyAlignment="1">
      <alignment horizontal="center" vertical="center"/>
    </xf>
    <xf numFmtId="0" fontId="13" fillId="10" borderId="62" xfId="6" applyFont="1" applyFill="1" applyBorder="1" applyAlignment="1" applyProtection="1">
      <alignment horizontal="center" vertical="center" wrapText="1"/>
    </xf>
    <xf numFmtId="0" fontId="13" fillId="10" borderId="80" xfId="6" applyFont="1" applyFill="1" applyBorder="1" applyAlignment="1" applyProtection="1">
      <alignment horizontal="center" vertical="center" wrapText="1"/>
    </xf>
    <xf numFmtId="0" fontId="23" fillId="13" borderId="22" xfId="0" applyFont="1" applyFill="1" applyBorder="1" applyAlignment="1" applyProtection="1">
      <alignment horizontal="center" vertical="center"/>
      <protection locked="0"/>
    </xf>
    <xf numFmtId="0" fontId="23" fillId="13" borderId="27" xfId="0" applyFont="1" applyFill="1" applyBorder="1" applyAlignment="1" applyProtection="1">
      <alignment horizontal="center" vertical="center"/>
      <protection locked="0"/>
    </xf>
    <xf numFmtId="0" fontId="22" fillId="23" borderId="4" xfId="4" applyFont="1" applyFill="1" applyBorder="1" applyAlignment="1" applyProtection="1">
      <alignment horizontal="center" vertical="center" wrapText="1"/>
    </xf>
    <xf numFmtId="0" fontId="22" fillId="23" borderId="23" xfId="4" applyFont="1" applyFill="1" applyBorder="1" applyAlignment="1" applyProtection="1">
      <alignment horizontal="center" vertical="center" wrapText="1"/>
    </xf>
    <xf numFmtId="0" fontId="22" fillId="23" borderId="6" xfId="4" applyFont="1" applyFill="1" applyBorder="1" applyAlignment="1" applyProtection="1">
      <alignment horizontal="center" vertical="center" wrapText="1"/>
    </xf>
    <xf numFmtId="0" fontId="22" fillId="23" borderId="19" xfId="4" applyFont="1" applyFill="1" applyBorder="1" applyAlignment="1" applyProtection="1">
      <alignment horizontal="center" vertical="center" wrapText="1"/>
    </xf>
    <xf numFmtId="0" fontId="13" fillId="0" borderId="22" xfId="0" applyFont="1" applyBorder="1" applyAlignment="1" applyProtection="1">
      <alignment horizontal="center" vertical="center" wrapText="1"/>
      <protection locked="0"/>
    </xf>
    <xf numFmtId="0" fontId="13" fillId="0" borderId="27" xfId="0" applyFont="1" applyBorder="1" applyAlignment="1" applyProtection="1">
      <alignment horizontal="center" vertical="center" wrapText="1"/>
      <protection locked="0"/>
    </xf>
    <xf numFmtId="0" fontId="13" fillId="0" borderId="22" xfId="4" applyFont="1" applyFill="1" applyBorder="1" applyAlignment="1" applyProtection="1">
      <alignment horizontal="center" vertical="center" wrapText="1"/>
      <protection locked="0"/>
    </xf>
    <xf numFmtId="0" fontId="13" fillId="6" borderId="13" xfId="4" applyFont="1" applyFill="1" applyBorder="1" applyAlignment="1" applyProtection="1">
      <alignment horizontal="center" vertical="center" wrapText="1"/>
    </xf>
    <xf numFmtId="0" fontId="13" fillId="6" borderId="16" xfId="4" applyFont="1" applyFill="1" applyBorder="1" applyAlignment="1" applyProtection="1">
      <alignment horizontal="center" vertical="center" wrapText="1"/>
    </xf>
    <xf numFmtId="0" fontId="13" fillId="0" borderId="48" xfId="2" applyFont="1" applyBorder="1" applyAlignment="1" applyProtection="1">
      <alignment horizontal="center" vertical="center" wrapText="1"/>
      <protection locked="0"/>
    </xf>
    <xf numFmtId="0" fontId="13" fillId="0" borderId="52" xfId="2" applyFont="1" applyBorder="1" applyAlignment="1" applyProtection="1">
      <alignment horizontal="center" vertical="center" wrapText="1"/>
      <protection locked="0"/>
    </xf>
    <xf numFmtId="0" fontId="13" fillId="0" borderId="47" xfId="0" applyFont="1" applyFill="1" applyBorder="1" applyAlignment="1" applyProtection="1">
      <alignment horizontal="center" vertical="center" shrinkToFit="1"/>
      <protection locked="0"/>
    </xf>
    <xf numFmtId="0" fontId="13" fillId="0" borderId="58" xfId="0" applyFont="1" applyFill="1" applyBorder="1" applyAlignment="1" applyProtection="1">
      <alignment horizontal="center" vertical="center" shrinkToFit="1"/>
      <protection locked="0"/>
    </xf>
    <xf numFmtId="0" fontId="13" fillId="0" borderId="48" xfId="0" applyFont="1" applyBorder="1" applyAlignment="1" applyProtection="1">
      <alignment horizontal="center" vertical="center" shrinkToFit="1"/>
      <protection locked="0"/>
    </xf>
    <xf numFmtId="0" fontId="13" fillId="0" borderId="52" xfId="0" applyFont="1" applyBorder="1" applyAlignment="1" applyProtection="1">
      <alignment horizontal="center" vertical="center" shrinkToFit="1"/>
      <protection locked="0"/>
    </xf>
    <xf numFmtId="0" fontId="22" fillId="15" borderId="13" xfId="4" applyFont="1" applyFill="1" applyBorder="1" applyAlignment="1" applyProtection="1">
      <alignment horizontal="center" vertical="center" wrapText="1"/>
    </xf>
    <xf numFmtId="0" fontId="22" fillId="15" borderId="16" xfId="4" applyFont="1" applyFill="1" applyBorder="1" applyAlignment="1" applyProtection="1">
      <alignment horizontal="center" vertical="center" wrapText="1"/>
    </xf>
    <xf numFmtId="0" fontId="13" fillId="15" borderId="13" xfId="4" applyFont="1" applyFill="1" applyBorder="1" applyAlignment="1" applyProtection="1">
      <alignment horizontal="center" vertical="center" wrapText="1"/>
    </xf>
    <xf numFmtId="0" fontId="13" fillId="15" borderId="16" xfId="4" applyFont="1" applyFill="1" applyBorder="1" applyAlignment="1" applyProtection="1">
      <alignment horizontal="center" vertical="center" wrapText="1"/>
    </xf>
    <xf numFmtId="0" fontId="13" fillId="0" borderId="47" xfId="0" applyFont="1" applyBorder="1" applyAlignment="1" applyProtection="1">
      <alignment horizontal="center" vertical="center" shrinkToFit="1"/>
      <protection locked="0"/>
    </xf>
    <xf numFmtId="0" fontId="13" fillId="0" borderId="58" xfId="0" applyFont="1" applyBorder="1" applyAlignment="1" applyProtection="1">
      <alignment horizontal="center" vertical="center" shrinkToFit="1"/>
      <protection locked="0"/>
    </xf>
    <xf numFmtId="0" fontId="13" fillId="15" borderId="75" xfId="4" applyFont="1" applyFill="1" applyBorder="1" applyAlignment="1" applyProtection="1">
      <alignment horizontal="center" vertical="center" wrapText="1"/>
    </xf>
    <xf numFmtId="0" fontId="13" fillId="10" borderId="4" xfId="6" applyFont="1" applyFill="1" applyBorder="1" applyAlignment="1" applyProtection="1">
      <alignment horizontal="center" vertical="center" wrapText="1"/>
    </xf>
    <xf numFmtId="0" fontId="13" fillId="10" borderId="23" xfId="6" applyFont="1" applyFill="1" applyBorder="1" applyAlignment="1" applyProtection="1">
      <alignment horizontal="center" vertical="center" wrapText="1"/>
    </xf>
    <xf numFmtId="0" fontId="13" fillId="10" borderId="18" xfId="6" applyFont="1" applyFill="1" applyBorder="1" applyAlignment="1" applyProtection="1">
      <alignment horizontal="center" vertical="center" wrapText="1"/>
    </xf>
    <xf numFmtId="0" fontId="13" fillId="10" borderId="20" xfId="6" applyFont="1" applyFill="1" applyBorder="1" applyAlignment="1" applyProtection="1">
      <alignment horizontal="center" vertical="center" wrapText="1"/>
    </xf>
    <xf numFmtId="0" fontId="13" fillId="6" borderId="77" xfId="4" applyFont="1" applyFill="1" applyBorder="1" applyAlignment="1" applyProtection="1">
      <alignment horizontal="center" vertical="center" wrapText="1"/>
    </xf>
    <xf numFmtId="0" fontId="13" fillId="10" borderId="27" xfId="6" applyFont="1" applyFill="1" applyBorder="1" applyAlignment="1" applyProtection="1">
      <alignment horizontal="center" vertical="center" wrapText="1"/>
    </xf>
    <xf numFmtId="0" fontId="12" fillId="0" borderId="3" xfId="0" applyFont="1" applyBorder="1" applyAlignment="1" applyProtection="1">
      <alignment horizontal="center" vertical="center"/>
      <protection locked="0"/>
    </xf>
    <xf numFmtId="0" fontId="13" fillId="15" borderId="4" xfId="6" applyFont="1" applyFill="1" applyBorder="1" applyAlignment="1" applyProtection="1">
      <alignment horizontal="center" vertical="center" wrapText="1"/>
    </xf>
    <xf numFmtId="0" fontId="13" fillId="15" borderId="26" xfId="6" applyFont="1" applyFill="1" applyBorder="1" applyAlignment="1" applyProtection="1">
      <alignment horizontal="center" vertical="center" wrapText="1"/>
    </xf>
    <xf numFmtId="0" fontId="13" fillId="15" borderId="23" xfId="6" applyFont="1" applyFill="1" applyBorder="1" applyAlignment="1" applyProtection="1">
      <alignment horizontal="center" vertical="center" wrapText="1"/>
    </xf>
    <xf numFmtId="0" fontId="13" fillId="15" borderId="6" xfId="6" applyFont="1" applyFill="1" applyBorder="1" applyAlignment="1" applyProtection="1">
      <alignment horizontal="center" vertical="center" wrapText="1"/>
    </xf>
    <xf numFmtId="0" fontId="13" fillId="15" borderId="0" xfId="6" applyFont="1" applyFill="1" applyBorder="1" applyAlignment="1" applyProtection="1">
      <alignment horizontal="center" vertical="center" wrapText="1"/>
    </xf>
    <xf numFmtId="0" fontId="13" fillId="15" borderId="19" xfId="6" applyFont="1" applyFill="1" applyBorder="1" applyAlignment="1" applyProtection="1">
      <alignment horizontal="center" vertical="center" wrapText="1"/>
    </xf>
    <xf numFmtId="0" fontId="13" fillId="15" borderId="18" xfId="6" applyFont="1" applyFill="1" applyBorder="1" applyAlignment="1" applyProtection="1">
      <alignment horizontal="center" vertical="center" wrapText="1"/>
    </xf>
    <xf numFmtId="0" fontId="13" fillId="15" borderId="3" xfId="6" applyFont="1" applyFill="1" applyBorder="1" applyAlignment="1" applyProtection="1">
      <alignment horizontal="center" vertical="center" wrapText="1"/>
    </xf>
    <xf numFmtId="0" fontId="13" fillId="15" borderId="20" xfId="6" applyFont="1" applyFill="1" applyBorder="1" applyAlignment="1" applyProtection="1">
      <alignment horizontal="center" vertical="center" wrapText="1"/>
    </xf>
    <xf numFmtId="0" fontId="13" fillId="15" borderId="47" xfId="6" applyFont="1" applyFill="1" applyBorder="1" applyAlignment="1" applyProtection="1">
      <alignment horizontal="center" vertical="center" wrapText="1"/>
    </xf>
    <xf numFmtId="0" fontId="13" fillId="15" borderId="76" xfId="6" applyFont="1" applyFill="1" applyBorder="1" applyAlignment="1" applyProtection="1">
      <alignment horizontal="center" vertical="center" wrapText="1"/>
    </xf>
    <xf numFmtId="0" fontId="13" fillId="15" borderId="58" xfId="6" applyFont="1" applyFill="1" applyBorder="1" applyAlignment="1" applyProtection="1">
      <alignment horizontal="center" vertical="center" wrapText="1"/>
    </xf>
    <xf numFmtId="0" fontId="13" fillId="15" borderId="100" xfId="6" applyFont="1" applyFill="1" applyBorder="1" applyAlignment="1" applyProtection="1">
      <alignment horizontal="center" vertical="center" wrapText="1"/>
    </xf>
    <xf numFmtId="0" fontId="13" fillId="15" borderId="101" xfId="6" applyFont="1" applyFill="1" applyBorder="1" applyAlignment="1" applyProtection="1">
      <alignment horizontal="center" vertical="center" wrapText="1"/>
    </xf>
    <xf numFmtId="0" fontId="13" fillId="6" borderId="96" xfId="4" applyFont="1" applyFill="1" applyBorder="1" applyAlignment="1" applyProtection="1">
      <alignment horizontal="center" vertical="center" wrapText="1"/>
    </xf>
    <xf numFmtId="0" fontId="13" fillId="15" borderId="48" xfId="6" applyFont="1" applyFill="1" applyBorder="1" applyAlignment="1" applyProtection="1">
      <alignment horizontal="center" vertical="center" wrapText="1"/>
    </xf>
    <xf numFmtId="0" fontId="13" fillId="15" borderId="68" xfId="6" applyFont="1" applyFill="1" applyBorder="1" applyAlignment="1" applyProtection="1">
      <alignment horizontal="center" vertical="center" wrapText="1"/>
    </xf>
    <xf numFmtId="0" fontId="13" fillId="15" borderId="52" xfId="6" applyFont="1" applyFill="1" applyBorder="1" applyAlignment="1" applyProtection="1">
      <alignment horizontal="center" vertical="center" wrapText="1"/>
    </xf>
    <xf numFmtId="0" fontId="13" fillId="10" borderId="21" xfId="6" applyFont="1" applyFill="1" applyBorder="1" applyAlignment="1" applyProtection="1">
      <alignment horizontal="center" vertical="center" wrapText="1"/>
    </xf>
    <xf numFmtId="0" fontId="13" fillId="10" borderId="106" xfId="6" applyFont="1" applyFill="1" applyBorder="1" applyAlignment="1" applyProtection="1">
      <alignment horizontal="center" vertical="center" wrapText="1"/>
    </xf>
    <xf numFmtId="0" fontId="13" fillId="10" borderId="15" xfId="6" applyFont="1" applyFill="1" applyBorder="1" applyAlignment="1" applyProtection="1">
      <alignment horizontal="center" vertical="center" wrapText="1"/>
    </xf>
    <xf numFmtId="0" fontId="13" fillId="15" borderId="118" xfId="4" applyFont="1" applyFill="1" applyBorder="1" applyAlignment="1" applyProtection="1">
      <alignment horizontal="center" vertical="center" wrapText="1"/>
    </xf>
    <xf numFmtId="0" fontId="13" fillId="15" borderId="51" xfId="4" applyFont="1" applyFill="1" applyBorder="1" applyAlignment="1" applyProtection="1">
      <alignment horizontal="center" vertical="center" wrapText="1"/>
    </xf>
    <xf numFmtId="0" fontId="13" fillId="15" borderId="54" xfId="6" applyFont="1" applyFill="1" applyBorder="1" applyAlignment="1" applyProtection="1">
      <alignment horizontal="center" vertical="center" wrapText="1"/>
    </xf>
    <xf numFmtId="0" fontId="13" fillId="15" borderId="51" xfId="6" applyFont="1" applyFill="1" applyBorder="1" applyAlignment="1" applyProtection="1">
      <alignment horizontal="center" vertical="center" wrapText="1"/>
    </xf>
    <xf numFmtId="176" fontId="13" fillId="15" borderId="22" xfId="0" applyNumberFormat="1" applyFont="1" applyFill="1" applyBorder="1" applyAlignment="1">
      <alignment horizontal="center" vertical="center" wrapText="1"/>
    </xf>
    <xf numFmtId="176" fontId="13" fillId="15" borderId="27" xfId="0" applyNumberFormat="1" applyFont="1" applyFill="1" applyBorder="1" applyAlignment="1">
      <alignment horizontal="center" vertical="center" wrapText="1"/>
    </xf>
    <xf numFmtId="0" fontId="13" fillId="10" borderId="26" xfId="6" applyFont="1" applyFill="1" applyBorder="1" applyAlignment="1" applyProtection="1">
      <alignment horizontal="center" vertical="center" wrapText="1"/>
    </xf>
    <xf numFmtId="0" fontId="13" fillId="10" borderId="3" xfId="6" applyFont="1" applyFill="1" applyBorder="1" applyAlignment="1" applyProtection="1">
      <alignment horizontal="center" vertical="center" wrapText="1"/>
    </xf>
    <xf numFmtId="0" fontId="13" fillId="10" borderId="174" xfId="6" applyFont="1" applyFill="1" applyBorder="1" applyAlignment="1" applyProtection="1">
      <alignment horizontal="center" vertical="center" wrapText="1"/>
    </xf>
    <xf numFmtId="0" fontId="13" fillId="10" borderId="72" xfId="6" applyFont="1" applyFill="1" applyBorder="1" applyAlignment="1" applyProtection="1">
      <alignment horizontal="center" vertical="center" wrapText="1"/>
    </xf>
    <xf numFmtId="0" fontId="13" fillId="10" borderId="175" xfId="6" applyFont="1" applyFill="1" applyBorder="1" applyAlignment="1" applyProtection="1">
      <alignment horizontal="center" vertical="center" wrapText="1"/>
    </xf>
    <xf numFmtId="0" fontId="13" fillId="10" borderId="176" xfId="6" applyFont="1" applyFill="1" applyBorder="1" applyAlignment="1" applyProtection="1">
      <alignment horizontal="center" vertical="center" wrapText="1"/>
    </xf>
    <xf numFmtId="0" fontId="13" fillId="10" borderId="73" xfId="6" applyFont="1" applyFill="1" applyBorder="1" applyAlignment="1" applyProtection="1">
      <alignment horizontal="center" vertical="center" wrapText="1"/>
    </xf>
    <xf numFmtId="0" fontId="13" fillId="10" borderId="60" xfId="6" applyFont="1" applyFill="1" applyBorder="1" applyAlignment="1" applyProtection="1">
      <alignment horizontal="center" vertical="center" wrapText="1"/>
    </xf>
    <xf numFmtId="0" fontId="13" fillId="10" borderId="66" xfId="6" applyFont="1" applyFill="1" applyBorder="1" applyAlignment="1" applyProtection="1">
      <alignment horizontal="center" vertical="center" wrapText="1"/>
    </xf>
    <xf numFmtId="0" fontId="13" fillId="10" borderId="59" xfId="6" applyFont="1" applyFill="1" applyBorder="1" applyAlignment="1" applyProtection="1">
      <alignment horizontal="center" vertical="center" wrapText="1"/>
    </xf>
    <xf numFmtId="0" fontId="13" fillId="10" borderId="65" xfId="6" applyFont="1" applyFill="1" applyBorder="1" applyAlignment="1" applyProtection="1">
      <alignment horizontal="center" vertical="center" wrapText="1"/>
    </xf>
    <xf numFmtId="0" fontId="13" fillId="10" borderId="61" xfId="6" applyFont="1" applyFill="1" applyBorder="1" applyAlignment="1" applyProtection="1">
      <alignment horizontal="center" vertical="center" wrapText="1"/>
    </xf>
    <xf numFmtId="0" fontId="13" fillId="10" borderId="122" xfId="6" applyFont="1" applyFill="1" applyBorder="1" applyAlignment="1" applyProtection="1">
      <alignment horizontal="center" vertical="center" wrapText="1"/>
    </xf>
    <xf numFmtId="0" fontId="13" fillId="10" borderId="78" xfId="6" applyFont="1" applyFill="1" applyBorder="1" applyAlignment="1" applyProtection="1">
      <alignment horizontal="center" vertical="center" wrapText="1"/>
    </xf>
    <xf numFmtId="0" fontId="13" fillId="10" borderId="121" xfId="6" applyFont="1" applyFill="1" applyBorder="1" applyAlignment="1" applyProtection="1">
      <alignment horizontal="center" vertical="center" wrapText="1"/>
    </xf>
    <xf numFmtId="0" fontId="13" fillId="10" borderId="87" xfId="6" applyFont="1" applyFill="1" applyBorder="1" applyAlignment="1" applyProtection="1">
      <alignment horizontal="center" vertical="center" wrapText="1"/>
    </xf>
    <xf numFmtId="0" fontId="13" fillId="15" borderId="70" xfId="6" applyFont="1" applyFill="1" applyBorder="1" applyAlignment="1" applyProtection="1">
      <alignment horizontal="center" vertical="center" wrapText="1"/>
    </xf>
    <xf numFmtId="0" fontId="13" fillId="15" borderId="54" xfId="4" applyFont="1" applyFill="1" applyBorder="1" applyAlignment="1" applyProtection="1">
      <alignment horizontal="center" vertical="center" wrapText="1"/>
    </xf>
    <xf numFmtId="0" fontId="13" fillId="15" borderId="50" xfId="4" applyFont="1" applyFill="1" applyBorder="1" applyAlignment="1" applyProtection="1">
      <alignment horizontal="center" vertical="center" wrapText="1"/>
    </xf>
    <xf numFmtId="0" fontId="13" fillId="15" borderId="119" xfId="4" applyFont="1" applyFill="1" applyBorder="1" applyAlignment="1" applyProtection="1">
      <alignment horizontal="center" vertical="center" wrapText="1"/>
    </xf>
    <xf numFmtId="0" fontId="13" fillId="15" borderId="120" xfId="4" applyFont="1" applyFill="1" applyBorder="1" applyAlignment="1" applyProtection="1">
      <alignment horizontal="center" vertical="center" wrapText="1"/>
    </xf>
    <xf numFmtId="0" fontId="12" fillId="0" borderId="30" xfId="0" applyFont="1" applyBorder="1" applyAlignment="1" applyProtection="1">
      <alignment horizontal="center" vertical="center" shrinkToFit="1"/>
      <protection locked="0"/>
    </xf>
    <xf numFmtId="0" fontId="12" fillId="0" borderId="110" xfId="0" applyFont="1" applyBorder="1" applyAlignment="1" applyProtection="1">
      <alignment horizontal="center" vertical="center" shrinkToFit="1"/>
      <protection locked="0"/>
    </xf>
    <xf numFmtId="0" fontId="0" fillId="0" borderId="105" xfId="0" applyBorder="1" applyAlignment="1" applyProtection="1">
      <alignment horizontal="center" vertical="center"/>
      <protection locked="0"/>
    </xf>
    <xf numFmtId="0" fontId="0" fillId="0" borderId="171" xfId="0" applyBorder="1" applyAlignment="1" applyProtection="1">
      <alignment horizontal="center" vertical="center"/>
      <protection locked="0"/>
    </xf>
    <xf numFmtId="0" fontId="0" fillId="0" borderId="170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 vertical="center"/>
      <protection locked="0"/>
    </xf>
    <xf numFmtId="0" fontId="13" fillId="15" borderId="99" xfId="5" applyFont="1" applyFill="1" applyBorder="1" applyAlignment="1" applyProtection="1">
      <alignment horizontal="center" vertical="center" wrapText="1"/>
    </xf>
    <xf numFmtId="0" fontId="13" fillId="15" borderId="43" xfId="5" applyFont="1" applyFill="1" applyBorder="1" applyAlignment="1" applyProtection="1">
      <alignment horizontal="center" vertical="center" wrapText="1"/>
    </xf>
    <xf numFmtId="0" fontId="13" fillId="15" borderId="46" xfId="5" applyFont="1" applyFill="1" applyBorder="1" applyAlignment="1" applyProtection="1">
      <alignment horizontal="center" vertical="center" wrapText="1"/>
    </xf>
    <xf numFmtId="0" fontId="13" fillId="10" borderId="55" xfId="6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>
      <alignment horizontal="center" vertical="center" wrapText="1"/>
    </xf>
    <xf numFmtId="176" fontId="17" fillId="9" borderId="9" xfId="7" applyNumberFormat="1" applyFont="1" applyFill="1" applyBorder="1" applyAlignment="1">
      <alignment horizontal="center" vertical="center" wrapText="1"/>
    </xf>
    <xf numFmtId="0" fontId="17" fillId="9" borderId="30" xfId="7" applyFont="1" applyFill="1" applyBorder="1" applyAlignment="1">
      <alignment horizontal="center" vertical="center" wrapText="1"/>
    </xf>
    <xf numFmtId="0" fontId="17" fillId="9" borderId="94" xfId="7" applyFont="1" applyFill="1" applyBorder="1" applyAlignment="1">
      <alignment horizontal="center" vertical="center" wrapText="1"/>
    </xf>
    <xf numFmtId="0" fontId="18" fillId="16" borderId="7" xfId="7" applyFont="1" applyFill="1" applyBorder="1" applyAlignment="1">
      <alignment horizontal="center" vertical="center" shrinkToFit="1"/>
    </xf>
    <xf numFmtId="0" fontId="18" fillId="16" borderId="17" xfId="7" applyFont="1" applyFill="1" applyBorder="1" applyAlignment="1">
      <alignment horizontal="center" vertical="center" shrinkToFit="1"/>
    </xf>
    <xf numFmtId="0" fontId="17" fillId="9" borderId="102" xfId="7" applyFont="1" applyFill="1" applyBorder="1" applyAlignment="1">
      <alignment horizontal="center" vertical="center" wrapText="1"/>
    </xf>
    <xf numFmtId="0" fontId="17" fillId="9" borderId="104" xfId="7" applyFont="1" applyFill="1" applyBorder="1" applyAlignment="1">
      <alignment horizontal="center" vertical="center" wrapText="1"/>
    </xf>
    <xf numFmtId="0" fontId="17" fillId="9" borderId="8" xfId="7" applyFont="1" applyFill="1" applyBorder="1" applyAlignment="1">
      <alignment horizontal="center" vertical="center" wrapText="1"/>
    </xf>
    <xf numFmtId="0" fontId="17" fillId="9" borderId="24" xfId="7" applyFont="1" applyFill="1" applyBorder="1" applyAlignment="1">
      <alignment horizontal="center" vertical="center" wrapText="1"/>
    </xf>
    <xf numFmtId="0" fontId="18" fillId="9" borderId="5" xfId="7" applyFont="1" applyFill="1" applyBorder="1" applyAlignment="1">
      <alignment horizontal="center" vertical="center" wrapText="1"/>
    </xf>
    <xf numFmtId="0" fontId="18" fillId="9" borderId="102" xfId="7" applyFont="1" applyFill="1" applyBorder="1" applyAlignment="1">
      <alignment horizontal="center" vertical="center" wrapText="1"/>
    </xf>
    <xf numFmtId="0" fontId="18" fillId="9" borderId="12" xfId="7" applyFont="1" applyFill="1" applyBorder="1" applyAlignment="1">
      <alignment horizontal="center" vertical="center" wrapText="1"/>
    </xf>
    <xf numFmtId="0" fontId="18" fillId="9" borderId="8" xfId="7" applyFont="1" applyFill="1" applyBorder="1" applyAlignment="1">
      <alignment horizontal="center" vertical="center" wrapText="1"/>
    </xf>
    <xf numFmtId="176" fontId="17" fillId="9" borderId="93" xfId="7" applyNumberFormat="1" applyFont="1" applyFill="1" applyBorder="1" applyAlignment="1">
      <alignment horizontal="center" vertical="center" wrapText="1"/>
    </xf>
    <xf numFmtId="0" fontId="17" fillId="9" borderId="14" xfId="7" applyFont="1" applyFill="1" applyBorder="1" applyAlignment="1">
      <alignment horizontal="center" vertical="center" wrapText="1"/>
    </xf>
    <xf numFmtId="0" fontId="36" fillId="16" borderId="17" xfId="7" applyFont="1" applyFill="1" applyBorder="1" applyAlignment="1">
      <alignment horizontal="center" vertical="center" shrinkToFit="1"/>
    </xf>
    <xf numFmtId="0" fontId="36" fillId="16" borderId="94" xfId="7" applyFont="1" applyFill="1" applyBorder="1" applyAlignment="1">
      <alignment horizontal="center" vertical="center" shrinkToFit="1"/>
    </xf>
    <xf numFmtId="0" fontId="18" fillId="9" borderId="24" xfId="7" applyFont="1" applyFill="1" applyBorder="1" applyAlignment="1">
      <alignment horizontal="center" vertical="center" wrapText="1"/>
    </xf>
    <xf numFmtId="0" fontId="18" fillId="9" borderId="25" xfId="7" applyFont="1" applyFill="1" applyBorder="1" applyAlignment="1">
      <alignment horizontal="center" vertical="center" wrapText="1"/>
    </xf>
    <xf numFmtId="0" fontId="17" fillId="9" borderId="109" xfId="7" applyFont="1" applyFill="1" applyBorder="1" applyAlignment="1">
      <alignment horizontal="center" vertical="center" wrapText="1"/>
    </xf>
    <xf numFmtId="0" fontId="17" fillId="9" borderId="9" xfId="7" applyFont="1" applyFill="1" applyBorder="1" applyAlignment="1">
      <alignment horizontal="center" vertical="center" wrapText="1"/>
    </xf>
    <xf numFmtId="0" fontId="17" fillId="9" borderId="110" xfId="7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vertical="center"/>
    </xf>
    <xf numFmtId="0" fontId="17" fillId="11" borderId="93" xfId="7" applyFont="1" applyFill="1" applyBorder="1" applyAlignment="1">
      <alignment horizontal="center" vertical="center" shrinkToFit="1"/>
    </xf>
    <xf numFmtId="0" fontId="17" fillId="11" borderId="14" xfId="7" applyFont="1" applyFill="1" applyBorder="1" applyAlignment="1">
      <alignment horizontal="center" vertical="center" shrinkToFit="1"/>
    </xf>
    <xf numFmtId="0" fontId="17" fillId="11" borderId="94" xfId="7" applyFont="1" applyFill="1" applyBorder="1" applyAlignment="1">
      <alignment horizontal="center" vertical="center" shrinkToFit="1"/>
    </xf>
    <xf numFmtId="0" fontId="17" fillId="11" borderId="93" xfId="7" applyFont="1" applyFill="1" applyBorder="1" applyAlignment="1">
      <alignment horizontal="center" vertical="center"/>
    </xf>
    <xf numFmtId="0" fontId="27" fillId="11" borderId="28" xfId="7" applyFont="1" applyFill="1" applyBorder="1" applyAlignment="1">
      <alignment horizontal="center" vertical="center" wrapText="1"/>
    </xf>
    <xf numFmtId="0" fontId="27" fillId="11" borderId="10" xfId="7" applyFont="1" applyFill="1" applyBorder="1" applyAlignment="1">
      <alignment horizontal="center" vertical="center"/>
    </xf>
    <xf numFmtId="0" fontId="27" fillId="11" borderId="29" xfId="7" applyFont="1" applyFill="1" applyBorder="1" applyAlignment="1">
      <alignment horizontal="center" vertical="center"/>
    </xf>
    <xf numFmtId="0" fontId="32" fillId="0" borderId="0" xfId="0" applyFont="1" applyBorder="1" applyAlignment="1">
      <alignment horizontal="left" vertical="center"/>
    </xf>
    <xf numFmtId="0" fontId="17" fillId="11" borderId="14" xfId="7" applyFont="1" applyFill="1" applyBorder="1" applyAlignment="1">
      <alignment horizontal="center" vertical="center"/>
    </xf>
    <xf numFmtId="0" fontId="27" fillId="11" borderId="93" xfId="7" applyFont="1" applyFill="1" applyBorder="1" applyAlignment="1">
      <alignment horizontal="center" vertical="center" wrapText="1"/>
    </xf>
    <xf numFmtId="0" fontId="27" fillId="11" borderId="14" xfId="7" applyFont="1" applyFill="1" applyBorder="1" applyAlignment="1">
      <alignment horizontal="center" vertical="center"/>
    </xf>
    <xf numFmtId="0" fontId="27" fillId="11" borderId="94" xfId="7" applyFont="1" applyFill="1" applyBorder="1" applyAlignment="1">
      <alignment horizontal="center" vertical="center"/>
    </xf>
    <xf numFmtId="0" fontId="18" fillId="16" borderId="94" xfId="7" applyFont="1" applyFill="1" applyBorder="1" applyAlignment="1">
      <alignment horizontal="center" vertical="center" shrinkToFit="1"/>
    </xf>
    <xf numFmtId="0" fontId="18" fillId="9" borderId="95" xfId="7" applyFont="1" applyFill="1" applyBorder="1" applyAlignment="1">
      <alignment horizontal="center" vertical="center" wrapText="1"/>
    </xf>
    <xf numFmtId="176" fontId="18" fillId="9" borderId="109" xfId="7" applyNumberFormat="1" applyFont="1" applyFill="1" applyBorder="1" applyAlignment="1">
      <alignment horizontal="center" vertical="center" wrapText="1"/>
    </xf>
    <xf numFmtId="176" fontId="18" fillId="9" borderId="9" xfId="7" applyNumberFormat="1" applyFont="1" applyFill="1" applyBorder="1" applyAlignment="1">
      <alignment horizontal="center" vertical="center" wrapText="1"/>
    </xf>
    <xf numFmtId="176" fontId="18" fillId="9" borderId="110" xfId="7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8" borderId="81" xfId="0" applyFont="1" applyFill="1" applyBorder="1" applyAlignment="1">
      <alignment horizontal="center" vertical="center"/>
    </xf>
    <xf numFmtId="0" fontId="26" fillId="8" borderId="88" xfId="0" applyFont="1" applyFill="1" applyBorder="1" applyAlignment="1">
      <alignment horizontal="center" vertical="center"/>
    </xf>
    <xf numFmtId="0" fontId="26" fillId="8" borderId="177" xfId="0" applyFont="1" applyFill="1" applyBorder="1" applyAlignment="1">
      <alignment horizontal="center" vertical="center"/>
    </xf>
    <xf numFmtId="0" fontId="26" fillId="8" borderId="178" xfId="0" applyFont="1" applyFill="1" applyBorder="1" applyAlignment="1">
      <alignment horizontal="center" vertical="center"/>
    </xf>
    <xf numFmtId="0" fontId="26" fillId="8" borderId="89" xfId="0" applyFont="1" applyFill="1" applyBorder="1" applyAlignment="1">
      <alignment horizontal="center" vertical="center"/>
    </xf>
    <xf numFmtId="0" fontId="26" fillId="8" borderId="180" xfId="0" applyFont="1" applyFill="1" applyBorder="1" applyAlignment="1">
      <alignment horizontal="center" vertical="center"/>
    </xf>
    <xf numFmtId="0" fontId="26" fillId="8" borderId="179" xfId="0" applyFont="1" applyFill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87" xfId="0" applyFont="1" applyBorder="1" applyAlignment="1">
      <alignment horizontal="center" vertical="center"/>
    </xf>
    <xf numFmtId="0" fontId="31" fillId="0" borderId="78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7" fillId="11" borderId="5" xfId="7" applyFont="1" applyFill="1" applyBorder="1" applyAlignment="1">
      <alignment horizontal="center" vertical="center" wrapText="1"/>
    </xf>
    <xf numFmtId="0" fontId="17" fillId="11" borderId="12" xfId="7" applyFont="1" applyFill="1" applyBorder="1" applyAlignment="1">
      <alignment horizontal="center" vertical="center" wrapText="1"/>
    </xf>
    <xf numFmtId="0" fontId="17" fillId="11" borderId="8" xfId="7" applyFont="1" applyFill="1" applyBorder="1" applyAlignment="1">
      <alignment horizontal="center" vertical="center" wrapText="1"/>
    </xf>
    <xf numFmtId="0" fontId="17" fillId="11" borderId="93" xfId="7" applyFont="1" applyFill="1" applyBorder="1" applyAlignment="1">
      <alignment horizontal="center" vertical="center" wrapText="1"/>
    </xf>
    <xf numFmtId="0" fontId="17" fillId="11" borderId="14" xfId="7" applyFont="1" applyFill="1" applyBorder="1" applyAlignment="1">
      <alignment horizontal="center" vertical="center" wrapText="1"/>
    </xf>
    <xf numFmtId="0" fontId="17" fillId="11" borderId="94" xfId="7" applyFont="1" applyFill="1" applyBorder="1" applyAlignment="1">
      <alignment horizontal="center" vertical="center" wrapText="1"/>
    </xf>
    <xf numFmtId="0" fontId="22" fillId="22" borderId="4" xfId="4" applyFont="1" applyFill="1" applyBorder="1" applyAlignment="1" applyProtection="1">
      <alignment horizontal="center" vertical="center" wrapText="1"/>
    </xf>
    <xf numFmtId="0" fontId="22" fillId="22" borderId="23" xfId="4" applyFont="1" applyFill="1" applyBorder="1" applyAlignment="1" applyProtection="1">
      <alignment horizontal="center" vertical="center" wrapText="1"/>
    </xf>
    <xf numFmtId="0" fontId="22" fillId="22" borderId="6" xfId="4" applyFont="1" applyFill="1" applyBorder="1" applyAlignment="1" applyProtection="1">
      <alignment horizontal="center" vertical="center" wrapText="1"/>
    </xf>
    <xf numFmtId="0" fontId="22" fillId="22" borderId="19" xfId="4" applyFont="1" applyFill="1" applyBorder="1" applyAlignment="1" applyProtection="1">
      <alignment horizontal="center" vertical="center" wrapText="1"/>
    </xf>
    <xf numFmtId="0" fontId="13" fillId="22" borderId="13" xfId="4" applyFont="1" applyFill="1" applyBorder="1" applyAlignment="1" applyProtection="1">
      <alignment horizontal="center" vertical="center" wrapText="1"/>
    </xf>
    <xf numFmtId="0" fontId="13" fillId="22" borderId="16" xfId="4" applyFont="1" applyFill="1" applyBorder="1" applyAlignment="1" applyProtection="1">
      <alignment horizontal="center" vertical="center" wrapText="1"/>
    </xf>
    <xf numFmtId="0" fontId="17" fillId="11" borderId="93" xfId="7" applyNumberFormat="1" applyFont="1" applyFill="1" applyBorder="1" applyAlignment="1" applyProtection="1">
      <alignment horizontal="center" vertical="center" shrinkToFit="1"/>
    </xf>
    <xf numFmtId="0" fontId="17" fillId="11" borderId="14" xfId="7" applyNumberFormat="1" applyFont="1" applyFill="1" applyBorder="1" applyAlignment="1" applyProtection="1">
      <alignment horizontal="center" vertical="center" shrinkToFit="1"/>
    </xf>
    <xf numFmtId="0" fontId="17" fillId="11" borderId="94" xfId="7" applyNumberFormat="1" applyFont="1" applyFill="1" applyBorder="1" applyAlignment="1" applyProtection="1">
      <alignment horizontal="center" vertical="center" shrinkToFit="1"/>
    </xf>
    <xf numFmtId="0" fontId="17" fillId="11" borderId="5" xfId="7" applyFont="1" applyFill="1" applyBorder="1" applyAlignment="1" applyProtection="1">
      <alignment horizontal="center" vertical="center" wrapText="1"/>
    </xf>
    <xf numFmtId="0" fontId="17" fillId="11" borderId="12" xfId="7" applyFont="1" applyFill="1" applyBorder="1" applyAlignment="1" applyProtection="1">
      <alignment horizontal="center" vertical="center" wrapText="1"/>
    </xf>
    <xf numFmtId="0" fontId="17" fillId="11" borderId="8" xfId="7" applyFont="1" applyFill="1" applyBorder="1" applyAlignment="1" applyProtection="1">
      <alignment horizontal="center" vertical="center" wrapText="1"/>
    </xf>
    <xf numFmtId="0" fontId="17" fillId="11" borderId="93" xfId="7" applyFont="1" applyFill="1" applyBorder="1" applyAlignment="1" applyProtection="1">
      <alignment horizontal="center" vertical="center" wrapText="1"/>
    </xf>
    <xf numFmtId="0" fontId="17" fillId="11" borderId="14" xfId="7" applyFont="1" applyFill="1" applyBorder="1" applyAlignment="1" applyProtection="1">
      <alignment horizontal="center" vertical="center" wrapText="1"/>
    </xf>
    <xf numFmtId="0" fontId="17" fillId="11" borderId="94" xfId="7" applyFont="1" applyFill="1" applyBorder="1" applyAlignment="1" applyProtection="1">
      <alignment horizontal="center" vertical="center" wrapText="1"/>
    </xf>
    <xf numFmtId="0" fontId="17" fillId="9" borderId="102" xfId="7" applyFont="1" applyFill="1" applyBorder="1" applyAlignment="1" applyProtection="1">
      <alignment horizontal="center" vertical="center" wrapText="1"/>
    </xf>
    <xf numFmtId="0" fontId="17" fillId="9" borderId="8" xfId="7" applyFont="1" applyFill="1" applyBorder="1" applyAlignment="1" applyProtection="1">
      <alignment horizontal="center" vertical="center" wrapText="1"/>
    </xf>
    <xf numFmtId="176" fontId="17" fillId="9" borderId="11" xfId="7" applyNumberFormat="1" applyFont="1" applyFill="1" applyBorder="1" applyAlignment="1" applyProtection="1">
      <alignment horizontal="center" vertical="center" wrapText="1"/>
    </xf>
    <xf numFmtId="0" fontId="17" fillId="9" borderId="94" xfId="7" applyFont="1" applyFill="1" applyBorder="1" applyAlignment="1" applyProtection="1">
      <alignment horizontal="center" vertical="center" wrapText="1"/>
    </xf>
    <xf numFmtId="0" fontId="36" fillId="16" borderId="94" xfId="7" applyNumberFormat="1" applyFont="1" applyFill="1" applyBorder="1" applyAlignment="1" applyProtection="1">
      <alignment horizontal="center" vertical="center" shrinkToFit="1"/>
    </xf>
    <xf numFmtId="0" fontId="17" fillId="9" borderId="5" xfId="7" applyFont="1" applyFill="1" applyBorder="1" applyAlignment="1" applyProtection="1">
      <alignment horizontal="center" vertical="center" wrapText="1"/>
    </xf>
    <xf numFmtId="0" fontId="17" fillId="9" borderId="12" xfId="7" applyFont="1" applyFill="1" applyBorder="1" applyAlignment="1" applyProtection="1">
      <alignment horizontal="center" vertical="center" wrapText="1"/>
    </xf>
    <xf numFmtId="176" fontId="17" fillId="9" borderId="93" xfId="7" applyNumberFormat="1" applyFont="1" applyFill="1" applyBorder="1" applyAlignment="1" applyProtection="1">
      <alignment horizontal="center" vertical="center" wrapText="1"/>
    </xf>
    <xf numFmtId="0" fontId="17" fillId="9" borderId="14" xfId="7" applyFont="1" applyFill="1" applyBorder="1" applyAlignment="1" applyProtection="1">
      <alignment horizontal="center" vertical="center" wrapText="1"/>
    </xf>
    <xf numFmtId="0" fontId="36" fillId="16" borderId="17" xfId="7" applyNumberFormat="1" applyFont="1" applyFill="1" applyBorder="1" applyAlignment="1" applyProtection="1">
      <alignment horizontal="center" vertical="center" shrinkToFit="1"/>
    </xf>
    <xf numFmtId="0" fontId="17" fillId="9" borderId="24" xfId="7" applyFont="1" applyFill="1" applyBorder="1" applyAlignment="1" applyProtection="1">
      <alignment horizontal="center" vertical="center" wrapText="1"/>
    </xf>
    <xf numFmtId="0" fontId="17" fillId="9" borderId="25" xfId="7" applyFont="1" applyFill="1" applyBorder="1" applyAlignment="1" applyProtection="1">
      <alignment horizontal="center" vertical="center" wrapText="1"/>
    </xf>
    <xf numFmtId="0" fontId="17" fillId="9" borderId="109" xfId="7" applyFont="1" applyFill="1" applyBorder="1" applyAlignment="1" applyProtection="1">
      <alignment horizontal="center" vertical="center" wrapText="1"/>
    </xf>
    <xf numFmtId="0" fontId="17" fillId="9" borderId="9" xfId="7" applyFont="1" applyFill="1" applyBorder="1" applyAlignment="1" applyProtection="1">
      <alignment horizontal="center" vertical="center" wrapText="1"/>
    </xf>
    <xf numFmtId="0" fontId="17" fillId="9" borderId="110" xfId="7" applyFont="1" applyFill="1" applyBorder="1" applyAlignment="1" applyProtection="1">
      <alignment horizontal="center" vertical="center" wrapText="1"/>
    </xf>
    <xf numFmtId="0" fontId="36" fillId="16" borderId="108" xfId="7" applyNumberFormat="1" applyFont="1" applyFill="1" applyBorder="1" applyAlignment="1" applyProtection="1">
      <alignment horizontal="center" vertical="center" shrinkToFit="1"/>
    </xf>
    <xf numFmtId="0" fontId="36" fillId="16" borderId="30" xfId="7" applyNumberFormat="1" applyFont="1" applyFill="1" applyBorder="1" applyAlignment="1" applyProtection="1">
      <alignment horizontal="center" vertical="center" shrinkToFit="1"/>
    </xf>
    <xf numFmtId="0" fontId="18" fillId="9" borderId="95" xfId="7" applyFont="1" applyFill="1" applyBorder="1" applyAlignment="1" applyProtection="1">
      <alignment horizontal="center" vertical="center" wrapText="1"/>
    </xf>
    <xf numFmtId="0" fontId="18" fillId="9" borderId="24" xfId="7" applyFont="1" applyFill="1" applyBorder="1" applyAlignment="1" applyProtection="1">
      <alignment horizontal="center" vertical="center" wrapText="1"/>
    </xf>
    <xf numFmtId="0" fontId="18" fillId="9" borderId="25" xfId="7" applyFont="1" applyFill="1" applyBorder="1" applyAlignment="1" applyProtection="1">
      <alignment horizontal="center" vertical="center" wrapText="1"/>
    </xf>
    <xf numFmtId="176" fontId="18" fillId="9" borderId="109" xfId="7" applyNumberFormat="1" applyFont="1" applyFill="1" applyBorder="1" applyAlignment="1" applyProtection="1">
      <alignment horizontal="center" vertical="center" wrapText="1"/>
    </xf>
    <xf numFmtId="176" fontId="18" fillId="9" borderId="9" xfId="7" applyNumberFormat="1" applyFont="1" applyFill="1" applyBorder="1" applyAlignment="1" applyProtection="1">
      <alignment horizontal="center" vertical="center" wrapText="1"/>
    </xf>
    <xf numFmtId="176" fontId="18" fillId="9" borderId="110" xfId="7" applyNumberFormat="1" applyFont="1" applyFill="1" applyBorder="1" applyAlignment="1" applyProtection="1">
      <alignment horizontal="center" vertical="center" wrapText="1"/>
    </xf>
    <xf numFmtId="0" fontId="18" fillId="16" borderId="94" xfId="7" applyNumberFormat="1" applyFont="1" applyFill="1" applyBorder="1" applyAlignment="1" applyProtection="1">
      <alignment horizontal="center" vertical="center" shrinkToFit="1"/>
    </xf>
    <xf numFmtId="0" fontId="22" fillId="24" borderId="4" xfId="4" applyFont="1" applyFill="1" applyBorder="1" applyAlignment="1" applyProtection="1">
      <alignment horizontal="center" vertical="center" wrapText="1"/>
    </xf>
    <xf numFmtId="0" fontId="22" fillId="24" borderId="23" xfId="4" applyFont="1" applyFill="1" applyBorder="1" applyAlignment="1" applyProtection="1">
      <alignment horizontal="center" vertical="center" wrapText="1"/>
    </xf>
    <xf numFmtId="0" fontId="22" fillId="24" borderId="6" xfId="4" applyFont="1" applyFill="1" applyBorder="1" applyAlignment="1" applyProtection="1">
      <alignment horizontal="center" vertical="center" wrapText="1"/>
    </xf>
    <xf numFmtId="0" fontId="22" fillId="24" borderId="19" xfId="4" applyFont="1" applyFill="1" applyBorder="1" applyAlignment="1" applyProtection="1">
      <alignment horizontal="center" vertical="center" wrapText="1"/>
    </xf>
    <xf numFmtId="0" fontId="13" fillId="24" borderId="13" xfId="4" applyFont="1" applyFill="1" applyBorder="1" applyAlignment="1" applyProtection="1">
      <alignment horizontal="center" vertical="center" wrapText="1"/>
    </xf>
    <xf numFmtId="0" fontId="13" fillId="24" borderId="16" xfId="4" applyFont="1" applyFill="1" applyBorder="1" applyAlignment="1" applyProtection="1">
      <alignment horizontal="center" vertical="center" wrapText="1"/>
    </xf>
    <xf numFmtId="0" fontId="17" fillId="9" borderId="95" xfId="7" applyFont="1" applyFill="1" applyBorder="1" applyAlignment="1" applyProtection="1">
      <alignment horizontal="center" vertical="center" wrapText="1"/>
    </xf>
    <xf numFmtId="0" fontId="17" fillId="9" borderId="11" xfId="7" applyFont="1" applyFill="1" applyBorder="1" applyAlignment="1" applyProtection="1">
      <alignment horizontal="center" vertical="center" wrapText="1"/>
    </xf>
    <xf numFmtId="0" fontId="18" fillId="16" borderId="7" xfId="7" applyNumberFormat="1" applyFont="1" applyFill="1" applyBorder="1" applyAlignment="1" applyProtection="1">
      <alignment horizontal="center" vertical="center" shrinkToFit="1"/>
    </xf>
    <xf numFmtId="0" fontId="18" fillId="16" borderId="17" xfId="7" applyNumberFormat="1" applyFont="1" applyFill="1" applyBorder="1" applyAlignment="1" applyProtection="1">
      <alignment horizontal="center" vertical="center" shrinkToFit="1"/>
    </xf>
    <xf numFmtId="0" fontId="0" fillId="0" borderId="90" xfId="0" applyFont="1" applyBorder="1" applyAlignment="1">
      <alignment horizontal="center" vertical="center"/>
    </xf>
    <xf numFmtId="0" fontId="0" fillId="0" borderId="79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</xf>
    <xf numFmtId="0" fontId="31" fillId="0" borderId="79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47" fillId="20" borderId="128" xfId="16" applyFont="1" applyFill="1" applyBorder="1" applyAlignment="1">
      <alignment horizontal="center" vertical="center"/>
    </xf>
    <xf numFmtId="0" fontId="40" fillId="0" borderId="128" xfId="16" applyFont="1" applyBorder="1"/>
    <xf numFmtId="0" fontId="40" fillId="0" borderId="129" xfId="16" applyFont="1" applyBorder="1"/>
    <xf numFmtId="0" fontId="47" fillId="0" borderId="130" xfId="16" applyFont="1" applyBorder="1" applyAlignment="1">
      <alignment horizontal="center" vertical="center"/>
    </xf>
    <xf numFmtId="0" fontId="43" fillId="0" borderId="0" xfId="16" applyFont="1" applyAlignment="1">
      <alignment horizontal="center" vertical="center"/>
    </xf>
    <xf numFmtId="0" fontId="45" fillId="0" borderId="0" xfId="16" applyFont="1" applyAlignment="1"/>
    <xf numFmtId="0" fontId="46" fillId="0" borderId="125" xfId="16" applyFont="1" applyBorder="1" applyAlignment="1">
      <alignment horizontal="center" vertical="center"/>
    </xf>
    <xf numFmtId="0" fontId="40" fillId="0" borderId="26" xfId="16" applyFont="1" applyBorder="1"/>
    <xf numFmtId="0" fontId="40" fillId="0" borderId="23" xfId="16" applyFont="1" applyBorder="1"/>
    <xf numFmtId="0" fontId="46" fillId="8" borderId="4" xfId="16" applyFont="1" applyFill="1" applyBorder="1" applyAlignment="1">
      <alignment horizontal="center" vertical="center"/>
    </xf>
    <xf numFmtId="0" fontId="40" fillId="8" borderId="26" xfId="16" applyFont="1" applyFill="1" applyBorder="1"/>
    <xf numFmtId="0" fontId="40" fillId="8" borderId="23" xfId="16" applyFont="1" applyFill="1" applyBorder="1"/>
    <xf numFmtId="0" fontId="35" fillId="19" borderId="124" xfId="16" applyFont="1" applyFill="1" applyBorder="1" applyAlignment="1">
      <alignment horizontal="center" vertical="center" wrapText="1"/>
    </xf>
    <xf numFmtId="0" fontId="40" fillId="0" borderId="126" xfId="16" applyFont="1" applyBorder="1"/>
    <xf numFmtId="0" fontId="40" fillId="0" borderId="131" xfId="16" applyFont="1" applyBorder="1"/>
    <xf numFmtId="0" fontId="47" fillId="20" borderId="133" xfId="16" applyFont="1" applyFill="1" applyBorder="1" applyAlignment="1">
      <alignment horizontal="center" vertical="center"/>
    </xf>
    <xf numFmtId="0" fontId="40" fillId="0" borderId="134" xfId="16" applyFont="1" applyBorder="1"/>
    <xf numFmtId="0" fontId="40" fillId="0" borderId="135" xfId="16" applyFont="1" applyBorder="1"/>
    <xf numFmtId="0" fontId="40" fillId="0" borderId="136" xfId="16" applyFont="1" applyBorder="1"/>
    <xf numFmtId="0" fontId="47" fillId="0" borderId="111" xfId="16" applyFont="1" applyBorder="1" applyAlignment="1">
      <alignment horizontal="center" vertical="center" wrapText="1"/>
    </xf>
    <xf numFmtId="0" fontId="40" fillId="0" borderId="133" xfId="16" applyFont="1" applyBorder="1"/>
    <xf numFmtId="0" fontId="40" fillId="0" borderId="137" xfId="16" applyFont="1" applyBorder="1"/>
    <xf numFmtId="0" fontId="48" fillId="21" borderId="140" xfId="16" applyFont="1" applyFill="1" applyBorder="1" applyAlignment="1">
      <alignment horizontal="center" vertical="center" wrapText="1"/>
    </xf>
    <xf numFmtId="0" fontId="40" fillId="0" borderId="141" xfId="16" applyFont="1" applyBorder="1"/>
    <xf numFmtId="0" fontId="49" fillId="0" borderId="142" xfId="16" applyFont="1" applyBorder="1" applyAlignment="1">
      <alignment horizontal="center" vertical="center" wrapText="1"/>
    </xf>
    <xf numFmtId="0" fontId="40" fillId="0" borderId="148" xfId="16" applyFont="1" applyBorder="1"/>
    <xf numFmtId="0" fontId="49" fillId="0" borderId="143" xfId="16" applyFont="1" applyBorder="1" applyAlignment="1">
      <alignment horizontal="center" vertical="center" wrapText="1"/>
    </xf>
    <xf numFmtId="0" fontId="40" fillId="0" borderId="149" xfId="16" applyFont="1" applyBorder="1"/>
    <xf numFmtId="0" fontId="40" fillId="0" borderId="153" xfId="16" applyFont="1" applyBorder="1"/>
    <xf numFmtId="0" fontId="49" fillId="0" borderId="145" xfId="16" applyFont="1" applyBorder="1" applyAlignment="1">
      <alignment horizontal="center" vertical="center" wrapText="1"/>
    </xf>
    <xf numFmtId="0" fontId="40" fillId="0" borderId="127" xfId="16" applyFont="1" applyBorder="1"/>
    <xf numFmtId="0" fontId="40" fillId="0" borderId="152" xfId="16" applyFont="1" applyBorder="1"/>
    <xf numFmtId="0" fontId="49" fillId="0" borderId="128" xfId="16" applyFont="1" applyBorder="1" applyAlignment="1">
      <alignment horizontal="center" vertical="center" wrapText="1"/>
    </xf>
    <xf numFmtId="0" fontId="51" fillId="0" borderId="130" xfId="16" applyFont="1" applyBorder="1" applyAlignment="1">
      <alignment horizontal="center" vertical="center" wrapText="1"/>
    </xf>
    <xf numFmtId="0" fontId="49" fillId="0" borderId="130" xfId="16" applyFont="1" applyBorder="1" applyAlignment="1">
      <alignment horizontal="center" vertical="center" wrapText="1"/>
    </xf>
    <xf numFmtId="0" fontId="49" fillId="21" borderId="130" xfId="16" applyFont="1" applyFill="1" applyBorder="1" applyAlignment="1">
      <alignment horizontal="center" vertical="center" wrapText="1"/>
    </xf>
    <xf numFmtId="0" fontId="51" fillId="21" borderId="130" xfId="16" applyFont="1" applyFill="1" applyBorder="1" applyAlignment="1">
      <alignment horizontal="center" vertical="center" wrapText="1"/>
    </xf>
    <xf numFmtId="0" fontId="40" fillId="0" borderId="147" xfId="16" applyFont="1" applyBorder="1"/>
    <xf numFmtId="0" fontId="16" fillId="0" borderId="0" xfId="16" applyFont="1" applyBorder="1" applyAlignment="1"/>
    <xf numFmtId="0" fontId="49" fillId="0" borderId="156" xfId="16" applyFont="1" applyBorder="1" applyAlignment="1">
      <alignment horizontal="center" vertical="center" wrapText="1"/>
    </xf>
    <xf numFmtId="0" fontId="49" fillId="0" borderId="158" xfId="16" applyFont="1" applyBorder="1" applyAlignment="1">
      <alignment horizontal="center" vertical="center" wrapText="1"/>
    </xf>
    <xf numFmtId="0" fontId="40" fillId="0" borderId="159" xfId="16" applyFont="1" applyBorder="1"/>
    <xf numFmtId="0" fontId="49" fillId="0" borderId="111" xfId="16" applyFont="1" applyBorder="1" applyAlignment="1">
      <alignment horizontal="center" vertical="center" wrapText="1"/>
    </xf>
    <xf numFmtId="0" fontId="49" fillId="0" borderId="160" xfId="16" applyFont="1" applyBorder="1" applyAlignment="1">
      <alignment horizontal="center" vertical="center" wrapText="1"/>
    </xf>
    <xf numFmtId="0" fontId="40" fillId="0" borderId="161" xfId="16" applyFont="1" applyBorder="1"/>
    <xf numFmtId="0" fontId="49" fillId="21" borderId="128" xfId="16" applyFont="1" applyFill="1" applyBorder="1" applyAlignment="1">
      <alignment horizontal="center" vertical="center" wrapText="1"/>
    </xf>
    <xf numFmtId="0" fontId="53" fillId="20" borderId="128" xfId="16" applyFont="1" applyFill="1" applyBorder="1" applyAlignment="1">
      <alignment horizontal="center" vertical="center"/>
    </xf>
    <xf numFmtId="0" fontId="53" fillId="0" borderId="130" xfId="16" applyFont="1" applyBorder="1" applyAlignment="1">
      <alignment horizontal="center" vertical="center"/>
    </xf>
    <xf numFmtId="0" fontId="47" fillId="0" borderId="130" xfId="16" applyFont="1" applyBorder="1" applyAlignment="1">
      <alignment horizontal="center" vertical="center" wrapText="1"/>
    </xf>
    <xf numFmtId="0" fontId="47" fillId="0" borderId="111" xfId="16" applyFont="1" applyBorder="1" applyAlignment="1">
      <alignment horizontal="center" vertical="center"/>
    </xf>
    <xf numFmtId="0" fontId="47" fillId="20" borderId="128" xfId="16" applyFont="1" applyFill="1" applyBorder="1" applyAlignment="1">
      <alignment horizontal="center" vertical="center" wrapText="1"/>
    </xf>
    <xf numFmtId="0" fontId="53" fillId="20" borderId="128" xfId="16" applyFont="1" applyFill="1" applyBorder="1" applyAlignment="1">
      <alignment horizontal="center" vertical="center" wrapText="1"/>
    </xf>
    <xf numFmtId="0" fontId="55" fillId="0" borderId="156" xfId="16" applyFont="1" applyBorder="1" applyAlignment="1">
      <alignment horizontal="center" vertical="center"/>
    </xf>
    <xf numFmtId="0" fontId="35" fillId="0" borderId="0" xfId="16" applyFont="1" applyBorder="1" applyAlignment="1">
      <alignment vertical="center" wrapText="1"/>
    </xf>
    <xf numFmtId="0" fontId="35" fillId="19" borderId="164" xfId="16" applyFont="1" applyFill="1" applyBorder="1" applyAlignment="1">
      <alignment horizontal="center" vertical="center" wrapText="1"/>
    </xf>
    <xf numFmtId="0" fontId="35" fillId="19" borderId="6" xfId="16" applyFont="1" applyFill="1" applyBorder="1" applyAlignment="1">
      <alignment horizontal="center" vertical="center" wrapText="1"/>
    </xf>
    <xf numFmtId="0" fontId="16" fillId="0" borderId="6" xfId="16" applyFont="1" applyBorder="1" applyAlignment="1"/>
    <xf numFmtId="0" fontId="53" fillId="20" borderId="134" xfId="16" applyFont="1" applyFill="1" applyBorder="1" applyAlignment="1">
      <alignment horizontal="center" vertical="center"/>
    </xf>
    <xf numFmtId="0" fontId="53" fillId="20" borderId="130" xfId="16" applyFont="1" applyFill="1" applyBorder="1" applyAlignment="1">
      <alignment horizontal="center" vertical="center"/>
    </xf>
    <xf numFmtId="0" fontId="54" fillId="0" borderId="134" xfId="16" applyFont="1" applyBorder="1" applyAlignment="1">
      <alignment horizontal="center" vertical="center"/>
    </xf>
    <xf numFmtId="0" fontId="56" fillId="0" borderId="136" xfId="16" applyFont="1" applyBorder="1"/>
  </cellXfs>
  <cellStyles count="17">
    <cellStyle name="20% - 강조색2_교육과정 편제표 양식v3 2" xfId="4" xr:uid="{00000000-0005-0000-0000-000000000000}"/>
    <cellStyle name="20% - 강조색5_교육과정 편제표 양식v3 2" xfId="3" xr:uid="{00000000-0005-0000-0000-000002000000}"/>
    <cellStyle name="40% - 강조색4_교육과정 편제표 양식v3 2" xfId="6" xr:uid="{00000000-0005-0000-0000-000003000000}"/>
    <cellStyle name="제목 1 2" xfId="1" xr:uid="{00000000-0005-0000-0000-000005000000}"/>
    <cellStyle name="출력 2" xfId="5" xr:uid="{00000000-0005-0000-0000-000006000000}"/>
    <cellStyle name="출력 2 2" xfId="13" xr:uid="{00000000-0005-0000-0000-000007000000}"/>
    <cellStyle name="표준" xfId="0" builtinId="0"/>
    <cellStyle name="표준 2" xfId="2" xr:uid="{00000000-0005-0000-0000-000009000000}"/>
    <cellStyle name="표준 2 2" xfId="9" xr:uid="{00000000-0005-0000-0000-00000A000000}"/>
    <cellStyle name="표준 3" xfId="7" xr:uid="{00000000-0005-0000-0000-00000B000000}"/>
    <cellStyle name="표준 3 2" xfId="10" xr:uid="{00000000-0005-0000-0000-00000C000000}"/>
    <cellStyle name="표준 4" xfId="8" xr:uid="{00000000-0005-0000-0000-00000D000000}"/>
    <cellStyle name="표준 4 2" xfId="12" xr:uid="{00000000-0005-0000-0000-00000E000000}"/>
    <cellStyle name="표준 4 3" xfId="11" xr:uid="{00000000-0005-0000-0000-00000F000000}"/>
    <cellStyle name="표준 4 4" xfId="14" xr:uid="{00000000-0005-0000-0000-000010000000}"/>
    <cellStyle name="표준 5" xfId="15" xr:uid="{00000000-0005-0000-0000-000011000000}"/>
    <cellStyle name="표준 6" xfId="16" xr:uid="{2A8DBBCE-BEB3-4528-99EE-FEB5AAFE43C5}"/>
  </cellStyles>
  <dxfs count="3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  <color rgb="FFFFFF99"/>
      <color rgb="FFFF7C8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광장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B1:AD101"/>
  <sheetViews>
    <sheetView tabSelected="1"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8.87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355" t="s">
        <v>602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6"/>
      <c r="V2" s="357" t="s">
        <v>130</v>
      </c>
      <c r="W2" s="358"/>
      <c r="X2" s="353">
        <v>2027</v>
      </c>
      <c r="Y2" s="354"/>
      <c r="AA2" s="364" t="s">
        <v>141</v>
      </c>
      <c r="AB2" s="15" t="s">
        <v>142</v>
      </c>
      <c r="AC2" s="36" t="s">
        <v>148</v>
      </c>
      <c r="AD2" s="16" t="s">
        <v>143</v>
      </c>
    </row>
    <row r="3" spans="2:30" ht="17.25" thickBot="1">
      <c r="B3" s="380" t="s">
        <v>349</v>
      </c>
      <c r="C3" s="382" t="s">
        <v>53</v>
      </c>
      <c r="D3" s="383"/>
      <c r="E3" s="383"/>
      <c r="F3" s="382" t="s">
        <v>64</v>
      </c>
      <c r="G3" s="386"/>
      <c r="H3" s="382" t="s">
        <v>54</v>
      </c>
      <c r="I3" s="383"/>
      <c r="J3" s="383"/>
      <c r="K3" s="382" t="s">
        <v>55</v>
      </c>
      <c r="L3" s="383"/>
      <c r="M3" s="383"/>
      <c r="N3" s="383"/>
      <c r="O3" s="386"/>
      <c r="P3" s="388" t="s">
        <v>56</v>
      </c>
      <c r="Q3" s="389"/>
      <c r="R3" s="389"/>
      <c r="S3" s="389"/>
      <c r="T3" s="389"/>
      <c r="U3" s="389"/>
      <c r="V3" s="389"/>
      <c r="W3" s="389"/>
      <c r="X3" s="389"/>
      <c r="Y3" s="390"/>
      <c r="AA3" s="365"/>
      <c r="AB3" s="17" t="s">
        <v>144</v>
      </c>
      <c r="AC3" s="48" t="s">
        <v>495</v>
      </c>
      <c r="AD3" s="519" t="s">
        <v>498</v>
      </c>
    </row>
    <row r="4" spans="2:30" ht="17.25" thickBot="1">
      <c r="B4" s="381"/>
      <c r="C4" s="384"/>
      <c r="D4" s="385"/>
      <c r="E4" s="385"/>
      <c r="F4" s="384"/>
      <c r="G4" s="387"/>
      <c r="H4" s="384"/>
      <c r="I4" s="385"/>
      <c r="J4" s="385"/>
      <c r="K4" s="384"/>
      <c r="L4" s="385"/>
      <c r="M4" s="385"/>
      <c r="N4" s="385"/>
      <c r="O4" s="387"/>
      <c r="P4" s="388" t="s">
        <v>127</v>
      </c>
      <c r="Q4" s="389"/>
      <c r="R4" s="389"/>
      <c r="S4" s="389"/>
      <c r="T4" s="388" t="s">
        <v>61</v>
      </c>
      <c r="U4" s="389"/>
      <c r="V4" s="390"/>
      <c r="W4" s="389" t="s">
        <v>128</v>
      </c>
      <c r="X4" s="389"/>
      <c r="Y4" s="390"/>
      <c r="AA4" s="365"/>
      <c r="AB4" s="18" t="s">
        <v>496</v>
      </c>
      <c r="AC4" s="517" t="s">
        <v>497</v>
      </c>
      <c r="AD4" s="520"/>
    </row>
    <row r="5" spans="2:30" ht="26.25" customHeight="1" thickBot="1">
      <c r="B5" s="82" t="s">
        <v>489</v>
      </c>
      <c r="C5" s="391" t="s">
        <v>601</v>
      </c>
      <c r="D5" s="392"/>
      <c r="E5" s="393"/>
      <c r="F5" s="391" t="s">
        <v>490</v>
      </c>
      <c r="G5" s="394"/>
      <c r="H5" s="395" t="s">
        <v>491</v>
      </c>
      <c r="I5" s="392"/>
      <c r="J5" s="393"/>
      <c r="K5" s="391"/>
      <c r="L5" s="392"/>
      <c r="M5" s="392"/>
      <c r="N5" s="392"/>
      <c r="O5" s="394"/>
      <c r="P5" s="395" t="s">
        <v>492</v>
      </c>
      <c r="Q5" s="392"/>
      <c r="R5" s="392"/>
      <c r="S5" s="393"/>
      <c r="T5" s="391" t="s">
        <v>493</v>
      </c>
      <c r="U5" s="392"/>
      <c r="V5" s="393"/>
      <c r="W5" s="396" t="s">
        <v>494</v>
      </c>
      <c r="X5" s="397"/>
      <c r="Y5" s="398"/>
      <c r="AA5" s="366"/>
      <c r="AB5" s="160" t="s">
        <v>145</v>
      </c>
      <c r="AC5" s="518"/>
      <c r="AD5" s="521"/>
    </row>
    <row r="6" spans="2:30" ht="15.75" customHeight="1" thickBot="1">
      <c r="U6" s="399"/>
      <c r="V6" s="399"/>
      <c r="W6" s="399"/>
      <c r="X6" s="399"/>
      <c r="Y6" s="399"/>
    </row>
    <row r="7" spans="2:30" s="10" customFormat="1" ht="22.5" customHeight="1">
      <c r="B7" s="400" t="s">
        <v>2</v>
      </c>
      <c r="C7" s="401"/>
      <c r="D7" s="404" t="s">
        <v>120</v>
      </c>
      <c r="E7" s="406" t="s">
        <v>57</v>
      </c>
      <c r="F7" s="407"/>
      <c r="G7" s="408"/>
      <c r="H7" s="409" t="s">
        <v>131</v>
      </c>
      <c r="I7" s="412" t="s">
        <v>132</v>
      </c>
      <c r="J7" s="416" t="s">
        <v>133</v>
      </c>
      <c r="K7" s="411" t="s">
        <v>58</v>
      </c>
      <c r="L7" s="412"/>
      <c r="M7" s="412"/>
      <c r="N7" s="413"/>
      <c r="O7" s="414" t="s">
        <v>59</v>
      </c>
      <c r="P7" s="412"/>
      <c r="Q7" s="412"/>
      <c r="R7" s="413"/>
      <c r="S7" s="411" t="s">
        <v>60</v>
      </c>
      <c r="T7" s="412"/>
      <c r="U7" s="412"/>
      <c r="V7" s="415"/>
      <c r="W7" s="409" t="s">
        <v>134</v>
      </c>
      <c r="X7" s="416"/>
      <c r="Y7" s="408" t="s">
        <v>135</v>
      </c>
      <c r="Z7" s="9"/>
    </row>
    <row r="8" spans="2:30" s="10" customFormat="1" ht="22.5" customHeight="1" thickBot="1">
      <c r="B8" s="402"/>
      <c r="C8" s="403"/>
      <c r="D8" s="405"/>
      <c r="E8" s="19" t="s">
        <v>18</v>
      </c>
      <c r="F8" s="419" t="s">
        <v>19</v>
      </c>
      <c r="G8" s="420"/>
      <c r="H8" s="410"/>
      <c r="I8" s="368"/>
      <c r="J8" s="417"/>
      <c r="K8" s="367" t="s">
        <v>0</v>
      </c>
      <c r="L8" s="368"/>
      <c r="M8" s="368" t="s">
        <v>62</v>
      </c>
      <c r="N8" s="421"/>
      <c r="O8" s="422" t="s">
        <v>0</v>
      </c>
      <c r="P8" s="368"/>
      <c r="Q8" s="368" t="s">
        <v>62</v>
      </c>
      <c r="R8" s="421"/>
      <c r="S8" s="367" t="s">
        <v>0</v>
      </c>
      <c r="T8" s="368"/>
      <c r="U8" s="368" t="s">
        <v>62</v>
      </c>
      <c r="V8" s="369"/>
      <c r="W8" s="410"/>
      <c r="X8" s="417"/>
      <c r="Y8" s="418"/>
      <c r="AA8" s="523"/>
      <c r="AB8" s="523"/>
      <c r="AC8" s="523"/>
      <c r="AD8" s="523"/>
    </row>
    <row r="9" spans="2:30" ht="16.5" customHeight="1" thickBot="1">
      <c r="B9" s="373" t="s">
        <v>333</v>
      </c>
      <c r="C9" s="371"/>
      <c r="D9" s="375" t="s">
        <v>21</v>
      </c>
      <c r="E9" s="49" t="s">
        <v>12</v>
      </c>
      <c r="F9" s="378" t="s">
        <v>197</v>
      </c>
      <c r="G9" s="337"/>
      <c r="H9" s="50">
        <v>4</v>
      </c>
      <c r="I9" s="51" t="s">
        <v>334</v>
      </c>
      <c r="J9" s="52">
        <v>3</v>
      </c>
      <c r="K9" s="378">
        <v>3</v>
      </c>
      <c r="L9" s="335"/>
      <c r="M9" s="332"/>
      <c r="N9" s="333"/>
      <c r="O9" s="336"/>
      <c r="P9" s="335"/>
      <c r="Q9" s="332"/>
      <c r="R9" s="333"/>
      <c r="S9" s="336"/>
      <c r="T9" s="335"/>
      <c r="U9" s="332"/>
      <c r="V9" s="337"/>
      <c r="W9" s="53">
        <f>SUM(K9:V9)</f>
        <v>3</v>
      </c>
      <c r="X9" s="424">
        <f>SUM(W9:W13)</f>
        <v>15</v>
      </c>
      <c r="Y9" s="350">
        <v>24</v>
      </c>
      <c r="AA9" s="154"/>
      <c r="AB9" s="154"/>
      <c r="AC9" s="154"/>
      <c r="AD9" s="154"/>
    </row>
    <row r="10" spans="2:30" ht="17.25" thickBot="1">
      <c r="B10" s="374"/>
      <c r="C10" s="372"/>
      <c r="D10" s="376"/>
      <c r="E10" s="54" t="s">
        <v>12</v>
      </c>
      <c r="F10" s="320" t="s">
        <v>198</v>
      </c>
      <c r="G10" s="325"/>
      <c r="H10" s="55">
        <v>4</v>
      </c>
      <c r="I10" s="56" t="s">
        <v>334</v>
      </c>
      <c r="J10" s="57">
        <v>3</v>
      </c>
      <c r="K10" s="320"/>
      <c r="L10" s="321"/>
      <c r="M10" s="322">
        <v>3</v>
      </c>
      <c r="N10" s="323"/>
      <c r="O10" s="324"/>
      <c r="P10" s="321"/>
      <c r="Q10" s="322"/>
      <c r="R10" s="323"/>
      <c r="S10" s="324"/>
      <c r="T10" s="321"/>
      <c r="U10" s="322"/>
      <c r="V10" s="325"/>
      <c r="W10" s="58">
        <f t="shared" ref="W10:W27" si="0">SUM(K10:V10)</f>
        <v>3</v>
      </c>
      <c r="X10" s="461"/>
      <c r="Y10" s="350"/>
      <c r="AA10" s="154"/>
      <c r="AB10" s="154"/>
      <c r="AC10" s="154"/>
      <c r="AD10" s="154"/>
    </row>
    <row r="11" spans="2:30" ht="17.25" thickBot="1">
      <c r="B11" s="374"/>
      <c r="C11" s="372"/>
      <c r="D11" s="376"/>
      <c r="E11" s="59" t="s">
        <v>339</v>
      </c>
      <c r="F11" s="320" t="s">
        <v>4</v>
      </c>
      <c r="G11" s="325"/>
      <c r="H11" s="151">
        <v>4</v>
      </c>
      <c r="I11" s="152" t="s">
        <v>336</v>
      </c>
      <c r="J11" s="153">
        <v>3</v>
      </c>
      <c r="K11" s="320"/>
      <c r="L11" s="321"/>
      <c r="M11" s="322"/>
      <c r="N11" s="323"/>
      <c r="O11" s="324">
        <v>3</v>
      </c>
      <c r="P11" s="321"/>
      <c r="Q11" s="322"/>
      <c r="R11" s="323"/>
      <c r="S11" s="324"/>
      <c r="T11" s="321"/>
      <c r="U11" s="322"/>
      <c r="V11" s="325"/>
      <c r="W11" s="58">
        <f t="shared" si="0"/>
        <v>3</v>
      </c>
      <c r="X11" s="461"/>
      <c r="Y11" s="350"/>
      <c r="AA11" s="154"/>
      <c r="AB11" s="154"/>
      <c r="AC11" s="154"/>
      <c r="AD11" s="154"/>
    </row>
    <row r="12" spans="2:30" ht="17.25" thickBot="1">
      <c r="B12" s="374"/>
      <c r="C12" s="372"/>
      <c r="D12" s="376"/>
      <c r="E12" s="59" t="s">
        <v>339</v>
      </c>
      <c r="F12" s="320" t="s">
        <v>201</v>
      </c>
      <c r="G12" s="325"/>
      <c r="H12" s="151">
        <v>4</v>
      </c>
      <c r="I12" s="152" t="s">
        <v>336</v>
      </c>
      <c r="J12" s="153">
        <v>3</v>
      </c>
      <c r="K12" s="320"/>
      <c r="L12" s="321"/>
      <c r="M12" s="322"/>
      <c r="N12" s="323"/>
      <c r="O12" s="324"/>
      <c r="P12" s="321"/>
      <c r="Q12" s="322">
        <v>3</v>
      </c>
      <c r="R12" s="323"/>
      <c r="S12" s="324"/>
      <c r="T12" s="321"/>
      <c r="U12" s="322"/>
      <c r="V12" s="325"/>
      <c r="W12" s="58">
        <v>3</v>
      </c>
      <c r="X12" s="461"/>
      <c r="Y12" s="350"/>
      <c r="AA12" s="245"/>
      <c r="AB12" s="245"/>
      <c r="AC12" s="245"/>
      <c r="AD12" s="245"/>
    </row>
    <row r="13" spans="2:30" ht="17.25" customHeight="1" thickBot="1">
      <c r="B13" s="374"/>
      <c r="C13" s="372"/>
      <c r="D13" s="377"/>
      <c r="E13" s="59" t="s">
        <v>335</v>
      </c>
      <c r="F13" s="320" t="s">
        <v>705</v>
      </c>
      <c r="G13" s="325"/>
      <c r="H13" s="60">
        <v>4</v>
      </c>
      <c r="I13" s="61" t="s">
        <v>336</v>
      </c>
      <c r="J13" s="62">
        <v>3</v>
      </c>
      <c r="K13" s="379"/>
      <c r="L13" s="346"/>
      <c r="M13" s="347"/>
      <c r="N13" s="348"/>
      <c r="O13" s="345"/>
      <c r="P13" s="346"/>
      <c r="Q13" s="347"/>
      <c r="R13" s="348"/>
      <c r="S13" s="345">
        <v>3</v>
      </c>
      <c r="T13" s="346"/>
      <c r="U13" s="347"/>
      <c r="V13" s="349"/>
      <c r="W13" s="58">
        <f t="shared" si="0"/>
        <v>3</v>
      </c>
      <c r="X13" s="461"/>
      <c r="Y13" s="350"/>
      <c r="AA13" s="154"/>
      <c r="AB13" s="154"/>
      <c r="AC13" s="154"/>
      <c r="AD13" s="154"/>
    </row>
    <row r="14" spans="2:30" ht="17.25" thickBot="1">
      <c r="B14" s="374"/>
      <c r="C14" s="372"/>
      <c r="D14" s="375" t="s">
        <v>5</v>
      </c>
      <c r="E14" s="49" t="s">
        <v>12</v>
      </c>
      <c r="F14" s="378" t="s">
        <v>209</v>
      </c>
      <c r="G14" s="337"/>
      <c r="H14" s="50">
        <v>4</v>
      </c>
      <c r="I14" s="51" t="s">
        <v>334</v>
      </c>
      <c r="J14" s="52">
        <v>3</v>
      </c>
      <c r="K14" s="378">
        <v>3</v>
      </c>
      <c r="L14" s="335"/>
      <c r="M14" s="332"/>
      <c r="N14" s="333"/>
      <c r="O14" s="336"/>
      <c r="P14" s="335"/>
      <c r="Q14" s="332"/>
      <c r="R14" s="333"/>
      <c r="S14" s="336"/>
      <c r="T14" s="335"/>
      <c r="U14" s="332"/>
      <c r="V14" s="337"/>
      <c r="W14" s="53">
        <f t="shared" si="0"/>
        <v>3</v>
      </c>
      <c r="X14" s="424">
        <f>SUM(W14:W17)</f>
        <v>12</v>
      </c>
      <c r="Y14" s="350"/>
      <c r="AA14" s="154"/>
      <c r="AB14" s="154"/>
      <c r="AC14" s="154"/>
      <c r="AD14" s="154"/>
    </row>
    <row r="15" spans="2:30" ht="17.25" thickBot="1">
      <c r="B15" s="374"/>
      <c r="C15" s="372"/>
      <c r="D15" s="376"/>
      <c r="E15" s="54" t="s">
        <v>12</v>
      </c>
      <c r="F15" s="320" t="s">
        <v>211</v>
      </c>
      <c r="G15" s="325"/>
      <c r="H15" s="55">
        <v>4</v>
      </c>
      <c r="I15" s="56" t="s">
        <v>334</v>
      </c>
      <c r="J15" s="57">
        <v>3</v>
      </c>
      <c r="K15" s="320"/>
      <c r="L15" s="321"/>
      <c r="M15" s="322">
        <v>3</v>
      </c>
      <c r="N15" s="323"/>
      <c r="O15" s="324"/>
      <c r="P15" s="321"/>
      <c r="Q15" s="322"/>
      <c r="R15" s="323"/>
      <c r="S15" s="324"/>
      <c r="T15" s="321"/>
      <c r="U15" s="322"/>
      <c r="V15" s="325"/>
      <c r="W15" s="58">
        <f t="shared" si="0"/>
        <v>3</v>
      </c>
      <c r="X15" s="461"/>
      <c r="Y15" s="350"/>
      <c r="AA15" s="154"/>
      <c r="AB15" s="154"/>
      <c r="AC15" s="154"/>
      <c r="AD15" s="154"/>
    </row>
    <row r="16" spans="2:30" ht="17.25" thickBot="1">
      <c r="B16" s="374"/>
      <c r="C16" s="372"/>
      <c r="D16" s="376"/>
      <c r="E16" s="59" t="s">
        <v>339</v>
      </c>
      <c r="F16" s="320" t="s">
        <v>212</v>
      </c>
      <c r="G16" s="325"/>
      <c r="H16" s="151">
        <v>4</v>
      </c>
      <c r="I16" s="152" t="s">
        <v>336</v>
      </c>
      <c r="J16" s="153">
        <v>3</v>
      </c>
      <c r="K16" s="320"/>
      <c r="L16" s="321"/>
      <c r="M16" s="322"/>
      <c r="N16" s="323"/>
      <c r="O16" s="324">
        <v>3</v>
      </c>
      <c r="P16" s="321"/>
      <c r="Q16" s="322"/>
      <c r="R16" s="323"/>
      <c r="S16" s="324"/>
      <c r="T16" s="321"/>
      <c r="U16" s="322"/>
      <c r="V16" s="325"/>
      <c r="W16" s="58">
        <f t="shared" si="0"/>
        <v>3</v>
      </c>
      <c r="X16" s="461"/>
      <c r="Y16" s="350"/>
      <c r="AA16" s="154"/>
      <c r="AB16" s="154"/>
      <c r="AC16" s="154"/>
      <c r="AD16" s="154"/>
    </row>
    <row r="17" spans="2:30" ht="17.25" thickBot="1">
      <c r="B17" s="374"/>
      <c r="C17" s="372"/>
      <c r="D17" s="377"/>
      <c r="E17" s="59" t="s">
        <v>335</v>
      </c>
      <c r="F17" s="379" t="s">
        <v>337</v>
      </c>
      <c r="G17" s="349"/>
      <c r="H17" s="60">
        <v>4</v>
      </c>
      <c r="I17" s="61" t="s">
        <v>336</v>
      </c>
      <c r="J17" s="62">
        <v>3</v>
      </c>
      <c r="K17" s="379"/>
      <c r="L17" s="346"/>
      <c r="M17" s="347"/>
      <c r="N17" s="348"/>
      <c r="O17" s="345"/>
      <c r="P17" s="346"/>
      <c r="Q17" s="347">
        <v>3</v>
      </c>
      <c r="R17" s="348"/>
      <c r="S17" s="345"/>
      <c r="T17" s="346"/>
      <c r="U17" s="347"/>
      <c r="V17" s="349"/>
      <c r="W17" s="58">
        <f t="shared" si="0"/>
        <v>3</v>
      </c>
      <c r="X17" s="461"/>
      <c r="Y17" s="350"/>
      <c r="AA17" s="154"/>
      <c r="AB17" s="522"/>
      <c r="AC17" s="522"/>
      <c r="AD17" s="522"/>
    </row>
    <row r="18" spans="2:30" ht="17.25" thickBot="1">
      <c r="B18" s="374"/>
      <c r="C18" s="372"/>
      <c r="D18" s="375" t="s">
        <v>6</v>
      </c>
      <c r="E18" s="49" t="s">
        <v>12</v>
      </c>
      <c r="F18" s="378" t="s">
        <v>216</v>
      </c>
      <c r="G18" s="337"/>
      <c r="H18" s="50">
        <v>4</v>
      </c>
      <c r="I18" s="51" t="s">
        <v>334</v>
      </c>
      <c r="J18" s="52">
        <v>3</v>
      </c>
      <c r="K18" s="378">
        <v>3</v>
      </c>
      <c r="L18" s="335"/>
      <c r="M18" s="332"/>
      <c r="N18" s="333"/>
      <c r="O18" s="336"/>
      <c r="P18" s="335"/>
      <c r="Q18" s="332"/>
      <c r="R18" s="333"/>
      <c r="S18" s="336"/>
      <c r="T18" s="335"/>
      <c r="U18" s="332"/>
      <c r="V18" s="337"/>
      <c r="W18" s="53">
        <f t="shared" si="0"/>
        <v>3</v>
      </c>
      <c r="X18" s="424">
        <f>SUM(W18:W21)</f>
        <v>12</v>
      </c>
      <c r="Y18" s="350"/>
      <c r="AA18" s="155"/>
      <c r="AB18" s="155"/>
      <c r="AC18" s="155"/>
      <c r="AD18" s="155"/>
    </row>
    <row r="19" spans="2:30" ht="17.25" thickBot="1">
      <c r="B19" s="374"/>
      <c r="C19" s="372"/>
      <c r="D19" s="376"/>
      <c r="E19" s="54" t="s">
        <v>12</v>
      </c>
      <c r="F19" s="320" t="s">
        <v>222</v>
      </c>
      <c r="G19" s="325"/>
      <c r="H19" s="55">
        <v>4</v>
      </c>
      <c r="I19" s="56" t="s">
        <v>334</v>
      </c>
      <c r="J19" s="57">
        <v>3</v>
      </c>
      <c r="K19" s="320"/>
      <c r="L19" s="321"/>
      <c r="M19" s="322">
        <v>3</v>
      </c>
      <c r="N19" s="323"/>
      <c r="O19" s="324"/>
      <c r="P19" s="321"/>
      <c r="Q19" s="322"/>
      <c r="R19" s="323"/>
      <c r="S19" s="324"/>
      <c r="T19" s="321"/>
      <c r="U19" s="322"/>
      <c r="V19" s="325"/>
      <c r="W19" s="58">
        <f t="shared" si="0"/>
        <v>3</v>
      </c>
      <c r="X19" s="461"/>
      <c r="Y19" s="350"/>
    </row>
    <row r="20" spans="2:30" ht="17.25" thickBot="1">
      <c r="B20" s="374"/>
      <c r="C20" s="372"/>
      <c r="D20" s="376"/>
      <c r="E20" s="159" t="s">
        <v>339</v>
      </c>
      <c r="F20" s="320" t="s">
        <v>499</v>
      </c>
      <c r="G20" s="325"/>
      <c r="H20" s="151">
        <v>4</v>
      </c>
      <c r="I20" s="152" t="s">
        <v>336</v>
      </c>
      <c r="J20" s="153">
        <v>3</v>
      </c>
      <c r="K20" s="320"/>
      <c r="L20" s="321"/>
      <c r="M20" s="322"/>
      <c r="N20" s="323"/>
      <c r="O20" s="324">
        <v>3</v>
      </c>
      <c r="P20" s="321"/>
      <c r="Q20" s="322"/>
      <c r="R20" s="323"/>
      <c r="S20" s="324"/>
      <c r="T20" s="321"/>
      <c r="U20" s="322"/>
      <c r="V20" s="325"/>
      <c r="W20" s="58">
        <f t="shared" si="0"/>
        <v>3</v>
      </c>
      <c r="X20" s="461"/>
      <c r="Y20" s="350"/>
    </row>
    <row r="21" spans="2:30" ht="17.25" thickBot="1">
      <c r="B21" s="374"/>
      <c r="C21" s="372"/>
      <c r="D21" s="377"/>
      <c r="E21" s="63" t="s">
        <v>335</v>
      </c>
      <c r="F21" s="379" t="s">
        <v>609</v>
      </c>
      <c r="G21" s="349"/>
      <c r="H21" s="60">
        <v>4</v>
      </c>
      <c r="I21" s="61" t="s">
        <v>336</v>
      </c>
      <c r="J21" s="62">
        <v>3</v>
      </c>
      <c r="K21" s="379"/>
      <c r="L21" s="346"/>
      <c r="M21" s="347"/>
      <c r="N21" s="348"/>
      <c r="O21" s="345"/>
      <c r="P21" s="346"/>
      <c r="Q21" s="347">
        <v>3</v>
      </c>
      <c r="R21" s="348"/>
      <c r="S21" s="345"/>
      <c r="T21" s="346"/>
      <c r="U21" s="347"/>
      <c r="V21" s="349"/>
      <c r="W21" s="58">
        <f t="shared" si="0"/>
        <v>3</v>
      </c>
      <c r="X21" s="461"/>
      <c r="Y21" s="350"/>
    </row>
    <row r="22" spans="2:30" ht="17.25" thickBot="1">
      <c r="B22" s="374"/>
      <c r="C22" s="372"/>
      <c r="D22" s="375" t="s">
        <v>338</v>
      </c>
      <c r="E22" s="49" t="s">
        <v>12</v>
      </c>
      <c r="F22" s="378" t="s">
        <v>230</v>
      </c>
      <c r="G22" s="337"/>
      <c r="H22" s="50">
        <v>3</v>
      </c>
      <c r="I22" s="64">
        <v>3</v>
      </c>
      <c r="J22" s="52">
        <v>3</v>
      </c>
      <c r="K22" s="423">
        <v>3</v>
      </c>
      <c r="L22" s="360"/>
      <c r="M22" s="361"/>
      <c r="N22" s="362"/>
      <c r="O22" s="359"/>
      <c r="P22" s="360"/>
      <c r="Q22" s="361"/>
      <c r="R22" s="362"/>
      <c r="S22" s="359"/>
      <c r="T22" s="360"/>
      <c r="U22" s="361"/>
      <c r="V22" s="363"/>
      <c r="W22" s="53">
        <f t="shared" si="0"/>
        <v>3</v>
      </c>
      <c r="X22" s="424">
        <f>SUM(W22:W23)</f>
        <v>6</v>
      </c>
      <c r="Y22" s="350">
        <v>6</v>
      </c>
    </row>
    <row r="23" spans="2:30" ht="17.25" thickBot="1">
      <c r="B23" s="374"/>
      <c r="C23" s="372"/>
      <c r="D23" s="376"/>
      <c r="E23" s="65" t="s">
        <v>12</v>
      </c>
      <c r="F23" s="426" t="s">
        <v>231</v>
      </c>
      <c r="G23" s="427"/>
      <c r="H23" s="66">
        <v>3</v>
      </c>
      <c r="I23" s="67">
        <v>3</v>
      </c>
      <c r="J23" s="68">
        <v>3</v>
      </c>
      <c r="K23" s="379"/>
      <c r="L23" s="346"/>
      <c r="M23" s="347">
        <v>3</v>
      </c>
      <c r="N23" s="348"/>
      <c r="O23" s="345"/>
      <c r="P23" s="346"/>
      <c r="Q23" s="347"/>
      <c r="R23" s="348"/>
      <c r="S23" s="345"/>
      <c r="T23" s="346"/>
      <c r="U23" s="347"/>
      <c r="V23" s="349"/>
      <c r="W23" s="69">
        <f t="shared" si="0"/>
        <v>3</v>
      </c>
      <c r="X23" s="425"/>
      <c r="Y23" s="350"/>
      <c r="AA23" s="370"/>
      <c r="AB23" s="370"/>
      <c r="AC23" s="43"/>
    </row>
    <row r="24" spans="2:30" ht="17.25" thickBot="1">
      <c r="B24" s="374"/>
      <c r="C24" s="372"/>
      <c r="D24" s="376"/>
      <c r="E24" s="49" t="s">
        <v>12</v>
      </c>
      <c r="F24" s="378" t="s">
        <v>233</v>
      </c>
      <c r="G24" s="337"/>
      <c r="H24" s="50">
        <v>4</v>
      </c>
      <c r="I24" s="64" t="s">
        <v>334</v>
      </c>
      <c r="J24" s="52">
        <v>3</v>
      </c>
      <c r="K24" s="378"/>
      <c r="L24" s="335"/>
      <c r="M24" s="332"/>
      <c r="N24" s="333"/>
      <c r="O24" s="336">
        <v>3</v>
      </c>
      <c r="P24" s="335"/>
      <c r="Q24" s="332"/>
      <c r="R24" s="333"/>
      <c r="S24" s="336"/>
      <c r="T24" s="335"/>
      <c r="U24" s="332"/>
      <c r="V24" s="337"/>
      <c r="W24" s="53">
        <f t="shared" si="0"/>
        <v>3</v>
      </c>
      <c r="X24" s="424">
        <f>SUM(W24:W25)</f>
        <v>6</v>
      </c>
      <c r="Y24" s="350">
        <v>12</v>
      </c>
    </row>
    <row r="25" spans="2:30" ht="17.25" thickBot="1">
      <c r="B25" s="374"/>
      <c r="C25" s="372"/>
      <c r="D25" s="377"/>
      <c r="E25" s="63" t="s">
        <v>12</v>
      </c>
      <c r="F25" s="379" t="s">
        <v>234</v>
      </c>
      <c r="G25" s="349"/>
      <c r="H25" s="60">
        <v>4</v>
      </c>
      <c r="I25" s="61" t="s">
        <v>334</v>
      </c>
      <c r="J25" s="62">
        <v>3</v>
      </c>
      <c r="K25" s="379"/>
      <c r="L25" s="346"/>
      <c r="M25" s="347"/>
      <c r="N25" s="348"/>
      <c r="O25" s="345"/>
      <c r="P25" s="346"/>
      <c r="Q25" s="347">
        <v>3</v>
      </c>
      <c r="R25" s="348"/>
      <c r="S25" s="345"/>
      <c r="T25" s="346"/>
      <c r="U25" s="347"/>
      <c r="V25" s="349"/>
      <c r="W25" s="69">
        <f t="shared" si="0"/>
        <v>3</v>
      </c>
      <c r="X25" s="425"/>
      <c r="Y25" s="350"/>
    </row>
    <row r="26" spans="2:30" ht="17.25" thickBot="1">
      <c r="B26" s="374"/>
      <c r="C26" s="372"/>
      <c r="D26" s="375" t="s">
        <v>26</v>
      </c>
      <c r="E26" s="49" t="s">
        <v>12</v>
      </c>
      <c r="F26" s="378" t="s">
        <v>251</v>
      </c>
      <c r="G26" s="337"/>
      <c r="H26" s="50">
        <v>4</v>
      </c>
      <c r="I26" s="64" t="s">
        <v>334</v>
      </c>
      <c r="J26" s="52">
        <v>3</v>
      </c>
      <c r="K26" s="378">
        <v>3</v>
      </c>
      <c r="L26" s="335"/>
      <c r="M26" s="332"/>
      <c r="N26" s="333"/>
      <c r="O26" s="336"/>
      <c r="P26" s="335"/>
      <c r="Q26" s="332"/>
      <c r="R26" s="333"/>
      <c r="S26" s="336"/>
      <c r="T26" s="335"/>
      <c r="U26" s="332"/>
      <c r="V26" s="337"/>
      <c r="W26" s="53">
        <f t="shared" si="0"/>
        <v>3</v>
      </c>
      <c r="X26" s="371">
        <f>SUM(W26:W27)</f>
        <v>6</v>
      </c>
      <c r="Y26" s="350"/>
    </row>
    <row r="27" spans="2:30" ht="17.25" thickBot="1">
      <c r="B27" s="374"/>
      <c r="C27" s="372"/>
      <c r="D27" s="376"/>
      <c r="E27" s="54" t="s">
        <v>12</v>
      </c>
      <c r="F27" s="320" t="s">
        <v>252</v>
      </c>
      <c r="G27" s="325"/>
      <c r="H27" s="55">
        <v>4</v>
      </c>
      <c r="I27" s="56" t="s">
        <v>334</v>
      </c>
      <c r="J27" s="57">
        <v>3</v>
      </c>
      <c r="K27" s="320"/>
      <c r="L27" s="321"/>
      <c r="M27" s="322">
        <v>3</v>
      </c>
      <c r="N27" s="323"/>
      <c r="O27" s="324"/>
      <c r="P27" s="321"/>
      <c r="Q27" s="322"/>
      <c r="R27" s="323"/>
      <c r="S27" s="324"/>
      <c r="T27" s="321"/>
      <c r="U27" s="322"/>
      <c r="V27" s="325"/>
      <c r="W27" s="58">
        <f t="shared" si="0"/>
        <v>3</v>
      </c>
      <c r="X27" s="372"/>
      <c r="Y27" s="350"/>
    </row>
    <row r="28" spans="2:30" ht="16.5" customHeight="1" thickBot="1">
      <c r="B28" s="374"/>
      <c r="C28" s="372"/>
      <c r="D28" s="375" t="s">
        <v>8</v>
      </c>
      <c r="E28" s="49" t="s">
        <v>339</v>
      </c>
      <c r="F28" s="378" t="s">
        <v>340</v>
      </c>
      <c r="G28" s="337"/>
      <c r="H28" s="50">
        <v>3</v>
      </c>
      <c r="I28" s="64" t="s">
        <v>341</v>
      </c>
      <c r="J28" s="52">
        <f t="shared" ref="J28:J29" si="1">SUM(K28:V28)</f>
        <v>2</v>
      </c>
      <c r="K28" s="378">
        <v>2</v>
      </c>
      <c r="L28" s="335"/>
      <c r="M28" s="332"/>
      <c r="N28" s="333"/>
      <c r="O28" s="336"/>
      <c r="P28" s="335"/>
      <c r="Q28" s="332"/>
      <c r="R28" s="333"/>
      <c r="S28" s="336"/>
      <c r="T28" s="335"/>
      <c r="U28" s="332"/>
      <c r="V28" s="337"/>
      <c r="W28" s="53">
        <f>SUM(K28:V28)</f>
        <v>2</v>
      </c>
      <c r="X28" s="428">
        <f>SUM(W28:W32)</f>
        <v>8</v>
      </c>
      <c r="Y28" s="350">
        <v>8</v>
      </c>
    </row>
    <row r="29" spans="2:30" ht="17.25" thickBot="1">
      <c r="B29" s="374"/>
      <c r="C29" s="372"/>
      <c r="D29" s="376"/>
      <c r="E29" s="54" t="s">
        <v>339</v>
      </c>
      <c r="F29" s="320" t="s">
        <v>342</v>
      </c>
      <c r="G29" s="325"/>
      <c r="H29" s="55">
        <v>3</v>
      </c>
      <c r="I29" s="56" t="s">
        <v>341</v>
      </c>
      <c r="J29" s="57">
        <f t="shared" si="1"/>
        <v>2</v>
      </c>
      <c r="K29" s="320"/>
      <c r="L29" s="321"/>
      <c r="M29" s="322">
        <v>2</v>
      </c>
      <c r="N29" s="323"/>
      <c r="O29" s="324"/>
      <c r="P29" s="321"/>
      <c r="Q29" s="322"/>
      <c r="R29" s="323"/>
      <c r="S29" s="324"/>
      <c r="T29" s="321"/>
      <c r="U29" s="322"/>
      <c r="V29" s="325"/>
      <c r="W29" s="58">
        <f t="shared" ref="W29:W32" si="2">SUM(K29:V29)</f>
        <v>2</v>
      </c>
      <c r="X29" s="429"/>
      <c r="Y29" s="350"/>
    </row>
    <row r="30" spans="2:30" ht="17.25" thickBot="1">
      <c r="B30" s="374"/>
      <c r="C30" s="372"/>
      <c r="D30" s="376"/>
      <c r="E30" s="54" t="s">
        <v>335</v>
      </c>
      <c r="F30" s="320" t="s">
        <v>357</v>
      </c>
      <c r="G30" s="325"/>
      <c r="H30" s="55">
        <v>2</v>
      </c>
      <c r="I30" s="56" t="s">
        <v>501</v>
      </c>
      <c r="J30" s="57">
        <v>1</v>
      </c>
      <c r="K30" s="320"/>
      <c r="L30" s="321"/>
      <c r="M30" s="322"/>
      <c r="N30" s="323"/>
      <c r="O30" s="324">
        <v>1</v>
      </c>
      <c r="P30" s="321"/>
      <c r="Q30" s="322"/>
      <c r="R30" s="323"/>
      <c r="S30" s="324"/>
      <c r="T30" s="321"/>
      <c r="U30" s="322"/>
      <c r="V30" s="325"/>
      <c r="W30" s="58">
        <f t="shared" si="2"/>
        <v>1</v>
      </c>
      <c r="X30" s="429"/>
      <c r="Y30" s="350"/>
    </row>
    <row r="31" spans="2:30" ht="17.25" thickBot="1">
      <c r="B31" s="374"/>
      <c r="C31" s="372"/>
      <c r="D31" s="376"/>
      <c r="E31" s="54" t="s">
        <v>335</v>
      </c>
      <c r="F31" s="320" t="s">
        <v>500</v>
      </c>
      <c r="G31" s="325"/>
      <c r="H31" s="55">
        <v>2</v>
      </c>
      <c r="I31" s="56" t="s">
        <v>501</v>
      </c>
      <c r="J31" s="57">
        <v>1</v>
      </c>
      <c r="K31" s="320"/>
      <c r="L31" s="321"/>
      <c r="M31" s="322"/>
      <c r="N31" s="323"/>
      <c r="O31" s="324"/>
      <c r="P31" s="321"/>
      <c r="Q31" s="322">
        <v>1</v>
      </c>
      <c r="R31" s="323"/>
      <c r="S31" s="324"/>
      <c r="T31" s="321"/>
      <c r="U31" s="322"/>
      <c r="V31" s="325"/>
      <c r="W31" s="58">
        <f t="shared" si="2"/>
        <v>1</v>
      </c>
      <c r="X31" s="429"/>
      <c r="Y31" s="350"/>
    </row>
    <row r="32" spans="2:30" ht="17.25" thickBot="1">
      <c r="B32" s="374"/>
      <c r="C32" s="372"/>
      <c r="D32" s="377"/>
      <c r="E32" s="63" t="s">
        <v>335</v>
      </c>
      <c r="F32" s="379" t="s">
        <v>575</v>
      </c>
      <c r="G32" s="349"/>
      <c r="H32" s="60">
        <v>3</v>
      </c>
      <c r="I32" s="61" t="s">
        <v>341</v>
      </c>
      <c r="J32" s="62">
        <v>2</v>
      </c>
      <c r="K32" s="379"/>
      <c r="L32" s="346"/>
      <c r="M32" s="347"/>
      <c r="N32" s="348"/>
      <c r="O32" s="345"/>
      <c r="P32" s="346"/>
      <c r="Q32" s="347"/>
      <c r="R32" s="348"/>
      <c r="S32" s="345">
        <v>2</v>
      </c>
      <c r="T32" s="346"/>
      <c r="U32" s="347"/>
      <c r="V32" s="349"/>
      <c r="W32" s="69">
        <f t="shared" si="2"/>
        <v>2</v>
      </c>
      <c r="X32" s="430"/>
      <c r="Y32" s="350"/>
    </row>
    <row r="33" spans="2:28">
      <c r="B33" s="374"/>
      <c r="C33" s="372"/>
      <c r="D33" s="433" t="s">
        <v>28</v>
      </c>
      <c r="E33" s="49" t="s">
        <v>339</v>
      </c>
      <c r="F33" s="378" t="s">
        <v>47</v>
      </c>
      <c r="G33" s="337"/>
      <c r="H33" s="50">
        <v>3</v>
      </c>
      <c r="I33" s="70" t="s">
        <v>341</v>
      </c>
      <c r="J33" s="52">
        <v>2</v>
      </c>
      <c r="K33" s="378">
        <v>2</v>
      </c>
      <c r="L33" s="335"/>
      <c r="M33" s="332"/>
      <c r="N33" s="333"/>
      <c r="O33" s="336"/>
      <c r="P33" s="335"/>
      <c r="Q33" s="332"/>
      <c r="R33" s="333"/>
      <c r="S33" s="336"/>
      <c r="T33" s="335"/>
      <c r="U33" s="332"/>
      <c r="V33" s="334"/>
      <c r="W33" s="163">
        <f>SUM(K33:V33)</f>
        <v>2</v>
      </c>
      <c r="X33" s="524">
        <f>SUM(W33:W36)</f>
        <v>8</v>
      </c>
      <c r="Y33" s="447">
        <v>6</v>
      </c>
    </row>
    <row r="34" spans="2:28">
      <c r="B34" s="374"/>
      <c r="C34" s="372"/>
      <c r="D34" s="434"/>
      <c r="E34" s="59" t="s">
        <v>335</v>
      </c>
      <c r="F34" s="320" t="s">
        <v>279</v>
      </c>
      <c r="G34" s="325"/>
      <c r="H34" s="55">
        <v>3</v>
      </c>
      <c r="I34" s="56" t="s">
        <v>341</v>
      </c>
      <c r="J34" s="57">
        <v>2</v>
      </c>
      <c r="K34" s="320"/>
      <c r="L34" s="321"/>
      <c r="M34" s="322">
        <v>2</v>
      </c>
      <c r="N34" s="323"/>
      <c r="O34" s="324"/>
      <c r="P34" s="321"/>
      <c r="Q34" s="322"/>
      <c r="R34" s="323"/>
      <c r="S34" s="324"/>
      <c r="T34" s="321"/>
      <c r="U34" s="322"/>
      <c r="V34" s="325"/>
      <c r="W34" s="58">
        <f t="shared" ref="W34:W36" si="3">SUM(K34:V34)</f>
        <v>2</v>
      </c>
      <c r="X34" s="525"/>
      <c r="Y34" s="448"/>
    </row>
    <row r="35" spans="2:28" ht="16.5" customHeight="1">
      <c r="B35" s="374"/>
      <c r="C35" s="372"/>
      <c r="D35" s="434"/>
      <c r="E35" s="59" t="s">
        <v>335</v>
      </c>
      <c r="F35" s="320" t="s">
        <v>636</v>
      </c>
      <c r="G35" s="325"/>
      <c r="H35" s="156">
        <v>3</v>
      </c>
      <c r="I35" s="158" t="s">
        <v>341</v>
      </c>
      <c r="J35" s="157">
        <v>2</v>
      </c>
      <c r="K35" s="320"/>
      <c r="L35" s="321"/>
      <c r="M35" s="322"/>
      <c r="N35" s="323"/>
      <c r="O35" s="324">
        <v>2</v>
      </c>
      <c r="P35" s="321"/>
      <c r="Q35" s="322"/>
      <c r="R35" s="323"/>
      <c r="S35" s="324"/>
      <c r="T35" s="321"/>
      <c r="U35" s="322"/>
      <c r="V35" s="325"/>
      <c r="W35" s="161">
        <f t="shared" si="3"/>
        <v>2</v>
      </c>
      <c r="X35" s="525"/>
      <c r="Y35" s="448"/>
    </row>
    <row r="36" spans="2:28" ht="17.25" customHeight="1" thickBot="1">
      <c r="B36" s="374"/>
      <c r="C36" s="372"/>
      <c r="D36" s="435"/>
      <c r="E36" s="59" t="s">
        <v>707</v>
      </c>
      <c r="F36" s="379" t="s">
        <v>637</v>
      </c>
      <c r="G36" s="349"/>
      <c r="H36" s="156">
        <v>3</v>
      </c>
      <c r="I36" s="158" t="s">
        <v>341</v>
      </c>
      <c r="J36" s="157">
        <v>2</v>
      </c>
      <c r="K36" s="379"/>
      <c r="L36" s="346"/>
      <c r="M36" s="347"/>
      <c r="N36" s="348"/>
      <c r="O36" s="345"/>
      <c r="P36" s="346"/>
      <c r="Q36" s="347">
        <v>2</v>
      </c>
      <c r="R36" s="348"/>
      <c r="S36" s="345"/>
      <c r="T36" s="346"/>
      <c r="U36" s="347"/>
      <c r="V36" s="349"/>
      <c r="W36" s="162">
        <f t="shared" si="3"/>
        <v>2</v>
      </c>
      <c r="X36" s="526"/>
      <c r="Y36" s="466"/>
    </row>
    <row r="37" spans="2:28" ht="16.5" customHeight="1" thickBot="1">
      <c r="B37" s="374"/>
      <c r="C37" s="372"/>
      <c r="D37" s="431" t="s">
        <v>610</v>
      </c>
      <c r="E37" s="49" t="s">
        <v>339</v>
      </c>
      <c r="F37" s="378" t="s">
        <v>638</v>
      </c>
      <c r="G37" s="337"/>
      <c r="H37" s="50">
        <v>3</v>
      </c>
      <c r="I37" s="64" t="s">
        <v>341</v>
      </c>
      <c r="J37" s="52">
        <v>4</v>
      </c>
      <c r="K37" s="378">
        <v>4</v>
      </c>
      <c r="L37" s="335"/>
      <c r="M37" s="332"/>
      <c r="N37" s="333"/>
      <c r="O37" s="336"/>
      <c r="P37" s="335"/>
      <c r="Q37" s="332"/>
      <c r="R37" s="333"/>
      <c r="S37" s="336"/>
      <c r="T37" s="335"/>
      <c r="U37" s="332"/>
      <c r="V37" s="337"/>
      <c r="W37" s="312">
        <f>SUM(K37:V38)</f>
        <v>8</v>
      </c>
      <c r="X37" s="313"/>
      <c r="Y37" s="350">
        <v>8</v>
      </c>
    </row>
    <row r="38" spans="2:28" ht="16.5" customHeight="1" thickBot="1">
      <c r="B38" s="374"/>
      <c r="C38" s="372"/>
      <c r="D38" s="432"/>
      <c r="E38" s="59" t="s">
        <v>335</v>
      </c>
      <c r="F38" s="320" t="s">
        <v>639</v>
      </c>
      <c r="G38" s="325"/>
      <c r="H38" s="55">
        <v>3</v>
      </c>
      <c r="I38" s="56" t="s">
        <v>341</v>
      </c>
      <c r="J38" s="57">
        <v>4</v>
      </c>
      <c r="K38" s="320"/>
      <c r="L38" s="321"/>
      <c r="M38" s="322">
        <v>4</v>
      </c>
      <c r="N38" s="323"/>
      <c r="O38" s="324"/>
      <c r="P38" s="321"/>
      <c r="Q38" s="322"/>
      <c r="R38" s="323"/>
      <c r="S38" s="324"/>
      <c r="T38" s="321"/>
      <c r="U38" s="322"/>
      <c r="V38" s="325"/>
      <c r="W38" s="314"/>
      <c r="X38" s="315"/>
      <c r="Y38" s="350"/>
    </row>
    <row r="39" spans="2:28" ht="24.75" customHeight="1" thickBot="1">
      <c r="B39" s="342" t="s">
        <v>350</v>
      </c>
      <c r="C39" s="487"/>
      <c r="D39" s="487"/>
      <c r="E39" s="487"/>
      <c r="F39" s="487"/>
      <c r="G39" s="467"/>
      <c r="H39" s="45">
        <f>SUM(H9:H38)</f>
        <v>105</v>
      </c>
      <c r="I39" s="14"/>
      <c r="J39" s="46">
        <f>SUM(J9:J38)</f>
        <v>81</v>
      </c>
      <c r="K39" s="527">
        <f>SUM(K9:L38)</f>
        <v>23</v>
      </c>
      <c r="L39" s="340"/>
      <c r="M39" s="340">
        <f>SUM(M9:N38)</f>
        <v>23</v>
      </c>
      <c r="N39" s="436"/>
      <c r="O39" s="437">
        <f>SUM(O9:P38)</f>
        <v>15</v>
      </c>
      <c r="P39" s="340"/>
      <c r="Q39" s="340">
        <f>SUM(Q9:R38)</f>
        <v>15</v>
      </c>
      <c r="R39" s="344"/>
      <c r="S39" s="343">
        <f>SUM(S9:T38)</f>
        <v>5</v>
      </c>
      <c r="T39" s="340"/>
      <c r="U39" s="340">
        <f>SUM(U9:V38)</f>
        <v>0</v>
      </c>
      <c r="V39" s="341"/>
      <c r="W39" s="342">
        <f>SUM(K39:V39)</f>
        <v>81</v>
      </c>
      <c r="X39" s="343"/>
      <c r="Y39" s="46">
        <f>SUM(Y9:Y38)</f>
        <v>64</v>
      </c>
      <c r="AA39" s="438" t="b">
        <f>W39&gt;=Y39</f>
        <v>1</v>
      </c>
      <c r="AB39" s="439"/>
    </row>
    <row r="40" spans="2:28" ht="17.25" customHeight="1" thickBot="1">
      <c r="B40" s="440" t="s">
        <v>577</v>
      </c>
      <c r="C40" s="441"/>
      <c r="D40" s="494" t="s">
        <v>344</v>
      </c>
      <c r="E40" s="495"/>
      <c r="F40" s="444" t="s">
        <v>502</v>
      </c>
      <c r="G40" s="445"/>
      <c r="H40" s="39"/>
      <c r="I40" s="40"/>
      <c r="J40" s="167">
        <v>3</v>
      </c>
      <c r="K40" s="446"/>
      <c r="L40" s="330"/>
      <c r="M40" s="327"/>
      <c r="N40" s="328"/>
      <c r="O40" s="329"/>
      <c r="P40" s="330"/>
      <c r="Q40" s="327"/>
      <c r="R40" s="328"/>
      <c r="S40" s="329"/>
      <c r="T40" s="330"/>
      <c r="U40" s="327">
        <v>3</v>
      </c>
      <c r="V40" s="331"/>
      <c r="W40" s="338">
        <f>SUM(K40:V40)</f>
        <v>3</v>
      </c>
      <c r="X40" s="339"/>
      <c r="Y40" s="447">
        <v>80</v>
      </c>
    </row>
    <row r="41" spans="2:28" ht="17.25" customHeight="1">
      <c r="B41" s="442"/>
      <c r="C41" s="443"/>
      <c r="D41" s="71" t="s">
        <v>153</v>
      </c>
      <c r="E41" s="72" t="s">
        <v>345</v>
      </c>
      <c r="F41" s="449" t="s">
        <v>503</v>
      </c>
      <c r="G41" s="450"/>
      <c r="H41" s="42"/>
      <c r="I41" s="41"/>
      <c r="J41" s="157">
        <v>3</v>
      </c>
      <c r="K41" s="320">
        <v>3</v>
      </c>
      <c r="L41" s="321"/>
      <c r="M41" s="322"/>
      <c r="N41" s="326"/>
      <c r="O41" s="324"/>
      <c r="P41" s="321"/>
      <c r="Q41" s="322"/>
      <c r="R41" s="323"/>
      <c r="S41" s="326"/>
      <c r="T41" s="321"/>
      <c r="U41" s="322"/>
      <c r="V41" s="325"/>
      <c r="W41" s="351">
        <f t="shared" ref="W41:W47" si="4">SUM(K41:V41)</f>
        <v>3</v>
      </c>
      <c r="X41" s="352"/>
      <c r="Y41" s="448"/>
    </row>
    <row r="42" spans="2:28" ht="17.25" customHeight="1">
      <c r="B42" s="442"/>
      <c r="C42" s="443"/>
      <c r="D42" s="71" t="s">
        <v>153</v>
      </c>
      <c r="E42" s="72" t="s">
        <v>345</v>
      </c>
      <c r="F42" s="449" t="s">
        <v>504</v>
      </c>
      <c r="G42" s="450"/>
      <c r="H42" s="42"/>
      <c r="I42" s="41"/>
      <c r="J42" s="157">
        <v>3</v>
      </c>
      <c r="K42" s="320"/>
      <c r="L42" s="321"/>
      <c r="M42" s="322">
        <v>3</v>
      </c>
      <c r="N42" s="323"/>
      <c r="O42" s="324"/>
      <c r="P42" s="321"/>
      <c r="Q42" s="322"/>
      <c r="R42" s="323"/>
      <c r="S42" s="324"/>
      <c r="T42" s="321"/>
      <c r="U42" s="322"/>
      <c r="V42" s="325"/>
      <c r="W42" s="351">
        <f t="shared" si="4"/>
        <v>3</v>
      </c>
      <c r="X42" s="352"/>
      <c r="Y42" s="448"/>
    </row>
    <row r="43" spans="2:28" ht="17.25" customHeight="1">
      <c r="B43" s="442"/>
      <c r="C43" s="443"/>
      <c r="D43" s="71" t="s">
        <v>153</v>
      </c>
      <c r="E43" s="190" t="s">
        <v>569</v>
      </c>
      <c r="F43" s="449" t="s">
        <v>612</v>
      </c>
      <c r="G43" s="450"/>
      <c r="H43" s="42"/>
      <c r="I43" s="41"/>
      <c r="J43" s="157">
        <v>6</v>
      </c>
      <c r="K43" s="320"/>
      <c r="L43" s="321"/>
      <c r="M43" s="322"/>
      <c r="N43" s="323"/>
      <c r="O43" s="324">
        <v>3</v>
      </c>
      <c r="P43" s="321"/>
      <c r="Q43" s="322">
        <v>3</v>
      </c>
      <c r="R43" s="323"/>
      <c r="S43" s="324"/>
      <c r="T43" s="321"/>
      <c r="U43" s="322"/>
      <c r="V43" s="325"/>
      <c r="W43" s="351">
        <v>6</v>
      </c>
      <c r="X43" s="352"/>
      <c r="Y43" s="448"/>
    </row>
    <row r="44" spans="2:28" ht="17.25" customHeight="1">
      <c r="B44" s="442"/>
      <c r="C44" s="443"/>
      <c r="D44" s="71" t="s">
        <v>153</v>
      </c>
      <c r="E44" s="190" t="s">
        <v>569</v>
      </c>
      <c r="F44" s="449" t="s">
        <v>506</v>
      </c>
      <c r="G44" s="450"/>
      <c r="H44" s="42"/>
      <c r="I44" s="41"/>
      <c r="J44" s="157">
        <v>12</v>
      </c>
      <c r="K44" s="320"/>
      <c r="L44" s="321"/>
      <c r="M44" s="322"/>
      <c r="N44" s="323"/>
      <c r="O44" s="324">
        <v>6</v>
      </c>
      <c r="P44" s="321"/>
      <c r="Q44" s="322">
        <v>6</v>
      </c>
      <c r="R44" s="323"/>
      <c r="S44" s="324"/>
      <c r="T44" s="321"/>
      <c r="U44" s="322"/>
      <c r="V44" s="325"/>
      <c r="W44" s="351">
        <f t="shared" si="4"/>
        <v>12</v>
      </c>
      <c r="X44" s="352"/>
      <c r="Y44" s="448"/>
    </row>
    <row r="45" spans="2:28" ht="17.25" customHeight="1">
      <c r="B45" s="442"/>
      <c r="C45" s="443"/>
      <c r="D45" s="71" t="s">
        <v>153</v>
      </c>
      <c r="E45" s="72" t="s">
        <v>346</v>
      </c>
      <c r="F45" s="318" t="s">
        <v>611</v>
      </c>
      <c r="G45" s="319"/>
      <c r="H45" s="42"/>
      <c r="I45" s="41"/>
      <c r="J45" s="157">
        <v>16</v>
      </c>
      <c r="K45" s="320"/>
      <c r="L45" s="321"/>
      <c r="M45" s="322"/>
      <c r="N45" s="323"/>
      <c r="O45" s="324"/>
      <c r="P45" s="321"/>
      <c r="Q45" s="322"/>
      <c r="R45" s="323"/>
      <c r="S45" s="324">
        <v>8</v>
      </c>
      <c r="T45" s="321"/>
      <c r="U45" s="322">
        <v>8</v>
      </c>
      <c r="V45" s="325"/>
      <c r="W45" s="351">
        <v>16</v>
      </c>
      <c r="X45" s="352"/>
      <c r="Y45" s="448"/>
    </row>
    <row r="46" spans="2:28" ht="17.25" customHeight="1">
      <c r="B46" s="442"/>
      <c r="C46" s="443"/>
      <c r="D46" s="71" t="s">
        <v>153</v>
      </c>
      <c r="E46" s="72" t="s">
        <v>346</v>
      </c>
      <c r="F46" s="318" t="s">
        <v>613</v>
      </c>
      <c r="G46" s="319"/>
      <c r="H46" s="42"/>
      <c r="I46" s="41"/>
      <c r="J46" s="157">
        <v>20</v>
      </c>
      <c r="K46" s="320"/>
      <c r="L46" s="321"/>
      <c r="M46" s="322"/>
      <c r="N46" s="323"/>
      <c r="O46" s="324"/>
      <c r="P46" s="321"/>
      <c r="Q46" s="322"/>
      <c r="R46" s="323"/>
      <c r="S46" s="324">
        <v>10</v>
      </c>
      <c r="T46" s="321"/>
      <c r="U46" s="322">
        <v>10</v>
      </c>
      <c r="V46" s="325"/>
      <c r="W46" s="351">
        <v>20</v>
      </c>
      <c r="X46" s="352"/>
      <c r="Y46" s="448"/>
    </row>
    <row r="47" spans="2:28" ht="17.25" customHeight="1" thickBot="1">
      <c r="B47" s="442"/>
      <c r="C47" s="443"/>
      <c r="D47" s="77" t="s">
        <v>66</v>
      </c>
      <c r="E47" s="72" t="s">
        <v>345</v>
      </c>
      <c r="F47" s="318" t="s">
        <v>706</v>
      </c>
      <c r="G47" s="319"/>
      <c r="H47" s="42"/>
      <c r="I47" s="41"/>
      <c r="J47" s="157">
        <v>2</v>
      </c>
      <c r="K47" s="320"/>
      <c r="L47" s="321"/>
      <c r="M47" s="322"/>
      <c r="N47" s="326"/>
      <c r="O47" s="324"/>
      <c r="P47" s="321"/>
      <c r="Q47" s="322"/>
      <c r="R47" s="323"/>
      <c r="S47" s="326"/>
      <c r="T47" s="321"/>
      <c r="U47" s="322">
        <v>2</v>
      </c>
      <c r="V47" s="325"/>
      <c r="W47" s="351">
        <f t="shared" si="4"/>
        <v>2</v>
      </c>
      <c r="X47" s="352"/>
      <c r="Y47" s="448"/>
    </row>
    <row r="48" spans="2:28" ht="16.5" customHeight="1">
      <c r="B48" s="455" t="s">
        <v>568</v>
      </c>
      <c r="C48" s="316" t="s">
        <v>571</v>
      </c>
      <c r="D48" s="74" t="s">
        <v>153</v>
      </c>
      <c r="E48" s="76" t="s">
        <v>346</v>
      </c>
      <c r="F48" s="459" t="s">
        <v>614</v>
      </c>
      <c r="G48" s="460"/>
      <c r="H48" s="37"/>
      <c r="I48" s="145"/>
      <c r="J48" s="424" t="s">
        <v>593</v>
      </c>
      <c r="K48" s="378">
        <v>3</v>
      </c>
      <c r="L48" s="335"/>
      <c r="M48" s="332">
        <v>3</v>
      </c>
      <c r="N48" s="334"/>
      <c r="O48" s="336"/>
      <c r="P48" s="335"/>
      <c r="Q48" s="332"/>
      <c r="R48" s="333"/>
      <c r="S48" s="334"/>
      <c r="T48" s="335"/>
      <c r="U48" s="332"/>
      <c r="V48" s="337"/>
      <c r="W48" s="312">
        <f>SUM(K48:V50)</f>
        <v>28</v>
      </c>
      <c r="X48" s="313"/>
      <c r="Y48" s="448"/>
    </row>
    <row r="49" spans="2:29" ht="16.5" customHeight="1">
      <c r="B49" s="456"/>
      <c r="C49" s="317"/>
      <c r="D49" s="73" t="s">
        <v>153</v>
      </c>
      <c r="E49" s="189" t="s">
        <v>569</v>
      </c>
      <c r="F49" s="318" t="s">
        <v>583</v>
      </c>
      <c r="G49" s="319"/>
      <c r="H49" s="42"/>
      <c r="I49" s="148"/>
      <c r="J49" s="461"/>
      <c r="K49" s="320"/>
      <c r="L49" s="321"/>
      <c r="M49" s="322"/>
      <c r="N49" s="323"/>
      <c r="O49" s="324">
        <v>5</v>
      </c>
      <c r="P49" s="321"/>
      <c r="Q49" s="322">
        <v>5</v>
      </c>
      <c r="R49" s="323"/>
      <c r="S49" s="324"/>
      <c r="T49" s="321"/>
      <c r="U49" s="322"/>
      <c r="V49" s="325"/>
      <c r="W49" s="314"/>
      <c r="X49" s="315"/>
      <c r="Y49" s="448"/>
    </row>
    <row r="50" spans="2:29" ht="17.25" thickBot="1">
      <c r="B50" s="456"/>
      <c r="C50" s="317"/>
      <c r="D50" s="77" t="s">
        <v>153</v>
      </c>
      <c r="E50" s="189" t="s">
        <v>569</v>
      </c>
      <c r="F50" s="318" t="s">
        <v>615</v>
      </c>
      <c r="G50" s="319"/>
      <c r="H50" s="38"/>
      <c r="I50" s="148"/>
      <c r="J50" s="461"/>
      <c r="K50" s="320"/>
      <c r="L50" s="321"/>
      <c r="M50" s="322"/>
      <c r="N50" s="326"/>
      <c r="O50" s="324"/>
      <c r="P50" s="321"/>
      <c r="Q50" s="322"/>
      <c r="R50" s="323"/>
      <c r="S50" s="326">
        <v>6</v>
      </c>
      <c r="T50" s="321"/>
      <c r="U50" s="322">
        <v>6</v>
      </c>
      <c r="V50" s="325"/>
      <c r="W50" s="314"/>
      <c r="X50" s="315"/>
      <c r="Y50" s="448"/>
    </row>
    <row r="51" spans="2:29">
      <c r="B51" s="456"/>
      <c r="C51" s="457" t="s">
        <v>608</v>
      </c>
      <c r="D51" s="252" t="s">
        <v>72</v>
      </c>
      <c r="E51" s="78" t="s">
        <v>345</v>
      </c>
      <c r="F51" s="451" t="s">
        <v>616</v>
      </c>
      <c r="G51" s="452"/>
      <c r="H51" s="37"/>
      <c r="I51" s="147"/>
      <c r="J51" s="461"/>
      <c r="K51" s="378">
        <v>3</v>
      </c>
      <c r="L51" s="335"/>
      <c r="M51" s="332"/>
      <c r="N51" s="334"/>
      <c r="O51" s="336"/>
      <c r="P51" s="335"/>
      <c r="Q51" s="332"/>
      <c r="R51" s="333"/>
      <c r="S51" s="334"/>
      <c r="T51" s="335"/>
      <c r="U51" s="332"/>
      <c r="V51" s="337"/>
      <c r="W51" s="312">
        <f>SUM(K51:V55)</f>
        <v>28</v>
      </c>
      <c r="X51" s="313"/>
      <c r="Y51" s="448"/>
    </row>
    <row r="52" spans="2:29">
      <c r="B52" s="456"/>
      <c r="C52" s="458"/>
      <c r="D52" s="79" t="s">
        <v>72</v>
      </c>
      <c r="E52" s="72" t="s">
        <v>345</v>
      </c>
      <c r="F52" s="318" t="s">
        <v>617</v>
      </c>
      <c r="G52" s="319"/>
      <c r="H52" s="38"/>
      <c r="I52" s="148"/>
      <c r="J52" s="461"/>
      <c r="K52" s="320"/>
      <c r="L52" s="321"/>
      <c r="M52" s="322">
        <v>3</v>
      </c>
      <c r="N52" s="326"/>
      <c r="O52" s="324"/>
      <c r="P52" s="321"/>
      <c r="Q52" s="322"/>
      <c r="R52" s="323"/>
      <c r="S52" s="326"/>
      <c r="T52" s="321"/>
      <c r="U52" s="322"/>
      <c r="V52" s="325"/>
      <c r="W52" s="314"/>
      <c r="X52" s="315"/>
      <c r="Y52" s="448"/>
    </row>
    <row r="53" spans="2:29">
      <c r="B53" s="456"/>
      <c r="C53" s="458"/>
      <c r="D53" s="79" t="s">
        <v>72</v>
      </c>
      <c r="E53" s="191" t="s">
        <v>570</v>
      </c>
      <c r="F53" s="318" t="s">
        <v>618</v>
      </c>
      <c r="G53" s="319"/>
      <c r="H53" s="165"/>
      <c r="I53" s="166"/>
      <c r="J53" s="461"/>
      <c r="K53" s="320"/>
      <c r="L53" s="321"/>
      <c r="M53" s="322"/>
      <c r="N53" s="323"/>
      <c r="O53" s="324">
        <v>5</v>
      </c>
      <c r="P53" s="321"/>
      <c r="Q53" s="322"/>
      <c r="R53" s="323"/>
      <c r="S53" s="324"/>
      <c r="T53" s="321"/>
      <c r="U53" s="322"/>
      <c r="V53" s="325"/>
      <c r="W53" s="314"/>
      <c r="X53" s="315"/>
      <c r="Y53" s="448"/>
    </row>
    <row r="54" spans="2:29">
      <c r="B54" s="456"/>
      <c r="C54" s="458"/>
      <c r="D54" s="79" t="s">
        <v>72</v>
      </c>
      <c r="E54" s="191" t="s">
        <v>570</v>
      </c>
      <c r="F54" s="318" t="s">
        <v>619</v>
      </c>
      <c r="G54" s="319"/>
      <c r="H54" s="165"/>
      <c r="I54" s="166"/>
      <c r="J54" s="461"/>
      <c r="K54" s="320"/>
      <c r="L54" s="321"/>
      <c r="M54" s="322"/>
      <c r="N54" s="323"/>
      <c r="O54" s="324"/>
      <c r="P54" s="321"/>
      <c r="Q54" s="322">
        <v>5</v>
      </c>
      <c r="R54" s="323"/>
      <c r="S54" s="324"/>
      <c r="T54" s="321"/>
      <c r="U54" s="322"/>
      <c r="V54" s="325"/>
      <c r="W54" s="314"/>
      <c r="X54" s="315"/>
      <c r="Y54" s="448"/>
    </row>
    <row r="55" spans="2:29" ht="17.25" thickBot="1">
      <c r="B55" s="456"/>
      <c r="C55" s="458"/>
      <c r="D55" s="79" t="s">
        <v>72</v>
      </c>
      <c r="E55" s="164" t="s">
        <v>346</v>
      </c>
      <c r="F55" s="318" t="s">
        <v>620</v>
      </c>
      <c r="G55" s="319"/>
      <c r="H55" s="165"/>
      <c r="I55" s="166"/>
      <c r="J55" s="461"/>
      <c r="K55" s="320"/>
      <c r="L55" s="321"/>
      <c r="M55" s="322"/>
      <c r="N55" s="323"/>
      <c r="O55" s="324"/>
      <c r="P55" s="321"/>
      <c r="Q55" s="322"/>
      <c r="R55" s="323"/>
      <c r="S55" s="324">
        <v>6</v>
      </c>
      <c r="T55" s="321"/>
      <c r="U55" s="322">
        <v>6</v>
      </c>
      <c r="V55" s="325"/>
      <c r="W55" s="314"/>
      <c r="X55" s="315"/>
      <c r="Y55" s="448"/>
    </row>
    <row r="56" spans="2:29">
      <c r="B56" s="456"/>
      <c r="C56" s="457" t="s">
        <v>572</v>
      </c>
      <c r="D56" s="75" t="s">
        <v>347</v>
      </c>
      <c r="E56" s="78" t="s">
        <v>345</v>
      </c>
      <c r="F56" s="451" t="s">
        <v>509</v>
      </c>
      <c r="G56" s="452"/>
      <c r="H56" s="37"/>
      <c r="I56" s="145"/>
      <c r="J56" s="461"/>
      <c r="K56" s="378">
        <v>3</v>
      </c>
      <c r="L56" s="335"/>
      <c r="M56" s="332"/>
      <c r="N56" s="334"/>
      <c r="O56" s="336"/>
      <c r="P56" s="335"/>
      <c r="Q56" s="332"/>
      <c r="R56" s="333"/>
      <c r="S56" s="334"/>
      <c r="T56" s="335"/>
      <c r="U56" s="332"/>
      <c r="V56" s="337"/>
      <c r="W56" s="312">
        <f>SUM(K56:V59)</f>
        <v>28</v>
      </c>
      <c r="X56" s="313"/>
      <c r="Y56" s="448"/>
      <c r="AC56" s="43"/>
    </row>
    <row r="57" spans="2:29">
      <c r="B57" s="456"/>
      <c r="C57" s="458"/>
      <c r="D57" s="73" t="s">
        <v>347</v>
      </c>
      <c r="E57" s="72" t="s">
        <v>345</v>
      </c>
      <c r="F57" s="453" t="s">
        <v>510</v>
      </c>
      <c r="G57" s="454"/>
      <c r="H57" s="38"/>
      <c r="I57" s="146"/>
      <c r="J57" s="461"/>
      <c r="K57" s="320"/>
      <c r="L57" s="321"/>
      <c r="M57" s="322">
        <v>3</v>
      </c>
      <c r="N57" s="326"/>
      <c r="O57" s="324"/>
      <c r="P57" s="321"/>
      <c r="Q57" s="322"/>
      <c r="R57" s="323"/>
      <c r="S57" s="326"/>
      <c r="T57" s="321"/>
      <c r="U57" s="322"/>
      <c r="V57" s="325"/>
      <c r="W57" s="314"/>
      <c r="X57" s="315"/>
      <c r="Y57" s="448"/>
      <c r="AC57" s="43"/>
    </row>
    <row r="58" spans="2:29">
      <c r="B58" s="456"/>
      <c r="C58" s="458"/>
      <c r="D58" s="73" t="s">
        <v>347</v>
      </c>
      <c r="E58" s="164" t="s">
        <v>346</v>
      </c>
      <c r="F58" s="453" t="s">
        <v>600</v>
      </c>
      <c r="G58" s="454"/>
      <c r="H58" s="38"/>
      <c r="I58" s="146"/>
      <c r="J58" s="461"/>
      <c r="K58" s="320"/>
      <c r="L58" s="321"/>
      <c r="M58" s="322"/>
      <c r="N58" s="323"/>
      <c r="O58" s="324">
        <v>5</v>
      </c>
      <c r="P58" s="321"/>
      <c r="Q58" s="322">
        <v>5</v>
      </c>
      <c r="R58" s="323"/>
      <c r="S58" s="324"/>
      <c r="T58" s="321"/>
      <c r="U58" s="322"/>
      <c r="V58" s="325"/>
      <c r="W58" s="314"/>
      <c r="X58" s="315"/>
      <c r="Y58" s="448"/>
      <c r="AC58" s="144"/>
    </row>
    <row r="59" spans="2:29" ht="17.25" thickBot="1">
      <c r="B59" s="456"/>
      <c r="C59" s="458"/>
      <c r="D59" s="73" t="s">
        <v>347</v>
      </c>
      <c r="E59" s="164" t="s">
        <v>346</v>
      </c>
      <c r="F59" s="453" t="s">
        <v>511</v>
      </c>
      <c r="G59" s="454"/>
      <c r="H59" s="38"/>
      <c r="I59" s="146"/>
      <c r="J59" s="461"/>
      <c r="K59" s="320"/>
      <c r="L59" s="321"/>
      <c r="M59" s="322"/>
      <c r="N59" s="323"/>
      <c r="O59" s="324"/>
      <c r="P59" s="321"/>
      <c r="Q59" s="322"/>
      <c r="R59" s="323"/>
      <c r="S59" s="324">
        <v>6</v>
      </c>
      <c r="T59" s="321"/>
      <c r="U59" s="322">
        <v>6</v>
      </c>
      <c r="V59" s="325"/>
      <c r="W59" s="314"/>
      <c r="X59" s="315"/>
      <c r="Y59" s="448"/>
      <c r="AC59" s="144"/>
    </row>
    <row r="60" spans="2:29" ht="24.75" customHeight="1">
      <c r="B60" s="462" t="s">
        <v>351</v>
      </c>
      <c r="C60" s="496"/>
      <c r="D60" s="496"/>
      <c r="E60" s="496"/>
      <c r="F60" s="496"/>
      <c r="G60" s="463"/>
      <c r="H60" s="498">
        <f>SUM(H40:H47)</f>
        <v>0</v>
      </c>
      <c r="I60" s="500"/>
      <c r="J60" s="502">
        <f>SUM(J40:J59)</f>
        <v>65</v>
      </c>
      <c r="K60" s="462">
        <f>SUM(K40:L50)</f>
        <v>6</v>
      </c>
      <c r="L60" s="504"/>
      <c r="M60" s="506">
        <f>SUM(M40:N50)</f>
        <v>6</v>
      </c>
      <c r="N60" s="496"/>
      <c r="O60" s="508">
        <f>SUM(O40:P50)</f>
        <v>14</v>
      </c>
      <c r="P60" s="504"/>
      <c r="Q60" s="506">
        <f>SUM(Q40:R50)</f>
        <v>14</v>
      </c>
      <c r="R60" s="510"/>
      <c r="S60" s="496">
        <f>SUM(S40:T50)</f>
        <v>24</v>
      </c>
      <c r="T60" s="504"/>
      <c r="U60" s="506">
        <f>SUM(U40:V50)</f>
        <v>29</v>
      </c>
      <c r="V60" s="463"/>
      <c r="W60" s="462">
        <f>SUM(K60:V61)</f>
        <v>93</v>
      </c>
      <c r="X60" s="463"/>
      <c r="Y60" s="447">
        <f>SUM(Y40:Y51)</f>
        <v>80</v>
      </c>
      <c r="AC60" s="43"/>
    </row>
    <row r="61" spans="2:29" ht="17.25" thickBot="1">
      <c r="B61" s="464"/>
      <c r="C61" s="497"/>
      <c r="D61" s="497"/>
      <c r="E61" s="497"/>
      <c r="F61" s="497"/>
      <c r="G61" s="465"/>
      <c r="H61" s="499"/>
      <c r="I61" s="501"/>
      <c r="J61" s="503"/>
      <c r="K61" s="464"/>
      <c r="L61" s="505"/>
      <c r="M61" s="507"/>
      <c r="N61" s="497"/>
      <c r="O61" s="509"/>
      <c r="P61" s="505"/>
      <c r="Q61" s="507"/>
      <c r="R61" s="511"/>
      <c r="S61" s="497"/>
      <c r="T61" s="505"/>
      <c r="U61" s="507"/>
      <c r="V61" s="465"/>
      <c r="W61" s="464"/>
      <c r="X61" s="465"/>
      <c r="Y61" s="466"/>
      <c r="AC61" s="80"/>
    </row>
    <row r="62" spans="2:29" ht="17.25" customHeight="1" thickBot="1">
      <c r="B62" s="342"/>
      <c r="C62" s="487"/>
      <c r="D62" s="487"/>
      <c r="E62" s="487"/>
      <c r="F62" s="487"/>
      <c r="G62" s="467"/>
      <c r="H62" s="44">
        <f>SUM(H39,H60)</f>
        <v>105</v>
      </c>
      <c r="I62" s="14"/>
      <c r="J62" s="46">
        <f>SUM(J39,J60)</f>
        <v>146</v>
      </c>
      <c r="K62" s="342">
        <f>SUM(K39,K60)</f>
        <v>29</v>
      </c>
      <c r="L62" s="343"/>
      <c r="M62" s="436">
        <f>SUM(M39,M60)</f>
        <v>29</v>
      </c>
      <c r="N62" s="488"/>
      <c r="O62" s="489">
        <f>SUM(O39,O60)</f>
        <v>29</v>
      </c>
      <c r="P62" s="343"/>
      <c r="Q62" s="436">
        <f>SUM(Q39,Q60)</f>
        <v>29</v>
      </c>
      <c r="R62" s="488"/>
      <c r="S62" s="489">
        <f>SUM(S39,S60)</f>
        <v>29</v>
      </c>
      <c r="T62" s="343"/>
      <c r="U62" s="436">
        <f>SUM(U39,U60)</f>
        <v>29</v>
      </c>
      <c r="V62" s="467"/>
      <c r="W62" s="342">
        <f>SUM(K62:V62)</f>
        <v>174</v>
      </c>
      <c r="X62" s="467"/>
      <c r="Y62" s="11">
        <f>Y60+Y39</f>
        <v>144</v>
      </c>
      <c r="AA62" s="370" t="s">
        <v>150</v>
      </c>
      <c r="AB62" s="370"/>
    </row>
    <row r="63" spans="2:29" ht="18.75" customHeight="1" thickBot="1">
      <c r="B63" s="469" t="s">
        <v>352</v>
      </c>
      <c r="C63" s="470"/>
      <c r="D63" s="470"/>
      <c r="E63" s="471"/>
      <c r="F63" s="478" t="s">
        <v>348</v>
      </c>
      <c r="G63" s="479"/>
      <c r="H63" s="479"/>
      <c r="I63" s="479"/>
      <c r="J63" s="480"/>
      <c r="K63" s="378">
        <v>16</v>
      </c>
      <c r="L63" s="335"/>
      <c r="M63" s="332">
        <v>16</v>
      </c>
      <c r="N63" s="333"/>
      <c r="O63" s="336">
        <v>16</v>
      </c>
      <c r="P63" s="335"/>
      <c r="Q63" s="332">
        <v>16</v>
      </c>
      <c r="R63" s="333"/>
      <c r="S63" s="336">
        <v>16</v>
      </c>
      <c r="T63" s="335"/>
      <c r="U63" s="332">
        <v>16</v>
      </c>
      <c r="V63" s="337"/>
      <c r="W63" s="469">
        <f>SUM(K63:V65)</f>
        <v>288</v>
      </c>
      <c r="X63" s="471"/>
      <c r="Y63" s="447">
        <f>Y66*16</f>
        <v>288</v>
      </c>
      <c r="AA63" s="468"/>
      <c r="AB63" s="468"/>
    </row>
    <row r="64" spans="2:29" ht="17.25" customHeight="1" thickBot="1">
      <c r="B64" s="472"/>
      <c r="C64" s="473"/>
      <c r="D64" s="473"/>
      <c r="E64" s="474"/>
      <c r="F64" s="484" t="s">
        <v>63</v>
      </c>
      <c r="G64" s="485"/>
      <c r="H64" s="485"/>
      <c r="I64" s="485"/>
      <c r="J64" s="486"/>
      <c r="K64" s="320">
        <v>16</v>
      </c>
      <c r="L64" s="321"/>
      <c r="M64" s="322">
        <v>16</v>
      </c>
      <c r="N64" s="323"/>
      <c r="O64" s="324">
        <v>16</v>
      </c>
      <c r="P64" s="321"/>
      <c r="Q64" s="322">
        <v>16</v>
      </c>
      <c r="R64" s="323"/>
      <c r="S64" s="324">
        <v>16</v>
      </c>
      <c r="T64" s="321"/>
      <c r="U64" s="322">
        <v>16</v>
      </c>
      <c r="V64" s="325"/>
      <c r="W64" s="472"/>
      <c r="X64" s="474"/>
      <c r="Y64" s="448"/>
      <c r="AA64" s="438" t="b">
        <f>W62&gt;=Y62</f>
        <v>1</v>
      </c>
      <c r="AB64" s="439"/>
    </row>
    <row r="65" spans="2:28" ht="17.25" customHeight="1">
      <c r="B65" s="472"/>
      <c r="C65" s="473"/>
      <c r="D65" s="473"/>
      <c r="E65" s="474"/>
      <c r="F65" s="484" t="s">
        <v>11</v>
      </c>
      <c r="G65" s="485"/>
      <c r="H65" s="485"/>
      <c r="I65" s="485"/>
      <c r="J65" s="486"/>
      <c r="K65" s="320">
        <v>16</v>
      </c>
      <c r="L65" s="321"/>
      <c r="M65" s="322">
        <v>16</v>
      </c>
      <c r="N65" s="323"/>
      <c r="O65" s="324">
        <v>16</v>
      </c>
      <c r="P65" s="321"/>
      <c r="Q65" s="322">
        <v>16</v>
      </c>
      <c r="R65" s="323"/>
      <c r="S65" s="324">
        <v>16</v>
      </c>
      <c r="T65" s="321"/>
      <c r="U65" s="322">
        <v>16</v>
      </c>
      <c r="V65" s="325"/>
      <c r="W65" s="481"/>
      <c r="X65" s="482"/>
      <c r="Y65" s="483"/>
    </row>
    <row r="66" spans="2:28" ht="17.25" customHeight="1" thickBot="1">
      <c r="B66" s="475"/>
      <c r="C66" s="476"/>
      <c r="D66" s="476"/>
      <c r="E66" s="477"/>
      <c r="F66" s="492" t="s">
        <v>146</v>
      </c>
      <c r="G66" s="512"/>
      <c r="H66" s="512"/>
      <c r="I66" s="512"/>
      <c r="J66" s="493"/>
      <c r="K66" s="513">
        <v>3</v>
      </c>
      <c r="L66" s="514"/>
      <c r="M66" s="490">
        <v>3</v>
      </c>
      <c r="N66" s="515"/>
      <c r="O66" s="516">
        <v>3</v>
      </c>
      <c r="P66" s="514"/>
      <c r="Q66" s="490">
        <v>3</v>
      </c>
      <c r="R66" s="515"/>
      <c r="S66" s="516">
        <v>3</v>
      </c>
      <c r="T66" s="514"/>
      <c r="U66" s="490">
        <v>3</v>
      </c>
      <c r="V66" s="491"/>
      <c r="W66" s="492">
        <f>SUM(K66:V66)</f>
        <v>18</v>
      </c>
      <c r="X66" s="493"/>
      <c r="Y66" s="81">
        <v>18</v>
      </c>
      <c r="AA66" s="370" t="s">
        <v>151</v>
      </c>
      <c r="AB66" s="370"/>
    </row>
    <row r="67" spans="2:28" ht="17.25" customHeight="1" thickBot="1">
      <c r="B67" s="342"/>
      <c r="C67" s="487"/>
      <c r="D67" s="487"/>
      <c r="E67" s="487"/>
      <c r="F67" s="487"/>
      <c r="G67" s="487"/>
      <c r="H67" s="487"/>
      <c r="I67" s="487"/>
      <c r="J67" s="467"/>
      <c r="K67" s="342">
        <v>32</v>
      </c>
      <c r="L67" s="343"/>
      <c r="M67" s="436">
        <v>32</v>
      </c>
      <c r="N67" s="488"/>
      <c r="O67" s="489">
        <v>32</v>
      </c>
      <c r="P67" s="343"/>
      <c r="Q67" s="436">
        <v>32</v>
      </c>
      <c r="R67" s="488"/>
      <c r="S67" s="489">
        <v>32</v>
      </c>
      <c r="T67" s="343"/>
      <c r="U67" s="436">
        <v>32</v>
      </c>
      <c r="V67" s="467"/>
      <c r="W67" s="342">
        <f>SUM(K67:V67)</f>
        <v>192</v>
      </c>
      <c r="X67" s="467"/>
      <c r="Y67" s="47">
        <f>W67</f>
        <v>192</v>
      </c>
      <c r="AA67" s="438" t="b">
        <f>W66&gt;=Y66</f>
        <v>1</v>
      </c>
      <c r="AB67" s="439"/>
    </row>
    <row r="68" spans="2:28" ht="17.25" customHeight="1" thickBot="1">
      <c r="B68" s="342"/>
      <c r="C68" s="487"/>
      <c r="D68" s="487"/>
      <c r="E68" s="487"/>
      <c r="F68" s="487"/>
      <c r="G68" s="487"/>
      <c r="H68" s="487"/>
      <c r="I68" s="487"/>
      <c r="J68" s="467"/>
      <c r="K68" s="342">
        <f>SUM(K67:N67)</f>
        <v>64</v>
      </c>
      <c r="L68" s="487"/>
      <c r="M68" s="487"/>
      <c r="N68" s="488"/>
      <c r="O68" s="489">
        <f>SUM(O67:R67)</f>
        <v>64</v>
      </c>
      <c r="P68" s="487"/>
      <c r="Q68" s="487"/>
      <c r="R68" s="488"/>
      <c r="S68" s="489">
        <f>SUM(S67:V67)</f>
        <v>64</v>
      </c>
      <c r="T68" s="487"/>
      <c r="U68" s="487"/>
      <c r="V68" s="467"/>
      <c r="W68" s="342">
        <f>SUM(K68:V68)</f>
        <v>192</v>
      </c>
      <c r="X68" s="467"/>
      <c r="Y68" s="11"/>
      <c r="AA68" s="370" t="s">
        <v>149</v>
      </c>
      <c r="AB68" s="370"/>
    </row>
    <row r="69" spans="2:28" ht="17.25" customHeight="1" thickBot="1">
      <c r="AA69" s="438" t="b">
        <f>W67&gt;=Y67</f>
        <v>1</v>
      </c>
      <c r="AB69" s="439"/>
    </row>
    <row r="70" spans="2:28" ht="17.25" customHeight="1"/>
    <row r="71" spans="2:28" ht="17.25" customHeight="1"/>
    <row r="72" spans="2:28" ht="17.25" customHeight="1"/>
    <row r="74" spans="2:28" ht="24.95" customHeight="1"/>
    <row r="75" spans="2:28" ht="24.95" customHeight="1"/>
    <row r="76" spans="2:28" ht="32.25" customHeight="1"/>
    <row r="77" spans="2:28" ht="24.95" customHeight="1"/>
    <row r="79" spans="2:28" ht="16.5" customHeight="1"/>
    <row r="80" spans="2:28" ht="17.2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244.5" customHeight="1"/>
  </sheetData>
  <mergeCells count="517">
    <mergeCell ref="F45:G45"/>
    <mergeCell ref="K45:L45"/>
    <mergeCell ref="M45:N45"/>
    <mergeCell ref="O45:P45"/>
    <mergeCell ref="Q45:R45"/>
    <mergeCell ref="S45:T45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3:G43"/>
    <mergeCell ref="K43:L43"/>
    <mergeCell ref="M43:N43"/>
    <mergeCell ref="O43:P43"/>
    <mergeCell ref="Q43:R43"/>
    <mergeCell ref="S43:T43"/>
    <mergeCell ref="U43:V43"/>
    <mergeCell ref="W43:X43"/>
    <mergeCell ref="K12:L12"/>
    <mergeCell ref="M12:N12"/>
    <mergeCell ref="O12:P12"/>
    <mergeCell ref="S12:T12"/>
    <mergeCell ref="U12:V12"/>
    <mergeCell ref="F12:G12"/>
    <mergeCell ref="Q12:R12"/>
    <mergeCell ref="Q20:R20"/>
    <mergeCell ref="S20:T20"/>
    <mergeCell ref="U20:V20"/>
    <mergeCell ref="F35:G35"/>
    <mergeCell ref="F36:G36"/>
    <mergeCell ref="K35:L35"/>
    <mergeCell ref="M35:N35"/>
    <mergeCell ref="B39:G39"/>
    <mergeCell ref="K39:L39"/>
    <mergeCell ref="AB17:AD17"/>
    <mergeCell ref="AA8:AD8"/>
    <mergeCell ref="F11:G11"/>
    <mergeCell ref="Y33:Y36"/>
    <mergeCell ref="X33:X36"/>
    <mergeCell ref="O35:P35"/>
    <mergeCell ref="Q35:R35"/>
    <mergeCell ref="S35:T35"/>
    <mergeCell ref="S36:T36"/>
    <mergeCell ref="K36:L36"/>
    <mergeCell ref="M36:N36"/>
    <mergeCell ref="O36:P36"/>
    <mergeCell ref="Q36:R36"/>
    <mergeCell ref="U36:V36"/>
    <mergeCell ref="U35:V35"/>
    <mergeCell ref="F27:G27"/>
    <mergeCell ref="K27:L27"/>
    <mergeCell ref="F33:G33"/>
    <mergeCell ref="K33:L33"/>
    <mergeCell ref="F34:G34"/>
    <mergeCell ref="K34:L34"/>
    <mergeCell ref="U33:V33"/>
    <mergeCell ref="U34:V34"/>
    <mergeCell ref="X18:X21"/>
    <mergeCell ref="AC4:AC5"/>
    <mergeCell ref="AD3:AD5"/>
    <mergeCell ref="F16:G16"/>
    <mergeCell ref="K16:L16"/>
    <mergeCell ref="M16:N16"/>
    <mergeCell ref="O16:P16"/>
    <mergeCell ref="Q16:R16"/>
    <mergeCell ref="S16:T16"/>
    <mergeCell ref="U16:V16"/>
    <mergeCell ref="K11:L11"/>
    <mergeCell ref="M11:N11"/>
    <mergeCell ref="O11:P11"/>
    <mergeCell ref="Q11:R11"/>
    <mergeCell ref="S11:T11"/>
    <mergeCell ref="U11:V11"/>
    <mergeCell ref="X14:X17"/>
    <mergeCell ref="F15:G15"/>
    <mergeCell ref="K15:L15"/>
    <mergeCell ref="F17:G17"/>
    <mergeCell ref="K17:L17"/>
    <mergeCell ref="X9:X13"/>
    <mergeCell ref="O9:P9"/>
    <mergeCell ref="Q9:R9"/>
    <mergeCell ref="S9:T9"/>
    <mergeCell ref="D40:E40"/>
    <mergeCell ref="B68:J68"/>
    <mergeCell ref="K68:N68"/>
    <mergeCell ref="O68:R68"/>
    <mergeCell ref="S68:V68"/>
    <mergeCell ref="S64:T64"/>
    <mergeCell ref="U64:V64"/>
    <mergeCell ref="B60:G61"/>
    <mergeCell ref="H60:H61"/>
    <mergeCell ref="I60:I61"/>
    <mergeCell ref="J60:J61"/>
    <mergeCell ref="K60:L61"/>
    <mergeCell ref="M60:N61"/>
    <mergeCell ref="O60:P61"/>
    <mergeCell ref="Q60:R61"/>
    <mergeCell ref="S60:T61"/>
    <mergeCell ref="U60:V61"/>
    <mergeCell ref="U56:V56"/>
    <mergeCell ref="F66:J66"/>
    <mergeCell ref="K66:L66"/>
    <mergeCell ref="M66:N66"/>
    <mergeCell ref="O66:P66"/>
    <mergeCell ref="Q66:R66"/>
    <mergeCell ref="S66:T66"/>
    <mergeCell ref="U66:V66"/>
    <mergeCell ref="W66:X66"/>
    <mergeCell ref="AA66:AB66"/>
    <mergeCell ref="AA64:AB64"/>
    <mergeCell ref="F65:J65"/>
    <mergeCell ref="K65:L65"/>
    <mergeCell ref="M65:N65"/>
    <mergeCell ref="K62:L62"/>
    <mergeCell ref="M62:N62"/>
    <mergeCell ref="O62:P62"/>
    <mergeCell ref="Q62:R62"/>
    <mergeCell ref="S62:T62"/>
    <mergeCell ref="U62:V62"/>
    <mergeCell ref="AA69:AB69"/>
    <mergeCell ref="B67:J67"/>
    <mergeCell ref="K67:L67"/>
    <mergeCell ref="M67:N67"/>
    <mergeCell ref="O67:P67"/>
    <mergeCell ref="Q67:R67"/>
    <mergeCell ref="S67:T67"/>
    <mergeCell ref="U67:V67"/>
    <mergeCell ref="W67:X67"/>
    <mergeCell ref="AA67:AB67"/>
    <mergeCell ref="W68:X68"/>
    <mergeCell ref="AA68:AB68"/>
    <mergeCell ref="W60:X61"/>
    <mergeCell ref="Y60:Y61"/>
    <mergeCell ref="W62:X62"/>
    <mergeCell ref="AA62:AB63"/>
    <mergeCell ref="B63:E66"/>
    <mergeCell ref="F63:J63"/>
    <mergeCell ref="K63:L63"/>
    <mergeCell ref="M63:N63"/>
    <mergeCell ref="O63:P63"/>
    <mergeCell ref="Q63:R63"/>
    <mergeCell ref="S63:T63"/>
    <mergeCell ref="U63:V63"/>
    <mergeCell ref="W63:X65"/>
    <mergeCell ref="Y63:Y65"/>
    <mergeCell ref="F64:J64"/>
    <mergeCell ref="K64:L64"/>
    <mergeCell ref="M64:N64"/>
    <mergeCell ref="O64:P64"/>
    <mergeCell ref="Q64:R64"/>
    <mergeCell ref="O65:P65"/>
    <mergeCell ref="Q65:R65"/>
    <mergeCell ref="S65:T65"/>
    <mergeCell ref="U65:V65"/>
    <mergeCell ref="B62:G62"/>
    <mergeCell ref="B48:B59"/>
    <mergeCell ref="U50:V50"/>
    <mergeCell ref="C51:C55"/>
    <mergeCell ref="F51:G51"/>
    <mergeCell ref="K51:L51"/>
    <mergeCell ref="W51:X55"/>
    <mergeCell ref="F52:G52"/>
    <mergeCell ref="K52:L52"/>
    <mergeCell ref="F48:G48"/>
    <mergeCell ref="J48:J59"/>
    <mergeCell ref="K48:L48"/>
    <mergeCell ref="M48:N48"/>
    <mergeCell ref="C56:C59"/>
    <mergeCell ref="F57:G57"/>
    <mergeCell ref="K57:L57"/>
    <mergeCell ref="F49:G49"/>
    <mergeCell ref="K49:L49"/>
    <mergeCell ref="M49:N49"/>
    <mergeCell ref="W56:X59"/>
    <mergeCell ref="F50:G50"/>
    <mergeCell ref="K50:L50"/>
    <mergeCell ref="M50:N50"/>
    <mergeCell ref="O50:P50"/>
    <mergeCell ref="Q50:R50"/>
    <mergeCell ref="F56:G56"/>
    <mergeCell ref="K56:L56"/>
    <mergeCell ref="M52:N52"/>
    <mergeCell ref="Q52:R52"/>
    <mergeCell ref="O56:P56"/>
    <mergeCell ref="M51:N51"/>
    <mergeCell ref="F58:G58"/>
    <mergeCell ref="K58:L58"/>
    <mergeCell ref="F59:G59"/>
    <mergeCell ref="O53:P53"/>
    <mergeCell ref="Q53:R53"/>
    <mergeCell ref="K59:L59"/>
    <mergeCell ref="M59:N59"/>
    <mergeCell ref="M58:N58"/>
    <mergeCell ref="O58:P58"/>
    <mergeCell ref="O59:P59"/>
    <mergeCell ref="Q59:R59"/>
    <mergeCell ref="Q58:R58"/>
    <mergeCell ref="K55:L55"/>
    <mergeCell ref="M54:N54"/>
    <mergeCell ref="M55:N55"/>
    <mergeCell ref="AA39:AB39"/>
    <mergeCell ref="B40:C47"/>
    <mergeCell ref="F40:G40"/>
    <mergeCell ref="K40:L40"/>
    <mergeCell ref="Y40:Y59"/>
    <mergeCell ref="F41:G41"/>
    <mergeCell ref="K41:L41"/>
    <mergeCell ref="F42:G42"/>
    <mergeCell ref="K42:L42"/>
    <mergeCell ref="F44:G44"/>
    <mergeCell ref="K44:L44"/>
    <mergeCell ref="F47:G47"/>
    <mergeCell ref="K47:L47"/>
    <mergeCell ref="S52:T52"/>
    <mergeCell ref="U52:V52"/>
    <mergeCell ref="S48:T48"/>
    <mergeCell ref="U48:V48"/>
    <mergeCell ref="O48:P48"/>
    <mergeCell ref="U47:V47"/>
    <mergeCell ref="U42:V42"/>
    <mergeCell ref="M56:N56"/>
    <mergeCell ref="M57:N57"/>
    <mergeCell ref="O57:P57"/>
    <mergeCell ref="Q57:R57"/>
    <mergeCell ref="D37:D38"/>
    <mergeCell ref="F37:G37"/>
    <mergeCell ref="K37:L37"/>
    <mergeCell ref="M33:N33"/>
    <mergeCell ref="O33:P33"/>
    <mergeCell ref="Q33:R33"/>
    <mergeCell ref="S33:T33"/>
    <mergeCell ref="D33:D36"/>
    <mergeCell ref="Q48:R48"/>
    <mergeCell ref="M42:N42"/>
    <mergeCell ref="M44:N44"/>
    <mergeCell ref="O42:P42"/>
    <mergeCell ref="O44:P44"/>
    <mergeCell ref="S42:T42"/>
    <mergeCell ref="O41:P41"/>
    <mergeCell ref="F38:G38"/>
    <mergeCell ref="K38:L38"/>
    <mergeCell ref="O34:P34"/>
    <mergeCell ref="Q34:R34"/>
    <mergeCell ref="S34:T34"/>
    <mergeCell ref="M34:N34"/>
    <mergeCell ref="M38:N38"/>
    <mergeCell ref="M39:N39"/>
    <mergeCell ref="O39:P39"/>
    <mergeCell ref="D28:D32"/>
    <mergeCell ref="F28:G28"/>
    <mergeCell ref="K28:L28"/>
    <mergeCell ref="X28:X32"/>
    <mergeCell ref="F29:G29"/>
    <mergeCell ref="K29:L29"/>
    <mergeCell ref="F30:G30"/>
    <mergeCell ref="K30:L30"/>
    <mergeCell ref="F31:G31"/>
    <mergeCell ref="K31:L31"/>
    <mergeCell ref="F32:G32"/>
    <mergeCell ref="K32:L32"/>
    <mergeCell ref="O30:P30"/>
    <mergeCell ref="Q30:R30"/>
    <mergeCell ref="S30:T30"/>
    <mergeCell ref="U30:V30"/>
    <mergeCell ref="M28:N28"/>
    <mergeCell ref="O28:P28"/>
    <mergeCell ref="Q28:R28"/>
    <mergeCell ref="S28:T28"/>
    <mergeCell ref="U28:V28"/>
    <mergeCell ref="M29:N29"/>
    <mergeCell ref="M30:N30"/>
    <mergeCell ref="M32:N32"/>
    <mergeCell ref="F19:G19"/>
    <mergeCell ref="K19:L19"/>
    <mergeCell ref="F21:G21"/>
    <mergeCell ref="K21:L21"/>
    <mergeCell ref="D22:D25"/>
    <mergeCell ref="F22:G22"/>
    <mergeCell ref="K22:L22"/>
    <mergeCell ref="X22:X23"/>
    <mergeCell ref="F23:G23"/>
    <mergeCell ref="K23:L23"/>
    <mergeCell ref="F24:G24"/>
    <mergeCell ref="K24:L24"/>
    <mergeCell ref="X24:X25"/>
    <mergeCell ref="F25:G25"/>
    <mergeCell ref="K25:L25"/>
    <mergeCell ref="U23:V23"/>
    <mergeCell ref="M23:N23"/>
    <mergeCell ref="O23:P23"/>
    <mergeCell ref="S23:T23"/>
    <mergeCell ref="F20:G20"/>
    <mergeCell ref="K20:L20"/>
    <mergeCell ref="M20:N20"/>
    <mergeCell ref="O20:P20"/>
    <mergeCell ref="S19:T19"/>
    <mergeCell ref="M14:N14"/>
    <mergeCell ref="O14:P14"/>
    <mergeCell ref="Q14:R14"/>
    <mergeCell ref="S14:T14"/>
    <mergeCell ref="U14:V14"/>
    <mergeCell ref="U10:V10"/>
    <mergeCell ref="M13:N13"/>
    <mergeCell ref="O13:P13"/>
    <mergeCell ref="Q13:R13"/>
    <mergeCell ref="S13:T13"/>
    <mergeCell ref="U13:V13"/>
    <mergeCell ref="M17:N17"/>
    <mergeCell ref="O17:P17"/>
    <mergeCell ref="Q17:R17"/>
    <mergeCell ref="S17:T17"/>
    <mergeCell ref="U17:V17"/>
    <mergeCell ref="M15:N15"/>
    <mergeCell ref="O15:P15"/>
    <mergeCell ref="Q15:R15"/>
    <mergeCell ref="S15:T15"/>
    <mergeCell ref="C5:E5"/>
    <mergeCell ref="F5:G5"/>
    <mergeCell ref="H5:J5"/>
    <mergeCell ref="K5:O5"/>
    <mergeCell ref="P5:S5"/>
    <mergeCell ref="T5:V5"/>
    <mergeCell ref="W5:Y5"/>
    <mergeCell ref="U6:Y6"/>
    <mergeCell ref="B7:C8"/>
    <mergeCell ref="D7:D8"/>
    <mergeCell ref="E7:G7"/>
    <mergeCell ref="H7:H8"/>
    <mergeCell ref="K7:N7"/>
    <mergeCell ref="O7:R7"/>
    <mergeCell ref="S7:V7"/>
    <mergeCell ref="W7:X8"/>
    <mergeCell ref="Y7:Y8"/>
    <mergeCell ref="F8:G8"/>
    <mergeCell ref="K8:L8"/>
    <mergeCell ref="I7:I8"/>
    <mergeCell ref="J7:J8"/>
    <mergeCell ref="M8:N8"/>
    <mergeCell ref="O8:P8"/>
    <mergeCell ref="Q8:R8"/>
    <mergeCell ref="B3:B4"/>
    <mergeCell ref="C3:E4"/>
    <mergeCell ref="F3:G4"/>
    <mergeCell ref="H3:J4"/>
    <mergeCell ref="K3:O4"/>
    <mergeCell ref="P3:Y3"/>
    <mergeCell ref="P4:S4"/>
    <mergeCell ref="T4:V4"/>
    <mergeCell ref="W4:Y4"/>
    <mergeCell ref="B9:C38"/>
    <mergeCell ref="D9:D13"/>
    <mergeCell ref="F9:G9"/>
    <mergeCell ref="K9:L9"/>
    <mergeCell ref="F10:G10"/>
    <mergeCell ref="K10:L10"/>
    <mergeCell ref="M27:N27"/>
    <mergeCell ref="O27:P27"/>
    <mergeCell ref="Q27:R27"/>
    <mergeCell ref="M26:N26"/>
    <mergeCell ref="O26:P26"/>
    <mergeCell ref="Q26:R26"/>
    <mergeCell ref="Q23:R23"/>
    <mergeCell ref="F13:G13"/>
    <mergeCell ref="K13:L13"/>
    <mergeCell ref="D14:D17"/>
    <mergeCell ref="F14:G14"/>
    <mergeCell ref="K14:L14"/>
    <mergeCell ref="D18:D21"/>
    <mergeCell ref="F18:G18"/>
    <mergeCell ref="K18:L18"/>
    <mergeCell ref="D26:D27"/>
    <mergeCell ref="F26:G26"/>
    <mergeCell ref="K26:L26"/>
    <mergeCell ref="U19:V19"/>
    <mergeCell ref="M18:N18"/>
    <mergeCell ref="O18:P18"/>
    <mergeCell ref="Q18:R18"/>
    <mergeCell ref="S18:T18"/>
    <mergeCell ref="U18:V18"/>
    <mergeCell ref="M9:N9"/>
    <mergeCell ref="Y24:Y27"/>
    <mergeCell ref="M25:N25"/>
    <mergeCell ref="O25:P25"/>
    <mergeCell ref="Q25:R25"/>
    <mergeCell ref="S25:T25"/>
    <mergeCell ref="U25:V25"/>
    <mergeCell ref="M24:N24"/>
    <mergeCell ref="O24:P24"/>
    <mergeCell ref="Q24:R24"/>
    <mergeCell ref="S24:T24"/>
    <mergeCell ref="U24:V24"/>
    <mergeCell ref="S26:T26"/>
    <mergeCell ref="U26:V26"/>
    <mergeCell ref="S27:T27"/>
    <mergeCell ref="U27:V27"/>
    <mergeCell ref="X26:X27"/>
    <mergeCell ref="U9:V9"/>
    <mergeCell ref="AA2:AA5"/>
    <mergeCell ref="W47:X47"/>
    <mergeCell ref="M47:N47"/>
    <mergeCell ref="O47:P47"/>
    <mergeCell ref="Q37:R37"/>
    <mergeCell ref="Q38:R38"/>
    <mergeCell ref="S37:T37"/>
    <mergeCell ref="S38:T38"/>
    <mergeCell ref="U37:V37"/>
    <mergeCell ref="U38:V38"/>
    <mergeCell ref="U15:V15"/>
    <mergeCell ref="M10:N10"/>
    <mergeCell ref="O10:P10"/>
    <mergeCell ref="S8:T8"/>
    <mergeCell ref="U8:V8"/>
    <mergeCell ref="Q10:R10"/>
    <mergeCell ref="S10:T10"/>
    <mergeCell ref="M41:N41"/>
    <mergeCell ref="U41:V41"/>
    <mergeCell ref="O29:P29"/>
    <mergeCell ref="Q29:R29"/>
    <mergeCell ref="Y22:Y23"/>
    <mergeCell ref="AA23:AB23"/>
    <mergeCell ref="M22:N22"/>
    <mergeCell ref="W44:X44"/>
    <mergeCell ref="W41:X41"/>
    <mergeCell ref="Q41:R41"/>
    <mergeCell ref="W42:X42"/>
    <mergeCell ref="Q42:R42"/>
    <mergeCell ref="Q44:R44"/>
    <mergeCell ref="S44:T44"/>
    <mergeCell ref="U44:V44"/>
    <mergeCell ref="X2:Y2"/>
    <mergeCell ref="B2:U2"/>
    <mergeCell ref="V2:W2"/>
    <mergeCell ref="O22:P22"/>
    <mergeCell ref="Q22:R22"/>
    <mergeCell ref="S22:T22"/>
    <mergeCell ref="U22:V22"/>
    <mergeCell ref="M21:N21"/>
    <mergeCell ref="O21:P21"/>
    <mergeCell ref="Q21:R21"/>
    <mergeCell ref="S21:T21"/>
    <mergeCell ref="U21:V21"/>
    <mergeCell ref="Y9:Y21"/>
    <mergeCell ref="M19:N19"/>
    <mergeCell ref="O19:P19"/>
    <mergeCell ref="Q19:R19"/>
    <mergeCell ref="M31:N31"/>
    <mergeCell ref="O31:P31"/>
    <mergeCell ref="Q31:R31"/>
    <mergeCell ref="Y28:Y32"/>
    <mergeCell ref="M37:N37"/>
    <mergeCell ref="S31:T31"/>
    <mergeCell ref="U31:V31"/>
    <mergeCell ref="Y37:Y38"/>
    <mergeCell ref="S29:T29"/>
    <mergeCell ref="U29:V29"/>
    <mergeCell ref="W40:X40"/>
    <mergeCell ref="O37:P37"/>
    <mergeCell ref="U39:V39"/>
    <mergeCell ref="W39:X39"/>
    <mergeCell ref="Q39:R39"/>
    <mergeCell ref="S39:T39"/>
    <mergeCell ref="W37:X38"/>
    <mergeCell ref="O32:P32"/>
    <mergeCell ref="Q32:R32"/>
    <mergeCell ref="S32:T32"/>
    <mergeCell ref="U32:V32"/>
    <mergeCell ref="O38:P38"/>
    <mergeCell ref="M40:N40"/>
    <mergeCell ref="O40:P40"/>
    <mergeCell ref="Q40:R40"/>
    <mergeCell ref="S40:T40"/>
    <mergeCell ref="U40:V40"/>
    <mergeCell ref="S41:T41"/>
    <mergeCell ref="U58:V58"/>
    <mergeCell ref="U59:V59"/>
    <mergeCell ref="S59:T59"/>
    <mergeCell ref="S58:T58"/>
    <mergeCell ref="Q47:R47"/>
    <mergeCell ref="S47:T47"/>
    <mergeCell ref="S57:T57"/>
    <mergeCell ref="U57:V57"/>
    <mergeCell ref="Q56:R56"/>
    <mergeCell ref="S56:T56"/>
    <mergeCell ref="S49:T49"/>
    <mergeCell ref="U49:V49"/>
    <mergeCell ref="O52:P52"/>
    <mergeCell ref="O51:P51"/>
    <mergeCell ref="Q51:R51"/>
    <mergeCell ref="S51:T51"/>
    <mergeCell ref="U51:V51"/>
    <mergeCell ref="O49:P49"/>
    <mergeCell ref="W48:X50"/>
    <mergeCell ref="C48:C50"/>
    <mergeCell ref="F53:G53"/>
    <mergeCell ref="F54:G54"/>
    <mergeCell ref="F55:G55"/>
    <mergeCell ref="K53:L53"/>
    <mergeCell ref="M53:N53"/>
    <mergeCell ref="S53:T53"/>
    <mergeCell ref="U53:V53"/>
    <mergeCell ref="U54:V54"/>
    <mergeCell ref="U55:V55"/>
    <mergeCell ref="S55:T55"/>
    <mergeCell ref="S54:T54"/>
    <mergeCell ref="Q54:R54"/>
    <mergeCell ref="Q55:R55"/>
    <mergeCell ref="O55:P55"/>
    <mergeCell ref="O54:P54"/>
    <mergeCell ref="K54:L54"/>
    <mergeCell ref="Q49:R49"/>
    <mergeCell ref="S50:T50"/>
  </mergeCells>
  <phoneticPr fontId="9" type="noConversion"/>
  <conditionalFormatting sqref="AA39:AB39 AC61 AA64:AB64 AA67:AB67 AA69:AB69">
    <cfRule type="containsText" dxfId="2" priority="1" operator="containsText" text="FALSE">
      <formula>NOT(ISERROR(SEARCH("FALSE",AA39)))</formula>
    </cfRule>
  </conditionalFormatting>
  <dataValidations count="1">
    <dataValidation type="list" allowBlank="1" showInputMessage="1" showErrorMessage="1" sqref="D51:D55" xr:uid="{9C6BA0C6-DE85-453E-9CD6-3ED05765785D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60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13749EF-2DBF-4A58-A5FA-C327F91AFEF0}">
          <x14:formula1>
            <xm:f>삭제금지!$H$2:$H$18</xm:f>
          </x14:formula1>
          <xm:sqref>B5</xm:sqref>
        </x14:dataValidation>
        <x14:dataValidation type="list" allowBlank="1" showInputMessage="1" showErrorMessage="1" xr:uid="{A1FA711F-4BCD-4570-AB57-78C14C1C3F27}">
          <x14:formula1>
            <xm:f>삭제금지!$L$2:$L$4</xm:f>
          </x14:formula1>
          <xm:sqref>T5:V5</xm:sqref>
        </x14:dataValidation>
        <x14:dataValidation type="list" allowBlank="1" showInputMessage="1" showErrorMessage="1" xr:uid="{00C85D30-DC56-42A7-B90D-4A6337879662}">
          <x14:formula1>
            <xm:f>삭제금지!$K$2:$K$59</xm:f>
          </x14:formula1>
          <xm:sqref>K5:O5</xm:sqref>
        </x14:dataValidation>
        <x14:dataValidation type="list" allowBlank="1" showInputMessage="1" showErrorMessage="1" xr:uid="{19439246-B3F5-4180-9CDB-41A19D34EA1E}">
          <x14:formula1>
            <xm:f>삭제금지!$I$2:$I$18</xm:f>
          </x14:formula1>
          <xm:sqref>F5:G5</xm:sqref>
        </x14:dataValidation>
        <x14:dataValidation type="list" allowBlank="1" showInputMessage="1" showErrorMessage="1" xr:uid="{C27BB231-7DC0-49A2-8365-F18C42D609A6}">
          <x14:formula1>
            <xm:f>삭제금지!$J$2:$J$59</xm:f>
          </x14:formula1>
          <xm:sqref>H5:J5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2:AI42"/>
  <sheetViews>
    <sheetView showGridLines="0" topLeftCell="A6" zoomScale="85" zoomScaleNormal="85" zoomScaleSheetLayoutView="90" workbookViewId="0">
      <selection activeCell="K17" sqref="K17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5" ht="39.75" customHeight="1" thickBot="1">
      <c r="B2" s="569" t="s">
        <v>147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2:35" ht="27" customHeight="1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570" t="s">
        <v>129</v>
      </c>
      <c r="O3" s="571"/>
      <c r="P3" s="572"/>
      <c r="Q3" s="573" t="s">
        <v>127</v>
      </c>
      <c r="R3" s="571"/>
      <c r="S3" s="574"/>
      <c r="T3" s="575" t="s">
        <v>130</v>
      </c>
      <c r="U3" s="576"/>
    </row>
    <row r="4" spans="2:35" ht="27" customHeight="1" thickBo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577" t="s">
        <v>601</v>
      </c>
      <c r="O4" s="578"/>
      <c r="P4" s="579"/>
      <c r="Q4" s="580" t="s">
        <v>492</v>
      </c>
      <c r="R4" s="581"/>
      <c r="S4" s="582"/>
      <c r="T4" s="580">
        <v>2027</v>
      </c>
      <c r="U4" s="583"/>
      <c r="W4" s="244"/>
      <c r="X4" s="244"/>
      <c r="Y4" s="244"/>
      <c r="Z4" s="244"/>
      <c r="AA4" s="244"/>
      <c r="AB4" s="244"/>
      <c r="AC4" s="244"/>
      <c r="AD4" s="244"/>
      <c r="AE4" s="244"/>
      <c r="AF4" s="244"/>
      <c r="AG4" s="244"/>
      <c r="AH4" s="244"/>
      <c r="AI4" s="244"/>
    </row>
    <row r="5" spans="2:35" ht="24" customHeight="1" thickBot="1">
      <c r="B5" s="584"/>
      <c r="C5" s="584"/>
      <c r="W5" s="244"/>
      <c r="X5" s="244"/>
      <c r="Y5" s="244"/>
      <c r="Z5" s="244"/>
      <c r="AA5" s="244"/>
      <c r="AB5" s="244"/>
      <c r="AC5" s="244"/>
      <c r="AD5" s="244"/>
      <c r="AE5" s="244"/>
      <c r="AF5" s="244"/>
      <c r="AG5" s="244"/>
      <c r="AH5" s="244"/>
      <c r="AI5" s="244"/>
    </row>
    <row r="6" spans="2:35" ht="20.25" customHeight="1">
      <c r="B6" s="585" t="s">
        <v>13</v>
      </c>
      <c r="C6" s="588" t="s">
        <v>138</v>
      </c>
      <c r="D6" s="552" t="s">
        <v>14</v>
      </c>
      <c r="E6" s="552" t="s">
        <v>15</v>
      </c>
      <c r="F6" s="552" t="s">
        <v>139</v>
      </c>
      <c r="G6" s="552" t="s">
        <v>140</v>
      </c>
      <c r="H6" s="555" t="s">
        <v>58</v>
      </c>
      <c r="I6" s="555"/>
      <c r="J6" s="555"/>
      <c r="K6" s="555"/>
      <c r="L6" s="555" t="s">
        <v>59</v>
      </c>
      <c r="M6" s="555"/>
      <c r="N6" s="555"/>
      <c r="O6" s="555"/>
      <c r="P6" s="555" t="s">
        <v>60</v>
      </c>
      <c r="Q6" s="555"/>
      <c r="R6" s="555"/>
      <c r="S6" s="555"/>
      <c r="T6" s="561" t="s">
        <v>137</v>
      </c>
      <c r="U6" s="556" t="s">
        <v>126</v>
      </c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12"/>
      <c r="AH6" s="244"/>
      <c r="AI6" s="244"/>
    </row>
    <row r="7" spans="2:35" ht="16.5" customHeight="1">
      <c r="B7" s="586"/>
      <c r="C7" s="589"/>
      <c r="D7" s="553"/>
      <c r="E7" s="553"/>
      <c r="F7" s="553"/>
      <c r="G7" s="553"/>
      <c r="H7" s="560" t="s">
        <v>124</v>
      </c>
      <c r="I7" s="560"/>
      <c r="J7" s="560" t="s">
        <v>62</v>
      </c>
      <c r="K7" s="560"/>
      <c r="L7" s="560" t="s">
        <v>124</v>
      </c>
      <c r="M7" s="560"/>
      <c r="N7" s="560" t="s">
        <v>62</v>
      </c>
      <c r="O7" s="560"/>
      <c r="P7" s="560" t="s">
        <v>124</v>
      </c>
      <c r="Q7" s="560"/>
      <c r="R7" s="560" t="s">
        <v>62</v>
      </c>
      <c r="S7" s="560"/>
      <c r="T7" s="562"/>
      <c r="U7" s="557"/>
      <c r="W7" s="551"/>
      <c r="X7" s="551"/>
      <c r="Y7" s="551"/>
      <c r="Z7" s="551"/>
      <c r="AA7" s="551"/>
      <c r="AB7" s="551"/>
      <c r="AC7" s="551"/>
      <c r="AD7" s="551"/>
      <c r="AE7" s="551"/>
      <c r="AF7" s="551"/>
      <c r="AG7" s="12"/>
      <c r="AH7" s="244"/>
      <c r="AI7" s="244"/>
    </row>
    <row r="8" spans="2:35" ht="17.25" customHeight="1" thickBot="1">
      <c r="B8" s="587"/>
      <c r="C8" s="590"/>
      <c r="D8" s="554"/>
      <c r="E8" s="554"/>
      <c r="F8" s="554"/>
      <c r="G8" s="554"/>
      <c r="H8" s="192" t="s">
        <v>136</v>
      </c>
      <c r="I8" s="192" t="s">
        <v>125</v>
      </c>
      <c r="J8" s="192" t="s">
        <v>136</v>
      </c>
      <c r="K8" s="192" t="s">
        <v>125</v>
      </c>
      <c r="L8" s="192" t="s">
        <v>136</v>
      </c>
      <c r="M8" s="192" t="s">
        <v>125</v>
      </c>
      <c r="N8" s="192" t="s">
        <v>136</v>
      </c>
      <c r="O8" s="192" t="s">
        <v>125</v>
      </c>
      <c r="P8" s="192" t="s">
        <v>136</v>
      </c>
      <c r="Q8" s="192" t="s">
        <v>125</v>
      </c>
      <c r="R8" s="192" t="s">
        <v>136</v>
      </c>
      <c r="S8" s="192" t="s">
        <v>125</v>
      </c>
      <c r="T8" s="563"/>
      <c r="U8" s="55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2"/>
      <c r="AH8" s="244"/>
      <c r="AI8" s="244"/>
    </row>
    <row r="9" spans="2:35" ht="16.5" customHeight="1">
      <c r="B9" s="565" t="s">
        <v>614</v>
      </c>
      <c r="C9" s="566">
        <v>6</v>
      </c>
      <c r="D9" s="280" t="s">
        <v>642</v>
      </c>
      <c r="E9" s="280" t="s">
        <v>518</v>
      </c>
      <c r="F9" s="280">
        <v>45</v>
      </c>
      <c r="G9" s="280">
        <v>2</v>
      </c>
      <c r="H9" s="281">
        <v>3</v>
      </c>
      <c r="I9" s="281">
        <v>48</v>
      </c>
      <c r="J9" s="281"/>
      <c r="K9" s="281">
        <f>J9*16</f>
        <v>0</v>
      </c>
      <c r="L9" s="281"/>
      <c r="M9" s="281">
        <f>L9*16</f>
        <v>0</v>
      </c>
      <c r="N9" s="281"/>
      <c r="O9" s="281">
        <f>N9*16</f>
        <v>0</v>
      </c>
      <c r="P9" s="281"/>
      <c r="Q9" s="281">
        <f>P9*16</f>
        <v>0</v>
      </c>
      <c r="R9" s="281"/>
      <c r="S9" s="281">
        <f>R9*16</f>
        <v>0</v>
      </c>
      <c r="T9" s="174">
        <f>SUM(H9,J9,L9,N9,P9,R9)</f>
        <v>3</v>
      </c>
      <c r="U9" s="175">
        <f>SUM(I9,K9,M9,O9,Q9,S9)</f>
        <v>48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244"/>
      <c r="AI9" s="244"/>
    </row>
    <row r="10" spans="2:35" ht="16.5" customHeight="1">
      <c r="B10" s="546"/>
      <c r="C10" s="567"/>
      <c r="D10" s="193" t="s">
        <v>513</v>
      </c>
      <c r="E10" s="193" t="s">
        <v>519</v>
      </c>
      <c r="F10" s="193">
        <v>45</v>
      </c>
      <c r="G10" s="193">
        <v>2</v>
      </c>
      <c r="H10" s="194"/>
      <c r="I10" s="194"/>
      <c r="J10" s="194">
        <v>3</v>
      </c>
      <c r="K10" s="194">
        <v>48</v>
      </c>
      <c r="L10" s="194"/>
      <c r="M10" s="194">
        <f t="shared" ref="M10" si="0">L10*16</f>
        <v>0</v>
      </c>
      <c r="N10" s="194"/>
      <c r="O10" s="194">
        <f t="shared" ref="O10" si="1">N10*16</f>
        <v>0</v>
      </c>
      <c r="P10" s="194"/>
      <c r="Q10" s="194">
        <f t="shared" ref="Q10" si="2">P10*16</f>
        <v>0</v>
      </c>
      <c r="R10" s="194"/>
      <c r="S10" s="194">
        <f t="shared" ref="S10" si="3">R10*16</f>
        <v>0</v>
      </c>
      <c r="T10" s="180">
        <f t="shared" ref="T10:U10" si="4">SUM(H10,J10,L10,N10,P10,R10)</f>
        <v>3</v>
      </c>
      <c r="U10" s="181">
        <f t="shared" si="4"/>
        <v>48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244"/>
      <c r="AI10" s="244"/>
    </row>
    <row r="11" spans="2:35" ht="17.25" thickBot="1">
      <c r="B11" s="547"/>
      <c r="C11" s="568"/>
      <c r="D11" s="564" t="s">
        <v>16</v>
      </c>
      <c r="E11" s="564"/>
      <c r="F11" s="195">
        <f>SUM(F9:F10)</f>
        <v>90</v>
      </c>
      <c r="G11" s="195">
        <v>4</v>
      </c>
      <c r="H11" s="196">
        <f>SUM(H9:H10)</f>
        <v>3</v>
      </c>
      <c r="I11" s="196">
        <f>SUM(I9:I10)</f>
        <v>48</v>
      </c>
      <c r="J11" s="196">
        <v>3</v>
      </c>
      <c r="K11" s="196">
        <v>48</v>
      </c>
      <c r="L11" s="196">
        <f t="shared" ref="L11:U11" si="5">SUM(L9:L10)</f>
        <v>0</v>
      </c>
      <c r="M11" s="196">
        <f t="shared" si="5"/>
        <v>0</v>
      </c>
      <c r="N11" s="196">
        <f t="shared" si="5"/>
        <v>0</v>
      </c>
      <c r="O11" s="196">
        <f t="shared" si="5"/>
        <v>0</v>
      </c>
      <c r="P11" s="196">
        <f t="shared" si="5"/>
        <v>0</v>
      </c>
      <c r="Q11" s="196">
        <f t="shared" si="5"/>
        <v>0</v>
      </c>
      <c r="R11" s="196">
        <f t="shared" si="5"/>
        <v>0</v>
      </c>
      <c r="S11" s="196">
        <f t="shared" si="5"/>
        <v>0</v>
      </c>
      <c r="T11" s="197">
        <f t="shared" si="5"/>
        <v>6</v>
      </c>
      <c r="U11" s="197">
        <f t="shared" si="5"/>
        <v>96</v>
      </c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  <c r="AG11" s="244"/>
      <c r="AH11" s="244"/>
      <c r="AI11" s="244"/>
    </row>
    <row r="12" spans="2:35">
      <c r="B12" s="534" t="s">
        <v>644</v>
      </c>
      <c r="C12" s="528">
        <v>10</v>
      </c>
      <c r="D12" s="234" t="s">
        <v>588</v>
      </c>
      <c r="E12" s="234" t="s">
        <v>589</v>
      </c>
      <c r="F12" s="234">
        <v>50</v>
      </c>
      <c r="G12" s="234">
        <v>2</v>
      </c>
      <c r="H12" s="235"/>
      <c r="I12" s="235"/>
      <c r="J12" s="235"/>
      <c r="K12" s="235"/>
      <c r="L12" s="235">
        <v>2</v>
      </c>
      <c r="M12" s="235">
        <v>32</v>
      </c>
      <c r="N12" s="235"/>
      <c r="O12" s="235"/>
      <c r="P12" s="235"/>
      <c r="Q12" s="235"/>
      <c r="R12" s="235"/>
      <c r="S12" s="235"/>
      <c r="T12" s="236">
        <v>2</v>
      </c>
      <c r="U12" s="237">
        <v>32</v>
      </c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  <c r="AG12" s="244"/>
      <c r="AH12" s="244"/>
      <c r="AI12" s="244"/>
    </row>
    <row r="13" spans="2:35">
      <c r="B13" s="534"/>
      <c r="C13" s="528"/>
      <c r="D13" s="198" t="s">
        <v>697</v>
      </c>
      <c r="E13" s="198" t="s">
        <v>698</v>
      </c>
      <c r="F13" s="198">
        <v>50</v>
      </c>
      <c r="G13" s="198">
        <v>3</v>
      </c>
      <c r="H13" s="199"/>
      <c r="I13" s="199"/>
      <c r="J13" s="199"/>
      <c r="K13" s="199"/>
      <c r="L13" s="199">
        <v>3</v>
      </c>
      <c r="M13" s="199">
        <v>48</v>
      </c>
      <c r="N13" s="199"/>
      <c r="O13" s="199"/>
      <c r="P13" s="199"/>
      <c r="Q13" s="199"/>
      <c r="R13" s="199"/>
      <c r="S13" s="199"/>
      <c r="T13" s="30">
        <v>3</v>
      </c>
      <c r="U13" s="29">
        <v>48</v>
      </c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  <c r="AG13" s="244"/>
      <c r="AH13" s="244"/>
      <c r="AI13" s="244"/>
    </row>
    <row r="14" spans="2:35">
      <c r="B14" s="534"/>
      <c r="C14" s="528"/>
      <c r="D14" s="198" t="s">
        <v>586</v>
      </c>
      <c r="E14" s="198" t="s">
        <v>587</v>
      </c>
      <c r="F14" s="198">
        <v>60</v>
      </c>
      <c r="G14" s="198">
        <v>3</v>
      </c>
      <c r="H14" s="199"/>
      <c r="I14" s="199"/>
      <c r="J14" s="199"/>
      <c r="K14" s="199"/>
      <c r="L14" s="199"/>
      <c r="M14" s="199"/>
      <c r="N14" s="199">
        <v>2</v>
      </c>
      <c r="O14" s="199">
        <v>32</v>
      </c>
      <c r="P14" s="199"/>
      <c r="Q14" s="199"/>
      <c r="R14" s="199"/>
      <c r="S14" s="199"/>
      <c r="T14" s="30">
        <v>2</v>
      </c>
      <c r="U14" s="29">
        <v>32</v>
      </c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  <c r="AG14" s="244"/>
      <c r="AH14" s="244"/>
      <c r="AI14" s="244"/>
    </row>
    <row r="15" spans="2:35" ht="17.25" customHeight="1">
      <c r="B15" s="534"/>
      <c r="C15" s="528"/>
      <c r="D15" s="198" t="s">
        <v>584</v>
      </c>
      <c r="E15" s="198" t="s">
        <v>585</v>
      </c>
      <c r="F15" s="198">
        <v>60</v>
      </c>
      <c r="G15" s="198">
        <v>2</v>
      </c>
      <c r="H15" s="199"/>
      <c r="I15" s="199"/>
      <c r="J15" s="199"/>
      <c r="K15" s="199"/>
      <c r="L15" s="199"/>
      <c r="M15" s="199"/>
      <c r="N15" s="199">
        <v>3</v>
      </c>
      <c r="O15" s="199">
        <v>48</v>
      </c>
      <c r="P15" s="199"/>
      <c r="Q15" s="199"/>
      <c r="R15" s="199"/>
      <c r="S15" s="199"/>
      <c r="T15" s="30">
        <v>3</v>
      </c>
      <c r="U15" s="29">
        <v>48</v>
      </c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</row>
    <row r="16" spans="2:35" ht="17.25" thickBot="1">
      <c r="B16" s="536"/>
      <c r="C16" s="531"/>
      <c r="D16" s="545" t="s">
        <v>16</v>
      </c>
      <c r="E16" s="545"/>
      <c r="F16" s="200">
        <f>SUM(F12:F15)</f>
        <v>220</v>
      </c>
      <c r="G16" s="200">
        <v>10</v>
      </c>
      <c r="H16" s="200"/>
      <c r="I16" s="200"/>
      <c r="J16" s="200"/>
      <c r="K16" s="200"/>
      <c r="L16" s="200">
        <v>5</v>
      </c>
      <c r="M16" s="200">
        <f>SUM(M12:M15)</f>
        <v>80</v>
      </c>
      <c r="N16" s="200">
        <f>SUM(N12:N15)</f>
        <v>5</v>
      </c>
      <c r="O16" s="200">
        <f>SUM(O12:O15)</f>
        <v>80</v>
      </c>
      <c r="P16" s="200"/>
      <c r="Q16" s="200"/>
      <c r="R16" s="200"/>
      <c r="S16" s="200"/>
      <c r="T16" s="201">
        <f>SUM(T12:T15)</f>
        <v>10</v>
      </c>
      <c r="U16" s="201">
        <f>SUM(U12:U15)</f>
        <v>160</v>
      </c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</row>
    <row r="17" spans="2:35">
      <c r="B17" s="546" t="s">
        <v>594</v>
      </c>
      <c r="C17" s="549">
        <v>6</v>
      </c>
      <c r="D17" s="208" t="s">
        <v>645</v>
      </c>
      <c r="E17" s="208" t="s">
        <v>648</v>
      </c>
      <c r="F17" s="208">
        <v>50</v>
      </c>
      <c r="G17" s="208">
        <v>3</v>
      </c>
      <c r="H17" s="209"/>
      <c r="I17" s="209"/>
      <c r="J17" s="209"/>
      <c r="K17" s="209"/>
      <c r="L17" s="209">
        <v>1</v>
      </c>
      <c r="M17" s="209">
        <v>16</v>
      </c>
      <c r="N17" s="209"/>
      <c r="O17" s="209"/>
      <c r="P17" s="209"/>
      <c r="Q17" s="209"/>
      <c r="R17" s="209"/>
      <c r="S17" s="209"/>
      <c r="T17" s="210">
        <v>1</v>
      </c>
      <c r="U17" s="211">
        <v>16</v>
      </c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</row>
    <row r="18" spans="2:35">
      <c r="B18" s="546"/>
      <c r="C18" s="549"/>
      <c r="D18" s="254" t="s">
        <v>646</v>
      </c>
      <c r="E18" s="255" t="s">
        <v>520</v>
      </c>
      <c r="F18" s="254">
        <v>50</v>
      </c>
      <c r="G18" s="254">
        <v>2</v>
      </c>
      <c r="H18" s="256"/>
      <c r="I18" s="256"/>
      <c r="J18" s="256"/>
      <c r="K18" s="256"/>
      <c r="L18" s="256">
        <v>2</v>
      </c>
      <c r="M18" s="256">
        <v>32</v>
      </c>
      <c r="N18" s="256"/>
      <c r="O18" s="256"/>
      <c r="P18" s="256"/>
      <c r="Q18" s="256"/>
      <c r="R18" s="256"/>
      <c r="S18" s="256"/>
      <c r="T18" s="257">
        <v>2</v>
      </c>
      <c r="U18" s="258">
        <v>32</v>
      </c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  <c r="AG18" s="244"/>
      <c r="AH18" s="244"/>
      <c r="AI18" s="244"/>
    </row>
    <row r="19" spans="2:35">
      <c r="B19" s="546"/>
      <c r="C19" s="549"/>
      <c r="D19" s="207" t="s">
        <v>647</v>
      </c>
      <c r="E19" s="253" t="s">
        <v>649</v>
      </c>
      <c r="F19" s="207">
        <v>30</v>
      </c>
      <c r="G19" s="207">
        <v>3</v>
      </c>
      <c r="H19" s="216"/>
      <c r="I19" s="216"/>
      <c r="J19" s="216"/>
      <c r="K19" s="216"/>
      <c r="L19" s="216"/>
      <c r="M19" s="216"/>
      <c r="N19" s="216">
        <v>1</v>
      </c>
      <c r="O19" s="216">
        <v>16</v>
      </c>
      <c r="P19" s="216"/>
      <c r="Q19" s="216"/>
      <c r="R19" s="216"/>
      <c r="S19" s="216"/>
      <c r="T19" s="217">
        <v>1</v>
      </c>
      <c r="U19" s="218">
        <v>16</v>
      </c>
      <c r="W19" s="244"/>
      <c r="X19" s="244"/>
      <c r="Y19" s="244"/>
      <c r="Z19" s="244"/>
      <c r="AA19" s="244"/>
      <c r="AB19" s="244"/>
      <c r="AC19" s="244"/>
      <c r="AD19" s="244"/>
      <c r="AE19" s="244"/>
      <c r="AF19" s="244"/>
      <c r="AG19" s="244"/>
      <c r="AH19" s="244"/>
      <c r="AI19" s="244"/>
    </row>
    <row r="20" spans="2:35">
      <c r="B20" s="546"/>
      <c r="C20" s="549"/>
      <c r="D20" s="212" t="s">
        <v>580</v>
      </c>
      <c r="E20" s="219" t="s">
        <v>581</v>
      </c>
      <c r="F20" s="212">
        <v>50</v>
      </c>
      <c r="G20" s="212">
        <v>3</v>
      </c>
      <c r="H20" s="213"/>
      <c r="I20" s="213"/>
      <c r="J20" s="213"/>
      <c r="K20" s="213"/>
      <c r="L20" s="213"/>
      <c r="M20" s="213"/>
      <c r="N20" s="213">
        <v>2</v>
      </c>
      <c r="O20" s="213">
        <v>32</v>
      </c>
      <c r="P20" s="213"/>
      <c r="Q20" s="213"/>
      <c r="R20" s="213"/>
      <c r="S20" s="213"/>
      <c r="T20" s="214">
        <v>2</v>
      </c>
      <c r="U20" s="215">
        <v>32</v>
      </c>
      <c r="W20" s="244"/>
      <c r="X20" s="244"/>
      <c r="Y20" s="244"/>
      <c r="Z20" s="244"/>
      <c r="AA20" s="244"/>
      <c r="AB20" s="244"/>
      <c r="AC20" s="244"/>
      <c r="AD20" s="244"/>
      <c r="AE20" s="244"/>
      <c r="AF20" s="244"/>
      <c r="AG20" s="244"/>
      <c r="AH20" s="244"/>
      <c r="AI20" s="244"/>
    </row>
    <row r="21" spans="2:35" ht="17.25" thickBot="1">
      <c r="B21" s="547"/>
      <c r="C21" s="550"/>
      <c r="D21" s="545" t="s">
        <v>16</v>
      </c>
      <c r="E21" s="545"/>
      <c r="F21" s="202">
        <f>SUM(F17:F20)</f>
        <v>180</v>
      </c>
      <c r="G21" s="202">
        <v>11</v>
      </c>
      <c r="H21" s="203"/>
      <c r="I21" s="203"/>
      <c r="J21" s="203"/>
      <c r="K21" s="203"/>
      <c r="L21" s="203">
        <v>3</v>
      </c>
      <c r="M21" s="203">
        <v>48</v>
      </c>
      <c r="N21" s="203">
        <v>3</v>
      </c>
      <c r="O21" s="203">
        <v>48</v>
      </c>
      <c r="P21" s="203"/>
      <c r="Q21" s="203"/>
      <c r="R21" s="203"/>
      <c r="S21" s="203"/>
      <c r="T21" s="25">
        <f>SUM(T17:T20)</f>
        <v>6</v>
      </c>
      <c r="U21" s="26">
        <f>SUM(U17:U20)</f>
        <v>96</v>
      </c>
      <c r="W21" s="244"/>
      <c r="X21" s="244"/>
      <c r="Y21" s="244"/>
      <c r="Z21" s="244"/>
      <c r="AA21" s="244"/>
      <c r="AB21" s="244"/>
      <c r="AC21" s="244"/>
      <c r="AD21" s="244"/>
      <c r="AE21" s="244"/>
      <c r="AF21" s="244"/>
      <c r="AG21" s="244"/>
      <c r="AH21" s="244"/>
      <c r="AI21" s="244"/>
    </row>
    <row r="22" spans="2:35" ht="16.5" customHeight="1">
      <c r="B22" s="538" t="s">
        <v>506</v>
      </c>
      <c r="C22" s="542">
        <v>12</v>
      </c>
      <c r="D22" s="283" t="s">
        <v>528</v>
      </c>
      <c r="E22" s="234" t="s">
        <v>530</v>
      </c>
      <c r="F22" s="234">
        <v>45</v>
      </c>
      <c r="G22" s="283">
        <v>3</v>
      </c>
      <c r="H22" s="235"/>
      <c r="I22" s="235"/>
      <c r="J22" s="235"/>
      <c r="K22" s="235"/>
      <c r="L22" s="235">
        <v>2</v>
      </c>
      <c r="M22" s="235">
        <v>32</v>
      </c>
      <c r="N22" s="235"/>
      <c r="O22" s="235"/>
      <c r="P22" s="235"/>
      <c r="Q22" s="235"/>
      <c r="R22" s="235"/>
      <c r="S22" s="235"/>
      <c r="T22" s="236">
        <v>2</v>
      </c>
      <c r="U22" s="237">
        <v>32</v>
      </c>
      <c r="W22" s="244"/>
      <c r="X22" s="244"/>
      <c r="Y22" s="244"/>
      <c r="Z22" s="244"/>
      <c r="AA22" s="244"/>
      <c r="AB22" s="244"/>
      <c r="AC22" s="244"/>
      <c r="AD22" s="244"/>
      <c r="AE22" s="244"/>
      <c r="AF22" s="244"/>
      <c r="AG22" s="244"/>
      <c r="AH22" s="244"/>
      <c r="AI22" s="244"/>
    </row>
    <row r="23" spans="2:35" ht="16.5" customHeight="1">
      <c r="B23" s="539"/>
      <c r="C23" s="528"/>
      <c r="D23" s="238" t="s">
        <v>529</v>
      </c>
      <c r="E23" s="198" t="s">
        <v>531</v>
      </c>
      <c r="F23" s="198">
        <v>45</v>
      </c>
      <c r="G23" s="198">
        <v>3</v>
      </c>
      <c r="H23" s="199"/>
      <c r="I23" s="199"/>
      <c r="J23" s="199"/>
      <c r="K23" s="199"/>
      <c r="L23" s="199">
        <v>4</v>
      </c>
      <c r="M23" s="199">
        <v>64</v>
      </c>
      <c r="N23" s="199"/>
      <c r="O23" s="199"/>
      <c r="P23" s="199"/>
      <c r="Q23" s="199"/>
      <c r="R23" s="199"/>
      <c r="S23" s="199"/>
      <c r="T23" s="30">
        <v>4</v>
      </c>
      <c r="U23" s="29">
        <v>64</v>
      </c>
      <c r="W23" s="244"/>
      <c r="X23" s="244"/>
      <c r="Y23" s="244"/>
      <c r="Z23" s="244"/>
      <c r="AA23" s="244"/>
      <c r="AB23" s="244"/>
      <c r="AC23" s="244"/>
      <c r="AD23" s="244"/>
      <c r="AE23" s="244"/>
      <c r="AF23" s="244"/>
      <c r="AG23" s="244"/>
      <c r="AH23" s="244"/>
      <c r="AI23" s="244"/>
    </row>
    <row r="24" spans="2:35">
      <c r="B24" s="540"/>
      <c r="C24" s="543"/>
      <c r="D24" s="282" t="s">
        <v>582</v>
      </c>
      <c r="E24" s="254" t="s">
        <v>595</v>
      </c>
      <c r="F24" s="254">
        <v>30</v>
      </c>
      <c r="G24" s="254">
        <v>2</v>
      </c>
      <c r="H24" s="256"/>
      <c r="I24" s="256"/>
      <c r="J24" s="256"/>
      <c r="K24" s="256"/>
      <c r="L24" s="256"/>
      <c r="M24" s="256"/>
      <c r="N24" s="256">
        <v>2</v>
      </c>
      <c r="O24" s="256">
        <v>32</v>
      </c>
      <c r="P24" s="256"/>
      <c r="Q24" s="256"/>
      <c r="R24" s="256"/>
      <c r="S24" s="256"/>
      <c r="T24" s="257">
        <v>2</v>
      </c>
      <c r="U24" s="258">
        <v>32</v>
      </c>
    </row>
    <row r="25" spans="2:35">
      <c r="B25" s="540"/>
      <c r="C25" s="543"/>
      <c r="D25" s="238" t="s">
        <v>699</v>
      </c>
      <c r="E25" s="198" t="s">
        <v>700</v>
      </c>
      <c r="F25" s="198">
        <v>45</v>
      </c>
      <c r="G25" s="198">
        <v>3</v>
      </c>
      <c r="H25" s="199"/>
      <c r="I25" s="199"/>
      <c r="J25" s="199"/>
      <c r="K25" s="199"/>
      <c r="L25" s="199"/>
      <c r="M25" s="199"/>
      <c r="N25" s="199">
        <v>4</v>
      </c>
      <c r="O25" s="199">
        <v>64</v>
      </c>
      <c r="P25" s="199"/>
      <c r="Q25" s="199"/>
      <c r="R25" s="199"/>
      <c r="S25" s="199"/>
      <c r="T25" s="30">
        <v>4</v>
      </c>
      <c r="U25" s="29">
        <v>64</v>
      </c>
    </row>
    <row r="26" spans="2:35" ht="17.25" thickBot="1">
      <c r="B26" s="541"/>
      <c r="C26" s="531"/>
      <c r="D26" s="544" t="s">
        <v>16</v>
      </c>
      <c r="E26" s="545"/>
      <c r="F26" s="200">
        <v>165</v>
      </c>
      <c r="G26" s="200">
        <v>11</v>
      </c>
      <c r="H26" s="204"/>
      <c r="I26" s="204"/>
      <c r="J26" s="204"/>
      <c r="K26" s="204"/>
      <c r="L26" s="204">
        <v>6</v>
      </c>
      <c r="M26" s="204">
        <v>96</v>
      </c>
      <c r="N26" s="204">
        <v>6</v>
      </c>
      <c r="O26" s="204">
        <v>96</v>
      </c>
      <c r="P26" s="204"/>
      <c r="Q26" s="204"/>
      <c r="R26" s="204"/>
      <c r="S26" s="204"/>
      <c r="T26" s="27">
        <f>SUM(T22:T25)</f>
        <v>12</v>
      </c>
      <c r="U26" s="28">
        <f>SUM(U22:U25)</f>
        <v>192</v>
      </c>
    </row>
    <row r="27" spans="2:35">
      <c r="B27" s="546" t="s">
        <v>643</v>
      </c>
      <c r="C27" s="548">
        <v>16</v>
      </c>
      <c r="D27" s="289" t="s">
        <v>650</v>
      </c>
      <c r="E27" s="289" t="s">
        <v>651</v>
      </c>
      <c r="F27" s="289">
        <v>45</v>
      </c>
      <c r="G27" s="289">
        <v>2</v>
      </c>
      <c r="H27" s="290"/>
      <c r="I27" s="290"/>
      <c r="J27" s="290"/>
      <c r="K27" s="290"/>
      <c r="L27" s="290"/>
      <c r="M27" s="290"/>
      <c r="N27" s="290"/>
      <c r="O27" s="290"/>
      <c r="P27" s="291">
        <v>3</v>
      </c>
      <c r="Q27" s="291">
        <v>48</v>
      </c>
      <c r="R27" s="291"/>
      <c r="S27" s="291"/>
      <c r="T27" s="292">
        <v>3</v>
      </c>
      <c r="U27" s="293">
        <v>48</v>
      </c>
    </row>
    <row r="28" spans="2:35">
      <c r="B28" s="546"/>
      <c r="C28" s="549"/>
      <c r="D28" s="284" t="s">
        <v>652</v>
      </c>
      <c r="E28" s="284" t="s">
        <v>654</v>
      </c>
      <c r="F28" s="284">
        <v>45</v>
      </c>
      <c r="G28" s="284">
        <v>3</v>
      </c>
      <c r="H28" s="285"/>
      <c r="I28" s="285"/>
      <c r="J28" s="285"/>
      <c r="K28" s="285"/>
      <c r="L28" s="285"/>
      <c r="M28" s="285"/>
      <c r="N28" s="285"/>
      <c r="O28" s="285"/>
      <c r="P28" s="286">
        <v>3</v>
      </c>
      <c r="Q28" s="286">
        <v>48</v>
      </c>
      <c r="R28" s="286"/>
      <c r="S28" s="286"/>
      <c r="T28" s="287">
        <v>3</v>
      </c>
      <c r="U28" s="288">
        <v>48</v>
      </c>
    </row>
    <row r="29" spans="2:35">
      <c r="B29" s="546"/>
      <c r="C29" s="549"/>
      <c r="D29" s="294" t="s">
        <v>653</v>
      </c>
      <c r="E29" s="294" t="s">
        <v>655</v>
      </c>
      <c r="F29" s="294">
        <v>45</v>
      </c>
      <c r="G29" s="294">
        <v>3</v>
      </c>
      <c r="H29" s="295"/>
      <c r="I29" s="295"/>
      <c r="J29" s="295"/>
      <c r="K29" s="295"/>
      <c r="L29" s="295"/>
      <c r="M29" s="295"/>
      <c r="N29" s="295"/>
      <c r="O29" s="295"/>
      <c r="P29" s="296"/>
      <c r="Q29" s="296"/>
      <c r="R29" s="296">
        <v>3</v>
      </c>
      <c r="S29" s="296">
        <v>48</v>
      </c>
      <c r="T29" s="297">
        <v>3</v>
      </c>
      <c r="U29" s="298">
        <v>48</v>
      </c>
    </row>
    <row r="30" spans="2:35" ht="16.5" customHeight="1">
      <c r="B30" s="546"/>
      <c r="C30" s="549"/>
      <c r="D30" s="239" t="s">
        <v>578</v>
      </c>
      <c r="E30" s="239" t="s">
        <v>579</v>
      </c>
      <c r="F30" s="239">
        <v>45</v>
      </c>
      <c r="G30" s="239">
        <v>2</v>
      </c>
      <c r="H30" s="240"/>
      <c r="I30" s="240"/>
      <c r="J30" s="240"/>
      <c r="K30" s="240"/>
      <c r="L30" s="240"/>
      <c r="M30" s="240"/>
      <c r="N30" s="240"/>
      <c r="O30" s="240"/>
      <c r="P30" s="241"/>
      <c r="Q30" s="241"/>
      <c r="R30" s="241">
        <v>3</v>
      </c>
      <c r="S30" s="241">
        <v>48</v>
      </c>
      <c r="T30" s="242">
        <v>3</v>
      </c>
      <c r="U30" s="243">
        <v>48</v>
      </c>
    </row>
    <row r="31" spans="2:35" ht="17.25" thickBot="1">
      <c r="B31" s="547"/>
      <c r="C31" s="550"/>
      <c r="D31" s="532" t="s">
        <v>16</v>
      </c>
      <c r="E31" s="533"/>
      <c r="F31" s="195">
        <f>SUM(F27:F30)</f>
        <v>180</v>
      </c>
      <c r="G31" s="195">
        <v>10</v>
      </c>
      <c r="H31" s="196"/>
      <c r="I31" s="196"/>
      <c r="J31" s="196"/>
      <c r="K31" s="196"/>
      <c r="L31" s="196"/>
      <c r="M31" s="196"/>
      <c r="N31" s="196"/>
      <c r="O31" s="196"/>
      <c r="P31" s="196">
        <f>SUM(P27:P29)</f>
        <v>6</v>
      </c>
      <c r="Q31" s="196">
        <f>SUM(Q27:Q29)</f>
        <v>96</v>
      </c>
      <c r="R31" s="196">
        <v>6</v>
      </c>
      <c r="S31" s="196">
        <v>96</v>
      </c>
      <c r="T31" s="168">
        <f>SUM(T27:T30)</f>
        <v>12</v>
      </c>
      <c r="U31" s="169">
        <f>SUM(U27:U30)</f>
        <v>192</v>
      </c>
    </row>
    <row r="32" spans="2:35">
      <c r="B32" s="534" t="s">
        <v>507</v>
      </c>
      <c r="C32" s="528">
        <v>20</v>
      </c>
      <c r="D32" s="283" t="s">
        <v>661</v>
      </c>
      <c r="E32" s="300" t="s">
        <v>590</v>
      </c>
      <c r="F32" s="234">
        <v>50</v>
      </c>
      <c r="G32" s="234">
        <v>2</v>
      </c>
      <c r="H32" s="235"/>
      <c r="I32" s="235"/>
      <c r="J32" s="235"/>
      <c r="K32" s="235"/>
      <c r="L32" s="235"/>
      <c r="M32" s="235"/>
      <c r="N32" s="235"/>
      <c r="O32" s="235"/>
      <c r="P32" s="301">
        <v>3</v>
      </c>
      <c r="Q32" s="301">
        <v>48</v>
      </c>
      <c r="R32" s="301"/>
      <c r="S32" s="301"/>
      <c r="T32" s="236">
        <v>3</v>
      </c>
      <c r="U32" s="237">
        <v>48</v>
      </c>
    </row>
    <row r="33" spans="2:21">
      <c r="B33" s="534"/>
      <c r="C33" s="528"/>
      <c r="D33" s="238" t="s">
        <v>591</v>
      </c>
      <c r="E33" s="299" t="s">
        <v>592</v>
      </c>
      <c r="F33" s="198">
        <v>50</v>
      </c>
      <c r="G33" s="198">
        <v>3</v>
      </c>
      <c r="H33" s="199"/>
      <c r="I33" s="199"/>
      <c r="J33" s="199"/>
      <c r="K33" s="199"/>
      <c r="L33" s="199"/>
      <c r="M33" s="199"/>
      <c r="N33" s="199"/>
      <c r="O33" s="199"/>
      <c r="P33" s="23">
        <v>3</v>
      </c>
      <c r="Q33" s="23">
        <v>48</v>
      </c>
      <c r="R33" s="23"/>
      <c r="S33" s="23"/>
      <c r="T33" s="30">
        <v>3</v>
      </c>
      <c r="U33" s="29">
        <v>48</v>
      </c>
    </row>
    <row r="34" spans="2:21">
      <c r="B34" s="537"/>
      <c r="C34" s="529"/>
      <c r="D34" s="259" t="s">
        <v>662</v>
      </c>
      <c r="E34" s="206" t="s">
        <v>660</v>
      </c>
      <c r="F34" s="207">
        <v>50</v>
      </c>
      <c r="G34" s="207">
        <v>2</v>
      </c>
      <c r="H34" s="216"/>
      <c r="I34" s="216"/>
      <c r="J34" s="216"/>
      <c r="K34" s="216"/>
      <c r="L34" s="216"/>
      <c r="M34" s="216"/>
      <c r="N34" s="216"/>
      <c r="O34" s="216"/>
      <c r="P34" s="222">
        <v>4</v>
      </c>
      <c r="Q34" s="222">
        <v>64</v>
      </c>
      <c r="R34" s="222"/>
      <c r="S34" s="222"/>
      <c r="T34" s="217">
        <v>4</v>
      </c>
      <c r="U34" s="218">
        <v>64</v>
      </c>
    </row>
    <row r="35" spans="2:21">
      <c r="B35" s="537"/>
      <c r="C35" s="529"/>
      <c r="D35" s="282" t="s">
        <v>656</v>
      </c>
      <c r="E35" s="302" t="s">
        <v>658</v>
      </c>
      <c r="F35" s="254">
        <v>50</v>
      </c>
      <c r="G35" s="254">
        <v>2</v>
      </c>
      <c r="H35" s="256"/>
      <c r="I35" s="256"/>
      <c r="J35" s="256"/>
      <c r="K35" s="256"/>
      <c r="L35" s="256"/>
      <c r="M35" s="256"/>
      <c r="N35" s="256"/>
      <c r="O35" s="256"/>
      <c r="P35" s="303"/>
      <c r="Q35" s="303"/>
      <c r="R35" s="303">
        <v>5</v>
      </c>
      <c r="S35" s="303">
        <v>80</v>
      </c>
      <c r="T35" s="257">
        <v>5</v>
      </c>
      <c r="U35" s="258">
        <v>80</v>
      </c>
    </row>
    <row r="36" spans="2:21">
      <c r="B36" s="535"/>
      <c r="C36" s="530"/>
      <c r="D36" s="205" t="s">
        <v>657</v>
      </c>
      <c r="E36" s="206" t="s">
        <v>659</v>
      </c>
      <c r="F36" s="198">
        <v>50</v>
      </c>
      <c r="G36" s="198">
        <v>2</v>
      </c>
      <c r="H36" s="199"/>
      <c r="I36" s="199"/>
      <c r="J36" s="199"/>
      <c r="K36" s="199"/>
      <c r="L36" s="199"/>
      <c r="M36" s="199"/>
      <c r="N36" s="199"/>
      <c r="O36" s="199"/>
      <c r="P36" s="23"/>
      <c r="Q36" s="23"/>
      <c r="R36" s="23">
        <v>5</v>
      </c>
      <c r="S36" s="23">
        <v>80</v>
      </c>
      <c r="T36" s="30">
        <v>5</v>
      </c>
      <c r="U36" s="29">
        <v>80</v>
      </c>
    </row>
    <row r="37" spans="2:21" ht="17.25" thickBot="1">
      <c r="B37" s="536"/>
      <c r="C37" s="531"/>
      <c r="D37" s="532" t="s">
        <v>16</v>
      </c>
      <c r="E37" s="533"/>
      <c r="F37" s="195">
        <v>250</v>
      </c>
      <c r="G37" s="195">
        <v>11</v>
      </c>
      <c r="H37" s="196"/>
      <c r="I37" s="196"/>
      <c r="J37" s="196"/>
      <c r="K37" s="196"/>
      <c r="L37" s="196"/>
      <c r="M37" s="196"/>
      <c r="N37" s="196"/>
      <c r="O37" s="196"/>
      <c r="P37" s="196">
        <v>10</v>
      </c>
      <c r="Q37" s="196">
        <v>160</v>
      </c>
      <c r="R37" s="196">
        <v>10</v>
      </c>
      <c r="S37" s="196">
        <v>160</v>
      </c>
      <c r="T37" s="27">
        <v>20</v>
      </c>
      <c r="U37" s="28">
        <v>320</v>
      </c>
    </row>
    <row r="38" spans="2:21">
      <c r="B38" s="534" t="s">
        <v>505</v>
      </c>
      <c r="C38" s="528">
        <v>16</v>
      </c>
      <c r="D38" s="283" t="s">
        <v>514</v>
      </c>
      <c r="E38" s="300" t="s">
        <v>524</v>
      </c>
      <c r="F38" s="234">
        <v>50</v>
      </c>
      <c r="G38" s="234">
        <v>2</v>
      </c>
      <c r="H38" s="235"/>
      <c r="I38" s="235"/>
      <c r="J38" s="235"/>
      <c r="K38" s="235"/>
      <c r="L38" s="235"/>
      <c r="M38" s="235"/>
      <c r="N38" s="235"/>
      <c r="O38" s="235"/>
      <c r="P38" s="301">
        <v>4</v>
      </c>
      <c r="Q38" s="301">
        <v>64</v>
      </c>
      <c r="R38" s="301"/>
      <c r="S38" s="301"/>
      <c r="T38" s="236">
        <v>4</v>
      </c>
      <c r="U38" s="237">
        <v>64</v>
      </c>
    </row>
    <row r="39" spans="2:21">
      <c r="B39" s="534"/>
      <c r="C39" s="528"/>
      <c r="D39" s="238" t="s">
        <v>515</v>
      </c>
      <c r="E39" s="299" t="s">
        <v>525</v>
      </c>
      <c r="F39" s="198">
        <v>50</v>
      </c>
      <c r="G39" s="198">
        <v>2</v>
      </c>
      <c r="H39" s="199"/>
      <c r="I39" s="199"/>
      <c r="J39" s="199"/>
      <c r="K39" s="199"/>
      <c r="L39" s="199"/>
      <c r="M39" s="199"/>
      <c r="N39" s="199"/>
      <c r="O39" s="199"/>
      <c r="P39" s="23">
        <v>4</v>
      </c>
      <c r="Q39" s="23">
        <v>64</v>
      </c>
      <c r="R39" s="23"/>
      <c r="S39" s="23"/>
      <c r="T39" s="30">
        <v>4</v>
      </c>
      <c r="U39" s="29">
        <v>64</v>
      </c>
    </row>
    <row r="40" spans="2:21">
      <c r="B40" s="535"/>
      <c r="C40" s="530"/>
      <c r="D40" s="282" t="s">
        <v>516</v>
      </c>
      <c r="E40" s="302" t="s">
        <v>526</v>
      </c>
      <c r="F40" s="254">
        <v>50</v>
      </c>
      <c r="G40" s="254">
        <v>4</v>
      </c>
      <c r="H40" s="256"/>
      <c r="I40" s="256"/>
      <c r="J40" s="256"/>
      <c r="K40" s="256"/>
      <c r="L40" s="256"/>
      <c r="M40" s="256"/>
      <c r="N40" s="256"/>
      <c r="O40" s="256"/>
      <c r="P40" s="303"/>
      <c r="Q40" s="303"/>
      <c r="R40" s="303">
        <v>4</v>
      </c>
      <c r="S40" s="303">
        <v>64</v>
      </c>
      <c r="T40" s="257">
        <v>4</v>
      </c>
      <c r="U40" s="258">
        <v>64</v>
      </c>
    </row>
    <row r="41" spans="2:21">
      <c r="B41" s="535"/>
      <c r="C41" s="530"/>
      <c r="D41" s="304" t="s">
        <v>517</v>
      </c>
      <c r="E41" s="305" t="s">
        <v>527</v>
      </c>
      <c r="F41" s="306">
        <v>50</v>
      </c>
      <c r="G41" s="306">
        <v>4</v>
      </c>
      <c r="H41" s="307"/>
      <c r="I41" s="307"/>
      <c r="J41" s="307"/>
      <c r="K41" s="307"/>
      <c r="L41" s="307"/>
      <c r="M41" s="307"/>
      <c r="N41" s="307"/>
      <c r="O41" s="307"/>
      <c r="P41" s="308"/>
      <c r="Q41" s="308"/>
      <c r="R41" s="308">
        <v>4</v>
      </c>
      <c r="S41" s="308">
        <v>64</v>
      </c>
      <c r="T41" s="309">
        <v>4</v>
      </c>
      <c r="U41" s="310">
        <v>64</v>
      </c>
    </row>
    <row r="42" spans="2:21" ht="17.25" thickBot="1">
      <c r="B42" s="536"/>
      <c r="C42" s="531"/>
      <c r="D42" s="532" t="s">
        <v>16</v>
      </c>
      <c r="E42" s="533"/>
      <c r="F42" s="195">
        <v>200</v>
      </c>
      <c r="G42" s="195">
        <v>12</v>
      </c>
      <c r="H42" s="196"/>
      <c r="I42" s="196"/>
      <c r="J42" s="196"/>
      <c r="K42" s="196"/>
      <c r="L42" s="196"/>
      <c r="M42" s="196"/>
      <c r="N42" s="196"/>
      <c r="O42" s="196"/>
      <c r="P42" s="196">
        <v>8</v>
      </c>
      <c r="Q42" s="196">
        <v>128</v>
      </c>
      <c r="R42" s="196">
        <v>8</v>
      </c>
      <c r="S42" s="196">
        <v>128</v>
      </c>
      <c r="T42" s="27">
        <v>16</v>
      </c>
      <c r="U42" s="28">
        <v>256</v>
      </c>
    </row>
  </sheetData>
  <mergeCells count="48">
    <mergeCell ref="F6:F8"/>
    <mergeCell ref="R7:S7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B12:B16"/>
    <mergeCell ref="C12:C16"/>
    <mergeCell ref="D16:E16"/>
    <mergeCell ref="D11:E11"/>
    <mergeCell ref="B9:B11"/>
    <mergeCell ref="C9:C11"/>
    <mergeCell ref="B17:B21"/>
    <mergeCell ref="C17:C21"/>
    <mergeCell ref="D21:E21"/>
    <mergeCell ref="W7:AF7"/>
    <mergeCell ref="G6:G8"/>
    <mergeCell ref="H6:K6"/>
    <mergeCell ref="L6:O6"/>
    <mergeCell ref="U6:U8"/>
    <mergeCell ref="W6:AF6"/>
    <mergeCell ref="H7:I7"/>
    <mergeCell ref="J7:K7"/>
    <mergeCell ref="L7:M7"/>
    <mergeCell ref="N7:O7"/>
    <mergeCell ref="P7:Q7"/>
    <mergeCell ref="P6:S6"/>
    <mergeCell ref="T6:T8"/>
    <mergeCell ref="B22:B26"/>
    <mergeCell ref="C22:C26"/>
    <mergeCell ref="D26:E26"/>
    <mergeCell ref="B27:B31"/>
    <mergeCell ref="C27:C31"/>
    <mergeCell ref="D31:E31"/>
    <mergeCell ref="C32:C37"/>
    <mergeCell ref="D37:E37"/>
    <mergeCell ref="B38:B42"/>
    <mergeCell ref="C38:C42"/>
    <mergeCell ref="D42:E42"/>
    <mergeCell ref="B32:B37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2" orientation="landscape" cellComments="asDisplayed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D865-134C-473C-AD01-2FE6DBD91731}">
  <sheetPr>
    <tabColor rgb="FF92D050"/>
    <pageSetUpPr fitToPage="1"/>
  </sheetPr>
  <dimension ref="B1:AD104"/>
  <sheetViews>
    <sheetView view="pageBreakPreview" zoomScaleNormal="100" zoomScaleSheetLayoutView="100" workbookViewId="0">
      <pane ySplit="8" topLeftCell="A9" activePane="bottomLeft" state="frozen"/>
      <selection pane="bottomLeft" activeCell="E56" sqref="E56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8.87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355" t="s">
        <v>602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6"/>
      <c r="V2" s="357" t="s">
        <v>130</v>
      </c>
      <c r="W2" s="358"/>
      <c r="X2" s="353">
        <v>2027</v>
      </c>
      <c r="Y2" s="354"/>
      <c r="AA2" s="364" t="s">
        <v>141</v>
      </c>
      <c r="AB2" s="15" t="s">
        <v>142</v>
      </c>
      <c r="AC2" s="36" t="s">
        <v>148</v>
      </c>
      <c r="AD2" s="16" t="s">
        <v>143</v>
      </c>
    </row>
    <row r="3" spans="2:30" ht="17.25" thickBot="1">
      <c r="B3" s="380" t="s">
        <v>349</v>
      </c>
      <c r="C3" s="382" t="s">
        <v>53</v>
      </c>
      <c r="D3" s="383"/>
      <c r="E3" s="383"/>
      <c r="F3" s="382" t="s">
        <v>64</v>
      </c>
      <c r="G3" s="386"/>
      <c r="H3" s="382" t="s">
        <v>54</v>
      </c>
      <c r="I3" s="383"/>
      <c r="J3" s="383"/>
      <c r="K3" s="382" t="s">
        <v>55</v>
      </c>
      <c r="L3" s="383"/>
      <c r="M3" s="383"/>
      <c r="N3" s="383"/>
      <c r="O3" s="386"/>
      <c r="P3" s="388" t="s">
        <v>56</v>
      </c>
      <c r="Q3" s="389"/>
      <c r="R3" s="389"/>
      <c r="S3" s="389"/>
      <c r="T3" s="389"/>
      <c r="U3" s="389"/>
      <c r="V3" s="389"/>
      <c r="W3" s="389"/>
      <c r="X3" s="389"/>
      <c r="Y3" s="390"/>
      <c r="AA3" s="365"/>
      <c r="AB3" s="17" t="s">
        <v>144</v>
      </c>
      <c r="AC3" s="48" t="s">
        <v>495</v>
      </c>
      <c r="AD3" s="519" t="s">
        <v>498</v>
      </c>
    </row>
    <row r="4" spans="2:30" ht="17.25" thickBot="1">
      <c r="B4" s="381"/>
      <c r="C4" s="384"/>
      <c r="D4" s="385"/>
      <c r="E4" s="385"/>
      <c r="F4" s="384"/>
      <c r="G4" s="387"/>
      <c r="H4" s="384"/>
      <c r="I4" s="385"/>
      <c r="J4" s="385"/>
      <c r="K4" s="384"/>
      <c r="L4" s="385"/>
      <c r="M4" s="385"/>
      <c r="N4" s="385"/>
      <c r="O4" s="387"/>
      <c r="P4" s="388" t="s">
        <v>127</v>
      </c>
      <c r="Q4" s="389"/>
      <c r="R4" s="389"/>
      <c r="S4" s="389"/>
      <c r="T4" s="388" t="s">
        <v>61</v>
      </c>
      <c r="U4" s="389"/>
      <c r="V4" s="390"/>
      <c r="W4" s="389" t="s">
        <v>128</v>
      </c>
      <c r="X4" s="389"/>
      <c r="Y4" s="390"/>
      <c r="AA4" s="365"/>
      <c r="AB4" s="18" t="s">
        <v>496</v>
      </c>
      <c r="AC4" s="517" t="s">
        <v>497</v>
      </c>
      <c r="AD4" s="520"/>
    </row>
    <row r="5" spans="2:30" ht="26.25" customHeight="1" thickBot="1">
      <c r="B5" s="82" t="s">
        <v>489</v>
      </c>
      <c r="C5" s="391" t="s">
        <v>601</v>
      </c>
      <c r="D5" s="392"/>
      <c r="E5" s="393"/>
      <c r="F5" s="391" t="s">
        <v>512</v>
      </c>
      <c r="G5" s="394"/>
      <c r="H5" s="395" t="s">
        <v>539</v>
      </c>
      <c r="I5" s="392"/>
      <c r="J5" s="393"/>
      <c r="K5" s="391" t="s">
        <v>603</v>
      </c>
      <c r="L5" s="392"/>
      <c r="M5" s="392"/>
      <c r="N5" s="392"/>
      <c r="O5" s="394"/>
      <c r="P5" s="395" t="s">
        <v>604</v>
      </c>
      <c r="Q5" s="392"/>
      <c r="R5" s="392"/>
      <c r="S5" s="393"/>
      <c r="T5" s="391" t="s">
        <v>493</v>
      </c>
      <c r="U5" s="392"/>
      <c r="V5" s="393"/>
      <c r="W5" s="396" t="s">
        <v>605</v>
      </c>
      <c r="X5" s="397"/>
      <c r="Y5" s="398"/>
      <c r="AA5" s="366"/>
      <c r="AB5" s="160" t="s">
        <v>145</v>
      </c>
      <c r="AC5" s="518"/>
      <c r="AD5" s="521"/>
    </row>
    <row r="6" spans="2:30" ht="15.75" customHeight="1" thickBot="1">
      <c r="U6" s="399"/>
      <c r="V6" s="399"/>
      <c r="W6" s="399"/>
      <c r="X6" s="399"/>
      <c r="Y6" s="399"/>
    </row>
    <row r="7" spans="2:30" s="10" customFormat="1" ht="22.5" customHeight="1">
      <c r="B7" s="400" t="s">
        <v>2</v>
      </c>
      <c r="C7" s="401"/>
      <c r="D7" s="404" t="s">
        <v>120</v>
      </c>
      <c r="E7" s="406" t="s">
        <v>57</v>
      </c>
      <c r="F7" s="407"/>
      <c r="G7" s="408"/>
      <c r="H7" s="409" t="s">
        <v>131</v>
      </c>
      <c r="I7" s="412" t="s">
        <v>132</v>
      </c>
      <c r="J7" s="416" t="s">
        <v>133</v>
      </c>
      <c r="K7" s="411" t="s">
        <v>58</v>
      </c>
      <c r="L7" s="412"/>
      <c r="M7" s="412"/>
      <c r="N7" s="413"/>
      <c r="O7" s="414" t="s">
        <v>59</v>
      </c>
      <c r="P7" s="412"/>
      <c r="Q7" s="412"/>
      <c r="R7" s="413"/>
      <c r="S7" s="411" t="s">
        <v>60</v>
      </c>
      <c r="T7" s="412"/>
      <c r="U7" s="412"/>
      <c r="V7" s="415"/>
      <c r="W7" s="409" t="s">
        <v>134</v>
      </c>
      <c r="X7" s="416"/>
      <c r="Y7" s="408" t="s">
        <v>135</v>
      </c>
      <c r="Z7" s="9"/>
    </row>
    <row r="8" spans="2:30" s="10" customFormat="1" ht="22.5" customHeight="1" thickBot="1">
      <c r="B8" s="402"/>
      <c r="C8" s="403"/>
      <c r="D8" s="405"/>
      <c r="E8" s="19" t="s">
        <v>18</v>
      </c>
      <c r="F8" s="419" t="s">
        <v>19</v>
      </c>
      <c r="G8" s="420"/>
      <c r="H8" s="410"/>
      <c r="I8" s="368"/>
      <c r="J8" s="417"/>
      <c r="K8" s="367" t="s">
        <v>0</v>
      </c>
      <c r="L8" s="368"/>
      <c r="M8" s="368" t="s">
        <v>62</v>
      </c>
      <c r="N8" s="421"/>
      <c r="O8" s="422" t="s">
        <v>0</v>
      </c>
      <c r="P8" s="368"/>
      <c r="Q8" s="368" t="s">
        <v>62</v>
      </c>
      <c r="R8" s="421"/>
      <c r="S8" s="367" t="s">
        <v>0</v>
      </c>
      <c r="T8" s="368"/>
      <c r="U8" s="368" t="s">
        <v>62</v>
      </c>
      <c r="V8" s="369"/>
      <c r="W8" s="410"/>
      <c r="X8" s="417"/>
      <c r="Y8" s="418"/>
      <c r="AA8" s="523"/>
      <c r="AB8" s="523"/>
      <c r="AC8" s="523"/>
      <c r="AD8" s="523"/>
    </row>
    <row r="9" spans="2:30" ht="16.5" customHeight="1" thickBot="1">
      <c r="B9" s="373" t="s">
        <v>333</v>
      </c>
      <c r="C9" s="371"/>
      <c r="D9" s="375" t="s">
        <v>21</v>
      </c>
      <c r="E9" s="49" t="s">
        <v>12</v>
      </c>
      <c r="F9" s="378" t="s">
        <v>197</v>
      </c>
      <c r="G9" s="337"/>
      <c r="H9" s="50">
        <v>4</v>
      </c>
      <c r="I9" s="51" t="s">
        <v>334</v>
      </c>
      <c r="J9" s="52">
        <v>3</v>
      </c>
      <c r="K9" s="378">
        <v>3</v>
      </c>
      <c r="L9" s="335"/>
      <c r="M9" s="332"/>
      <c r="N9" s="333"/>
      <c r="O9" s="336"/>
      <c r="P9" s="335"/>
      <c r="Q9" s="332"/>
      <c r="R9" s="333"/>
      <c r="S9" s="336"/>
      <c r="T9" s="335"/>
      <c r="U9" s="332"/>
      <c r="V9" s="337"/>
      <c r="W9" s="53">
        <f>SUM(K9:V9)</f>
        <v>3</v>
      </c>
      <c r="X9" s="424">
        <f>SUM(W9:W13)</f>
        <v>15</v>
      </c>
      <c r="Y9" s="350">
        <v>24</v>
      </c>
      <c r="AA9" s="245"/>
      <c r="AB9" s="245"/>
      <c r="AC9" s="245"/>
      <c r="AD9" s="245"/>
    </row>
    <row r="10" spans="2:30" ht="17.25" thickBot="1">
      <c r="B10" s="374"/>
      <c r="C10" s="372"/>
      <c r="D10" s="376"/>
      <c r="E10" s="54" t="s">
        <v>12</v>
      </c>
      <c r="F10" s="320" t="s">
        <v>198</v>
      </c>
      <c r="G10" s="325"/>
      <c r="H10" s="55">
        <v>4</v>
      </c>
      <c r="I10" s="56" t="s">
        <v>334</v>
      </c>
      <c r="J10" s="57">
        <v>3</v>
      </c>
      <c r="K10" s="320"/>
      <c r="L10" s="321"/>
      <c r="M10" s="322">
        <v>3</v>
      </c>
      <c r="N10" s="323"/>
      <c r="O10" s="324"/>
      <c r="P10" s="321"/>
      <c r="Q10" s="322"/>
      <c r="R10" s="323"/>
      <c r="S10" s="324"/>
      <c r="T10" s="321"/>
      <c r="U10" s="322"/>
      <c r="V10" s="325"/>
      <c r="W10" s="58">
        <f t="shared" ref="W10:W27" si="0">SUM(K10:V10)</f>
        <v>3</v>
      </c>
      <c r="X10" s="461"/>
      <c r="Y10" s="350"/>
      <c r="AA10" s="245"/>
      <c r="AB10" s="245"/>
      <c r="AC10" s="245"/>
      <c r="AD10" s="245"/>
    </row>
    <row r="11" spans="2:30" ht="17.25" thickBot="1">
      <c r="B11" s="374"/>
      <c r="C11" s="372"/>
      <c r="D11" s="376"/>
      <c r="E11" s="59" t="s">
        <v>339</v>
      </c>
      <c r="F11" s="320" t="s">
        <v>4</v>
      </c>
      <c r="G11" s="325"/>
      <c r="H11" s="151">
        <v>4</v>
      </c>
      <c r="I11" s="152" t="s">
        <v>336</v>
      </c>
      <c r="J11" s="153">
        <v>3</v>
      </c>
      <c r="K11" s="320"/>
      <c r="L11" s="321"/>
      <c r="M11" s="322"/>
      <c r="N11" s="323"/>
      <c r="O11" s="324">
        <v>3</v>
      </c>
      <c r="P11" s="321"/>
      <c r="Q11" s="322"/>
      <c r="R11" s="323"/>
      <c r="S11" s="324"/>
      <c r="T11" s="321"/>
      <c r="U11" s="322"/>
      <c r="V11" s="325"/>
      <c r="W11" s="58">
        <f t="shared" si="0"/>
        <v>3</v>
      </c>
      <c r="X11" s="461"/>
      <c r="Y11" s="350"/>
      <c r="AA11" s="245"/>
      <c r="AB11" s="245"/>
      <c r="AC11" s="245"/>
      <c r="AD11" s="245"/>
    </row>
    <row r="12" spans="2:30" ht="17.25" thickBot="1">
      <c r="B12" s="374"/>
      <c r="C12" s="372"/>
      <c r="D12" s="376"/>
      <c r="E12" s="59" t="s">
        <v>339</v>
      </c>
      <c r="F12" s="320" t="s">
        <v>201</v>
      </c>
      <c r="G12" s="325"/>
      <c r="H12" s="151">
        <v>4</v>
      </c>
      <c r="I12" s="152" t="s">
        <v>336</v>
      </c>
      <c r="J12" s="153">
        <v>3</v>
      </c>
      <c r="K12" s="320"/>
      <c r="L12" s="321"/>
      <c r="M12" s="322"/>
      <c r="N12" s="323"/>
      <c r="O12" s="324"/>
      <c r="P12" s="321"/>
      <c r="Q12" s="322">
        <v>3</v>
      </c>
      <c r="R12" s="323"/>
      <c r="S12" s="324"/>
      <c r="T12" s="321"/>
      <c r="U12" s="322"/>
      <c r="V12" s="325"/>
      <c r="W12" s="58">
        <v>3</v>
      </c>
      <c r="X12" s="461"/>
      <c r="Y12" s="350"/>
      <c r="AA12" s="245"/>
      <c r="AB12" s="245"/>
      <c r="AC12" s="245"/>
      <c r="AD12" s="245"/>
    </row>
    <row r="13" spans="2:30" ht="17.25" customHeight="1" thickBot="1">
      <c r="B13" s="374"/>
      <c r="C13" s="372"/>
      <c r="D13" s="377"/>
      <c r="E13" s="59" t="s">
        <v>335</v>
      </c>
      <c r="F13" s="320" t="s">
        <v>705</v>
      </c>
      <c r="G13" s="325"/>
      <c r="H13" s="60">
        <v>4</v>
      </c>
      <c r="I13" s="61" t="s">
        <v>336</v>
      </c>
      <c r="J13" s="62">
        <v>3</v>
      </c>
      <c r="K13" s="379"/>
      <c r="L13" s="346"/>
      <c r="M13" s="347"/>
      <c r="N13" s="348"/>
      <c r="O13" s="345"/>
      <c r="P13" s="346"/>
      <c r="Q13" s="347"/>
      <c r="R13" s="348"/>
      <c r="S13" s="345">
        <v>3</v>
      </c>
      <c r="T13" s="346"/>
      <c r="U13" s="347"/>
      <c r="V13" s="349"/>
      <c r="W13" s="58">
        <f t="shared" si="0"/>
        <v>3</v>
      </c>
      <c r="X13" s="461"/>
      <c r="Y13" s="350"/>
      <c r="AA13" s="245"/>
      <c r="AB13" s="245"/>
      <c r="AC13" s="245"/>
      <c r="AD13" s="245"/>
    </row>
    <row r="14" spans="2:30" ht="17.25" thickBot="1">
      <c r="B14" s="374"/>
      <c r="C14" s="372"/>
      <c r="D14" s="375" t="s">
        <v>5</v>
      </c>
      <c r="E14" s="49" t="s">
        <v>12</v>
      </c>
      <c r="F14" s="378" t="s">
        <v>209</v>
      </c>
      <c r="G14" s="337"/>
      <c r="H14" s="50">
        <v>4</v>
      </c>
      <c r="I14" s="51" t="s">
        <v>334</v>
      </c>
      <c r="J14" s="52">
        <v>3</v>
      </c>
      <c r="K14" s="378">
        <v>3</v>
      </c>
      <c r="L14" s="335"/>
      <c r="M14" s="332"/>
      <c r="N14" s="333"/>
      <c r="O14" s="336"/>
      <c r="P14" s="335"/>
      <c r="Q14" s="332"/>
      <c r="R14" s="333"/>
      <c r="S14" s="336"/>
      <c r="T14" s="335"/>
      <c r="U14" s="332"/>
      <c r="V14" s="337"/>
      <c r="W14" s="53">
        <f t="shared" si="0"/>
        <v>3</v>
      </c>
      <c r="X14" s="424">
        <f>SUM(W14:W17)</f>
        <v>12</v>
      </c>
      <c r="Y14" s="350"/>
      <c r="AA14" s="245"/>
      <c r="AB14" s="245"/>
      <c r="AC14" s="245"/>
      <c r="AD14" s="245"/>
    </row>
    <row r="15" spans="2:30" ht="17.25" thickBot="1">
      <c r="B15" s="374"/>
      <c r="C15" s="372"/>
      <c r="D15" s="376"/>
      <c r="E15" s="54" t="s">
        <v>12</v>
      </c>
      <c r="F15" s="320" t="s">
        <v>211</v>
      </c>
      <c r="G15" s="325"/>
      <c r="H15" s="55">
        <v>4</v>
      </c>
      <c r="I15" s="56" t="s">
        <v>334</v>
      </c>
      <c r="J15" s="57">
        <v>3</v>
      </c>
      <c r="K15" s="320"/>
      <c r="L15" s="321"/>
      <c r="M15" s="322">
        <v>3</v>
      </c>
      <c r="N15" s="323"/>
      <c r="O15" s="324"/>
      <c r="P15" s="321"/>
      <c r="Q15" s="322"/>
      <c r="R15" s="323"/>
      <c r="S15" s="324"/>
      <c r="T15" s="321"/>
      <c r="U15" s="322"/>
      <c r="V15" s="325"/>
      <c r="W15" s="58">
        <f t="shared" si="0"/>
        <v>3</v>
      </c>
      <c r="X15" s="461"/>
      <c r="Y15" s="350"/>
      <c r="AA15" s="245"/>
      <c r="AB15" s="245"/>
      <c r="AC15" s="245"/>
      <c r="AD15" s="245"/>
    </row>
    <row r="16" spans="2:30" ht="17.25" thickBot="1">
      <c r="B16" s="374"/>
      <c r="C16" s="372"/>
      <c r="D16" s="376"/>
      <c r="E16" s="59" t="s">
        <v>339</v>
      </c>
      <c r="F16" s="320" t="s">
        <v>212</v>
      </c>
      <c r="G16" s="325"/>
      <c r="H16" s="151">
        <v>4</v>
      </c>
      <c r="I16" s="152" t="s">
        <v>336</v>
      </c>
      <c r="J16" s="153">
        <v>3</v>
      </c>
      <c r="K16" s="320"/>
      <c r="L16" s="321"/>
      <c r="M16" s="322"/>
      <c r="N16" s="323"/>
      <c r="O16" s="324">
        <v>3</v>
      </c>
      <c r="P16" s="321"/>
      <c r="Q16" s="322"/>
      <c r="R16" s="323"/>
      <c r="S16" s="324"/>
      <c r="T16" s="321"/>
      <c r="U16" s="322"/>
      <c r="V16" s="325"/>
      <c r="W16" s="58">
        <f t="shared" si="0"/>
        <v>3</v>
      </c>
      <c r="X16" s="461"/>
      <c r="Y16" s="350"/>
      <c r="AA16" s="245"/>
      <c r="AB16" s="245"/>
      <c r="AC16" s="245"/>
      <c r="AD16" s="245"/>
    </row>
    <row r="17" spans="2:30" ht="17.25" thickBot="1">
      <c r="B17" s="374"/>
      <c r="C17" s="372"/>
      <c r="D17" s="377"/>
      <c r="E17" s="59" t="s">
        <v>335</v>
      </c>
      <c r="F17" s="379" t="s">
        <v>337</v>
      </c>
      <c r="G17" s="349"/>
      <c r="H17" s="60">
        <v>4</v>
      </c>
      <c r="I17" s="61" t="s">
        <v>336</v>
      </c>
      <c r="J17" s="62">
        <v>3</v>
      </c>
      <c r="K17" s="379"/>
      <c r="L17" s="346"/>
      <c r="M17" s="347"/>
      <c r="N17" s="348"/>
      <c r="O17" s="345"/>
      <c r="P17" s="346"/>
      <c r="Q17" s="347">
        <v>3</v>
      </c>
      <c r="R17" s="348"/>
      <c r="S17" s="345"/>
      <c r="T17" s="346"/>
      <c r="U17" s="347"/>
      <c r="V17" s="349"/>
      <c r="W17" s="58">
        <f t="shared" si="0"/>
        <v>3</v>
      </c>
      <c r="X17" s="461"/>
      <c r="Y17" s="350"/>
      <c r="AA17" s="245"/>
      <c r="AB17" s="522"/>
      <c r="AC17" s="522"/>
      <c r="AD17" s="522"/>
    </row>
    <row r="18" spans="2:30" ht="17.25" thickBot="1">
      <c r="B18" s="374"/>
      <c r="C18" s="372"/>
      <c r="D18" s="375" t="s">
        <v>6</v>
      </c>
      <c r="E18" s="49" t="s">
        <v>12</v>
      </c>
      <c r="F18" s="378" t="s">
        <v>216</v>
      </c>
      <c r="G18" s="337"/>
      <c r="H18" s="50">
        <v>4</v>
      </c>
      <c r="I18" s="51" t="s">
        <v>334</v>
      </c>
      <c r="J18" s="52">
        <v>3</v>
      </c>
      <c r="K18" s="378">
        <v>3</v>
      </c>
      <c r="L18" s="335"/>
      <c r="M18" s="332"/>
      <c r="N18" s="333"/>
      <c r="O18" s="336"/>
      <c r="P18" s="335"/>
      <c r="Q18" s="332"/>
      <c r="R18" s="333"/>
      <c r="S18" s="336"/>
      <c r="T18" s="335"/>
      <c r="U18" s="332"/>
      <c r="V18" s="337"/>
      <c r="W18" s="53">
        <f t="shared" si="0"/>
        <v>3</v>
      </c>
      <c r="X18" s="424">
        <f>SUM(W18:W21)</f>
        <v>12</v>
      </c>
      <c r="Y18" s="350"/>
      <c r="AA18" s="155"/>
      <c r="AB18" s="155"/>
      <c r="AC18" s="155"/>
      <c r="AD18" s="155"/>
    </row>
    <row r="19" spans="2:30" ht="17.25" thickBot="1">
      <c r="B19" s="374"/>
      <c r="C19" s="372"/>
      <c r="D19" s="376"/>
      <c r="E19" s="54" t="s">
        <v>12</v>
      </c>
      <c r="F19" s="320" t="s">
        <v>222</v>
      </c>
      <c r="G19" s="325"/>
      <c r="H19" s="55">
        <v>4</v>
      </c>
      <c r="I19" s="56" t="s">
        <v>334</v>
      </c>
      <c r="J19" s="57">
        <v>3</v>
      </c>
      <c r="K19" s="320"/>
      <c r="L19" s="321"/>
      <c r="M19" s="322">
        <v>3</v>
      </c>
      <c r="N19" s="323"/>
      <c r="O19" s="324"/>
      <c r="P19" s="321"/>
      <c r="Q19" s="322"/>
      <c r="R19" s="323"/>
      <c r="S19" s="324"/>
      <c r="T19" s="321"/>
      <c r="U19" s="322"/>
      <c r="V19" s="325"/>
      <c r="W19" s="58">
        <f t="shared" si="0"/>
        <v>3</v>
      </c>
      <c r="X19" s="461"/>
      <c r="Y19" s="350"/>
    </row>
    <row r="20" spans="2:30" ht="17.25" thickBot="1">
      <c r="B20" s="374"/>
      <c r="C20" s="372"/>
      <c r="D20" s="376"/>
      <c r="E20" s="159" t="s">
        <v>339</v>
      </c>
      <c r="F20" s="320" t="s">
        <v>499</v>
      </c>
      <c r="G20" s="325"/>
      <c r="H20" s="151">
        <v>4</v>
      </c>
      <c r="I20" s="152" t="s">
        <v>336</v>
      </c>
      <c r="J20" s="153">
        <v>3</v>
      </c>
      <c r="K20" s="320"/>
      <c r="L20" s="321"/>
      <c r="M20" s="322"/>
      <c r="N20" s="323"/>
      <c r="O20" s="324">
        <v>3</v>
      </c>
      <c r="P20" s="321"/>
      <c r="Q20" s="322"/>
      <c r="R20" s="323"/>
      <c r="S20" s="324"/>
      <c r="T20" s="321"/>
      <c r="U20" s="322"/>
      <c r="V20" s="325"/>
      <c r="W20" s="58">
        <f t="shared" si="0"/>
        <v>3</v>
      </c>
      <c r="X20" s="461"/>
      <c r="Y20" s="350"/>
    </row>
    <row r="21" spans="2:30" ht="17.25" thickBot="1">
      <c r="B21" s="374"/>
      <c r="C21" s="372"/>
      <c r="D21" s="377"/>
      <c r="E21" s="63" t="s">
        <v>335</v>
      </c>
      <c r="F21" s="379" t="s">
        <v>609</v>
      </c>
      <c r="G21" s="349"/>
      <c r="H21" s="60">
        <v>4</v>
      </c>
      <c r="I21" s="61" t="s">
        <v>336</v>
      </c>
      <c r="J21" s="62">
        <v>3</v>
      </c>
      <c r="K21" s="379"/>
      <c r="L21" s="346"/>
      <c r="M21" s="347"/>
      <c r="N21" s="348"/>
      <c r="O21" s="345"/>
      <c r="P21" s="346"/>
      <c r="Q21" s="347">
        <v>3</v>
      </c>
      <c r="R21" s="348"/>
      <c r="S21" s="345"/>
      <c r="T21" s="346"/>
      <c r="U21" s="347"/>
      <c r="V21" s="349"/>
      <c r="W21" s="58">
        <f t="shared" si="0"/>
        <v>3</v>
      </c>
      <c r="X21" s="461"/>
      <c r="Y21" s="350"/>
    </row>
    <row r="22" spans="2:30" ht="17.25" thickBot="1">
      <c r="B22" s="374"/>
      <c r="C22" s="372"/>
      <c r="D22" s="375" t="s">
        <v>338</v>
      </c>
      <c r="E22" s="49" t="s">
        <v>12</v>
      </c>
      <c r="F22" s="378" t="s">
        <v>230</v>
      </c>
      <c r="G22" s="337"/>
      <c r="H22" s="50">
        <v>3</v>
      </c>
      <c r="I22" s="64">
        <v>3</v>
      </c>
      <c r="J22" s="52">
        <v>3</v>
      </c>
      <c r="K22" s="423">
        <v>3</v>
      </c>
      <c r="L22" s="360"/>
      <c r="M22" s="361"/>
      <c r="N22" s="362"/>
      <c r="O22" s="359"/>
      <c r="P22" s="360"/>
      <c r="Q22" s="361"/>
      <c r="R22" s="362"/>
      <c r="S22" s="359"/>
      <c r="T22" s="360"/>
      <c r="U22" s="361"/>
      <c r="V22" s="363"/>
      <c r="W22" s="53">
        <f t="shared" si="0"/>
        <v>3</v>
      </c>
      <c r="X22" s="424">
        <f>SUM(W22:W23)</f>
        <v>6</v>
      </c>
      <c r="Y22" s="350">
        <v>6</v>
      </c>
    </row>
    <row r="23" spans="2:30" ht="17.25" thickBot="1">
      <c r="B23" s="374"/>
      <c r="C23" s="372"/>
      <c r="D23" s="376"/>
      <c r="E23" s="65" t="s">
        <v>12</v>
      </c>
      <c r="F23" s="426" t="s">
        <v>231</v>
      </c>
      <c r="G23" s="427"/>
      <c r="H23" s="66">
        <v>3</v>
      </c>
      <c r="I23" s="67">
        <v>3</v>
      </c>
      <c r="J23" s="248">
        <v>3</v>
      </c>
      <c r="K23" s="379"/>
      <c r="L23" s="346"/>
      <c r="M23" s="347">
        <v>3</v>
      </c>
      <c r="N23" s="348"/>
      <c r="O23" s="345"/>
      <c r="P23" s="346"/>
      <c r="Q23" s="347"/>
      <c r="R23" s="348"/>
      <c r="S23" s="345"/>
      <c r="T23" s="346"/>
      <c r="U23" s="347"/>
      <c r="V23" s="349"/>
      <c r="W23" s="69">
        <f t="shared" si="0"/>
        <v>3</v>
      </c>
      <c r="X23" s="425"/>
      <c r="Y23" s="350"/>
      <c r="AA23" s="370"/>
      <c r="AB23" s="370"/>
      <c r="AC23" s="246"/>
    </row>
    <row r="24" spans="2:30" ht="17.25" thickBot="1">
      <c r="B24" s="374"/>
      <c r="C24" s="372"/>
      <c r="D24" s="376"/>
      <c r="E24" s="49" t="s">
        <v>12</v>
      </c>
      <c r="F24" s="378" t="s">
        <v>233</v>
      </c>
      <c r="G24" s="337"/>
      <c r="H24" s="50">
        <v>4</v>
      </c>
      <c r="I24" s="64" t="s">
        <v>334</v>
      </c>
      <c r="J24" s="52">
        <v>3</v>
      </c>
      <c r="K24" s="378"/>
      <c r="L24" s="335"/>
      <c r="M24" s="332"/>
      <c r="N24" s="333"/>
      <c r="O24" s="336">
        <v>3</v>
      </c>
      <c r="P24" s="335"/>
      <c r="Q24" s="332"/>
      <c r="R24" s="333"/>
      <c r="S24" s="336"/>
      <c r="T24" s="335"/>
      <c r="U24" s="332"/>
      <c r="V24" s="337"/>
      <c r="W24" s="53">
        <f t="shared" si="0"/>
        <v>3</v>
      </c>
      <c r="X24" s="424">
        <f>SUM(W24:W25)</f>
        <v>6</v>
      </c>
      <c r="Y24" s="350">
        <v>12</v>
      </c>
    </row>
    <row r="25" spans="2:30" ht="17.25" thickBot="1">
      <c r="B25" s="374"/>
      <c r="C25" s="372"/>
      <c r="D25" s="377"/>
      <c r="E25" s="63" t="s">
        <v>12</v>
      </c>
      <c r="F25" s="379" t="s">
        <v>234</v>
      </c>
      <c r="G25" s="349"/>
      <c r="H25" s="60">
        <v>4</v>
      </c>
      <c r="I25" s="61" t="s">
        <v>334</v>
      </c>
      <c r="J25" s="62">
        <v>3</v>
      </c>
      <c r="K25" s="379"/>
      <c r="L25" s="346"/>
      <c r="M25" s="347"/>
      <c r="N25" s="348"/>
      <c r="O25" s="345"/>
      <c r="P25" s="346"/>
      <c r="Q25" s="347">
        <v>3</v>
      </c>
      <c r="R25" s="348"/>
      <c r="S25" s="345"/>
      <c r="T25" s="346"/>
      <c r="U25" s="347"/>
      <c r="V25" s="349"/>
      <c r="W25" s="69">
        <f t="shared" si="0"/>
        <v>3</v>
      </c>
      <c r="X25" s="425"/>
      <c r="Y25" s="350"/>
    </row>
    <row r="26" spans="2:30" ht="17.25" thickBot="1">
      <c r="B26" s="374"/>
      <c r="C26" s="372"/>
      <c r="D26" s="375" t="s">
        <v>26</v>
      </c>
      <c r="E26" s="49" t="s">
        <v>12</v>
      </c>
      <c r="F26" s="378" t="s">
        <v>251</v>
      </c>
      <c r="G26" s="337"/>
      <c r="H26" s="50">
        <v>4</v>
      </c>
      <c r="I26" s="64" t="s">
        <v>334</v>
      </c>
      <c r="J26" s="52">
        <v>3</v>
      </c>
      <c r="K26" s="378">
        <v>3</v>
      </c>
      <c r="L26" s="335"/>
      <c r="M26" s="332"/>
      <c r="N26" s="333"/>
      <c r="O26" s="336"/>
      <c r="P26" s="335"/>
      <c r="Q26" s="332"/>
      <c r="R26" s="333"/>
      <c r="S26" s="336"/>
      <c r="T26" s="335"/>
      <c r="U26" s="332"/>
      <c r="V26" s="337"/>
      <c r="W26" s="53">
        <f t="shared" si="0"/>
        <v>3</v>
      </c>
      <c r="X26" s="371">
        <f>SUM(W26:W27)</f>
        <v>6</v>
      </c>
      <c r="Y26" s="350"/>
    </row>
    <row r="27" spans="2:30" ht="17.25" thickBot="1">
      <c r="B27" s="374"/>
      <c r="C27" s="372"/>
      <c r="D27" s="376"/>
      <c r="E27" s="54" t="s">
        <v>12</v>
      </c>
      <c r="F27" s="320" t="s">
        <v>252</v>
      </c>
      <c r="G27" s="325"/>
      <c r="H27" s="55">
        <v>4</v>
      </c>
      <c r="I27" s="56" t="s">
        <v>334</v>
      </c>
      <c r="J27" s="57">
        <v>3</v>
      </c>
      <c r="K27" s="320"/>
      <c r="L27" s="321"/>
      <c r="M27" s="322">
        <v>3</v>
      </c>
      <c r="N27" s="323"/>
      <c r="O27" s="324"/>
      <c r="P27" s="321"/>
      <c r="Q27" s="322"/>
      <c r="R27" s="323"/>
      <c r="S27" s="324"/>
      <c r="T27" s="321"/>
      <c r="U27" s="322"/>
      <c r="V27" s="325"/>
      <c r="W27" s="58">
        <f t="shared" si="0"/>
        <v>3</v>
      </c>
      <c r="X27" s="372"/>
      <c r="Y27" s="350"/>
    </row>
    <row r="28" spans="2:30" ht="16.5" customHeight="1" thickBot="1">
      <c r="B28" s="374"/>
      <c r="C28" s="372"/>
      <c r="D28" s="375" t="s">
        <v>8</v>
      </c>
      <c r="E28" s="49" t="s">
        <v>339</v>
      </c>
      <c r="F28" s="378" t="s">
        <v>340</v>
      </c>
      <c r="G28" s="337"/>
      <c r="H28" s="50">
        <v>3</v>
      </c>
      <c r="I28" s="64" t="s">
        <v>341</v>
      </c>
      <c r="J28" s="52">
        <f t="shared" ref="J28:J29" si="1">SUM(K28:V28)</f>
        <v>2</v>
      </c>
      <c r="K28" s="378">
        <v>2</v>
      </c>
      <c r="L28" s="335"/>
      <c r="M28" s="332"/>
      <c r="N28" s="333"/>
      <c r="O28" s="336"/>
      <c r="P28" s="335"/>
      <c r="Q28" s="332"/>
      <c r="R28" s="333"/>
      <c r="S28" s="336"/>
      <c r="T28" s="335"/>
      <c r="U28" s="332"/>
      <c r="V28" s="337"/>
      <c r="W28" s="53">
        <f>SUM(K28:V28)</f>
        <v>2</v>
      </c>
      <c r="X28" s="428">
        <f>SUM(W28:W32)</f>
        <v>8</v>
      </c>
      <c r="Y28" s="350">
        <v>8</v>
      </c>
    </row>
    <row r="29" spans="2:30" ht="17.25" thickBot="1">
      <c r="B29" s="374"/>
      <c r="C29" s="372"/>
      <c r="D29" s="376"/>
      <c r="E29" s="54" t="s">
        <v>339</v>
      </c>
      <c r="F29" s="320" t="s">
        <v>342</v>
      </c>
      <c r="G29" s="325"/>
      <c r="H29" s="55">
        <v>3</v>
      </c>
      <c r="I29" s="56" t="s">
        <v>341</v>
      </c>
      <c r="J29" s="57">
        <f t="shared" si="1"/>
        <v>2</v>
      </c>
      <c r="K29" s="320"/>
      <c r="L29" s="321"/>
      <c r="M29" s="322">
        <v>2</v>
      </c>
      <c r="N29" s="323"/>
      <c r="O29" s="324"/>
      <c r="P29" s="321"/>
      <c r="Q29" s="322"/>
      <c r="R29" s="323"/>
      <c r="S29" s="324"/>
      <c r="T29" s="321"/>
      <c r="U29" s="322"/>
      <c r="V29" s="325"/>
      <c r="W29" s="58">
        <f t="shared" ref="W29:W32" si="2">SUM(K29:V29)</f>
        <v>2</v>
      </c>
      <c r="X29" s="429"/>
      <c r="Y29" s="350"/>
    </row>
    <row r="30" spans="2:30" ht="17.25" thickBot="1">
      <c r="B30" s="374"/>
      <c r="C30" s="372"/>
      <c r="D30" s="376"/>
      <c r="E30" s="54" t="s">
        <v>335</v>
      </c>
      <c r="F30" s="320" t="s">
        <v>357</v>
      </c>
      <c r="G30" s="325"/>
      <c r="H30" s="55">
        <v>2</v>
      </c>
      <c r="I30" s="56" t="s">
        <v>501</v>
      </c>
      <c r="J30" s="57">
        <v>1</v>
      </c>
      <c r="K30" s="320"/>
      <c r="L30" s="321"/>
      <c r="M30" s="322"/>
      <c r="N30" s="323"/>
      <c r="O30" s="324">
        <v>1</v>
      </c>
      <c r="P30" s="321"/>
      <c r="Q30" s="322"/>
      <c r="R30" s="323"/>
      <c r="S30" s="324"/>
      <c r="T30" s="321"/>
      <c r="U30" s="322"/>
      <c r="V30" s="325"/>
      <c r="W30" s="58">
        <f t="shared" si="2"/>
        <v>1</v>
      </c>
      <c r="X30" s="429"/>
      <c r="Y30" s="350"/>
    </row>
    <row r="31" spans="2:30" ht="17.25" thickBot="1">
      <c r="B31" s="374"/>
      <c r="C31" s="372"/>
      <c r="D31" s="376"/>
      <c r="E31" s="54" t="s">
        <v>335</v>
      </c>
      <c r="F31" s="320" t="s">
        <v>500</v>
      </c>
      <c r="G31" s="325"/>
      <c r="H31" s="55">
        <v>2</v>
      </c>
      <c r="I31" s="56" t="s">
        <v>501</v>
      </c>
      <c r="J31" s="57">
        <v>1</v>
      </c>
      <c r="K31" s="320"/>
      <c r="L31" s="321"/>
      <c r="M31" s="322"/>
      <c r="N31" s="323"/>
      <c r="O31" s="324"/>
      <c r="P31" s="321"/>
      <c r="Q31" s="322">
        <v>1</v>
      </c>
      <c r="R31" s="323"/>
      <c r="S31" s="324"/>
      <c r="T31" s="321"/>
      <c r="U31" s="322"/>
      <c r="V31" s="325"/>
      <c r="W31" s="58">
        <f t="shared" si="2"/>
        <v>1</v>
      </c>
      <c r="X31" s="429"/>
      <c r="Y31" s="350"/>
    </row>
    <row r="32" spans="2:30" ht="17.25" thickBot="1">
      <c r="B32" s="374"/>
      <c r="C32" s="372"/>
      <c r="D32" s="377"/>
      <c r="E32" s="63" t="s">
        <v>335</v>
      </c>
      <c r="F32" s="379" t="s">
        <v>575</v>
      </c>
      <c r="G32" s="349"/>
      <c r="H32" s="60">
        <v>3</v>
      </c>
      <c r="I32" s="61" t="s">
        <v>341</v>
      </c>
      <c r="J32" s="62">
        <v>2</v>
      </c>
      <c r="K32" s="379"/>
      <c r="L32" s="346"/>
      <c r="M32" s="347"/>
      <c r="N32" s="348"/>
      <c r="O32" s="345"/>
      <c r="P32" s="346"/>
      <c r="Q32" s="347"/>
      <c r="R32" s="348"/>
      <c r="S32" s="345">
        <v>2</v>
      </c>
      <c r="T32" s="346"/>
      <c r="U32" s="347"/>
      <c r="V32" s="349"/>
      <c r="W32" s="69">
        <f t="shared" si="2"/>
        <v>2</v>
      </c>
      <c r="X32" s="430"/>
      <c r="Y32" s="350"/>
    </row>
    <row r="33" spans="2:28">
      <c r="B33" s="374"/>
      <c r="C33" s="372"/>
      <c r="D33" s="433" t="s">
        <v>28</v>
      </c>
      <c r="E33" s="49" t="s">
        <v>339</v>
      </c>
      <c r="F33" s="378" t="s">
        <v>47</v>
      </c>
      <c r="G33" s="337"/>
      <c r="H33" s="50">
        <v>3</v>
      </c>
      <c r="I33" s="70" t="s">
        <v>341</v>
      </c>
      <c r="J33" s="52">
        <v>2</v>
      </c>
      <c r="K33" s="378">
        <v>2</v>
      </c>
      <c r="L33" s="335"/>
      <c r="M33" s="332"/>
      <c r="N33" s="333"/>
      <c r="O33" s="336"/>
      <c r="P33" s="335"/>
      <c r="Q33" s="332"/>
      <c r="R33" s="333"/>
      <c r="S33" s="336"/>
      <c r="T33" s="335"/>
      <c r="U33" s="332"/>
      <c r="V33" s="334"/>
      <c r="W33" s="163">
        <f>SUM(K33:V33)</f>
        <v>2</v>
      </c>
      <c r="X33" s="524">
        <f>SUM(W33:W36)</f>
        <v>8</v>
      </c>
      <c r="Y33" s="447">
        <v>6</v>
      </c>
    </row>
    <row r="34" spans="2:28">
      <c r="B34" s="374"/>
      <c r="C34" s="372"/>
      <c r="D34" s="434"/>
      <c r="E34" s="59" t="s">
        <v>335</v>
      </c>
      <c r="F34" s="320" t="s">
        <v>279</v>
      </c>
      <c r="G34" s="325"/>
      <c r="H34" s="55">
        <v>3</v>
      </c>
      <c r="I34" s="56" t="s">
        <v>341</v>
      </c>
      <c r="J34" s="57">
        <v>2</v>
      </c>
      <c r="K34" s="320"/>
      <c r="L34" s="321"/>
      <c r="M34" s="322">
        <v>2</v>
      </c>
      <c r="N34" s="323"/>
      <c r="O34" s="324"/>
      <c r="P34" s="321"/>
      <c r="Q34" s="322"/>
      <c r="R34" s="323"/>
      <c r="S34" s="324"/>
      <c r="T34" s="321"/>
      <c r="U34" s="322"/>
      <c r="V34" s="325"/>
      <c r="W34" s="58">
        <f t="shared" ref="W34:W36" si="3">SUM(K34:V34)</f>
        <v>2</v>
      </c>
      <c r="X34" s="525"/>
      <c r="Y34" s="448"/>
    </row>
    <row r="35" spans="2:28">
      <c r="B35" s="374"/>
      <c r="C35" s="372"/>
      <c r="D35" s="434"/>
      <c r="E35" s="59" t="s">
        <v>335</v>
      </c>
      <c r="F35" s="320" t="s">
        <v>636</v>
      </c>
      <c r="G35" s="325"/>
      <c r="H35" s="156">
        <v>3</v>
      </c>
      <c r="I35" s="158" t="s">
        <v>341</v>
      </c>
      <c r="J35" s="157">
        <v>2</v>
      </c>
      <c r="K35" s="320"/>
      <c r="L35" s="321"/>
      <c r="M35" s="322"/>
      <c r="N35" s="323"/>
      <c r="O35" s="324">
        <v>2</v>
      </c>
      <c r="P35" s="321"/>
      <c r="Q35" s="322"/>
      <c r="R35" s="323"/>
      <c r="S35" s="324"/>
      <c r="T35" s="321"/>
      <c r="U35" s="322"/>
      <c r="V35" s="325"/>
      <c r="W35" s="161">
        <f t="shared" si="3"/>
        <v>2</v>
      </c>
      <c r="X35" s="525"/>
      <c r="Y35" s="448"/>
    </row>
    <row r="36" spans="2:28" ht="17.25" thickBot="1">
      <c r="B36" s="374"/>
      <c r="C36" s="372"/>
      <c r="D36" s="435"/>
      <c r="E36" s="59" t="s">
        <v>707</v>
      </c>
      <c r="F36" s="379" t="s">
        <v>637</v>
      </c>
      <c r="G36" s="349"/>
      <c r="H36" s="156">
        <v>3</v>
      </c>
      <c r="I36" s="158" t="s">
        <v>341</v>
      </c>
      <c r="J36" s="157">
        <v>2</v>
      </c>
      <c r="K36" s="379"/>
      <c r="L36" s="346"/>
      <c r="M36" s="347"/>
      <c r="N36" s="348"/>
      <c r="O36" s="345"/>
      <c r="P36" s="346"/>
      <c r="Q36" s="347">
        <v>2</v>
      </c>
      <c r="R36" s="348"/>
      <c r="S36" s="345"/>
      <c r="T36" s="346"/>
      <c r="U36" s="347"/>
      <c r="V36" s="349"/>
      <c r="W36" s="162">
        <f t="shared" si="3"/>
        <v>2</v>
      </c>
      <c r="X36" s="526"/>
      <c r="Y36" s="466"/>
    </row>
    <row r="37" spans="2:28" ht="16.5" customHeight="1" thickBot="1">
      <c r="B37" s="374"/>
      <c r="C37" s="372"/>
      <c r="D37" s="431" t="s">
        <v>610</v>
      </c>
      <c r="E37" s="49" t="s">
        <v>339</v>
      </c>
      <c r="F37" s="378" t="s">
        <v>638</v>
      </c>
      <c r="G37" s="337"/>
      <c r="H37" s="50">
        <v>3</v>
      </c>
      <c r="I37" s="64" t="s">
        <v>341</v>
      </c>
      <c r="J37" s="52">
        <v>4</v>
      </c>
      <c r="K37" s="378">
        <v>4</v>
      </c>
      <c r="L37" s="335"/>
      <c r="M37" s="332"/>
      <c r="N37" s="333"/>
      <c r="O37" s="336"/>
      <c r="P37" s="335"/>
      <c r="Q37" s="332"/>
      <c r="R37" s="333"/>
      <c r="S37" s="336"/>
      <c r="T37" s="335"/>
      <c r="U37" s="332"/>
      <c r="V37" s="337"/>
      <c r="W37" s="312">
        <f>SUM(K37:V38)</f>
        <v>8</v>
      </c>
      <c r="X37" s="313"/>
      <c r="Y37" s="350">
        <v>8</v>
      </c>
    </row>
    <row r="38" spans="2:28" ht="16.5" customHeight="1" thickBot="1">
      <c r="B38" s="374"/>
      <c r="C38" s="372"/>
      <c r="D38" s="432"/>
      <c r="E38" s="59" t="s">
        <v>335</v>
      </c>
      <c r="F38" s="320" t="s">
        <v>639</v>
      </c>
      <c r="G38" s="325"/>
      <c r="H38" s="55">
        <v>3</v>
      </c>
      <c r="I38" s="56" t="s">
        <v>341</v>
      </c>
      <c r="J38" s="57">
        <v>4</v>
      </c>
      <c r="K38" s="320"/>
      <c r="L38" s="321"/>
      <c r="M38" s="322">
        <v>4</v>
      </c>
      <c r="N38" s="323"/>
      <c r="O38" s="324"/>
      <c r="P38" s="321"/>
      <c r="Q38" s="322"/>
      <c r="R38" s="323"/>
      <c r="S38" s="324"/>
      <c r="T38" s="321"/>
      <c r="U38" s="322"/>
      <c r="V38" s="325"/>
      <c r="W38" s="314"/>
      <c r="X38" s="315"/>
      <c r="Y38" s="350"/>
    </row>
    <row r="39" spans="2:28" ht="24.75" customHeight="1" thickBot="1">
      <c r="B39" s="342" t="s">
        <v>350</v>
      </c>
      <c r="C39" s="487"/>
      <c r="D39" s="487"/>
      <c r="E39" s="487"/>
      <c r="F39" s="487"/>
      <c r="G39" s="467"/>
      <c r="H39" s="247">
        <f>SUM(H9:H38)</f>
        <v>105</v>
      </c>
      <c r="I39" s="14"/>
      <c r="J39" s="250">
        <f>SUM(J9:J38)</f>
        <v>81</v>
      </c>
      <c r="K39" s="527">
        <f>SUM(K9:L38)</f>
        <v>23</v>
      </c>
      <c r="L39" s="340"/>
      <c r="M39" s="340">
        <f>SUM(M9:N38)</f>
        <v>23</v>
      </c>
      <c r="N39" s="436"/>
      <c r="O39" s="437">
        <f>SUM(O9:P38)</f>
        <v>15</v>
      </c>
      <c r="P39" s="340"/>
      <c r="Q39" s="340">
        <f>SUM(Q9:R38)</f>
        <v>15</v>
      </c>
      <c r="R39" s="344"/>
      <c r="S39" s="343">
        <f>SUM(S9:T38)</f>
        <v>5</v>
      </c>
      <c r="T39" s="340"/>
      <c r="U39" s="340">
        <f>SUM(U9:V38)</f>
        <v>0</v>
      </c>
      <c r="V39" s="341"/>
      <c r="W39" s="342">
        <f>SUM(K39:V39)</f>
        <v>81</v>
      </c>
      <c r="X39" s="343"/>
      <c r="Y39" s="250">
        <f>SUM(Y9:Y38)</f>
        <v>64</v>
      </c>
      <c r="AA39" s="438" t="b">
        <f>W39&gt;=Y39</f>
        <v>1</v>
      </c>
      <c r="AB39" s="439"/>
    </row>
    <row r="40" spans="2:28" ht="17.25" customHeight="1" thickBot="1">
      <c r="B40" s="591" t="s">
        <v>606</v>
      </c>
      <c r="C40" s="592"/>
      <c r="D40" s="494" t="s">
        <v>344</v>
      </c>
      <c r="E40" s="495"/>
      <c r="F40" s="444" t="s">
        <v>502</v>
      </c>
      <c r="G40" s="445"/>
      <c r="H40" s="39"/>
      <c r="I40" s="40"/>
      <c r="J40" s="167">
        <v>3</v>
      </c>
      <c r="K40" s="446"/>
      <c r="L40" s="330"/>
      <c r="M40" s="327"/>
      <c r="N40" s="328"/>
      <c r="O40" s="329"/>
      <c r="P40" s="330"/>
      <c r="Q40" s="327"/>
      <c r="R40" s="328"/>
      <c r="S40" s="329"/>
      <c r="T40" s="330"/>
      <c r="U40" s="327">
        <v>3</v>
      </c>
      <c r="V40" s="331"/>
      <c r="W40" s="338">
        <f>SUM(K40:V40)</f>
        <v>3</v>
      </c>
      <c r="X40" s="339"/>
      <c r="Y40" s="447">
        <v>80</v>
      </c>
    </row>
    <row r="41" spans="2:28" ht="17.25" customHeight="1">
      <c r="B41" s="593"/>
      <c r="C41" s="594"/>
      <c r="D41" s="71" t="s">
        <v>512</v>
      </c>
      <c r="E41" s="72" t="s">
        <v>345</v>
      </c>
      <c r="F41" s="449" t="s">
        <v>622</v>
      </c>
      <c r="G41" s="450"/>
      <c r="H41" s="42"/>
      <c r="I41" s="41"/>
      <c r="J41" s="157">
        <v>3</v>
      </c>
      <c r="K41" s="320">
        <v>3</v>
      </c>
      <c r="L41" s="321"/>
      <c r="M41" s="322"/>
      <c r="N41" s="326"/>
      <c r="O41" s="324"/>
      <c r="P41" s="321"/>
      <c r="Q41" s="322"/>
      <c r="R41" s="323"/>
      <c r="S41" s="326"/>
      <c r="T41" s="321"/>
      <c r="U41" s="322"/>
      <c r="V41" s="325"/>
      <c r="W41" s="351">
        <f t="shared" ref="W41:W50" si="4">SUM(K41:V41)</f>
        <v>3</v>
      </c>
      <c r="X41" s="352"/>
      <c r="Y41" s="448"/>
    </row>
    <row r="42" spans="2:28" ht="17.25" customHeight="1">
      <c r="B42" s="593"/>
      <c r="C42" s="594"/>
      <c r="D42" s="71" t="s">
        <v>512</v>
      </c>
      <c r="E42" s="72" t="s">
        <v>345</v>
      </c>
      <c r="F42" s="449" t="s">
        <v>623</v>
      </c>
      <c r="G42" s="450"/>
      <c r="H42" s="42"/>
      <c r="I42" s="41"/>
      <c r="J42" s="157">
        <v>3</v>
      </c>
      <c r="K42" s="320"/>
      <c r="L42" s="321"/>
      <c r="M42" s="322">
        <v>3</v>
      </c>
      <c r="N42" s="323"/>
      <c r="O42" s="324"/>
      <c r="P42" s="321"/>
      <c r="Q42" s="322"/>
      <c r="R42" s="323"/>
      <c r="S42" s="324"/>
      <c r="T42" s="321"/>
      <c r="U42" s="322"/>
      <c r="V42" s="325"/>
      <c r="W42" s="351">
        <f t="shared" si="4"/>
        <v>3</v>
      </c>
      <c r="X42" s="352"/>
      <c r="Y42" s="448"/>
    </row>
    <row r="43" spans="2:28" ht="17.25" customHeight="1">
      <c r="B43" s="593"/>
      <c r="C43" s="594"/>
      <c r="D43" s="71" t="s">
        <v>512</v>
      </c>
      <c r="E43" s="72" t="s">
        <v>346</v>
      </c>
      <c r="F43" s="449" t="s">
        <v>627</v>
      </c>
      <c r="G43" s="450"/>
      <c r="H43" s="42"/>
      <c r="I43" s="41"/>
      <c r="J43" s="157">
        <v>10</v>
      </c>
      <c r="K43" s="320"/>
      <c r="L43" s="321"/>
      <c r="M43" s="322"/>
      <c r="N43" s="323"/>
      <c r="O43" s="324">
        <v>5</v>
      </c>
      <c r="P43" s="321"/>
      <c r="Q43" s="322">
        <v>5</v>
      </c>
      <c r="R43" s="323"/>
      <c r="S43" s="324"/>
      <c r="T43" s="321"/>
      <c r="U43" s="322"/>
      <c r="V43" s="325"/>
      <c r="W43" s="351">
        <v>10</v>
      </c>
      <c r="X43" s="352"/>
      <c r="Y43" s="448"/>
    </row>
    <row r="44" spans="2:28" ht="17.25" customHeight="1">
      <c r="B44" s="593"/>
      <c r="C44" s="594"/>
      <c r="D44" s="71" t="s">
        <v>512</v>
      </c>
      <c r="E44" s="72" t="s">
        <v>345</v>
      </c>
      <c r="F44" s="449" t="s">
        <v>624</v>
      </c>
      <c r="G44" s="450"/>
      <c r="H44" s="42"/>
      <c r="I44" s="41"/>
      <c r="J44" s="157">
        <v>4</v>
      </c>
      <c r="K44" s="320"/>
      <c r="L44" s="321"/>
      <c r="M44" s="322"/>
      <c r="N44" s="323"/>
      <c r="O44" s="324">
        <v>4</v>
      </c>
      <c r="P44" s="321"/>
      <c r="Q44" s="322"/>
      <c r="R44" s="323"/>
      <c r="S44" s="324"/>
      <c r="T44" s="321"/>
      <c r="U44" s="322"/>
      <c r="V44" s="325"/>
      <c r="W44" s="351">
        <f t="shared" si="4"/>
        <v>4</v>
      </c>
      <c r="X44" s="352"/>
      <c r="Y44" s="448"/>
    </row>
    <row r="45" spans="2:28" ht="17.25" customHeight="1">
      <c r="B45" s="593"/>
      <c r="C45" s="594"/>
      <c r="D45" s="71" t="s">
        <v>66</v>
      </c>
      <c r="E45" s="72" t="s">
        <v>345</v>
      </c>
      <c r="F45" s="318" t="s">
        <v>625</v>
      </c>
      <c r="G45" s="319"/>
      <c r="H45" s="42"/>
      <c r="I45" s="41"/>
      <c r="J45" s="157">
        <v>4</v>
      </c>
      <c r="K45" s="320"/>
      <c r="L45" s="321"/>
      <c r="M45" s="322"/>
      <c r="N45" s="323"/>
      <c r="O45" s="324"/>
      <c r="P45" s="321"/>
      <c r="Q45" s="322">
        <v>4</v>
      </c>
      <c r="R45" s="323"/>
      <c r="S45" s="324"/>
      <c r="T45" s="321"/>
      <c r="U45" s="322"/>
      <c r="V45" s="325"/>
      <c r="W45" s="351">
        <f t="shared" si="4"/>
        <v>4</v>
      </c>
      <c r="X45" s="352"/>
      <c r="Y45" s="448"/>
    </row>
    <row r="46" spans="2:28" ht="17.25" customHeight="1">
      <c r="B46" s="593"/>
      <c r="C46" s="594"/>
      <c r="D46" s="71" t="s">
        <v>66</v>
      </c>
      <c r="E46" s="72" t="s">
        <v>345</v>
      </c>
      <c r="F46" s="318" t="s">
        <v>626</v>
      </c>
      <c r="G46" s="319"/>
      <c r="H46" s="42"/>
      <c r="I46" s="41"/>
      <c r="J46" s="157">
        <v>4</v>
      </c>
      <c r="K46" s="320"/>
      <c r="L46" s="321"/>
      <c r="M46" s="322"/>
      <c r="N46" s="323"/>
      <c r="O46" s="324"/>
      <c r="P46" s="321"/>
      <c r="Q46" s="322"/>
      <c r="R46" s="323"/>
      <c r="S46" s="324">
        <v>6</v>
      </c>
      <c r="T46" s="321"/>
      <c r="U46" s="322"/>
      <c r="V46" s="325"/>
      <c r="W46" s="351">
        <v>6</v>
      </c>
      <c r="X46" s="352"/>
      <c r="Y46" s="448"/>
    </row>
    <row r="47" spans="2:28" ht="17.25" customHeight="1">
      <c r="B47" s="593"/>
      <c r="C47" s="594"/>
      <c r="D47" s="71" t="s">
        <v>66</v>
      </c>
      <c r="E47" s="72" t="s">
        <v>346</v>
      </c>
      <c r="F47" s="318" t="s">
        <v>628</v>
      </c>
      <c r="G47" s="319"/>
      <c r="H47" s="42"/>
      <c r="I47" s="41"/>
      <c r="J47" s="157">
        <v>6</v>
      </c>
      <c r="K47" s="320"/>
      <c r="L47" s="321"/>
      <c r="M47" s="322"/>
      <c r="N47" s="323"/>
      <c r="O47" s="324"/>
      <c r="P47" s="321"/>
      <c r="Q47" s="322"/>
      <c r="R47" s="323"/>
      <c r="S47" s="324"/>
      <c r="T47" s="321"/>
      <c r="U47" s="322">
        <v>6</v>
      </c>
      <c r="V47" s="325"/>
      <c r="W47" s="351">
        <v>6</v>
      </c>
      <c r="X47" s="352"/>
      <c r="Y47" s="448"/>
    </row>
    <row r="48" spans="2:28" ht="17.25" customHeight="1">
      <c r="B48" s="593"/>
      <c r="C48" s="594"/>
      <c r="D48" s="71" t="s">
        <v>66</v>
      </c>
      <c r="E48" s="72" t="s">
        <v>346</v>
      </c>
      <c r="F48" s="318" t="s">
        <v>508</v>
      </c>
      <c r="G48" s="319"/>
      <c r="H48" s="42"/>
      <c r="I48" s="41"/>
      <c r="J48" s="157">
        <v>6</v>
      </c>
      <c r="K48" s="320"/>
      <c r="L48" s="321"/>
      <c r="M48" s="322"/>
      <c r="N48" s="323"/>
      <c r="O48" s="324"/>
      <c r="P48" s="321"/>
      <c r="Q48" s="322"/>
      <c r="R48" s="323"/>
      <c r="S48" s="324">
        <v>4</v>
      </c>
      <c r="T48" s="321"/>
      <c r="U48" s="322">
        <v>4</v>
      </c>
      <c r="V48" s="325"/>
      <c r="W48" s="351">
        <v>8</v>
      </c>
      <c r="X48" s="352"/>
      <c r="Y48" s="448"/>
    </row>
    <row r="49" spans="2:29" ht="17.25" customHeight="1">
      <c r="B49" s="593"/>
      <c r="C49" s="594"/>
      <c r="D49" s="71" t="s">
        <v>66</v>
      </c>
      <c r="E49" s="72" t="s">
        <v>346</v>
      </c>
      <c r="F49" s="318" t="s">
        <v>629</v>
      </c>
      <c r="G49" s="319"/>
      <c r="H49" s="42"/>
      <c r="I49" s="41"/>
      <c r="J49" s="157">
        <v>16</v>
      </c>
      <c r="K49" s="320"/>
      <c r="L49" s="321"/>
      <c r="M49" s="322"/>
      <c r="N49" s="323"/>
      <c r="O49" s="324"/>
      <c r="P49" s="321"/>
      <c r="Q49" s="322"/>
      <c r="R49" s="323"/>
      <c r="S49" s="324">
        <v>8</v>
      </c>
      <c r="T49" s="321"/>
      <c r="U49" s="322">
        <v>8</v>
      </c>
      <c r="V49" s="325"/>
      <c r="W49" s="351">
        <v>16</v>
      </c>
      <c r="X49" s="352"/>
      <c r="Y49" s="448"/>
    </row>
    <row r="50" spans="2:29" ht="17.25" customHeight="1" thickBot="1">
      <c r="B50" s="593"/>
      <c r="C50" s="594"/>
      <c r="D50" s="77" t="s">
        <v>66</v>
      </c>
      <c r="E50" s="72" t="s">
        <v>345</v>
      </c>
      <c r="F50" s="318" t="s">
        <v>706</v>
      </c>
      <c r="G50" s="319"/>
      <c r="H50" s="42"/>
      <c r="I50" s="41"/>
      <c r="J50" s="157">
        <v>2</v>
      </c>
      <c r="K50" s="320"/>
      <c r="L50" s="321"/>
      <c r="M50" s="322"/>
      <c r="N50" s="326"/>
      <c r="O50" s="324"/>
      <c r="P50" s="321"/>
      <c r="Q50" s="322"/>
      <c r="R50" s="323"/>
      <c r="S50" s="326"/>
      <c r="T50" s="321"/>
      <c r="U50" s="322">
        <v>2</v>
      </c>
      <c r="V50" s="325"/>
      <c r="W50" s="351">
        <f t="shared" si="4"/>
        <v>2</v>
      </c>
      <c r="X50" s="352"/>
      <c r="Y50" s="448"/>
    </row>
    <row r="51" spans="2:29" ht="16.5" customHeight="1">
      <c r="B51" s="455" t="s">
        <v>568</v>
      </c>
      <c r="C51" s="457" t="s">
        <v>621</v>
      </c>
      <c r="D51" s="74" t="s">
        <v>153</v>
      </c>
      <c r="E51" s="76" t="s">
        <v>346</v>
      </c>
      <c r="F51" s="459" t="s">
        <v>614</v>
      </c>
      <c r="G51" s="460"/>
      <c r="H51" s="37"/>
      <c r="I51" s="145"/>
      <c r="J51" s="424" t="s">
        <v>593</v>
      </c>
      <c r="K51" s="378">
        <v>3</v>
      </c>
      <c r="L51" s="335"/>
      <c r="M51" s="332">
        <v>3</v>
      </c>
      <c r="N51" s="334"/>
      <c r="O51" s="336"/>
      <c r="P51" s="335"/>
      <c r="Q51" s="332"/>
      <c r="R51" s="333"/>
      <c r="S51" s="334"/>
      <c r="T51" s="335"/>
      <c r="U51" s="332"/>
      <c r="V51" s="337"/>
      <c r="W51" s="312">
        <f>SUM(K51:V53)</f>
        <v>28</v>
      </c>
      <c r="X51" s="313"/>
      <c r="Y51" s="448"/>
    </row>
    <row r="52" spans="2:29" ht="16.5" customHeight="1">
      <c r="B52" s="456"/>
      <c r="C52" s="458"/>
      <c r="D52" s="73" t="s">
        <v>153</v>
      </c>
      <c r="E52" s="189" t="s">
        <v>569</v>
      </c>
      <c r="F52" s="318" t="s">
        <v>583</v>
      </c>
      <c r="G52" s="319"/>
      <c r="H52" s="42"/>
      <c r="I52" s="148"/>
      <c r="J52" s="461"/>
      <c r="K52" s="320"/>
      <c r="L52" s="321"/>
      <c r="M52" s="322"/>
      <c r="N52" s="323"/>
      <c r="O52" s="324">
        <v>5</v>
      </c>
      <c r="P52" s="321"/>
      <c r="Q52" s="322">
        <v>5</v>
      </c>
      <c r="R52" s="323"/>
      <c r="S52" s="324"/>
      <c r="T52" s="321"/>
      <c r="U52" s="322"/>
      <c r="V52" s="325"/>
      <c r="W52" s="314"/>
      <c r="X52" s="315"/>
      <c r="Y52" s="448"/>
    </row>
    <row r="53" spans="2:29" ht="17.25" thickBot="1">
      <c r="B53" s="456"/>
      <c r="C53" s="458"/>
      <c r="D53" s="77" t="s">
        <v>153</v>
      </c>
      <c r="E53" s="189" t="s">
        <v>569</v>
      </c>
      <c r="F53" s="318" t="s">
        <v>615</v>
      </c>
      <c r="G53" s="319"/>
      <c r="H53" s="38"/>
      <c r="I53" s="148"/>
      <c r="J53" s="461"/>
      <c r="K53" s="320"/>
      <c r="L53" s="321"/>
      <c r="M53" s="322"/>
      <c r="N53" s="326"/>
      <c r="O53" s="324"/>
      <c r="P53" s="321"/>
      <c r="Q53" s="322"/>
      <c r="R53" s="323"/>
      <c r="S53" s="326">
        <v>6</v>
      </c>
      <c r="T53" s="321"/>
      <c r="U53" s="322">
        <v>6</v>
      </c>
      <c r="V53" s="325"/>
      <c r="W53" s="314"/>
      <c r="X53" s="315"/>
      <c r="Y53" s="448"/>
    </row>
    <row r="54" spans="2:29">
      <c r="B54" s="456"/>
      <c r="C54" s="595" t="s">
        <v>607</v>
      </c>
      <c r="D54" s="252" t="s">
        <v>701</v>
      </c>
      <c r="E54" s="78" t="s">
        <v>345</v>
      </c>
      <c r="F54" s="451" t="s">
        <v>616</v>
      </c>
      <c r="G54" s="452"/>
      <c r="H54" s="37"/>
      <c r="I54" s="147"/>
      <c r="J54" s="461"/>
      <c r="K54" s="378">
        <v>3</v>
      </c>
      <c r="L54" s="335"/>
      <c r="M54" s="332"/>
      <c r="N54" s="334"/>
      <c r="O54" s="336"/>
      <c r="P54" s="335"/>
      <c r="Q54" s="332"/>
      <c r="R54" s="333"/>
      <c r="S54" s="334"/>
      <c r="T54" s="335"/>
      <c r="U54" s="332"/>
      <c r="V54" s="337"/>
      <c r="W54" s="312">
        <f>SUM(K54:V58)</f>
        <v>28</v>
      </c>
      <c r="X54" s="313"/>
      <c r="Y54" s="448"/>
    </row>
    <row r="55" spans="2:29">
      <c r="B55" s="456"/>
      <c r="C55" s="596"/>
      <c r="D55" s="79" t="s">
        <v>701</v>
      </c>
      <c r="E55" s="72" t="s">
        <v>345</v>
      </c>
      <c r="F55" s="318" t="s">
        <v>617</v>
      </c>
      <c r="G55" s="319"/>
      <c r="H55" s="38"/>
      <c r="I55" s="148"/>
      <c r="J55" s="461"/>
      <c r="K55" s="320"/>
      <c r="L55" s="321"/>
      <c r="M55" s="322">
        <v>3</v>
      </c>
      <c r="N55" s="326"/>
      <c r="O55" s="324"/>
      <c r="P55" s="321"/>
      <c r="Q55" s="322"/>
      <c r="R55" s="323"/>
      <c r="S55" s="326"/>
      <c r="T55" s="321"/>
      <c r="U55" s="322"/>
      <c r="V55" s="325"/>
      <c r="W55" s="314"/>
      <c r="X55" s="315"/>
      <c r="Y55" s="448"/>
    </row>
    <row r="56" spans="2:29">
      <c r="B56" s="456"/>
      <c r="C56" s="596"/>
      <c r="D56" s="71" t="s">
        <v>66</v>
      </c>
      <c r="E56" s="191" t="s">
        <v>570</v>
      </c>
      <c r="F56" s="318" t="s">
        <v>618</v>
      </c>
      <c r="G56" s="319"/>
      <c r="H56" s="165"/>
      <c r="I56" s="166"/>
      <c r="J56" s="461"/>
      <c r="K56" s="320"/>
      <c r="L56" s="321"/>
      <c r="M56" s="322"/>
      <c r="N56" s="323"/>
      <c r="O56" s="324">
        <v>5</v>
      </c>
      <c r="P56" s="321"/>
      <c r="Q56" s="322"/>
      <c r="R56" s="323"/>
      <c r="S56" s="324"/>
      <c r="T56" s="321"/>
      <c r="U56" s="322"/>
      <c r="V56" s="325"/>
      <c r="W56" s="314"/>
      <c r="X56" s="315"/>
      <c r="Y56" s="448"/>
    </row>
    <row r="57" spans="2:29">
      <c r="B57" s="456"/>
      <c r="C57" s="596"/>
      <c r="D57" s="79" t="s">
        <v>701</v>
      </c>
      <c r="E57" s="191" t="s">
        <v>570</v>
      </c>
      <c r="F57" s="318" t="s">
        <v>619</v>
      </c>
      <c r="G57" s="319"/>
      <c r="H57" s="165"/>
      <c r="I57" s="166"/>
      <c r="J57" s="461"/>
      <c r="K57" s="320"/>
      <c r="L57" s="321"/>
      <c r="M57" s="322"/>
      <c r="N57" s="323"/>
      <c r="O57" s="324"/>
      <c r="P57" s="321"/>
      <c r="Q57" s="322">
        <v>5</v>
      </c>
      <c r="R57" s="323"/>
      <c r="S57" s="324"/>
      <c r="T57" s="321"/>
      <c r="U57" s="322"/>
      <c r="V57" s="325"/>
      <c r="W57" s="314"/>
      <c r="X57" s="315"/>
      <c r="Y57" s="448"/>
    </row>
    <row r="58" spans="2:29" ht="17.25" thickBot="1">
      <c r="B58" s="456"/>
      <c r="C58" s="596"/>
      <c r="D58" s="79" t="s">
        <v>701</v>
      </c>
      <c r="E58" s="164" t="s">
        <v>346</v>
      </c>
      <c r="F58" s="318" t="s">
        <v>620</v>
      </c>
      <c r="G58" s="319"/>
      <c r="H58" s="165"/>
      <c r="I58" s="166"/>
      <c r="J58" s="461"/>
      <c r="K58" s="320"/>
      <c r="L58" s="321"/>
      <c r="M58" s="322"/>
      <c r="N58" s="323"/>
      <c r="O58" s="324"/>
      <c r="P58" s="321"/>
      <c r="Q58" s="322"/>
      <c r="R58" s="323"/>
      <c r="S58" s="324">
        <v>6</v>
      </c>
      <c r="T58" s="321"/>
      <c r="U58" s="322">
        <v>6</v>
      </c>
      <c r="V58" s="325"/>
      <c r="W58" s="314"/>
      <c r="X58" s="315"/>
      <c r="Y58" s="448"/>
    </row>
    <row r="59" spans="2:29">
      <c r="B59" s="456"/>
      <c r="C59" s="457" t="s">
        <v>572</v>
      </c>
      <c r="D59" s="75" t="s">
        <v>347</v>
      </c>
      <c r="E59" s="78" t="s">
        <v>345</v>
      </c>
      <c r="F59" s="451" t="s">
        <v>509</v>
      </c>
      <c r="G59" s="452"/>
      <c r="H59" s="37"/>
      <c r="I59" s="145"/>
      <c r="J59" s="461"/>
      <c r="K59" s="378">
        <v>3</v>
      </c>
      <c r="L59" s="335"/>
      <c r="M59" s="332"/>
      <c r="N59" s="334"/>
      <c r="O59" s="336"/>
      <c r="P59" s="335"/>
      <c r="Q59" s="332"/>
      <c r="R59" s="333"/>
      <c r="S59" s="334"/>
      <c r="T59" s="335"/>
      <c r="U59" s="332"/>
      <c r="V59" s="337"/>
      <c r="W59" s="312">
        <f>SUM(K59:V62)</f>
        <v>28</v>
      </c>
      <c r="X59" s="313"/>
      <c r="Y59" s="448"/>
      <c r="AC59" s="246"/>
    </row>
    <row r="60" spans="2:29">
      <c r="B60" s="456"/>
      <c r="C60" s="458"/>
      <c r="D60" s="73" t="s">
        <v>347</v>
      </c>
      <c r="E60" s="72" t="s">
        <v>345</v>
      </c>
      <c r="F60" s="453" t="s">
        <v>510</v>
      </c>
      <c r="G60" s="454"/>
      <c r="H60" s="38"/>
      <c r="I60" s="146"/>
      <c r="J60" s="461"/>
      <c r="K60" s="320"/>
      <c r="L60" s="321"/>
      <c r="M60" s="322">
        <v>3</v>
      </c>
      <c r="N60" s="326"/>
      <c r="O60" s="324"/>
      <c r="P60" s="321"/>
      <c r="Q60" s="322"/>
      <c r="R60" s="323"/>
      <c r="S60" s="326"/>
      <c r="T60" s="321"/>
      <c r="U60" s="322"/>
      <c r="V60" s="325"/>
      <c r="W60" s="314"/>
      <c r="X60" s="315"/>
      <c r="Y60" s="448"/>
      <c r="AC60" s="246"/>
    </row>
    <row r="61" spans="2:29">
      <c r="B61" s="456"/>
      <c r="C61" s="458"/>
      <c r="D61" s="73" t="s">
        <v>347</v>
      </c>
      <c r="E61" s="164" t="s">
        <v>346</v>
      </c>
      <c r="F61" s="453" t="s">
        <v>600</v>
      </c>
      <c r="G61" s="454"/>
      <c r="H61" s="38"/>
      <c r="I61" s="146"/>
      <c r="J61" s="461"/>
      <c r="K61" s="320"/>
      <c r="L61" s="321"/>
      <c r="M61" s="322"/>
      <c r="N61" s="323"/>
      <c r="O61" s="324">
        <v>5</v>
      </c>
      <c r="P61" s="321"/>
      <c r="Q61" s="322">
        <v>5</v>
      </c>
      <c r="R61" s="323"/>
      <c r="S61" s="324"/>
      <c r="T61" s="321"/>
      <c r="U61" s="322"/>
      <c r="V61" s="325"/>
      <c r="W61" s="314"/>
      <c r="X61" s="315"/>
      <c r="Y61" s="448"/>
      <c r="AC61" s="246"/>
    </row>
    <row r="62" spans="2:29" ht="17.25" thickBot="1">
      <c r="B62" s="456"/>
      <c r="C62" s="458"/>
      <c r="D62" s="73" t="s">
        <v>347</v>
      </c>
      <c r="E62" s="164" t="s">
        <v>346</v>
      </c>
      <c r="F62" s="453" t="s">
        <v>511</v>
      </c>
      <c r="G62" s="454"/>
      <c r="H62" s="38"/>
      <c r="I62" s="146"/>
      <c r="J62" s="461"/>
      <c r="K62" s="320"/>
      <c r="L62" s="321"/>
      <c r="M62" s="322"/>
      <c r="N62" s="323"/>
      <c r="O62" s="324"/>
      <c r="P62" s="321"/>
      <c r="Q62" s="322"/>
      <c r="R62" s="323"/>
      <c r="S62" s="324">
        <v>6</v>
      </c>
      <c r="T62" s="321"/>
      <c r="U62" s="322">
        <v>6</v>
      </c>
      <c r="V62" s="325"/>
      <c r="W62" s="314"/>
      <c r="X62" s="315"/>
      <c r="Y62" s="448"/>
      <c r="AC62" s="246"/>
    </row>
    <row r="63" spans="2:29" ht="24.75" customHeight="1">
      <c r="B63" s="462" t="s">
        <v>351</v>
      </c>
      <c r="C63" s="496"/>
      <c r="D63" s="496"/>
      <c r="E63" s="496"/>
      <c r="F63" s="496"/>
      <c r="G63" s="463"/>
      <c r="H63" s="498">
        <f>SUM(H40:H50)</f>
        <v>0</v>
      </c>
      <c r="I63" s="500"/>
      <c r="J63" s="502">
        <f>SUM(J40:J62)</f>
        <v>61</v>
      </c>
      <c r="K63" s="462">
        <f>SUM(K40:L53)</f>
        <v>6</v>
      </c>
      <c r="L63" s="504"/>
      <c r="M63" s="506">
        <f>SUM(M40:N53)</f>
        <v>6</v>
      </c>
      <c r="N63" s="496"/>
      <c r="O63" s="508">
        <f>SUM(O40:P53)</f>
        <v>14</v>
      </c>
      <c r="P63" s="504"/>
      <c r="Q63" s="506">
        <f>SUM(Q40:R53)</f>
        <v>14</v>
      </c>
      <c r="R63" s="510"/>
      <c r="S63" s="496">
        <f>SUM(S40:T53)</f>
        <v>24</v>
      </c>
      <c r="T63" s="504"/>
      <c r="U63" s="506">
        <f>SUM(U40:V53)</f>
        <v>29</v>
      </c>
      <c r="V63" s="463"/>
      <c r="W63" s="462">
        <f>SUM(K63:V64)</f>
        <v>93</v>
      </c>
      <c r="X63" s="463"/>
      <c r="Y63" s="447">
        <f>SUM(Y40:Y54)</f>
        <v>80</v>
      </c>
      <c r="AC63" s="246"/>
    </row>
    <row r="64" spans="2:29" ht="17.25" thickBot="1">
      <c r="B64" s="464"/>
      <c r="C64" s="497"/>
      <c r="D64" s="497"/>
      <c r="E64" s="497"/>
      <c r="F64" s="497"/>
      <c r="G64" s="465"/>
      <c r="H64" s="499"/>
      <c r="I64" s="501"/>
      <c r="J64" s="503"/>
      <c r="K64" s="464"/>
      <c r="L64" s="505"/>
      <c r="M64" s="507"/>
      <c r="N64" s="497"/>
      <c r="O64" s="509"/>
      <c r="P64" s="505"/>
      <c r="Q64" s="507"/>
      <c r="R64" s="511"/>
      <c r="S64" s="497"/>
      <c r="T64" s="505"/>
      <c r="U64" s="507"/>
      <c r="V64" s="465"/>
      <c r="W64" s="464"/>
      <c r="X64" s="465"/>
      <c r="Y64" s="466"/>
      <c r="AC64" s="80"/>
    </row>
    <row r="65" spans="2:28" ht="17.25" customHeight="1" thickBot="1">
      <c r="B65" s="342"/>
      <c r="C65" s="487"/>
      <c r="D65" s="487"/>
      <c r="E65" s="487"/>
      <c r="F65" s="487"/>
      <c r="G65" s="467"/>
      <c r="H65" s="249">
        <f>SUM(H39,H63)</f>
        <v>105</v>
      </c>
      <c r="I65" s="14"/>
      <c r="J65" s="250">
        <f>SUM(J39,J63)</f>
        <v>142</v>
      </c>
      <c r="K65" s="342">
        <f>SUM(K39,K63)</f>
        <v>29</v>
      </c>
      <c r="L65" s="343"/>
      <c r="M65" s="436">
        <f>SUM(M39,M63)</f>
        <v>29</v>
      </c>
      <c r="N65" s="488"/>
      <c r="O65" s="489">
        <f>SUM(O39,O63)</f>
        <v>29</v>
      </c>
      <c r="P65" s="343"/>
      <c r="Q65" s="436">
        <f>SUM(Q39,Q63)</f>
        <v>29</v>
      </c>
      <c r="R65" s="488"/>
      <c r="S65" s="489">
        <f>SUM(S39,S63)</f>
        <v>29</v>
      </c>
      <c r="T65" s="343"/>
      <c r="U65" s="436">
        <f>SUM(U39,U63)</f>
        <v>29</v>
      </c>
      <c r="V65" s="467"/>
      <c r="W65" s="342">
        <f>SUM(K65:V65)</f>
        <v>174</v>
      </c>
      <c r="X65" s="467"/>
      <c r="Y65" s="11">
        <f>Y63+Y39</f>
        <v>144</v>
      </c>
      <c r="AA65" s="370" t="s">
        <v>150</v>
      </c>
      <c r="AB65" s="370"/>
    </row>
    <row r="66" spans="2:28" ht="18.75" customHeight="1" thickBot="1">
      <c r="B66" s="469" t="s">
        <v>352</v>
      </c>
      <c r="C66" s="470"/>
      <c r="D66" s="470"/>
      <c r="E66" s="471"/>
      <c r="F66" s="478" t="s">
        <v>348</v>
      </c>
      <c r="G66" s="479"/>
      <c r="H66" s="479"/>
      <c r="I66" s="479"/>
      <c r="J66" s="480"/>
      <c r="K66" s="378">
        <v>16</v>
      </c>
      <c r="L66" s="335"/>
      <c r="M66" s="332">
        <v>16</v>
      </c>
      <c r="N66" s="333"/>
      <c r="O66" s="336">
        <v>16</v>
      </c>
      <c r="P66" s="335"/>
      <c r="Q66" s="332">
        <v>16</v>
      </c>
      <c r="R66" s="333"/>
      <c r="S66" s="336">
        <v>16</v>
      </c>
      <c r="T66" s="335"/>
      <c r="U66" s="332">
        <v>16</v>
      </c>
      <c r="V66" s="337"/>
      <c r="W66" s="469">
        <f>SUM(K66:V68)</f>
        <v>288</v>
      </c>
      <c r="X66" s="471"/>
      <c r="Y66" s="447">
        <f>Y69*16</f>
        <v>288</v>
      </c>
      <c r="AA66" s="468"/>
      <c r="AB66" s="468"/>
    </row>
    <row r="67" spans="2:28" ht="17.25" customHeight="1" thickBot="1">
      <c r="B67" s="472"/>
      <c r="C67" s="473"/>
      <c r="D67" s="473"/>
      <c r="E67" s="474"/>
      <c r="F67" s="484" t="s">
        <v>63</v>
      </c>
      <c r="G67" s="485"/>
      <c r="H67" s="485"/>
      <c r="I67" s="485"/>
      <c r="J67" s="486"/>
      <c r="K67" s="320">
        <v>16</v>
      </c>
      <c r="L67" s="321"/>
      <c r="M67" s="322">
        <v>16</v>
      </c>
      <c r="N67" s="323"/>
      <c r="O67" s="324">
        <v>16</v>
      </c>
      <c r="P67" s="321"/>
      <c r="Q67" s="322">
        <v>16</v>
      </c>
      <c r="R67" s="323"/>
      <c r="S67" s="324">
        <v>16</v>
      </c>
      <c r="T67" s="321"/>
      <c r="U67" s="322">
        <v>16</v>
      </c>
      <c r="V67" s="325"/>
      <c r="W67" s="472"/>
      <c r="X67" s="474"/>
      <c r="Y67" s="448"/>
      <c r="AA67" s="438" t="b">
        <f>W65&gt;=Y65</f>
        <v>1</v>
      </c>
      <c r="AB67" s="439"/>
    </row>
    <row r="68" spans="2:28" ht="17.25" customHeight="1">
      <c r="B68" s="472"/>
      <c r="C68" s="473"/>
      <c r="D68" s="473"/>
      <c r="E68" s="474"/>
      <c r="F68" s="484" t="s">
        <v>11</v>
      </c>
      <c r="G68" s="485"/>
      <c r="H68" s="485"/>
      <c r="I68" s="485"/>
      <c r="J68" s="486"/>
      <c r="K68" s="320">
        <v>16</v>
      </c>
      <c r="L68" s="321"/>
      <c r="M68" s="322">
        <v>16</v>
      </c>
      <c r="N68" s="323"/>
      <c r="O68" s="324">
        <v>16</v>
      </c>
      <c r="P68" s="321"/>
      <c r="Q68" s="322">
        <v>16</v>
      </c>
      <c r="R68" s="323"/>
      <c r="S68" s="324">
        <v>16</v>
      </c>
      <c r="T68" s="321"/>
      <c r="U68" s="322">
        <v>16</v>
      </c>
      <c r="V68" s="325"/>
      <c r="W68" s="481"/>
      <c r="X68" s="482"/>
      <c r="Y68" s="483"/>
    </row>
    <row r="69" spans="2:28" ht="17.25" customHeight="1" thickBot="1">
      <c r="B69" s="475"/>
      <c r="C69" s="476"/>
      <c r="D69" s="476"/>
      <c r="E69" s="477"/>
      <c r="F69" s="492" t="s">
        <v>146</v>
      </c>
      <c r="G69" s="512"/>
      <c r="H69" s="512"/>
      <c r="I69" s="512"/>
      <c r="J69" s="493"/>
      <c r="K69" s="513">
        <v>3</v>
      </c>
      <c r="L69" s="514"/>
      <c r="M69" s="490">
        <v>3</v>
      </c>
      <c r="N69" s="515"/>
      <c r="O69" s="516">
        <v>3</v>
      </c>
      <c r="P69" s="514"/>
      <c r="Q69" s="490">
        <v>3</v>
      </c>
      <c r="R69" s="515"/>
      <c r="S69" s="516">
        <v>3</v>
      </c>
      <c r="T69" s="514"/>
      <c r="U69" s="490">
        <v>3</v>
      </c>
      <c r="V69" s="491"/>
      <c r="W69" s="492">
        <f>SUM(K69:V69)</f>
        <v>18</v>
      </c>
      <c r="X69" s="493"/>
      <c r="Y69" s="81">
        <v>18</v>
      </c>
      <c r="AA69" s="370" t="s">
        <v>151</v>
      </c>
      <c r="AB69" s="370"/>
    </row>
    <row r="70" spans="2:28" ht="17.25" customHeight="1" thickBot="1">
      <c r="B70" s="342"/>
      <c r="C70" s="487"/>
      <c r="D70" s="487"/>
      <c r="E70" s="487"/>
      <c r="F70" s="487"/>
      <c r="G70" s="487"/>
      <c r="H70" s="487"/>
      <c r="I70" s="487"/>
      <c r="J70" s="467"/>
      <c r="K70" s="342">
        <v>32</v>
      </c>
      <c r="L70" s="343"/>
      <c r="M70" s="436">
        <v>32</v>
      </c>
      <c r="N70" s="488"/>
      <c r="O70" s="489">
        <v>32</v>
      </c>
      <c r="P70" s="343"/>
      <c r="Q70" s="436">
        <v>32</v>
      </c>
      <c r="R70" s="488"/>
      <c r="S70" s="489">
        <v>32</v>
      </c>
      <c r="T70" s="343"/>
      <c r="U70" s="436">
        <v>32</v>
      </c>
      <c r="V70" s="467"/>
      <c r="W70" s="342">
        <f>SUM(K70:V70)</f>
        <v>192</v>
      </c>
      <c r="X70" s="467"/>
      <c r="Y70" s="47">
        <f>W70</f>
        <v>192</v>
      </c>
      <c r="AA70" s="438" t="b">
        <f>W69&gt;=Y69</f>
        <v>1</v>
      </c>
      <c r="AB70" s="439"/>
    </row>
    <row r="71" spans="2:28" ht="17.25" customHeight="1" thickBot="1">
      <c r="B71" s="342"/>
      <c r="C71" s="487"/>
      <c r="D71" s="487"/>
      <c r="E71" s="487"/>
      <c r="F71" s="487"/>
      <c r="G71" s="487"/>
      <c r="H71" s="487"/>
      <c r="I71" s="487"/>
      <c r="J71" s="467"/>
      <c r="K71" s="342">
        <f>SUM(K70:N70)</f>
        <v>64</v>
      </c>
      <c r="L71" s="487"/>
      <c r="M71" s="487"/>
      <c r="N71" s="488"/>
      <c r="O71" s="489">
        <f>SUM(O70:R70)</f>
        <v>64</v>
      </c>
      <c r="P71" s="487"/>
      <c r="Q71" s="487"/>
      <c r="R71" s="488"/>
      <c r="S71" s="489">
        <f>SUM(S70:V70)</f>
        <v>64</v>
      </c>
      <c r="T71" s="487"/>
      <c r="U71" s="487"/>
      <c r="V71" s="467"/>
      <c r="W71" s="342">
        <f>SUM(K71:V71)</f>
        <v>192</v>
      </c>
      <c r="X71" s="467"/>
      <c r="Y71" s="11"/>
      <c r="AA71" s="370" t="s">
        <v>149</v>
      </c>
      <c r="AB71" s="370"/>
    </row>
    <row r="72" spans="2:28" ht="17.25" customHeight="1" thickBot="1">
      <c r="AA72" s="438" t="b">
        <f>W70&gt;=Y70</f>
        <v>1</v>
      </c>
      <c r="AB72" s="439"/>
    </row>
    <row r="73" spans="2:28" ht="17.25" customHeight="1"/>
    <row r="74" spans="2:28" ht="17.25" customHeight="1"/>
    <row r="75" spans="2:28" ht="17.25" customHeight="1"/>
    <row r="77" spans="2:28" ht="24.95" customHeight="1"/>
    <row r="78" spans="2:28" ht="24.95" customHeight="1"/>
    <row r="79" spans="2:28" ht="32.25" customHeight="1"/>
    <row r="80" spans="2:28" ht="24.95" customHeight="1"/>
    <row r="82" ht="16.5" customHeight="1"/>
    <row r="83" ht="17.2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244.5" customHeight="1"/>
  </sheetData>
  <mergeCells count="541">
    <mergeCell ref="S48:T48"/>
    <mergeCell ref="U48:V48"/>
    <mergeCell ref="AA72:AB72"/>
    <mergeCell ref="F47:G47"/>
    <mergeCell ref="F48:G48"/>
    <mergeCell ref="K47:L47"/>
    <mergeCell ref="M47:N47"/>
    <mergeCell ref="O47:P47"/>
    <mergeCell ref="Q47:R47"/>
    <mergeCell ref="S47:T47"/>
    <mergeCell ref="U47:V47"/>
    <mergeCell ref="K48:L48"/>
    <mergeCell ref="W70:X70"/>
    <mergeCell ref="AA70:AB70"/>
    <mergeCell ref="B71:J71"/>
    <mergeCell ref="K71:N71"/>
    <mergeCell ref="O71:R71"/>
    <mergeCell ref="S71:V71"/>
    <mergeCell ref="W71:X71"/>
    <mergeCell ref="AA71:AB71"/>
    <mergeCell ref="U69:V69"/>
    <mergeCell ref="S49:T49"/>
    <mergeCell ref="U49:V49"/>
    <mergeCell ref="W49:X49"/>
    <mergeCell ref="W48:X48"/>
    <mergeCell ref="W47:X47"/>
    <mergeCell ref="W69:X69"/>
    <mergeCell ref="AA69:AB69"/>
    <mergeCell ref="B70:J70"/>
    <mergeCell ref="K70:L70"/>
    <mergeCell ref="M70:N70"/>
    <mergeCell ref="O70:P70"/>
    <mergeCell ref="Q70:R70"/>
    <mergeCell ref="S70:T70"/>
    <mergeCell ref="U70:V70"/>
    <mergeCell ref="F69:J69"/>
    <mergeCell ref="K69:L69"/>
    <mergeCell ref="M69:N69"/>
    <mergeCell ref="O69:P69"/>
    <mergeCell ref="Q69:R69"/>
    <mergeCell ref="S69:T69"/>
    <mergeCell ref="U66:V66"/>
    <mergeCell ref="W66:X68"/>
    <mergeCell ref="Y66:Y68"/>
    <mergeCell ref="F67:J67"/>
    <mergeCell ref="K67:L67"/>
    <mergeCell ref="M67:N67"/>
    <mergeCell ref="O67:P67"/>
    <mergeCell ref="AA65:AB66"/>
    <mergeCell ref="B66:E69"/>
    <mergeCell ref="F66:J66"/>
    <mergeCell ref="K66:L66"/>
    <mergeCell ref="M66:N66"/>
    <mergeCell ref="O66:P66"/>
    <mergeCell ref="Q66:R66"/>
    <mergeCell ref="S66:T66"/>
    <mergeCell ref="B65:G65"/>
    <mergeCell ref="K65:L65"/>
    <mergeCell ref="M65:N65"/>
    <mergeCell ref="O65:P65"/>
    <mergeCell ref="Q65:R65"/>
    <mergeCell ref="S65:T65"/>
    <mergeCell ref="AA67:AB67"/>
    <mergeCell ref="F68:J68"/>
    <mergeCell ref="K68:L68"/>
    <mergeCell ref="M68:N68"/>
    <mergeCell ref="O68:P68"/>
    <mergeCell ref="Q68:R68"/>
    <mergeCell ref="S68:T68"/>
    <mergeCell ref="U68:V68"/>
    <mergeCell ref="W54:X58"/>
    <mergeCell ref="F55:G55"/>
    <mergeCell ref="S62:T62"/>
    <mergeCell ref="U62:V62"/>
    <mergeCell ref="O63:P64"/>
    <mergeCell ref="Q63:R64"/>
    <mergeCell ref="S63:T64"/>
    <mergeCell ref="U63:V64"/>
    <mergeCell ref="Q67:R67"/>
    <mergeCell ref="S67:T67"/>
    <mergeCell ref="U67:V67"/>
    <mergeCell ref="U65:V65"/>
    <mergeCell ref="O62:P62"/>
    <mergeCell ref="Q62:R62"/>
    <mergeCell ref="W65:X65"/>
    <mergeCell ref="W63:X64"/>
    <mergeCell ref="Y63:Y64"/>
    <mergeCell ref="B63:G64"/>
    <mergeCell ref="H63:H64"/>
    <mergeCell ref="I63:I64"/>
    <mergeCell ref="J63:J64"/>
    <mergeCell ref="K63:L64"/>
    <mergeCell ref="M63:N64"/>
    <mergeCell ref="O59:P59"/>
    <mergeCell ref="Q59:R59"/>
    <mergeCell ref="F61:G61"/>
    <mergeCell ref="K61:L61"/>
    <mergeCell ref="M61:N61"/>
    <mergeCell ref="O61:P61"/>
    <mergeCell ref="S59:T59"/>
    <mergeCell ref="U59:V59"/>
    <mergeCell ref="W59:X62"/>
    <mergeCell ref="F60:G60"/>
    <mergeCell ref="K60:L60"/>
    <mergeCell ref="S57:T57"/>
    <mergeCell ref="O54:P54"/>
    <mergeCell ref="Q54:R54"/>
    <mergeCell ref="S54:T54"/>
    <mergeCell ref="Q61:R61"/>
    <mergeCell ref="S61:T61"/>
    <mergeCell ref="U61:V61"/>
    <mergeCell ref="O60:P60"/>
    <mergeCell ref="Q60:R60"/>
    <mergeCell ref="S60:T60"/>
    <mergeCell ref="U60:V60"/>
    <mergeCell ref="U54:V54"/>
    <mergeCell ref="U57:V57"/>
    <mergeCell ref="Q58:R58"/>
    <mergeCell ref="S58:T58"/>
    <mergeCell ref="U58:V58"/>
    <mergeCell ref="S55:T55"/>
    <mergeCell ref="U55:V55"/>
    <mergeCell ref="F56:G56"/>
    <mergeCell ref="K56:L56"/>
    <mergeCell ref="M56:N56"/>
    <mergeCell ref="O56:P56"/>
    <mergeCell ref="Q56:R56"/>
    <mergeCell ref="S56:T56"/>
    <mergeCell ref="U56:V56"/>
    <mergeCell ref="O58:P58"/>
    <mergeCell ref="F57:G57"/>
    <mergeCell ref="K57:L57"/>
    <mergeCell ref="M57:N57"/>
    <mergeCell ref="O51:P51"/>
    <mergeCell ref="Q51:R51"/>
    <mergeCell ref="K55:L55"/>
    <mergeCell ref="M55:N55"/>
    <mergeCell ref="O55:P55"/>
    <mergeCell ref="Q55:R55"/>
    <mergeCell ref="O57:P57"/>
    <mergeCell ref="Q57:R57"/>
    <mergeCell ref="S51:T51"/>
    <mergeCell ref="U51:V51"/>
    <mergeCell ref="W51:X53"/>
    <mergeCell ref="F52:G52"/>
    <mergeCell ref="K52:L52"/>
    <mergeCell ref="M52:N52"/>
    <mergeCell ref="O52:P52"/>
    <mergeCell ref="Q52:R52"/>
    <mergeCell ref="S52:T52"/>
    <mergeCell ref="U52:V52"/>
    <mergeCell ref="F53:G53"/>
    <mergeCell ref="K53:L53"/>
    <mergeCell ref="M53:N53"/>
    <mergeCell ref="O53:P53"/>
    <mergeCell ref="Q53:R53"/>
    <mergeCell ref="S53:T53"/>
    <mergeCell ref="U53:V53"/>
    <mergeCell ref="B51:B62"/>
    <mergeCell ref="C51:C53"/>
    <mergeCell ref="F51:G51"/>
    <mergeCell ref="J51:J62"/>
    <mergeCell ref="K51:L51"/>
    <mergeCell ref="M51:N51"/>
    <mergeCell ref="C54:C58"/>
    <mergeCell ref="F54:G54"/>
    <mergeCell ref="K54:L54"/>
    <mergeCell ref="M54:N54"/>
    <mergeCell ref="C59:C62"/>
    <mergeCell ref="F59:G59"/>
    <mergeCell ref="K59:L59"/>
    <mergeCell ref="M59:N59"/>
    <mergeCell ref="F62:G62"/>
    <mergeCell ref="K62:L62"/>
    <mergeCell ref="M62:N62"/>
    <mergeCell ref="M60:N60"/>
    <mergeCell ref="F58:G58"/>
    <mergeCell ref="K58:L58"/>
    <mergeCell ref="M58:N58"/>
    <mergeCell ref="U46:V46"/>
    <mergeCell ref="W46:X46"/>
    <mergeCell ref="F50:G50"/>
    <mergeCell ref="K50:L50"/>
    <mergeCell ref="M50:N50"/>
    <mergeCell ref="O50:P50"/>
    <mergeCell ref="Q50:R50"/>
    <mergeCell ref="S50:T50"/>
    <mergeCell ref="U50:V50"/>
    <mergeCell ref="W50:X50"/>
    <mergeCell ref="F46:G46"/>
    <mergeCell ref="K46:L46"/>
    <mergeCell ref="M46:N46"/>
    <mergeCell ref="O46:P46"/>
    <mergeCell ref="Q46:R46"/>
    <mergeCell ref="S46:T46"/>
    <mergeCell ref="F49:G49"/>
    <mergeCell ref="K49:L49"/>
    <mergeCell ref="M49:N49"/>
    <mergeCell ref="O49:P49"/>
    <mergeCell ref="Q49:R49"/>
    <mergeCell ref="M48:N48"/>
    <mergeCell ref="O48:P48"/>
    <mergeCell ref="Q48:R48"/>
    <mergeCell ref="U45:V45"/>
    <mergeCell ref="W45:X45"/>
    <mergeCell ref="F45:G45"/>
    <mergeCell ref="K45:L45"/>
    <mergeCell ref="M45:N45"/>
    <mergeCell ref="O45:P45"/>
    <mergeCell ref="Q45:R45"/>
    <mergeCell ref="S45:T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39:V39"/>
    <mergeCell ref="W39:X39"/>
    <mergeCell ref="AA39:AB39"/>
    <mergeCell ref="B40:C50"/>
    <mergeCell ref="D40:E40"/>
    <mergeCell ref="F40:G40"/>
    <mergeCell ref="K40:L40"/>
    <mergeCell ref="M40:N40"/>
    <mergeCell ref="O40:P40"/>
    <mergeCell ref="Q40:R40"/>
    <mergeCell ref="B39:G39"/>
    <mergeCell ref="K39:L39"/>
    <mergeCell ref="M39:N39"/>
    <mergeCell ref="O39:P39"/>
    <mergeCell ref="Q39:R39"/>
    <mergeCell ref="S39:T39"/>
    <mergeCell ref="S40:T40"/>
    <mergeCell ref="U40:V40"/>
    <mergeCell ref="W40:X40"/>
    <mergeCell ref="Y40:Y62"/>
    <mergeCell ref="F41:G41"/>
    <mergeCell ref="K41:L41"/>
    <mergeCell ref="M41:N41"/>
    <mergeCell ref="O41:P41"/>
    <mergeCell ref="W37:X38"/>
    <mergeCell ref="Y37:Y38"/>
    <mergeCell ref="F38:G38"/>
    <mergeCell ref="K38:L38"/>
    <mergeCell ref="M38:N38"/>
    <mergeCell ref="O38:P38"/>
    <mergeCell ref="Q38:R38"/>
    <mergeCell ref="S38:T38"/>
    <mergeCell ref="U38:V38"/>
    <mergeCell ref="S35:T35"/>
    <mergeCell ref="U35:V35"/>
    <mergeCell ref="S33:T33"/>
    <mergeCell ref="U33:V33"/>
    <mergeCell ref="Q36:R36"/>
    <mergeCell ref="S36:T36"/>
    <mergeCell ref="U36:V36"/>
    <mergeCell ref="D37:D38"/>
    <mergeCell ref="F37:G37"/>
    <mergeCell ref="K37:L37"/>
    <mergeCell ref="M37:N37"/>
    <mergeCell ref="O37:P37"/>
    <mergeCell ref="Q37:R37"/>
    <mergeCell ref="S37:T37"/>
    <mergeCell ref="U37:V37"/>
    <mergeCell ref="X33:X36"/>
    <mergeCell ref="Y33:Y36"/>
    <mergeCell ref="F34:G34"/>
    <mergeCell ref="K34:L34"/>
    <mergeCell ref="M34:N34"/>
    <mergeCell ref="O34:P34"/>
    <mergeCell ref="Q34:R34"/>
    <mergeCell ref="S34:T34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U34:V34"/>
    <mergeCell ref="F35:G35"/>
    <mergeCell ref="K35:L35"/>
    <mergeCell ref="M35:N35"/>
    <mergeCell ref="O35:P35"/>
    <mergeCell ref="Q35:R35"/>
    <mergeCell ref="S30:T30"/>
    <mergeCell ref="U30:V30"/>
    <mergeCell ref="S28:T28"/>
    <mergeCell ref="U28:V28"/>
    <mergeCell ref="Q31:R31"/>
    <mergeCell ref="S31:T31"/>
    <mergeCell ref="U31:V31"/>
    <mergeCell ref="F32:G32"/>
    <mergeCell ref="K32:L32"/>
    <mergeCell ref="M32:N32"/>
    <mergeCell ref="O32:P32"/>
    <mergeCell ref="Q32:R32"/>
    <mergeCell ref="S32:T32"/>
    <mergeCell ref="U32:V32"/>
    <mergeCell ref="X28:X32"/>
    <mergeCell ref="Y28:Y32"/>
    <mergeCell ref="F29:G29"/>
    <mergeCell ref="K29:L29"/>
    <mergeCell ref="M29:N29"/>
    <mergeCell ref="O29:P29"/>
    <mergeCell ref="Q29:R29"/>
    <mergeCell ref="S29:T29"/>
    <mergeCell ref="D28:D32"/>
    <mergeCell ref="F28:G28"/>
    <mergeCell ref="K28:L28"/>
    <mergeCell ref="M28:N28"/>
    <mergeCell ref="O28:P28"/>
    <mergeCell ref="Q28:R28"/>
    <mergeCell ref="F31:G31"/>
    <mergeCell ref="K31:L31"/>
    <mergeCell ref="M31:N31"/>
    <mergeCell ref="O31:P31"/>
    <mergeCell ref="U29:V29"/>
    <mergeCell ref="F30:G30"/>
    <mergeCell ref="K30:L30"/>
    <mergeCell ref="M30:N30"/>
    <mergeCell ref="O30:P30"/>
    <mergeCell ref="Q30:R30"/>
    <mergeCell ref="D26:D27"/>
    <mergeCell ref="F26:G26"/>
    <mergeCell ref="K26:L26"/>
    <mergeCell ref="M26:N26"/>
    <mergeCell ref="O26:P26"/>
    <mergeCell ref="Q26:R26"/>
    <mergeCell ref="S26:T26"/>
    <mergeCell ref="U26:V26"/>
    <mergeCell ref="F25:G25"/>
    <mergeCell ref="K25:L25"/>
    <mergeCell ref="M25:N25"/>
    <mergeCell ref="O25:P25"/>
    <mergeCell ref="Q25:R25"/>
    <mergeCell ref="S25:T25"/>
    <mergeCell ref="F27:G27"/>
    <mergeCell ref="K27:L27"/>
    <mergeCell ref="M27:N27"/>
    <mergeCell ref="O27:P27"/>
    <mergeCell ref="Q27:R27"/>
    <mergeCell ref="S27:T27"/>
    <mergeCell ref="U27:V27"/>
    <mergeCell ref="U25:V25"/>
    <mergeCell ref="AA23:AB23"/>
    <mergeCell ref="F24:G24"/>
    <mergeCell ref="K24:L24"/>
    <mergeCell ref="M24:N24"/>
    <mergeCell ref="O24:P24"/>
    <mergeCell ref="Q24:R24"/>
    <mergeCell ref="S24:T24"/>
    <mergeCell ref="U24:V24"/>
    <mergeCell ref="X24:X25"/>
    <mergeCell ref="Y24:Y27"/>
    <mergeCell ref="X22:X23"/>
    <mergeCell ref="Y22:Y23"/>
    <mergeCell ref="F23:G23"/>
    <mergeCell ref="K23:L23"/>
    <mergeCell ref="M23:N23"/>
    <mergeCell ref="O23:P23"/>
    <mergeCell ref="Q23:R23"/>
    <mergeCell ref="S23:T23"/>
    <mergeCell ref="U23:V23"/>
    <mergeCell ref="X26:X27"/>
    <mergeCell ref="F21:G21"/>
    <mergeCell ref="K21:L21"/>
    <mergeCell ref="M21:N21"/>
    <mergeCell ref="O21:P21"/>
    <mergeCell ref="Q21:R21"/>
    <mergeCell ref="S21:T21"/>
    <mergeCell ref="U21:V21"/>
    <mergeCell ref="D22:D25"/>
    <mergeCell ref="F22:G22"/>
    <mergeCell ref="K22:L22"/>
    <mergeCell ref="M22:N22"/>
    <mergeCell ref="O22:P22"/>
    <mergeCell ref="Q22:R22"/>
    <mergeCell ref="S22:T22"/>
    <mergeCell ref="U22:V22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Q17:R17"/>
    <mergeCell ref="S17:T17"/>
    <mergeCell ref="F16:G16"/>
    <mergeCell ref="K16:L16"/>
    <mergeCell ref="U17:V17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4:X17"/>
    <mergeCell ref="F15:G15"/>
    <mergeCell ref="K15:L15"/>
    <mergeCell ref="M15:N15"/>
    <mergeCell ref="O15:P15"/>
    <mergeCell ref="Q15:R15"/>
    <mergeCell ref="S15:T15"/>
    <mergeCell ref="U15:V15"/>
    <mergeCell ref="X18:X21"/>
    <mergeCell ref="F19:G19"/>
    <mergeCell ref="U13:V13"/>
    <mergeCell ref="D14:D17"/>
    <mergeCell ref="F14:G14"/>
    <mergeCell ref="K14:L14"/>
    <mergeCell ref="M14:N14"/>
    <mergeCell ref="O14:P14"/>
    <mergeCell ref="Q14:R14"/>
    <mergeCell ref="S14:T14"/>
    <mergeCell ref="U14:V14"/>
    <mergeCell ref="M16:N16"/>
    <mergeCell ref="F13:G13"/>
    <mergeCell ref="K13:L13"/>
    <mergeCell ref="M13:N13"/>
    <mergeCell ref="O13:P13"/>
    <mergeCell ref="Q13:R13"/>
    <mergeCell ref="S13:T13"/>
    <mergeCell ref="O16:P16"/>
    <mergeCell ref="Q16:R16"/>
    <mergeCell ref="S16:T16"/>
    <mergeCell ref="U16:V16"/>
    <mergeCell ref="F17:G17"/>
    <mergeCell ref="K17:L17"/>
    <mergeCell ref="M17:N17"/>
    <mergeCell ref="O17:P17"/>
    <mergeCell ref="Q12:R12"/>
    <mergeCell ref="S12:T12"/>
    <mergeCell ref="U12:V12"/>
    <mergeCell ref="F11:G11"/>
    <mergeCell ref="K11:L11"/>
    <mergeCell ref="M11:N11"/>
    <mergeCell ref="O11:P11"/>
    <mergeCell ref="Q11:R11"/>
    <mergeCell ref="S11:T11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X9:X13"/>
    <mergeCell ref="Y9:Y21"/>
    <mergeCell ref="F10:G10"/>
    <mergeCell ref="K10:L10"/>
    <mergeCell ref="M10:N10"/>
    <mergeCell ref="O10:P10"/>
    <mergeCell ref="Q10:R10"/>
    <mergeCell ref="S10:T10"/>
    <mergeCell ref="U10:V10"/>
    <mergeCell ref="U11:V11"/>
    <mergeCell ref="F12:G12"/>
    <mergeCell ref="K12:L12"/>
    <mergeCell ref="M12:N12"/>
    <mergeCell ref="O12:P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AD3:AD5"/>
    <mergeCell ref="P4:S4"/>
    <mergeCell ref="T4:V4"/>
    <mergeCell ref="W4:Y4"/>
    <mergeCell ref="AC4:AC5"/>
    <mergeCell ref="C5:E5"/>
    <mergeCell ref="F5:G5"/>
    <mergeCell ref="H5:J5"/>
    <mergeCell ref="K5:O5"/>
    <mergeCell ref="P5:S5"/>
    <mergeCell ref="T5:V5"/>
    <mergeCell ref="W5:Y5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</mergeCells>
  <phoneticPr fontId="9" type="noConversion"/>
  <conditionalFormatting sqref="AA39:AB39 AC64 AA67:AB67 AA70:AB70 AA72:AB72">
    <cfRule type="containsText" dxfId="1" priority="1" operator="containsText" text="FALSE">
      <formula>NOT(ISERROR(SEARCH("FALSE",AA39)))</formula>
    </cfRule>
  </conditionalFormatting>
  <dataValidations count="1">
    <dataValidation type="list" allowBlank="1" showInputMessage="1" showErrorMessage="1" sqref="D54:D55 D57:D58" xr:uid="{7AF3C354-7EEA-4506-9591-9CC608EF4260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63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A8BD26F-6B05-4277-8917-1472A59EFCB0}">
          <x14:formula1>
            <xm:f>삭제금지!$J$2:$J$59</xm:f>
          </x14:formula1>
          <xm:sqref>H5:J5</xm:sqref>
        </x14:dataValidation>
        <x14:dataValidation type="list" allowBlank="1" showInputMessage="1" showErrorMessage="1" xr:uid="{9468DDAC-6039-45E3-900E-0080402970B5}">
          <x14:formula1>
            <xm:f>삭제금지!$I$2:$I$18</xm:f>
          </x14:formula1>
          <xm:sqref>F5:G5</xm:sqref>
        </x14:dataValidation>
        <x14:dataValidation type="list" allowBlank="1" showInputMessage="1" showErrorMessage="1" xr:uid="{BC51EFD9-FD33-49E6-B567-18C45D0FD977}">
          <x14:formula1>
            <xm:f>삭제금지!$K$2:$K$59</xm:f>
          </x14:formula1>
          <xm:sqref>K5:O5</xm:sqref>
        </x14:dataValidation>
        <x14:dataValidation type="list" allowBlank="1" showInputMessage="1" showErrorMessage="1" xr:uid="{359466C1-4010-41EC-8B15-835C8E2E7DD9}">
          <x14:formula1>
            <xm:f>삭제금지!$L$2:$L$4</xm:f>
          </x14:formula1>
          <xm:sqref>T5:V5</xm:sqref>
        </x14:dataValidation>
        <x14:dataValidation type="list" allowBlank="1" showInputMessage="1" showErrorMessage="1" xr:uid="{65C631B4-AAFB-4B03-9745-508DBF3071D5}">
          <x14:formula1>
            <xm:f>삭제금지!$H$2:$H$18</xm:f>
          </x14:formula1>
          <xm:sqref>B5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19A77-EC32-4520-9016-5D3C70B547DC}">
  <sheetPr>
    <pageSetUpPr fitToPage="1"/>
  </sheetPr>
  <dimension ref="B2:AG31"/>
  <sheetViews>
    <sheetView showGridLines="0" view="pageBreakPreview" zoomScale="90" zoomScaleNormal="85" zoomScaleSheetLayoutView="90" workbookViewId="0">
      <selection activeCell="F18" sqref="F18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69" t="s">
        <v>147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2:33" ht="27" customHeight="1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570" t="s">
        <v>129</v>
      </c>
      <c r="O3" s="571"/>
      <c r="P3" s="572"/>
      <c r="Q3" s="573" t="s">
        <v>127</v>
      </c>
      <c r="R3" s="571"/>
      <c r="S3" s="574"/>
      <c r="T3" s="575" t="s">
        <v>130</v>
      </c>
      <c r="U3" s="576"/>
    </row>
    <row r="4" spans="2:33" ht="27" customHeight="1" thickBot="1"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577" t="s">
        <v>601</v>
      </c>
      <c r="O4" s="578"/>
      <c r="P4" s="578"/>
      <c r="Q4" s="580" t="s">
        <v>604</v>
      </c>
      <c r="R4" s="581"/>
      <c r="S4" s="582"/>
      <c r="T4" s="581">
        <v>2027</v>
      </c>
      <c r="U4" s="583"/>
      <c r="W4" s="244"/>
      <c r="X4" s="244"/>
      <c r="Y4" s="244"/>
      <c r="Z4" s="244"/>
      <c r="AA4" s="244"/>
      <c r="AB4" s="244"/>
      <c r="AC4" s="244"/>
      <c r="AD4" s="244"/>
      <c r="AE4" s="244"/>
      <c r="AF4" s="244"/>
    </row>
    <row r="5" spans="2:33" ht="24" customHeight="1" thickBot="1">
      <c r="B5" s="584"/>
      <c r="C5" s="584"/>
      <c r="W5" s="244"/>
      <c r="X5" s="244"/>
      <c r="Y5" s="244"/>
      <c r="Z5" s="244"/>
      <c r="AA5" s="244"/>
      <c r="AB5" s="244"/>
      <c r="AC5" s="244"/>
      <c r="AD5" s="244"/>
      <c r="AE5" s="244"/>
      <c r="AF5" s="244"/>
    </row>
    <row r="6" spans="2:33" ht="20.25" customHeight="1">
      <c r="B6" s="600" t="s">
        <v>13</v>
      </c>
      <c r="C6" s="603" t="s">
        <v>138</v>
      </c>
      <c r="D6" s="597" t="s">
        <v>14</v>
      </c>
      <c r="E6" s="597" t="s">
        <v>15</v>
      </c>
      <c r="F6" s="597" t="s">
        <v>139</v>
      </c>
      <c r="G6" s="597" t="s">
        <v>140</v>
      </c>
      <c r="H6" s="555" t="s">
        <v>58</v>
      </c>
      <c r="I6" s="555"/>
      <c r="J6" s="555"/>
      <c r="K6" s="555"/>
      <c r="L6" s="555" t="s">
        <v>59</v>
      </c>
      <c r="M6" s="555"/>
      <c r="N6" s="555"/>
      <c r="O6" s="555"/>
      <c r="P6" s="555" t="s">
        <v>60</v>
      </c>
      <c r="Q6" s="555"/>
      <c r="R6" s="555"/>
      <c r="S6" s="555"/>
      <c r="T6" s="561" t="s">
        <v>137</v>
      </c>
      <c r="U6" s="556" t="s">
        <v>126</v>
      </c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12"/>
    </row>
    <row r="7" spans="2:33" ht="16.5" customHeight="1">
      <c r="B7" s="601"/>
      <c r="C7" s="604"/>
      <c r="D7" s="598"/>
      <c r="E7" s="598"/>
      <c r="F7" s="598"/>
      <c r="G7" s="598"/>
      <c r="H7" s="560" t="s">
        <v>124</v>
      </c>
      <c r="I7" s="560"/>
      <c r="J7" s="560" t="s">
        <v>62</v>
      </c>
      <c r="K7" s="560"/>
      <c r="L7" s="560" t="s">
        <v>124</v>
      </c>
      <c r="M7" s="560"/>
      <c r="N7" s="560" t="s">
        <v>62</v>
      </c>
      <c r="O7" s="560"/>
      <c r="P7" s="560" t="s">
        <v>124</v>
      </c>
      <c r="Q7" s="560"/>
      <c r="R7" s="560" t="s">
        <v>62</v>
      </c>
      <c r="S7" s="560"/>
      <c r="T7" s="562"/>
      <c r="U7" s="557"/>
      <c r="W7" s="551"/>
      <c r="X7" s="551"/>
      <c r="Y7" s="551"/>
      <c r="Z7" s="551"/>
      <c r="AA7" s="551"/>
      <c r="AB7" s="551"/>
      <c r="AC7" s="551"/>
      <c r="AD7" s="551"/>
      <c r="AE7" s="551"/>
      <c r="AF7" s="551"/>
      <c r="AG7" s="12"/>
    </row>
    <row r="8" spans="2:33" ht="17.25" customHeight="1" thickBot="1">
      <c r="B8" s="602"/>
      <c r="C8" s="605"/>
      <c r="D8" s="599"/>
      <c r="E8" s="599"/>
      <c r="F8" s="599"/>
      <c r="G8" s="599"/>
      <c r="H8" s="21" t="s">
        <v>136</v>
      </c>
      <c r="I8" s="21" t="s">
        <v>125</v>
      </c>
      <c r="J8" s="21" t="s">
        <v>136</v>
      </c>
      <c r="K8" s="21" t="s">
        <v>125</v>
      </c>
      <c r="L8" s="21" t="s">
        <v>136</v>
      </c>
      <c r="M8" s="21" t="s">
        <v>125</v>
      </c>
      <c r="N8" s="21" t="s">
        <v>136</v>
      </c>
      <c r="O8" s="21" t="s">
        <v>125</v>
      </c>
      <c r="P8" s="21" t="s">
        <v>136</v>
      </c>
      <c r="Q8" s="21" t="s">
        <v>125</v>
      </c>
      <c r="R8" s="21" t="s">
        <v>136</v>
      </c>
      <c r="S8" s="21" t="s">
        <v>125</v>
      </c>
      <c r="T8" s="563"/>
      <c r="U8" s="55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2"/>
    </row>
    <row r="9" spans="2:33">
      <c r="B9" s="611" t="s">
        <v>627</v>
      </c>
      <c r="C9" s="613">
        <v>10</v>
      </c>
      <c r="D9" s="172" t="s">
        <v>555</v>
      </c>
      <c r="E9" s="172" t="s">
        <v>557</v>
      </c>
      <c r="F9" s="172">
        <v>40</v>
      </c>
      <c r="G9" s="172">
        <v>2</v>
      </c>
      <c r="H9" s="173"/>
      <c r="I9" s="173"/>
      <c r="J9" s="173"/>
      <c r="K9" s="173">
        <f>J9*16</f>
        <v>0</v>
      </c>
      <c r="L9" s="173">
        <v>2</v>
      </c>
      <c r="M9" s="173">
        <v>32</v>
      </c>
      <c r="N9" s="173"/>
      <c r="O9" s="173"/>
      <c r="P9" s="173"/>
      <c r="Q9" s="173">
        <f>P9*16</f>
        <v>0</v>
      </c>
      <c r="R9" s="173"/>
      <c r="S9" s="173">
        <f>R9*16</f>
        <v>0</v>
      </c>
      <c r="T9" s="174">
        <f>SUM(H9,J9,L9,N9,P9,R9)</f>
        <v>2</v>
      </c>
      <c r="U9" s="175">
        <f>SUM(I9,K9,M9,O9,Q9,S9)</f>
        <v>32</v>
      </c>
      <c r="W9" s="244"/>
      <c r="X9" s="244"/>
      <c r="Y9" s="244"/>
      <c r="Z9" s="244"/>
      <c r="AA9" s="244"/>
      <c r="AB9" s="244"/>
      <c r="AC9" s="244"/>
      <c r="AD9" s="244"/>
      <c r="AE9" s="244"/>
      <c r="AF9" s="244"/>
    </row>
    <row r="10" spans="2:33">
      <c r="B10" s="606"/>
      <c r="C10" s="608"/>
      <c r="D10" s="176" t="s">
        <v>556</v>
      </c>
      <c r="E10" s="176" t="s">
        <v>672</v>
      </c>
      <c r="F10" s="261">
        <v>30</v>
      </c>
      <c r="G10" s="261">
        <v>2</v>
      </c>
      <c r="H10" s="179"/>
      <c r="I10" s="179"/>
      <c r="J10" s="179"/>
      <c r="K10" s="179">
        <f t="shared" ref="K10" si="0">J10*16</f>
        <v>0</v>
      </c>
      <c r="L10" s="179">
        <v>3</v>
      </c>
      <c r="M10" s="179">
        <v>48</v>
      </c>
      <c r="N10" s="179"/>
      <c r="O10" s="179"/>
      <c r="P10" s="179"/>
      <c r="Q10" s="179"/>
      <c r="R10" s="179"/>
      <c r="S10" s="179">
        <f t="shared" ref="S10" si="1">R10*16</f>
        <v>0</v>
      </c>
      <c r="T10" s="180">
        <f t="shared" ref="T10" si="2">SUM(H10,J10,L10,N10,P10,R10)</f>
        <v>3</v>
      </c>
      <c r="U10" s="181">
        <f t="shared" ref="U10" si="3">SUM(I10,K10,M10,O10,Q10,S10)</f>
        <v>48</v>
      </c>
      <c r="W10" s="244"/>
      <c r="X10" s="244"/>
      <c r="Y10" s="244"/>
      <c r="Z10" s="244"/>
      <c r="AA10" s="244"/>
      <c r="AB10" s="244"/>
      <c r="AC10" s="244"/>
      <c r="AD10" s="244"/>
      <c r="AE10" s="244"/>
      <c r="AF10" s="244"/>
    </row>
    <row r="11" spans="2:33">
      <c r="B11" s="612"/>
      <c r="C11" s="614"/>
      <c r="D11" s="176" t="s">
        <v>714</v>
      </c>
      <c r="E11" s="176" t="s">
        <v>716</v>
      </c>
      <c r="F11" s="261">
        <v>45</v>
      </c>
      <c r="G11" s="261">
        <v>3</v>
      </c>
      <c r="H11" s="263"/>
      <c r="I11" s="263"/>
      <c r="J11" s="263"/>
      <c r="K11" s="263"/>
      <c r="L11" s="263"/>
      <c r="M11" s="263"/>
      <c r="N11" s="263">
        <v>2</v>
      </c>
      <c r="O11" s="263">
        <v>32</v>
      </c>
      <c r="P11" s="263"/>
      <c r="Q11" s="263"/>
      <c r="R11" s="263"/>
      <c r="S11" s="263"/>
      <c r="T11" s="257">
        <v>2</v>
      </c>
      <c r="U11" s="258">
        <v>32</v>
      </c>
      <c r="W11" s="244"/>
      <c r="X11" s="244"/>
      <c r="Y11" s="244"/>
      <c r="Z11" s="244"/>
      <c r="AA11" s="244"/>
      <c r="AB11" s="244"/>
      <c r="AC11" s="244"/>
      <c r="AD11" s="244"/>
      <c r="AE11" s="244"/>
      <c r="AF11" s="244"/>
    </row>
    <row r="12" spans="2:33">
      <c r="B12" s="612"/>
      <c r="C12" s="614"/>
      <c r="D12" s="177" t="s">
        <v>715</v>
      </c>
      <c r="E12" s="177" t="s">
        <v>717</v>
      </c>
      <c r="F12" s="32">
        <v>20</v>
      </c>
      <c r="G12" s="32">
        <v>2</v>
      </c>
      <c r="H12" s="31"/>
      <c r="I12" s="31"/>
      <c r="J12" s="31"/>
      <c r="K12" s="31"/>
      <c r="L12" s="31"/>
      <c r="M12" s="31"/>
      <c r="N12" s="31">
        <v>3</v>
      </c>
      <c r="O12" s="31">
        <v>48</v>
      </c>
      <c r="P12" s="31"/>
      <c r="Q12" s="31"/>
      <c r="R12" s="31"/>
      <c r="S12" s="31"/>
      <c r="T12" s="30">
        <v>3</v>
      </c>
      <c r="U12" s="29">
        <v>48</v>
      </c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</row>
    <row r="13" spans="2:33" ht="17.25" thickBot="1">
      <c r="B13" s="607"/>
      <c r="C13" s="609"/>
      <c r="D13" s="615" t="s">
        <v>16</v>
      </c>
      <c r="E13" s="610"/>
      <c r="F13" s="186">
        <v>160</v>
      </c>
      <c r="G13" s="186">
        <v>9</v>
      </c>
      <c r="H13" s="22"/>
      <c r="I13" s="22"/>
      <c r="J13" s="22"/>
      <c r="K13" s="22"/>
      <c r="L13" s="22">
        <v>5</v>
      </c>
      <c r="M13" s="22">
        <v>80</v>
      </c>
      <c r="N13" s="22">
        <v>5</v>
      </c>
      <c r="O13" s="22">
        <v>80</v>
      </c>
      <c r="P13" s="22"/>
      <c r="Q13" s="22"/>
      <c r="R13" s="22"/>
      <c r="S13" s="22"/>
      <c r="T13" s="27">
        <v>10</v>
      </c>
      <c r="U13" s="28">
        <v>160</v>
      </c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</row>
    <row r="14" spans="2:33">
      <c r="B14" s="616" t="s">
        <v>629</v>
      </c>
      <c r="C14" s="618">
        <v>16</v>
      </c>
      <c r="D14" s="32" t="s">
        <v>559</v>
      </c>
      <c r="E14" s="32" t="s">
        <v>560</v>
      </c>
      <c r="F14" s="276">
        <v>20</v>
      </c>
      <c r="G14" s="276">
        <v>3</v>
      </c>
      <c r="H14" s="277"/>
      <c r="I14" s="277"/>
      <c r="J14" s="277"/>
      <c r="K14" s="277"/>
      <c r="L14" s="277"/>
      <c r="M14" s="277"/>
      <c r="N14" s="277"/>
      <c r="O14" s="277"/>
      <c r="P14" s="277">
        <v>2</v>
      </c>
      <c r="Q14" s="277">
        <v>32</v>
      </c>
      <c r="R14" s="277"/>
      <c r="S14" s="277"/>
      <c r="T14" s="236">
        <v>2</v>
      </c>
      <c r="U14" s="237">
        <v>32</v>
      </c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</row>
    <row r="15" spans="2:33">
      <c r="B15" s="616"/>
      <c r="C15" s="619"/>
      <c r="D15" s="33" t="s">
        <v>558</v>
      </c>
      <c r="E15" s="32" t="s">
        <v>561</v>
      </c>
      <c r="F15" s="32">
        <v>80</v>
      </c>
      <c r="G15" s="32">
        <v>3</v>
      </c>
      <c r="H15" s="31"/>
      <c r="I15" s="31"/>
      <c r="J15" s="31"/>
      <c r="K15" s="31"/>
      <c r="L15" s="31"/>
      <c r="M15" s="31"/>
      <c r="N15" s="31"/>
      <c r="O15" s="31"/>
      <c r="P15" s="31">
        <v>3</v>
      </c>
      <c r="Q15" s="31">
        <v>48</v>
      </c>
      <c r="R15" s="31"/>
      <c r="S15" s="31"/>
      <c r="T15" s="30">
        <v>3</v>
      </c>
      <c r="U15" s="29">
        <v>48</v>
      </c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</row>
    <row r="16" spans="2:33">
      <c r="B16" s="616"/>
      <c r="C16" s="619"/>
      <c r="D16" s="261" t="s">
        <v>675</v>
      </c>
      <c r="E16" s="261" t="s">
        <v>676</v>
      </c>
      <c r="F16" s="261">
        <v>20</v>
      </c>
      <c r="G16" s="261">
        <v>2</v>
      </c>
      <c r="H16" s="263"/>
      <c r="I16" s="263"/>
      <c r="J16" s="263"/>
      <c r="K16" s="263"/>
      <c r="L16" s="263"/>
      <c r="M16" s="263"/>
      <c r="N16" s="263"/>
      <c r="O16" s="263"/>
      <c r="P16" s="263">
        <v>3</v>
      </c>
      <c r="Q16" s="263">
        <v>48</v>
      </c>
      <c r="R16" s="263"/>
      <c r="S16" s="263"/>
      <c r="T16" s="257">
        <v>3</v>
      </c>
      <c r="U16" s="258">
        <v>48</v>
      </c>
    </row>
    <row r="17" spans="2:21">
      <c r="B17" s="616"/>
      <c r="C17" s="619"/>
      <c r="D17" s="32" t="s">
        <v>708</v>
      </c>
      <c r="E17" s="32" t="s">
        <v>709</v>
      </c>
      <c r="F17" s="32">
        <v>30</v>
      </c>
      <c r="G17" s="32">
        <v>3</v>
      </c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>
        <v>4</v>
      </c>
      <c r="S17" s="31">
        <v>64</v>
      </c>
      <c r="T17" s="30">
        <v>4</v>
      </c>
      <c r="U17" s="29">
        <v>64</v>
      </c>
    </row>
    <row r="18" spans="2:21" ht="17.25" thickBot="1">
      <c r="B18" s="617"/>
      <c r="C18" s="620"/>
      <c r="D18" s="621" t="s">
        <v>16</v>
      </c>
      <c r="E18" s="622"/>
      <c r="F18" s="188">
        <v>170</v>
      </c>
      <c r="G18" s="188">
        <v>14</v>
      </c>
      <c r="H18" s="34"/>
      <c r="I18" s="34"/>
      <c r="J18" s="34"/>
      <c r="K18" s="34"/>
      <c r="L18" s="34"/>
      <c r="M18" s="34"/>
      <c r="N18" s="34"/>
      <c r="O18" s="34"/>
      <c r="P18" s="34">
        <v>8</v>
      </c>
      <c r="Q18" s="34">
        <v>128</v>
      </c>
      <c r="R18" s="34">
        <v>8</v>
      </c>
      <c r="S18" s="34">
        <v>128</v>
      </c>
      <c r="T18" s="25">
        <v>16</v>
      </c>
      <c r="U18" s="26">
        <v>256</v>
      </c>
    </row>
    <row r="19" spans="2:21">
      <c r="B19" s="623" t="s">
        <v>663</v>
      </c>
      <c r="C19" s="626">
        <v>12</v>
      </c>
      <c r="D19" s="172" t="s">
        <v>664</v>
      </c>
      <c r="E19" s="172" t="s">
        <v>668</v>
      </c>
      <c r="F19" s="172">
        <v>80</v>
      </c>
      <c r="G19" s="172">
        <v>5</v>
      </c>
      <c r="H19" s="173"/>
      <c r="I19" s="173"/>
      <c r="J19" s="173"/>
      <c r="K19" s="173">
        <f>J19*16</f>
        <v>0</v>
      </c>
      <c r="L19" s="173"/>
      <c r="M19" s="173"/>
      <c r="N19" s="173"/>
      <c r="O19" s="173"/>
      <c r="P19" s="173">
        <v>3</v>
      </c>
      <c r="Q19" s="173">
        <v>48</v>
      </c>
      <c r="R19" s="173"/>
      <c r="S19" s="173">
        <f>R19*16</f>
        <v>0</v>
      </c>
      <c r="T19" s="174">
        <f>SUM(H19,J19,L19,N19,P19,R19)</f>
        <v>3</v>
      </c>
      <c r="U19" s="175">
        <f>SUM(I19,K19,M19,O19,Q19,S19)</f>
        <v>48</v>
      </c>
    </row>
    <row r="20" spans="2:21">
      <c r="B20" s="624"/>
      <c r="C20" s="627"/>
      <c r="D20" s="177" t="s">
        <v>665</v>
      </c>
      <c r="E20" s="177" t="s">
        <v>669</v>
      </c>
      <c r="F20" s="177">
        <v>40</v>
      </c>
      <c r="G20" s="177">
        <v>5</v>
      </c>
      <c r="H20" s="179"/>
      <c r="I20" s="179"/>
      <c r="J20" s="179"/>
      <c r="K20" s="179">
        <f t="shared" ref="K20" si="4">J20*16</f>
        <v>0</v>
      </c>
      <c r="L20" s="179"/>
      <c r="M20" s="179"/>
      <c r="N20" s="179"/>
      <c r="O20" s="179"/>
      <c r="P20" s="179">
        <v>3</v>
      </c>
      <c r="Q20" s="179">
        <v>48</v>
      </c>
      <c r="R20" s="179"/>
      <c r="S20" s="179">
        <f t="shared" ref="S20" si="5">R20*16</f>
        <v>0</v>
      </c>
      <c r="T20" s="180">
        <v>3</v>
      </c>
      <c r="U20" s="181">
        <f t="shared" ref="U20" si="6">SUM(I20,K20,M20,O20,Q20,S20)</f>
        <v>48</v>
      </c>
    </row>
    <row r="21" spans="2:21">
      <c r="B21" s="624"/>
      <c r="C21" s="627"/>
      <c r="D21" s="176" t="s">
        <v>666</v>
      </c>
      <c r="E21" s="176" t="s">
        <v>670</v>
      </c>
      <c r="F21" s="176">
        <v>40</v>
      </c>
      <c r="G21" s="176">
        <v>6</v>
      </c>
      <c r="H21" s="178"/>
      <c r="I21" s="178">
        <f t="shared" ref="I21:I22" si="7">H21*16</f>
        <v>0</v>
      </c>
      <c r="J21" s="178"/>
      <c r="K21" s="178"/>
      <c r="L21" s="178"/>
      <c r="M21" s="178"/>
      <c r="N21" s="178"/>
      <c r="O21" s="178"/>
      <c r="P21" s="178"/>
      <c r="Q21" s="178"/>
      <c r="R21" s="178">
        <v>3</v>
      </c>
      <c r="S21" s="178">
        <v>48</v>
      </c>
      <c r="T21" s="278">
        <v>3</v>
      </c>
      <c r="U21" s="279">
        <v>48</v>
      </c>
    </row>
    <row r="22" spans="2:21">
      <c r="B22" s="624"/>
      <c r="C22" s="627"/>
      <c r="D22" s="177" t="s">
        <v>667</v>
      </c>
      <c r="E22" s="177" t="s">
        <v>671</v>
      </c>
      <c r="F22" s="177">
        <v>40</v>
      </c>
      <c r="G22" s="177">
        <v>6</v>
      </c>
      <c r="H22" s="179"/>
      <c r="I22" s="179">
        <f t="shared" si="7"/>
        <v>0</v>
      </c>
      <c r="J22" s="179"/>
      <c r="K22" s="179"/>
      <c r="L22" s="179"/>
      <c r="M22" s="179"/>
      <c r="N22" s="179"/>
      <c r="O22" s="179"/>
      <c r="P22" s="179"/>
      <c r="Q22" s="179"/>
      <c r="R22" s="179">
        <v>3</v>
      </c>
      <c r="S22" s="179">
        <v>48</v>
      </c>
      <c r="T22" s="180">
        <v>3</v>
      </c>
      <c r="U22" s="181">
        <v>48</v>
      </c>
    </row>
    <row r="23" spans="2:21" ht="17.25" thickBot="1">
      <c r="B23" s="625"/>
      <c r="C23" s="628"/>
      <c r="D23" s="629" t="s">
        <v>16</v>
      </c>
      <c r="E23" s="629"/>
      <c r="F23" s="187">
        <v>200</v>
      </c>
      <c r="G23" s="187">
        <v>22</v>
      </c>
      <c r="H23" s="20">
        <f>SUM(H21:H22)</f>
        <v>0</v>
      </c>
      <c r="I23" s="20">
        <f>SUM(I21:I22)</f>
        <v>0</v>
      </c>
      <c r="J23" s="20">
        <f>SUM(J21:J22)</f>
        <v>0</v>
      </c>
      <c r="K23" s="20">
        <f>SUM(K21:K22)</f>
        <v>0</v>
      </c>
      <c r="L23" s="20"/>
      <c r="M23" s="20"/>
      <c r="N23" s="20"/>
      <c r="O23" s="20"/>
      <c r="P23" s="20">
        <f>SUM(P19:P22)</f>
        <v>6</v>
      </c>
      <c r="Q23" s="20">
        <f>SUM(Q19:Q22)</f>
        <v>96</v>
      </c>
      <c r="R23" s="20">
        <f>SUM(R19:R22)</f>
        <v>6</v>
      </c>
      <c r="S23" s="20">
        <f>SUM(S19:S22)</f>
        <v>96</v>
      </c>
      <c r="T23" s="182">
        <v>12</v>
      </c>
      <c r="U23" s="182">
        <v>192</v>
      </c>
    </row>
    <row r="24" spans="2:21">
      <c r="B24" s="611" t="s">
        <v>508</v>
      </c>
      <c r="C24" s="613">
        <v>8</v>
      </c>
      <c r="D24" s="276" t="s">
        <v>710</v>
      </c>
      <c r="E24" s="276" t="s">
        <v>712</v>
      </c>
      <c r="F24" s="276">
        <v>20</v>
      </c>
      <c r="G24" s="276">
        <v>2</v>
      </c>
      <c r="H24" s="277"/>
      <c r="I24" s="277"/>
      <c r="J24" s="277"/>
      <c r="K24" s="277"/>
      <c r="L24" s="277"/>
      <c r="M24" s="277"/>
      <c r="N24" s="277"/>
      <c r="O24" s="277"/>
      <c r="P24" s="277"/>
      <c r="Q24" s="277"/>
      <c r="R24" s="277">
        <v>2</v>
      </c>
      <c r="S24" s="277">
        <v>32</v>
      </c>
      <c r="T24" s="236"/>
      <c r="U24" s="237"/>
    </row>
    <row r="25" spans="2:21">
      <c r="B25" s="606"/>
      <c r="C25" s="608"/>
      <c r="D25" s="32" t="s">
        <v>673</v>
      </c>
      <c r="E25" s="32" t="s">
        <v>674</v>
      </c>
      <c r="F25" s="32">
        <v>20</v>
      </c>
      <c r="G25" s="32">
        <v>3</v>
      </c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>
        <v>2</v>
      </c>
      <c r="S25" s="31">
        <v>32</v>
      </c>
      <c r="T25" s="30"/>
      <c r="U25" s="29"/>
    </row>
    <row r="26" spans="2:21">
      <c r="B26" s="606"/>
      <c r="C26" s="608"/>
      <c r="D26" s="32" t="s">
        <v>562</v>
      </c>
      <c r="E26" s="32" t="s">
        <v>563</v>
      </c>
      <c r="F26" s="32">
        <v>20</v>
      </c>
      <c r="G26" s="32">
        <v>3</v>
      </c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0">
        <v>2</v>
      </c>
      <c r="U26" s="29">
        <v>32</v>
      </c>
    </row>
    <row r="27" spans="2:21">
      <c r="B27" s="606"/>
      <c r="C27" s="608"/>
      <c r="D27" s="32" t="s">
        <v>711</v>
      </c>
      <c r="E27" s="32" t="s">
        <v>713</v>
      </c>
      <c r="F27" s="32">
        <v>20</v>
      </c>
      <c r="G27" s="32">
        <v>3</v>
      </c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0">
        <v>2</v>
      </c>
      <c r="U27" s="29">
        <v>32</v>
      </c>
    </row>
    <row r="28" spans="2:21" ht="17.25" thickBot="1">
      <c r="B28" s="607"/>
      <c r="C28" s="609"/>
      <c r="D28" s="610" t="s">
        <v>16</v>
      </c>
      <c r="E28" s="610"/>
      <c r="F28" s="186">
        <v>40</v>
      </c>
      <c r="G28" s="186">
        <v>6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>
        <v>4</v>
      </c>
      <c r="S28" s="22">
        <v>64</v>
      </c>
      <c r="T28" s="27">
        <v>4</v>
      </c>
      <c r="U28" s="28">
        <v>64</v>
      </c>
    </row>
    <row r="29" spans="2:21">
      <c r="B29" s="606" t="s">
        <v>628</v>
      </c>
      <c r="C29" s="608">
        <v>6</v>
      </c>
      <c r="D29" s="223" t="s">
        <v>564</v>
      </c>
      <c r="E29" s="223" t="s">
        <v>566</v>
      </c>
      <c r="F29" s="223">
        <v>40</v>
      </c>
      <c r="G29" s="223">
        <v>3</v>
      </c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>
        <v>3</v>
      </c>
      <c r="S29" s="224">
        <v>48</v>
      </c>
      <c r="T29" s="210">
        <v>3</v>
      </c>
      <c r="U29" s="211">
        <v>48</v>
      </c>
    </row>
    <row r="30" spans="2:21">
      <c r="B30" s="606"/>
      <c r="C30" s="608"/>
      <c r="D30" s="227" t="s">
        <v>565</v>
      </c>
      <c r="E30" s="227" t="s">
        <v>567</v>
      </c>
      <c r="F30" s="227">
        <v>40</v>
      </c>
      <c r="G30" s="227">
        <v>3</v>
      </c>
      <c r="H30" s="228"/>
      <c r="I30" s="228"/>
      <c r="J30" s="228"/>
      <c r="K30" s="228"/>
      <c r="L30" s="228"/>
      <c r="M30" s="228"/>
      <c r="N30" s="228"/>
      <c r="O30" s="228"/>
      <c r="P30" s="228"/>
      <c r="Q30" s="228"/>
      <c r="R30" s="228">
        <v>3</v>
      </c>
      <c r="S30" s="228">
        <v>48</v>
      </c>
      <c r="T30" s="214">
        <v>3</v>
      </c>
      <c r="U30" s="215">
        <v>48</v>
      </c>
    </row>
    <row r="31" spans="2:21" ht="17.25" thickBot="1">
      <c r="B31" s="607"/>
      <c r="C31" s="609"/>
      <c r="D31" s="610" t="s">
        <v>16</v>
      </c>
      <c r="E31" s="610"/>
      <c r="F31" s="251">
        <v>80</v>
      </c>
      <c r="G31" s="251">
        <v>6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>
        <v>6</v>
      </c>
      <c r="S31" s="22">
        <v>96</v>
      </c>
      <c r="T31" s="27">
        <v>6</v>
      </c>
      <c r="U31" s="28">
        <v>96</v>
      </c>
    </row>
  </sheetData>
  <mergeCells count="42">
    <mergeCell ref="B29:B31"/>
    <mergeCell ref="C29:C31"/>
    <mergeCell ref="D31:E31"/>
    <mergeCell ref="B9:B13"/>
    <mergeCell ref="C9:C13"/>
    <mergeCell ref="D13:E13"/>
    <mergeCell ref="B24:B28"/>
    <mergeCell ref="C24:C28"/>
    <mergeCell ref="D28:E28"/>
    <mergeCell ref="B14:B18"/>
    <mergeCell ref="C14:C18"/>
    <mergeCell ref="D18:E18"/>
    <mergeCell ref="B19:B23"/>
    <mergeCell ref="C19:C23"/>
    <mergeCell ref="D23:E23"/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2" orientation="landscape" cellComments="asDisplayed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85EA0-BD1E-4827-854B-87E8FC84066E}">
  <sheetPr>
    <tabColor rgb="FF00B0F0"/>
    <pageSetUpPr fitToPage="1"/>
  </sheetPr>
  <dimension ref="B1:AD102"/>
  <sheetViews>
    <sheetView view="pageBreakPreview" zoomScaleNormal="100" zoomScaleSheetLayoutView="100" workbookViewId="0">
      <pane ySplit="8" topLeftCell="A9" activePane="bottomLeft" state="frozen"/>
      <selection pane="bottomLeft" activeCell="B2" sqref="B2:U2"/>
    </sheetView>
  </sheetViews>
  <sheetFormatPr defaultColWidth="8.75" defaultRowHeight="16.5"/>
  <cols>
    <col min="1" max="1" width="2" style="4" customWidth="1"/>
    <col min="2" max="2" width="6.625" style="4" customWidth="1"/>
    <col min="3" max="3" width="9.375" style="4" customWidth="1"/>
    <col min="4" max="4" width="8.75" style="4"/>
    <col min="5" max="5" width="8.5" style="4" customWidth="1"/>
    <col min="6" max="6" width="16.5" style="4" customWidth="1"/>
    <col min="7" max="7" width="8.875" style="4" customWidth="1"/>
    <col min="8" max="8" width="5.625" style="4" customWidth="1"/>
    <col min="9" max="9" width="7.875" style="4" bestFit="1" customWidth="1"/>
    <col min="10" max="10" width="5.625" style="4" customWidth="1"/>
    <col min="11" max="22" width="3.875" style="4" customWidth="1"/>
    <col min="23" max="24" width="3.375" style="4" customWidth="1"/>
    <col min="25" max="25" width="6.375" style="4" customWidth="1"/>
    <col min="26" max="26" width="8.75" style="4"/>
    <col min="27" max="27" width="16.375" style="4" customWidth="1"/>
    <col min="28" max="29" width="12.875" style="4" customWidth="1"/>
    <col min="30" max="30" width="13.875" style="4" customWidth="1"/>
    <col min="31" max="16384" width="8.75" style="4"/>
  </cols>
  <sheetData>
    <row r="1" spans="2:30" ht="17.25" thickBot="1"/>
    <row r="2" spans="2:30" ht="30.75" customHeight="1" thickBot="1">
      <c r="B2" s="355" t="s">
        <v>602</v>
      </c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  <c r="R2" s="355"/>
      <c r="S2" s="355"/>
      <c r="T2" s="355"/>
      <c r="U2" s="356"/>
      <c r="V2" s="357" t="s">
        <v>130</v>
      </c>
      <c r="W2" s="358"/>
      <c r="X2" s="353">
        <v>2027</v>
      </c>
      <c r="Y2" s="354"/>
      <c r="AA2" s="364" t="s">
        <v>141</v>
      </c>
      <c r="AB2" s="15" t="s">
        <v>142</v>
      </c>
      <c r="AC2" s="36" t="s">
        <v>148</v>
      </c>
      <c r="AD2" s="16" t="s">
        <v>143</v>
      </c>
    </row>
    <row r="3" spans="2:30" ht="17.25" thickBot="1">
      <c r="B3" s="380" t="s">
        <v>349</v>
      </c>
      <c r="C3" s="382" t="s">
        <v>53</v>
      </c>
      <c r="D3" s="383"/>
      <c r="E3" s="383"/>
      <c r="F3" s="382" t="s">
        <v>64</v>
      </c>
      <c r="G3" s="386"/>
      <c r="H3" s="382" t="s">
        <v>54</v>
      </c>
      <c r="I3" s="383"/>
      <c r="J3" s="383"/>
      <c r="K3" s="382" t="s">
        <v>55</v>
      </c>
      <c r="L3" s="383"/>
      <c r="M3" s="383"/>
      <c r="N3" s="383"/>
      <c r="O3" s="386"/>
      <c r="P3" s="388" t="s">
        <v>56</v>
      </c>
      <c r="Q3" s="389"/>
      <c r="R3" s="389"/>
      <c r="S3" s="389"/>
      <c r="T3" s="389"/>
      <c r="U3" s="389"/>
      <c r="V3" s="389"/>
      <c r="W3" s="389"/>
      <c r="X3" s="389"/>
      <c r="Y3" s="390"/>
      <c r="AA3" s="365"/>
      <c r="AB3" s="17" t="s">
        <v>144</v>
      </c>
      <c r="AC3" s="48" t="s">
        <v>495</v>
      </c>
      <c r="AD3" s="519" t="s">
        <v>498</v>
      </c>
    </row>
    <row r="4" spans="2:30" ht="17.25" thickBot="1">
      <c r="B4" s="381"/>
      <c r="C4" s="384"/>
      <c r="D4" s="385"/>
      <c r="E4" s="385"/>
      <c r="F4" s="384"/>
      <c r="G4" s="387"/>
      <c r="H4" s="384"/>
      <c r="I4" s="385"/>
      <c r="J4" s="385"/>
      <c r="K4" s="384"/>
      <c r="L4" s="385"/>
      <c r="M4" s="385"/>
      <c r="N4" s="385"/>
      <c r="O4" s="387"/>
      <c r="P4" s="388" t="s">
        <v>127</v>
      </c>
      <c r="Q4" s="389"/>
      <c r="R4" s="389"/>
      <c r="S4" s="389"/>
      <c r="T4" s="388" t="s">
        <v>61</v>
      </c>
      <c r="U4" s="389"/>
      <c r="V4" s="390"/>
      <c r="W4" s="389" t="s">
        <v>128</v>
      </c>
      <c r="X4" s="389"/>
      <c r="Y4" s="390"/>
      <c r="AA4" s="365"/>
      <c r="AB4" s="18" t="s">
        <v>496</v>
      </c>
      <c r="AC4" s="517" t="s">
        <v>497</v>
      </c>
      <c r="AD4" s="520"/>
    </row>
    <row r="5" spans="2:30" ht="26.25" customHeight="1" thickBot="1">
      <c r="B5" s="82" t="s">
        <v>489</v>
      </c>
      <c r="C5" s="391" t="s">
        <v>601</v>
      </c>
      <c r="D5" s="392"/>
      <c r="E5" s="393"/>
      <c r="F5" s="391" t="s">
        <v>540</v>
      </c>
      <c r="G5" s="394"/>
      <c r="H5" s="395" t="s">
        <v>541</v>
      </c>
      <c r="I5" s="392"/>
      <c r="J5" s="393"/>
      <c r="K5" s="391" t="s">
        <v>542</v>
      </c>
      <c r="L5" s="392"/>
      <c r="M5" s="392"/>
      <c r="N5" s="392"/>
      <c r="O5" s="394"/>
      <c r="P5" s="395" t="s">
        <v>538</v>
      </c>
      <c r="Q5" s="392"/>
      <c r="R5" s="392"/>
      <c r="S5" s="393"/>
      <c r="T5" s="391" t="s">
        <v>493</v>
      </c>
      <c r="U5" s="392"/>
      <c r="V5" s="393"/>
      <c r="W5" s="396" t="s">
        <v>543</v>
      </c>
      <c r="X5" s="397"/>
      <c r="Y5" s="398"/>
      <c r="AA5" s="366"/>
      <c r="AB5" s="160" t="s">
        <v>145</v>
      </c>
      <c r="AC5" s="518"/>
      <c r="AD5" s="521"/>
    </row>
    <row r="6" spans="2:30" ht="15.75" customHeight="1" thickBot="1">
      <c r="U6" s="399"/>
      <c r="V6" s="399"/>
      <c r="W6" s="399"/>
      <c r="X6" s="399"/>
      <c r="Y6" s="399"/>
    </row>
    <row r="7" spans="2:30" s="10" customFormat="1" ht="22.5" customHeight="1">
      <c r="B7" s="400" t="s">
        <v>2</v>
      </c>
      <c r="C7" s="401"/>
      <c r="D7" s="404" t="s">
        <v>120</v>
      </c>
      <c r="E7" s="406" t="s">
        <v>57</v>
      </c>
      <c r="F7" s="407"/>
      <c r="G7" s="408"/>
      <c r="H7" s="409" t="s">
        <v>131</v>
      </c>
      <c r="I7" s="412" t="s">
        <v>132</v>
      </c>
      <c r="J7" s="416" t="s">
        <v>133</v>
      </c>
      <c r="K7" s="411" t="s">
        <v>58</v>
      </c>
      <c r="L7" s="412"/>
      <c r="M7" s="412"/>
      <c r="N7" s="413"/>
      <c r="O7" s="414" t="s">
        <v>59</v>
      </c>
      <c r="P7" s="412"/>
      <c r="Q7" s="412"/>
      <c r="R7" s="413"/>
      <c r="S7" s="411" t="s">
        <v>60</v>
      </c>
      <c r="T7" s="412"/>
      <c r="U7" s="412"/>
      <c r="V7" s="415"/>
      <c r="W7" s="409" t="s">
        <v>134</v>
      </c>
      <c r="X7" s="416"/>
      <c r="Y7" s="408" t="s">
        <v>135</v>
      </c>
      <c r="Z7" s="9"/>
    </row>
    <row r="8" spans="2:30" s="10" customFormat="1" ht="22.5" customHeight="1" thickBot="1">
      <c r="B8" s="402"/>
      <c r="C8" s="403"/>
      <c r="D8" s="405"/>
      <c r="E8" s="19" t="s">
        <v>18</v>
      </c>
      <c r="F8" s="419" t="s">
        <v>19</v>
      </c>
      <c r="G8" s="420"/>
      <c r="H8" s="410"/>
      <c r="I8" s="368"/>
      <c r="J8" s="417"/>
      <c r="K8" s="367" t="s">
        <v>0</v>
      </c>
      <c r="L8" s="368"/>
      <c r="M8" s="368" t="s">
        <v>62</v>
      </c>
      <c r="N8" s="421"/>
      <c r="O8" s="422" t="s">
        <v>0</v>
      </c>
      <c r="P8" s="368"/>
      <c r="Q8" s="368" t="s">
        <v>62</v>
      </c>
      <c r="R8" s="421"/>
      <c r="S8" s="367" t="s">
        <v>0</v>
      </c>
      <c r="T8" s="368"/>
      <c r="U8" s="368" t="s">
        <v>62</v>
      </c>
      <c r="V8" s="369"/>
      <c r="W8" s="410"/>
      <c r="X8" s="417"/>
      <c r="Y8" s="418"/>
      <c r="AA8" s="523"/>
      <c r="AB8" s="523"/>
      <c r="AC8" s="523"/>
      <c r="AD8" s="523"/>
    </row>
    <row r="9" spans="2:30" ht="16.5" customHeight="1" thickBot="1">
      <c r="B9" s="373" t="s">
        <v>333</v>
      </c>
      <c r="C9" s="371"/>
      <c r="D9" s="375" t="s">
        <v>21</v>
      </c>
      <c r="E9" s="49" t="s">
        <v>12</v>
      </c>
      <c r="F9" s="378" t="s">
        <v>197</v>
      </c>
      <c r="G9" s="337"/>
      <c r="H9" s="50">
        <v>4</v>
      </c>
      <c r="I9" s="51" t="s">
        <v>334</v>
      </c>
      <c r="J9" s="52">
        <v>3</v>
      </c>
      <c r="K9" s="378">
        <v>3</v>
      </c>
      <c r="L9" s="335"/>
      <c r="M9" s="332"/>
      <c r="N9" s="333"/>
      <c r="O9" s="336"/>
      <c r="P9" s="335"/>
      <c r="Q9" s="332"/>
      <c r="R9" s="333"/>
      <c r="S9" s="336"/>
      <c r="T9" s="335"/>
      <c r="U9" s="332"/>
      <c r="V9" s="337"/>
      <c r="W9" s="53">
        <f>SUM(K9:V9)</f>
        <v>3</v>
      </c>
      <c r="X9" s="424">
        <f>SUM(W9:W13)</f>
        <v>15</v>
      </c>
      <c r="Y9" s="350">
        <v>24</v>
      </c>
      <c r="AA9" s="245"/>
      <c r="AB9" s="245"/>
      <c r="AC9" s="245"/>
      <c r="AD9" s="245"/>
    </row>
    <row r="10" spans="2:30" ht="17.25" thickBot="1">
      <c r="B10" s="374"/>
      <c r="C10" s="372"/>
      <c r="D10" s="376"/>
      <c r="E10" s="54" t="s">
        <v>12</v>
      </c>
      <c r="F10" s="320" t="s">
        <v>198</v>
      </c>
      <c r="G10" s="325"/>
      <c r="H10" s="55">
        <v>4</v>
      </c>
      <c r="I10" s="56" t="s">
        <v>334</v>
      </c>
      <c r="J10" s="57">
        <v>3</v>
      </c>
      <c r="K10" s="320"/>
      <c r="L10" s="321"/>
      <c r="M10" s="322">
        <v>3</v>
      </c>
      <c r="N10" s="323"/>
      <c r="O10" s="324"/>
      <c r="P10" s="321"/>
      <c r="Q10" s="322"/>
      <c r="R10" s="323"/>
      <c r="S10" s="324"/>
      <c r="T10" s="321"/>
      <c r="U10" s="322"/>
      <c r="V10" s="325"/>
      <c r="W10" s="58">
        <f t="shared" ref="W10:W27" si="0">SUM(K10:V10)</f>
        <v>3</v>
      </c>
      <c r="X10" s="461"/>
      <c r="Y10" s="350"/>
      <c r="AA10" s="245"/>
      <c r="AB10" s="245"/>
      <c r="AC10" s="245"/>
      <c r="AD10" s="245"/>
    </row>
    <row r="11" spans="2:30" ht="17.25" thickBot="1">
      <c r="B11" s="374"/>
      <c r="C11" s="372"/>
      <c r="D11" s="376"/>
      <c r="E11" s="59" t="s">
        <v>339</v>
      </c>
      <c r="F11" s="320" t="s">
        <v>4</v>
      </c>
      <c r="G11" s="325"/>
      <c r="H11" s="151">
        <v>4</v>
      </c>
      <c r="I11" s="152" t="s">
        <v>336</v>
      </c>
      <c r="J11" s="153">
        <v>3</v>
      </c>
      <c r="K11" s="320"/>
      <c r="L11" s="321"/>
      <c r="M11" s="322"/>
      <c r="N11" s="323"/>
      <c r="O11" s="324">
        <v>3</v>
      </c>
      <c r="P11" s="321"/>
      <c r="Q11" s="322"/>
      <c r="R11" s="323"/>
      <c r="S11" s="324"/>
      <c r="T11" s="321"/>
      <c r="U11" s="322"/>
      <c r="V11" s="325"/>
      <c r="W11" s="58">
        <f t="shared" si="0"/>
        <v>3</v>
      </c>
      <c r="X11" s="461"/>
      <c r="Y11" s="350"/>
      <c r="AA11" s="245"/>
      <c r="AB11" s="245"/>
      <c r="AC11" s="245"/>
      <c r="AD11" s="245"/>
    </row>
    <row r="12" spans="2:30" ht="17.25" thickBot="1">
      <c r="B12" s="374"/>
      <c r="C12" s="372"/>
      <c r="D12" s="376"/>
      <c r="E12" s="59" t="s">
        <v>339</v>
      </c>
      <c r="F12" s="320" t="s">
        <v>201</v>
      </c>
      <c r="G12" s="325"/>
      <c r="H12" s="151">
        <v>4</v>
      </c>
      <c r="I12" s="152" t="s">
        <v>336</v>
      </c>
      <c r="J12" s="153">
        <v>3</v>
      </c>
      <c r="K12" s="320"/>
      <c r="L12" s="321"/>
      <c r="M12" s="322"/>
      <c r="N12" s="323"/>
      <c r="O12" s="324"/>
      <c r="P12" s="321"/>
      <c r="Q12" s="322">
        <v>3</v>
      </c>
      <c r="R12" s="323"/>
      <c r="S12" s="324"/>
      <c r="T12" s="321"/>
      <c r="U12" s="322"/>
      <c r="V12" s="325"/>
      <c r="W12" s="58">
        <v>3</v>
      </c>
      <c r="X12" s="461"/>
      <c r="Y12" s="350"/>
      <c r="AA12" s="245"/>
      <c r="AB12" s="245"/>
      <c r="AC12" s="245"/>
      <c r="AD12" s="245"/>
    </row>
    <row r="13" spans="2:30" ht="17.25" customHeight="1" thickBot="1">
      <c r="B13" s="374"/>
      <c r="C13" s="372"/>
      <c r="D13" s="377"/>
      <c r="E13" s="59" t="s">
        <v>335</v>
      </c>
      <c r="F13" s="320" t="s">
        <v>705</v>
      </c>
      <c r="G13" s="325"/>
      <c r="H13" s="60">
        <v>4</v>
      </c>
      <c r="I13" s="61" t="s">
        <v>336</v>
      </c>
      <c r="J13" s="62">
        <v>3</v>
      </c>
      <c r="K13" s="379"/>
      <c r="L13" s="346"/>
      <c r="M13" s="347"/>
      <c r="N13" s="348"/>
      <c r="O13" s="345"/>
      <c r="P13" s="346"/>
      <c r="Q13" s="347"/>
      <c r="R13" s="348"/>
      <c r="S13" s="345">
        <v>3</v>
      </c>
      <c r="T13" s="346"/>
      <c r="U13" s="347"/>
      <c r="V13" s="349"/>
      <c r="W13" s="58">
        <f t="shared" si="0"/>
        <v>3</v>
      </c>
      <c r="X13" s="461"/>
      <c r="Y13" s="350"/>
      <c r="AA13" s="245"/>
      <c r="AB13" s="245"/>
      <c r="AC13" s="245"/>
      <c r="AD13" s="245"/>
    </row>
    <row r="14" spans="2:30" ht="17.25" thickBot="1">
      <c r="B14" s="374"/>
      <c r="C14" s="372"/>
      <c r="D14" s="375" t="s">
        <v>5</v>
      </c>
      <c r="E14" s="49" t="s">
        <v>12</v>
      </c>
      <c r="F14" s="378" t="s">
        <v>209</v>
      </c>
      <c r="G14" s="337"/>
      <c r="H14" s="50">
        <v>4</v>
      </c>
      <c r="I14" s="51" t="s">
        <v>334</v>
      </c>
      <c r="J14" s="52">
        <v>3</v>
      </c>
      <c r="K14" s="378">
        <v>3</v>
      </c>
      <c r="L14" s="335"/>
      <c r="M14" s="332"/>
      <c r="N14" s="333"/>
      <c r="O14" s="336"/>
      <c r="P14" s="335"/>
      <c r="Q14" s="332"/>
      <c r="R14" s="333"/>
      <c r="S14" s="336"/>
      <c r="T14" s="335"/>
      <c r="U14" s="332"/>
      <c r="V14" s="337"/>
      <c r="W14" s="53">
        <f t="shared" si="0"/>
        <v>3</v>
      </c>
      <c r="X14" s="424">
        <f>SUM(W14:W17)</f>
        <v>12</v>
      </c>
      <c r="Y14" s="350"/>
      <c r="AA14" s="245"/>
      <c r="AB14" s="245"/>
      <c r="AC14" s="245"/>
      <c r="AD14" s="245"/>
    </row>
    <row r="15" spans="2:30" ht="17.25" thickBot="1">
      <c r="B15" s="374"/>
      <c r="C15" s="372"/>
      <c r="D15" s="376"/>
      <c r="E15" s="54" t="s">
        <v>12</v>
      </c>
      <c r="F15" s="320" t="s">
        <v>211</v>
      </c>
      <c r="G15" s="325"/>
      <c r="H15" s="55">
        <v>4</v>
      </c>
      <c r="I15" s="56" t="s">
        <v>334</v>
      </c>
      <c r="J15" s="57">
        <v>3</v>
      </c>
      <c r="K15" s="320"/>
      <c r="L15" s="321"/>
      <c r="M15" s="322">
        <v>3</v>
      </c>
      <c r="N15" s="323"/>
      <c r="O15" s="324"/>
      <c r="P15" s="321"/>
      <c r="Q15" s="322"/>
      <c r="R15" s="323"/>
      <c r="S15" s="324"/>
      <c r="T15" s="321"/>
      <c r="U15" s="322"/>
      <c r="V15" s="325"/>
      <c r="W15" s="58">
        <f t="shared" si="0"/>
        <v>3</v>
      </c>
      <c r="X15" s="461"/>
      <c r="Y15" s="350"/>
      <c r="AA15" s="245"/>
      <c r="AB15" s="245"/>
      <c r="AC15" s="245"/>
      <c r="AD15" s="245"/>
    </row>
    <row r="16" spans="2:30" ht="17.25" thickBot="1">
      <c r="B16" s="374"/>
      <c r="C16" s="372"/>
      <c r="D16" s="376"/>
      <c r="E16" s="59" t="s">
        <v>339</v>
      </c>
      <c r="F16" s="320" t="s">
        <v>212</v>
      </c>
      <c r="G16" s="325"/>
      <c r="H16" s="151">
        <v>4</v>
      </c>
      <c r="I16" s="152" t="s">
        <v>336</v>
      </c>
      <c r="J16" s="153">
        <v>3</v>
      </c>
      <c r="K16" s="320"/>
      <c r="L16" s="321"/>
      <c r="M16" s="322"/>
      <c r="N16" s="323"/>
      <c r="O16" s="324">
        <v>3</v>
      </c>
      <c r="P16" s="321"/>
      <c r="Q16" s="322"/>
      <c r="R16" s="323"/>
      <c r="S16" s="324"/>
      <c r="T16" s="321"/>
      <c r="U16" s="322"/>
      <c r="V16" s="325"/>
      <c r="W16" s="58">
        <f t="shared" si="0"/>
        <v>3</v>
      </c>
      <c r="X16" s="461"/>
      <c r="Y16" s="350"/>
      <c r="AA16" s="245"/>
      <c r="AB16" s="245"/>
      <c r="AC16" s="245"/>
      <c r="AD16" s="245"/>
    </row>
    <row r="17" spans="2:30" ht="17.25" thickBot="1">
      <c r="B17" s="374"/>
      <c r="C17" s="372"/>
      <c r="D17" s="377"/>
      <c r="E17" s="59" t="s">
        <v>335</v>
      </c>
      <c r="F17" s="379" t="s">
        <v>337</v>
      </c>
      <c r="G17" s="349"/>
      <c r="H17" s="60">
        <v>4</v>
      </c>
      <c r="I17" s="61" t="s">
        <v>336</v>
      </c>
      <c r="J17" s="62">
        <v>3</v>
      </c>
      <c r="K17" s="379"/>
      <c r="L17" s="346"/>
      <c r="M17" s="347"/>
      <c r="N17" s="348"/>
      <c r="O17" s="345"/>
      <c r="P17" s="346"/>
      <c r="Q17" s="347">
        <v>3</v>
      </c>
      <c r="R17" s="348"/>
      <c r="S17" s="345"/>
      <c r="T17" s="346"/>
      <c r="U17" s="347"/>
      <c r="V17" s="349"/>
      <c r="W17" s="58">
        <f t="shared" si="0"/>
        <v>3</v>
      </c>
      <c r="X17" s="461"/>
      <c r="Y17" s="350"/>
      <c r="AA17" s="245"/>
      <c r="AB17" s="522"/>
      <c r="AC17" s="522"/>
      <c r="AD17" s="522"/>
    </row>
    <row r="18" spans="2:30" ht="17.25" thickBot="1">
      <c r="B18" s="374"/>
      <c r="C18" s="372"/>
      <c r="D18" s="375" t="s">
        <v>6</v>
      </c>
      <c r="E18" s="49" t="s">
        <v>12</v>
      </c>
      <c r="F18" s="378" t="s">
        <v>216</v>
      </c>
      <c r="G18" s="337"/>
      <c r="H18" s="50">
        <v>4</v>
      </c>
      <c r="I18" s="51" t="s">
        <v>334</v>
      </c>
      <c r="J18" s="52">
        <v>3</v>
      </c>
      <c r="K18" s="378">
        <v>3</v>
      </c>
      <c r="L18" s="335"/>
      <c r="M18" s="332"/>
      <c r="N18" s="333"/>
      <c r="O18" s="336"/>
      <c r="P18" s="335"/>
      <c r="Q18" s="332"/>
      <c r="R18" s="333"/>
      <c r="S18" s="336"/>
      <c r="T18" s="335"/>
      <c r="U18" s="332"/>
      <c r="V18" s="337"/>
      <c r="W18" s="53">
        <f t="shared" si="0"/>
        <v>3</v>
      </c>
      <c r="X18" s="424">
        <f>SUM(W18:W21)</f>
        <v>12</v>
      </c>
      <c r="Y18" s="350"/>
      <c r="AA18" s="155"/>
      <c r="AB18" s="155"/>
      <c r="AC18" s="155"/>
      <c r="AD18" s="155"/>
    </row>
    <row r="19" spans="2:30" ht="17.25" thickBot="1">
      <c r="B19" s="374"/>
      <c r="C19" s="372"/>
      <c r="D19" s="376"/>
      <c r="E19" s="54" t="s">
        <v>12</v>
      </c>
      <c r="F19" s="320" t="s">
        <v>222</v>
      </c>
      <c r="G19" s="325"/>
      <c r="H19" s="55">
        <v>4</v>
      </c>
      <c r="I19" s="56" t="s">
        <v>334</v>
      </c>
      <c r="J19" s="57">
        <v>3</v>
      </c>
      <c r="K19" s="320"/>
      <c r="L19" s="321"/>
      <c r="M19" s="322">
        <v>3</v>
      </c>
      <c r="N19" s="323"/>
      <c r="O19" s="324"/>
      <c r="P19" s="321"/>
      <c r="Q19" s="322"/>
      <c r="R19" s="323"/>
      <c r="S19" s="324"/>
      <c r="T19" s="321"/>
      <c r="U19" s="322"/>
      <c r="V19" s="325"/>
      <c r="W19" s="58">
        <f t="shared" si="0"/>
        <v>3</v>
      </c>
      <c r="X19" s="461"/>
      <c r="Y19" s="350"/>
    </row>
    <row r="20" spans="2:30" ht="17.25" thickBot="1">
      <c r="B20" s="374"/>
      <c r="C20" s="372"/>
      <c r="D20" s="376"/>
      <c r="E20" s="159" t="s">
        <v>339</v>
      </c>
      <c r="F20" s="320" t="s">
        <v>499</v>
      </c>
      <c r="G20" s="325"/>
      <c r="H20" s="151">
        <v>4</v>
      </c>
      <c r="I20" s="152" t="s">
        <v>336</v>
      </c>
      <c r="J20" s="153">
        <v>3</v>
      </c>
      <c r="K20" s="320"/>
      <c r="L20" s="321"/>
      <c r="M20" s="322"/>
      <c r="N20" s="323"/>
      <c r="O20" s="324">
        <v>3</v>
      </c>
      <c r="P20" s="321"/>
      <c r="Q20" s="322"/>
      <c r="R20" s="323"/>
      <c r="S20" s="324"/>
      <c r="T20" s="321"/>
      <c r="U20" s="322"/>
      <c r="V20" s="325"/>
      <c r="W20" s="58">
        <f t="shared" si="0"/>
        <v>3</v>
      </c>
      <c r="X20" s="461"/>
      <c r="Y20" s="350"/>
    </row>
    <row r="21" spans="2:30" ht="17.25" thickBot="1">
      <c r="B21" s="374"/>
      <c r="C21" s="372"/>
      <c r="D21" s="377"/>
      <c r="E21" s="63" t="s">
        <v>335</v>
      </c>
      <c r="F21" s="379" t="s">
        <v>609</v>
      </c>
      <c r="G21" s="349"/>
      <c r="H21" s="60">
        <v>4</v>
      </c>
      <c r="I21" s="61" t="s">
        <v>336</v>
      </c>
      <c r="J21" s="62">
        <v>3</v>
      </c>
      <c r="K21" s="379"/>
      <c r="L21" s="346"/>
      <c r="M21" s="347"/>
      <c r="N21" s="348"/>
      <c r="O21" s="345"/>
      <c r="P21" s="346"/>
      <c r="Q21" s="347">
        <v>3</v>
      </c>
      <c r="R21" s="348"/>
      <c r="S21" s="345"/>
      <c r="T21" s="346"/>
      <c r="U21" s="347"/>
      <c r="V21" s="349"/>
      <c r="W21" s="58">
        <f t="shared" si="0"/>
        <v>3</v>
      </c>
      <c r="X21" s="461"/>
      <c r="Y21" s="350"/>
    </row>
    <row r="22" spans="2:30" ht="17.25" thickBot="1">
      <c r="B22" s="374"/>
      <c r="C22" s="372"/>
      <c r="D22" s="375" t="s">
        <v>338</v>
      </c>
      <c r="E22" s="49" t="s">
        <v>12</v>
      </c>
      <c r="F22" s="378" t="s">
        <v>230</v>
      </c>
      <c r="G22" s="337"/>
      <c r="H22" s="50">
        <v>3</v>
      </c>
      <c r="I22" s="64">
        <v>3</v>
      </c>
      <c r="J22" s="52">
        <v>3</v>
      </c>
      <c r="K22" s="423">
        <v>3</v>
      </c>
      <c r="L22" s="360"/>
      <c r="M22" s="361"/>
      <c r="N22" s="362"/>
      <c r="O22" s="359"/>
      <c r="P22" s="360"/>
      <c r="Q22" s="361"/>
      <c r="R22" s="362"/>
      <c r="S22" s="359"/>
      <c r="T22" s="360"/>
      <c r="U22" s="361"/>
      <c r="V22" s="363"/>
      <c r="W22" s="53">
        <f t="shared" si="0"/>
        <v>3</v>
      </c>
      <c r="X22" s="424">
        <f>SUM(W22:W23)</f>
        <v>6</v>
      </c>
      <c r="Y22" s="350">
        <v>6</v>
      </c>
    </row>
    <row r="23" spans="2:30" ht="17.25" thickBot="1">
      <c r="B23" s="374"/>
      <c r="C23" s="372"/>
      <c r="D23" s="376"/>
      <c r="E23" s="65" t="s">
        <v>12</v>
      </c>
      <c r="F23" s="426" t="s">
        <v>231</v>
      </c>
      <c r="G23" s="427"/>
      <c r="H23" s="66">
        <v>3</v>
      </c>
      <c r="I23" s="67">
        <v>3</v>
      </c>
      <c r="J23" s="248">
        <v>3</v>
      </c>
      <c r="K23" s="379"/>
      <c r="L23" s="346"/>
      <c r="M23" s="347">
        <v>3</v>
      </c>
      <c r="N23" s="348"/>
      <c r="O23" s="345"/>
      <c r="P23" s="346"/>
      <c r="Q23" s="347"/>
      <c r="R23" s="348"/>
      <c r="S23" s="345"/>
      <c r="T23" s="346"/>
      <c r="U23" s="347"/>
      <c r="V23" s="349"/>
      <c r="W23" s="69">
        <f t="shared" si="0"/>
        <v>3</v>
      </c>
      <c r="X23" s="425"/>
      <c r="Y23" s="350"/>
      <c r="AA23" s="370"/>
      <c r="AB23" s="370"/>
      <c r="AC23" s="246"/>
    </row>
    <row r="24" spans="2:30" ht="17.25" thickBot="1">
      <c r="B24" s="374"/>
      <c r="C24" s="372"/>
      <c r="D24" s="376"/>
      <c r="E24" s="49" t="s">
        <v>12</v>
      </c>
      <c r="F24" s="378" t="s">
        <v>233</v>
      </c>
      <c r="G24" s="337"/>
      <c r="H24" s="50">
        <v>4</v>
      </c>
      <c r="I24" s="64" t="s">
        <v>334</v>
      </c>
      <c r="J24" s="52">
        <v>3</v>
      </c>
      <c r="K24" s="378"/>
      <c r="L24" s="335"/>
      <c r="M24" s="332"/>
      <c r="N24" s="333"/>
      <c r="O24" s="336">
        <v>3</v>
      </c>
      <c r="P24" s="335"/>
      <c r="Q24" s="332"/>
      <c r="R24" s="333"/>
      <c r="S24" s="336"/>
      <c r="T24" s="335"/>
      <c r="U24" s="332"/>
      <c r="V24" s="337"/>
      <c r="W24" s="53">
        <f t="shared" si="0"/>
        <v>3</v>
      </c>
      <c r="X24" s="424">
        <f>SUM(W24:W25)</f>
        <v>6</v>
      </c>
      <c r="Y24" s="350">
        <v>12</v>
      </c>
    </row>
    <row r="25" spans="2:30" ht="17.25" thickBot="1">
      <c r="B25" s="374"/>
      <c r="C25" s="372"/>
      <c r="D25" s="377"/>
      <c r="E25" s="63" t="s">
        <v>12</v>
      </c>
      <c r="F25" s="379" t="s">
        <v>234</v>
      </c>
      <c r="G25" s="349"/>
      <c r="H25" s="60">
        <v>4</v>
      </c>
      <c r="I25" s="61" t="s">
        <v>334</v>
      </c>
      <c r="J25" s="62">
        <v>3</v>
      </c>
      <c r="K25" s="379"/>
      <c r="L25" s="346"/>
      <c r="M25" s="347"/>
      <c r="N25" s="348"/>
      <c r="O25" s="345"/>
      <c r="P25" s="346"/>
      <c r="Q25" s="347">
        <v>3</v>
      </c>
      <c r="R25" s="348"/>
      <c r="S25" s="345"/>
      <c r="T25" s="346"/>
      <c r="U25" s="347"/>
      <c r="V25" s="349"/>
      <c r="W25" s="69">
        <f t="shared" si="0"/>
        <v>3</v>
      </c>
      <c r="X25" s="425"/>
      <c r="Y25" s="350"/>
    </row>
    <row r="26" spans="2:30" ht="17.25" thickBot="1">
      <c r="B26" s="374"/>
      <c r="C26" s="372"/>
      <c r="D26" s="375" t="s">
        <v>26</v>
      </c>
      <c r="E26" s="49" t="s">
        <v>12</v>
      </c>
      <c r="F26" s="378" t="s">
        <v>251</v>
      </c>
      <c r="G26" s="337"/>
      <c r="H26" s="50">
        <v>4</v>
      </c>
      <c r="I26" s="64" t="s">
        <v>334</v>
      </c>
      <c r="J26" s="52">
        <v>3</v>
      </c>
      <c r="K26" s="378">
        <v>3</v>
      </c>
      <c r="L26" s="335"/>
      <c r="M26" s="332"/>
      <c r="N26" s="333"/>
      <c r="O26" s="336"/>
      <c r="P26" s="335"/>
      <c r="Q26" s="332"/>
      <c r="R26" s="333"/>
      <c r="S26" s="336"/>
      <c r="T26" s="335"/>
      <c r="U26" s="332"/>
      <c r="V26" s="337"/>
      <c r="W26" s="53">
        <f t="shared" si="0"/>
        <v>3</v>
      </c>
      <c r="X26" s="371">
        <f>SUM(W26:W27)</f>
        <v>6</v>
      </c>
      <c r="Y26" s="350"/>
    </row>
    <row r="27" spans="2:30" ht="17.25" thickBot="1">
      <c r="B27" s="374"/>
      <c r="C27" s="372"/>
      <c r="D27" s="376"/>
      <c r="E27" s="54" t="s">
        <v>12</v>
      </c>
      <c r="F27" s="320" t="s">
        <v>252</v>
      </c>
      <c r="G27" s="325"/>
      <c r="H27" s="55">
        <v>4</v>
      </c>
      <c r="I27" s="56" t="s">
        <v>334</v>
      </c>
      <c r="J27" s="57">
        <v>3</v>
      </c>
      <c r="K27" s="320"/>
      <c r="L27" s="321"/>
      <c r="M27" s="322">
        <v>3</v>
      </c>
      <c r="N27" s="323"/>
      <c r="O27" s="324"/>
      <c r="P27" s="321"/>
      <c r="Q27" s="322"/>
      <c r="R27" s="323"/>
      <c r="S27" s="324"/>
      <c r="T27" s="321"/>
      <c r="U27" s="322"/>
      <c r="V27" s="325"/>
      <c r="W27" s="58">
        <f t="shared" si="0"/>
        <v>3</v>
      </c>
      <c r="X27" s="372"/>
      <c r="Y27" s="350"/>
    </row>
    <row r="28" spans="2:30" ht="16.5" customHeight="1" thickBot="1">
      <c r="B28" s="374"/>
      <c r="C28" s="372"/>
      <c r="D28" s="375" t="s">
        <v>8</v>
      </c>
      <c r="E28" s="49" t="s">
        <v>339</v>
      </c>
      <c r="F28" s="378" t="s">
        <v>340</v>
      </c>
      <c r="G28" s="337"/>
      <c r="H28" s="50">
        <v>3</v>
      </c>
      <c r="I28" s="64" t="s">
        <v>341</v>
      </c>
      <c r="J28" s="52">
        <f t="shared" ref="J28:J29" si="1">SUM(K28:V28)</f>
        <v>2</v>
      </c>
      <c r="K28" s="378">
        <v>2</v>
      </c>
      <c r="L28" s="335"/>
      <c r="M28" s="332"/>
      <c r="N28" s="333"/>
      <c r="O28" s="336"/>
      <c r="P28" s="335"/>
      <c r="Q28" s="332"/>
      <c r="R28" s="333"/>
      <c r="S28" s="336"/>
      <c r="T28" s="335"/>
      <c r="U28" s="332"/>
      <c r="V28" s="337"/>
      <c r="W28" s="53">
        <f>SUM(K28:V28)</f>
        <v>2</v>
      </c>
      <c r="X28" s="428">
        <f>SUM(W28:W32)</f>
        <v>8</v>
      </c>
      <c r="Y28" s="350">
        <v>8</v>
      </c>
    </row>
    <row r="29" spans="2:30" ht="17.25" thickBot="1">
      <c r="B29" s="374"/>
      <c r="C29" s="372"/>
      <c r="D29" s="376"/>
      <c r="E29" s="54" t="s">
        <v>339</v>
      </c>
      <c r="F29" s="320" t="s">
        <v>342</v>
      </c>
      <c r="G29" s="325"/>
      <c r="H29" s="55">
        <v>3</v>
      </c>
      <c r="I29" s="56" t="s">
        <v>341</v>
      </c>
      <c r="J29" s="57">
        <f t="shared" si="1"/>
        <v>2</v>
      </c>
      <c r="K29" s="320"/>
      <c r="L29" s="321"/>
      <c r="M29" s="322">
        <v>2</v>
      </c>
      <c r="N29" s="323"/>
      <c r="O29" s="324"/>
      <c r="P29" s="321"/>
      <c r="Q29" s="322"/>
      <c r="R29" s="323"/>
      <c r="S29" s="324"/>
      <c r="T29" s="321"/>
      <c r="U29" s="322"/>
      <c r="V29" s="325"/>
      <c r="W29" s="58">
        <f t="shared" ref="W29:W32" si="2">SUM(K29:V29)</f>
        <v>2</v>
      </c>
      <c r="X29" s="429"/>
      <c r="Y29" s="350"/>
    </row>
    <row r="30" spans="2:30" ht="17.25" thickBot="1">
      <c r="B30" s="374"/>
      <c r="C30" s="372"/>
      <c r="D30" s="376"/>
      <c r="E30" s="54" t="s">
        <v>335</v>
      </c>
      <c r="F30" s="320" t="s">
        <v>357</v>
      </c>
      <c r="G30" s="325"/>
      <c r="H30" s="55">
        <v>2</v>
      </c>
      <c r="I30" s="56" t="s">
        <v>501</v>
      </c>
      <c r="J30" s="57">
        <v>1</v>
      </c>
      <c r="K30" s="320"/>
      <c r="L30" s="321"/>
      <c r="M30" s="322"/>
      <c r="N30" s="323"/>
      <c r="O30" s="324">
        <v>1</v>
      </c>
      <c r="P30" s="321"/>
      <c r="Q30" s="322"/>
      <c r="R30" s="323"/>
      <c r="S30" s="324"/>
      <c r="T30" s="321"/>
      <c r="U30" s="322"/>
      <c r="V30" s="325"/>
      <c r="W30" s="58">
        <f t="shared" si="2"/>
        <v>1</v>
      </c>
      <c r="X30" s="429"/>
      <c r="Y30" s="350"/>
    </row>
    <row r="31" spans="2:30" ht="17.25" thickBot="1">
      <c r="B31" s="374"/>
      <c r="C31" s="372"/>
      <c r="D31" s="376"/>
      <c r="E31" s="54" t="s">
        <v>335</v>
      </c>
      <c r="F31" s="320" t="s">
        <v>500</v>
      </c>
      <c r="G31" s="325"/>
      <c r="H31" s="55">
        <v>2</v>
      </c>
      <c r="I31" s="56" t="s">
        <v>501</v>
      </c>
      <c r="J31" s="57">
        <v>1</v>
      </c>
      <c r="K31" s="320"/>
      <c r="L31" s="321"/>
      <c r="M31" s="322"/>
      <c r="N31" s="323"/>
      <c r="O31" s="324"/>
      <c r="P31" s="321"/>
      <c r="Q31" s="322">
        <v>1</v>
      </c>
      <c r="R31" s="323"/>
      <c r="S31" s="324"/>
      <c r="T31" s="321"/>
      <c r="U31" s="322"/>
      <c r="V31" s="325"/>
      <c r="W31" s="58">
        <f t="shared" si="2"/>
        <v>1</v>
      </c>
      <c r="X31" s="429"/>
      <c r="Y31" s="350"/>
    </row>
    <row r="32" spans="2:30" ht="17.25" thickBot="1">
      <c r="B32" s="374"/>
      <c r="C32" s="372"/>
      <c r="D32" s="377"/>
      <c r="E32" s="63" t="s">
        <v>335</v>
      </c>
      <c r="F32" s="379" t="s">
        <v>575</v>
      </c>
      <c r="G32" s="349"/>
      <c r="H32" s="60">
        <v>3</v>
      </c>
      <c r="I32" s="61" t="s">
        <v>341</v>
      </c>
      <c r="J32" s="62">
        <v>2</v>
      </c>
      <c r="K32" s="379"/>
      <c r="L32" s="346"/>
      <c r="M32" s="347"/>
      <c r="N32" s="348"/>
      <c r="O32" s="345"/>
      <c r="P32" s="346"/>
      <c r="Q32" s="347"/>
      <c r="R32" s="348"/>
      <c r="S32" s="345">
        <v>2</v>
      </c>
      <c r="T32" s="346"/>
      <c r="U32" s="347"/>
      <c r="V32" s="349"/>
      <c r="W32" s="69">
        <f t="shared" si="2"/>
        <v>2</v>
      </c>
      <c r="X32" s="430"/>
      <c r="Y32" s="350"/>
    </row>
    <row r="33" spans="2:28">
      <c r="B33" s="374"/>
      <c r="C33" s="372"/>
      <c r="D33" s="433" t="s">
        <v>28</v>
      </c>
      <c r="E33" s="49" t="s">
        <v>339</v>
      </c>
      <c r="F33" s="378" t="s">
        <v>47</v>
      </c>
      <c r="G33" s="337"/>
      <c r="H33" s="50">
        <v>3</v>
      </c>
      <c r="I33" s="70" t="s">
        <v>341</v>
      </c>
      <c r="J33" s="52">
        <v>2</v>
      </c>
      <c r="K33" s="378">
        <v>2</v>
      </c>
      <c r="L33" s="335"/>
      <c r="M33" s="332"/>
      <c r="N33" s="333"/>
      <c r="O33" s="336"/>
      <c r="P33" s="335"/>
      <c r="Q33" s="332"/>
      <c r="R33" s="333"/>
      <c r="S33" s="336"/>
      <c r="T33" s="335"/>
      <c r="U33" s="332"/>
      <c r="V33" s="334"/>
      <c r="W33" s="163">
        <f>SUM(K33:V33)</f>
        <v>2</v>
      </c>
      <c r="X33" s="524">
        <f>SUM(W33:W36)</f>
        <v>8</v>
      </c>
      <c r="Y33" s="447">
        <v>6</v>
      </c>
    </row>
    <row r="34" spans="2:28">
      <c r="B34" s="374"/>
      <c r="C34" s="372"/>
      <c r="D34" s="434"/>
      <c r="E34" s="59" t="s">
        <v>335</v>
      </c>
      <c r="F34" s="320" t="s">
        <v>279</v>
      </c>
      <c r="G34" s="325"/>
      <c r="H34" s="55">
        <v>3</v>
      </c>
      <c r="I34" s="56" t="s">
        <v>341</v>
      </c>
      <c r="J34" s="57">
        <v>2</v>
      </c>
      <c r="K34" s="320"/>
      <c r="L34" s="321"/>
      <c r="M34" s="322">
        <v>2</v>
      </c>
      <c r="N34" s="323"/>
      <c r="O34" s="324"/>
      <c r="P34" s="321"/>
      <c r="Q34" s="322"/>
      <c r="R34" s="323"/>
      <c r="S34" s="324"/>
      <c r="T34" s="321"/>
      <c r="U34" s="322"/>
      <c r="V34" s="325"/>
      <c r="W34" s="58">
        <f t="shared" ref="W34:W36" si="3">SUM(K34:V34)</f>
        <v>2</v>
      </c>
      <c r="X34" s="525"/>
      <c r="Y34" s="448"/>
    </row>
    <row r="35" spans="2:28">
      <c r="B35" s="374"/>
      <c r="C35" s="372"/>
      <c r="D35" s="434"/>
      <c r="E35" s="59" t="s">
        <v>335</v>
      </c>
      <c r="F35" s="320" t="s">
        <v>636</v>
      </c>
      <c r="G35" s="325"/>
      <c r="H35" s="156">
        <v>3</v>
      </c>
      <c r="I35" s="158" t="s">
        <v>341</v>
      </c>
      <c r="J35" s="157">
        <v>2</v>
      </c>
      <c r="K35" s="320"/>
      <c r="L35" s="321"/>
      <c r="M35" s="322"/>
      <c r="N35" s="323"/>
      <c r="O35" s="324">
        <v>2</v>
      </c>
      <c r="P35" s="321"/>
      <c r="Q35" s="322"/>
      <c r="R35" s="323"/>
      <c r="S35" s="324"/>
      <c r="T35" s="321"/>
      <c r="U35" s="322"/>
      <c r="V35" s="325"/>
      <c r="W35" s="161">
        <f t="shared" si="3"/>
        <v>2</v>
      </c>
      <c r="X35" s="525"/>
      <c r="Y35" s="448"/>
    </row>
    <row r="36" spans="2:28" ht="17.25" thickBot="1">
      <c r="B36" s="374"/>
      <c r="C36" s="372"/>
      <c r="D36" s="435"/>
      <c r="E36" s="59" t="s">
        <v>707</v>
      </c>
      <c r="F36" s="379" t="s">
        <v>637</v>
      </c>
      <c r="G36" s="349"/>
      <c r="H36" s="156">
        <v>3</v>
      </c>
      <c r="I36" s="158" t="s">
        <v>341</v>
      </c>
      <c r="J36" s="157">
        <v>2</v>
      </c>
      <c r="K36" s="379"/>
      <c r="L36" s="346"/>
      <c r="M36" s="347"/>
      <c r="N36" s="348"/>
      <c r="O36" s="345"/>
      <c r="P36" s="346"/>
      <c r="Q36" s="347">
        <v>2</v>
      </c>
      <c r="R36" s="348"/>
      <c r="S36" s="345"/>
      <c r="T36" s="346"/>
      <c r="U36" s="347"/>
      <c r="V36" s="349"/>
      <c r="W36" s="162">
        <f t="shared" si="3"/>
        <v>2</v>
      </c>
      <c r="X36" s="526"/>
      <c r="Y36" s="466"/>
    </row>
    <row r="37" spans="2:28" ht="16.5" customHeight="1" thickBot="1">
      <c r="B37" s="374"/>
      <c r="C37" s="372"/>
      <c r="D37" s="431" t="s">
        <v>610</v>
      </c>
      <c r="E37" s="49" t="s">
        <v>339</v>
      </c>
      <c r="F37" s="378" t="s">
        <v>638</v>
      </c>
      <c r="G37" s="337"/>
      <c r="H37" s="50">
        <v>3</v>
      </c>
      <c r="I37" s="64" t="s">
        <v>341</v>
      </c>
      <c r="J37" s="52">
        <v>4</v>
      </c>
      <c r="K37" s="378">
        <v>4</v>
      </c>
      <c r="L37" s="335"/>
      <c r="M37" s="332"/>
      <c r="N37" s="333"/>
      <c r="O37" s="336"/>
      <c r="P37" s="335"/>
      <c r="Q37" s="332"/>
      <c r="R37" s="333"/>
      <c r="S37" s="336"/>
      <c r="T37" s="335"/>
      <c r="U37" s="332"/>
      <c r="V37" s="337"/>
      <c r="W37" s="312">
        <f>SUM(K37:V38)</f>
        <v>8</v>
      </c>
      <c r="X37" s="313"/>
      <c r="Y37" s="350">
        <v>8</v>
      </c>
    </row>
    <row r="38" spans="2:28" ht="16.5" customHeight="1" thickBot="1">
      <c r="B38" s="374"/>
      <c r="C38" s="372"/>
      <c r="D38" s="432"/>
      <c r="E38" s="59" t="s">
        <v>335</v>
      </c>
      <c r="F38" s="320" t="s">
        <v>639</v>
      </c>
      <c r="G38" s="325"/>
      <c r="H38" s="55">
        <v>3</v>
      </c>
      <c r="I38" s="56" t="s">
        <v>341</v>
      </c>
      <c r="J38" s="57">
        <v>4</v>
      </c>
      <c r="K38" s="320"/>
      <c r="L38" s="321"/>
      <c r="M38" s="322">
        <v>4</v>
      </c>
      <c r="N38" s="323"/>
      <c r="O38" s="324"/>
      <c r="P38" s="321"/>
      <c r="Q38" s="322"/>
      <c r="R38" s="323"/>
      <c r="S38" s="324"/>
      <c r="T38" s="321"/>
      <c r="U38" s="322"/>
      <c r="V38" s="325"/>
      <c r="W38" s="314"/>
      <c r="X38" s="315"/>
      <c r="Y38" s="350"/>
    </row>
    <row r="39" spans="2:28" ht="24.75" customHeight="1" thickBot="1">
      <c r="B39" s="342" t="s">
        <v>350</v>
      </c>
      <c r="C39" s="487"/>
      <c r="D39" s="487"/>
      <c r="E39" s="487"/>
      <c r="F39" s="487"/>
      <c r="G39" s="467"/>
      <c r="H39" s="247">
        <f>SUM(H9:H38)</f>
        <v>105</v>
      </c>
      <c r="I39" s="14"/>
      <c r="J39" s="250">
        <f>SUM(J9:J38)</f>
        <v>81</v>
      </c>
      <c r="K39" s="527">
        <f>SUM(K9:L38)</f>
        <v>23</v>
      </c>
      <c r="L39" s="340"/>
      <c r="M39" s="340">
        <f>SUM(M9:N38)</f>
        <v>23</v>
      </c>
      <c r="N39" s="436"/>
      <c r="O39" s="437">
        <f>SUM(O9:P38)</f>
        <v>15</v>
      </c>
      <c r="P39" s="340"/>
      <c r="Q39" s="340">
        <f>SUM(Q9:R38)</f>
        <v>15</v>
      </c>
      <c r="R39" s="344"/>
      <c r="S39" s="343">
        <f>SUM(S9:T38)</f>
        <v>5</v>
      </c>
      <c r="T39" s="340"/>
      <c r="U39" s="340">
        <f>SUM(U9:V38)</f>
        <v>0</v>
      </c>
      <c r="V39" s="341"/>
      <c r="W39" s="342">
        <f>SUM(K39:V39)</f>
        <v>81</v>
      </c>
      <c r="X39" s="343"/>
      <c r="Y39" s="250">
        <f>SUM(Y9:Y38)</f>
        <v>64</v>
      </c>
      <c r="AA39" s="438" t="b">
        <f>W39&gt;=Y39</f>
        <v>1</v>
      </c>
      <c r="AB39" s="439"/>
    </row>
    <row r="40" spans="2:28" ht="17.25" customHeight="1" thickBot="1">
      <c r="B40" s="630" t="s">
        <v>576</v>
      </c>
      <c r="C40" s="631"/>
      <c r="D40" s="494" t="s">
        <v>344</v>
      </c>
      <c r="E40" s="495"/>
      <c r="F40" s="444" t="s">
        <v>502</v>
      </c>
      <c r="G40" s="445"/>
      <c r="H40" s="39"/>
      <c r="I40" s="40"/>
      <c r="J40" s="167">
        <v>3</v>
      </c>
      <c r="K40" s="446"/>
      <c r="L40" s="330"/>
      <c r="M40" s="327"/>
      <c r="N40" s="328"/>
      <c r="O40" s="329"/>
      <c r="P40" s="330"/>
      <c r="Q40" s="327"/>
      <c r="R40" s="328"/>
      <c r="S40" s="329"/>
      <c r="T40" s="330"/>
      <c r="U40" s="327">
        <v>3</v>
      </c>
      <c r="V40" s="331"/>
      <c r="W40" s="338">
        <f>SUM(K40:V40)</f>
        <v>3</v>
      </c>
      <c r="X40" s="339"/>
      <c r="Y40" s="447">
        <v>80</v>
      </c>
    </row>
    <row r="41" spans="2:28" ht="17.25" customHeight="1">
      <c r="B41" s="632"/>
      <c r="C41" s="633"/>
      <c r="D41" s="71" t="s">
        <v>635</v>
      </c>
      <c r="E41" s="72" t="s">
        <v>345</v>
      </c>
      <c r="F41" s="449" t="s">
        <v>630</v>
      </c>
      <c r="G41" s="450"/>
      <c r="H41" s="42"/>
      <c r="I41" s="41"/>
      <c r="J41" s="157">
        <v>3</v>
      </c>
      <c r="K41" s="320">
        <v>3</v>
      </c>
      <c r="L41" s="321"/>
      <c r="M41" s="322"/>
      <c r="N41" s="326"/>
      <c r="O41" s="324"/>
      <c r="P41" s="321"/>
      <c r="Q41" s="322"/>
      <c r="R41" s="323"/>
      <c r="S41" s="326"/>
      <c r="T41" s="321"/>
      <c r="U41" s="322"/>
      <c r="V41" s="325"/>
      <c r="W41" s="351">
        <f t="shared" ref="W41:W48" si="4">SUM(K41:V41)</f>
        <v>3</v>
      </c>
      <c r="X41" s="352"/>
      <c r="Y41" s="448"/>
    </row>
    <row r="42" spans="2:28" ht="17.25" customHeight="1">
      <c r="B42" s="632"/>
      <c r="C42" s="633"/>
      <c r="D42" s="71" t="s">
        <v>635</v>
      </c>
      <c r="E42" s="72" t="s">
        <v>345</v>
      </c>
      <c r="F42" s="449" t="s">
        <v>631</v>
      </c>
      <c r="G42" s="450"/>
      <c r="H42" s="42"/>
      <c r="I42" s="41"/>
      <c r="J42" s="157">
        <v>3</v>
      </c>
      <c r="K42" s="320"/>
      <c r="L42" s="321"/>
      <c r="M42" s="322">
        <v>3</v>
      </c>
      <c r="N42" s="323"/>
      <c r="O42" s="324"/>
      <c r="P42" s="321"/>
      <c r="Q42" s="322"/>
      <c r="R42" s="323"/>
      <c r="S42" s="324"/>
      <c r="T42" s="321"/>
      <c r="U42" s="322"/>
      <c r="V42" s="325"/>
      <c r="W42" s="351">
        <f t="shared" si="4"/>
        <v>3</v>
      </c>
      <c r="X42" s="352"/>
      <c r="Y42" s="448"/>
    </row>
    <row r="43" spans="2:28" ht="17.25" customHeight="1">
      <c r="B43" s="632"/>
      <c r="C43" s="633"/>
      <c r="D43" s="71" t="s">
        <v>635</v>
      </c>
      <c r="E43" s="72" t="s">
        <v>346</v>
      </c>
      <c r="F43" s="449" t="s">
        <v>632</v>
      </c>
      <c r="G43" s="450"/>
      <c r="H43" s="42"/>
      <c r="I43" s="41"/>
      <c r="J43" s="157">
        <v>6</v>
      </c>
      <c r="K43" s="320"/>
      <c r="L43" s="321"/>
      <c r="M43" s="322"/>
      <c r="N43" s="323"/>
      <c r="O43" s="324">
        <v>6</v>
      </c>
      <c r="P43" s="321"/>
      <c r="Q43" s="322">
        <v>6</v>
      </c>
      <c r="R43" s="323"/>
      <c r="S43" s="324"/>
      <c r="T43" s="321"/>
      <c r="U43" s="322"/>
      <c r="V43" s="325"/>
      <c r="W43" s="351">
        <v>6</v>
      </c>
      <c r="X43" s="352"/>
      <c r="Y43" s="448"/>
    </row>
    <row r="44" spans="2:28" ht="17.25" customHeight="1">
      <c r="B44" s="632"/>
      <c r="C44" s="633"/>
      <c r="D44" s="71" t="s">
        <v>635</v>
      </c>
      <c r="E44" s="72" t="s">
        <v>345</v>
      </c>
      <c r="F44" s="449" t="s">
        <v>640</v>
      </c>
      <c r="G44" s="450"/>
      <c r="H44" s="42"/>
      <c r="I44" s="41"/>
      <c r="J44" s="157">
        <v>12</v>
      </c>
      <c r="K44" s="320"/>
      <c r="L44" s="321"/>
      <c r="M44" s="322"/>
      <c r="N44" s="323"/>
      <c r="O44" s="324">
        <v>3</v>
      </c>
      <c r="P44" s="321"/>
      <c r="Q44" s="322"/>
      <c r="R44" s="323"/>
      <c r="S44" s="324"/>
      <c r="T44" s="321"/>
      <c r="U44" s="322"/>
      <c r="V44" s="325"/>
      <c r="W44" s="351">
        <f t="shared" si="4"/>
        <v>3</v>
      </c>
      <c r="X44" s="352"/>
      <c r="Y44" s="448"/>
    </row>
    <row r="45" spans="2:28" ht="17.25" customHeight="1">
      <c r="B45" s="632"/>
      <c r="C45" s="633"/>
      <c r="D45" s="71" t="s">
        <v>635</v>
      </c>
      <c r="E45" s="72" t="s">
        <v>345</v>
      </c>
      <c r="F45" s="318" t="s">
        <v>641</v>
      </c>
      <c r="G45" s="319"/>
      <c r="H45" s="42"/>
      <c r="I45" s="41"/>
      <c r="J45" s="157">
        <v>3</v>
      </c>
      <c r="K45" s="320"/>
      <c r="L45" s="321"/>
      <c r="M45" s="322"/>
      <c r="N45" s="323"/>
      <c r="O45" s="324"/>
      <c r="P45" s="321"/>
      <c r="Q45" s="322">
        <v>3</v>
      </c>
      <c r="R45" s="323"/>
      <c r="S45" s="324"/>
      <c r="T45" s="321"/>
      <c r="U45" s="322"/>
      <c r="V45" s="325"/>
      <c r="W45" s="351">
        <f t="shared" si="4"/>
        <v>3</v>
      </c>
      <c r="X45" s="352"/>
      <c r="Y45" s="448"/>
    </row>
    <row r="46" spans="2:28" ht="17.25" customHeight="1">
      <c r="B46" s="632"/>
      <c r="C46" s="633"/>
      <c r="D46" s="71" t="s">
        <v>635</v>
      </c>
      <c r="E46" s="72" t="s">
        <v>346</v>
      </c>
      <c r="F46" s="318" t="s">
        <v>633</v>
      </c>
      <c r="G46" s="319"/>
      <c r="H46" s="42"/>
      <c r="I46" s="41"/>
      <c r="J46" s="157">
        <v>2</v>
      </c>
      <c r="K46" s="320"/>
      <c r="L46" s="321"/>
      <c r="M46" s="322"/>
      <c r="N46" s="323"/>
      <c r="O46" s="324"/>
      <c r="P46" s="321"/>
      <c r="Q46" s="322"/>
      <c r="R46" s="323"/>
      <c r="S46" s="324">
        <v>12</v>
      </c>
      <c r="T46" s="321"/>
      <c r="U46" s="322">
        <v>12</v>
      </c>
      <c r="V46" s="325"/>
      <c r="W46" s="351">
        <v>2</v>
      </c>
      <c r="X46" s="352"/>
      <c r="Y46" s="448"/>
    </row>
    <row r="47" spans="2:28" ht="17.25" customHeight="1">
      <c r="B47" s="632"/>
      <c r="C47" s="633"/>
      <c r="D47" s="71" t="s">
        <v>635</v>
      </c>
      <c r="E47" s="72" t="s">
        <v>346</v>
      </c>
      <c r="F47" s="318" t="s">
        <v>634</v>
      </c>
      <c r="G47" s="319"/>
      <c r="H47" s="42"/>
      <c r="I47" s="41"/>
      <c r="J47" s="157">
        <v>16</v>
      </c>
      <c r="K47" s="320"/>
      <c r="L47" s="321"/>
      <c r="M47" s="322"/>
      <c r="N47" s="323"/>
      <c r="O47" s="324"/>
      <c r="P47" s="321"/>
      <c r="Q47" s="322"/>
      <c r="R47" s="323"/>
      <c r="S47" s="324">
        <v>6</v>
      </c>
      <c r="T47" s="321"/>
      <c r="U47" s="322">
        <v>6</v>
      </c>
      <c r="V47" s="325"/>
      <c r="W47" s="351">
        <v>16</v>
      </c>
      <c r="X47" s="352"/>
      <c r="Y47" s="448"/>
    </row>
    <row r="48" spans="2:28" ht="17.25" customHeight="1" thickBot="1">
      <c r="B48" s="632"/>
      <c r="C48" s="633"/>
      <c r="D48" s="77" t="s">
        <v>66</v>
      </c>
      <c r="E48" s="72" t="s">
        <v>345</v>
      </c>
      <c r="F48" s="318" t="s">
        <v>706</v>
      </c>
      <c r="G48" s="319"/>
      <c r="H48" s="42"/>
      <c r="I48" s="41"/>
      <c r="J48" s="157">
        <v>20</v>
      </c>
      <c r="K48" s="320"/>
      <c r="L48" s="321"/>
      <c r="M48" s="322"/>
      <c r="N48" s="326"/>
      <c r="O48" s="324"/>
      <c r="P48" s="321"/>
      <c r="Q48" s="322"/>
      <c r="R48" s="323"/>
      <c r="S48" s="326"/>
      <c r="T48" s="321"/>
      <c r="U48" s="322">
        <v>2</v>
      </c>
      <c r="V48" s="325"/>
      <c r="W48" s="351">
        <f t="shared" si="4"/>
        <v>2</v>
      </c>
      <c r="X48" s="352"/>
      <c r="Y48" s="448"/>
    </row>
    <row r="49" spans="2:29" ht="16.5" customHeight="1">
      <c r="B49" s="455" t="s">
        <v>568</v>
      </c>
      <c r="C49" s="457" t="s">
        <v>573</v>
      </c>
      <c r="D49" s="74" t="s">
        <v>153</v>
      </c>
      <c r="E49" s="76" t="s">
        <v>346</v>
      </c>
      <c r="F49" s="459" t="s">
        <v>614</v>
      </c>
      <c r="G49" s="460"/>
      <c r="H49" s="37"/>
      <c r="I49" s="145"/>
      <c r="J49" s="424" t="s">
        <v>593</v>
      </c>
      <c r="K49" s="378">
        <v>3</v>
      </c>
      <c r="L49" s="335"/>
      <c r="M49" s="332">
        <v>3</v>
      </c>
      <c r="N49" s="334"/>
      <c r="O49" s="336"/>
      <c r="P49" s="335"/>
      <c r="Q49" s="332"/>
      <c r="R49" s="333"/>
      <c r="S49" s="334"/>
      <c r="T49" s="335"/>
      <c r="U49" s="332"/>
      <c r="V49" s="337"/>
      <c r="W49" s="312">
        <f>SUM(K49:V51)</f>
        <v>28</v>
      </c>
      <c r="X49" s="313"/>
      <c r="Y49" s="448"/>
    </row>
    <row r="50" spans="2:29" ht="16.5" customHeight="1">
      <c r="B50" s="456"/>
      <c r="C50" s="458"/>
      <c r="D50" s="73" t="s">
        <v>153</v>
      </c>
      <c r="E50" s="189" t="s">
        <v>569</v>
      </c>
      <c r="F50" s="318" t="s">
        <v>583</v>
      </c>
      <c r="G50" s="319"/>
      <c r="H50" s="42"/>
      <c r="I50" s="148"/>
      <c r="J50" s="461"/>
      <c r="K50" s="320"/>
      <c r="L50" s="321"/>
      <c r="M50" s="322"/>
      <c r="N50" s="323"/>
      <c r="O50" s="324">
        <v>5</v>
      </c>
      <c r="P50" s="321"/>
      <c r="Q50" s="322">
        <v>5</v>
      </c>
      <c r="R50" s="323"/>
      <c r="S50" s="324"/>
      <c r="T50" s="321"/>
      <c r="U50" s="322"/>
      <c r="V50" s="325"/>
      <c r="W50" s="314"/>
      <c r="X50" s="315"/>
      <c r="Y50" s="448"/>
    </row>
    <row r="51" spans="2:29" ht="17.25" thickBot="1">
      <c r="B51" s="456"/>
      <c r="C51" s="458"/>
      <c r="D51" s="77" t="s">
        <v>153</v>
      </c>
      <c r="E51" s="189" t="s">
        <v>569</v>
      </c>
      <c r="F51" s="318" t="s">
        <v>615</v>
      </c>
      <c r="G51" s="319"/>
      <c r="H51" s="38"/>
      <c r="I51" s="148"/>
      <c r="J51" s="461"/>
      <c r="K51" s="320"/>
      <c r="L51" s="321"/>
      <c r="M51" s="322"/>
      <c r="N51" s="326"/>
      <c r="O51" s="324"/>
      <c r="P51" s="321"/>
      <c r="Q51" s="322"/>
      <c r="R51" s="323"/>
      <c r="S51" s="326">
        <v>6</v>
      </c>
      <c r="T51" s="321"/>
      <c r="U51" s="322">
        <v>6</v>
      </c>
      <c r="V51" s="325"/>
      <c r="W51" s="314"/>
      <c r="X51" s="315"/>
      <c r="Y51" s="448"/>
    </row>
    <row r="52" spans="2:29">
      <c r="B52" s="456"/>
      <c r="C52" s="457" t="s">
        <v>608</v>
      </c>
      <c r="D52" s="252" t="s">
        <v>72</v>
      </c>
      <c r="E52" s="78" t="s">
        <v>345</v>
      </c>
      <c r="F52" s="451" t="s">
        <v>616</v>
      </c>
      <c r="G52" s="452"/>
      <c r="H52" s="37"/>
      <c r="I52" s="147"/>
      <c r="J52" s="461"/>
      <c r="K52" s="378">
        <v>3</v>
      </c>
      <c r="L52" s="335"/>
      <c r="M52" s="332"/>
      <c r="N52" s="334"/>
      <c r="O52" s="336"/>
      <c r="P52" s="335"/>
      <c r="Q52" s="332"/>
      <c r="R52" s="333"/>
      <c r="S52" s="334"/>
      <c r="T52" s="335"/>
      <c r="U52" s="332"/>
      <c r="V52" s="337"/>
      <c r="W52" s="312">
        <f>SUM(K52:V56)</f>
        <v>28</v>
      </c>
      <c r="X52" s="313"/>
      <c r="Y52" s="448"/>
    </row>
    <row r="53" spans="2:29">
      <c r="B53" s="456"/>
      <c r="C53" s="458"/>
      <c r="D53" s="79" t="s">
        <v>72</v>
      </c>
      <c r="E53" s="72" t="s">
        <v>345</v>
      </c>
      <c r="F53" s="318" t="s">
        <v>617</v>
      </c>
      <c r="G53" s="319"/>
      <c r="H53" s="38"/>
      <c r="I53" s="148"/>
      <c r="J53" s="461"/>
      <c r="K53" s="320"/>
      <c r="L53" s="321"/>
      <c r="M53" s="322">
        <v>3</v>
      </c>
      <c r="N53" s="326"/>
      <c r="O53" s="324"/>
      <c r="P53" s="321"/>
      <c r="Q53" s="322"/>
      <c r="R53" s="323"/>
      <c r="S53" s="326"/>
      <c r="T53" s="321"/>
      <c r="U53" s="322"/>
      <c r="V53" s="325"/>
      <c r="W53" s="314"/>
      <c r="X53" s="315"/>
      <c r="Y53" s="448"/>
    </row>
    <row r="54" spans="2:29">
      <c r="B54" s="456"/>
      <c r="C54" s="458"/>
      <c r="D54" s="79" t="s">
        <v>72</v>
      </c>
      <c r="E54" s="191" t="s">
        <v>570</v>
      </c>
      <c r="F54" s="318" t="s">
        <v>618</v>
      </c>
      <c r="G54" s="319"/>
      <c r="H54" s="165"/>
      <c r="I54" s="166"/>
      <c r="J54" s="461"/>
      <c r="K54" s="320"/>
      <c r="L54" s="321"/>
      <c r="M54" s="322"/>
      <c r="N54" s="323"/>
      <c r="O54" s="324">
        <v>5</v>
      </c>
      <c r="P54" s="321"/>
      <c r="Q54" s="322"/>
      <c r="R54" s="323"/>
      <c r="S54" s="324"/>
      <c r="T54" s="321"/>
      <c r="U54" s="322"/>
      <c r="V54" s="325"/>
      <c r="W54" s="314"/>
      <c r="X54" s="315"/>
      <c r="Y54" s="448"/>
    </row>
    <row r="55" spans="2:29">
      <c r="B55" s="456"/>
      <c r="C55" s="458"/>
      <c r="D55" s="79" t="s">
        <v>72</v>
      </c>
      <c r="E55" s="191" t="s">
        <v>570</v>
      </c>
      <c r="F55" s="318" t="s">
        <v>619</v>
      </c>
      <c r="G55" s="319"/>
      <c r="H55" s="165"/>
      <c r="I55" s="166"/>
      <c r="J55" s="461"/>
      <c r="K55" s="320"/>
      <c r="L55" s="321"/>
      <c r="M55" s="322"/>
      <c r="N55" s="323"/>
      <c r="O55" s="324"/>
      <c r="P55" s="321"/>
      <c r="Q55" s="322">
        <v>5</v>
      </c>
      <c r="R55" s="323"/>
      <c r="S55" s="324"/>
      <c r="T55" s="321"/>
      <c r="U55" s="322"/>
      <c r="V55" s="325"/>
      <c r="W55" s="314"/>
      <c r="X55" s="315"/>
      <c r="Y55" s="448"/>
    </row>
    <row r="56" spans="2:29" ht="17.25" thickBot="1">
      <c r="B56" s="456"/>
      <c r="C56" s="458"/>
      <c r="D56" s="79" t="s">
        <v>72</v>
      </c>
      <c r="E56" s="164" t="s">
        <v>346</v>
      </c>
      <c r="F56" s="318" t="s">
        <v>620</v>
      </c>
      <c r="G56" s="319"/>
      <c r="H56" s="165"/>
      <c r="I56" s="166"/>
      <c r="J56" s="461"/>
      <c r="K56" s="320"/>
      <c r="L56" s="321"/>
      <c r="M56" s="322"/>
      <c r="N56" s="323"/>
      <c r="O56" s="324"/>
      <c r="P56" s="321"/>
      <c r="Q56" s="322"/>
      <c r="R56" s="323"/>
      <c r="S56" s="324">
        <v>6</v>
      </c>
      <c r="T56" s="321"/>
      <c r="U56" s="322">
        <v>6</v>
      </c>
      <c r="V56" s="325"/>
      <c r="W56" s="314"/>
      <c r="X56" s="315"/>
      <c r="Y56" s="448"/>
    </row>
    <row r="57" spans="2:29">
      <c r="B57" s="456"/>
      <c r="C57" s="634" t="s">
        <v>574</v>
      </c>
      <c r="D57" s="75" t="s">
        <v>347</v>
      </c>
      <c r="E57" s="78" t="s">
        <v>345</v>
      </c>
      <c r="F57" s="451" t="s">
        <v>509</v>
      </c>
      <c r="G57" s="452"/>
      <c r="H57" s="37"/>
      <c r="I57" s="145"/>
      <c r="J57" s="461"/>
      <c r="K57" s="378">
        <v>3</v>
      </c>
      <c r="L57" s="335"/>
      <c r="M57" s="332"/>
      <c r="N57" s="334"/>
      <c r="O57" s="336"/>
      <c r="P57" s="335"/>
      <c r="Q57" s="332"/>
      <c r="R57" s="333"/>
      <c r="S57" s="334"/>
      <c r="T57" s="335"/>
      <c r="U57" s="332"/>
      <c r="V57" s="337"/>
      <c r="W57" s="312">
        <f>SUM(K57:V60)</f>
        <v>28</v>
      </c>
      <c r="X57" s="313"/>
      <c r="Y57" s="448"/>
      <c r="AC57" s="246"/>
    </row>
    <row r="58" spans="2:29">
      <c r="B58" s="456"/>
      <c r="C58" s="635"/>
      <c r="D58" s="73" t="s">
        <v>347</v>
      </c>
      <c r="E58" s="72" t="s">
        <v>345</v>
      </c>
      <c r="F58" s="453" t="s">
        <v>510</v>
      </c>
      <c r="G58" s="454"/>
      <c r="H58" s="38"/>
      <c r="I58" s="146"/>
      <c r="J58" s="461"/>
      <c r="K58" s="320"/>
      <c r="L58" s="321"/>
      <c r="M58" s="322">
        <v>3</v>
      </c>
      <c r="N58" s="326"/>
      <c r="O58" s="324"/>
      <c r="P58" s="321"/>
      <c r="Q58" s="322"/>
      <c r="R58" s="323"/>
      <c r="S58" s="326"/>
      <c r="T58" s="321"/>
      <c r="U58" s="322"/>
      <c r="V58" s="325"/>
      <c r="W58" s="314"/>
      <c r="X58" s="315"/>
      <c r="Y58" s="448"/>
      <c r="AC58" s="246"/>
    </row>
    <row r="59" spans="2:29">
      <c r="B59" s="456"/>
      <c r="C59" s="635"/>
      <c r="D59" s="73" t="s">
        <v>347</v>
      </c>
      <c r="E59" s="164" t="s">
        <v>346</v>
      </c>
      <c r="F59" s="453" t="s">
        <v>600</v>
      </c>
      <c r="G59" s="454"/>
      <c r="H59" s="38"/>
      <c r="I59" s="146"/>
      <c r="J59" s="461"/>
      <c r="K59" s="320"/>
      <c r="L59" s="321"/>
      <c r="M59" s="322"/>
      <c r="N59" s="323"/>
      <c r="O59" s="324">
        <v>5</v>
      </c>
      <c r="P59" s="321"/>
      <c r="Q59" s="322">
        <v>5</v>
      </c>
      <c r="R59" s="323"/>
      <c r="S59" s="324"/>
      <c r="T59" s="321"/>
      <c r="U59" s="322"/>
      <c r="V59" s="325"/>
      <c r="W59" s="314"/>
      <c r="X59" s="315"/>
      <c r="Y59" s="448"/>
      <c r="AC59" s="246"/>
    </row>
    <row r="60" spans="2:29" ht="17.25" thickBot="1">
      <c r="B60" s="456"/>
      <c r="C60" s="635"/>
      <c r="D60" s="73" t="s">
        <v>347</v>
      </c>
      <c r="E60" s="164" t="s">
        <v>346</v>
      </c>
      <c r="F60" s="453" t="s">
        <v>511</v>
      </c>
      <c r="G60" s="454"/>
      <c r="H60" s="38"/>
      <c r="I60" s="146"/>
      <c r="J60" s="461"/>
      <c r="K60" s="320"/>
      <c r="L60" s="321"/>
      <c r="M60" s="322"/>
      <c r="N60" s="323"/>
      <c r="O60" s="324"/>
      <c r="P60" s="321"/>
      <c r="Q60" s="322"/>
      <c r="R60" s="323"/>
      <c r="S60" s="324">
        <v>6</v>
      </c>
      <c r="T60" s="321"/>
      <c r="U60" s="322">
        <v>6</v>
      </c>
      <c r="V60" s="325"/>
      <c r="W60" s="314"/>
      <c r="X60" s="315"/>
      <c r="Y60" s="448"/>
      <c r="AC60" s="246"/>
    </row>
    <row r="61" spans="2:29" ht="24.75" customHeight="1">
      <c r="B61" s="462" t="s">
        <v>351</v>
      </c>
      <c r="C61" s="496"/>
      <c r="D61" s="496"/>
      <c r="E61" s="496"/>
      <c r="F61" s="496"/>
      <c r="G61" s="463"/>
      <c r="H61" s="498">
        <f>SUM(H40:H48)</f>
        <v>0</v>
      </c>
      <c r="I61" s="500"/>
      <c r="J61" s="502">
        <f>SUM(J40:J60)</f>
        <v>68</v>
      </c>
      <c r="K61" s="462">
        <f>SUM(K40:L51)</f>
        <v>6</v>
      </c>
      <c r="L61" s="504"/>
      <c r="M61" s="506">
        <f>SUM(M40:N51)</f>
        <v>6</v>
      </c>
      <c r="N61" s="496"/>
      <c r="O61" s="508">
        <f>SUM(O40:P51)</f>
        <v>14</v>
      </c>
      <c r="P61" s="504"/>
      <c r="Q61" s="506">
        <f>SUM(Q40:R51)</f>
        <v>14</v>
      </c>
      <c r="R61" s="510"/>
      <c r="S61" s="496">
        <f>SUM(S40:T51)</f>
        <v>24</v>
      </c>
      <c r="T61" s="504"/>
      <c r="U61" s="506">
        <f>SUM(U40:V51)</f>
        <v>29</v>
      </c>
      <c r="V61" s="463"/>
      <c r="W61" s="462">
        <f>SUM(K61:V62)</f>
        <v>93</v>
      </c>
      <c r="X61" s="463"/>
      <c r="Y61" s="447">
        <f>SUM(Y40:Y52)</f>
        <v>80</v>
      </c>
      <c r="AC61" s="246"/>
    </row>
    <row r="62" spans="2:29" ht="17.25" thickBot="1">
      <c r="B62" s="464"/>
      <c r="C62" s="497"/>
      <c r="D62" s="497"/>
      <c r="E62" s="497"/>
      <c r="F62" s="497"/>
      <c r="G62" s="465"/>
      <c r="H62" s="499"/>
      <c r="I62" s="501"/>
      <c r="J62" s="503"/>
      <c r="K62" s="464"/>
      <c r="L62" s="505"/>
      <c r="M62" s="507"/>
      <c r="N62" s="497"/>
      <c r="O62" s="509"/>
      <c r="P62" s="505"/>
      <c r="Q62" s="507"/>
      <c r="R62" s="511"/>
      <c r="S62" s="497"/>
      <c r="T62" s="505"/>
      <c r="U62" s="507"/>
      <c r="V62" s="465"/>
      <c r="W62" s="464"/>
      <c r="X62" s="465"/>
      <c r="Y62" s="466"/>
      <c r="AC62" s="80"/>
    </row>
    <row r="63" spans="2:29" ht="17.25" customHeight="1" thickBot="1">
      <c r="B63" s="342"/>
      <c r="C63" s="487"/>
      <c r="D63" s="487"/>
      <c r="E63" s="487"/>
      <c r="F63" s="487"/>
      <c r="G63" s="467"/>
      <c r="H63" s="249">
        <f>SUM(H39,H61)</f>
        <v>105</v>
      </c>
      <c r="I63" s="14"/>
      <c r="J63" s="250">
        <f>SUM(J39,J61)</f>
        <v>149</v>
      </c>
      <c r="K63" s="342">
        <f>SUM(K39,K61)</f>
        <v>29</v>
      </c>
      <c r="L63" s="343"/>
      <c r="M63" s="436">
        <f>SUM(M39,M61)</f>
        <v>29</v>
      </c>
      <c r="N63" s="488"/>
      <c r="O63" s="489">
        <f>SUM(O39,O61)</f>
        <v>29</v>
      </c>
      <c r="P63" s="343"/>
      <c r="Q63" s="436">
        <f>SUM(Q39,Q61)</f>
        <v>29</v>
      </c>
      <c r="R63" s="488"/>
      <c r="S63" s="489">
        <f>SUM(S39,S61)</f>
        <v>29</v>
      </c>
      <c r="T63" s="343"/>
      <c r="U63" s="436">
        <f>SUM(U39,U61)</f>
        <v>29</v>
      </c>
      <c r="V63" s="467"/>
      <c r="W63" s="342">
        <f>SUM(K63:V63)</f>
        <v>174</v>
      </c>
      <c r="X63" s="467"/>
      <c r="Y63" s="11">
        <f>Y61+Y39</f>
        <v>144</v>
      </c>
      <c r="AA63" s="370" t="s">
        <v>150</v>
      </c>
      <c r="AB63" s="370"/>
    </row>
    <row r="64" spans="2:29" ht="18.75" customHeight="1" thickBot="1">
      <c r="B64" s="469" t="s">
        <v>352</v>
      </c>
      <c r="C64" s="470"/>
      <c r="D64" s="470"/>
      <c r="E64" s="471"/>
      <c r="F64" s="478" t="s">
        <v>348</v>
      </c>
      <c r="G64" s="479"/>
      <c r="H64" s="479"/>
      <c r="I64" s="479"/>
      <c r="J64" s="480"/>
      <c r="K64" s="378">
        <v>16</v>
      </c>
      <c r="L64" s="335"/>
      <c r="M64" s="332">
        <v>16</v>
      </c>
      <c r="N64" s="333"/>
      <c r="O64" s="336">
        <v>16</v>
      </c>
      <c r="P64" s="335"/>
      <c r="Q64" s="332">
        <v>16</v>
      </c>
      <c r="R64" s="333"/>
      <c r="S64" s="336">
        <v>16</v>
      </c>
      <c r="T64" s="335"/>
      <c r="U64" s="332">
        <v>16</v>
      </c>
      <c r="V64" s="337"/>
      <c r="W64" s="469">
        <f>SUM(K64:V66)</f>
        <v>288</v>
      </c>
      <c r="X64" s="471"/>
      <c r="Y64" s="447">
        <f>Y67*16</f>
        <v>288</v>
      </c>
      <c r="AA64" s="468"/>
      <c r="AB64" s="468"/>
    </row>
    <row r="65" spans="2:28" ht="17.25" customHeight="1" thickBot="1">
      <c r="B65" s="472"/>
      <c r="C65" s="473"/>
      <c r="D65" s="473"/>
      <c r="E65" s="474"/>
      <c r="F65" s="484" t="s">
        <v>63</v>
      </c>
      <c r="G65" s="485"/>
      <c r="H65" s="485"/>
      <c r="I65" s="485"/>
      <c r="J65" s="486"/>
      <c r="K65" s="320">
        <v>16</v>
      </c>
      <c r="L65" s="321"/>
      <c r="M65" s="322">
        <v>16</v>
      </c>
      <c r="N65" s="323"/>
      <c r="O65" s="324">
        <v>16</v>
      </c>
      <c r="P65" s="321"/>
      <c r="Q65" s="322">
        <v>16</v>
      </c>
      <c r="R65" s="323"/>
      <c r="S65" s="324">
        <v>16</v>
      </c>
      <c r="T65" s="321"/>
      <c r="U65" s="322">
        <v>16</v>
      </c>
      <c r="V65" s="325"/>
      <c r="W65" s="472"/>
      <c r="X65" s="474"/>
      <c r="Y65" s="448"/>
      <c r="AA65" s="438" t="b">
        <f>W63&gt;=Y63</f>
        <v>1</v>
      </c>
      <c r="AB65" s="439"/>
    </row>
    <row r="66" spans="2:28" ht="17.25" customHeight="1">
      <c r="B66" s="472"/>
      <c r="C66" s="473"/>
      <c r="D66" s="473"/>
      <c r="E66" s="474"/>
      <c r="F66" s="484" t="s">
        <v>11</v>
      </c>
      <c r="G66" s="485"/>
      <c r="H66" s="485"/>
      <c r="I66" s="485"/>
      <c r="J66" s="486"/>
      <c r="K66" s="320">
        <v>16</v>
      </c>
      <c r="L66" s="321"/>
      <c r="M66" s="322">
        <v>16</v>
      </c>
      <c r="N66" s="323"/>
      <c r="O66" s="324">
        <v>16</v>
      </c>
      <c r="P66" s="321"/>
      <c r="Q66" s="322">
        <v>16</v>
      </c>
      <c r="R66" s="323"/>
      <c r="S66" s="324">
        <v>16</v>
      </c>
      <c r="T66" s="321"/>
      <c r="U66" s="322">
        <v>16</v>
      </c>
      <c r="V66" s="325"/>
      <c r="W66" s="481"/>
      <c r="X66" s="482"/>
      <c r="Y66" s="483"/>
    </row>
    <row r="67" spans="2:28" ht="17.25" customHeight="1" thickBot="1">
      <c r="B67" s="475"/>
      <c r="C67" s="476"/>
      <c r="D67" s="476"/>
      <c r="E67" s="477"/>
      <c r="F67" s="492" t="s">
        <v>146</v>
      </c>
      <c r="G67" s="512"/>
      <c r="H67" s="512"/>
      <c r="I67" s="512"/>
      <c r="J67" s="493"/>
      <c r="K67" s="513">
        <v>3</v>
      </c>
      <c r="L67" s="514"/>
      <c r="M67" s="490">
        <v>3</v>
      </c>
      <c r="N67" s="515"/>
      <c r="O67" s="516">
        <v>3</v>
      </c>
      <c r="P67" s="514"/>
      <c r="Q67" s="490">
        <v>3</v>
      </c>
      <c r="R67" s="515"/>
      <c r="S67" s="516">
        <v>3</v>
      </c>
      <c r="T67" s="514"/>
      <c r="U67" s="490">
        <v>3</v>
      </c>
      <c r="V67" s="491"/>
      <c r="W67" s="492">
        <f>SUM(K67:V67)</f>
        <v>18</v>
      </c>
      <c r="X67" s="493"/>
      <c r="Y67" s="81">
        <v>18</v>
      </c>
      <c r="AA67" s="370" t="s">
        <v>151</v>
      </c>
      <c r="AB67" s="370"/>
    </row>
    <row r="68" spans="2:28" ht="17.25" customHeight="1" thickBot="1">
      <c r="B68" s="342"/>
      <c r="C68" s="487"/>
      <c r="D68" s="487"/>
      <c r="E68" s="487"/>
      <c r="F68" s="487"/>
      <c r="G68" s="487"/>
      <c r="H68" s="487"/>
      <c r="I68" s="487"/>
      <c r="J68" s="467"/>
      <c r="K68" s="342">
        <v>32</v>
      </c>
      <c r="L68" s="343"/>
      <c r="M68" s="436">
        <v>32</v>
      </c>
      <c r="N68" s="488"/>
      <c r="O68" s="489">
        <v>32</v>
      </c>
      <c r="P68" s="343"/>
      <c r="Q68" s="436">
        <v>32</v>
      </c>
      <c r="R68" s="488"/>
      <c r="S68" s="489">
        <v>32</v>
      </c>
      <c r="T68" s="343"/>
      <c r="U68" s="436">
        <v>32</v>
      </c>
      <c r="V68" s="467"/>
      <c r="W68" s="342">
        <f>SUM(K68:V68)</f>
        <v>192</v>
      </c>
      <c r="X68" s="467"/>
      <c r="Y68" s="47">
        <f>W68</f>
        <v>192</v>
      </c>
      <c r="AA68" s="438" t="b">
        <f>W67&gt;=Y67</f>
        <v>1</v>
      </c>
      <c r="AB68" s="439"/>
    </row>
    <row r="69" spans="2:28" ht="17.25" customHeight="1" thickBot="1">
      <c r="B69" s="342"/>
      <c r="C69" s="487"/>
      <c r="D69" s="487"/>
      <c r="E69" s="487"/>
      <c r="F69" s="487"/>
      <c r="G69" s="487"/>
      <c r="H69" s="487"/>
      <c r="I69" s="487"/>
      <c r="J69" s="467"/>
      <c r="K69" s="342">
        <f>SUM(K68:N68)</f>
        <v>64</v>
      </c>
      <c r="L69" s="487"/>
      <c r="M69" s="487"/>
      <c r="N69" s="488"/>
      <c r="O69" s="489">
        <f>SUM(O68:R68)</f>
        <v>64</v>
      </c>
      <c r="P69" s="487"/>
      <c r="Q69" s="487"/>
      <c r="R69" s="488"/>
      <c r="S69" s="489">
        <f>SUM(S68:V68)</f>
        <v>64</v>
      </c>
      <c r="T69" s="487"/>
      <c r="U69" s="487"/>
      <c r="V69" s="467"/>
      <c r="W69" s="342">
        <f>SUM(K69:V69)</f>
        <v>192</v>
      </c>
      <c r="X69" s="467"/>
      <c r="Y69" s="11"/>
      <c r="AA69" s="370" t="s">
        <v>149</v>
      </c>
      <c r="AB69" s="370"/>
    </row>
    <row r="70" spans="2:28" ht="17.25" customHeight="1" thickBot="1">
      <c r="AA70" s="438" t="b">
        <f>W68&gt;=Y68</f>
        <v>1</v>
      </c>
      <c r="AB70" s="439"/>
    </row>
    <row r="71" spans="2:28" ht="17.25" customHeight="1"/>
    <row r="72" spans="2:28" ht="17.25" customHeight="1"/>
    <row r="73" spans="2:28" ht="17.25" customHeight="1"/>
    <row r="75" spans="2:28" ht="24.95" customHeight="1"/>
    <row r="76" spans="2:28" ht="24.95" customHeight="1"/>
    <row r="77" spans="2:28" ht="32.25" customHeight="1"/>
    <row r="78" spans="2:28" ht="24.95" customHeight="1"/>
    <row r="80" spans="2:28" ht="16.5" customHeight="1"/>
    <row r="81" ht="17.2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244.5" customHeight="1"/>
  </sheetData>
  <mergeCells count="525">
    <mergeCell ref="AA70:AB70"/>
    <mergeCell ref="W68:X68"/>
    <mergeCell ref="AA68:AB68"/>
    <mergeCell ref="B69:J69"/>
    <mergeCell ref="K69:N69"/>
    <mergeCell ref="O69:R69"/>
    <mergeCell ref="S69:V69"/>
    <mergeCell ref="W69:X69"/>
    <mergeCell ref="AA69:AB69"/>
    <mergeCell ref="U67:V67"/>
    <mergeCell ref="W67:X67"/>
    <mergeCell ref="AA67:AB67"/>
    <mergeCell ref="B68:J68"/>
    <mergeCell ref="K68:L68"/>
    <mergeCell ref="M68:N68"/>
    <mergeCell ref="O68:P68"/>
    <mergeCell ref="Q68:R68"/>
    <mergeCell ref="S68:T68"/>
    <mergeCell ref="U68:V68"/>
    <mergeCell ref="F67:J67"/>
    <mergeCell ref="K67:L67"/>
    <mergeCell ref="M67:N67"/>
    <mergeCell ref="O67:P67"/>
    <mergeCell ref="Q67:R67"/>
    <mergeCell ref="S67:T67"/>
    <mergeCell ref="U64:V64"/>
    <mergeCell ref="W64:X66"/>
    <mergeCell ref="Y64:Y66"/>
    <mergeCell ref="F65:J65"/>
    <mergeCell ref="K65:L65"/>
    <mergeCell ref="M65:N65"/>
    <mergeCell ref="O65:P65"/>
    <mergeCell ref="Q65:R65"/>
    <mergeCell ref="S65:T65"/>
    <mergeCell ref="U65:V65"/>
    <mergeCell ref="U63:V63"/>
    <mergeCell ref="W63:X63"/>
    <mergeCell ref="AA63:AB64"/>
    <mergeCell ref="B64:E67"/>
    <mergeCell ref="F64:J64"/>
    <mergeCell ref="K64:L64"/>
    <mergeCell ref="M64:N64"/>
    <mergeCell ref="O64:P64"/>
    <mergeCell ref="Q64:R64"/>
    <mergeCell ref="S64:T64"/>
    <mergeCell ref="B63:G63"/>
    <mergeCell ref="K63:L63"/>
    <mergeCell ref="M63:N63"/>
    <mergeCell ref="O63:P63"/>
    <mergeCell ref="Q63:R63"/>
    <mergeCell ref="S63:T63"/>
    <mergeCell ref="AA65:AB65"/>
    <mergeCell ref="F66:J66"/>
    <mergeCell ref="K66:L66"/>
    <mergeCell ref="M66:N66"/>
    <mergeCell ref="O66:P66"/>
    <mergeCell ref="Q66:R66"/>
    <mergeCell ref="S66:T66"/>
    <mergeCell ref="U66:V66"/>
    <mergeCell ref="U60:V60"/>
    <mergeCell ref="O61:P62"/>
    <mergeCell ref="Q61:R62"/>
    <mergeCell ref="S61:T62"/>
    <mergeCell ref="U61:V62"/>
    <mergeCell ref="W61:X62"/>
    <mergeCell ref="Y61:Y62"/>
    <mergeCell ref="B61:G62"/>
    <mergeCell ref="H61:H62"/>
    <mergeCell ref="I61:I62"/>
    <mergeCell ref="J61:J62"/>
    <mergeCell ref="K61:L62"/>
    <mergeCell ref="M61:N62"/>
    <mergeCell ref="B49:B60"/>
    <mergeCell ref="C49:C51"/>
    <mergeCell ref="C52:C56"/>
    <mergeCell ref="K52:L52"/>
    <mergeCell ref="M52:N52"/>
    <mergeCell ref="C57:C60"/>
    <mergeCell ref="F57:G57"/>
    <mergeCell ref="K57:L57"/>
    <mergeCell ref="M57:N57"/>
    <mergeCell ref="O57:P57"/>
    <mergeCell ref="Q57:R57"/>
    <mergeCell ref="F59:G59"/>
    <mergeCell ref="K59:L59"/>
    <mergeCell ref="M59:N59"/>
    <mergeCell ref="O59:P59"/>
    <mergeCell ref="S57:T57"/>
    <mergeCell ref="U57:V57"/>
    <mergeCell ref="W57:X60"/>
    <mergeCell ref="F58:G58"/>
    <mergeCell ref="K58:L58"/>
    <mergeCell ref="M58:N58"/>
    <mergeCell ref="O58:P58"/>
    <mergeCell ref="Q58:R58"/>
    <mergeCell ref="S58:T58"/>
    <mergeCell ref="U58:V58"/>
    <mergeCell ref="Q59:R59"/>
    <mergeCell ref="S59:T59"/>
    <mergeCell ref="U59:V59"/>
    <mergeCell ref="F60:G60"/>
    <mergeCell ref="K60:L60"/>
    <mergeCell ref="M60:N60"/>
    <mergeCell ref="O60:P60"/>
    <mergeCell ref="Q60:R60"/>
    <mergeCell ref="S60:T60"/>
    <mergeCell ref="Q56:R56"/>
    <mergeCell ref="S56:T56"/>
    <mergeCell ref="U56:V56"/>
    <mergeCell ref="F55:G55"/>
    <mergeCell ref="K55:L55"/>
    <mergeCell ref="M55:N55"/>
    <mergeCell ref="O55:P55"/>
    <mergeCell ref="Q55:R55"/>
    <mergeCell ref="S55:T55"/>
    <mergeCell ref="O52:P52"/>
    <mergeCell ref="Q52:R52"/>
    <mergeCell ref="S52:T52"/>
    <mergeCell ref="U52:V52"/>
    <mergeCell ref="W52:X56"/>
    <mergeCell ref="F53:G53"/>
    <mergeCell ref="K53:L53"/>
    <mergeCell ref="M53:N53"/>
    <mergeCell ref="O53:P53"/>
    <mergeCell ref="Q53:R53"/>
    <mergeCell ref="S53:T53"/>
    <mergeCell ref="U53:V53"/>
    <mergeCell ref="F54:G54"/>
    <mergeCell ref="K54:L54"/>
    <mergeCell ref="M54:N54"/>
    <mergeCell ref="O54:P54"/>
    <mergeCell ref="Q54:R54"/>
    <mergeCell ref="S54:T54"/>
    <mergeCell ref="U54:V54"/>
    <mergeCell ref="U55:V55"/>
    <mergeCell ref="F56:G56"/>
    <mergeCell ref="K56:L56"/>
    <mergeCell ref="M56:N56"/>
    <mergeCell ref="O56:P56"/>
    <mergeCell ref="O49:P49"/>
    <mergeCell ref="Q49:R49"/>
    <mergeCell ref="S49:T49"/>
    <mergeCell ref="U49:V49"/>
    <mergeCell ref="W49:X51"/>
    <mergeCell ref="F50:G50"/>
    <mergeCell ref="K50:L50"/>
    <mergeCell ref="M50:N50"/>
    <mergeCell ref="O50:P50"/>
    <mergeCell ref="Q50:R50"/>
    <mergeCell ref="S50:T50"/>
    <mergeCell ref="U50:V50"/>
    <mergeCell ref="F51:G51"/>
    <mergeCell ref="K51:L51"/>
    <mergeCell ref="M51:N51"/>
    <mergeCell ref="O51:P51"/>
    <mergeCell ref="Q51:R51"/>
    <mergeCell ref="S51:T51"/>
    <mergeCell ref="U51:V51"/>
    <mergeCell ref="F49:G49"/>
    <mergeCell ref="J49:J60"/>
    <mergeCell ref="K49:L49"/>
    <mergeCell ref="M49:N49"/>
    <mergeCell ref="F52:G52"/>
    <mergeCell ref="U47:V47"/>
    <mergeCell ref="W47:X47"/>
    <mergeCell ref="F48:G48"/>
    <mergeCell ref="K48:L48"/>
    <mergeCell ref="M48:N48"/>
    <mergeCell ref="O48:P48"/>
    <mergeCell ref="Q48:R48"/>
    <mergeCell ref="S48:T48"/>
    <mergeCell ref="U48:V48"/>
    <mergeCell ref="W48:X48"/>
    <mergeCell ref="F47:G47"/>
    <mergeCell ref="K47:L47"/>
    <mergeCell ref="M47:N47"/>
    <mergeCell ref="O47:P47"/>
    <mergeCell ref="Q47:R47"/>
    <mergeCell ref="S47:T47"/>
    <mergeCell ref="U45:V45"/>
    <mergeCell ref="W45:X45"/>
    <mergeCell ref="F46:G46"/>
    <mergeCell ref="K46:L46"/>
    <mergeCell ref="M46:N46"/>
    <mergeCell ref="O46:P46"/>
    <mergeCell ref="Q46:R46"/>
    <mergeCell ref="S46:T46"/>
    <mergeCell ref="U46:V46"/>
    <mergeCell ref="W46:X46"/>
    <mergeCell ref="F45:G45"/>
    <mergeCell ref="K45:L45"/>
    <mergeCell ref="M45:N45"/>
    <mergeCell ref="O45:P45"/>
    <mergeCell ref="Q45:R45"/>
    <mergeCell ref="S45:T45"/>
    <mergeCell ref="U43:V43"/>
    <mergeCell ref="W43:X43"/>
    <mergeCell ref="F44:G44"/>
    <mergeCell ref="K44:L44"/>
    <mergeCell ref="M44:N44"/>
    <mergeCell ref="O44:P44"/>
    <mergeCell ref="Q44:R44"/>
    <mergeCell ref="S44:T44"/>
    <mergeCell ref="U44:V44"/>
    <mergeCell ref="W44:X44"/>
    <mergeCell ref="F43:G43"/>
    <mergeCell ref="K43:L43"/>
    <mergeCell ref="M43:N43"/>
    <mergeCell ref="O43:P43"/>
    <mergeCell ref="Q43:R43"/>
    <mergeCell ref="S43:T43"/>
    <mergeCell ref="Q41:R41"/>
    <mergeCell ref="S41:T41"/>
    <mergeCell ref="U41:V41"/>
    <mergeCell ref="W41:X41"/>
    <mergeCell ref="F42:G42"/>
    <mergeCell ref="K42:L42"/>
    <mergeCell ref="M42:N42"/>
    <mergeCell ref="O42:P42"/>
    <mergeCell ref="Q42:R42"/>
    <mergeCell ref="S42:T42"/>
    <mergeCell ref="U42:V42"/>
    <mergeCell ref="W42:X42"/>
    <mergeCell ref="U39:V39"/>
    <mergeCell ref="W39:X39"/>
    <mergeCell ref="AA39:AB39"/>
    <mergeCell ref="B40:C48"/>
    <mergeCell ref="D40:E40"/>
    <mergeCell ref="F40:G40"/>
    <mergeCell ref="K40:L40"/>
    <mergeCell ref="M40:N40"/>
    <mergeCell ref="O40:P40"/>
    <mergeCell ref="Q40:R40"/>
    <mergeCell ref="B39:G39"/>
    <mergeCell ref="K39:L39"/>
    <mergeCell ref="M39:N39"/>
    <mergeCell ref="O39:P39"/>
    <mergeCell ref="Q39:R39"/>
    <mergeCell ref="S39:T39"/>
    <mergeCell ref="S40:T40"/>
    <mergeCell ref="U40:V40"/>
    <mergeCell ref="W40:X40"/>
    <mergeCell ref="Y40:Y60"/>
    <mergeCell ref="F41:G41"/>
    <mergeCell ref="K41:L41"/>
    <mergeCell ref="M41:N41"/>
    <mergeCell ref="O41:P41"/>
    <mergeCell ref="W37:X38"/>
    <mergeCell ref="Y37:Y38"/>
    <mergeCell ref="F38:G38"/>
    <mergeCell ref="K38:L38"/>
    <mergeCell ref="M38:N38"/>
    <mergeCell ref="O38:P38"/>
    <mergeCell ref="Q38:R38"/>
    <mergeCell ref="S38:T38"/>
    <mergeCell ref="U38:V38"/>
    <mergeCell ref="S35:T35"/>
    <mergeCell ref="U35:V35"/>
    <mergeCell ref="S33:T33"/>
    <mergeCell ref="U33:V33"/>
    <mergeCell ref="Q36:R36"/>
    <mergeCell ref="S36:T36"/>
    <mergeCell ref="U36:V36"/>
    <mergeCell ref="D37:D38"/>
    <mergeCell ref="F37:G37"/>
    <mergeCell ref="K37:L37"/>
    <mergeCell ref="M37:N37"/>
    <mergeCell ref="O37:P37"/>
    <mergeCell ref="Q37:R37"/>
    <mergeCell ref="S37:T37"/>
    <mergeCell ref="U37:V37"/>
    <mergeCell ref="X33:X36"/>
    <mergeCell ref="Y33:Y36"/>
    <mergeCell ref="F34:G34"/>
    <mergeCell ref="K34:L34"/>
    <mergeCell ref="M34:N34"/>
    <mergeCell ref="O34:P34"/>
    <mergeCell ref="Q34:R34"/>
    <mergeCell ref="S34:T34"/>
    <mergeCell ref="D33:D36"/>
    <mergeCell ref="F33:G33"/>
    <mergeCell ref="K33:L33"/>
    <mergeCell ref="M33:N33"/>
    <mergeCell ref="O33:P33"/>
    <mergeCell ref="Q33:R33"/>
    <mergeCell ref="F36:G36"/>
    <mergeCell ref="K36:L36"/>
    <mergeCell ref="M36:N36"/>
    <mergeCell ref="O36:P36"/>
    <mergeCell ref="U34:V34"/>
    <mergeCell ref="F35:G35"/>
    <mergeCell ref="K35:L35"/>
    <mergeCell ref="M35:N35"/>
    <mergeCell ref="O35:P35"/>
    <mergeCell ref="Q35:R35"/>
    <mergeCell ref="S30:T30"/>
    <mergeCell ref="U30:V30"/>
    <mergeCell ref="S28:T28"/>
    <mergeCell ref="U28:V28"/>
    <mergeCell ref="Q31:R31"/>
    <mergeCell ref="S31:T31"/>
    <mergeCell ref="U31:V31"/>
    <mergeCell ref="F32:G32"/>
    <mergeCell ref="K32:L32"/>
    <mergeCell ref="M32:N32"/>
    <mergeCell ref="O32:P32"/>
    <mergeCell ref="Q32:R32"/>
    <mergeCell ref="S32:T32"/>
    <mergeCell ref="U32:V32"/>
    <mergeCell ref="X28:X32"/>
    <mergeCell ref="Y28:Y32"/>
    <mergeCell ref="F29:G29"/>
    <mergeCell ref="K29:L29"/>
    <mergeCell ref="M29:N29"/>
    <mergeCell ref="O29:P29"/>
    <mergeCell ref="Q29:R29"/>
    <mergeCell ref="S29:T29"/>
    <mergeCell ref="D28:D32"/>
    <mergeCell ref="F28:G28"/>
    <mergeCell ref="K28:L28"/>
    <mergeCell ref="M28:N28"/>
    <mergeCell ref="O28:P28"/>
    <mergeCell ref="Q28:R28"/>
    <mergeCell ref="F31:G31"/>
    <mergeCell ref="K31:L31"/>
    <mergeCell ref="M31:N31"/>
    <mergeCell ref="O31:P31"/>
    <mergeCell ref="U29:V29"/>
    <mergeCell ref="F30:G30"/>
    <mergeCell ref="K30:L30"/>
    <mergeCell ref="M30:N30"/>
    <mergeCell ref="O30:P30"/>
    <mergeCell ref="Q30:R30"/>
    <mergeCell ref="D26:D27"/>
    <mergeCell ref="F26:G26"/>
    <mergeCell ref="K26:L26"/>
    <mergeCell ref="M26:N26"/>
    <mergeCell ref="O26:P26"/>
    <mergeCell ref="Q26:R26"/>
    <mergeCell ref="S26:T26"/>
    <mergeCell ref="U26:V26"/>
    <mergeCell ref="F25:G25"/>
    <mergeCell ref="K25:L25"/>
    <mergeCell ref="M25:N25"/>
    <mergeCell ref="O25:P25"/>
    <mergeCell ref="Q25:R25"/>
    <mergeCell ref="S25:T25"/>
    <mergeCell ref="F27:G27"/>
    <mergeCell ref="K27:L27"/>
    <mergeCell ref="M27:N27"/>
    <mergeCell ref="O27:P27"/>
    <mergeCell ref="Q27:R27"/>
    <mergeCell ref="S27:T27"/>
    <mergeCell ref="U27:V27"/>
    <mergeCell ref="U25:V25"/>
    <mergeCell ref="AA23:AB23"/>
    <mergeCell ref="F24:G24"/>
    <mergeCell ref="K24:L24"/>
    <mergeCell ref="M24:N24"/>
    <mergeCell ref="O24:P24"/>
    <mergeCell ref="Q24:R24"/>
    <mergeCell ref="S24:T24"/>
    <mergeCell ref="U24:V24"/>
    <mergeCell ref="X24:X25"/>
    <mergeCell ref="Y24:Y27"/>
    <mergeCell ref="X22:X23"/>
    <mergeCell ref="Y22:Y23"/>
    <mergeCell ref="F23:G23"/>
    <mergeCell ref="K23:L23"/>
    <mergeCell ref="M23:N23"/>
    <mergeCell ref="O23:P23"/>
    <mergeCell ref="Q23:R23"/>
    <mergeCell ref="S23:T23"/>
    <mergeCell ref="U23:V23"/>
    <mergeCell ref="X26:X27"/>
    <mergeCell ref="F21:G21"/>
    <mergeCell ref="K21:L21"/>
    <mergeCell ref="M21:N21"/>
    <mergeCell ref="O21:P21"/>
    <mergeCell ref="Q21:R21"/>
    <mergeCell ref="S21:T21"/>
    <mergeCell ref="U21:V21"/>
    <mergeCell ref="D22:D25"/>
    <mergeCell ref="F22:G22"/>
    <mergeCell ref="K22:L22"/>
    <mergeCell ref="M22:N22"/>
    <mergeCell ref="O22:P22"/>
    <mergeCell ref="Q22:R22"/>
    <mergeCell ref="S22:T22"/>
    <mergeCell ref="U22:V22"/>
    <mergeCell ref="K19:L19"/>
    <mergeCell ref="M19:N19"/>
    <mergeCell ref="O19:P19"/>
    <mergeCell ref="Q19:R19"/>
    <mergeCell ref="S19:T19"/>
    <mergeCell ref="U19:V19"/>
    <mergeCell ref="F20:G20"/>
    <mergeCell ref="K20:L20"/>
    <mergeCell ref="M20:N20"/>
    <mergeCell ref="O20:P20"/>
    <mergeCell ref="Q20:R20"/>
    <mergeCell ref="S20:T20"/>
    <mergeCell ref="U20:V20"/>
    <mergeCell ref="Q17:R17"/>
    <mergeCell ref="S17:T17"/>
    <mergeCell ref="F16:G16"/>
    <mergeCell ref="K16:L16"/>
    <mergeCell ref="U17:V17"/>
    <mergeCell ref="AB17:AD17"/>
    <mergeCell ref="D18:D21"/>
    <mergeCell ref="F18:G18"/>
    <mergeCell ref="K18:L18"/>
    <mergeCell ref="M18:N18"/>
    <mergeCell ref="O18:P18"/>
    <mergeCell ref="Q18:R18"/>
    <mergeCell ref="S18:T18"/>
    <mergeCell ref="U18:V18"/>
    <mergeCell ref="X14:X17"/>
    <mergeCell ref="F15:G15"/>
    <mergeCell ref="K15:L15"/>
    <mergeCell ref="M15:N15"/>
    <mergeCell ref="O15:P15"/>
    <mergeCell ref="Q15:R15"/>
    <mergeCell ref="S15:T15"/>
    <mergeCell ref="U15:V15"/>
    <mergeCell ref="X18:X21"/>
    <mergeCell ref="F19:G19"/>
    <mergeCell ref="U13:V13"/>
    <mergeCell ref="D14:D17"/>
    <mergeCell ref="F14:G14"/>
    <mergeCell ref="K14:L14"/>
    <mergeCell ref="M14:N14"/>
    <mergeCell ref="O14:P14"/>
    <mergeCell ref="Q14:R14"/>
    <mergeCell ref="S14:T14"/>
    <mergeCell ref="U14:V14"/>
    <mergeCell ref="M16:N16"/>
    <mergeCell ref="F13:G13"/>
    <mergeCell ref="K13:L13"/>
    <mergeCell ref="M13:N13"/>
    <mergeCell ref="O13:P13"/>
    <mergeCell ref="Q13:R13"/>
    <mergeCell ref="S13:T13"/>
    <mergeCell ref="O16:P16"/>
    <mergeCell ref="Q16:R16"/>
    <mergeCell ref="S16:T16"/>
    <mergeCell ref="U16:V16"/>
    <mergeCell ref="F17:G17"/>
    <mergeCell ref="K17:L17"/>
    <mergeCell ref="M17:N17"/>
    <mergeCell ref="O17:P17"/>
    <mergeCell ref="Q12:R12"/>
    <mergeCell ref="S12:T12"/>
    <mergeCell ref="U12:V12"/>
    <mergeCell ref="F11:G11"/>
    <mergeCell ref="K11:L11"/>
    <mergeCell ref="M11:N11"/>
    <mergeCell ref="O11:P11"/>
    <mergeCell ref="Q11:R11"/>
    <mergeCell ref="S11:T11"/>
    <mergeCell ref="AA8:AD8"/>
    <mergeCell ref="B9:C38"/>
    <mergeCell ref="D9:D13"/>
    <mergeCell ref="F9:G9"/>
    <mergeCell ref="K9:L9"/>
    <mergeCell ref="M9:N9"/>
    <mergeCell ref="O9:P9"/>
    <mergeCell ref="Q9:R9"/>
    <mergeCell ref="S9:T9"/>
    <mergeCell ref="U9:V9"/>
    <mergeCell ref="X9:X13"/>
    <mergeCell ref="Y9:Y21"/>
    <mergeCell ref="F10:G10"/>
    <mergeCell ref="K10:L10"/>
    <mergeCell ref="M10:N10"/>
    <mergeCell ref="O10:P10"/>
    <mergeCell ref="Q10:R10"/>
    <mergeCell ref="S10:T10"/>
    <mergeCell ref="U10:V10"/>
    <mergeCell ref="U11:V11"/>
    <mergeCell ref="F12:G12"/>
    <mergeCell ref="K12:L12"/>
    <mergeCell ref="M12:N12"/>
    <mergeCell ref="O12:P12"/>
    <mergeCell ref="U6:Y6"/>
    <mergeCell ref="B7:C8"/>
    <mergeCell ref="D7:D8"/>
    <mergeCell ref="E7:G7"/>
    <mergeCell ref="H7:H8"/>
    <mergeCell ref="I7:I8"/>
    <mergeCell ref="J7:J8"/>
    <mergeCell ref="K7:N7"/>
    <mergeCell ref="O7:R7"/>
    <mergeCell ref="S7:V7"/>
    <mergeCell ref="W7:X8"/>
    <mergeCell ref="Y7:Y8"/>
    <mergeCell ref="F8:G8"/>
    <mergeCell ref="K8:L8"/>
    <mergeCell ref="M8:N8"/>
    <mergeCell ref="O8:P8"/>
    <mergeCell ref="Q8:R8"/>
    <mergeCell ref="S8:T8"/>
    <mergeCell ref="U8:V8"/>
    <mergeCell ref="AD3:AD5"/>
    <mergeCell ref="P4:S4"/>
    <mergeCell ref="T4:V4"/>
    <mergeCell ref="W4:Y4"/>
    <mergeCell ref="AC4:AC5"/>
    <mergeCell ref="C5:E5"/>
    <mergeCell ref="F5:G5"/>
    <mergeCell ref="H5:J5"/>
    <mergeCell ref="K5:O5"/>
    <mergeCell ref="P5:S5"/>
    <mergeCell ref="T5:V5"/>
    <mergeCell ref="W5:Y5"/>
    <mergeCell ref="B2:U2"/>
    <mergeCell ref="V2:W2"/>
    <mergeCell ref="X2:Y2"/>
    <mergeCell ref="AA2:AA5"/>
    <mergeCell ref="B3:B4"/>
    <mergeCell ref="C3:E4"/>
    <mergeCell ref="F3:G4"/>
    <mergeCell ref="H3:J4"/>
    <mergeCell ref="K3:O4"/>
    <mergeCell ref="P3:Y3"/>
  </mergeCells>
  <phoneticPr fontId="9" type="noConversion"/>
  <conditionalFormatting sqref="AA39:AB39 AC62 AA65:AB65 AA68:AB68 AA70:AB70">
    <cfRule type="containsText" dxfId="0" priority="1" operator="containsText" text="FALSE">
      <formula>NOT(ISERROR(SEARCH("FALSE",AA39)))</formula>
    </cfRule>
  </conditionalFormatting>
  <dataValidations disablePrompts="1" count="1">
    <dataValidation type="list" allowBlank="1" showInputMessage="1" showErrorMessage="1" sqref="D52:D56" xr:uid="{7968FB5E-815C-477A-923B-9F31047CDA20}"/>
  </dataValidations>
  <printOptions horizontalCentered="1" verticalCentered="1"/>
  <pageMargins left="0.25" right="0.25" top="0.75" bottom="0.75" header="0.3" footer="0.3"/>
  <pageSetup paperSize="12" scale="52" orientation="portrait" cellComments="asDisplayed" r:id="rId1"/>
  <rowBreaks count="1" manualBreakCount="1">
    <brk id="61" max="16383" man="1"/>
  </rowBreaks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ECE83CAB-A226-4CE0-9D7F-2BE5E4FDC540}">
          <x14:formula1>
            <xm:f>삭제금지!$H$2:$H$18</xm:f>
          </x14:formula1>
          <xm:sqref>B5</xm:sqref>
        </x14:dataValidation>
        <x14:dataValidation type="list" allowBlank="1" showInputMessage="1" showErrorMessage="1" xr:uid="{C9B9FB2C-8FDF-4DA0-82B8-05DC511C1D8E}">
          <x14:formula1>
            <xm:f>삭제금지!$L$2:$L$4</xm:f>
          </x14:formula1>
          <xm:sqref>T5:V5</xm:sqref>
        </x14:dataValidation>
        <x14:dataValidation type="list" allowBlank="1" showInputMessage="1" showErrorMessage="1" xr:uid="{ECF68E9E-A69B-4175-B94F-88004818BEC7}">
          <x14:formula1>
            <xm:f>삭제금지!$K$2:$K$59</xm:f>
          </x14:formula1>
          <xm:sqref>K5:O5</xm:sqref>
        </x14:dataValidation>
        <x14:dataValidation type="list" allowBlank="1" showInputMessage="1" showErrorMessage="1" xr:uid="{BEF95AD9-0018-44E2-B3B1-81A79A212F01}">
          <x14:formula1>
            <xm:f>삭제금지!$I$2:$I$18</xm:f>
          </x14:formula1>
          <xm:sqref>F5:G5</xm:sqref>
        </x14:dataValidation>
        <x14:dataValidation type="list" allowBlank="1" showInputMessage="1" showErrorMessage="1" xr:uid="{094B58AD-ACC5-4A6B-954B-F6E30A82BDD2}">
          <x14:formula1>
            <xm:f>삭제금지!$J$2:$J$59</xm:f>
          </x14:formula1>
          <xm:sqref>H5:J5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7C768-96EB-4FBE-9BD2-5B0EE6D7B72A}">
  <sheetPr>
    <pageSetUpPr fitToPage="1"/>
  </sheetPr>
  <dimension ref="B2:AG35"/>
  <sheetViews>
    <sheetView showGridLines="0" view="pageBreakPreview" topLeftCell="A5" zoomScale="90" zoomScaleNormal="85" zoomScaleSheetLayoutView="90" workbookViewId="0">
      <selection activeCell="H20" sqref="H20"/>
    </sheetView>
  </sheetViews>
  <sheetFormatPr defaultRowHeight="16.5"/>
  <cols>
    <col min="1" max="1" width="3" customWidth="1"/>
    <col min="2" max="2" width="11.75" customWidth="1"/>
    <col min="3" max="3" width="5.625" customWidth="1"/>
    <col min="4" max="4" width="18.875" bestFit="1" customWidth="1"/>
    <col min="5" max="5" width="19" style="1" bestFit="1" customWidth="1"/>
    <col min="6" max="6" width="9.125" style="1" customWidth="1"/>
    <col min="7" max="7" width="10.75" customWidth="1"/>
    <col min="8" max="19" width="7.75" bestFit="1" customWidth="1"/>
    <col min="20" max="20" width="6.625" bestFit="1" customWidth="1"/>
    <col min="21" max="21" width="7.125" customWidth="1"/>
  </cols>
  <sheetData>
    <row r="2" spans="2:33" ht="39.75" customHeight="1" thickBot="1">
      <c r="B2" s="569" t="s">
        <v>147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2:33" ht="27" customHeight="1"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570" t="s">
        <v>129</v>
      </c>
      <c r="O3" s="571"/>
      <c r="P3" s="572"/>
      <c r="Q3" s="573" t="s">
        <v>127</v>
      </c>
      <c r="R3" s="571"/>
      <c r="S3" s="574"/>
      <c r="T3" s="573" t="s">
        <v>130</v>
      </c>
      <c r="U3" s="576"/>
    </row>
    <row r="4" spans="2:33" ht="27" customHeight="1" thickBot="1"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640" t="s">
        <v>601</v>
      </c>
      <c r="O4" s="641"/>
      <c r="P4" s="642"/>
      <c r="Q4" s="643" t="s">
        <v>538</v>
      </c>
      <c r="R4" s="644"/>
      <c r="S4" s="645"/>
      <c r="T4" s="580">
        <v>2027</v>
      </c>
      <c r="U4" s="583"/>
    </row>
    <row r="5" spans="2:33" ht="24" customHeight="1" thickBot="1">
      <c r="B5" s="584"/>
      <c r="C5" s="584"/>
      <c r="W5" s="244"/>
      <c r="X5" s="244"/>
      <c r="Y5" s="244"/>
      <c r="Z5" s="244"/>
      <c r="AA5" s="244"/>
      <c r="AB5" s="244"/>
      <c r="AC5" s="244"/>
      <c r="AD5" s="244"/>
      <c r="AE5" s="244"/>
      <c r="AF5" s="244"/>
    </row>
    <row r="6" spans="2:33" ht="20.25" customHeight="1">
      <c r="B6" s="600" t="s">
        <v>13</v>
      </c>
      <c r="C6" s="603" t="s">
        <v>138</v>
      </c>
      <c r="D6" s="597" t="s">
        <v>14</v>
      </c>
      <c r="E6" s="597" t="s">
        <v>15</v>
      </c>
      <c r="F6" s="597" t="s">
        <v>139</v>
      </c>
      <c r="G6" s="597" t="s">
        <v>140</v>
      </c>
      <c r="H6" s="555" t="s">
        <v>58</v>
      </c>
      <c r="I6" s="555"/>
      <c r="J6" s="555"/>
      <c r="K6" s="555"/>
      <c r="L6" s="555" t="s">
        <v>59</v>
      </c>
      <c r="M6" s="555"/>
      <c r="N6" s="555"/>
      <c r="O6" s="555"/>
      <c r="P6" s="555" t="s">
        <v>60</v>
      </c>
      <c r="Q6" s="555"/>
      <c r="R6" s="555"/>
      <c r="S6" s="555"/>
      <c r="T6" s="561" t="s">
        <v>137</v>
      </c>
      <c r="U6" s="556" t="s">
        <v>126</v>
      </c>
      <c r="W6" s="559"/>
      <c r="X6" s="559"/>
      <c r="Y6" s="559"/>
      <c r="Z6" s="559"/>
      <c r="AA6" s="559"/>
      <c r="AB6" s="559"/>
      <c r="AC6" s="559"/>
      <c r="AD6" s="559"/>
      <c r="AE6" s="559"/>
      <c r="AF6" s="559"/>
      <c r="AG6" s="12"/>
    </row>
    <row r="7" spans="2:33" ht="16.5" customHeight="1">
      <c r="B7" s="601"/>
      <c r="C7" s="604"/>
      <c r="D7" s="598"/>
      <c r="E7" s="598"/>
      <c r="F7" s="598"/>
      <c r="G7" s="598"/>
      <c r="H7" s="560" t="s">
        <v>124</v>
      </c>
      <c r="I7" s="560"/>
      <c r="J7" s="560" t="s">
        <v>62</v>
      </c>
      <c r="K7" s="560"/>
      <c r="L7" s="560" t="s">
        <v>124</v>
      </c>
      <c r="M7" s="560"/>
      <c r="N7" s="560" t="s">
        <v>62</v>
      </c>
      <c r="O7" s="560"/>
      <c r="P7" s="560" t="s">
        <v>124</v>
      </c>
      <c r="Q7" s="560"/>
      <c r="R7" s="560" t="s">
        <v>62</v>
      </c>
      <c r="S7" s="560"/>
      <c r="T7" s="562"/>
      <c r="U7" s="557"/>
      <c r="W7" s="551"/>
      <c r="X7" s="551"/>
      <c r="Y7" s="551"/>
      <c r="Z7" s="551"/>
      <c r="AA7" s="551"/>
      <c r="AB7" s="551"/>
      <c r="AC7" s="551"/>
      <c r="AD7" s="551"/>
      <c r="AE7" s="551"/>
      <c r="AF7" s="551"/>
      <c r="AG7" s="12"/>
    </row>
    <row r="8" spans="2:33" ht="17.25" customHeight="1" thickBot="1">
      <c r="B8" s="602"/>
      <c r="C8" s="605"/>
      <c r="D8" s="599"/>
      <c r="E8" s="599"/>
      <c r="F8" s="599"/>
      <c r="G8" s="599"/>
      <c r="H8" s="21" t="s">
        <v>136</v>
      </c>
      <c r="I8" s="21" t="s">
        <v>125</v>
      </c>
      <c r="J8" s="21" t="s">
        <v>136</v>
      </c>
      <c r="K8" s="21" t="s">
        <v>125</v>
      </c>
      <c r="L8" s="21" t="s">
        <v>136</v>
      </c>
      <c r="M8" s="21" t="s">
        <v>125</v>
      </c>
      <c r="N8" s="21" t="s">
        <v>136</v>
      </c>
      <c r="O8" s="21" t="s">
        <v>125</v>
      </c>
      <c r="P8" s="21" t="s">
        <v>136</v>
      </c>
      <c r="Q8" s="21" t="s">
        <v>125</v>
      </c>
      <c r="R8" s="21" t="s">
        <v>136</v>
      </c>
      <c r="S8" s="21" t="s">
        <v>125</v>
      </c>
      <c r="T8" s="563"/>
      <c r="U8" s="558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2"/>
    </row>
    <row r="9" spans="2:33" ht="16.5" customHeight="1">
      <c r="B9" s="623" t="s">
        <v>521</v>
      </c>
      <c r="C9" s="626">
        <v>12</v>
      </c>
      <c r="D9" s="172" t="s">
        <v>693</v>
      </c>
      <c r="E9" s="177" t="s">
        <v>695</v>
      </c>
      <c r="F9" s="172">
        <v>45</v>
      </c>
      <c r="G9" s="172">
        <v>5</v>
      </c>
      <c r="H9" s="173"/>
      <c r="I9" s="173"/>
      <c r="J9" s="173"/>
      <c r="K9" s="173">
        <f>J9*16</f>
        <v>0</v>
      </c>
      <c r="L9" s="173">
        <v>3</v>
      </c>
      <c r="M9" s="173">
        <v>48</v>
      </c>
      <c r="N9" s="173"/>
      <c r="O9" s="173">
        <f>N9*16</f>
        <v>0</v>
      </c>
      <c r="P9" s="173"/>
      <c r="Q9" s="173">
        <f>P9*16</f>
        <v>0</v>
      </c>
      <c r="R9" s="173"/>
      <c r="S9" s="173">
        <f>R9*16</f>
        <v>0</v>
      </c>
      <c r="T9" s="174">
        <f>SUM(H9,J9,L9,N9,P9,R9)</f>
        <v>3</v>
      </c>
      <c r="U9" s="175">
        <f>SUM(I9,K9,M9,O9,Q9,S9)</f>
        <v>48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 spans="2:33" ht="16.5" customHeight="1">
      <c r="B10" s="624"/>
      <c r="C10" s="627"/>
      <c r="D10" s="177" t="s">
        <v>596</v>
      </c>
      <c r="E10" s="177" t="s">
        <v>598</v>
      </c>
      <c r="F10" s="177">
        <v>90</v>
      </c>
      <c r="G10" s="177">
        <v>5</v>
      </c>
      <c r="H10" s="179"/>
      <c r="I10" s="179"/>
      <c r="J10" s="179"/>
      <c r="K10" s="179"/>
      <c r="L10" s="179">
        <v>3</v>
      </c>
      <c r="M10" s="179">
        <v>48</v>
      </c>
      <c r="N10" s="179"/>
      <c r="O10" s="179"/>
      <c r="P10" s="179"/>
      <c r="Q10" s="179"/>
      <c r="R10" s="179"/>
      <c r="S10" s="179"/>
      <c r="T10" s="180">
        <v>3</v>
      </c>
      <c r="U10" s="181">
        <v>48</v>
      </c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 spans="2:33" ht="16.5" customHeight="1">
      <c r="B11" s="624"/>
      <c r="C11" s="627"/>
      <c r="D11" s="177" t="s">
        <v>532</v>
      </c>
      <c r="E11" s="177" t="s">
        <v>597</v>
      </c>
      <c r="F11" s="177">
        <v>50</v>
      </c>
      <c r="G11" s="177">
        <v>5</v>
      </c>
      <c r="H11" s="179"/>
      <c r="I11" s="179"/>
      <c r="J11" s="179"/>
      <c r="K11" s="179"/>
      <c r="L11" s="179"/>
      <c r="M11" s="179"/>
      <c r="N11" s="179">
        <v>3</v>
      </c>
      <c r="O11" s="179">
        <v>48</v>
      </c>
      <c r="P11" s="179"/>
      <c r="Q11" s="179"/>
      <c r="R11" s="179"/>
      <c r="S11" s="179"/>
      <c r="T11" s="180">
        <v>3</v>
      </c>
      <c r="U11" s="181">
        <v>48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 spans="2:33">
      <c r="B12" s="624"/>
      <c r="C12" s="627"/>
      <c r="D12" s="177" t="s">
        <v>694</v>
      </c>
      <c r="E12" s="176" t="s">
        <v>696</v>
      </c>
      <c r="F12" s="177">
        <v>45</v>
      </c>
      <c r="G12" s="177">
        <v>5</v>
      </c>
      <c r="H12" s="179"/>
      <c r="I12" s="178">
        <f t="shared" ref="I12" si="0">H12*16</f>
        <v>0</v>
      </c>
      <c r="J12" s="179"/>
      <c r="K12" s="179"/>
      <c r="L12" s="179"/>
      <c r="M12" s="179"/>
      <c r="N12" s="179">
        <v>3</v>
      </c>
      <c r="O12" s="179">
        <v>48</v>
      </c>
      <c r="P12" s="179"/>
      <c r="Q12" s="179"/>
      <c r="R12" s="179"/>
      <c r="S12" s="179"/>
      <c r="T12" s="180">
        <v>3</v>
      </c>
      <c r="U12" s="181">
        <v>48</v>
      </c>
      <c r="W12" s="244"/>
      <c r="X12" s="244"/>
      <c r="Y12" s="244"/>
      <c r="Z12" s="244"/>
      <c r="AA12" s="244"/>
      <c r="AB12" s="244"/>
      <c r="AC12" s="244"/>
      <c r="AD12" s="244"/>
      <c r="AE12" s="244"/>
      <c r="AF12" s="244"/>
    </row>
    <row r="13" spans="2:33" ht="17.25" thickBot="1">
      <c r="B13" s="625"/>
      <c r="C13" s="628"/>
      <c r="D13" s="629" t="s">
        <v>16</v>
      </c>
      <c r="E13" s="629"/>
      <c r="F13" s="143">
        <v>230</v>
      </c>
      <c r="G13" s="143">
        <v>20</v>
      </c>
      <c r="H13" s="20">
        <f>SUM(H12:H12)</f>
        <v>0</v>
      </c>
      <c r="I13" s="20">
        <f>SUM(I12:I12)</f>
        <v>0</v>
      </c>
      <c r="J13" s="20">
        <f>SUM(J12:J12)</f>
        <v>0</v>
      </c>
      <c r="K13" s="20">
        <f>SUM(K12:K12)</f>
        <v>0</v>
      </c>
      <c r="L13" s="20">
        <f>SUM(L9:L12)</f>
        <v>6</v>
      </c>
      <c r="M13" s="20">
        <f>SUM(M9:M12)</f>
        <v>96</v>
      </c>
      <c r="N13" s="20">
        <f>SUM(N9:N12)</f>
        <v>6</v>
      </c>
      <c r="O13" s="20">
        <f>SUM(O9:O12)</f>
        <v>96</v>
      </c>
      <c r="P13" s="20"/>
      <c r="Q13" s="20"/>
      <c r="R13" s="20">
        <f>SUM(R9:R12)</f>
        <v>0</v>
      </c>
      <c r="S13" s="20">
        <f>SUM(S9:S12)</f>
        <v>0</v>
      </c>
      <c r="T13" s="182">
        <v>12</v>
      </c>
      <c r="U13" s="182">
        <v>192</v>
      </c>
      <c r="W13" s="244"/>
      <c r="X13" s="244"/>
      <c r="Y13" s="244"/>
      <c r="Z13" s="244"/>
      <c r="AA13" s="244"/>
      <c r="AB13" s="244"/>
      <c r="AC13" s="244"/>
      <c r="AD13" s="244"/>
      <c r="AE13" s="244"/>
      <c r="AF13" s="244"/>
    </row>
    <row r="14" spans="2:33">
      <c r="B14" s="606" t="s">
        <v>600</v>
      </c>
      <c r="C14" s="608">
        <v>10</v>
      </c>
      <c r="D14" s="223" t="s">
        <v>689</v>
      </c>
      <c r="E14" s="223" t="s">
        <v>691</v>
      </c>
      <c r="F14" s="32">
        <v>45</v>
      </c>
      <c r="G14" s="223">
        <v>4</v>
      </c>
      <c r="H14" s="224"/>
      <c r="I14" s="224"/>
      <c r="J14" s="224"/>
      <c r="K14" s="224"/>
      <c r="L14" s="224">
        <v>2</v>
      </c>
      <c r="M14" s="224">
        <v>32</v>
      </c>
      <c r="N14" s="224"/>
      <c r="O14" s="224"/>
      <c r="P14" s="224"/>
      <c r="Q14" s="224"/>
      <c r="R14" s="224"/>
      <c r="S14" s="224"/>
      <c r="T14" s="210">
        <v>2</v>
      </c>
      <c r="U14" s="211">
        <v>32</v>
      </c>
      <c r="W14" s="244"/>
      <c r="X14" s="244"/>
      <c r="Y14" s="244"/>
      <c r="Z14" s="244"/>
      <c r="AA14" s="244"/>
      <c r="AB14" s="244"/>
      <c r="AC14" s="244"/>
      <c r="AD14" s="244"/>
      <c r="AE14" s="244"/>
      <c r="AF14" s="244"/>
    </row>
    <row r="15" spans="2:33">
      <c r="B15" s="606"/>
      <c r="C15" s="608"/>
      <c r="D15" s="32" t="s">
        <v>688</v>
      </c>
      <c r="E15" s="32" t="s">
        <v>552</v>
      </c>
      <c r="F15" s="311">
        <v>60</v>
      </c>
      <c r="G15" s="32">
        <v>3</v>
      </c>
      <c r="H15" s="31"/>
      <c r="I15" s="31"/>
      <c r="J15" s="31"/>
      <c r="K15" s="31"/>
      <c r="L15" s="31">
        <v>3</v>
      </c>
      <c r="M15" s="31">
        <v>48</v>
      </c>
      <c r="N15" s="31"/>
      <c r="O15" s="31"/>
      <c r="P15" s="31"/>
      <c r="Q15" s="31"/>
      <c r="R15" s="31"/>
      <c r="S15" s="31"/>
      <c r="T15" s="30">
        <v>3</v>
      </c>
      <c r="U15" s="29">
        <v>48</v>
      </c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</row>
    <row r="16" spans="2:33">
      <c r="B16" s="606"/>
      <c r="C16" s="608"/>
      <c r="D16" s="32" t="s">
        <v>690</v>
      </c>
      <c r="E16" s="32" t="s">
        <v>692</v>
      </c>
      <c r="F16" s="32">
        <v>45</v>
      </c>
      <c r="G16" s="32">
        <v>5</v>
      </c>
      <c r="H16" s="31"/>
      <c r="I16" s="31"/>
      <c r="J16" s="31"/>
      <c r="K16" s="31"/>
      <c r="L16" s="31"/>
      <c r="M16" s="31"/>
      <c r="N16" s="31">
        <v>2</v>
      </c>
      <c r="O16" s="31">
        <v>32</v>
      </c>
      <c r="P16" s="31"/>
      <c r="Q16" s="31"/>
      <c r="R16" s="31"/>
      <c r="S16" s="31"/>
      <c r="T16" s="30">
        <v>2</v>
      </c>
      <c r="U16" s="29">
        <v>32</v>
      </c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</row>
    <row r="17" spans="2:32">
      <c r="B17" s="606"/>
      <c r="C17" s="608"/>
      <c r="D17" s="32" t="s">
        <v>553</v>
      </c>
      <c r="E17" s="32" t="s">
        <v>554</v>
      </c>
      <c r="F17" s="32">
        <v>90</v>
      </c>
      <c r="G17" s="32">
        <v>4</v>
      </c>
      <c r="H17" s="31"/>
      <c r="I17" s="31"/>
      <c r="J17" s="31"/>
      <c r="K17" s="31"/>
      <c r="L17" s="31"/>
      <c r="M17" s="31"/>
      <c r="N17" s="31">
        <v>3</v>
      </c>
      <c r="O17" s="31">
        <v>48</v>
      </c>
      <c r="P17" s="31"/>
      <c r="Q17" s="31"/>
      <c r="R17" s="31"/>
      <c r="S17" s="31"/>
      <c r="T17" s="30">
        <v>3</v>
      </c>
      <c r="U17" s="29">
        <v>48</v>
      </c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</row>
    <row r="18" spans="2:32" ht="17.25" thickBot="1">
      <c r="B18" s="607"/>
      <c r="C18" s="609"/>
      <c r="D18" s="610" t="s">
        <v>16</v>
      </c>
      <c r="E18" s="610"/>
      <c r="F18" s="149">
        <v>240</v>
      </c>
      <c r="G18" s="149">
        <v>16</v>
      </c>
      <c r="H18" s="22"/>
      <c r="I18" s="22"/>
      <c r="J18" s="22"/>
      <c r="K18" s="22"/>
      <c r="L18" s="22">
        <v>5</v>
      </c>
      <c r="M18" s="22">
        <v>80</v>
      </c>
      <c r="N18" s="22">
        <v>5</v>
      </c>
      <c r="O18" s="22">
        <v>80</v>
      </c>
      <c r="P18" s="22"/>
      <c r="Q18" s="22"/>
      <c r="R18" s="22"/>
      <c r="S18" s="22"/>
      <c r="T18" s="27">
        <v>10</v>
      </c>
      <c r="U18" s="28">
        <v>160</v>
      </c>
      <c r="W18" s="244"/>
      <c r="X18" s="244"/>
      <c r="Y18" s="244"/>
      <c r="Z18" s="244"/>
      <c r="AA18" s="244"/>
      <c r="AB18" s="244"/>
      <c r="AC18" s="244"/>
      <c r="AD18" s="244"/>
      <c r="AE18" s="244"/>
      <c r="AF18" s="244"/>
    </row>
    <row r="19" spans="2:32">
      <c r="B19" s="636" t="s">
        <v>522</v>
      </c>
      <c r="C19" s="618">
        <v>24</v>
      </c>
      <c r="D19" s="276" t="s">
        <v>702</v>
      </c>
      <c r="E19" s="276" t="s">
        <v>687</v>
      </c>
      <c r="F19" s="276">
        <v>45</v>
      </c>
      <c r="G19" s="276">
        <v>5</v>
      </c>
      <c r="H19" s="277"/>
      <c r="I19" s="277"/>
      <c r="J19" s="277"/>
      <c r="K19" s="277"/>
      <c r="L19" s="277"/>
      <c r="M19" s="277"/>
      <c r="N19" s="277"/>
      <c r="O19" s="277"/>
      <c r="P19" s="277">
        <v>4</v>
      </c>
      <c r="Q19" s="277">
        <v>64</v>
      </c>
      <c r="R19" s="277"/>
      <c r="S19" s="277"/>
      <c r="T19" s="236">
        <v>4</v>
      </c>
      <c r="U19" s="237">
        <v>64</v>
      </c>
    </row>
    <row r="20" spans="2:32">
      <c r="B20" s="616"/>
      <c r="C20" s="619"/>
      <c r="D20" s="32" t="s">
        <v>680</v>
      </c>
      <c r="E20" s="32" t="s">
        <v>599</v>
      </c>
      <c r="F20" s="32">
        <v>60</v>
      </c>
      <c r="G20" s="32">
        <v>5</v>
      </c>
      <c r="H20" s="31"/>
      <c r="I20" s="31"/>
      <c r="J20" s="31"/>
      <c r="K20" s="31"/>
      <c r="L20" s="31"/>
      <c r="M20" s="31"/>
      <c r="N20" s="31"/>
      <c r="O20" s="31"/>
      <c r="P20" s="31">
        <v>4</v>
      </c>
      <c r="Q20" s="31">
        <v>64</v>
      </c>
      <c r="R20" s="31"/>
      <c r="S20" s="31"/>
      <c r="T20" s="30">
        <v>4</v>
      </c>
      <c r="U20" s="29">
        <v>64</v>
      </c>
    </row>
    <row r="21" spans="2:32">
      <c r="B21" s="616"/>
      <c r="C21" s="619"/>
      <c r="D21" s="261" t="s">
        <v>681</v>
      </c>
      <c r="E21" s="262" t="s">
        <v>686</v>
      </c>
      <c r="F21" s="261">
        <v>45</v>
      </c>
      <c r="G21" s="261">
        <v>5</v>
      </c>
      <c r="H21" s="263"/>
      <c r="I21" s="263"/>
      <c r="J21" s="263"/>
      <c r="K21" s="263"/>
      <c r="L21" s="263"/>
      <c r="M21" s="263"/>
      <c r="N21" s="263"/>
      <c r="O21" s="263"/>
      <c r="P21" s="263">
        <v>4</v>
      </c>
      <c r="Q21" s="263">
        <v>64</v>
      </c>
      <c r="R21" s="263"/>
      <c r="S21" s="263"/>
      <c r="T21" s="257">
        <v>4</v>
      </c>
      <c r="U21" s="258">
        <v>64</v>
      </c>
    </row>
    <row r="22" spans="2:32">
      <c r="B22" s="616"/>
      <c r="C22" s="619"/>
      <c r="D22" s="225" t="s">
        <v>682</v>
      </c>
      <c r="E22" s="260" t="s">
        <v>685</v>
      </c>
      <c r="F22" s="225">
        <v>45</v>
      </c>
      <c r="G22" s="225">
        <v>5</v>
      </c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>
        <v>4</v>
      </c>
      <c r="S22" s="226">
        <v>64</v>
      </c>
      <c r="T22" s="217">
        <v>4</v>
      </c>
      <c r="U22" s="218">
        <v>64</v>
      </c>
    </row>
    <row r="23" spans="2:32">
      <c r="B23" s="616"/>
      <c r="C23" s="619"/>
      <c r="D23" s="227" t="s">
        <v>704</v>
      </c>
      <c r="E23" s="229" t="s">
        <v>683</v>
      </c>
      <c r="F23" s="227">
        <v>45</v>
      </c>
      <c r="G23" s="227">
        <v>5</v>
      </c>
      <c r="H23" s="228"/>
      <c r="I23" s="228"/>
      <c r="J23" s="228"/>
      <c r="K23" s="228"/>
      <c r="L23" s="228"/>
      <c r="M23" s="228"/>
      <c r="N23" s="228"/>
      <c r="O23" s="228"/>
      <c r="P23" s="228"/>
      <c r="Q23" s="228"/>
      <c r="R23" s="228">
        <v>4</v>
      </c>
      <c r="S23" s="228">
        <v>64</v>
      </c>
      <c r="T23" s="214">
        <v>4</v>
      </c>
      <c r="U23" s="215">
        <v>64</v>
      </c>
    </row>
    <row r="24" spans="2:32">
      <c r="B24" s="616"/>
      <c r="C24" s="619"/>
      <c r="D24" s="227" t="s">
        <v>703</v>
      </c>
      <c r="E24" s="229" t="s">
        <v>684</v>
      </c>
      <c r="F24" s="227">
        <v>45</v>
      </c>
      <c r="G24" s="227">
        <v>5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>
        <v>4</v>
      </c>
      <c r="S24" s="31">
        <v>64</v>
      </c>
      <c r="T24" s="30">
        <v>4</v>
      </c>
      <c r="U24" s="29">
        <v>64</v>
      </c>
    </row>
    <row r="25" spans="2:32" ht="17.25" thickBot="1">
      <c r="B25" s="617"/>
      <c r="C25" s="620"/>
      <c r="D25" s="615" t="s">
        <v>16</v>
      </c>
      <c r="E25" s="610"/>
      <c r="F25" s="233">
        <v>285</v>
      </c>
      <c r="G25" s="233">
        <v>30</v>
      </c>
      <c r="H25" s="22"/>
      <c r="I25" s="22"/>
      <c r="J25" s="22"/>
      <c r="K25" s="22"/>
      <c r="L25" s="22"/>
      <c r="M25" s="22"/>
      <c r="N25" s="22"/>
      <c r="O25" s="22"/>
      <c r="P25" s="22">
        <v>12</v>
      </c>
      <c r="Q25" s="22">
        <v>192</v>
      </c>
      <c r="R25" s="22">
        <v>12</v>
      </c>
      <c r="S25" s="22">
        <v>192</v>
      </c>
      <c r="T25" s="27">
        <v>24</v>
      </c>
      <c r="U25" s="28">
        <v>384</v>
      </c>
    </row>
    <row r="26" spans="2:32">
      <c r="B26" s="606" t="s">
        <v>511</v>
      </c>
      <c r="C26" s="637">
        <v>12</v>
      </c>
      <c r="D26" s="275" t="s">
        <v>544</v>
      </c>
      <c r="E26" s="276" t="s">
        <v>545</v>
      </c>
      <c r="F26" s="276">
        <v>20</v>
      </c>
      <c r="G26" s="276">
        <v>4</v>
      </c>
      <c r="H26" s="277"/>
      <c r="I26" s="277"/>
      <c r="J26" s="277"/>
      <c r="K26" s="277"/>
      <c r="L26" s="277"/>
      <c r="M26" s="277"/>
      <c r="N26" s="277"/>
      <c r="O26" s="277"/>
      <c r="P26" s="277">
        <v>4</v>
      </c>
      <c r="Q26" s="277">
        <v>64</v>
      </c>
      <c r="R26" s="277"/>
      <c r="S26" s="277"/>
      <c r="T26" s="236">
        <v>3</v>
      </c>
      <c r="U26" s="237">
        <v>48</v>
      </c>
    </row>
    <row r="27" spans="2:32">
      <c r="B27" s="612"/>
      <c r="C27" s="614"/>
      <c r="D27" s="274" t="s">
        <v>546</v>
      </c>
      <c r="E27" s="32" t="s">
        <v>547</v>
      </c>
      <c r="F27" s="32">
        <v>30</v>
      </c>
      <c r="G27" s="32">
        <v>5</v>
      </c>
      <c r="H27" s="31"/>
      <c r="I27" s="31"/>
      <c r="J27" s="31"/>
      <c r="K27" s="31"/>
      <c r="L27" s="31"/>
      <c r="M27" s="31"/>
      <c r="N27" s="31"/>
      <c r="O27" s="31"/>
      <c r="P27" s="31">
        <v>4</v>
      </c>
      <c r="Q27" s="31">
        <v>64</v>
      </c>
      <c r="R27" s="31"/>
      <c r="S27" s="31"/>
      <c r="T27" s="30">
        <v>3</v>
      </c>
      <c r="U27" s="29">
        <v>48</v>
      </c>
    </row>
    <row r="28" spans="2:32">
      <c r="B28" s="612"/>
      <c r="C28" s="614"/>
      <c r="D28" s="230" t="s">
        <v>548</v>
      </c>
      <c r="E28" s="231" t="s">
        <v>549</v>
      </c>
      <c r="F28" s="231">
        <v>30</v>
      </c>
      <c r="G28" s="231">
        <v>5</v>
      </c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>
        <v>4</v>
      </c>
      <c r="S28" s="232">
        <v>64</v>
      </c>
      <c r="T28" s="220">
        <v>3</v>
      </c>
      <c r="U28" s="221">
        <v>48</v>
      </c>
    </row>
    <row r="29" spans="2:32">
      <c r="B29" s="612"/>
      <c r="C29" s="614"/>
      <c r="D29" s="35" t="s">
        <v>550</v>
      </c>
      <c r="E29" s="32" t="s">
        <v>551</v>
      </c>
      <c r="F29" s="32">
        <v>30</v>
      </c>
      <c r="G29" s="32">
        <v>5</v>
      </c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>
        <v>4</v>
      </c>
      <c r="S29" s="31">
        <v>64</v>
      </c>
      <c r="T29" s="30">
        <v>3</v>
      </c>
      <c r="U29" s="29">
        <v>48</v>
      </c>
    </row>
    <row r="30" spans="2:32" ht="17.25" thickBot="1">
      <c r="B30" s="607"/>
      <c r="C30" s="609"/>
      <c r="D30" s="615" t="s">
        <v>16</v>
      </c>
      <c r="E30" s="610"/>
      <c r="F30" s="149">
        <v>160</v>
      </c>
      <c r="G30" s="149">
        <v>28</v>
      </c>
      <c r="H30" s="22"/>
      <c r="I30" s="22"/>
      <c r="J30" s="22"/>
      <c r="K30" s="22"/>
      <c r="L30" s="22"/>
      <c r="M30" s="22"/>
      <c r="N30" s="22"/>
      <c r="O30" s="22"/>
      <c r="P30" s="22">
        <v>8</v>
      </c>
      <c r="Q30" s="22">
        <v>128</v>
      </c>
      <c r="R30" s="22">
        <v>8</v>
      </c>
      <c r="S30" s="22">
        <v>128</v>
      </c>
      <c r="T30" s="27">
        <v>16</v>
      </c>
      <c r="U30" s="28">
        <v>256</v>
      </c>
    </row>
    <row r="31" spans="2:32">
      <c r="B31" s="616" t="s">
        <v>523</v>
      </c>
      <c r="C31" s="618">
        <v>12</v>
      </c>
      <c r="D31" s="264" t="s">
        <v>677</v>
      </c>
      <c r="E31" s="264" t="s">
        <v>679</v>
      </c>
      <c r="F31" s="264">
        <v>45</v>
      </c>
      <c r="G31" s="264">
        <v>5</v>
      </c>
      <c r="H31" s="265"/>
      <c r="I31" s="265"/>
      <c r="J31" s="265"/>
      <c r="K31" s="265"/>
      <c r="L31" s="265"/>
      <c r="M31" s="265"/>
      <c r="N31" s="265"/>
      <c r="O31" s="265"/>
      <c r="P31" s="266">
        <v>4</v>
      </c>
      <c r="Q31" s="266">
        <v>64</v>
      </c>
      <c r="R31" s="266"/>
      <c r="S31" s="266"/>
      <c r="T31" s="267">
        <v>4</v>
      </c>
      <c r="U31" s="268">
        <v>64</v>
      </c>
    </row>
    <row r="32" spans="2:32">
      <c r="B32" s="616"/>
      <c r="C32" s="619"/>
      <c r="D32" s="170" t="s">
        <v>533</v>
      </c>
      <c r="E32" s="170" t="s">
        <v>537</v>
      </c>
      <c r="F32" s="170">
        <v>45</v>
      </c>
      <c r="G32" s="170">
        <v>5</v>
      </c>
      <c r="H32" s="171"/>
      <c r="I32" s="171"/>
      <c r="J32" s="171"/>
      <c r="K32" s="171"/>
      <c r="L32" s="171"/>
      <c r="M32" s="171"/>
      <c r="N32" s="171"/>
      <c r="O32" s="171"/>
      <c r="P32" s="183">
        <v>4</v>
      </c>
      <c r="Q32" s="183">
        <v>64</v>
      </c>
      <c r="R32" s="183"/>
      <c r="S32" s="183"/>
      <c r="T32" s="184">
        <v>4</v>
      </c>
      <c r="U32" s="185">
        <v>64</v>
      </c>
    </row>
    <row r="33" spans="2:21">
      <c r="B33" s="616"/>
      <c r="C33" s="619"/>
      <c r="D33" s="269" t="s">
        <v>534</v>
      </c>
      <c r="E33" s="269" t="s">
        <v>535</v>
      </c>
      <c r="F33" s="269">
        <v>45</v>
      </c>
      <c r="G33" s="269">
        <v>5</v>
      </c>
      <c r="H33" s="270"/>
      <c r="I33" s="270"/>
      <c r="J33" s="270"/>
      <c r="K33" s="270"/>
      <c r="L33" s="270"/>
      <c r="M33" s="270"/>
      <c r="N33" s="270"/>
      <c r="O33" s="270"/>
      <c r="P33" s="271"/>
      <c r="Q33" s="271"/>
      <c r="R33" s="271">
        <v>4</v>
      </c>
      <c r="S33" s="271">
        <v>64</v>
      </c>
      <c r="T33" s="272">
        <v>4</v>
      </c>
      <c r="U33" s="273">
        <v>64</v>
      </c>
    </row>
    <row r="34" spans="2:21">
      <c r="B34" s="616"/>
      <c r="C34" s="619"/>
      <c r="D34" s="170" t="s">
        <v>678</v>
      </c>
      <c r="E34" s="170" t="s">
        <v>536</v>
      </c>
      <c r="F34" s="170">
        <v>45</v>
      </c>
      <c r="G34" s="170">
        <v>5</v>
      </c>
      <c r="H34" s="171"/>
      <c r="I34" s="171"/>
      <c r="J34" s="171"/>
      <c r="K34" s="171"/>
      <c r="L34" s="171"/>
      <c r="M34" s="171"/>
      <c r="N34" s="171"/>
      <c r="O34" s="171"/>
      <c r="P34" s="183"/>
      <c r="Q34" s="183"/>
      <c r="R34" s="183">
        <v>4</v>
      </c>
      <c r="S34" s="183">
        <v>64</v>
      </c>
      <c r="T34" s="184">
        <v>4</v>
      </c>
      <c r="U34" s="185">
        <v>64</v>
      </c>
    </row>
    <row r="35" spans="2:21" ht="17.25" thickBot="1">
      <c r="B35" s="617"/>
      <c r="C35" s="620"/>
      <c r="D35" s="638" t="s">
        <v>16</v>
      </c>
      <c r="E35" s="639"/>
      <c r="F35" s="143">
        <v>180</v>
      </c>
      <c r="G35" s="143">
        <v>20</v>
      </c>
      <c r="H35" s="20"/>
      <c r="I35" s="20"/>
      <c r="J35" s="20"/>
      <c r="K35" s="20"/>
      <c r="L35" s="20"/>
      <c r="M35" s="20"/>
      <c r="N35" s="20"/>
      <c r="O35" s="20"/>
      <c r="P35" s="20">
        <v>8</v>
      </c>
      <c r="Q35" s="20">
        <v>128</v>
      </c>
      <c r="R35" s="20">
        <v>8</v>
      </c>
      <c r="S35" s="20">
        <v>128</v>
      </c>
      <c r="T35" s="168">
        <v>16</v>
      </c>
      <c r="U35" s="169">
        <v>256</v>
      </c>
    </row>
  </sheetData>
  <mergeCells count="42">
    <mergeCell ref="F6:F8"/>
    <mergeCell ref="B2:U2"/>
    <mergeCell ref="N3:P3"/>
    <mergeCell ref="Q3:S3"/>
    <mergeCell ref="T3:U3"/>
    <mergeCell ref="N4:P4"/>
    <mergeCell ref="Q4:S4"/>
    <mergeCell ref="T4:U4"/>
    <mergeCell ref="B5:C5"/>
    <mergeCell ref="B6:B8"/>
    <mergeCell ref="C6:C8"/>
    <mergeCell ref="D6:D8"/>
    <mergeCell ref="E6:E8"/>
    <mergeCell ref="G6:G8"/>
    <mergeCell ref="H6:K6"/>
    <mergeCell ref="L6:O6"/>
    <mergeCell ref="P6:S6"/>
    <mergeCell ref="T6:T8"/>
    <mergeCell ref="W6:AF6"/>
    <mergeCell ref="H7:I7"/>
    <mergeCell ref="J7:K7"/>
    <mergeCell ref="L7:M7"/>
    <mergeCell ref="N7:O7"/>
    <mergeCell ref="P7:Q7"/>
    <mergeCell ref="R7:S7"/>
    <mergeCell ref="W7:AF7"/>
    <mergeCell ref="U6:U8"/>
    <mergeCell ref="B9:B13"/>
    <mergeCell ref="C9:C13"/>
    <mergeCell ref="D13:E13"/>
    <mergeCell ref="B14:B18"/>
    <mergeCell ref="C14:C18"/>
    <mergeCell ref="D18:E18"/>
    <mergeCell ref="C31:C35"/>
    <mergeCell ref="B31:B35"/>
    <mergeCell ref="B19:B25"/>
    <mergeCell ref="C19:C25"/>
    <mergeCell ref="D25:E25"/>
    <mergeCell ref="B26:B30"/>
    <mergeCell ref="C26:C30"/>
    <mergeCell ref="D30:E30"/>
    <mergeCell ref="D35:E35"/>
  </mergeCells>
  <phoneticPr fontId="9" type="noConversion"/>
  <pageMargins left="0.70866141732283472" right="0.70866141732283472" top="0.74803149606299213" bottom="0.74803149606299213" header="0.31496062992125984" footer="0.31496062992125984"/>
  <pageSetup paperSize="9" scale="62" orientation="landscape" cellComments="asDisplaye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1"/>
  <sheetViews>
    <sheetView workbookViewId="0">
      <pane ySplit="1" topLeftCell="A104" activePane="bottomLeft" state="frozen"/>
      <selection pane="bottomLeft" activeCell="I11" sqref="I11"/>
    </sheetView>
  </sheetViews>
  <sheetFormatPr defaultRowHeight="16.5"/>
  <cols>
    <col min="1" max="1" width="16.5" style="1" bestFit="1" customWidth="1"/>
    <col min="2" max="5" width="9" style="1"/>
    <col min="6" max="6" width="11.375" style="1" bestFit="1" customWidth="1"/>
    <col min="9" max="9" width="17.625" bestFit="1" customWidth="1"/>
    <col min="10" max="10" width="13.5" bestFit="1" customWidth="1"/>
    <col min="11" max="11" width="13" bestFit="1" customWidth="1"/>
  </cols>
  <sheetData>
    <row r="1" spans="1:12" ht="16.5" customHeight="1">
      <c r="A1" s="2" t="s">
        <v>19</v>
      </c>
      <c r="B1" s="2" t="s">
        <v>1</v>
      </c>
      <c r="C1" s="2" t="s">
        <v>3</v>
      </c>
      <c r="D1" s="2" t="s">
        <v>18</v>
      </c>
      <c r="E1" s="2" t="s">
        <v>122</v>
      </c>
      <c r="F1" s="2" t="s">
        <v>20</v>
      </c>
      <c r="G1" s="5"/>
      <c r="H1" s="6" t="s">
        <v>73</v>
      </c>
      <c r="I1" s="6" t="s">
        <v>65</v>
      </c>
      <c r="J1" s="6" t="s">
        <v>91</v>
      </c>
      <c r="K1" s="6" t="s">
        <v>92</v>
      </c>
      <c r="L1" s="6" t="s">
        <v>117</v>
      </c>
    </row>
    <row r="2" spans="1:12">
      <c r="A2" s="3" t="s">
        <v>197</v>
      </c>
      <c r="B2" s="3" t="s">
        <v>17</v>
      </c>
      <c r="C2" s="3" t="s">
        <v>21</v>
      </c>
      <c r="D2" s="3" t="s">
        <v>33</v>
      </c>
      <c r="E2" s="3">
        <v>4</v>
      </c>
      <c r="F2" s="7" t="s">
        <v>334</v>
      </c>
      <c r="G2" s="5"/>
      <c r="H2" s="3" t="s">
        <v>74</v>
      </c>
      <c r="I2" s="3" t="s">
        <v>66</v>
      </c>
      <c r="J2" s="3" t="s">
        <v>162</v>
      </c>
      <c r="K2" s="3" t="s">
        <v>162</v>
      </c>
      <c r="L2" s="3" t="s">
        <v>123</v>
      </c>
    </row>
    <row r="3" spans="1:12">
      <c r="A3" s="3" t="s">
        <v>198</v>
      </c>
      <c r="B3" s="3" t="s">
        <v>17</v>
      </c>
      <c r="C3" s="3" t="s">
        <v>21</v>
      </c>
      <c r="D3" s="3" t="s">
        <v>12</v>
      </c>
      <c r="E3" s="3">
        <v>4</v>
      </c>
      <c r="F3" s="7" t="s">
        <v>334</v>
      </c>
      <c r="G3" s="5"/>
      <c r="H3" s="3" t="s">
        <v>75</v>
      </c>
      <c r="I3" s="3" t="s">
        <v>67</v>
      </c>
      <c r="J3" s="3" t="s">
        <v>163</v>
      </c>
      <c r="K3" s="3" t="s">
        <v>163</v>
      </c>
      <c r="L3" s="3" t="s">
        <v>118</v>
      </c>
    </row>
    <row r="4" spans="1:12">
      <c r="A4" s="3" t="s">
        <v>200</v>
      </c>
      <c r="B4" s="3" t="s">
        <v>17</v>
      </c>
      <c r="C4" s="3" t="s">
        <v>21</v>
      </c>
      <c r="D4" s="3" t="s">
        <v>34</v>
      </c>
      <c r="E4" s="3">
        <v>4</v>
      </c>
      <c r="F4" s="7" t="s">
        <v>336</v>
      </c>
      <c r="G4" s="5"/>
      <c r="H4" s="3" t="s">
        <v>76</v>
      </c>
      <c r="I4" s="3" t="s">
        <v>152</v>
      </c>
      <c r="J4" s="3" t="s">
        <v>93</v>
      </c>
      <c r="K4" s="3" t="s">
        <v>93</v>
      </c>
      <c r="L4" s="3" t="s">
        <v>119</v>
      </c>
    </row>
    <row r="5" spans="1:12">
      <c r="A5" s="3" t="s">
        <v>201</v>
      </c>
      <c r="B5" s="3" t="s">
        <v>17</v>
      </c>
      <c r="C5" s="3" t="s">
        <v>21</v>
      </c>
      <c r="D5" s="3" t="s">
        <v>34</v>
      </c>
      <c r="E5" s="3">
        <v>4</v>
      </c>
      <c r="F5" s="7" t="s">
        <v>336</v>
      </c>
      <c r="G5" s="5"/>
      <c r="H5" s="3" t="s">
        <v>77</v>
      </c>
      <c r="I5" s="3" t="s">
        <v>153</v>
      </c>
      <c r="J5" s="3" t="s">
        <v>164</v>
      </c>
      <c r="K5" s="3" t="s">
        <v>164</v>
      </c>
      <c r="L5" s="3"/>
    </row>
    <row r="6" spans="1:12">
      <c r="A6" s="3" t="s">
        <v>4</v>
      </c>
      <c r="B6" s="3" t="s">
        <v>17</v>
      </c>
      <c r="C6" s="3" t="s">
        <v>21</v>
      </c>
      <c r="D6" s="3" t="s">
        <v>34</v>
      </c>
      <c r="E6" s="3">
        <v>4</v>
      </c>
      <c r="F6" s="7" t="s">
        <v>336</v>
      </c>
      <c r="G6" s="5"/>
      <c r="H6" s="3" t="s">
        <v>78</v>
      </c>
      <c r="I6" s="3" t="s">
        <v>154</v>
      </c>
      <c r="J6" s="3" t="s">
        <v>165</v>
      </c>
      <c r="K6" s="3" t="s">
        <v>165</v>
      </c>
      <c r="L6" s="8"/>
    </row>
    <row r="7" spans="1:12">
      <c r="A7" s="3" t="s">
        <v>202</v>
      </c>
      <c r="B7" s="3" t="s">
        <v>17</v>
      </c>
      <c r="C7" s="3" t="s">
        <v>21</v>
      </c>
      <c r="D7" s="3" t="s">
        <v>35</v>
      </c>
      <c r="E7" s="3">
        <v>4</v>
      </c>
      <c r="F7" s="7" t="s">
        <v>336</v>
      </c>
      <c r="G7" s="5"/>
      <c r="H7" s="3" t="s">
        <v>79</v>
      </c>
      <c r="I7" s="3" t="s">
        <v>160</v>
      </c>
      <c r="J7" s="3" t="s">
        <v>94</v>
      </c>
      <c r="K7" s="3" t="s">
        <v>94</v>
      </c>
      <c r="L7" s="5"/>
    </row>
    <row r="8" spans="1:12">
      <c r="A8" s="3" t="s">
        <v>203</v>
      </c>
      <c r="B8" s="3" t="s">
        <v>17</v>
      </c>
      <c r="C8" s="3" t="s">
        <v>21</v>
      </c>
      <c r="D8" s="3" t="s">
        <v>35</v>
      </c>
      <c r="E8" s="3">
        <v>4</v>
      </c>
      <c r="F8" s="7" t="s">
        <v>336</v>
      </c>
      <c r="G8" s="5"/>
      <c r="H8" s="3" t="s">
        <v>80</v>
      </c>
      <c r="I8" s="3" t="s">
        <v>155</v>
      </c>
      <c r="J8" s="3" t="s">
        <v>166</v>
      </c>
      <c r="K8" s="3" t="s">
        <v>166</v>
      </c>
      <c r="L8" s="5"/>
    </row>
    <row r="9" spans="1:12">
      <c r="A9" s="3" t="s">
        <v>204</v>
      </c>
      <c r="B9" s="3" t="s">
        <v>17</v>
      </c>
      <c r="C9" s="3" t="s">
        <v>21</v>
      </c>
      <c r="D9" s="3" t="s">
        <v>35</v>
      </c>
      <c r="E9" s="3">
        <v>4</v>
      </c>
      <c r="F9" s="7" t="s">
        <v>336</v>
      </c>
      <c r="G9" s="5"/>
      <c r="H9" s="3" t="s">
        <v>81</v>
      </c>
      <c r="I9" s="3" t="s">
        <v>68</v>
      </c>
      <c r="J9" s="3" t="s">
        <v>167</v>
      </c>
      <c r="K9" s="3" t="s">
        <v>167</v>
      </c>
      <c r="L9" s="5"/>
    </row>
    <row r="10" spans="1:12">
      <c r="A10" s="3" t="s">
        <v>205</v>
      </c>
      <c r="B10" s="3" t="s">
        <v>17</v>
      </c>
      <c r="C10" s="3" t="s">
        <v>21</v>
      </c>
      <c r="D10" s="3" t="s">
        <v>208</v>
      </c>
      <c r="E10" s="3">
        <v>4</v>
      </c>
      <c r="F10" s="7" t="s">
        <v>336</v>
      </c>
      <c r="G10" s="5"/>
      <c r="H10" s="3" t="s">
        <v>82</v>
      </c>
      <c r="I10" s="3" t="s">
        <v>69</v>
      </c>
      <c r="J10" s="3" t="s">
        <v>112</v>
      </c>
      <c r="K10" s="3" t="s">
        <v>112</v>
      </c>
      <c r="L10" s="5"/>
    </row>
    <row r="11" spans="1:12">
      <c r="A11" s="3" t="s">
        <v>206</v>
      </c>
      <c r="B11" s="3" t="s">
        <v>17</v>
      </c>
      <c r="C11" s="3" t="s">
        <v>21</v>
      </c>
      <c r="D11" s="3" t="s">
        <v>208</v>
      </c>
      <c r="E11" s="3">
        <v>4</v>
      </c>
      <c r="F11" s="7" t="s">
        <v>336</v>
      </c>
      <c r="G11" s="5"/>
      <c r="H11" s="3" t="s">
        <v>83</v>
      </c>
      <c r="I11" s="3" t="s">
        <v>70</v>
      </c>
      <c r="J11" s="3" t="s">
        <v>95</v>
      </c>
      <c r="K11" s="3" t="s">
        <v>95</v>
      </c>
      <c r="L11" s="5"/>
    </row>
    <row r="12" spans="1:12">
      <c r="A12" s="3" t="s">
        <v>207</v>
      </c>
      <c r="B12" s="3" t="s">
        <v>17</v>
      </c>
      <c r="C12" s="3" t="s">
        <v>21</v>
      </c>
      <c r="D12" s="3" t="s">
        <v>208</v>
      </c>
      <c r="E12" s="3">
        <v>4</v>
      </c>
      <c r="F12" s="7" t="s">
        <v>336</v>
      </c>
      <c r="G12" s="5"/>
      <c r="H12" s="3" t="s">
        <v>84</v>
      </c>
      <c r="I12" s="3" t="s">
        <v>156</v>
      </c>
      <c r="J12" s="3" t="s">
        <v>96</v>
      </c>
      <c r="K12" s="3" t="s">
        <v>96</v>
      </c>
      <c r="L12" s="5"/>
    </row>
    <row r="13" spans="1:12">
      <c r="A13" s="3" t="s">
        <v>209</v>
      </c>
      <c r="B13" s="3" t="s">
        <v>17</v>
      </c>
      <c r="C13" s="3" t="s">
        <v>22</v>
      </c>
      <c r="D13" s="3" t="s">
        <v>33</v>
      </c>
      <c r="E13" s="3">
        <v>4</v>
      </c>
      <c r="F13" s="7" t="s">
        <v>334</v>
      </c>
      <c r="G13" s="5"/>
      <c r="H13" s="3" t="s">
        <v>85</v>
      </c>
      <c r="I13" s="3" t="s">
        <v>71</v>
      </c>
      <c r="J13" s="3" t="s">
        <v>168</v>
      </c>
      <c r="K13" s="3" t="s">
        <v>168</v>
      </c>
      <c r="L13" s="5"/>
    </row>
    <row r="14" spans="1:12">
      <c r="A14" s="3" t="s">
        <v>211</v>
      </c>
      <c r="B14" s="3" t="s">
        <v>17</v>
      </c>
      <c r="C14" s="3" t="s">
        <v>22</v>
      </c>
      <c r="D14" s="3" t="s">
        <v>12</v>
      </c>
      <c r="E14" s="3">
        <v>4</v>
      </c>
      <c r="F14" s="7" t="s">
        <v>334</v>
      </c>
      <c r="G14" s="5"/>
      <c r="H14" s="3" t="s">
        <v>86</v>
      </c>
      <c r="I14" s="3" t="s">
        <v>72</v>
      </c>
      <c r="J14" s="3" t="s">
        <v>97</v>
      </c>
      <c r="K14" s="3" t="s">
        <v>97</v>
      </c>
      <c r="L14" s="5"/>
    </row>
    <row r="15" spans="1:12">
      <c r="A15" s="3" t="s">
        <v>212</v>
      </c>
      <c r="B15" s="3" t="s">
        <v>17</v>
      </c>
      <c r="C15" s="3" t="s">
        <v>22</v>
      </c>
      <c r="D15" s="3" t="s">
        <v>34</v>
      </c>
      <c r="E15" s="3">
        <v>4</v>
      </c>
      <c r="F15" s="7" t="s">
        <v>336</v>
      </c>
      <c r="G15" s="5"/>
      <c r="H15" s="3" t="s">
        <v>87</v>
      </c>
      <c r="I15" s="3" t="s">
        <v>157</v>
      </c>
      <c r="J15" s="3" t="s">
        <v>169</v>
      </c>
      <c r="K15" s="3" t="s">
        <v>169</v>
      </c>
      <c r="L15" s="5"/>
    </row>
    <row r="16" spans="1:12">
      <c r="A16" s="3" t="s">
        <v>213</v>
      </c>
      <c r="B16" s="3" t="s">
        <v>17</v>
      </c>
      <c r="C16" s="3" t="s">
        <v>22</v>
      </c>
      <c r="D16" s="3" t="s">
        <v>34</v>
      </c>
      <c r="E16" s="3">
        <v>4</v>
      </c>
      <c r="F16" s="7" t="s">
        <v>336</v>
      </c>
      <c r="G16" s="5"/>
      <c r="H16" s="3" t="s">
        <v>88</v>
      </c>
      <c r="I16" s="3" t="s">
        <v>158</v>
      </c>
      <c r="J16" s="3" t="s">
        <v>170</v>
      </c>
      <c r="K16" s="3" t="s">
        <v>170</v>
      </c>
      <c r="L16" s="5"/>
    </row>
    <row r="17" spans="1:12">
      <c r="A17" s="3" t="s">
        <v>36</v>
      </c>
      <c r="B17" s="3" t="s">
        <v>17</v>
      </c>
      <c r="C17" s="3" t="s">
        <v>22</v>
      </c>
      <c r="D17" s="3" t="s">
        <v>34</v>
      </c>
      <c r="E17" s="3">
        <v>4</v>
      </c>
      <c r="F17" s="7" t="s">
        <v>336</v>
      </c>
      <c r="G17" s="5"/>
      <c r="H17" s="3" t="s">
        <v>89</v>
      </c>
      <c r="I17" s="3" t="s">
        <v>159</v>
      </c>
      <c r="J17" s="3" t="s">
        <v>171</v>
      </c>
      <c r="K17" s="3" t="s">
        <v>171</v>
      </c>
      <c r="L17" s="5"/>
    </row>
    <row r="18" spans="1:12">
      <c r="A18" s="3" t="s">
        <v>214</v>
      </c>
      <c r="B18" s="3" t="s">
        <v>17</v>
      </c>
      <c r="C18" s="3" t="s">
        <v>22</v>
      </c>
      <c r="D18" s="3" t="s">
        <v>35</v>
      </c>
      <c r="E18" s="3">
        <v>4</v>
      </c>
      <c r="F18" s="7" t="s">
        <v>336</v>
      </c>
      <c r="G18" s="5"/>
      <c r="H18" s="3" t="s">
        <v>90</v>
      </c>
      <c r="I18" s="3" t="s">
        <v>161</v>
      </c>
      <c r="J18" s="3" t="s">
        <v>172</v>
      </c>
      <c r="K18" s="3" t="s">
        <v>172</v>
      </c>
      <c r="L18" s="5"/>
    </row>
    <row r="19" spans="1:12">
      <c r="A19" s="3" t="s">
        <v>37</v>
      </c>
      <c r="B19" s="3" t="s">
        <v>17</v>
      </c>
      <c r="C19" s="3" t="s">
        <v>22</v>
      </c>
      <c r="D19" s="3" t="s">
        <v>35</v>
      </c>
      <c r="E19" s="3">
        <v>4</v>
      </c>
      <c r="F19" s="7" t="s">
        <v>336</v>
      </c>
      <c r="G19" s="5"/>
      <c r="J19" s="3" t="s">
        <v>111</v>
      </c>
      <c r="K19" s="3" t="s">
        <v>111</v>
      </c>
      <c r="L19" s="5"/>
    </row>
    <row r="20" spans="1:12">
      <c r="A20" s="3" t="s">
        <v>121</v>
      </c>
      <c r="B20" s="3" t="s">
        <v>17</v>
      </c>
      <c r="C20" s="3" t="s">
        <v>22</v>
      </c>
      <c r="D20" s="3" t="s">
        <v>35</v>
      </c>
      <c r="E20" s="3">
        <v>4</v>
      </c>
      <c r="F20" s="7" t="s">
        <v>336</v>
      </c>
      <c r="G20" s="5"/>
      <c r="J20" s="3" t="s">
        <v>173</v>
      </c>
      <c r="K20" s="3" t="s">
        <v>173</v>
      </c>
      <c r="L20" s="5"/>
    </row>
    <row r="21" spans="1:12">
      <c r="A21" s="3" t="s">
        <v>215</v>
      </c>
      <c r="B21" s="3" t="s">
        <v>17</v>
      </c>
      <c r="C21" s="3" t="s">
        <v>22</v>
      </c>
      <c r="D21" s="3" t="s">
        <v>35</v>
      </c>
      <c r="E21" s="3">
        <v>4</v>
      </c>
      <c r="F21" s="7" t="s">
        <v>336</v>
      </c>
      <c r="G21" s="5"/>
      <c r="J21" s="3" t="s">
        <v>98</v>
      </c>
      <c r="K21" s="3" t="s">
        <v>98</v>
      </c>
      <c r="L21" s="5"/>
    </row>
    <row r="22" spans="1:12">
      <c r="A22" s="3" t="s">
        <v>217</v>
      </c>
      <c r="B22" s="3" t="s">
        <v>17</v>
      </c>
      <c r="C22" s="3" t="s">
        <v>5</v>
      </c>
      <c r="D22" s="3" t="s">
        <v>218</v>
      </c>
      <c r="E22" s="3">
        <v>4</v>
      </c>
      <c r="F22" s="7" t="s">
        <v>336</v>
      </c>
      <c r="G22" s="5"/>
      <c r="H22" s="3"/>
      <c r="I22" s="3"/>
      <c r="J22" s="3" t="s">
        <v>174</v>
      </c>
      <c r="K22" s="3" t="s">
        <v>174</v>
      </c>
      <c r="L22" s="5"/>
    </row>
    <row r="23" spans="1:12">
      <c r="A23" s="3" t="s">
        <v>219</v>
      </c>
      <c r="B23" s="3" t="s">
        <v>17</v>
      </c>
      <c r="C23" s="3" t="s">
        <v>5</v>
      </c>
      <c r="D23" s="3" t="s">
        <v>208</v>
      </c>
      <c r="E23" s="3">
        <v>4</v>
      </c>
      <c r="F23" s="7" t="s">
        <v>336</v>
      </c>
      <c r="G23" s="5"/>
      <c r="H23" s="3"/>
      <c r="I23" s="3"/>
      <c r="J23" s="3" t="s">
        <v>175</v>
      </c>
      <c r="K23" s="3" t="s">
        <v>175</v>
      </c>
      <c r="L23" s="5"/>
    </row>
    <row r="24" spans="1:12">
      <c r="A24" s="3" t="s">
        <v>220</v>
      </c>
      <c r="B24" s="3" t="s">
        <v>17</v>
      </c>
      <c r="C24" s="3" t="s">
        <v>5</v>
      </c>
      <c r="D24" s="3" t="s">
        <v>208</v>
      </c>
      <c r="E24" s="3">
        <v>4</v>
      </c>
      <c r="F24" s="7" t="s">
        <v>336</v>
      </c>
      <c r="G24" s="5"/>
      <c r="H24" s="3"/>
      <c r="I24" s="3"/>
      <c r="J24" s="3" t="s">
        <v>176</v>
      </c>
      <c r="K24" s="3" t="s">
        <v>176</v>
      </c>
      <c r="L24" s="5"/>
    </row>
    <row r="25" spans="1:12">
      <c r="A25" s="3" t="s">
        <v>221</v>
      </c>
      <c r="B25" s="3" t="s">
        <v>17</v>
      </c>
      <c r="C25" s="3" t="s">
        <v>5</v>
      </c>
      <c r="D25" s="3" t="s">
        <v>208</v>
      </c>
      <c r="E25" s="3">
        <v>4</v>
      </c>
      <c r="F25" s="7" t="s">
        <v>336</v>
      </c>
      <c r="G25" s="5"/>
      <c r="H25" s="3"/>
      <c r="I25" s="3"/>
      <c r="J25" s="3" t="s">
        <v>177</v>
      </c>
      <c r="K25" s="3" t="s">
        <v>177</v>
      </c>
      <c r="L25" s="5"/>
    </row>
    <row r="26" spans="1:12">
      <c r="A26" s="3" t="s">
        <v>216</v>
      </c>
      <c r="B26" s="3" t="s">
        <v>17</v>
      </c>
      <c r="C26" s="3" t="s">
        <v>23</v>
      </c>
      <c r="D26" s="3" t="s">
        <v>33</v>
      </c>
      <c r="E26" s="3">
        <v>4</v>
      </c>
      <c r="F26" s="7" t="s">
        <v>334</v>
      </c>
      <c r="G26" s="5"/>
      <c r="H26" s="5"/>
      <c r="I26" s="3"/>
      <c r="J26" s="3" t="s">
        <v>99</v>
      </c>
      <c r="K26" s="3" t="s">
        <v>99</v>
      </c>
      <c r="L26" s="5"/>
    </row>
    <row r="27" spans="1:12">
      <c r="A27" s="3" t="s">
        <v>222</v>
      </c>
      <c r="B27" s="3" t="s">
        <v>17</v>
      </c>
      <c r="C27" s="3" t="s">
        <v>23</v>
      </c>
      <c r="D27" s="3" t="s">
        <v>34</v>
      </c>
      <c r="E27" s="3">
        <v>4</v>
      </c>
      <c r="F27" s="7" t="s">
        <v>336</v>
      </c>
      <c r="G27" s="5"/>
      <c r="H27" s="5"/>
      <c r="I27" s="5"/>
      <c r="J27" s="3" t="s">
        <v>178</v>
      </c>
      <c r="K27" s="3" t="s">
        <v>178</v>
      </c>
      <c r="L27" s="5"/>
    </row>
    <row r="28" spans="1:12">
      <c r="A28" s="3" t="s">
        <v>38</v>
      </c>
      <c r="B28" s="3" t="s">
        <v>17</v>
      </c>
      <c r="C28" s="3" t="s">
        <v>23</v>
      </c>
      <c r="D28" s="3" t="s">
        <v>34</v>
      </c>
      <c r="E28" s="3">
        <v>4</v>
      </c>
      <c r="F28" s="7" t="s">
        <v>336</v>
      </c>
      <c r="G28" s="5"/>
      <c r="H28" s="5"/>
      <c r="I28" s="5"/>
      <c r="J28" s="3" t="s">
        <v>100</v>
      </c>
      <c r="K28" s="3" t="s">
        <v>100</v>
      </c>
      <c r="L28" s="5"/>
    </row>
    <row r="29" spans="1:12">
      <c r="A29" s="3" t="s">
        <v>39</v>
      </c>
      <c r="B29" s="3" t="s">
        <v>17</v>
      </c>
      <c r="C29" s="3" t="s">
        <v>23</v>
      </c>
      <c r="D29" s="3" t="s">
        <v>34</v>
      </c>
      <c r="E29" s="3">
        <v>4</v>
      </c>
      <c r="F29" s="7" t="s">
        <v>336</v>
      </c>
      <c r="G29" s="5"/>
      <c r="H29" s="5"/>
      <c r="I29" s="5"/>
      <c r="J29" s="3" t="s">
        <v>101</v>
      </c>
      <c r="K29" s="3" t="s">
        <v>101</v>
      </c>
      <c r="L29" s="5"/>
    </row>
    <row r="30" spans="1:12">
      <c r="A30" s="3" t="s">
        <v>40</v>
      </c>
      <c r="B30" s="3" t="s">
        <v>17</v>
      </c>
      <c r="C30" s="3" t="s">
        <v>23</v>
      </c>
      <c r="D30" s="3" t="s">
        <v>34</v>
      </c>
      <c r="E30" s="3">
        <v>4</v>
      </c>
      <c r="F30" s="7" t="s">
        <v>336</v>
      </c>
      <c r="G30" s="5"/>
      <c r="H30" s="5"/>
      <c r="I30" s="5"/>
      <c r="J30" s="3" t="s">
        <v>102</v>
      </c>
      <c r="K30" s="3" t="s">
        <v>102</v>
      </c>
      <c r="L30" s="5"/>
    </row>
    <row r="31" spans="1:12">
      <c r="A31" s="3" t="s">
        <v>41</v>
      </c>
      <c r="B31" s="3" t="s">
        <v>17</v>
      </c>
      <c r="C31" s="3" t="s">
        <v>23</v>
      </c>
      <c r="D31" s="3" t="s">
        <v>35</v>
      </c>
      <c r="E31" s="3">
        <v>4</v>
      </c>
      <c r="F31" s="7" t="s">
        <v>336</v>
      </c>
      <c r="G31" s="5"/>
      <c r="H31" s="5"/>
      <c r="I31" s="5"/>
      <c r="J31" s="3" t="s">
        <v>103</v>
      </c>
      <c r="K31" s="3" t="s">
        <v>103</v>
      </c>
      <c r="L31" s="5"/>
    </row>
    <row r="32" spans="1:12">
      <c r="A32" s="3" t="s">
        <v>223</v>
      </c>
      <c r="B32" s="3" t="s">
        <v>17</v>
      </c>
      <c r="C32" s="3" t="s">
        <v>23</v>
      </c>
      <c r="D32" s="3" t="s">
        <v>35</v>
      </c>
      <c r="E32" s="3">
        <v>4</v>
      </c>
      <c r="F32" s="7" t="s">
        <v>336</v>
      </c>
      <c r="G32" s="5"/>
      <c r="H32" s="5"/>
      <c r="I32" s="5"/>
      <c r="J32" s="3" t="s">
        <v>104</v>
      </c>
      <c r="K32" s="3" t="s">
        <v>104</v>
      </c>
      <c r="L32" s="5"/>
    </row>
    <row r="33" spans="1:12">
      <c r="A33" s="3" t="s">
        <v>224</v>
      </c>
      <c r="B33" s="3" t="s">
        <v>17</v>
      </c>
      <c r="C33" s="3" t="s">
        <v>23</v>
      </c>
      <c r="D33" s="3" t="s">
        <v>35</v>
      </c>
      <c r="E33" s="3">
        <v>4</v>
      </c>
      <c r="F33" s="7" t="s">
        <v>336</v>
      </c>
      <c r="G33" s="5"/>
      <c r="H33" s="5"/>
      <c r="I33" s="5"/>
      <c r="J33" s="3" t="s">
        <v>105</v>
      </c>
      <c r="K33" s="3" t="s">
        <v>105</v>
      </c>
      <c r="L33" s="5"/>
    </row>
    <row r="34" spans="1:12">
      <c r="A34" s="3" t="s">
        <v>225</v>
      </c>
      <c r="B34" s="3" t="s">
        <v>17</v>
      </c>
      <c r="C34" s="3" t="s">
        <v>23</v>
      </c>
      <c r="D34" s="3" t="s">
        <v>35</v>
      </c>
      <c r="E34" s="3">
        <v>4</v>
      </c>
      <c r="F34" s="7" t="s">
        <v>336</v>
      </c>
      <c r="G34" s="5"/>
      <c r="H34" s="5"/>
      <c r="I34" s="5"/>
      <c r="J34" s="3" t="s">
        <v>179</v>
      </c>
      <c r="K34" s="3" t="s">
        <v>179</v>
      </c>
      <c r="L34" s="5"/>
    </row>
    <row r="35" spans="1:12">
      <c r="A35" s="3" t="s">
        <v>226</v>
      </c>
      <c r="B35" s="3" t="s">
        <v>17</v>
      </c>
      <c r="C35" s="3" t="s">
        <v>6</v>
      </c>
      <c r="D35" s="3" t="s">
        <v>218</v>
      </c>
      <c r="E35" s="3">
        <v>4</v>
      </c>
      <c r="F35" s="7" t="s">
        <v>336</v>
      </c>
      <c r="G35" s="5"/>
      <c r="H35" s="5"/>
      <c r="I35" s="5"/>
      <c r="J35" s="3" t="s">
        <v>180</v>
      </c>
      <c r="K35" s="3" t="s">
        <v>180</v>
      </c>
      <c r="L35" s="5"/>
    </row>
    <row r="36" spans="1:12">
      <c r="A36" s="3" t="s">
        <v>227</v>
      </c>
      <c r="B36" s="3" t="s">
        <v>17</v>
      </c>
      <c r="C36" s="3" t="s">
        <v>6</v>
      </c>
      <c r="D36" s="3" t="s">
        <v>208</v>
      </c>
      <c r="E36" s="3">
        <v>4</v>
      </c>
      <c r="F36" s="7" t="s">
        <v>336</v>
      </c>
      <c r="G36" s="5"/>
      <c r="H36" s="5"/>
      <c r="I36" s="5"/>
      <c r="J36" s="3" t="s">
        <v>106</v>
      </c>
      <c r="K36" s="3" t="s">
        <v>106</v>
      </c>
      <c r="L36" s="5"/>
    </row>
    <row r="37" spans="1:12">
      <c r="A37" s="3" t="s">
        <v>228</v>
      </c>
      <c r="B37" s="3" t="s">
        <v>17</v>
      </c>
      <c r="C37" s="3" t="s">
        <v>6</v>
      </c>
      <c r="D37" s="3" t="s">
        <v>208</v>
      </c>
      <c r="E37" s="3">
        <v>4</v>
      </c>
      <c r="F37" s="7" t="s">
        <v>336</v>
      </c>
      <c r="G37" s="5"/>
      <c r="H37" s="5"/>
      <c r="I37" s="5"/>
      <c r="J37" s="3" t="s">
        <v>107</v>
      </c>
      <c r="K37" s="3" t="s">
        <v>107</v>
      </c>
      <c r="L37" s="5"/>
    </row>
    <row r="38" spans="1:12">
      <c r="A38" s="3" t="s">
        <v>229</v>
      </c>
      <c r="B38" s="3" t="s">
        <v>17</v>
      </c>
      <c r="C38" s="3" t="s">
        <v>6</v>
      </c>
      <c r="D38" s="3" t="s">
        <v>208</v>
      </c>
      <c r="E38" s="3">
        <v>4</v>
      </c>
      <c r="F38" s="7" t="s">
        <v>336</v>
      </c>
      <c r="G38" s="5"/>
      <c r="H38" s="5"/>
      <c r="I38" s="5"/>
      <c r="J38" s="3" t="s">
        <v>108</v>
      </c>
      <c r="K38" s="3" t="s">
        <v>108</v>
      </c>
      <c r="L38" s="5"/>
    </row>
    <row r="39" spans="1:12">
      <c r="A39" s="3" t="s">
        <v>230</v>
      </c>
      <c r="B39" s="3" t="s">
        <v>17</v>
      </c>
      <c r="C39" s="3" t="s">
        <v>24</v>
      </c>
      <c r="D39" s="3" t="s">
        <v>33</v>
      </c>
      <c r="E39" s="3">
        <v>3</v>
      </c>
      <c r="F39" s="7" t="s">
        <v>354</v>
      </c>
      <c r="G39" s="5"/>
      <c r="H39" s="5"/>
      <c r="I39" s="5"/>
      <c r="J39" s="3" t="s">
        <v>109</v>
      </c>
      <c r="K39" s="3" t="s">
        <v>109</v>
      </c>
      <c r="L39" s="5"/>
    </row>
    <row r="40" spans="1:12">
      <c r="A40" s="3" t="s">
        <v>231</v>
      </c>
      <c r="B40" s="3" t="s">
        <v>17</v>
      </c>
      <c r="C40" s="3" t="s">
        <v>7</v>
      </c>
      <c r="D40" s="3" t="s">
        <v>232</v>
      </c>
      <c r="E40" s="3">
        <v>3</v>
      </c>
      <c r="F40" s="7" t="s">
        <v>354</v>
      </c>
      <c r="G40" s="5"/>
      <c r="H40" s="5"/>
      <c r="I40" s="5"/>
      <c r="J40" s="3" t="s">
        <v>181</v>
      </c>
      <c r="K40" s="3" t="s">
        <v>181</v>
      </c>
      <c r="L40" s="5"/>
    </row>
    <row r="41" spans="1:12" ht="17.25" customHeight="1">
      <c r="A41" s="3" t="s">
        <v>233</v>
      </c>
      <c r="B41" s="3" t="s">
        <v>17</v>
      </c>
      <c r="C41" s="3" t="s">
        <v>25</v>
      </c>
      <c r="D41" s="3" t="s">
        <v>33</v>
      </c>
      <c r="E41" s="3">
        <v>4</v>
      </c>
      <c r="F41" s="7" t="s">
        <v>334</v>
      </c>
      <c r="G41" s="5"/>
      <c r="H41" s="5"/>
      <c r="I41" s="5"/>
      <c r="J41" s="3" t="s">
        <v>110</v>
      </c>
      <c r="K41" s="3" t="s">
        <v>110</v>
      </c>
      <c r="L41" s="5"/>
    </row>
    <row r="42" spans="1:12" ht="17.25" customHeight="1">
      <c r="A42" s="3" t="s">
        <v>234</v>
      </c>
      <c r="B42" s="3" t="s">
        <v>17</v>
      </c>
      <c r="C42" s="3" t="s">
        <v>25</v>
      </c>
      <c r="D42" s="3" t="s">
        <v>12</v>
      </c>
      <c r="E42" s="3">
        <v>4</v>
      </c>
      <c r="F42" s="7" t="s">
        <v>334</v>
      </c>
      <c r="G42" s="5"/>
      <c r="H42" s="5"/>
      <c r="I42" s="5"/>
      <c r="J42" s="3" t="s">
        <v>182</v>
      </c>
      <c r="K42" s="3" t="s">
        <v>182</v>
      </c>
      <c r="L42" s="5"/>
    </row>
    <row r="43" spans="1:12" ht="17.25" customHeight="1">
      <c r="A43" s="3" t="s">
        <v>246</v>
      </c>
      <c r="B43" s="3" t="s">
        <v>17</v>
      </c>
      <c r="C43" s="3" t="s">
        <v>25</v>
      </c>
      <c r="D43" s="3" t="s">
        <v>250</v>
      </c>
      <c r="E43" s="3">
        <v>4</v>
      </c>
      <c r="F43" s="7" t="s">
        <v>336</v>
      </c>
      <c r="G43" s="5"/>
      <c r="H43" s="5"/>
      <c r="I43" s="5"/>
      <c r="J43" s="3" t="s">
        <v>183</v>
      </c>
      <c r="K43" s="3" t="s">
        <v>183</v>
      </c>
      <c r="L43" s="5"/>
    </row>
    <row r="44" spans="1:12" ht="17.25" customHeight="1">
      <c r="A44" s="3" t="s">
        <v>247</v>
      </c>
      <c r="B44" s="3" t="s">
        <v>17</v>
      </c>
      <c r="C44" s="3" t="s">
        <v>25</v>
      </c>
      <c r="D44" s="3" t="s">
        <v>250</v>
      </c>
      <c r="E44" s="3">
        <v>4</v>
      </c>
      <c r="F44" s="7" t="s">
        <v>336</v>
      </c>
      <c r="G44" s="5"/>
      <c r="H44" s="5"/>
      <c r="I44" s="5"/>
      <c r="J44" s="3" t="s">
        <v>113</v>
      </c>
      <c r="K44" s="3" t="s">
        <v>113</v>
      </c>
      <c r="L44" s="5"/>
    </row>
    <row r="45" spans="1:12" ht="17.25" customHeight="1">
      <c r="A45" s="3" t="s">
        <v>248</v>
      </c>
      <c r="B45" s="3" t="s">
        <v>17</v>
      </c>
      <c r="C45" s="3" t="s">
        <v>25</v>
      </c>
      <c r="D45" s="3" t="s">
        <v>250</v>
      </c>
      <c r="E45" s="3">
        <v>4</v>
      </c>
      <c r="F45" s="7" t="s">
        <v>336</v>
      </c>
      <c r="G45" s="5"/>
      <c r="H45" s="5"/>
      <c r="I45" s="5"/>
      <c r="J45" s="3" t="s">
        <v>184</v>
      </c>
      <c r="K45" s="3" t="s">
        <v>184</v>
      </c>
      <c r="L45" s="5"/>
    </row>
    <row r="46" spans="1:12" ht="17.25" customHeight="1">
      <c r="A46" s="3" t="s">
        <v>249</v>
      </c>
      <c r="B46" s="3" t="s">
        <v>17</v>
      </c>
      <c r="C46" s="3" t="s">
        <v>25</v>
      </c>
      <c r="D46" s="3" t="s">
        <v>34</v>
      </c>
      <c r="E46" s="3">
        <v>4</v>
      </c>
      <c r="F46" s="7" t="s">
        <v>336</v>
      </c>
      <c r="G46" s="5"/>
      <c r="H46" s="5"/>
      <c r="I46" s="5"/>
      <c r="J46" s="3" t="s">
        <v>114</v>
      </c>
      <c r="K46" s="3" t="s">
        <v>114</v>
      </c>
      <c r="L46" s="5"/>
    </row>
    <row r="47" spans="1:12">
      <c r="A47" s="3" t="s">
        <v>235</v>
      </c>
      <c r="B47" s="3" t="s">
        <v>17</v>
      </c>
      <c r="C47" s="3" t="s">
        <v>25</v>
      </c>
      <c r="D47" s="3" t="s">
        <v>35</v>
      </c>
      <c r="E47" s="3">
        <v>4</v>
      </c>
      <c r="F47" s="7" t="s">
        <v>336</v>
      </c>
      <c r="G47" s="5"/>
      <c r="H47" s="5"/>
      <c r="I47" s="5"/>
      <c r="J47" s="3" t="s">
        <v>115</v>
      </c>
      <c r="K47" s="3" t="s">
        <v>115</v>
      </c>
      <c r="L47" s="5"/>
    </row>
    <row r="48" spans="1:12">
      <c r="A48" s="3" t="s">
        <v>236</v>
      </c>
      <c r="B48" s="3" t="s">
        <v>17</v>
      </c>
      <c r="C48" s="3" t="s">
        <v>25</v>
      </c>
      <c r="D48" s="3" t="s">
        <v>35</v>
      </c>
      <c r="E48" s="3">
        <v>4</v>
      </c>
      <c r="F48" s="7" t="s">
        <v>336</v>
      </c>
      <c r="G48" s="5"/>
      <c r="H48" s="5"/>
      <c r="I48" s="5"/>
      <c r="J48" s="3" t="s">
        <v>116</v>
      </c>
      <c r="K48" s="3" t="s">
        <v>116</v>
      </c>
      <c r="L48" s="5"/>
    </row>
    <row r="49" spans="1:12">
      <c r="A49" s="3" t="s">
        <v>237</v>
      </c>
      <c r="B49" s="3" t="s">
        <v>17</v>
      </c>
      <c r="C49" s="3" t="s">
        <v>25</v>
      </c>
      <c r="D49" s="3" t="s">
        <v>35</v>
      </c>
      <c r="E49" s="3">
        <v>4</v>
      </c>
      <c r="F49" s="7" t="s">
        <v>336</v>
      </c>
      <c r="G49" s="5"/>
      <c r="H49" s="5"/>
      <c r="I49" s="5"/>
      <c r="J49" s="5" t="s">
        <v>185</v>
      </c>
      <c r="K49" s="5" t="s">
        <v>185</v>
      </c>
      <c r="L49" s="5"/>
    </row>
    <row r="50" spans="1:12">
      <c r="A50" s="3" t="s">
        <v>238</v>
      </c>
      <c r="B50" s="3" t="s">
        <v>17</v>
      </c>
      <c r="C50" s="3" t="s">
        <v>25</v>
      </c>
      <c r="D50" s="3" t="s">
        <v>35</v>
      </c>
      <c r="E50" s="3">
        <v>4</v>
      </c>
      <c r="F50" s="7" t="s">
        <v>336</v>
      </c>
      <c r="G50" s="5"/>
      <c r="H50" s="5"/>
      <c r="I50" s="5"/>
      <c r="J50" s="5" t="s">
        <v>186</v>
      </c>
      <c r="K50" s="5" t="s">
        <v>186</v>
      </c>
      <c r="L50" s="5"/>
    </row>
    <row r="51" spans="1:12">
      <c r="A51" s="3" t="s">
        <v>42</v>
      </c>
      <c r="B51" s="3" t="s">
        <v>17</v>
      </c>
      <c r="C51" s="3" t="s">
        <v>25</v>
      </c>
      <c r="D51" s="3" t="s">
        <v>35</v>
      </c>
      <c r="E51" s="3">
        <v>4</v>
      </c>
      <c r="F51" s="7" t="s">
        <v>336</v>
      </c>
      <c r="G51" s="5"/>
      <c r="H51" s="5"/>
      <c r="I51" s="5"/>
      <c r="J51" s="5" t="s">
        <v>187</v>
      </c>
      <c r="K51" s="5" t="s">
        <v>187</v>
      </c>
      <c r="L51" s="5"/>
    </row>
    <row r="52" spans="1:12">
      <c r="A52" s="3" t="s">
        <v>239</v>
      </c>
      <c r="B52" s="3" t="s">
        <v>17</v>
      </c>
      <c r="C52" s="3" t="s">
        <v>25</v>
      </c>
      <c r="D52" s="3" t="s">
        <v>35</v>
      </c>
      <c r="E52" s="3">
        <v>4</v>
      </c>
      <c r="F52" s="7" t="s">
        <v>336</v>
      </c>
      <c r="G52" s="5"/>
      <c r="H52" s="5"/>
      <c r="I52" s="5"/>
      <c r="J52" s="5" t="s">
        <v>188</v>
      </c>
      <c r="K52" s="5" t="s">
        <v>188</v>
      </c>
      <c r="L52" s="5"/>
    </row>
    <row r="53" spans="1:12">
      <c r="A53" s="3" t="s">
        <v>43</v>
      </c>
      <c r="B53" s="3" t="s">
        <v>17</v>
      </c>
      <c r="C53" s="3" t="s">
        <v>25</v>
      </c>
      <c r="D53" s="3" t="s">
        <v>35</v>
      </c>
      <c r="E53" s="3">
        <v>4</v>
      </c>
      <c r="F53" s="7" t="s">
        <v>336</v>
      </c>
      <c r="G53" s="5"/>
      <c r="H53" s="5"/>
      <c r="I53" s="5"/>
      <c r="J53" s="5" t="s">
        <v>189</v>
      </c>
      <c r="K53" s="5" t="s">
        <v>189</v>
      </c>
      <c r="L53" s="5"/>
    </row>
    <row r="54" spans="1:12">
      <c r="A54" s="3" t="s">
        <v>240</v>
      </c>
      <c r="B54" s="3" t="s">
        <v>17</v>
      </c>
      <c r="C54" s="3" t="s">
        <v>25</v>
      </c>
      <c r="D54" s="3" t="s">
        <v>35</v>
      </c>
      <c r="E54" s="3">
        <v>4</v>
      </c>
      <c r="F54" s="7" t="s">
        <v>336</v>
      </c>
      <c r="G54" s="5"/>
      <c r="H54" s="5"/>
      <c r="I54" s="5"/>
      <c r="J54" s="5" t="s">
        <v>190</v>
      </c>
      <c r="K54" s="5" t="s">
        <v>190</v>
      </c>
      <c r="L54" s="5"/>
    </row>
    <row r="55" spans="1:12">
      <c r="A55" s="3" t="s">
        <v>241</v>
      </c>
      <c r="B55" s="3" t="s">
        <v>17</v>
      </c>
      <c r="C55" s="3" t="s">
        <v>25</v>
      </c>
      <c r="D55" s="3" t="s">
        <v>35</v>
      </c>
      <c r="E55" s="3">
        <v>4</v>
      </c>
      <c r="F55" s="7" t="s">
        <v>336</v>
      </c>
      <c r="G55" s="5"/>
      <c r="H55" s="5"/>
      <c r="I55" s="5"/>
      <c r="J55" s="5" t="s">
        <v>192</v>
      </c>
      <c r="K55" s="5" t="s">
        <v>192</v>
      </c>
      <c r="L55" s="5"/>
    </row>
    <row r="56" spans="1:12">
      <c r="A56" s="3" t="s">
        <v>44</v>
      </c>
      <c r="B56" s="3" t="s">
        <v>17</v>
      </c>
      <c r="C56" s="3" t="s">
        <v>25</v>
      </c>
      <c r="D56" s="3" t="s">
        <v>208</v>
      </c>
      <c r="E56" s="3">
        <v>4</v>
      </c>
      <c r="F56" s="7" t="s">
        <v>336</v>
      </c>
      <c r="G56" s="5"/>
      <c r="H56" s="5"/>
      <c r="I56" s="5"/>
      <c r="J56" s="5" t="s">
        <v>191</v>
      </c>
      <c r="K56" s="5" t="s">
        <v>191</v>
      </c>
      <c r="L56" s="5"/>
    </row>
    <row r="57" spans="1:12">
      <c r="A57" s="3" t="s">
        <v>45</v>
      </c>
      <c r="B57" s="3" t="s">
        <v>17</v>
      </c>
      <c r="C57" s="3" t="s">
        <v>25</v>
      </c>
      <c r="D57" s="3" t="s">
        <v>208</v>
      </c>
      <c r="E57" s="3">
        <v>4</v>
      </c>
      <c r="F57" s="7" t="s">
        <v>336</v>
      </c>
      <c r="G57" s="5"/>
      <c r="H57" s="5"/>
      <c r="I57" s="5"/>
      <c r="J57" s="5" t="s">
        <v>193</v>
      </c>
      <c r="K57" s="5" t="s">
        <v>193</v>
      </c>
      <c r="L57" s="5"/>
    </row>
    <row r="58" spans="1:12">
      <c r="A58" s="3" t="s">
        <v>242</v>
      </c>
      <c r="B58" s="3" t="s">
        <v>17</v>
      </c>
      <c r="C58" s="3" t="s">
        <v>25</v>
      </c>
      <c r="D58" s="3" t="s">
        <v>208</v>
      </c>
      <c r="E58" s="3">
        <v>4</v>
      </c>
      <c r="F58" s="7" t="s">
        <v>336</v>
      </c>
      <c r="G58" s="5"/>
      <c r="H58" s="5"/>
      <c r="I58" s="5"/>
      <c r="J58" s="5" t="s">
        <v>194</v>
      </c>
      <c r="K58" s="5" t="s">
        <v>194</v>
      </c>
      <c r="L58" s="5"/>
    </row>
    <row r="59" spans="1:12">
      <c r="A59" s="3" t="s">
        <v>243</v>
      </c>
      <c r="B59" s="3" t="s">
        <v>17</v>
      </c>
      <c r="C59" s="3" t="s">
        <v>25</v>
      </c>
      <c r="D59" s="3" t="s">
        <v>208</v>
      </c>
      <c r="E59" s="3">
        <v>4</v>
      </c>
      <c r="F59" s="7" t="s">
        <v>336</v>
      </c>
      <c r="G59" s="5"/>
      <c r="H59" s="5"/>
      <c r="I59" s="5"/>
      <c r="J59" s="5" t="s">
        <v>195</v>
      </c>
      <c r="K59" s="5" t="s">
        <v>195</v>
      </c>
      <c r="L59" s="5"/>
    </row>
    <row r="60" spans="1:12">
      <c r="A60" s="3" t="s">
        <v>244</v>
      </c>
      <c r="B60" s="3" t="s">
        <v>17</v>
      </c>
      <c r="C60" s="3" t="s">
        <v>25</v>
      </c>
      <c r="D60" s="3" t="s">
        <v>208</v>
      </c>
      <c r="E60" s="3">
        <v>4</v>
      </c>
      <c r="F60" s="7" t="s">
        <v>336</v>
      </c>
      <c r="G60" s="5"/>
      <c r="H60" s="5"/>
      <c r="I60" s="5"/>
      <c r="J60" s="3"/>
      <c r="K60" s="3"/>
      <c r="L60" s="5"/>
    </row>
    <row r="61" spans="1:12">
      <c r="A61" s="3" t="s">
        <v>245</v>
      </c>
      <c r="B61" s="3" t="s">
        <v>17</v>
      </c>
      <c r="C61" s="3" t="s">
        <v>25</v>
      </c>
      <c r="D61" s="3" t="s">
        <v>208</v>
      </c>
      <c r="E61" s="3">
        <v>4</v>
      </c>
      <c r="F61" s="7" t="s">
        <v>336</v>
      </c>
      <c r="G61" s="5"/>
      <c r="H61" s="5"/>
      <c r="I61" s="5"/>
      <c r="J61" s="3"/>
      <c r="K61" s="3"/>
      <c r="L61" s="5"/>
    </row>
    <row r="62" spans="1:12">
      <c r="A62" s="3" t="s">
        <v>251</v>
      </c>
      <c r="B62" s="3" t="s">
        <v>17</v>
      </c>
      <c r="C62" s="3" t="s">
        <v>26</v>
      </c>
      <c r="D62" s="3" t="s">
        <v>33</v>
      </c>
      <c r="E62" s="3">
        <v>4</v>
      </c>
      <c r="F62" s="7" t="s">
        <v>334</v>
      </c>
      <c r="G62" s="5"/>
      <c r="H62" s="5"/>
      <c r="I62" s="5"/>
      <c r="L62" s="5"/>
    </row>
    <row r="63" spans="1:12">
      <c r="A63" s="3" t="s">
        <v>252</v>
      </c>
      <c r="B63" s="3" t="s">
        <v>17</v>
      </c>
      <c r="C63" s="3" t="s">
        <v>26</v>
      </c>
      <c r="D63" s="3" t="s">
        <v>232</v>
      </c>
      <c r="E63" s="3">
        <v>4</v>
      </c>
      <c r="F63" s="7" t="s">
        <v>334</v>
      </c>
      <c r="G63" s="5"/>
      <c r="H63" s="5"/>
      <c r="I63" s="5"/>
      <c r="J63" s="3"/>
      <c r="K63" s="3"/>
      <c r="L63" s="5"/>
    </row>
    <row r="64" spans="1:12">
      <c r="A64" s="3" t="s">
        <v>253</v>
      </c>
      <c r="B64" s="3" t="s">
        <v>17</v>
      </c>
      <c r="C64" s="3" t="s">
        <v>26</v>
      </c>
      <c r="D64" s="3" t="s">
        <v>33</v>
      </c>
      <c r="E64" s="3">
        <v>4</v>
      </c>
      <c r="F64" s="7" t="s">
        <v>334</v>
      </c>
      <c r="G64" s="5"/>
      <c r="H64" s="5"/>
      <c r="I64" s="5"/>
      <c r="L64" s="5"/>
    </row>
    <row r="65" spans="1:12">
      <c r="A65" s="3" t="s">
        <v>254</v>
      </c>
      <c r="B65" s="3" t="s">
        <v>17</v>
      </c>
      <c r="C65" s="3" t="s">
        <v>26</v>
      </c>
      <c r="D65" s="3" t="s">
        <v>12</v>
      </c>
      <c r="E65" s="3">
        <v>4</v>
      </c>
      <c r="F65" s="7" t="s">
        <v>334</v>
      </c>
      <c r="G65" s="5"/>
      <c r="H65" s="5"/>
      <c r="I65" s="5"/>
      <c r="J65" s="3"/>
      <c r="K65" s="3"/>
      <c r="L65" s="5"/>
    </row>
    <row r="66" spans="1:12">
      <c r="A66" s="3" t="s">
        <v>255</v>
      </c>
      <c r="B66" s="3" t="s">
        <v>17</v>
      </c>
      <c r="C66" s="3" t="s">
        <v>26</v>
      </c>
      <c r="D66" s="3" t="s">
        <v>34</v>
      </c>
      <c r="E66" s="3">
        <v>4</v>
      </c>
      <c r="F66" s="7" t="s">
        <v>336</v>
      </c>
      <c r="G66" s="5"/>
      <c r="H66" s="5"/>
      <c r="I66" s="5"/>
      <c r="J66" s="3"/>
      <c r="K66" s="3"/>
      <c r="L66" s="5"/>
    </row>
    <row r="67" spans="1:12">
      <c r="A67" s="3" t="s">
        <v>256</v>
      </c>
      <c r="B67" s="3" t="s">
        <v>17</v>
      </c>
      <c r="C67" s="3" t="s">
        <v>26</v>
      </c>
      <c r="D67" s="3" t="s">
        <v>34</v>
      </c>
      <c r="E67" s="3">
        <v>4</v>
      </c>
      <c r="F67" s="7" t="s">
        <v>336</v>
      </c>
      <c r="G67" s="5"/>
      <c r="H67" s="5"/>
      <c r="I67" s="5"/>
      <c r="J67" s="3"/>
      <c r="K67" s="3"/>
      <c r="L67" s="5"/>
    </row>
    <row r="68" spans="1:12">
      <c r="A68" s="3" t="s">
        <v>257</v>
      </c>
      <c r="B68" s="3" t="s">
        <v>17</v>
      </c>
      <c r="C68" s="3" t="s">
        <v>26</v>
      </c>
      <c r="D68" s="3" t="s">
        <v>34</v>
      </c>
      <c r="E68" s="3">
        <v>4</v>
      </c>
      <c r="F68" s="7" t="s">
        <v>336</v>
      </c>
      <c r="G68" s="5"/>
      <c r="H68" s="5"/>
      <c r="I68" s="5"/>
      <c r="J68" s="3"/>
      <c r="K68" s="3"/>
      <c r="L68" s="5"/>
    </row>
    <row r="69" spans="1:12">
      <c r="A69" s="3" t="s">
        <v>258</v>
      </c>
      <c r="B69" s="3" t="s">
        <v>17</v>
      </c>
      <c r="C69" s="3" t="s">
        <v>26</v>
      </c>
      <c r="D69" s="3" t="s">
        <v>34</v>
      </c>
      <c r="E69" s="3">
        <v>4</v>
      </c>
      <c r="F69" s="7" t="s">
        <v>336</v>
      </c>
      <c r="G69" s="5"/>
      <c r="H69" s="5"/>
      <c r="I69" s="5"/>
      <c r="L69" s="5"/>
    </row>
    <row r="70" spans="1:12">
      <c r="A70" s="3" t="s">
        <v>259</v>
      </c>
      <c r="B70" s="3" t="s">
        <v>17</v>
      </c>
      <c r="C70" s="3" t="s">
        <v>26</v>
      </c>
      <c r="D70" s="3" t="s">
        <v>35</v>
      </c>
      <c r="E70" s="3">
        <v>4</v>
      </c>
      <c r="F70" s="7" t="s">
        <v>336</v>
      </c>
      <c r="G70" s="5"/>
      <c r="H70" s="5"/>
      <c r="I70" s="5"/>
      <c r="L70" s="5"/>
    </row>
    <row r="71" spans="1:12">
      <c r="A71" s="3" t="s">
        <v>260</v>
      </c>
      <c r="B71" s="3" t="s">
        <v>17</v>
      </c>
      <c r="C71" s="3" t="s">
        <v>26</v>
      </c>
      <c r="D71" s="3" t="s">
        <v>35</v>
      </c>
      <c r="E71" s="3">
        <v>4</v>
      </c>
      <c r="F71" s="7" t="s">
        <v>336</v>
      </c>
      <c r="G71" s="5"/>
      <c r="H71" s="5"/>
      <c r="I71" s="5"/>
      <c r="L71" s="5"/>
    </row>
    <row r="72" spans="1:12">
      <c r="A72" s="3" t="s">
        <v>261</v>
      </c>
      <c r="B72" s="3" t="s">
        <v>17</v>
      </c>
      <c r="C72" s="3" t="s">
        <v>26</v>
      </c>
      <c r="D72" s="3" t="s">
        <v>35</v>
      </c>
      <c r="E72" s="3">
        <v>4</v>
      </c>
      <c r="F72" s="7" t="s">
        <v>336</v>
      </c>
      <c r="G72" s="5"/>
      <c r="H72" s="5"/>
      <c r="I72" s="5"/>
      <c r="L72" s="5"/>
    </row>
    <row r="73" spans="1:12">
      <c r="A73" s="3" t="s">
        <v>262</v>
      </c>
      <c r="B73" s="3" t="s">
        <v>17</v>
      </c>
      <c r="C73" s="3" t="s">
        <v>26</v>
      </c>
      <c r="D73" s="3" t="s">
        <v>35</v>
      </c>
      <c r="E73" s="3">
        <v>4</v>
      </c>
      <c r="F73" s="7" t="s">
        <v>336</v>
      </c>
      <c r="G73" s="5"/>
      <c r="H73" s="5"/>
      <c r="I73" s="5"/>
      <c r="L73" s="5"/>
    </row>
    <row r="74" spans="1:12">
      <c r="A74" s="3" t="s">
        <v>263</v>
      </c>
      <c r="B74" s="3" t="s">
        <v>17</v>
      </c>
      <c r="C74" s="3" t="s">
        <v>26</v>
      </c>
      <c r="D74" s="3" t="s">
        <v>35</v>
      </c>
      <c r="E74" s="3">
        <v>4</v>
      </c>
      <c r="F74" s="7" t="s">
        <v>336</v>
      </c>
      <c r="G74" s="5"/>
      <c r="H74" s="5"/>
      <c r="I74" s="5"/>
      <c r="L74" s="5"/>
    </row>
    <row r="75" spans="1:12">
      <c r="A75" s="3" t="s">
        <v>264</v>
      </c>
      <c r="B75" s="3" t="s">
        <v>17</v>
      </c>
      <c r="C75" s="3" t="s">
        <v>26</v>
      </c>
      <c r="D75" s="3" t="s">
        <v>35</v>
      </c>
      <c r="E75" s="3">
        <v>4</v>
      </c>
      <c r="F75" s="7" t="s">
        <v>336</v>
      </c>
      <c r="G75" s="5"/>
      <c r="H75" s="5"/>
      <c r="I75" s="5"/>
      <c r="L75" s="5"/>
    </row>
    <row r="76" spans="1:12">
      <c r="A76" s="3" t="s">
        <v>265</v>
      </c>
      <c r="B76" s="3" t="s">
        <v>17</v>
      </c>
      <c r="C76" s="3" t="s">
        <v>26</v>
      </c>
      <c r="D76" s="3" t="s">
        <v>35</v>
      </c>
      <c r="E76" s="3">
        <v>4</v>
      </c>
      <c r="F76" s="7" t="s">
        <v>336</v>
      </c>
      <c r="G76" s="5"/>
      <c r="H76" s="5"/>
      <c r="I76" s="5"/>
      <c r="L76" s="5"/>
    </row>
    <row r="77" spans="1:12">
      <c r="A77" s="3" t="s">
        <v>266</v>
      </c>
      <c r="B77" s="3" t="s">
        <v>17</v>
      </c>
      <c r="C77" s="3" t="s">
        <v>26</v>
      </c>
      <c r="D77" s="3" t="s">
        <v>35</v>
      </c>
      <c r="E77" s="3">
        <v>4</v>
      </c>
      <c r="F77" s="7" t="s">
        <v>336</v>
      </c>
      <c r="G77" s="5"/>
      <c r="H77" s="5"/>
      <c r="I77" s="5"/>
      <c r="L77" s="5"/>
    </row>
    <row r="78" spans="1:12">
      <c r="A78" s="3" t="s">
        <v>267</v>
      </c>
      <c r="B78" s="3" t="s">
        <v>17</v>
      </c>
      <c r="C78" s="3" t="s">
        <v>26</v>
      </c>
      <c r="D78" s="3" t="s">
        <v>270</v>
      </c>
      <c r="E78" s="3">
        <v>4</v>
      </c>
      <c r="F78" s="7" t="s">
        <v>336</v>
      </c>
      <c r="G78" s="5"/>
      <c r="H78" s="5"/>
      <c r="I78" s="5"/>
      <c r="L78" s="5"/>
    </row>
    <row r="79" spans="1:12">
      <c r="A79" s="3" t="s">
        <v>268</v>
      </c>
      <c r="B79" s="3" t="s">
        <v>17</v>
      </c>
      <c r="C79" s="3" t="s">
        <v>26</v>
      </c>
      <c r="D79" s="3" t="s">
        <v>208</v>
      </c>
      <c r="E79" s="3">
        <v>4</v>
      </c>
      <c r="F79" s="7" t="s">
        <v>336</v>
      </c>
      <c r="G79" s="5"/>
      <c r="H79" s="5"/>
      <c r="I79" s="5"/>
      <c r="L79" s="5"/>
    </row>
    <row r="80" spans="1:12">
      <c r="A80" s="3" t="s">
        <v>269</v>
      </c>
      <c r="B80" s="3" t="s">
        <v>17</v>
      </c>
      <c r="C80" s="3" t="s">
        <v>26</v>
      </c>
      <c r="D80" s="3" t="s">
        <v>208</v>
      </c>
      <c r="E80" s="3">
        <v>4</v>
      </c>
      <c r="F80" s="7" t="s">
        <v>336</v>
      </c>
      <c r="G80" s="5"/>
      <c r="H80" s="5"/>
      <c r="I80" s="5"/>
      <c r="L80" s="5"/>
    </row>
    <row r="81" spans="1:12">
      <c r="A81" s="3" t="s">
        <v>271</v>
      </c>
      <c r="B81" s="3" t="s">
        <v>17</v>
      </c>
      <c r="C81" s="3" t="s">
        <v>27</v>
      </c>
      <c r="D81" s="3" t="s">
        <v>34</v>
      </c>
      <c r="E81" s="3">
        <v>3</v>
      </c>
      <c r="F81" s="7" t="s">
        <v>341</v>
      </c>
      <c r="G81" s="5"/>
      <c r="H81" s="5"/>
      <c r="I81" s="5"/>
      <c r="L81" s="5"/>
    </row>
    <row r="82" spans="1:12">
      <c r="A82" s="3" t="s">
        <v>272</v>
      </c>
      <c r="B82" s="3" t="s">
        <v>17</v>
      </c>
      <c r="C82" s="3" t="s">
        <v>27</v>
      </c>
      <c r="D82" s="3" t="s">
        <v>34</v>
      </c>
      <c r="E82" s="3">
        <v>3</v>
      </c>
      <c r="F82" s="7" t="s">
        <v>341</v>
      </c>
      <c r="G82" s="5"/>
      <c r="H82" s="5"/>
      <c r="I82" s="5"/>
      <c r="L82" s="5"/>
    </row>
    <row r="83" spans="1:12">
      <c r="A83" s="3" t="s">
        <v>273</v>
      </c>
      <c r="B83" s="3" t="s">
        <v>17</v>
      </c>
      <c r="C83" s="3" t="s">
        <v>27</v>
      </c>
      <c r="D83" s="3" t="s">
        <v>35</v>
      </c>
      <c r="E83" s="3">
        <v>3</v>
      </c>
      <c r="F83" s="7" t="s">
        <v>341</v>
      </c>
      <c r="G83" s="5"/>
      <c r="H83" s="5"/>
      <c r="I83" s="5"/>
      <c r="L83" s="5"/>
    </row>
    <row r="84" spans="1:12">
      <c r="A84" s="3" t="s">
        <v>274</v>
      </c>
      <c r="B84" s="3" t="s">
        <v>17</v>
      </c>
      <c r="C84" s="3" t="s">
        <v>8</v>
      </c>
      <c r="D84" s="3" t="s">
        <v>35</v>
      </c>
      <c r="E84" s="3">
        <v>3</v>
      </c>
      <c r="F84" s="7" t="s">
        <v>341</v>
      </c>
      <c r="G84" s="5"/>
      <c r="H84" s="5"/>
      <c r="I84" s="5"/>
      <c r="L84" s="5"/>
    </row>
    <row r="85" spans="1:12">
      <c r="A85" s="3" t="s">
        <v>46</v>
      </c>
      <c r="B85" s="3" t="s">
        <v>17</v>
      </c>
      <c r="C85" s="3" t="s">
        <v>8</v>
      </c>
      <c r="D85" s="3" t="s">
        <v>35</v>
      </c>
      <c r="E85" s="3">
        <v>2</v>
      </c>
      <c r="F85" s="7" t="s">
        <v>343</v>
      </c>
      <c r="G85" s="5"/>
      <c r="H85" s="5"/>
      <c r="I85" s="5"/>
      <c r="J85" s="5"/>
      <c r="K85" s="5"/>
      <c r="L85" s="5"/>
    </row>
    <row r="86" spans="1:12">
      <c r="A86" s="3" t="s">
        <v>275</v>
      </c>
      <c r="B86" s="3" t="s">
        <v>17</v>
      </c>
      <c r="C86" s="3" t="s">
        <v>8</v>
      </c>
      <c r="D86" s="3" t="s">
        <v>208</v>
      </c>
      <c r="E86" s="3">
        <v>3</v>
      </c>
      <c r="F86" s="7" t="s">
        <v>341</v>
      </c>
      <c r="G86" s="5"/>
      <c r="H86" s="5"/>
      <c r="I86" s="5"/>
      <c r="J86" s="5"/>
      <c r="K86" s="5"/>
      <c r="L86" s="5"/>
    </row>
    <row r="87" spans="1:12">
      <c r="A87" s="3" t="s">
        <v>276</v>
      </c>
      <c r="B87" s="3" t="s">
        <v>17</v>
      </c>
      <c r="C87" s="3" t="s">
        <v>8</v>
      </c>
      <c r="D87" s="3" t="s">
        <v>208</v>
      </c>
      <c r="E87" s="3">
        <v>2</v>
      </c>
      <c r="F87" s="7" t="s">
        <v>343</v>
      </c>
      <c r="G87" s="5"/>
      <c r="H87" s="5"/>
      <c r="I87" s="5"/>
      <c r="J87" s="5"/>
      <c r="K87" s="5"/>
      <c r="L87" s="5"/>
    </row>
    <row r="88" spans="1:12" ht="17.25" customHeight="1">
      <c r="A88" s="3" t="s">
        <v>9</v>
      </c>
      <c r="B88" s="3" t="s">
        <v>17</v>
      </c>
      <c r="C88" s="3" t="s">
        <v>28</v>
      </c>
      <c r="D88" s="3" t="s">
        <v>34</v>
      </c>
      <c r="E88" s="3">
        <v>3</v>
      </c>
      <c r="F88" s="7" t="s">
        <v>341</v>
      </c>
      <c r="G88" s="5"/>
      <c r="H88" s="5"/>
      <c r="I88" s="5"/>
      <c r="J88" s="5"/>
      <c r="K88" s="5"/>
      <c r="L88" s="5"/>
    </row>
    <row r="89" spans="1:12">
      <c r="A89" s="3" t="s">
        <v>47</v>
      </c>
      <c r="B89" s="3" t="s">
        <v>17</v>
      </c>
      <c r="C89" s="3" t="s">
        <v>28</v>
      </c>
      <c r="D89" s="3" t="s">
        <v>34</v>
      </c>
      <c r="E89" s="3">
        <v>3</v>
      </c>
      <c r="F89" s="7" t="s">
        <v>341</v>
      </c>
      <c r="G89" s="5"/>
      <c r="H89" s="5"/>
      <c r="I89" s="5"/>
      <c r="J89" s="5"/>
      <c r="K89" s="5"/>
      <c r="L89" s="5"/>
    </row>
    <row r="90" spans="1:12">
      <c r="A90" s="3" t="s">
        <v>48</v>
      </c>
      <c r="B90" s="3" t="s">
        <v>17</v>
      </c>
      <c r="C90" s="3" t="s">
        <v>28</v>
      </c>
      <c r="D90" s="3" t="s">
        <v>34</v>
      </c>
      <c r="E90" s="3">
        <v>3</v>
      </c>
      <c r="F90" s="7" t="s">
        <v>341</v>
      </c>
      <c r="G90" s="5"/>
      <c r="H90" s="5"/>
      <c r="I90" s="5"/>
      <c r="J90" s="5"/>
      <c r="K90" s="5"/>
      <c r="L90" s="5"/>
    </row>
    <row r="91" spans="1:12">
      <c r="A91" s="3" t="s">
        <v>277</v>
      </c>
      <c r="B91" s="3" t="s">
        <v>17</v>
      </c>
      <c r="C91" s="3" t="s">
        <v>28</v>
      </c>
      <c r="D91" s="3" t="s">
        <v>218</v>
      </c>
      <c r="E91" s="3">
        <v>3</v>
      </c>
      <c r="F91" s="7" t="s">
        <v>341</v>
      </c>
      <c r="G91" s="5"/>
      <c r="H91" s="5"/>
      <c r="I91" s="5"/>
      <c r="J91" s="5"/>
      <c r="K91" s="5"/>
      <c r="L91" s="5"/>
    </row>
    <row r="92" spans="1:12">
      <c r="A92" s="3" t="s">
        <v>278</v>
      </c>
      <c r="B92" s="3" t="s">
        <v>17</v>
      </c>
      <c r="C92" s="3" t="s">
        <v>28</v>
      </c>
      <c r="D92" s="3" t="s">
        <v>218</v>
      </c>
      <c r="E92" s="3">
        <v>3</v>
      </c>
      <c r="F92" s="7" t="s">
        <v>341</v>
      </c>
      <c r="G92" s="5"/>
      <c r="H92" s="5"/>
      <c r="I92" s="5"/>
      <c r="J92" s="5"/>
      <c r="K92" s="5"/>
      <c r="L92" s="5"/>
    </row>
    <row r="93" spans="1:12">
      <c r="A93" s="3" t="s">
        <v>279</v>
      </c>
      <c r="B93" s="3" t="s">
        <v>17</v>
      </c>
      <c r="C93" s="3" t="s">
        <v>28</v>
      </c>
      <c r="D93" s="3" t="s">
        <v>218</v>
      </c>
      <c r="E93" s="3">
        <v>3</v>
      </c>
      <c r="F93" s="7" t="s">
        <v>341</v>
      </c>
      <c r="G93" s="5"/>
      <c r="H93" s="5"/>
      <c r="I93" s="5"/>
      <c r="J93" s="5"/>
      <c r="K93" s="5"/>
      <c r="L93" s="5"/>
    </row>
    <row r="94" spans="1:12">
      <c r="A94" s="3" t="s">
        <v>280</v>
      </c>
      <c r="B94" s="3" t="s">
        <v>17</v>
      </c>
      <c r="C94" s="3" t="s">
        <v>28</v>
      </c>
      <c r="D94" s="3" t="s">
        <v>218</v>
      </c>
      <c r="E94" s="3">
        <v>3</v>
      </c>
      <c r="F94" s="7" t="s">
        <v>341</v>
      </c>
      <c r="G94" s="5"/>
      <c r="H94" s="5"/>
      <c r="I94" s="5"/>
      <c r="J94" s="5"/>
      <c r="K94" s="5"/>
      <c r="L94" s="5"/>
    </row>
    <row r="95" spans="1:12">
      <c r="A95" s="3" t="s">
        <v>281</v>
      </c>
      <c r="B95" s="3" t="s">
        <v>17</v>
      </c>
      <c r="C95" s="3" t="s">
        <v>28</v>
      </c>
      <c r="D95" s="3" t="s">
        <v>208</v>
      </c>
      <c r="E95" s="3">
        <v>3</v>
      </c>
      <c r="F95" s="7" t="s">
        <v>341</v>
      </c>
      <c r="G95" s="5"/>
      <c r="H95" s="5"/>
      <c r="I95" s="5"/>
      <c r="J95" s="5"/>
      <c r="K95" s="5"/>
      <c r="L95" s="5"/>
    </row>
    <row r="96" spans="1:12">
      <c r="A96" s="3" t="s">
        <v>282</v>
      </c>
      <c r="B96" s="3" t="s">
        <v>17</v>
      </c>
      <c r="C96" s="3" t="s">
        <v>28</v>
      </c>
      <c r="D96" s="3" t="s">
        <v>208</v>
      </c>
      <c r="E96" s="3">
        <v>3</v>
      </c>
      <c r="F96" s="7" t="s">
        <v>341</v>
      </c>
      <c r="G96" s="5"/>
      <c r="H96" s="5"/>
      <c r="I96" s="5"/>
      <c r="J96" s="5"/>
      <c r="K96" s="5"/>
      <c r="L96" s="5"/>
    </row>
    <row r="97" spans="1:12">
      <c r="A97" s="3" t="s">
        <v>29</v>
      </c>
      <c r="B97" s="3" t="s">
        <v>17</v>
      </c>
      <c r="C97" s="3" t="s">
        <v>29</v>
      </c>
      <c r="D97" s="3" t="s">
        <v>34</v>
      </c>
      <c r="E97" s="3">
        <v>4</v>
      </c>
      <c r="F97" s="7" t="s">
        <v>336</v>
      </c>
      <c r="G97" s="5"/>
      <c r="H97" s="5"/>
      <c r="I97" s="5"/>
      <c r="J97" s="5"/>
      <c r="K97" s="5"/>
      <c r="L97" s="5"/>
    </row>
    <row r="98" spans="1:12">
      <c r="A98" s="3" t="s">
        <v>49</v>
      </c>
      <c r="B98" s="3" t="s">
        <v>17</v>
      </c>
      <c r="C98" s="3" t="s">
        <v>29</v>
      </c>
      <c r="D98" s="3" t="s">
        <v>34</v>
      </c>
      <c r="E98" s="3">
        <v>4</v>
      </c>
      <c r="F98" s="7" t="s">
        <v>336</v>
      </c>
      <c r="G98" s="5"/>
      <c r="H98" s="5"/>
      <c r="I98" s="5"/>
      <c r="J98" s="5"/>
      <c r="K98" s="5"/>
      <c r="L98" s="5"/>
    </row>
    <row r="99" spans="1:12">
      <c r="A99" s="3" t="s">
        <v>283</v>
      </c>
      <c r="B99" s="3" t="s">
        <v>17</v>
      </c>
      <c r="C99" s="3" t="s">
        <v>10</v>
      </c>
      <c r="D99" s="3" t="s">
        <v>218</v>
      </c>
      <c r="E99" s="3">
        <v>4</v>
      </c>
      <c r="F99" s="7" t="s">
        <v>336</v>
      </c>
      <c r="G99" s="5"/>
      <c r="H99" s="5"/>
      <c r="I99" s="5"/>
      <c r="J99" s="5"/>
      <c r="K99" s="5"/>
      <c r="L99" s="5"/>
    </row>
    <row r="100" spans="1:12">
      <c r="A100" s="3" t="s">
        <v>284</v>
      </c>
      <c r="B100" s="3" t="s">
        <v>17</v>
      </c>
      <c r="C100" s="3" t="s">
        <v>10</v>
      </c>
      <c r="D100" s="3" t="s">
        <v>35</v>
      </c>
      <c r="E100" s="3">
        <v>4</v>
      </c>
      <c r="F100" s="7" t="s">
        <v>336</v>
      </c>
      <c r="G100" s="5"/>
      <c r="H100" s="5"/>
      <c r="I100" s="5"/>
      <c r="J100" s="5"/>
      <c r="K100" s="5"/>
      <c r="L100" s="5"/>
    </row>
    <row r="101" spans="1:12">
      <c r="A101" s="3" t="s">
        <v>285</v>
      </c>
      <c r="B101" s="3" t="s">
        <v>17</v>
      </c>
      <c r="C101" s="3" t="s">
        <v>10</v>
      </c>
      <c r="D101" s="3" t="s">
        <v>35</v>
      </c>
      <c r="E101" s="3">
        <v>4</v>
      </c>
      <c r="F101" s="7" t="s">
        <v>336</v>
      </c>
      <c r="G101" s="5"/>
      <c r="H101" s="5"/>
      <c r="I101" s="5"/>
      <c r="J101" s="5"/>
      <c r="K101" s="5"/>
      <c r="L101" s="5"/>
    </row>
    <row r="102" spans="1:12">
      <c r="A102" s="3" t="s">
        <v>286</v>
      </c>
      <c r="B102" s="3" t="s">
        <v>17</v>
      </c>
      <c r="C102" s="3" t="s">
        <v>10</v>
      </c>
      <c r="D102" s="3" t="s">
        <v>35</v>
      </c>
      <c r="E102" s="3">
        <v>4</v>
      </c>
      <c r="F102" s="7" t="s">
        <v>336</v>
      </c>
      <c r="G102" s="5"/>
      <c r="H102" s="5"/>
      <c r="I102" s="5"/>
      <c r="J102" s="5"/>
      <c r="K102" s="5"/>
      <c r="L102" s="5"/>
    </row>
    <row r="103" spans="1:12">
      <c r="A103" s="3" t="s">
        <v>287</v>
      </c>
      <c r="B103" s="3" t="s">
        <v>17</v>
      </c>
      <c r="C103" s="3" t="s">
        <v>10</v>
      </c>
      <c r="D103" s="3" t="s">
        <v>208</v>
      </c>
      <c r="E103" s="3">
        <v>4</v>
      </c>
      <c r="F103" s="7" t="s">
        <v>336</v>
      </c>
      <c r="G103" s="5"/>
      <c r="H103" s="5"/>
      <c r="I103" s="5"/>
      <c r="J103" s="5"/>
      <c r="K103" s="5"/>
      <c r="L103" s="5"/>
    </row>
    <row r="104" spans="1:12">
      <c r="A104" s="3" t="s">
        <v>288</v>
      </c>
      <c r="B104" s="3" t="s">
        <v>17</v>
      </c>
      <c r="C104" s="3" t="s">
        <v>10</v>
      </c>
      <c r="D104" s="3" t="s">
        <v>208</v>
      </c>
      <c r="E104" s="3">
        <v>4</v>
      </c>
      <c r="F104" s="7" t="s">
        <v>336</v>
      </c>
      <c r="G104" s="5"/>
      <c r="H104" s="5"/>
      <c r="I104" s="5"/>
      <c r="J104" s="5"/>
      <c r="K104" s="5"/>
      <c r="L104" s="5"/>
    </row>
    <row r="105" spans="1:12">
      <c r="A105" s="3" t="s">
        <v>289</v>
      </c>
      <c r="B105" s="3" t="s">
        <v>17</v>
      </c>
      <c r="C105" s="3" t="s">
        <v>10</v>
      </c>
      <c r="D105" s="3" t="s">
        <v>208</v>
      </c>
      <c r="E105" s="3">
        <v>4</v>
      </c>
      <c r="F105" s="7" t="s">
        <v>336</v>
      </c>
      <c r="G105" s="5"/>
      <c r="H105" s="5"/>
      <c r="I105" s="5"/>
      <c r="J105" s="5"/>
      <c r="K105" s="5"/>
      <c r="L105" s="5"/>
    </row>
    <row r="106" spans="1:12">
      <c r="A106" s="3" t="s">
        <v>290</v>
      </c>
      <c r="B106" s="3" t="s">
        <v>17</v>
      </c>
      <c r="C106" s="3" t="s">
        <v>10</v>
      </c>
      <c r="D106" s="3" t="s">
        <v>208</v>
      </c>
      <c r="E106" s="3">
        <v>2</v>
      </c>
      <c r="F106" s="7" t="s">
        <v>343</v>
      </c>
      <c r="G106" s="5"/>
      <c r="H106" s="5"/>
      <c r="I106" s="5"/>
      <c r="J106" s="5"/>
      <c r="K106" s="5"/>
      <c r="L106" s="5"/>
    </row>
    <row r="107" spans="1:12">
      <c r="A107" s="3" t="s">
        <v>291</v>
      </c>
      <c r="B107" s="3" t="s">
        <v>17</v>
      </c>
      <c r="C107" s="3" t="s">
        <v>10</v>
      </c>
      <c r="D107" s="3" t="s">
        <v>208</v>
      </c>
      <c r="E107" s="3">
        <v>4</v>
      </c>
      <c r="F107" s="7" t="s">
        <v>336</v>
      </c>
      <c r="G107" s="5"/>
      <c r="H107" s="5"/>
      <c r="I107" s="5"/>
      <c r="J107" s="5"/>
      <c r="K107" s="5"/>
      <c r="L107" s="5"/>
    </row>
    <row r="108" spans="1:12">
      <c r="A108" s="3" t="s">
        <v>292</v>
      </c>
      <c r="B108" s="3" t="s">
        <v>17</v>
      </c>
      <c r="C108" s="3" t="s">
        <v>30</v>
      </c>
      <c r="D108" s="3" t="s">
        <v>34</v>
      </c>
      <c r="E108" s="3">
        <v>4</v>
      </c>
      <c r="F108" s="7" t="s">
        <v>336</v>
      </c>
      <c r="G108" s="5"/>
      <c r="H108" s="5"/>
      <c r="I108" s="5"/>
      <c r="J108" s="5"/>
      <c r="K108" s="5"/>
      <c r="L108" s="5"/>
    </row>
    <row r="109" spans="1:12">
      <c r="A109" s="3" t="s">
        <v>293</v>
      </c>
      <c r="B109" s="3" t="s">
        <v>17</v>
      </c>
      <c r="C109" s="3" t="s">
        <v>29</v>
      </c>
      <c r="D109" s="3" t="s">
        <v>34</v>
      </c>
      <c r="E109" s="3">
        <v>4</v>
      </c>
      <c r="F109" s="7" t="s">
        <v>336</v>
      </c>
      <c r="G109" s="5"/>
      <c r="H109" s="5"/>
      <c r="I109" s="5"/>
      <c r="J109" s="5"/>
      <c r="K109" s="5"/>
      <c r="L109" s="5"/>
    </row>
    <row r="110" spans="1:12">
      <c r="A110" s="3" t="s">
        <v>294</v>
      </c>
      <c r="B110" s="3" t="s">
        <v>17</v>
      </c>
      <c r="C110" s="3" t="s">
        <v>29</v>
      </c>
      <c r="D110" s="3" t="s">
        <v>34</v>
      </c>
      <c r="E110" s="3">
        <v>4</v>
      </c>
      <c r="F110" s="7" t="s">
        <v>336</v>
      </c>
      <c r="G110" s="5"/>
      <c r="H110" s="5"/>
      <c r="I110" s="5"/>
      <c r="J110" s="5"/>
      <c r="K110" s="5"/>
      <c r="L110" s="5"/>
    </row>
    <row r="111" spans="1:12">
      <c r="A111" s="3" t="s">
        <v>295</v>
      </c>
      <c r="B111" s="3" t="s">
        <v>17</v>
      </c>
      <c r="C111" s="3" t="s">
        <v>29</v>
      </c>
      <c r="D111" s="3" t="s">
        <v>34</v>
      </c>
      <c r="E111" s="3">
        <v>4</v>
      </c>
      <c r="F111" s="7" t="s">
        <v>336</v>
      </c>
      <c r="G111" s="5"/>
      <c r="H111" s="5"/>
      <c r="I111" s="5"/>
      <c r="J111" s="5"/>
      <c r="K111" s="5"/>
      <c r="L111" s="5"/>
    </row>
    <row r="112" spans="1:12">
      <c r="A112" s="3" t="s">
        <v>296</v>
      </c>
      <c r="B112" s="3" t="s">
        <v>17</v>
      </c>
      <c r="C112" s="3" t="s">
        <v>29</v>
      </c>
      <c r="D112" s="3" t="s">
        <v>34</v>
      </c>
      <c r="E112" s="3">
        <v>4</v>
      </c>
      <c r="F112" s="7" t="s">
        <v>336</v>
      </c>
      <c r="G112" s="5"/>
      <c r="H112" s="5"/>
      <c r="I112" s="5"/>
      <c r="J112" s="5"/>
      <c r="K112" s="5"/>
      <c r="L112" s="5"/>
    </row>
    <row r="113" spans="1:12">
      <c r="A113" s="3" t="s">
        <v>297</v>
      </c>
      <c r="B113" s="3" t="s">
        <v>17</v>
      </c>
      <c r="C113" s="3" t="s">
        <v>29</v>
      </c>
      <c r="D113" s="3" t="s">
        <v>34</v>
      </c>
      <c r="E113" s="3">
        <v>4</v>
      </c>
      <c r="F113" s="7" t="s">
        <v>336</v>
      </c>
      <c r="G113" s="5"/>
      <c r="H113" s="5"/>
      <c r="I113" s="5"/>
      <c r="J113" s="5"/>
      <c r="K113" s="5"/>
      <c r="L113" s="5"/>
    </row>
    <row r="114" spans="1:12">
      <c r="A114" s="3" t="s">
        <v>298</v>
      </c>
      <c r="B114" s="3" t="s">
        <v>17</v>
      </c>
      <c r="C114" s="3" t="s">
        <v>30</v>
      </c>
      <c r="D114" s="3" t="s">
        <v>34</v>
      </c>
      <c r="E114" s="3">
        <v>4</v>
      </c>
      <c r="F114" s="7" t="s">
        <v>336</v>
      </c>
      <c r="G114" s="5"/>
      <c r="H114" s="5"/>
      <c r="I114" s="5"/>
      <c r="J114" s="5"/>
      <c r="K114" s="5"/>
      <c r="L114" s="5"/>
    </row>
    <row r="115" spans="1:12">
      <c r="A115" s="3" t="s">
        <v>299</v>
      </c>
      <c r="B115" s="3" t="s">
        <v>17</v>
      </c>
      <c r="C115" s="3" t="s">
        <v>30</v>
      </c>
      <c r="D115" s="3" t="s">
        <v>34</v>
      </c>
      <c r="E115" s="3">
        <v>4</v>
      </c>
      <c r="F115" s="7" t="s">
        <v>336</v>
      </c>
      <c r="G115" s="5"/>
      <c r="H115" s="5"/>
      <c r="I115" s="5"/>
      <c r="J115" s="5"/>
      <c r="K115" s="5"/>
      <c r="L115" s="5"/>
    </row>
    <row r="116" spans="1:12">
      <c r="A116" s="3" t="s">
        <v>300</v>
      </c>
      <c r="B116" s="3" t="s">
        <v>17</v>
      </c>
      <c r="C116" s="3" t="s">
        <v>30</v>
      </c>
      <c r="D116" s="3" t="s">
        <v>34</v>
      </c>
      <c r="E116" s="3">
        <v>4</v>
      </c>
      <c r="F116" s="7" t="s">
        <v>336</v>
      </c>
      <c r="G116" s="5"/>
      <c r="H116" s="5"/>
      <c r="I116" s="5"/>
      <c r="J116" s="5"/>
      <c r="K116" s="5"/>
      <c r="L116" s="5"/>
    </row>
    <row r="117" spans="1:12">
      <c r="A117" s="3" t="s">
        <v>301</v>
      </c>
      <c r="B117" s="3" t="s">
        <v>17</v>
      </c>
      <c r="C117" s="3" t="s">
        <v>30</v>
      </c>
      <c r="D117" s="3" t="s">
        <v>34</v>
      </c>
      <c r="E117" s="3">
        <v>4</v>
      </c>
      <c r="F117" s="7" t="s">
        <v>336</v>
      </c>
      <c r="G117" s="5"/>
      <c r="H117" s="5"/>
      <c r="I117" s="5"/>
      <c r="J117" s="5"/>
      <c r="K117" s="5"/>
      <c r="L117" s="5"/>
    </row>
    <row r="118" spans="1:12">
      <c r="A118" s="3" t="s">
        <v>302</v>
      </c>
      <c r="B118" s="3" t="s">
        <v>17</v>
      </c>
      <c r="C118" s="3" t="s">
        <v>30</v>
      </c>
      <c r="D118" s="3" t="s">
        <v>34</v>
      </c>
      <c r="E118" s="3">
        <v>4</v>
      </c>
      <c r="F118" s="7" t="s">
        <v>336</v>
      </c>
      <c r="G118" s="5"/>
      <c r="H118" s="5"/>
      <c r="I118" s="5"/>
      <c r="J118" s="5"/>
      <c r="K118" s="5"/>
      <c r="L118" s="5"/>
    </row>
    <row r="119" spans="1:12">
      <c r="A119" s="3" t="s">
        <v>303</v>
      </c>
      <c r="B119" s="3" t="s">
        <v>17</v>
      </c>
      <c r="C119" s="3" t="s">
        <v>30</v>
      </c>
      <c r="D119" s="3" t="s">
        <v>34</v>
      </c>
      <c r="E119" s="3">
        <v>4</v>
      </c>
      <c r="F119" s="7" t="s">
        <v>336</v>
      </c>
      <c r="G119" s="5"/>
      <c r="H119" s="5"/>
      <c r="I119" s="5"/>
      <c r="J119" s="5"/>
      <c r="K119" s="5"/>
      <c r="L119" s="5"/>
    </row>
    <row r="120" spans="1:12">
      <c r="A120" s="3" t="s">
        <v>304</v>
      </c>
      <c r="B120" s="3" t="s">
        <v>17</v>
      </c>
      <c r="C120" s="3" t="s">
        <v>30</v>
      </c>
      <c r="D120" s="3" t="s">
        <v>34</v>
      </c>
      <c r="E120" s="3">
        <v>4</v>
      </c>
      <c r="F120" s="7" t="s">
        <v>336</v>
      </c>
      <c r="G120" s="5"/>
      <c r="H120" s="5"/>
      <c r="I120" s="5"/>
      <c r="J120" s="5"/>
      <c r="K120" s="5"/>
      <c r="L120" s="5"/>
    </row>
    <row r="121" spans="1:12">
      <c r="A121" s="3" t="s">
        <v>305</v>
      </c>
      <c r="B121" s="3" t="s">
        <v>17</v>
      </c>
      <c r="C121" s="3" t="s">
        <v>30</v>
      </c>
      <c r="D121" s="3" t="s">
        <v>34</v>
      </c>
      <c r="E121" s="3">
        <v>4</v>
      </c>
      <c r="F121" s="7" t="s">
        <v>336</v>
      </c>
      <c r="G121" s="5"/>
      <c r="H121" s="5"/>
      <c r="I121" s="5"/>
      <c r="J121" s="5"/>
      <c r="K121" s="5"/>
      <c r="L121" s="5"/>
    </row>
    <row r="122" spans="1:12">
      <c r="A122" s="3" t="s">
        <v>306</v>
      </c>
      <c r="B122" s="3" t="s">
        <v>17</v>
      </c>
      <c r="C122" s="3" t="s">
        <v>30</v>
      </c>
      <c r="D122" s="3" t="s">
        <v>34</v>
      </c>
      <c r="E122" s="3">
        <v>4</v>
      </c>
      <c r="F122" s="7" t="s">
        <v>336</v>
      </c>
      <c r="G122" s="5"/>
      <c r="H122" s="5"/>
      <c r="I122" s="5"/>
      <c r="J122" s="5"/>
      <c r="K122" s="5"/>
      <c r="L122" s="5"/>
    </row>
    <row r="123" spans="1:12">
      <c r="A123" s="3" t="s">
        <v>307</v>
      </c>
      <c r="B123" s="3" t="s">
        <v>17</v>
      </c>
      <c r="C123" s="3" t="s">
        <v>30</v>
      </c>
      <c r="D123" s="3" t="s">
        <v>34</v>
      </c>
      <c r="E123" s="3">
        <v>4</v>
      </c>
      <c r="F123" s="7" t="s">
        <v>336</v>
      </c>
      <c r="G123" s="5"/>
      <c r="H123" s="5"/>
      <c r="I123" s="5"/>
      <c r="J123" s="5"/>
      <c r="K123" s="5"/>
      <c r="L123" s="5"/>
    </row>
    <row r="124" spans="1:12">
      <c r="A124" s="3" t="s">
        <v>308</v>
      </c>
      <c r="B124" s="3" t="s">
        <v>17</v>
      </c>
      <c r="C124" s="3" t="s">
        <v>30</v>
      </c>
      <c r="D124" s="3" t="s">
        <v>35</v>
      </c>
      <c r="E124" s="3">
        <v>4</v>
      </c>
      <c r="F124" s="7" t="s">
        <v>336</v>
      </c>
      <c r="G124" s="5"/>
      <c r="H124" s="5"/>
      <c r="I124" s="5"/>
      <c r="J124" s="5"/>
      <c r="K124" s="5"/>
      <c r="L124" s="5"/>
    </row>
    <row r="125" spans="1:12">
      <c r="A125" s="3" t="s">
        <v>309</v>
      </c>
      <c r="B125" s="3" t="s">
        <v>17</v>
      </c>
      <c r="C125" s="3" t="s">
        <v>30</v>
      </c>
      <c r="D125" s="3" t="s">
        <v>35</v>
      </c>
      <c r="E125" s="3">
        <v>4</v>
      </c>
      <c r="F125" s="7" t="s">
        <v>336</v>
      </c>
      <c r="G125" s="5"/>
      <c r="H125" s="5"/>
      <c r="I125" s="5"/>
      <c r="J125" s="5"/>
      <c r="K125" s="5"/>
      <c r="L125" s="5"/>
    </row>
    <row r="126" spans="1:12">
      <c r="A126" s="3" t="s">
        <v>311</v>
      </c>
      <c r="B126" s="3" t="s">
        <v>17</v>
      </c>
      <c r="C126" s="3" t="s">
        <v>30</v>
      </c>
      <c r="D126" s="3" t="s">
        <v>35</v>
      </c>
      <c r="E126" s="3">
        <v>4</v>
      </c>
      <c r="F126" s="7" t="s">
        <v>336</v>
      </c>
      <c r="G126" s="5"/>
      <c r="H126" s="5"/>
      <c r="I126" s="5"/>
      <c r="J126" s="5"/>
      <c r="K126" s="5"/>
      <c r="L126" s="5"/>
    </row>
    <row r="127" spans="1:12">
      <c r="A127" s="3" t="s">
        <v>310</v>
      </c>
      <c r="B127" s="3" t="s">
        <v>17</v>
      </c>
      <c r="C127" s="3" t="s">
        <v>30</v>
      </c>
      <c r="D127" s="3" t="s">
        <v>35</v>
      </c>
      <c r="E127" s="3">
        <v>4</v>
      </c>
      <c r="F127" s="7" t="s">
        <v>336</v>
      </c>
      <c r="G127" s="5"/>
      <c r="H127" s="5"/>
      <c r="I127" s="5"/>
      <c r="J127" s="5"/>
      <c r="K127" s="5"/>
      <c r="L127" s="5"/>
    </row>
    <row r="128" spans="1:12">
      <c r="A128" s="3" t="s">
        <v>312</v>
      </c>
      <c r="B128" s="3" t="s">
        <v>17</v>
      </c>
      <c r="C128" s="3" t="s">
        <v>30</v>
      </c>
      <c r="D128" s="3" t="s">
        <v>35</v>
      </c>
      <c r="E128" s="3">
        <v>4</v>
      </c>
      <c r="F128" s="7" t="s">
        <v>336</v>
      </c>
      <c r="G128" s="5"/>
      <c r="H128" s="5"/>
      <c r="I128" s="5"/>
      <c r="J128" s="5"/>
      <c r="K128" s="5"/>
      <c r="L128" s="5"/>
    </row>
    <row r="129" spans="1:12">
      <c r="A129" s="3" t="s">
        <v>313</v>
      </c>
      <c r="B129" s="3" t="s">
        <v>17</v>
      </c>
      <c r="C129" s="3" t="s">
        <v>30</v>
      </c>
      <c r="D129" s="3" t="s">
        <v>35</v>
      </c>
      <c r="E129" s="3">
        <v>4</v>
      </c>
      <c r="F129" s="7" t="s">
        <v>336</v>
      </c>
      <c r="G129" s="5"/>
      <c r="H129" s="5"/>
      <c r="I129" s="5"/>
      <c r="J129" s="5"/>
      <c r="K129" s="5"/>
      <c r="L129" s="5"/>
    </row>
    <row r="130" spans="1:12">
      <c r="A130" s="3" t="s">
        <v>314</v>
      </c>
      <c r="B130" s="3" t="s">
        <v>17</v>
      </c>
      <c r="C130" s="3" t="s">
        <v>30</v>
      </c>
      <c r="D130" s="3" t="s">
        <v>35</v>
      </c>
      <c r="E130" s="3">
        <v>4</v>
      </c>
      <c r="F130" s="7" t="s">
        <v>336</v>
      </c>
      <c r="G130" s="5"/>
      <c r="H130" s="5"/>
      <c r="I130" s="5"/>
      <c r="J130" s="5"/>
      <c r="K130" s="5"/>
      <c r="L130" s="5"/>
    </row>
    <row r="131" spans="1:12">
      <c r="A131" s="3" t="s">
        <v>318</v>
      </c>
      <c r="B131" s="3" t="s">
        <v>17</v>
      </c>
      <c r="C131" s="3" t="s">
        <v>30</v>
      </c>
      <c r="D131" s="3" t="s">
        <v>208</v>
      </c>
      <c r="E131" s="3">
        <v>4</v>
      </c>
      <c r="F131" s="7" t="s">
        <v>336</v>
      </c>
      <c r="G131" s="5"/>
      <c r="H131" s="5"/>
      <c r="I131" s="5"/>
      <c r="J131" s="5"/>
      <c r="K131" s="5"/>
      <c r="L131" s="5"/>
    </row>
    <row r="132" spans="1:12">
      <c r="A132" s="3" t="s">
        <v>319</v>
      </c>
      <c r="B132" s="3" t="s">
        <v>17</v>
      </c>
      <c r="C132" s="3" t="s">
        <v>30</v>
      </c>
      <c r="D132" s="3" t="s">
        <v>208</v>
      </c>
      <c r="E132" s="3">
        <v>4</v>
      </c>
      <c r="F132" s="7" t="s">
        <v>336</v>
      </c>
      <c r="G132" s="5"/>
      <c r="H132" s="5"/>
      <c r="I132" s="5"/>
      <c r="J132" s="5"/>
      <c r="K132" s="5"/>
      <c r="L132" s="5"/>
    </row>
    <row r="133" spans="1:12">
      <c r="A133" s="3" t="s">
        <v>320</v>
      </c>
      <c r="B133" s="3" t="s">
        <v>17</v>
      </c>
      <c r="C133" s="3" t="s">
        <v>30</v>
      </c>
      <c r="D133" s="3" t="s">
        <v>208</v>
      </c>
      <c r="E133" s="3">
        <v>4</v>
      </c>
      <c r="F133" s="7" t="s">
        <v>336</v>
      </c>
      <c r="G133" s="5"/>
      <c r="H133" s="5"/>
      <c r="I133" s="5"/>
      <c r="J133" s="5"/>
      <c r="K133" s="5"/>
      <c r="L133" s="5"/>
    </row>
    <row r="134" spans="1:12">
      <c r="A134" s="3" t="s">
        <v>321</v>
      </c>
      <c r="B134" s="3" t="s">
        <v>17</v>
      </c>
      <c r="C134" s="3" t="s">
        <v>30</v>
      </c>
      <c r="D134" s="3" t="s">
        <v>208</v>
      </c>
      <c r="E134" s="3">
        <v>4</v>
      </c>
      <c r="F134" s="7" t="s">
        <v>336</v>
      </c>
      <c r="G134" s="5"/>
      <c r="H134" s="5"/>
      <c r="I134" s="5"/>
      <c r="J134" s="5"/>
      <c r="K134" s="5"/>
      <c r="L134" s="5"/>
    </row>
    <row r="135" spans="1:12">
      <c r="A135" s="3" t="s">
        <v>322</v>
      </c>
      <c r="B135" s="3" t="s">
        <v>17</v>
      </c>
      <c r="C135" s="3" t="s">
        <v>30</v>
      </c>
      <c r="D135" s="3" t="s">
        <v>208</v>
      </c>
      <c r="E135" s="3">
        <v>4</v>
      </c>
      <c r="F135" s="7" t="s">
        <v>336</v>
      </c>
      <c r="G135" s="5"/>
      <c r="H135" s="5"/>
      <c r="I135" s="5"/>
      <c r="J135" s="5"/>
      <c r="K135" s="5"/>
      <c r="L135" s="5"/>
    </row>
    <row r="136" spans="1:12">
      <c r="A136" s="3" t="s">
        <v>323</v>
      </c>
      <c r="B136" s="3" t="s">
        <v>17</v>
      </c>
      <c r="C136" s="3" t="s">
        <v>30</v>
      </c>
      <c r="D136" s="3" t="s">
        <v>208</v>
      </c>
      <c r="E136" s="3">
        <v>4</v>
      </c>
      <c r="F136" s="7" t="s">
        <v>336</v>
      </c>
      <c r="G136" s="5"/>
      <c r="H136" s="5"/>
      <c r="I136" s="5"/>
      <c r="J136" s="5"/>
      <c r="K136" s="5"/>
      <c r="L136" s="5"/>
    </row>
    <row r="137" spans="1:12">
      <c r="A137" s="3" t="s">
        <v>324</v>
      </c>
      <c r="B137" s="3" t="s">
        <v>17</v>
      </c>
      <c r="C137" s="3" t="s">
        <v>30</v>
      </c>
      <c r="D137" s="3" t="s">
        <v>208</v>
      </c>
      <c r="E137" s="3">
        <v>4</v>
      </c>
      <c r="F137" s="7" t="s">
        <v>336</v>
      </c>
      <c r="G137" s="5"/>
      <c r="H137" s="5"/>
      <c r="I137" s="5"/>
      <c r="J137" s="5"/>
      <c r="K137" s="5"/>
      <c r="L137" s="5"/>
    </row>
    <row r="138" spans="1:12">
      <c r="A138" s="3" t="s">
        <v>325</v>
      </c>
      <c r="B138" s="3" t="s">
        <v>17</v>
      </c>
      <c r="C138" s="3" t="s">
        <v>30</v>
      </c>
      <c r="D138" s="3" t="s">
        <v>208</v>
      </c>
      <c r="E138" s="3">
        <v>4</v>
      </c>
      <c r="F138" s="7" t="s">
        <v>336</v>
      </c>
      <c r="G138" s="5"/>
      <c r="H138" s="5"/>
      <c r="I138" s="5"/>
      <c r="J138" s="5"/>
      <c r="K138" s="5"/>
      <c r="L138" s="5"/>
    </row>
    <row r="139" spans="1:12">
      <c r="A139" s="3" t="s">
        <v>316</v>
      </c>
      <c r="B139" s="3" t="s">
        <v>17</v>
      </c>
      <c r="C139" s="3" t="s">
        <v>316</v>
      </c>
      <c r="D139" s="3" t="s">
        <v>250</v>
      </c>
      <c r="E139" s="3">
        <v>4</v>
      </c>
      <c r="F139" s="7" t="s">
        <v>336</v>
      </c>
      <c r="G139" s="5"/>
      <c r="H139" s="5"/>
      <c r="I139" s="5"/>
      <c r="J139" s="5"/>
      <c r="K139" s="5"/>
      <c r="L139" s="5"/>
    </row>
    <row r="140" spans="1:12">
      <c r="A140" s="3" t="s">
        <v>315</v>
      </c>
      <c r="B140" s="3" t="s">
        <v>17</v>
      </c>
      <c r="C140" s="3" t="s">
        <v>31</v>
      </c>
      <c r="D140" s="3" t="s">
        <v>35</v>
      </c>
      <c r="E140" s="3">
        <v>4</v>
      </c>
      <c r="F140" s="7" t="s">
        <v>336</v>
      </c>
      <c r="G140" s="5"/>
      <c r="H140" s="5"/>
      <c r="I140" s="5"/>
      <c r="J140" s="5"/>
      <c r="K140" s="5"/>
      <c r="L140" s="5"/>
    </row>
    <row r="141" spans="1:12">
      <c r="A141" s="3" t="s">
        <v>50</v>
      </c>
      <c r="B141" s="3" t="s">
        <v>17</v>
      </c>
      <c r="C141" s="3" t="s">
        <v>32</v>
      </c>
      <c r="D141" s="3" t="s">
        <v>34</v>
      </c>
      <c r="E141" s="3">
        <v>3</v>
      </c>
      <c r="F141" s="7" t="s">
        <v>341</v>
      </c>
      <c r="G141" s="5"/>
      <c r="H141" s="5"/>
      <c r="I141" s="5"/>
      <c r="J141" s="5"/>
      <c r="K141" s="5"/>
      <c r="L141" s="5"/>
    </row>
    <row r="142" spans="1:12">
      <c r="A142" s="3" t="s">
        <v>326</v>
      </c>
      <c r="B142" s="3" t="s">
        <v>17</v>
      </c>
      <c r="C142" s="3" t="s">
        <v>32</v>
      </c>
      <c r="D142" s="3" t="s">
        <v>34</v>
      </c>
      <c r="E142" s="3">
        <v>3</v>
      </c>
      <c r="F142" s="7" t="s">
        <v>341</v>
      </c>
      <c r="G142" s="5"/>
      <c r="H142" s="5"/>
      <c r="I142" s="5"/>
      <c r="J142" s="5"/>
      <c r="K142" s="5"/>
      <c r="L142" s="5"/>
    </row>
    <row r="143" spans="1:12">
      <c r="A143" s="3" t="s">
        <v>327</v>
      </c>
      <c r="B143" s="3" t="s">
        <v>17</v>
      </c>
      <c r="C143" s="3" t="s">
        <v>32</v>
      </c>
      <c r="D143" s="3" t="s">
        <v>35</v>
      </c>
      <c r="E143" s="3">
        <v>3</v>
      </c>
      <c r="F143" s="7" t="s">
        <v>341</v>
      </c>
      <c r="G143" s="5"/>
      <c r="H143" s="5"/>
      <c r="I143" s="5"/>
      <c r="J143" s="5"/>
      <c r="K143" s="5"/>
      <c r="L143" s="5"/>
    </row>
    <row r="144" spans="1:12">
      <c r="A144" s="3" t="s">
        <v>328</v>
      </c>
      <c r="B144" s="3" t="s">
        <v>17</v>
      </c>
      <c r="C144" s="3" t="s">
        <v>32</v>
      </c>
      <c r="D144" s="3" t="s">
        <v>35</v>
      </c>
      <c r="E144" s="3">
        <v>3</v>
      </c>
      <c r="F144" s="7" t="s">
        <v>341</v>
      </c>
      <c r="G144" s="5"/>
      <c r="H144" s="5"/>
      <c r="I144" s="5"/>
      <c r="J144" s="5"/>
      <c r="K144" s="5"/>
      <c r="L144" s="5"/>
    </row>
    <row r="145" spans="1:12">
      <c r="A145" s="3" t="s">
        <v>329</v>
      </c>
      <c r="B145" s="3" t="s">
        <v>17</v>
      </c>
      <c r="C145" s="3" t="s">
        <v>32</v>
      </c>
      <c r="D145" s="3" t="s">
        <v>35</v>
      </c>
      <c r="E145" s="3">
        <v>3</v>
      </c>
      <c r="F145" s="7" t="s">
        <v>341</v>
      </c>
      <c r="G145" s="5"/>
      <c r="H145" s="5"/>
      <c r="I145" s="5"/>
      <c r="J145" s="5"/>
      <c r="K145" s="5"/>
      <c r="L145" s="5"/>
    </row>
    <row r="146" spans="1:12">
      <c r="A146" s="3" t="s">
        <v>330</v>
      </c>
      <c r="B146" s="3" t="s">
        <v>17</v>
      </c>
      <c r="C146" s="3" t="s">
        <v>32</v>
      </c>
      <c r="D146" s="3" t="s">
        <v>35</v>
      </c>
      <c r="E146" s="3">
        <v>3</v>
      </c>
      <c r="F146" s="7" t="s">
        <v>341</v>
      </c>
      <c r="G146" s="5"/>
      <c r="H146" s="5"/>
      <c r="I146" s="5"/>
      <c r="J146" s="5"/>
      <c r="K146" s="5"/>
      <c r="L146" s="5"/>
    </row>
    <row r="147" spans="1:12">
      <c r="A147" s="3" t="s">
        <v>331</v>
      </c>
      <c r="B147" s="3" t="s">
        <v>17</v>
      </c>
      <c r="C147" s="3" t="s">
        <v>32</v>
      </c>
      <c r="D147" s="3" t="s">
        <v>35</v>
      </c>
      <c r="E147" s="3">
        <v>3</v>
      </c>
      <c r="F147" s="7" t="s">
        <v>341</v>
      </c>
      <c r="G147" s="5"/>
      <c r="H147" s="5"/>
      <c r="I147" s="5"/>
      <c r="J147" s="5"/>
      <c r="K147" s="5"/>
      <c r="L147" s="5"/>
    </row>
    <row r="148" spans="1:12">
      <c r="A148" s="3" t="s">
        <v>51</v>
      </c>
      <c r="B148" s="3" t="s">
        <v>17</v>
      </c>
      <c r="C148" s="3" t="s">
        <v>32</v>
      </c>
      <c r="D148" s="3" t="s">
        <v>35</v>
      </c>
      <c r="E148" s="3">
        <v>3</v>
      </c>
      <c r="F148" s="7" t="s">
        <v>341</v>
      </c>
      <c r="G148" s="5"/>
      <c r="H148" s="5"/>
      <c r="I148" s="5"/>
      <c r="J148" s="5"/>
      <c r="K148" s="5"/>
      <c r="L148" s="5"/>
    </row>
    <row r="149" spans="1:12">
      <c r="A149" s="3" t="s">
        <v>332</v>
      </c>
      <c r="B149" s="3" t="s">
        <v>17</v>
      </c>
      <c r="C149" s="3" t="s">
        <v>32</v>
      </c>
      <c r="D149" s="3" t="s">
        <v>270</v>
      </c>
      <c r="E149" s="3">
        <v>3</v>
      </c>
      <c r="F149" s="7" t="s">
        <v>341</v>
      </c>
      <c r="G149" s="5"/>
      <c r="H149" s="5"/>
      <c r="I149" s="5"/>
      <c r="J149" s="5"/>
      <c r="K149" s="5"/>
      <c r="L149" s="5"/>
    </row>
    <row r="150" spans="1:12">
      <c r="A150" s="3" t="s">
        <v>52</v>
      </c>
      <c r="B150" s="3" t="s">
        <v>17</v>
      </c>
      <c r="C150" s="3" t="s">
        <v>32</v>
      </c>
      <c r="D150" s="3" t="s">
        <v>208</v>
      </c>
      <c r="E150" s="3">
        <v>3</v>
      </c>
      <c r="F150" s="7" t="s">
        <v>341</v>
      </c>
      <c r="G150" s="5"/>
      <c r="H150" s="5"/>
      <c r="I150" s="5"/>
      <c r="J150" s="5"/>
      <c r="K150" s="5"/>
      <c r="L150" s="5"/>
    </row>
    <row r="151" spans="1:12">
      <c r="A151" s="3"/>
      <c r="B151" s="3"/>
      <c r="C151" s="3"/>
      <c r="D151" s="3"/>
      <c r="E151" s="3"/>
      <c r="F151" s="7"/>
      <c r="G151" s="5"/>
      <c r="H151" s="5"/>
      <c r="I151" s="5"/>
      <c r="J151" s="5"/>
      <c r="K151" s="5"/>
      <c r="L151" s="5"/>
    </row>
  </sheetData>
  <autoFilter ref="A1:F151" xr:uid="{00000000-0009-0000-0000-000008000000}"/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AC937-5990-4511-A184-06F5F71DA993}">
  <sheetPr>
    <tabColor theme="5" tint="0.39997558519241921"/>
    <outlinePr summaryBelow="0" summaryRight="0"/>
  </sheetPr>
  <dimension ref="A1:Z999"/>
  <sheetViews>
    <sheetView showGridLines="0" workbookViewId="0">
      <pane ySplit="2" topLeftCell="A51" activePane="bottomLeft" state="frozen"/>
      <selection activeCell="C89" sqref="C89:G89"/>
      <selection pane="bottomLeft" activeCell="C89" sqref="C89:G89"/>
    </sheetView>
  </sheetViews>
  <sheetFormatPr defaultColWidth="0" defaultRowHeight="0" customHeight="1" zeroHeight="1"/>
  <cols>
    <col min="1" max="1" width="0.875" style="84" customWidth="1"/>
    <col min="2" max="2" width="7.5" style="84" customWidth="1"/>
    <col min="3" max="3" width="0.875" style="84" customWidth="1"/>
    <col min="4" max="4" width="4" style="84" customWidth="1"/>
    <col min="5" max="5" width="5.875" style="84" customWidth="1"/>
    <col min="6" max="6" width="5.625" style="84" customWidth="1"/>
    <col min="7" max="7" width="11.25" style="84" customWidth="1"/>
    <col min="8" max="8" width="9.125" style="84" customWidth="1"/>
    <col min="9" max="9" width="12.75" style="84" customWidth="1"/>
    <col min="10" max="10" width="1.375" style="84" customWidth="1"/>
    <col min="11" max="11" width="1" style="84" customWidth="1"/>
    <col min="12" max="12" width="10.75" style="84" customWidth="1"/>
    <col min="13" max="13" width="10.125" style="84" customWidth="1"/>
    <col min="14" max="14" width="16.625" style="84" customWidth="1"/>
    <col min="15" max="15" width="8.375" style="84" customWidth="1"/>
    <col min="16" max="16" width="9.5" style="84" customWidth="1"/>
    <col min="17" max="17" width="1.25" style="84" customWidth="1"/>
    <col min="18" max="18" width="0.5" style="84" customWidth="1"/>
    <col min="19" max="26" width="0" style="84" hidden="1" customWidth="1"/>
    <col min="27" max="16384" width="11" style="84" hidden="1"/>
  </cols>
  <sheetData>
    <row r="1" spans="2:26" ht="13.5"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spans="2:26" ht="39" thickBot="1">
      <c r="B2" s="650" t="s">
        <v>358</v>
      </c>
      <c r="C2" s="651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83"/>
      <c r="S2" s="83"/>
      <c r="T2" s="83"/>
      <c r="U2" s="83"/>
      <c r="V2" s="83"/>
      <c r="W2" s="83"/>
      <c r="X2" s="83"/>
      <c r="Y2" s="83"/>
      <c r="Z2" s="83"/>
    </row>
    <row r="3" spans="2:26" ht="24" customHeight="1" thickBot="1">
      <c r="B3" s="85" t="s">
        <v>359</v>
      </c>
      <c r="C3" s="652" t="s">
        <v>360</v>
      </c>
      <c r="D3" s="653"/>
      <c r="E3" s="653"/>
      <c r="F3" s="653"/>
      <c r="G3" s="653"/>
      <c r="H3" s="653"/>
      <c r="I3" s="653"/>
      <c r="J3" s="654"/>
      <c r="K3" s="655" t="s">
        <v>361</v>
      </c>
      <c r="L3" s="656"/>
      <c r="M3" s="656"/>
      <c r="N3" s="656"/>
      <c r="O3" s="656"/>
      <c r="P3" s="656"/>
      <c r="Q3" s="657"/>
      <c r="R3" s="83"/>
      <c r="S3" s="83"/>
      <c r="T3" s="83"/>
      <c r="U3" s="83"/>
      <c r="V3" s="83"/>
      <c r="W3" s="83"/>
      <c r="X3" s="83"/>
      <c r="Y3" s="83"/>
      <c r="Z3" s="83"/>
    </row>
    <row r="4" spans="2:26" ht="13.5">
      <c r="B4" s="658" t="s">
        <v>362</v>
      </c>
      <c r="C4" s="86" t="s">
        <v>363</v>
      </c>
      <c r="D4" s="87"/>
      <c r="E4" s="87"/>
      <c r="F4" s="87"/>
      <c r="G4" s="87"/>
      <c r="H4" s="87"/>
      <c r="I4" s="87"/>
      <c r="J4" s="88"/>
      <c r="K4" s="89" t="s">
        <v>363</v>
      </c>
      <c r="L4" s="87"/>
      <c r="M4" s="87"/>
      <c r="N4" s="87"/>
      <c r="O4" s="87"/>
      <c r="P4" s="87"/>
      <c r="Q4" s="88"/>
      <c r="R4" s="83"/>
      <c r="S4" s="83"/>
      <c r="T4" s="83"/>
      <c r="U4" s="83"/>
      <c r="V4" s="83"/>
      <c r="W4" s="83"/>
      <c r="X4" s="83"/>
      <c r="Y4" s="83"/>
      <c r="Z4" s="83"/>
    </row>
    <row r="5" spans="2:26" ht="18.75" customHeight="1">
      <c r="B5" s="659"/>
      <c r="C5" s="90"/>
      <c r="D5" s="646" t="s">
        <v>364</v>
      </c>
      <c r="E5" s="647"/>
      <c r="F5" s="647"/>
      <c r="G5" s="648"/>
      <c r="H5" s="649" t="s">
        <v>365</v>
      </c>
      <c r="I5" s="647"/>
      <c r="J5" s="91"/>
      <c r="K5" s="92"/>
      <c r="L5" s="646" t="s">
        <v>364</v>
      </c>
      <c r="M5" s="647"/>
      <c r="N5" s="648"/>
      <c r="O5" s="649" t="s">
        <v>366</v>
      </c>
      <c r="P5" s="647"/>
      <c r="Q5" s="91"/>
      <c r="R5" s="83"/>
      <c r="S5" s="83"/>
      <c r="T5" s="83"/>
      <c r="U5" s="83"/>
      <c r="V5" s="83"/>
      <c r="W5" s="83"/>
      <c r="X5" s="83"/>
      <c r="Y5" s="83"/>
      <c r="Z5" s="83"/>
    </row>
    <row r="6" spans="2:26" ht="18.75" customHeight="1">
      <c r="B6" s="659"/>
      <c r="C6" s="90"/>
      <c r="D6" s="646" t="s">
        <v>367</v>
      </c>
      <c r="E6" s="647"/>
      <c r="F6" s="647"/>
      <c r="G6" s="648"/>
      <c r="H6" s="649" t="s">
        <v>368</v>
      </c>
      <c r="I6" s="647"/>
      <c r="J6" s="91"/>
      <c r="K6" s="92"/>
      <c r="L6" s="646" t="s">
        <v>367</v>
      </c>
      <c r="M6" s="647"/>
      <c r="N6" s="648"/>
      <c r="O6" s="649" t="s">
        <v>369</v>
      </c>
      <c r="P6" s="647"/>
      <c r="Q6" s="91"/>
      <c r="R6" s="83"/>
      <c r="S6" s="83"/>
      <c r="T6" s="83"/>
      <c r="U6" s="83"/>
      <c r="V6" s="83"/>
      <c r="W6" s="83"/>
      <c r="X6" s="83"/>
      <c r="Y6" s="83"/>
      <c r="Z6" s="83"/>
    </row>
    <row r="7" spans="2:26" ht="18.75" customHeight="1">
      <c r="B7" s="659"/>
      <c r="C7" s="90"/>
      <c r="D7" s="646" t="s">
        <v>370</v>
      </c>
      <c r="E7" s="647"/>
      <c r="F7" s="647"/>
      <c r="G7" s="648"/>
      <c r="H7" s="649" t="s">
        <v>371</v>
      </c>
      <c r="I7" s="647"/>
      <c r="J7" s="91"/>
      <c r="K7" s="92"/>
      <c r="L7" s="646" t="s">
        <v>370</v>
      </c>
      <c r="M7" s="647"/>
      <c r="N7" s="648"/>
      <c r="O7" s="649" t="s">
        <v>372</v>
      </c>
      <c r="P7" s="647"/>
      <c r="Q7" s="91"/>
      <c r="R7" s="83"/>
      <c r="S7" s="83"/>
      <c r="T7" s="83"/>
      <c r="U7" s="83"/>
      <c r="V7" s="83"/>
      <c r="W7" s="83"/>
      <c r="X7" s="83"/>
      <c r="Y7" s="83"/>
      <c r="Z7" s="83"/>
    </row>
    <row r="8" spans="2:26" ht="18.75" customHeight="1">
      <c r="B8" s="659"/>
      <c r="C8" s="90"/>
      <c r="D8" s="646" t="s">
        <v>373</v>
      </c>
      <c r="E8" s="647"/>
      <c r="F8" s="647"/>
      <c r="G8" s="648"/>
      <c r="H8" s="649" t="s">
        <v>374</v>
      </c>
      <c r="I8" s="647"/>
      <c r="J8" s="91"/>
      <c r="K8" s="92"/>
      <c r="L8" s="646" t="s">
        <v>373</v>
      </c>
      <c r="M8" s="647"/>
      <c r="N8" s="648"/>
      <c r="O8" s="649" t="s">
        <v>374</v>
      </c>
      <c r="P8" s="647"/>
      <c r="Q8" s="91"/>
      <c r="R8" s="83"/>
      <c r="S8" s="83"/>
      <c r="T8" s="83"/>
      <c r="U8" s="83"/>
      <c r="V8" s="83"/>
      <c r="W8" s="83"/>
      <c r="X8" s="83"/>
      <c r="Y8" s="83"/>
      <c r="Z8" s="83"/>
    </row>
    <row r="9" spans="2:26" ht="8.25" customHeight="1" thickBot="1">
      <c r="B9" s="660"/>
      <c r="C9" s="93"/>
      <c r="D9" s="94"/>
      <c r="E9" s="94"/>
      <c r="F9" s="94"/>
      <c r="G9" s="94"/>
      <c r="H9" s="94"/>
      <c r="I9" s="94"/>
      <c r="J9" s="95"/>
      <c r="K9" s="96"/>
      <c r="L9" s="94"/>
      <c r="M9" s="94"/>
      <c r="N9" s="94"/>
      <c r="O9" s="94"/>
      <c r="P9" s="94"/>
      <c r="Q9" s="95"/>
      <c r="R9" s="83"/>
      <c r="S9" s="83"/>
      <c r="T9" s="83"/>
      <c r="U9" s="83"/>
      <c r="V9" s="83"/>
      <c r="W9" s="83"/>
      <c r="X9" s="83"/>
      <c r="Y9" s="83"/>
      <c r="Z9" s="83"/>
    </row>
    <row r="10" spans="2:26" ht="6.75" customHeight="1">
      <c r="B10" s="658" t="s">
        <v>375</v>
      </c>
      <c r="C10" s="86"/>
      <c r="D10" s="87"/>
      <c r="E10" s="87"/>
      <c r="F10" s="87"/>
      <c r="G10" s="87"/>
      <c r="H10" s="87"/>
      <c r="I10" s="87"/>
      <c r="J10" s="88"/>
      <c r="K10" s="89"/>
      <c r="L10" s="87"/>
      <c r="M10" s="87"/>
      <c r="N10" s="87"/>
      <c r="O10" s="87"/>
      <c r="P10" s="87"/>
      <c r="Q10" s="88"/>
      <c r="R10" s="83"/>
      <c r="S10" s="83"/>
      <c r="T10" s="83"/>
      <c r="U10" s="83"/>
      <c r="V10" s="83"/>
      <c r="W10" s="83"/>
      <c r="X10" s="83"/>
      <c r="Y10" s="83"/>
      <c r="Z10" s="83"/>
    </row>
    <row r="11" spans="2:26" ht="16.5" customHeight="1">
      <c r="B11" s="659"/>
      <c r="C11" s="90"/>
      <c r="D11" s="646" t="s">
        <v>317</v>
      </c>
      <c r="E11" s="647"/>
      <c r="F11" s="647"/>
      <c r="G11" s="649" t="s">
        <v>376</v>
      </c>
      <c r="H11" s="647"/>
      <c r="I11" s="647"/>
      <c r="J11" s="91"/>
      <c r="K11" s="92"/>
      <c r="L11" s="661" t="s">
        <v>317</v>
      </c>
      <c r="M11" s="662"/>
      <c r="N11" s="665" t="s">
        <v>377</v>
      </c>
      <c r="O11" s="666"/>
      <c r="P11" s="666"/>
      <c r="Q11" s="91"/>
      <c r="R11" s="83"/>
      <c r="S11" s="83"/>
      <c r="T11" s="83"/>
      <c r="U11" s="83"/>
      <c r="V11" s="83"/>
      <c r="W11" s="83"/>
      <c r="X11" s="83"/>
      <c r="Y11" s="83"/>
      <c r="Z11" s="83"/>
    </row>
    <row r="12" spans="2:26" ht="16.5" customHeight="1">
      <c r="B12" s="659"/>
      <c r="C12" s="90"/>
      <c r="D12" s="646" t="s">
        <v>378</v>
      </c>
      <c r="E12" s="647"/>
      <c r="F12" s="647"/>
      <c r="G12" s="649" t="s">
        <v>379</v>
      </c>
      <c r="H12" s="647"/>
      <c r="I12" s="647"/>
      <c r="J12" s="91"/>
      <c r="K12" s="92"/>
      <c r="L12" s="663"/>
      <c r="M12" s="664"/>
      <c r="N12" s="667"/>
      <c r="O12" s="663"/>
      <c r="P12" s="663"/>
      <c r="Q12" s="91"/>
      <c r="R12" s="83"/>
      <c r="S12" s="83"/>
      <c r="T12" s="83"/>
      <c r="U12" s="83"/>
      <c r="V12" s="83"/>
      <c r="W12" s="83"/>
      <c r="X12" s="83"/>
      <c r="Y12" s="83"/>
      <c r="Z12" s="83"/>
    </row>
    <row r="13" spans="2:26" ht="16.5" customHeight="1">
      <c r="B13" s="659"/>
      <c r="C13" s="90"/>
      <c r="D13" s="646" t="s">
        <v>380</v>
      </c>
      <c r="E13" s="647"/>
      <c r="F13" s="647"/>
      <c r="G13" s="649" t="s">
        <v>381</v>
      </c>
      <c r="H13" s="647"/>
      <c r="I13" s="647"/>
      <c r="J13" s="91"/>
      <c r="K13" s="92"/>
      <c r="L13" s="646" t="s">
        <v>382</v>
      </c>
      <c r="M13" s="648"/>
      <c r="N13" s="649" t="s">
        <v>381</v>
      </c>
      <c r="O13" s="647"/>
      <c r="P13" s="647"/>
      <c r="Q13" s="91"/>
      <c r="R13" s="83"/>
      <c r="S13" s="83"/>
      <c r="T13" s="83"/>
      <c r="U13" s="83"/>
      <c r="V13" s="83"/>
      <c r="W13" s="83"/>
      <c r="X13" s="83"/>
      <c r="Y13" s="83"/>
      <c r="Z13" s="83"/>
    </row>
    <row r="14" spans="2:26" ht="6.75" customHeight="1" thickBot="1">
      <c r="B14" s="660"/>
      <c r="C14" s="93"/>
      <c r="D14" s="94"/>
      <c r="E14" s="94"/>
      <c r="F14" s="94"/>
      <c r="G14" s="94"/>
      <c r="H14" s="94"/>
      <c r="I14" s="94"/>
      <c r="J14" s="95"/>
      <c r="K14" s="96"/>
      <c r="L14" s="94"/>
      <c r="M14" s="94"/>
      <c r="N14" s="94"/>
      <c r="O14" s="94"/>
      <c r="P14" s="94"/>
      <c r="Q14" s="95"/>
      <c r="R14" s="83"/>
      <c r="S14" s="83"/>
      <c r="T14" s="83"/>
      <c r="U14" s="83"/>
      <c r="V14" s="83"/>
      <c r="W14" s="83"/>
      <c r="X14" s="83"/>
      <c r="Y14" s="83"/>
      <c r="Z14" s="83"/>
    </row>
    <row r="15" spans="2:26" ht="6.75" customHeight="1">
      <c r="B15" s="658" t="s">
        <v>383</v>
      </c>
      <c r="C15" s="86"/>
      <c r="D15" s="87"/>
      <c r="E15" s="87"/>
      <c r="F15" s="87"/>
      <c r="G15" s="87"/>
      <c r="H15" s="87"/>
      <c r="I15" s="87"/>
      <c r="J15" s="88"/>
      <c r="K15" s="89"/>
      <c r="L15" s="87"/>
      <c r="M15" s="87"/>
      <c r="N15" s="87"/>
      <c r="O15" s="87"/>
      <c r="P15" s="87"/>
      <c r="Q15" s="88"/>
      <c r="R15" s="83"/>
      <c r="S15" s="83"/>
      <c r="T15" s="83"/>
      <c r="U15" s="83"/>
      <c r="V15" s="83"/>
      <c r="W15" s="83"/>
      <c r="X15" s="83"/>
      <c r="Y15" s="83"/>
      <c r="Z15" s="83"/>
    </row>
    <row r="16" spans="2:26" ht="20.25" customHeight="1">
      <c r="B16" s="659"/>
      <c r="C16" s="90"/>
      <c r="D16" s="646" t="s">
        <v>384</v>
      </c>
      <c r="E16" s="647"/>
      <c r="F16" s="647"/>
      <c r="G16" s="648"/>
      <c r="H16" s="649">
        <v>1</v>
      </c>
      <c r="I16" s="647"/>
      <c r="J16" s="91"/>
      <c r="K16" s="92"/>
      <c r="L16" s="646" t="s">
        <v>384</v>
      </c>
      <c r="M16" s="647"/>
      <c r="N16" s="648"/>
      <c r="O16" s="649" t="s">
        <v>385</v>
      </c>
      <c r="P16" s="647"/>
      <c r="Q16" s="91"/>
      <c r="R16" s="83"/>
      <c r="S16" s="83"/>
      <c r="T16" s="83"/>
      <c r="U16" s="83"/>
      <c r="V16" s="83"/>
      <c r="W16" s="83"/>
      <c r="X16" s="83"/>
      <c r="Y16" s="83"/>
      <c r="Z16" s="83"/>
    </row>
    <row r="17" spans="2:26" ht="20.25" customHeight="1">
      <c r="B17" s="659"/>
      <c r="C17" s="90"/>
      <c r="D17" s="646" t="s">
        <v>386</v>
      </c>
      <c r="E17" s="647"/>
      <c r="F17" s="647"/>
      <c r="G17" s="648"/>
      <c r="H17" s="649">
        <v>179</v>
      </c>
      <c r="I17" s="647"/>
      <c r="J17" s="91"/>
      <c r="K17" s="92"/>
      <c r="L17" s="646" t="s">
        <v>387</v>
      </c>
      <c r="M17" s="647"/>
      <c r="N17" s="648"/>
      <c r="O17" s="649" t="s">
        <v>388</v>
      </c>
      <c r="P17" s="647"/>
      <c r="Q17" s="91"/>
      <c r="R17" s="83"/>
      <c r="S17" s="83"/>
      <c r="T17" s="83"/>
      <c r="U17" s="83"/>
      <c r="V17" s="83"/>
      <c r="W17" s="83"/>
      <c r="X17" s="83"/>
      <c r="Y17" s="83"/>
      <c r="Z17" s="83"/>
    </row>
    <row r="18" spans="2:26" ht="20.25" customHeight="1">
      <c r="B18" s="659"/>
      <c r="C18" s="90"/>
      <c r="D18" s="646" t="s">
        <v>389</v>
      </c>
      <c r="E18" s="647"/>
      <c r="F18" s="647"/>
      <c r="G18" s="648"/>
      <c r="H18" s="649">
        <v>368</v>
      </c>
      <c r="I18" s="647"/>
      <c r="J18" s="91"/>
      <c r="K18" s="92"/>
      <c r="L18" s="646" t="s">
        <v>390</v>
      </c>
      <c r="M18" s="647"/>
      <c r="N18" s="648"/>
      <c r="O18" s="649" t="s">
        <v>391</v>
      </c>
      <c r="P18" s="647"/>
      <c r="Q18" s="91"/>
      <c r="R18" s="83"/>
      <c r="S18" s="83"/>
      <c r="T18" s="83"/>
      <c r="U18" s="83"/>
      <c r="V18" s="83"/>
      <c r="W18" s="83"/>
      <c r="X18" s="83"/>
      <c r="Y18" s="83"/>
      <c r="Z18" s="83"/>
    </row>
    <row r="19" spans="2:26" ht="20.25" customHeight="1">
      <c r="B19" s="659"/>
      <c r="C19" s="90"/>
      <c r="D19" s="646" t="s">
        <v>392</v>
      </c>
      <c r="E19" s="647"/>
      <c r="F19" s="647"/>
      <c r="G19" s="648"/>
      <c r="H19" s="649">
        <v>548</v>
      </c>
      <c r="I19" s="647"/>
      <c r="J19" s="91"/>
      <c r="K19" s="92"/>
      <c r="L19" s="646" t="s">
        <v>392</v>
      </c>
      <c r="M19" s="647"/>
      <c r="N19" s="648"/>
      <c r="O19" s="649" t="s">
        <v>393</v>
      </c>
      <c r="P19" s="647"/>
      <c r="Q19" s="91"/>
      <c r="R19" s="83"/>
      <c r="S19" s="83"/>
      <c r="T19" s="83"/>
      <c r="U19" s="83"/>
      <c r="V19" s="83"/>
      <c r="W19" s="83"/>
      <c r="X19" s="83"/>
      <c r="Y19" s="83"/>
      <c r="Z19" s="83"/>
    </row>
    <row r="20" spans="2:26" ht="5.25" customHeight="1" thickBot="1">
      <c r="B20" s="660"/>
      <c r="C20" s="93"/>
      <c r="D20" s="94"/>
      <c r="E20" s="94"/>
      <c r="F20" s="94"/>
      <c r="G20" s="94"/>
      <c r="H20" s="94"/>
      <c r="I20" s="94"/>
      <c r="J20" s="95"/>
      <c r="K20" s="96"/>
      <c r="L20" s="94"/>
      <c r="M20" s="94"/>
      <c r="N20" s="94"/>
      <c r="O20" s="94"/>
      <c r="P20" s="94"/>
      <c r="Q20" s="95"/>
      <c r="R20" s="83"/>
      <c r="S20" s="83"/>
      <c r="T20" s="83"/>
      <c r="U20" s="83"/>
      <c r="V20" s="83"/>
      <c r="W20" s="83"/>
      <c r="X20" s="83"/>
      <c r="Y20" s="83"/>
      <c r="Z20" s="83"/>
    </row>
    <row r="21" spans="2:26" ht="5.25" customHeight="1">
      <c r="B21" s="658" t="s">
        <v>394</v>
      </c>
      <c r="C21" s="86"/>
      <c r="D21" s="87"/>
      <c r="E21" s="87"/>
      <c r="F21" s="87"/>
      <c r="G21" s="87"/>
      <c r="H21" s="87"/>
      <c r="I21" s="87"/>
      <c r="J21" s="88"/>
      <c r="K21" s="89"/>
      <c r="L21" s="87"/>
      <c r="M21" s="87"/>
      <c r="N21" s="87"/>
      <c r="O21" s="87"/>
      <c r="P21" s="87"/>
      <c r="Q21" s="88"/>
      <c r="R21" s="83"/>
      <c r="S21" s="83"/>
      <c r="T21" s="83"/>
      <c r="U21" s="83"/>
      <c r="V21" s="83"/>
      <c r="W21" s="83"/>
      <c r="X21" s="83"/>
      <c r="Y21" s="83"/>
      <c r="Z21" s="83"/>
    </row>
    <row r="22" spans="2:26" ht="27.75" thickBot="1">
      <c r="B22" s="659"/>
      <c r="C22" s="90"/>
      <c r="D22" s="97"/>
      <c r="E22" s="98"/>
      <c r="F22" s="99" t="s">
        <v>395</v>
      </c>
      <c r="G22" s="99" t="s">
        <v>396</v>
      </c>
      <c r="H22" s="99" t="s">
        <v>397</v>
      </c>
      <c r="I22" s="100" t="s">
        <v>398</v>
      </c>
      <c r="J22" s="101"/>
      <c r="K22" s="102"/>
      <c r="L22" s="97"/>
      <c r="M22" s="99" t="s">
        <v>396</v>
      </c>
      <c r="N22" s="99" t="s">
        <v>399</v>
      </c>
      <c r="O22" s="668" t="s">
        <v>398</v>
      </c>
      <c r="P22" s="669"/>
      <c r="Q22" s="91"/>
      <c r="R22" s="83"/>
      <c r="S22" s="83"/>
      <c r="T22" s="83"/>
      <c r="U22" s="83"/>
      <c r="V22" s="83"/>
      <c r="W22" s="83"/>
      <c r="X22" s="83"/>
      <c r="Y22" s="83"/>
      <c r="Z22" s="83"/>
    </row>
    <row r="23" spans="2:26" ht="14.25" thickTop="1">
      <c r="B23" s="659"/>
      <c r="C23" s="90"/>
      <c r="D23" s="670" t="s">
        <v>396</v>
      </c>
      <c r="E23" s="672" t="s">
        <v>400</v>
      </c>
      <c r="F23" s="672" t="s">
        <v>401</v>
      </c>
      <c r="G23" s="103" t="s">
        <v>402</v>
      </c>
      <c r="H23" s="103" t="s">
        <v>403</v>
      </c>
      <c r="I23" s="675">
        <v>24</v>
      </c>
      <c r="J23" s="101"/>
      <c r="K23" s="102"/>
      <c r="L23" s="670" t="s">
        <v>404</v>
      </c>
      <c r="M23" s="104" t="s">
        <v>402</v>
      </c>
      <c r="N23" s="104" t="s">
        <v>405</v>
      </c>
      <c r="O23" s="675">
        <v>24</v>
      </c>
      <c r="P23" s="683"/>
      <c r="Q23" s="91"/>
      <c r="R23" s="83"/>
      <c r="S23" s="83"/>
      <c r="T23" s="83"/>
      <c r="U23" s="83"/>
      <c r="V23" s="83"/>
      <c r="W23" s="83"/>
      <c r="X23" s="83"/>
      <c r="Y23" s="83"/>
      <c r="Z23" s="83"/>
    </row>
    <row r="24" spans="2:26" ht="13.5">
      <c r="B24" s="659"/>
      <c r="C24" s="90"/>
      <c r="D24" s="671"/>
      <c r="E24" s="673"/>
      <c r="F24" s="673"/>
      <c r="G24" s="105" t="s">
        <v>406</v>
      </c>
      <c r="H24" s="105" t="s">
        <v>407</v>
      </c>
      <c r="I24" s="676"/>
      <c r="J24" s="101"/>
      <c r="K24" s="102"/>
      <c r="L24" s="671"/>
      <c r="M24" s="106" t="s">
        <v>406</v>
      </c>
      <c r="N24" s="106" t="s">
        <v>408</v>
      </c>
      <c r="O24" s="676"/>
      <c r="P24" s="684"/>
      <c r="Q24" s="91"/>
      <c r="R24" s="83"/>
      <c r="S24" s="83"/>
      <c r="T24" s="83"/>
      <c r="U24" s="83"/>
      <c r="V24" s="83"/>
      <c r="W24" s="83"/>
      <c r="X24" s="83"/>
      <c r="Y24" s="83"/>
      <c r="Z24" s="83"/>
    </row>
    <row r="25" spans="2:26" ht="13.5">
      <c r="B25" s="659"/>
      <c r="C25" s="90"/>
      <c r="D25" s="671"/>
      <c r="E25" s="673"/>
      <c r="F25" s="673"/>
      <c r="G25" s="105" t="s">
        <v>409</v>
      </c>
      <c r="H25" s="105" t="s">
        <v>410</v>
      </c>
      <c r="I25" s="677"/>
      <c r="J25" s="101"/>
      <c r="K25" s="102"/>
      <c r="L25" s="671"/>
      <c r="M25" s="106" t="s">
        <v>409</v>
      </c>
      <c r="N25" s="106" t="s">
        <v>411</v>
      </c>
      <c r="O25" s="667"/>
      <c r="P25" s="663"/>
      <c r="Q25" s="91"/>
      <c r="R25" s="83"/>
      <c r="S25" s="83"/>
      <c r="T25" s="83"/>
      <c r="U25" s="83"/>
      <c r="V25" s="83"/>
      <c r="W25" s="83"/>
      <c r="X25" s="83"/>
      <c r="Y25" s="83"/>
      <c r="Z25" s="83"/>
    </row>
    <row r="26" spans="2:26" ht="13.5">
      <c r="B26" s="659"/>
      <c r="C26" s="90"/>
      <c r="D26" s="671"/>
      <c r="E26" s="673"/>
      <c r="F26" s="674"/>
      <c r="G26" s="107" t="s">
        <v>412</v>
      </c>
      <c r="H26" s="107" t="s">
        <v>413</v>
      </c>
      <c r="I26" s="108">
        <v>6</v>
      </c>
      <c r="J26" s="101"/>
      <c r="K26" s="102"/>
      <c r="L26" s="671"/>
      <c r="M26" s="685" t="s">
        <v>414</v>
      </c>
      <c r="N26" s="109" t="s">
        <v>415</v>
      </c>
      <c r="O26" s="686">
        <v>6</v>
      </c>
      <c r="P26" s="687"/>
      <c r="Q26" s="91"/>
      <c r="R26" s="83"/>
      <c r="S26" s="83"/>
      <c r="T26" s="83"/>
      <c r="U26" s="83"/>
      <c r="V26" s="83"/>
      <c r="W26" s="83"/>
      <c r="X26" s="83"/>
      <c r="Y26" s="83"/>
      <c r="Z26" s="83"/>
    </row>
    <row r="27" spans="2:26" ht="40.5">
      <c r="B27" s="659"/>
      <c r="C27" s="90"/>
      <c r="D27" s="671"/>
      <c r="E27" s="673"/>
      <c r="F27" s="685" t="s">
        <v>416</v>
      </c>
      <c r="G27" s="109" t="s">
        <v>414</v>
      </c>
      <c r="H27" s="109" t="s">
        <v>417</v>
      </c>
      <c r="I27" s="688">
        <v>12</v>
      </c>
      <c r="J27" s="101"/>
      <c r="K27" s="102"/>
      <c r="L27" s="671"/>
      <c r="M27" s="674"/>
      <c r="N27" s="107" t="s">
        <v>418</v>
      </c>
      <c r="O27" s="689">
        <v>12</v>
      </c>
      <c r="P27" s="690"/>
      <c r="Q27" s="91"/>
      <c r="R27" s="83"/>
      <c r="S27" s="83"/>
      <c r="T27" s="83"/>
      <c r="U27" s="83"/>
      <c r="V27" s="83"/>
      <c r="W27" s="83"/>
      <c r="X27" s="83"/>
      <c r="Y27" s="83"/>
      <c r="Z27" s="83"/>
    </row>
    <row r="28" spans="2:26" ht="13.5">
      <c r="B28" s="659"/>
      <c r="C28" s="90"/>
      <c r="D28" s="671"/>
      <c r="E28" s="673"/>
      <c r="F28" s="674"/>
      <c r="G28" s="107" t="s">
        <v>419</v>
      </c>
      <c r="H28" s="107" t="s">
        <v>420</v>
      </c>
      <c r="I28" s="667"/>
      <c r="J28" s="101"/>
      <c r="K28" s="102"/>
      <c r="L28" s="671"/>
      <c r="M28" s="106" t="s">
        <v>419</v>
      </c>
      <c r="N28" s="106" t="s">
        <v>421</v>
      </c>
      <c r="O28" s="667"/>
      <c r="P28" s="663"/>
      <c r="Q28" s="91"/>
      <c r="R28" s="83"/>
      <c r="S28" s="83"/>
      <c r="T28" s="83"/>
      <c r="U28" s="83"/>
      <c r="V28" s="83"/>
      <c r="W28" s="83"/>
      <c r="X28" s="83"/>
      <c r="Y28" s="83"/>
      <c r="Z28" s="83"/>
    </row>
    <row r="29" spans="2:26" ht="13.5">
      <c r="B29" s="659"/>
      <c r="C29" s="90"/>
      <c r="D29" s="671"/>
      <c r="E29" s="673"/>
      <c r="F29" s="685" t="s">
        <v>422</v>
      </c>
      <c r="G29" s="109" t="s">
        <v>423</v>
      </c>
      <c r="H29" s="110"/>
      <c r="I29" s="111">
        <v>8</v>
      </c>
      <c r="J29" s="101"/>
      <c r="K29" s="102"/>
      <c r="L29" s="671"/>
      <c r="M29" s="106" t="s">
        <v>423</v>
      </c>
      <c r="N29" s="112"/>
      <c r="O29" s="680">
        <v>8</v>
      </c>
      <c r="P29" s="647"/>
      <c r="Q29" s="91"/>
      <c r="R29" s="83"/>
      <c r="S29" s="83"/>
      <c r="T29" s="83"/>
      <c r="U29" s="83"/>
      <c r="V29" s="83"/>
      <c r="W29" s="83"/>
      <c r="X29" s="83"/>
      <c r="Y29" s="83"/>
      <c r="Z29" s="83"/>
    </row>
    <row r="30" spans="2:26" ht="13.5">
      <c r="B30" s="659"/>
      <c r="C30" s="90"/>
      <c r="D30" s="671"/>
      <c r="E30" s="673"/>
      <c r="F30" s="674"/>
      <c r="G30" s="107" t="s">
        <v>424</v>
      </c>
      <c r="H30" s="113"/>
      <c r="I30" s="108">
        <v>6</v>
      </c>
      <c r="J30" s="101"/>
      <c r="K30" s="102"/>
      <c r="L30" s="671"/>
      <c r="M30" s="106" t="s">
        <v>424</v>
      </c>
      <c r="N30" s="112"/>
      <c r="O30" s="680">
        <v>6</v>
      </c>
      <c r="P30" s="647"/>
      <c r="Q30" s="91"/>
      <c r="R30" s="83"/>
      <c r="S30" s="83"/>
      <c r="T30" s="83"/>
      <c r="U30" s="83"/>
      <c r="V30" s="83"/>
      <c r="W30" s="83"/>
      <c r="X30" s="83"/>
      <c r="Y30" s="83"/>
      <c r="Z30" s="83"/>
    </row>
    <row r="31" spans="2:26" ht="54">
      <c r="B31" s="659"/>
      <c r="C31" s="90"/>
      <c r="D31" s="671"/>
      <c r="E31" s="673"/>
      <c r="F31" s="106" t="s">
        <v>425</v>
      </c>
      <c r="G31" s="106" t="s">
        <v>426</v>
      </c>
      <c r="H31" s="112"/>
      <c r="I31" s="114">
        <v>10</v>
      </c>
      <c r="J31" s="101"/>
      <c r="K31" s="102"/>
      <c r="L31" s="671"/>
      <c r="M31" s="106" t="s">
        <v>427</v>
      </c>
      <c r="N31" s="112"/>
      <c r="O31" s="680">
        <v>8</v>
      </c>
      <c r="P31" s="647"/>
      <c r="Q31" s="91"/>
      <c r="R31" s="83"/>
      <c r="S31" s="83"/>
      <c r="T31" s="83"/>
      <c r="U31" s="83"/>
      <c r="V31" s="83"/>
      <c r="W31" s="83"/>
      <c r="X31" s="83"/>
      <c r="Y31" s="83"/>
      <c r="Z31" s="83"/>
    </row>
    <row r="32" spans="2:26" ht="18.75" customHeight="1">
      <c r="B32" s="659"/>
      <c r="C32" s="90"/>
      <c r="D32" s="671"/>
      <c r="E32" s="674"/>
      <c r="F32" s="681" t="s">
        <v>392</v>
      </c>
      <c r="G32" s="647"/>
      <c r="H32" s="648"/>
      <c r="I32" s="115">
        <v>66</v>
      </c>
      <c r="J32" s="101"/>
      <c r="K32" s="102"/>
      <c r="L32" s="664"/>
      <c r="M32" s="681" t="s">
        <v>392</v>
      </c>
      <c r="N32" s="648"/>
      <c r="O32" s="682">
        <v>64</v>
      </c>
      <c r="P32" s="647"/>
      <c r="Q32" s="91"/>
      <c r="R32" s="83"/>
      <c r="S32" s="83"/>
      <c r="T32" s="83"/>
      <c r="U32" s="83"/>
      <c r="V32" s="83"/>
      <c r="W32" s="83"/>
      <c r="X32" s="83"/>
      <c r="Y32" s="83"/>
      <c r="Z32" s="83"/>
    </row>
    <row r="33" spans="2:26" ht="35.25" customHeight="1">
      <c r="B33" s="659"/>
      <c r="C33" s="90"/>
      <c r="D33" s="664"/>
      <c r="E33" s="116" t="s">
        <v>428</v>
      </c>
      <c r="F33" s="681" t="s">
        <v>429</v>
      </c>
      <c r="G33" s="647"/>
      <c r="H33" s="648"/>
      <c r="I33" s="115">
        <v>86</v>
      </c>
      <c r="J33" s="101"/>
      <c r="K33" s="102"/>
      <c r="L33" s="117" t="s">
        <v>430</v>
      </c>
      <c r="M33" s="681" t="s">
        <v>431</v>
      </c>
      <c r="N33" s="648"/>
      <c r="O33" s="682">
        <v>80</v>
      </c>
      <c r="P33" s="647"/>
      <c r="Q33" s="91"/>
      <c r="R33" s="83"/>
      <c r="S33" s="83"/>
      <c r="T33" s="83"/>
      <c r="U33" s="83"/>
      <c r="V33" s="83"/>
      <c r="W33" s="83"/>
      <c r="X33" s="83"/>
      <c r="Y33" s="83"/>
      <c r="Z33" s="83"/>
    </row>
    <row r="34" spans="2:26" ht="21.75" customHeight="1">
      <c r="B34" s="659"/>
      <c r="C34" s="90"/>
      <c r="D34" s="678" t="s">
        <v>370</v>
      </c>
      <c r="E34" s="647"/>
      <c r="F34" s="647"/>
      <c r="G34" s="647"/>
      <c r="H34" s="648"/>
      <c r="I34" s="118">
        <v>22</v>
      </c>
      <c r="J34" s="101"/>
      <c r="K34" s="102"/>
      <c r="L34" s="678" t="s">
        <v>370</v>
      </c>
      <c r="M34" s="647"/>
      <c r="N34" s="648"/>
      <c r="O34" s="679">
        <v>30</v>
      </c>
      <c r="P34" s="647"/>
      <c r="Q34" s="91"/>
      <c r="R34" s="83"/>
      <c r="S34" s="83"/>
      <c r="T34" s="83"/>
      <c r="U34" s="83"/>
      <c r="V34" s="83"/>
      <c r="W34" s="83"/>
      <c r="X34" s="83"/>
      <c r="Y34" s="83"/>
      <c r="Z34" s="83"/>
    </row>
    <row r="35" spans="2:26" ht="24" customHeight="1">
      <c r="B35" s="659"/>
      <c r="C35" s="90"/>
      <c r="D35" s="678" t="s">
        <v>373</v>
      </c>
      <c r="E35" s="647"/>
      <c r="F35" s="647"/>
      <c r="G35" s="647"/>
      <c r="H35" s="648"/>
      <c r="I35" s="118">
        <v>18</v>
      </c>
      <c r="J35" s="101"/>
      <c r="K35" s="102"/>
      <c r="L35" s="678" t="s">
        <v>373</v>
      </c>
      <c r="M35" s="647"/>
      <c r="N35" s="648"/>
      <c r="O35" s="679">
        <v>18</v>
      </c>
      <c r="P35" s="647"/>
      <c r="Q35" s="91"/>
      <c r="R35" s="83"/>
      <c r="S35" s="83"/>
      <c r="T35" s="83"/>
      <c r="U35" s="83"/>
      <c r="V35" s="83"/>
      <c r="W35" s="83"/>
      <c r="X35" s="83"/>
      <c r="Y35" s="83"/>
      <c r="Z35" s="83"/>
    </row>
    <row r="36" spans="2:26" ht="13.5">
      <c r="B36" s="659"/>
      <c r="C36" s="90"/>
      <c r="D36" s="691" t="s">
        <v>432</v>
      </c>
      <c r="E36" s="647"/>
      <c r="F36" s="647"/>
      <c r="G36" s="647"/>
      <c r="H36" s="648"/>
      <c r="I36" s="115">
        <v>192</v>
      </c>
      <c r="J36" s="101"/>
      <c r="K36" s="102"/>
      <c r="L36" s="691" t="s">
        <v>432</v>
      </c>
      <c r="M36" s="647"/>
      <c r="N36" s="648"/>
      <c r="O36" s="682">
        <v>192</v>
      </c>
      <c r="P36" s="647"/>
      <c r="Q36" s="91"/>
      <c r="R36" s="83"/>
      <c r="S36" s="83"/>
      <c r="T36" s="83"/>
      <c r="U36" s="83"/>
      <c r="V36" s="83"/>
      <c r="W36" s="83"/>
      <c r="X36" s="83"/>
      <c r="Y36" s="83"/>
      <c r="Z36" s="83"/>
    </row>
    <row r="37" spans="2:26" ht="5.25" customHeight="1" thickBot="1">
      <c r="B37" s="660"/>
      <c r="C37" s="93"/>
      <c r="D37" s="94"/>
      <c r="E37" s="94"/>
      <c r="F37" s="94"/>
      <c r="G37" s="94"/>
      <c r="H37" s="94"/>
      <c r="I37" s="94"/>
      <c r="J37" s="95"/>
      <c r="K37" s="96"/>
      <c r="L37" s="94"/>
      <c r="M37" s="94"/>
      <c r="N37" s="94"/>
      <c r="O37" s="94"/>
      <c r="P37" s="94"/>
      <c r="Q37" s="95"/>
      <c r="R37" s="83"/>
      <c r="S37" s="83"/>
      <c r="T37" s="83"/>
      <c r="U37" s="83"/>
      <c r="V37" s="83"/>
      <c r="W37" s="83"/>
      <c r="X37" s="83"/>
      <c r="Y37" s="83"/>
      <c r="Z37" s="83"/>
    </row>
    <row r="38" spans="2:26" ht="5.25" customHeight="1">
      <c r="B38" s="658" t="s">
        <v>433</v>
      </c>
      <c r="C38" s="86"/>
      <c r="D38" s="87"/>
      <c r="E38" s="87"/>
      <c r="F38" s="87"/>
      <c r="G38" s="87"/>
      <c r="H38" s="87"/>
      <c r="I38" s="87"/>
      <c r="J38" s="88"/>
      <c r="K38" s="89"/>
      <c r="L38" s="87"/>
      <c r="M38" s="87"/>
      <c r="N38" s="87"/>
      <c r="O38" s="87"/>
      <c r="P38" s="87"/>
      <c r="Q38" s="88"/>
      <c r="R38" s="83"/>
      <c r="S38" s="83"/>
      <c r="T38" s="83"/>
      <c r="U38" s="83"/>
      <c r="V38" s="83"/>
      <c r="W38" s="83"/>
      <c r="X38" s="83"/>
      <c r="Y38" s="83"/>
      <c r="Z38" s="83"/>
    </row>
    <row r="39" spans="2:26" ht="13.5">
      <c r="B39" s="659"/>
      <c r="C39" s="90" t="s">
        <v>434</v>
      </c>
      <c r="D39" s="119"/>
      <c r="E39" s="119"/>
      <c r="F39" s="119"/>
      <c r="G39" s="119"/>
      <c r="H39" s="119"/>
      <c r="I39" s="119"/>
      <c r="J39" s="91"/>
      <c r="K39" s="92"/>
      <c r="L39" s="119" t="s">
        <v>435</v>
      </c>
      <c r="M39" s="119"/>
      <c r="N39" s="119"/>
      <c r="O39" s="119"/>
      <c r="P39" s="119"/>
      <c r="Q39" s="91"/>
      <c r="R39" s="83"/>
      <c r="S39" s="83"/>
      <c r="T39" s="83"/>
      <c r="U39" s="83"/>
      <c r="V39" s="83"/>
      <c r="W39" s="83"/>
      <c r="X39" s="83"/>
      <c r="Y39" s="83"/>
      <c r="Z39" s="83"/>
    </row>
    <row r="40" spans="2:26" ht="13.5">
      <c r="B40" s="659"/>
      <c r="C40" s="90" t="s">
        <v>436</v>
      </c>
      <c r="D40" s="119"/>
      <c r="E40" s="119"/>
      <c r="F40" s="119"/>
      <c r="G40" s="119"/>
      <c r="H40" s="119"/>
      <c r="I40" s="119"/>
      <c r="J40" s="91"/>
      <c r="K40" s="92"/>
      <c r="L40" s="119" t="s">
        <v>437</v>
      </c>
      <c r="M40" s="119"/>
      <c r="N40" s="119"/>
      <c r="O40" s="119"/>
      <c r="P40" s="119"/>
      <c r="Q40" s="91"/>
      <c r="R40" s="83"/>
      <c r="S40" s="83"/>
      <c r="T40" s="83"/>
      <c r="U40" s="83"/>
      <c r="V40" s="83"/>
      <c r="W40" s="83"/>
      <c r="X40" s="83"/>
      <c r="Y40" s="83"/>
      <c r="Z40" s="83"/>
    </row>
    <row r="41" spans="2:26" ht="5.25" customHeight="1" thickBot="1">
      <c r="B41" s="660"/>
      <c r="C41" s="93"/>
      <c r="D41" s="94"/>
      <c r="E41" s="94"/>
      <c r="F41" s="94"/>
      <c r="G41" s="94"/>
      <c r="H41" s="94"/>
      <c r="I41" s="94"/>
      <c r="J41" s="95"/>
      <c r="K41" s="96"/>
      <c r="L41" s="94"/>
      <c r="M41" s="94"/>
      <c r="N41" s="94"/>
      <c r="O41" s="94"/>
      <c r="P41" s="94"/>
      <c r="Q41" s="95"/>
      <c r="R41" s="83"/>
      <c r="S41" s="83"/>
      <c r="T41" s="83"/>
      <c r="U41" s="83"/>
      <c r="V41" s="83"/>
      <c r="W41" s="83"/>
      <c r="X41" s="83"/>
      <c r="Y41" s="83"/>
      <c r="Z41" s="83"/>
    </row>
    <row r="42" spans="2:26" ht="5.25" customHeight="1">
      <c r="B42" s="658" t="s">
        <v>438</v>
      </c>
      <c r="C42" s="86"/>
      <c r="D42" s="87"/>
      <c r="E42" s="87"/>
      <c r="F42" s="87"/>
      <c r="G42" s="87"/>
      <c r="H42" s="87"/>
      <c r="I42" s="87"/>
      <c r="J42" s="88"/>
      <c r="K42" s="89"/>
      <c r="L42" s="87"/>
      <c r="M42" s="87"/>
      <c r="N42" s="87"/>
      <c r="O42" s="87"/>
      <c r="P42" s="87"/>
      <c r="Q42" s="88"/>
      <c r="R42" s="83"/>
      <c r="S42" s="83"/>
      <c r="T42" s="83"/>
      <c r="U42" s="83"/>
      <c r="V42" s="83"/>
      <c r="W42" s="83"/>
      <c r="X42" s="83"/>
      <c r="Y42" s="83"/>
      <c r="Z42" s="83"/>
    </row>
    <row r="43" spans="2:26" ht="13.5">
      <c r="B43" s="659"/>
      <c r="C43" s="90"/>
      <c r="D43" s="119" t="s">
        <v>439</v>
      </c>
      <c r="E43" s="119"/>
      <c r="F43" s="119"/>
      <c r="G43" s="119"/>
      <c r="H43" s="119"/>
      <c r="I43" s="119"/>
      <c r="J43" s="91"/>
      <c r="K43" s="92"/>
      <c r="L43" s="119" t="s">
        <v>440</v>
      </c>
      <c r="M43" s="119"/>
      <c r="N43" s="119"/>
      <c r="O43" s="119"/>
      <c r="P43" s="119"/>
      <c r="Q43" s="91"/>
      <c r="R43" s="83"/>
      <c r="S43" s="83"/>
      <c r="T43" s="83"/>
      <c r="U43" s="83"/>
      <c r="V43" s="83"/>
      <c r="W43" s="83"/>
      <c r="X43" s="83"/>
      <c r="Y43" s="83"/>
      <c r="Z43" s="83"/>
    </row>
    <row r="44" spans="2:26" ht="13.5">
      <c r="B44" s="659"/>
      <c r="C44" s="90"/>
      <c r="D44" s="119" t="s">
        <v>441</v>
      </c>
      <c r="E44" s="120"/>
      <c r="F44" s="120"/>
      <c r="G44" s="120"/>
      <c r="H44" s="120"/>
      <c r="I44" s="120"/>
      <c r="J44" s="91"/>
      <c r="K44" s="92"/>
      <c r="L44" s="119"/>
      <c r="M44" s="119"/>
      <c r="N44" s="119"/>
      <c r="O44" s="119"/>
      <c r="P44" s="119"/>
      <c r="Q44" s="91"/>
      <c r="R44" s="83"/>
      <c r="S44" s="83"/>
      <c r="T44" s="83"/>
      <c r="U44" s="83"/>
      <c r="V44" s="83"/>
      <c r="W44" s="83"/>
      <c r="X44" s="83"/>
      <c r="Y44" s="83"/>
      <c r="Z44" s="83"/>
    </row>
    <row r="45" spans="2:26" ht="13.5">
      <c r="B45" s="659"/>
      <c r="C45" s="90"/>
      <c r="D45" s="692" t="s">
        <v>359</v>
      </c>
      <c r="E45" s="647"/>
      <c r="F45" s="648"/>
      <c r="G45" s="693" t="s">
        <v>442</v>
      </c>
      <c r="H45" s="648"/>
      <c r="I45" s="121" t="s">
        <v>443</v>
      </c>
      <c r="J45" s="91"/>
      <c r="K45" s="92"/>
      <c r="L45" s="692" t="s">
        <v>359</v>
      </c>
      <c r="M45" s="648"/>
      <c r="N45" s="693" t="s">
        <v>442</v>
      </c>
      <c r="O45" s="648"/>
      <c r="P45" s="121" t="s">
        <v>444</v>
      </c>
      <c r="Q45" s="91"/>
      <c r="R45" s="83"/>
      <c r="S45" s="83"/>
      <c r="T45" s="83"/>
      <c r="U45" s="83"/>
      <c r="V45" s="83"/>
      <c r="W45" s="83"/>
      <c r="X45" s="83"/>
      <c r="Y45" s="83"/>
      <c r="Z45" s="83"/>
    </row>
    <row r="46" spans="2:26" ht="38.25" customHeight="1">
      <c r="B46" s="659"/>
      <c r="C46" s="90"/>
      <c r="D46" s="646" t="s">
        <v>445</v>
      </c>
      <c r="E46" s="648"/>
      <c r="F46" s="122">
        <v>1</v>
      </c>
      <c r="G46" s="694" t="s">
        <v>446</v>
      </c>
      <c r="H46" s="648"/>
      <c r="I46" s="695">
        <v>86</v>
      </c>
      <c r="J46" s="91"/>
      <c r="K46" s="92"/>
      <c r="L46" s="123" t="s">
        <v>445</v>
      </c>
      <c r="M46" s="122">
        <v>3</v>
      </c>
      <c r="N46" s="694" t="s">
        <v>447</v>
      </c>
      <c r="O46" s="648"/>
      <c r="P46" s="695">
        <v>80</v>
      </c>
      <c r="Q46" s="91"/>
      <c r="R46" s="83"/>
      <c r="S46" s="83"/>
      <c r="T46" s="83"/>
      <c r="U46" s="83"/>
      <c r="V46" s="83"/>
      <c r="W46" s="83"/>
      <c r="X46" s="83"/>
      <c r="Y46" s="83"/>
      <c r="Z46" s="83"/>
    </row>
    <row r="47" spans="2:26" ht="16.5" customHeight="1">
      <c r="B47" s="659"/>
      <c r="C47" s="90"/>
      <c r="D47" s="646" t="s">
        <v>448</v>
      </c>
      <c r="E47" s="648"/>
      <c r="F47" s="122">
        <v>179</v>
      </c>
      <c r="G47" s="649" t="s">
        <v>431</v>
      </c>
      <c r="H47" s="648"/>
      <c r="I47" s="676"/>
      <c r="J47" s="91"/>
      <c r="K47" s="92"/>
      <c r="L47" s="123" t="s">
        <v>449</v>
      </c>
      <c r="M47" s="122">
        <v>216</v>
      </c>
      <c r="N47" s="649" t="s">
        <v>431</v>
      </c>
      <c r="O47" s="648"/>
      <c r="P47" s="676"/>
      <c r="Q47" s="91"/>
      <c r="R47" s="83"/>
      <c r="S47" s="83"/>
      <c r="T47" s="83"/>
      <c r="U47" s="83"/>
      <c r="V47" s="83"/>
      <c r="W47" s="83"/>
      <c r="X47" s="83"/>
      <c r="Y47" s="83"/>
      <c r="Z47" s="83"/>
    </row>
    <row r="48" spans="2:26" ht="16.5" customHeight="1">
      <c r="B48" s="659"/>
      <c r="C48" s="90"/>
      <c r="D48" s="646" t="s">
        <v>450</v>
      </c>
      <c r="E48" s="648"/>
      <c r="F48" s="122">
        <v>368</v>
      </c>
      <c r="G48" s="649" t="s">
        <v>431</v>
      </c>
      <c r="H48" s="648"/>
      <c r="I48" s="667"/>
      <c r="J48" s="91"/>
      <c r="K48" s="92"/>
      <c r="L48" s="123" t="s">
        <v>451</v>
      </c>
      <c r="M48" s="122">
        <v>309</v>
      </c>
      <c r="N48" s="649" t="s">
        <v>431</v>
      </c>
      <c r="O48" s="648"/>
      <c r="P48" s="667"/>
      <c r="Q48" s="91"/>
      <c r="R48" s="83"/>
      <c r="S48" s="83"/>
      <c r="T48" s="83"/>
      <c r="U48" s="83"/>
      <c r="V48" s="83"/>
      <c r="W48" s="83"/>
      <c r="X48" s="83"/>
      <c r="Y48" s="83"/>
      <c r="Z48" s="83"/>
    </row>
    <row r="49" spans="2:26" ht="5.25" customHeight="1" thickBot="1">
      <c r="B49" s="660"/>
      <c r="C49" s="93"/>
      <c r="D49" s="94"/>
      <c r="E49" s="94"/>
      <c r="F49" s="94"/>
      <c r="G49" s="94"/>
      <c r="H49" s="94"/>
      <c r="I49" s="94"/>
      <c r="J49" s="95"/>
      <c r="K49" s="96"/>
      <c r="L49" s="94"/>
      <c r="M49" s="94"/>
      <c r="N49" s="94"/>
      <c r="O49" s="94"/>
      <c r="P49" s="94"/>
      <c r="Q49" s="95"/>
      <c r="R49" s="83"/>
      <c r="S49" s="83"/>
      <c r="T49" s="83"/>
      <c r="U49" s="83"/>
      <c r="V49" s="83"/>
      <c r="W49" s="83"/>
      <c r="X49" s="83"/>
      <c r="Y49" s="83"/>
      <c r="Z49" s="83"/>
    </row>
    <row r="50" spans="2:26" ht="5.25" customHeight="1">
      <c r="B50" s="658" t="s">
        <v>452</v>
      </c>
      <c r="C50" s="86"/>
      <c r="D50" s="87"/>
      <c r="E50" s="87"/>
      <c r="F50" s="87"/>
      <c r="G50" s="87"/>
      <c r="H50" s="87"/>
      <c r="I50" s="87"/>
      <c r="J50" s="88"/>
      <c r="K50" s="89"/>
      <c r="L50" s="87"/>
      <c r="M50" s="87"/>
      <c r="N50" s="87"/>
      <c r="O50" s="87"/>
      <c r="P50" s="87"/>
      <c r="Q50" s="88"/>
      <c r="R50" s="83"/>
      <c r="S50" s="83"/>
      <c r="T50" s="83"/>
      <c r="U50" s="83"/>
      <c r="V50" s="83"/>
      <c r="W50" s="83"/>
      <c r="X50" s="83"/>
      <c r="Y50" s="83"/>
      <c r="Z50" s="83"/>
    </row>
    <row r="51" spans="2:26" ht="24">
      <c r="B51" s="659"/>
      <c r="C51" s="90"/>
      <c r="D51" s="697" t="s">
        <v>359</v>
      </c>
      <c r="E51" s="647"/>
      <c r="F51" s="648"/>
      <c r="G51" s="124" t="s">
        <v>453</v>
      </c>
      <c r="H51" s="124" t="s">
        <v>454</v>
      </c>
      <c r="I51" s="125" t="s">
        <v>455</v>
      </c>
      <c r="J51" s="101"/>
      <c r="K51" s="102"/>
      <c r="L51" s="697" t="s">
        <v>359</v>
      </c>
      <c r="M51" s="648"/>
      <c r="N51" s="124" t="s">
        <v>453</v>
      </c>
      <c r="O51" s="124" t="s">
        <v>454</v>
      </c>
      <c r="P51" s="125" t="s">
        <v>456</v>
      </c>
      <c r="Q51" s="91"/>
      <c r="R51" s="83"/>
      <c r="S51" s="83"/>
      <c r="T51" s="83"/>
      <c r="U51" s="83"/>
      <c r="V51" s="83"/>
      <c r="W51" s="83"/>
      <c r="X51" s="83"/>
      <c r="Y51" s="83"/>
      <c r="Z51" s="83"/>
    </row>
    <row r="52" spans="2:26" ht="13.5">
      <c r="B52" s="659"/>
      <c r="C52" s="90"/>
      <c r="D52" s="696" t="s">
        <v>457</v>
      </c>
      <c r="E52" s="647"/>
      <c r="F52" s="648"/>
      <c r="G52" s="126">
        <v>8</v>
      </c>
      <c r="H52" s="126">
        <v>-2</v>
      </c>
      <c r="I52" s="127" t="s">
        <v>458</v>
      </c>
      <c r="J52" s="101"/>
      <c r="K52" s="102"/>
      <c r="L52" s="696" t="s">
        <v>457</v>
      </c>
      <c r="M52" s="648"/>
      <c r="N52" s="126">
        <v>4</v>
      </c>
      <c r="O52" s="126">
        <v>-1</v>
      </c>
      <c r="P52" s="127" t="s">
        <v>353</v>
      </c>
      <c r="Q52" s="91"/>
      <c r="R52" s="83"/>
      <c r="S52" s="83"/>
      <c r="T52" s="83"/>
      <c r="U52" s="83"/>
      <c r="V52" s="83"/>
      <c r="W52" s="83"/>
      <c r="X52" s="83"/>
      <c r="Y52" s="83"/>
      <c r="Z52" s="83"/>
    </row>
    <row r="53" spans="2:26" ht="27.75" customHeight="1">
      <c r="B53" s="659"/>
      <c r="C53" s="90"/>
      <c r="D53" s="696" t="s">
        <v>459</v>
      </c>
      <c r="E53" s="647"/>
      <c r="F53" s="648"/>
      <c r="G53" s="126">
        <v>6</v>
      </c>
      <c r="H53" s="128"/>
      <c r="I53" s="127" t="s">
        <v>460</v>
      </c>
      <c r="J53" s="101"/>
      <c r="K53" s="102"/>
      <c r="L53" s="696" t="s">
        <v>461</v>
      </c>
      <c r="M53" s="648"/>
      <c r="N53" s="126">
        <v>3</v>
      </c>
      <c r="O53" s="128"/>
      <c r="P53" s="127">
        <v>3</v>
      </c>
      <c r="Q53" s="91"/>
      <c r="R53" s="83"/>
      <c r="S53" s="83"/>
      <c r="T53" s="83"/>
      <c r="U53" s="83"/>
      <c r="V53" s="83"/>
      <c r="W53" s="83"/>
      <c r="X53" s="83"/>
      <c r="Y53" s="83"/>
      <c r="Z53" s="83"/>
    </row>
    <row r="54" spans="2:26" ht="13.5">
      <c r="B54" s="659"/>
      <c r="C54" s="90"/>
      <c r="D54" s="696" t="s">
        <v>462</v>
      </c>
      <c r="E54" s="647"/>
      <c r="F54" s="648"/>
      <c r="G54" s="126">
        <v>5</v>
      </c>
      <c r="H54" s="126" t="s">
        <v>463</v>
      </c>
      <c r="I54" s="127" t="s">
        <v>464</v>
      </c>
      <c r="J54" s="101"/>
      <c r="K54" s="102"/>
      <c r="L54" s="696" t="s">
        <v>465</v>
      </c>
      <c r="M54" s="648"/>
      <c r="N54" s="126">
        <v>4</v>
      </c>
      <c r="O54" s="126" t="s">
        <v>466</v>
      </c>
      <c r="P54" s="127" t="s">
        <v>355</v>
      </c>
      <c r="Q54" s="91"/>
      <c r="R54" s="83"/>
      <c r="S54" s="83"/>
      <c r="T54" s="83"/>
      <c r="U54" s="83"/>
      <c r="V54" s="83"/>
      <c r="W54" s="83"/>
      <c r="X54" s="83"/>
      <c r="Y54" s="83"/>
      <c r="Z54" s="83"/>
    </row>
    <row r="55" spans="2:26" ht="13.5">
      <c r="B55" s="659"/>
      <c r="C55" s="90"/>
      <c r="D55" s="696" t="s">
        <v>467</v>
      </c>
      <c r="E55" s="647"/>
      <c r="F55" s="648"/>
      <c r="G55" s="126">
        <v>5</v>
      </c>
      <c r="H55" s="126" t="s">
        <v>468</v>
      </c>
      <c r="I55" s="127" t="s">
        <v>469</v>
      </c>
      <c r="J55" s="101"/>
      <c r="K55" s="102"/>
      <c r="L55" s="696" t="s">
        <v>470</v>
      </c>
      <c r="M55" s="648"/>
      <c r="N55" s="126">
        <v>3</v>
      </c>
      <c r="O55" s="126" t="s">
        <v>466</v>
      </c>
      <c r="P55" s="127" t="s">
        <v>356</v>
      </c>
      <c r="Q55" s="91"/>
      <c r="R55" s="83"/>
      <c r="S55" s="83"/>
      <c r="T55" s="83"/>
      <c r="U55" s="83"/>
      <c r="V55" s="83"/>
      <c r="W55" s="83"/>
      <c r="X55" s="83"/>
      <c r="Y55" s="83"/>
      <c r="Z55" s="83"/>
    </row>
    <row r="56" spans="2:26" ht="13.5">
      <c r="B56" s="659"/>
      <c r="C56" s="90"/>
      <c r="D56" s="696" t="s">
        <v>471</v>
      </c>
      <c r="E56" s="647"/>
      <c r="F56" s="648"/>
      <c r="G56" s="126">
        <v>5</v>
      </c>
      <c r="H56" s="126" t="s">
        <v>468</v>
      </c>
      <c r="I56" s="127" t="s">
        <v>469</v>
      </c>
      <c r="J56" s="101"/>
      <c r="K56" s="102"/>
      <c r="L56" s="696" t="s">
        <v>382</v>
      </c>
      <c r="M56" s="648"/>
      <c r="N56" s="694" t="s">
        <v>472</v>
      </c>
      <c r="O56" s="647"/>
      <c r="P56" s="647"/>
      <c r="Q56" s="91"/>
      <c r="R56" s="83"/>
      <c r="S56" s="83"/>
      <c r="T56" s="83"/>
      <c r="U56" s="83"/>
      <c r="V56" s="83"/>
      <c r="W56" s="83"/>
      <c r="X56" s="83"/>
      <c r="Y56" s="83"/>
      <c r="Z56" s="83"/>
    </row>
    <row r="57" spans="2:26" ht="13.5">
      <c r="B57" s="659"/>
      <c r="C57" s="90"/>
      <c r="D57" s="696" t="s">
        <v>380</v>
      </c>
      <c r="E57" s="647"/>
      <c r="F57" s="648"/>
      <c r="G57" s="694" t="s">
        <v>472</v>
      </c>
      <c r="H57" s="647"/>
      <c r="I57" s="647"/>
      <c r="J57" s="101"/>
      <c r="K57" s="102"/>
      <c r="L57" s="129"/>
      <c r="M57" s="119"/>
      <c r="N57" s="119"/>
      <c r="O57" s="119"/>
      <c r="P57" s="119"/>
      <c r="Q57" s="91"/>
      <c r="R57" s="83"/>
      <c r="S57" s="83"/>
      <c r="T57" s="83"/>
      <c r="U57" s="83"/>
      <c r="V57" s="83"/>
      <c r="W57" s="83"/>
      <c r="X57" s="83"/>
      <c r="Y57" s="83"/>
      <c r="Z57" s="83"/>
    </row>
    <row r="58" spans="2:26" ht="13.5">
      <c r="B58" s="659"/>
      <c r="C58" s="90"/>
      <c r="D58" s="119"/>
      <c r="E58" s="119"/>
      <c r="F58" s="119"/>
      <c r="G58" s="119"/>
      <c r="H58" s="119"/>
      <c r="I58" s="119"/>
      <c r="J58" s="91"/>
      <c r="K58" s="92"/>
      <c r="L58" s="119"/>
      <c r="M58" s="119"/>
      <c r="N58" s="119"/>
      <c r="O58" s="119"/>
      <c r="P58" s="119"/>
      <c r="Q58" s="91"/>
      <c r="R58" s="83"/>
      <c r="S58" s="83"/>
      <c r="T58" s="83"/>
      <c r="U58" s="83"/>
      <c r="V58" s="83"/>
      <c r="W58" s="83"/>
      <c r="X58" s="83"/>
      <c r="Y58" s="83"/>
      <c r="Z58" s="83"/>
    </row>
    <row r="59" spans="2:26" ht="33.75" customHeight="1">
      <c r="B59" s="659"/>
      <c r="C59" s="90"/>
      <c r="D59" s="699" t="s">
        <v>473</v>
      </c>
      <c r="E59" s="684"/>
      <c r="F59" s="684"/>
      <c r="G59" s="684"/>
      <c r="H59" s="684"/>
      <c r="I59" s="684"/>
      <c r="J59" s="91"/>
      <c r="K59" s="92"/>
      <c r="L59" s="699" t="s">
        <v>474</v>
      </c>
      <c r="M59" s="699"/>
      <c r="N59" s="699"/>
      <c r="O59" s="699"/>
      <c r="P59" s="699"/>
      <c r="Q59" s="91"/>
      <c r="R59" s="83"/>
      <c r="S59" s="83"/>
      <c r="T59" s="83"/>
      <c r="U59" s="83"/>
      <c r="V59" s="83"/>
      <c r="W59" s="83"/>
      <c r="X59" s="83"/>
      <c r="Y59" s="83"/>
      <c r="Z59" s="83"/>
    </row>
    <row r="60" spans="2:26" ht="5.25" customHeight="1" thickBot="1">
      <c r="B60" s="660"/>
      <c r="C60" s="93"/>
      <c r="D60" s="94"/>
      <c r="E60" s="94"/>
      <c r="F60" s="94"/>
      <c r="G60" s="94"/>
      <c r="H60" s="94"/>
      <c r="I60" s="94"/>
      <c r="J60" s="95"/>
      <c r="K60" s="96"/>
      <c r="L60" s="94"/>
      <c r="M60" s="94"/>
      <c r="N60" s="94"/>
      <c r="O60" s="94"/>
      <c r="P60" s="94"/>
      <c r="Q60" s="95"/>
      <c r="R60" s="83"/>
      <c r="S60" s="83"/>
      <c r="T60" s="83"/>
      <c r="U60" s="83"/>
      <c r="V60" s="83"/>
      <c r="W60" s="83"/>
      <c r="X60" s="83"/>
      <c r="Y60" s="83"/>
      <c r="Z60" s="83"/>
    </row>
    <row r="61" spans="2:26" ht="5.25" customHeight="1">
      <c r="B61" s="701" t="s">
        <v>475</v>
      </c>
      <c r="C61" s="90"/>
      <c r="D61" s="119"/>
      <c r="E61" s="119"/>
      <c r="F61" s="119"/>
      <c r="G61" s="119"/>
      <c r="H61" s="119"/>
      <c r="I61" s="119"/>
      <c r="J61" s="119"/>
      <c r="K61" s="89"/>
      <c r="L61" s="87"/>
      <c r="M61" s="87"/>
      <c r="N61" s="87"/>
      <c r="O61" s="87"/>
      <c r="P61" s="87"/>
      <c r="Q61" s="88"/>
      <c r="R61" s="83"/>
      <c r="S61" s="83"/>
      <c r="T61" s="83"/>
      <c r="U61" s="83"/>
      <c r="V61" s="83"/>
      <c r="W61" s="83"/>
      <c r="X61" s="83"/>
      <c r="Y61" s="83"/>
      <c r="Z61" s="83"/>
    </row>
    <row r="62" spans="2:26" ht="13.5">
      <c r="B62" s="702"/>
      <c r="C62" s="90"/>
      <c r="D62" s="119"/>
      <c r="E62" s="119"/>
      <c r="F62" s="119"/>
      <c r="G62" s="119"/>
      <c r="H62" s="119"/>
      <c r="I62" s="119"/>
      <c r="J62" s="119"/>
      <c r="K62" s="92"/>
      <c r="L62" s="119" t="s">
        <v>476</v>
      </c>
      <c r="M62" s="119"/>
      <c r="N62" s="119"/>
      <c r="O62" s="119"/>
      <c r="P62" s="119"/>
      <c r="Q62" s="91"/>
      <c r="R62" s="83"/>
      <c r="S62" s="83"/>
      <c r="T62" s="83"/>
      <c r="U62" s="83"/>
      <c r="V62" s="83"/>
      <c r="W62" s="83"/>
      <c r="X62" s="83"/>
      <c r="Y62" s="83"/>
      <c r="Z62" s="83"/>
    </row>
    <row r="63" spans="2:26" ht="13.5">
      <c r="B63" s="702"/>
      <c r="C63" s="90"/>
      <c r="D63" s="119"/>
      <c r="E63" s="119"/>
      <c r="F63" s="119"/>
      <c r="G63" s="119"/>
      <c r="H63" s="119"/>
      <c r="I63" s="119"/>
      <c r="J63" s="119"/>
      <c r="K63" s="92"/>
      <c r="L63" s="119" t="s">
        <v>477</v>
      </c>
      <c r="M63" s="119"/>
      <c r="N63" s="119"/>
      <c r="O63" s="119"/>
      <c r="P63" s="119"/>
      <c r="Q63" s="91"/>
      <c r="R63" s="83"/>
      <c r="S63" s="83"/>
      <c r="T63" s="83"/>
      <c r="U63" s="83"/>
      <c r="V63" s="83"/>
      <c r="W63" s="83"/>
      <c r="X63" s="83"/>
      <c r="Y63" s="83"/>
      <c r="Z63" s="83"/>
    </row>
    <row r="64" spans="2:26" ht="13.5">
      <c r="B64" s="702"/>
      <c r="C64" s="90"/>
      <c r="D64" s="119"/>
      <c r="E64" s="119"/>
      <c r="F64" s="119"/>
      <c r="G64" s="119"/>
      <c r="H64" s="119"/>
      <c r="I64" s="119"/>
      <c r="J64" s="119"/>
      <c r="K64" s="92"/>
      <c r="L64" s="703" t="s">
        <v>359</v>
      </c>
      <c r="M64" s="704" t="s">
        <v>478</v>
      </c>
      <c r="N64" s="648"/>
      <c r="O64" s="704" t="s">
        <v>479</v>
      </c>
      <c r="P64" s="647"/>
      <c r="Q64" s="91"/>
      <c r="R64" s="83"/>
      <c r="S64" s="83"/>
      <c r="T64" s="83"/>
      <c r="U64" s="83"/>
      <c r="V64" s="83"/>
      <c r="W64" s="83"/>
      <c r="X64" s="83"/>
      <c r="Y64" s="83"/>
      <c r="Z64" s="83"/>
    </row>
    <row r="65" spans="2:26" ht="13.5">
      <c r="B65" s="702"/>
      <c r="C65" s="90"/>
      <c r="D65" s="119"/>
      <c r="E65" s="119"/>
      <c r="F65" s="119"/>
      <c r="G65" s="119"/>
      <c r="H65" s="119"/>
      <c r="I65" s="119"/>
      <c r="J65" s="119"/>
      <c r="K65" s="92"/>
      <c r="L65" s="664"/>
      <c r="M65" s="122" t="s">
        <v>0</v>
      </c>
      <c r="N65" s="122" t="s">
        <v>480</v>
      </c>
      <c r="O65" s="122" t="s">
        <v>0</v>
      </c>
      <c r="P65" s="130" t="s">
        <v>480</v>
      </c>
      <c r="Q65" s="91"/>
      <c r="R65" s="83"/>
      <c r="S65" s="83"/>
      <c r="T65" s="83"/>
      <c r="U65" s="83"/>
      <c r="V65" s="83"/>
      <c r="W65" s="83"/>
      <c r="X65" s="83"/>
      <c r="Y65" s="83"/>
      <c r="Z65" s="83"/>
    </row>
    <row r="66" spans="2:26" ht="13.5">
      <c r="B66" s="702"/>
      <c r="C66" s="90"/>
      <c r="D66" s="119"/>
      <c r="E66" s="119"/>
      <c r="F66" s="119"/>
      <c r="G66" s="119"/>
      <c r="H66" s="119"/>
      <c r="I66" s="119"/>
      <c r="J66" s="119"/>
      <c r="K66" s="92"/>
      <c r="L66" s="131" t="s">
        <v>196</v>
      </c>
      <c r="M66" s="132">
        <v>2</v>
      </c>
      <c r="N66" s="132">
        <v>2</v>
      </c>
      <c r="O66" s="132">
        <v>4</v>
      </c>
      <c r="P66" s="121">
        <v>0</v>
      </c>
      <c r="Q66" s="91"/>
      <c r="R66" s="83"/>
      <c r="S66" s="83"/>
      <c r="T66" s="83"/>
      <c r="U66" s="83"/>
      <c r="V66" s="83"/>
      <c r="W66" s="83"/>
      <c r="X66" s="83"/>
      <c r="Y66" s="83"/>
      <c r="Z66" s="83"/>
    </row>
    <row r="67" spans="2:26" ht="13.5">
      <c r="B67" s="702"/>
      <c r="C67" s="90"/>
      <c r="D67" s="119"/>
      <c r="E67" s="119"/>
      <c r="F67" s="119"/>
      <c r="G67" s="119"/>
      <c r="H67" s="119"/>
      <c r="I67" s="119"/>
      <c r="J67" s="119"/>
      <c r="K67" s="92"/>
      <c r="L67" s="131" t="s">
        <v>210</v>
      </c>
      <c r="M67" s="132">
        <v>2</v>
      </c>
      <c r="N67" s="132">
        <v>2</v>
      </c>
      <c r="O67" s="132">
        <v>0</v>
      </c>
      <c r="P67" s="121">
        <v>4</v>
      </c>
      <c r="Q67" s="91"/>
      <c r="R67" s="83"/>
      <c r="S67" s="83"/>
      <c r="T67" s="83"/>
      <c r="U67" s="83"/>
      <c r="V67" s="83"/>
      <c r="W67" s="83"/>
      <c r="X67" s="83"/>
      <c r="Y67" s="83"/>
      <c r="Z67" s="83"/>
    </row>
    <row r="68" spans="2:26" ht="13.5">
      <c r="B68" s="702"/>
      <c r="C68" s="90"/>
      <c r="D68" s="119"/>
      <c r="E68" s="119"/>
      <c r="F68" s="119"/>
      <c r="G68" s="119"/>
      <c r="H68" s="119"/>
      <c r="I68" s="119"/>
      <c r="J68" s="119"/>
      <c r="K68" s="92"/>
      <c r="L68" s="131" t="s">
        <v>199</v>
      </c>
      <c r="M68" s="132">
        <v>2</v>
      </c>
      <c r="N68" s="132">
        <v>2</v>
      </c>
      <c r="O68" s="132">
        <v>4</v>
      </c>
      <c r="P68" s="121">
        <v>0</v>
      </c>
      <c r="Q68" s="91"/>
      <c r="R68" s="83"/>
      <c r="S68" s="83"/>
      <c r="T68" s="83"/>
      <c r="U68" s="83"/>
      <c r="V68" s="83"/>
      <c r="W68" s="83"/>
      <c r="X68" s="83"/>
      <c r="Y68" s="83"/>
      <c r="Z68" s="83"/>
    </row>
    <row r="69" spans="2:26" ht="13.5">
      <c r="B69" s="702"/>
      <c r="C69" s="90"/>
      <c r="D69" s="119"/>
      <c r="E69" s="119"/>
      <c r="F69" s="119"/>
      <c r="G69" s="119"/>
      <c r="H69" s="119"/>
      <c r="I69" s="119"/>
      <c r="J69" s="119"/>
      <c r="K69" s="92"/>
      <c r="L69" s="119" t="s">
        <v>481</v>
      </c>
      <c r="M69" s="119"/>
      <c r="N69" s="119"/>
      <c r="O69" s="119"/>
      <c r="P69" s="119"/>
      <c r="Q69" s="91"/>
      <c r="R69" s="83"/>
      <c r="S69" s="83"/>
      <c r="T69" s="83"/>
      <c r="U69" s="83"/>
      <c r="V69" s="83"/>
      <c r="W69" s="83"/>
      <c r="X69" s="83"/>
      <c r="Y69" s="83"/>
      <c r="Z69" s="83"/>
    </row>
    <row r="70" spans="2:26" ht="13.5">
      <c r="B70" s="702"/>
      <c r="C70" s="90"/>
      <c r="D70" s="119"/>
      <c r="E70" s="119"/>
      <c r="F70" s="119"/>
      <c r="G70" s="119"/>
      <c r="H70" s="119"/>
      <c r="I70" s="119"/>
      <c r="J70" s="119"/>
      <c r="K70" s="92"/>
      <c r="L70" s="703" t="s">
        <v>359</v>
      </c>
      <c r="M70" s="704" t="s">
        <v>478</v>
      </c>
      <c r="N70" s="648"/>
      <c r="O70" s="704" t="s">
        <v>479</v>
      </c>
      <c r="P70" s="647"/>
      <c r="Q70" s="91"/>
      <c r="R70" s="83"/>
      <c r="S70" s="83"/>
      <c r="T70" s="83"/>
      <c r="U70" s="83"/>
      <c r="V70" s="83"/>
      <c r="W70" s="83"/>
      <c r="X70" s="83"/>
      <c r="Y70" s="83"/>
      <c r="Z70" s="83"/>
    </row>
    <row r="71" spans="2:26" ht="13.5">
      <c r="B71" s="702"/>
      <c r="C71" s="90"/>
      <c r="D71" s="119"/>
      <c r="E71" s="119"/>
      <c r="F71" s="119"/>
      <c r="G71" s="119"/>
      <c r="H71" s="119"/>
      <c r="I71" s="119"/>
      <c r="J71" s="119"/>
      <c r="K71" s="92"/>
      <c r="L71" s="664"/>
      <c r="M71" s="122" t="s">
        <v>0</v>
      </c>
      <c r="N71" s="122" t="s">
        <v>480</v>
      </c>
      <c r="O71" s="122" t="s">
        <v>0</v>
      </c>
      <c r="P71" s="130" t="s">
        <v>480</v>
      </c>
      <c r="Q71" s="91"/>
      <c r="R71" s="83"/>
      <c r="S71" s="83"/>
      <c r="T71" s="83"/>
      <c r="U71" s="83"/>
      <c r="V71" s="83"/>
      <c r="W71" s="83"/>
      <c r="X71" s="83"/>
      <c r="Y71" s="83"/>
      <c r="Z71" s="83"/>
    </row>
    <row r="72" spans="2:26" ht="13.5">
      <c r="B72" s="702"/>
      <c r="C72" s="90"/>
      <c r="D72" s="119"/>
      <c r="E72" s="119"/>
      <c r="F72" s="119"/>
      <c r="G72" s="119"/>
      <c r="H72" s="119"/>
      <c r="I72" s="119"/>
      <c r="J72" s="119"/>
      <c r="K72" s="92"/>
      <c r="L72" s="131" t="s">
        <v>445</v>
      </c>
      <c r="M72" s="132">
        <v>1</v>
      </c>
      <c r="N72" s="132">
        <v>1</v>
      </c>
      <c r="O72" s="132">
        <v>2</v>
      </c>
      <c r="P72" s="121">
        <v>0</v>
      </c>
      <c r="Q72" s="91"/>
      <c r="R72" s="83"/>
      <c r="S72" s="83"/>
      <c r="T72" s="83"/>
      <c r="U72" s="83"/>
      <c r="V72" s="83"/>
      <c r="W72" s="83"/>
      <c r="X72" s="83"/>
      <c r="Y72" s="83"/>
      <c r="Z72" s="83"/>
    </row>
    <row r="73" spans="2:26" ht="13.5">
      <c r="B73" s="702"/>
      <c r="C73" s="90"/>
      <c r="D73" s="119"/>
      <c r="E73" s="119"/>
      <c r="F73" s="119"/>
      <c r="G73" s="119"/>
      <c r="H73" s="119"/>
      <c r="I73" s="119"/>
      <c r="J73" s="119"/>
      <c r="K73" s="92"/>
      <c r="L73" s="131" t="s">
        <v>449</v>
      </c>
      <c r="M73" s="132">
        <v>2</v>
      </c>
      <c r="N73" s="132">
        <v>2</v>
      </c>
      <c r="O73" s="132">
        <v>0</v>
      </c>
      <c r="P73" s="121">
        <v>4</v>
      </c>
      <c r="Q73" s="91"/>
      <c r="R73" s="83"/>
      <c r="S73" s="83"/>
      <c r="T73" s="83"/>
      <c r="U73" s="83"/>
      <c r="V73" s="83"/>
      <c r="W73" s="83"/>
      <c r="X73" s="83"/>
      <c r="Y73" s="83"/>
      <c r="Z73" s="83"/>
    </row>
    <row r="74" spans="2:26" ht="13.5">
      <c r="B74" s="702"/>
      <c r="C74" s="90"/>
      <c r="D74" s="119"/>
      <c r="E74" s="119"/>
      <c r="F74" s="119"/>
      <c r="G74" s="119"/>
      <c r="H74" s="119"/>
      <c r="I74" s="119"/>
      <c r="J74" s="119"/>
      <c r="K74" s="92"/>
      <c r="L74" s="705" t="s">
        <v>482</v>
      </c>
      <c r="M74" s="698" t="s">
        <v>483</v>
      </c>
      <c r="N74" s="698" t="s">
        <v>483</v>
      </c>
      <c r="O74" s="133">
        <v>8</v>
      </c>
      <c r="P74" s="134">
        <v>0</v>
      </c>
      <c r="Q74" s="91"/>
      <c r="R74" s="83"/>
      <c r="S74" s="83"/>
      <c r="T74" s="83"/>
      <c r="U74" s="83"/>
      <c r="V74" s="83"/>
      <c r="W74" s="83"/>
      <c r="X74" s="83"/>
      <c r="Y74" s="83"/>
      <c r="Z74" s="83"/>
    </row>
    <row r="75" spans="2:26" ht="13.5">
      <c r="B75" s="702"/>
      <c r="C75" s="90"/>
      <c r="D75" s="119"/>
      <c r="E75" s="119"/>
      <c r="F75" s="119"/>
      <c r="G75" s="119"/>
      <c r="H75" s="119"/>
      <c r="I75" s="119"/>
      <c r="J75" s="119"/>
      <c r="K75" s="92"/>
      <c r="L75" s="706"/>
      <c r="M75" s="674"/>
      <c r="N75" s="674"/>
      <c r="O75" s="133">
        <v>4</v>
      </c>
      <c r="P75" s="134">
        <v>4</v>
      </c>
      <c r="Q75" s="91"/>
      <c r="R75" s="83"/>
      <c r="S75" s="83"/>
      <c r="T75" s="83"/>
      <c r="U75" s="83"/>
      <c r="V75" s="83"/>
      <c r="W75" s="83"/>
      <c r="X75" s="83"/>
      <c r="Y75" s="83"/>
      <c r="Z75" s="83"/>
    </row>
    <row r="76" spans="2:26" ht="33.75" customHeight="1">
      <c r="B76" s="702"/>
      <c r="C76" s="90"/>
      <c r="D76" s="119"/>
      <c r="E76" s="119"/>
      <c r="F76" s="119"/>
      <c r="G76" s="119"/>
      <c r="H76" s="119"/>
      <c r="I76" s="119"/>
      <c r="J76" s="119"/>
      <c r="K76" s="92"/>
      <c r="L76" s="699" t="s">
        <v>484</v>
      </c>
      <c r="M76" s="684"/>
      <c r="N76" s="684"/>
      <c r="O76" s="684"/>
      <c r="P76" s="684"/>
      <c r="Q76" s="91"/>
      <c r="R76" s="83"/>
      <c r="S76" s="83"/>
      <c r="T76" s="83"/>
      <c r="U76" s="83"/>
      <c r="V76" s="83"/>
      <c r="W76" s="83"/>
      <c r="X76" s="83"/>
      <c r="Y76" s="83"/>
      <c r="Z76" s="83"/>
    </row>
    <row r="77" spans="2:26" ht="5.25" customHeight="1">
      <c r="B77" s="702"/>
      <c r="C77" s="135"/>
      <c r="D77" s="136"/>
      <c r="E77" s="136"/>
      <c r="F77" s="136"/>
      <c r="G77" s="136"/>
      <c r="H77" s="136"/>
      <c r="I77" s="136"/>
      <c r="J77" s="136"/>
      <c r="K77" s="137"/>
      <c r="L77" s="136"/>
      <c r="M77" s="136"/>
      <c r="N77" s="136"/>
      <c r="O77" s="136"/>
      <c r="P77" s="136"/>
      <c r="Q77" s="138"/>
      <c r="R77" s="83"/>
      <c r="S77" s="83"/>
      <c r="T77" s="83"/>
      <c r="U77" s="83"/>
      <c r="V77" s="83"/>
      <c r="W77" s="83"/>
      <c r="X77" s="83"/>
      <c r="Y77" s="83"/>
      <c r="Z77" s="83"/>
    </row>
    <row r="78" spans="2:26" ht="5.25" customHeight="1">
      <c r="B78" s="700" t="s">
        <v>485</v>
      </c>
      <c r="C78" s="139"/>
      <c r="D78" s="140"/>
      <c r="E78" s="140"/>
      <c r="F78" s="140"/>
      <c r="G78" s="140"/>
      <c r="H78" s="140"/>
      <c r="I78" s="140"/>
      <c r="J78" s="140"/>
      <c r="K78" s="141"/>
      <c r="L78" s="140"/>
      <c r="M78" s="140"/>
      <c r="N78" s="140"/>
      <c r="O78" s="140"/>
      <c r="P78" s="140"/>
      <c r="Q78" s="142"/>
      <c r="R78" s="83"/>
      <c r="S78" s="83"/>
      <c r="T78" s="83"/>
      <c r="U78" s="83"/>
      <c r="V78" s="83"/>
      <c r="W78" s="83"/>
      <c r="X78" s="83"/>
      <c r="Y78" s="83"/>
      <c r="Z78" s="83"/>
    </row>
    <row r="79" spans="2:26" ht="13.5">
      <c r="B79" s="659"/>
      <c r="C79" s="90"/>
      <c r="D79" s="119" t="s">
        <v>486</v>
      </c>
      <c r="E79" s="119"/>
      <c r="F79" s="119"/>
      <c r="G79" s="119"/>
      <c r="H79" s="119"/>
      <c r="I79" s="119"/>
      <c r="J79" s="119"/>
      <c r="K79" s="92"/>
      <c r="L79" s="119" t="s">
        <v>487</v>
      </c>
      <c r="M79" s="119"/>
      <c r="N79" s="119"/>
      <c r="O79" s="119"/>
      <c r="P79" s="119"/>
      <c r="Q79" s="91"/>
      <c r="R79" s="83"/>
      <c r="S79" s="83"/>
      <c r="T79" s="83"/>
      <c r="U79" s="83"/>
      <c r="V79" s="83"/>
      <c r="W79" s="83"/>
      <c r="X79" s="83"/>
      <c r="Y79" s="83"/>
      <c r="Z79" s="83"/>
    </row>
    <row r="80" spans="2:26" ht="13.5">
      <c r="B80" s="659"/>
      <c r="C80" s="90"/>
      <c r="D80" s="119"/>
      <c r="E80" s="119"/>
      <c r="F80" s="119"/>
      <c r="G80" s="119"/>
      <c r="H80" s="119"/>
      <c r="I80" s="119"/>
      <c r="J80" s="119"/>
      <c r="K80" s="92"/>
      <c r="L80" s="119" t="s">
        <v>488</v>
      </c>
      <c r="M80" s="119"/>
      <c r="N80" s="119"/>
      <c r="O80" s="119"/>
      <c r="P80" s="119"/>
      <c r="Q80" s="91"/>
      <c r="R80" s="83"/>
      <c r="S80" s="83"/>
      <c r="T80" s="83"/>
      <c r="U80" s="83"/>
      <c r="V80" s="83"/>
      <c r="W80" s="83"/>
      <c r="X80" s="83"/>
      <c r="Y80" s="83"/>
      <c r="Z80" s="83"/>
    </row>
    <row r="81" spans="2:26" ht="5.25" customHeight="1" thickBot="1">
      <c r="B81" s="660"/>
      <c r="C81" s="93"/>
      <c r="D81" s="94"/>
      <c r="E81" s="94"/>
      <c r="F81" s="94"/>
      <c r="G81" s="94"/>
      <c r="H81" s="94"/>
      <c r="I81" s="94"/>
      <c r="J81" s="94"/>
      <c r="K81" s="96"/>
      <c r="L81" s="94"/>
      <c r="M81" s="94"/>
      <c r="N81" s="94"/>
      <c r="O81" s="94"/>
      <c r="P81" s="94"/>
      <c r="Q81" s="95"/>
      <c r="R81" s="83"/>
      <c r="S81" s="83"/>
      <c r="T81" s="83"/>
      <c r="U81" s="83"/>
      <c r="V81" s="83"/>
      <c r="W81" s="83"/>
      <c r="X81" s="83"/>
      <c r="Y81" s="83"/>
      <c r="Z81" s="83"/>
    </row>
    <row r="82" spans="2:26" ht="4.5" customHeight="1"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2:26" ht="13.5" hidden="1"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2:26" ht="13.5" hidden="1"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2:26" ht="13.5" hidden="1"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2:26" ht="13.5" hidden="1"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2:26" ht="13.5" hidden="1"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2:26" ht="13.5" hidden="1"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2:26" ht="13.5" hidden="1"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2:26" ht="13.5" hidden="1"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2:26" ht="13.5" hidden="1"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2:26" ht="13.5" hidden="1"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2:26" ht="13.5" hidden="1"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2:26" ht="13.5" hidden="1"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2:26" ht="13.5" hidden="1"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2:26" ht="13.5" hidden="1"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spans="2:26" ht="13.5" hidden="1"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spans="2:26" ht="13.5" hidden="1"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spans="2:26" ht="13.5" hidden="1"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spans="2:26" ht="13.5" hidden="1"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spans="2:26" ht="13.5" hidden="1"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spans="2:26" ht="13.5" hidden="1"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spans="2:26" ht="13.5" hidden="1"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spans="2:26" ht="13.5" hidden="1"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spans="2:26" ht="13.5" hidden="1"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spans="2:26" ht="13.5" hidden="1"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spans="2:26" ht="13.5" hidden="1"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spans="2:26" ht="13.5" hidden="1"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spans="2:26" ht="13.5" hidden="1"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spans="2:26" ht="13.5" hidden="1"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spans="2:26" ht="13.5" hidden="1"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spans="2:26" ht="13.5" hidden="1"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spans="2:26" ht="13.5" hidden="1"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spans="2:26" ht="13.5" hidden="1"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spans="2:26" ht="13.5" hidden="1"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spans="2:26" ht="13.5" hidden="1"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spans="2:26" ht="13.5" hidden="1"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spans="2:26" ht="13.5" hidden="1"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spans="2:26" ht="13.5" hidden="1"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spans="2:26" ht="13.5" hidden="1"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spans="2:26" ht="13.5" hidden="1"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spans="2:26" ht="13.5" hidden="1"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spans="2:26" ht="13.5" hidden="1"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spans="2:26" ht="13.5" hidden="1"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spans="2:26" ht="13.5" hidden="1"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spans="2:26" ht="13.5" hidden="1"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spans="2:26" ht="13.5" hidden="1"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spans="2:26" ht="13.5" hidden="1"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spans="2:26" ht="13.5" hidden="1"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spans="2:26" ht="13.5" hidden="1"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spans="2:26" ht="13.5" hidden="1"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spans="2:26" ht="13.5" hidden="1"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spans="2:26" ht="13.5" hidden="1"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spans="2:26" ht="13.5" hidden="1"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spans="2:26" ht="13.5" hidden="1"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spans="2:26" ht="13.5" hidden="1"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spans="2:26" ht="13.5" hidden="1"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spans="2:26" ht="13.5" hidden="1"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spans="2:26" ht="13.5" hidden="1"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spans="2:26" ht="13.5" hidden="1"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spans="2:26" ht="13.5" hidden="1"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spans="2:26" ht="13.5" hidden="1"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spans="2:26" ht="13.5" hidden="1"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spans="2:26" ht="13.5" hidden="1"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spans="2:26" ht="13.5" hidden="1"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spans="2:26" ht="13.5" hidden="1"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spans="2:26" ht="13.5" hidden="1"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spans="2:26" ht="13.5" hidden="1"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spans="2:26" ht="13.5" hidden="1"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spans="2:26" ht="13.5" hidden="1"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spans="2:26" ht="13.5" hidden="1"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spans="2:26" ht="13.5" hidden="1"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spans="2:26" ht="13.5" hidden="1"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spans="2:26" ht="13.5" hidden="1"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spans="2:26" ht="13.5" hidden="1"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spans="2:26" ht="13.5" hidden="1"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spans="2:26" ht="13.5" hidden="1"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spans="2:26" ht="13.5" hidden="1"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spans="2:26" ht="13.5" hidden="1"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spans="2:26" ht="13.5" hidden="1"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spans="2:26" ht="13.5" hidden="1"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spans="2:26" ht="13.5" hidden="1"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spans="2:26" ht="13.5" hidden="1"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spans="2:26" ht="13.5" hidden="1"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spans="2:26" ht="13.5" hidden="1"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spans="2:26" ht="13.5" hidden="1"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spans="2:26" ht="13.5" hidden="1"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spans="2:26" ht="13.5" hidden="1"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spans="2:26" ht="13.5" hidden="1"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spans="2:26" ht="13.5" hidden="1"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spans="2:26" ht="13.5" hidden="1"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spans="2:26" ht="13.5" hidden="1"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spans="2:26" ht="13.5" hidden="1"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spans="2:26" ht="13.5" hidden="1"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spans="2:26" ht="13.5" hidden="1"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spans="2:26" ht="13.5" hidden="1"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spans="2:26" ht="13.5" hidden="1"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spans="2:26" ht="13.5" hidden="1"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spans="2:26" ht="13.5" hidden="1"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spans="2:26" ht="13.5" hidden="1"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spans="2:26" ht="13.5" hidden="1"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spans="2:26" ht="13.5" hidden="1"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spans="2:26" ht="13.5" hidden="1"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spans="2:26" ht="13.5" hidden="1"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spans="2:26" ht="13.5" hidden="1"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spans="2:26" ht="13.5" hidden="1"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spans="2:26" ht="13.5" hidden="1"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spans="2:26" ht="13.5" hidden="1"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spans="2:26" ht="13.5" hidden="1"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spans="2:26" ht="13.5" hidden="1"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spans="2:26" ht="13.5" hidden="1"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spans="2:26" ht="13.5" hidden="1"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spans="2:26" ht="13.5" hidden="1"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spans="2:26" ht="13.5" hidden="1"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spans="2:26" ht="13.5" hidden="1"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spans="2:26" ht="13.5" hidden="1"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spans="2:26" ht="13.5" hidden="1"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spans="2:26" ht="13.5" hidden="1"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spans="2:26" ht="13.5" hidden="1"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spans="2:26" ht="13.5" hidden="1"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spans="2:26" ht="13.5" hidden="1"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spans="2:26" ht="13.5" hidden="1"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spans="2:26" ht="13.5" hidden="1"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spans="2:26" ht="13.5" hidden="1"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spans="2:26" ht="13.5" hidden="1"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spans="2:26" ht="13.5" hidden="1"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spans="2:26" ht="13.5" hidden="1"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spans="2:26" ht="13.5" hidden="1"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spans="2:26" ht="13.5" hidden="1"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spans="2:26" ht="13.5" hidden="1"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spans="2:26" ht="13.5" hidden="1"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spans="2:26" ht="13.5" hidden="1"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spans="2:26" ht="13.5" hidden="1"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spans="2:26" ht="13.5" hidden="1"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spans="2:26" ht="13.5" hidden="1"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spans="2:26" ht="13.5" hidden="1"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spans="2:26" ht="13.5" hidden="1"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spans="2:26" ht="13.5" hidden="1"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spans="2:26" ht="13.5" hidden="1"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spans="2:26" ht="13.5" hidden="1"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spans="2:26" ht="13.5" hidden="1"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spans="2:26" ht="13.5" hidden="1"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spans="2:26" ht="13.5" hidden="1"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spans="2:26" ht="13.5" hidden="1"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spans="2:26" ht="13.5" hidden="1"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spans="2:26" ht="13.5" hidden="1"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spans="2:26" ht="13.5" hidden="1"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spans="2:26" ht="13.5" hidden="1"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spans="2:26" ht="13.5" hidden="1"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spans="2:26" ht="13.5" hidden="1"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spans="2:26" ht="13.5" hidden="1"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spans="2:26" ht="13.5" hidden="1"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spans="2:26" ht="13.5" hidden="1"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spans="2:26" ht="13.5" hidden="1"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spans="2:26" ht="13.5" hidden="1"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spans="2:26" ht="13.5" hidden="1"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spans="2:26" ht="13.5" hidden="1"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spans="2:26" ht="13.5" hidden="1"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spans="2:26" ht="13.5" hidden="1"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spans="2:26" ht="13.5" hidden="1"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spans="2:26" ht="13.5" hidden="1"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spans="2:26" ht="13.5" hidden="1"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spans="2:26" ht="13.5" hidden="1"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spans="2:26" ht="13.5" hidden="1"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spans="2:26" ht="13.5" hidden="1"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spans="2:26" ht="13.5" hidden="1"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spans="2:26" ht="13.5" hidden="1"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spans="2:26" ht="13.5" hidden="1"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spans="2:26" ht="13.5" hidden="1"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spans="2:26" ht="13.5" hidden="1"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spans="2:26" ht="13.5" hidden="1"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spans="2:26" ht="13.5" hidden="1"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spans="2:26" ht="13.5" hidden="1"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spans="2:26" ht="13.5" hidden="1"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spans="2:26" ht="13.5" hidden="1"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spans="2:26" ht="13.5" hidden="1"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spans="2:26" ht="13.5" hidden="1"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spans="2:26" ht="13.5" hidden="1"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spans="2:26" ht="13.5" hidden="1"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spans="2:26" ht="13.5" hidden="1"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spans="2:26" ht="13.5" hidden="1"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spans="2:26" ht="13.5" hidden="1"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spans="2:26" ht="13.5" hidden="1"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spans="2:26" ht="13.5" hidden="1"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spans="2:26" ht="13.5" hidden="1"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spans="2:26" ht="13.5" hidden="1"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spans="2:26" ht="13.5" hidden="1"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spans="2:26" ht="13.5" hidden="1"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spans="2:26" ht="13.5" hidden="1"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spans="2:26" ht="13.5" hidden="1"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spans="2:26" ht="13.5" hidden="1"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spans="2:26" ht="13.5" hidden="1"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spans="2:26" ht="13.5" hidden="1"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spans="2:26" ht="13.5" hidden="1"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spans="2:26" ht="13.5" hidden="1"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spans="2:26" ht="13.5" hidden="1"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spans="2:26" ht="13.5" hidden="1"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spans="2:26" ht="13.5" hidden="1"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spans="2:26" ht="13.5" hidden="1"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spans="2:26" ht="13.5" hidden="1"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spans="2:26" ht="13.5" hidden="1"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spans="2:26" ht="13.5" hidden="1"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spans="2:26" ht="13.5" hidden="1"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spans="2:26" ht="13.5" hidden="1"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spans="2:26" ht="13.5" hidden="1"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spans="2:26" ht="13.5" hidden="1"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spans="2:26" ht="13.5" hidden="1"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spans="2:26" ht="13.5" hidden="1"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spans="2:26" ht="13.5" hidden="1"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spans="2:26" ht="13.5" hidden="1"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spans="2:26" ht="13.5" hidden="1"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spans="2:26" ht="13.5" hidden="1"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spans="2:26" ht="13.5" hidden="1"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spans="2:26" ht="13.5" hidden="1"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spans="2:26" ht="13.5" hidden="1"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spans="2:26" ht="13.5" hidden="1"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spans="2:26" ht="13.5" hidden="1"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spans="2:26" ht="13.5" hidden="1"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spans="2:26" ht="13.5" hidden="1"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spans="2:26" ht="13.5" hidden="1"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spans="2:26" ht="13.5" hidden="1"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spans="2:26" ht="13.5" hidden="1"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spans="2:26" ht="13.5" hidden="1"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spans="2:26" ht="13.5" hidden="1"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spans="2:26" ht="13.5" hidden="1"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spans="2:26" ht="13.5" hidden="1"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spans="2:26" ht="13.5" hidden="1"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spans="2:26" ht="13.5" hidden="1"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spans="2:26" ht="13.5" hidden="1"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spans="2:26" ht="13.5" hidden="1"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spans="2:26" ht="13.5" hidden="1"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spans="2:26" ht="13.5" hidden="1"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spans="2:26" ht="13.5" hidden="1"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spans="2:26" ht="13.5" hidden="1"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spans="2:26" ht="13.5" hidden="1"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spans="2:26" ht="13.5" hidden="1"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spans="2:26" ht="13.5" hidden="1"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spans="2:26" ht="13.5" hidden="1"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spans="2:26" ht="13.5" hidden="1"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spans="2:26" ht="13.5" hidden="1"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spans="2:26" ht="13.5" hidden="1"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spans="2:26" ht="13.5" hidden="1"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spans="2:26" ht="13.5" hidden="1"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spans="2:26" ht="13.5" hidden="1"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spans="2:26" ht="13.5" hidden="1"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spans="2:26" ht="13.5" hidden="1"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spans="2:26" ht="13.5" hidden="1"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spans="2:26" ht="13.5" hidden="1"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spans="2:26" ht="13.5" hidden="1"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spans="2:26" ht="13.5" hidden="1"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spans="2:26" ht="13.5" hidden="1"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spans="2:26" ht="13.5" hidden="1"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spans="2:26" ht="13.5" hidden="1"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spans="2:26" ht="13.5" hidden="1"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spans="2:26" ht="13.5" hidden="1"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spans="2:26" ht="13.5" hidden="1"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spans="2:26" ht="13.5" hidden="1"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spans="2:26" ht="13.5" hidden="1"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spans="2:26" ht="13.5" hidden="1"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spans="2:26" ht="13.5" hidden="1"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spans="2:26" ht="13.5" hidden="1"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spans="2:26" ht="13.5" hidden="1"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spans="2:26" ht="13.5" hidden="1"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spans="2:26" ht="13.5" hidden="1"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spans="2:26" ht="13.5" hidden="1"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spans="2:26" ht="13.5" hidden="1"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spans="2:26" ht="13.5" hidden="1"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spans="2:26" ht="13.5" hidden="1"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spans="2:26" ht="13.5" hidden="1"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spans="2:26" ht="13.5" hidden="1"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spans="2:26" ht="13.5" hidden="1"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spans="2:26" ht="13.5" hidden="1"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spans="2:26" ht="13.5" hidden="1"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spans="2:26" ht="13.5" hidden="1"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spans="2:26" ht="13.5" hidden="1"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spans="2:26" ht="13.5" hidden="1"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spans="2:26" ht="13.5" hidden="1"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spans="2:26" ht="13.5" hidden="1"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spans="2:26" ht="13.5" hidden="1"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spans="2:26" ht="13.5" hidden="1"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spans="2:26" ht="13.5" hidden="1"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spans="2:26" ht="13.5" hidden="1"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spans="2:26" ht="13.5" hidden="1"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spans="2:26" ht="13.5" hidden="1"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spans="2:26" ht="13.5" hidden="1"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spans="2:26" ht="13.5" hidden="1"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spans="2:26" ht="13.5" hidden="1"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spans="2:26" ht="13.5" hidden="1"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spans="2:26" ht="13.5" hidden="1"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spans="2:26" ht="13.5" hidden="1"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spans="2:26" ht="13.5" hidden="1"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spans="2:26" ht="13.5" hidden="1"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spans="2:26" ht="13.5" hidden="1"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spans="2:26" ht="13.5" hidden="1"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spans="2:26" ht="13.5" hidden="1"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spans="2:26" ht="13.5" hidden="1"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spans="2:26" ht="13.5" hidden="1"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spans="2:26" ht="13.5" hidden="1"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spans="2:26" ht="13.5" hidden="1"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spans="2:26" ht="13.5" hidden="1"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spans="2:26" ht="13.5" hidden="1"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spans="2:26" ht="13.5" hidden="1"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spans="2:26" ht="13.5" hidden="1"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spans="2:26" ht="13.5" hidden="1"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spans="2:26" ht="13.5" hidden="1"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spans="2:26" ht="13.5" hidden="1"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spans="2:26" ht="13.5" hidden="1"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spans="2:26" ht="13.5" hidden="1"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spans="2:26" ht="13.5" hidden="1"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spans="2:26" ht="13.5" hidden="1"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spans="2:26" ht="13.5" hidden="1"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spans="2:26" ht="13.5" hidden="1"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spans="2:26" ht="13.5" hidden="1"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spans="2:26" ht="13.5" hidden="1"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spans="2:26" ht="13.5" hidden="1"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spans="2:26" ht="13.5" hidden="1"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spans="2:26" ht="13.5" hidden="1"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spans="2:26" ht="13.5" hidden="1"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spans="2:26" ht="13.5" hidden="1"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spans="2:26" ht="13.5" hidden="1"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spans="2:26" ht="13.5" hidden="1"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spans="2:26" ht="13.5" hidden="1"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spans="2:26" ht="13.5" hidden="1"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spans="2:26" ht="13.5" hidden="1"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spans="2:26" ht="13.5" hidden="1"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spans="2:26" ht="13.5" hidden="1"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spans="2:26" ht="13.5" hidden="1"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spans="2:26" ht="13.5" hidden="1"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spans="2:26" ht="13.5" hidden="1"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spans="2:26" ht="13.5" hidden="1"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spans="2:26" ht="13.5" hidden="1"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spans="2:26" ht="13.5" hidden="1"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spans="2:26" ht="13.5" hidden="1"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spans="2:26" ht="13.5" hidden="1"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spans="2:26" ht="13.5" hidden="1"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spans="2:26" ht="13.5" hidden="1"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spans="2:26" ht="13.5" hidden="1"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spans="2:26" ht="13.5" hidden="1"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spans="2:26" ht="13.5" hidden="1"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spans="2:26" ht="13.5" hidden="1"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spans="2:26" ht="13.5" hidden="1"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spans="2:26" ht="13.5" hidden="1"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spans="2:26" ht="13.5" hidden="1"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spans="2:26" ht="13.5" hidden="1"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spans="2:26" ht="13.5" hidden="1"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spans="2:26" ht="13.5" hidden="1"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spans="2:26" ht="13.5" hidden="1"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spans="2:26" ht="13.5" hidden="1"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spans="2:26" ht="13.5" hidden="1"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spans="2:26" ht="13.5" hidden="1"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spans="2:26" ht="13.5" hidden="1"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spans="2:26" ht="13.5" hidden="1"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spans="2:26" ht="13.5" hidden="1"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spans="2:26" ht="13.5" hidden="1"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spans="2:26" ht="13.5" hidden="1"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spans="2:26" ht="13.5" hidden="1"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spans="2:26" ht="13.5" hidden="1"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spans="2:26" ht="13.5" hidden="1"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spans="2:26" ht="13.5" hidden="1"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spans="2:26" ht="13.5" hidden="1"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spans="2:26" ht="13.5" hidden="1"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spans="2:26" ht="13.5" hidden="1"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spans="2:26" ht="13.5" hidden="1"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spans="2:26" ht="13.5" hidden="1"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spans="2:26" ht="13.5" hidden="1"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spans="2:26" ht="13.5" hidden="1"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spans="2:26" ht="13.5" hidden="1"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spans="2:26" ht="13.5" hidden="1"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spans="2:26" ht="13.5" hidden="1"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spans="2:26" ht="13.5" hidden="1"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spans="2:26" ht="13.5" hidden="1"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spans="2:26" ht="13.5" hidden="1"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spans="2:26" ht="13.5" hidden="1"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spans="2:26" ht="13.5" hidden="1"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spans="2:26" ht="13.5" hidden="1"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spans="2:26" ht="13.5" hidden="1"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spans="2:26" ht="13.5" hidden="1"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spans="2:26" ht="13.5" hidden="1"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spans="2:26" ht="13.5" hidden="1"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spans="2:26" ht="13.5" hidden="1"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spans="2:26" ht="13.5" hidden="1"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spans="2:26" ht="13.5" hidden="1"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spans="2:26" ht="13.5" hidden="1"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spans="2:26" ht="13.5" hidden="1"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spans="2:26" ht="13.5" hidden="1"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spans="2:26" ht="13.5" hidden="1"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spans="2:26" ht="13.5" hidden="1"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spans="2:26" ht="13.5" hidden="1"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spans="2:26" ht="13.5" hidden="1"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spans="2:26" ht="13.5" hidden="1"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spans="2:26" ht="13.5" hidden="1"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spans="2:26" ht="13.5" hidden="1"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spans="2:26" ht="13.5" hidden="1"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spans="2:26" ht="13.5" hidden="1"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spans="2:26" ht="13.5" hidden="1"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spans="2:26" ht="13.5" hidden="1"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spans="2:26" ht="13.5" hidden="1"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spans="2:26" ht="13.5" hidden="1"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spans="2:26" ht="13.5" hidden="1"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spans="2:26" ht="13.5" hidden="1"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spans="2:26" ht="13.5" hidden="1"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spans="2:26" ht="13.5" hidden="1"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spans="2:26" ht="13.5" hidden="1"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spans="2:26" ht="13.5" hidden="1"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spans="2:26" ht="13.5" hidden="1"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spans="2:26" ht="13.5" hidden="1"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spans="2:26" ht="13.5" hidden="1"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spans="2:26" ht="13.5" hidden="1"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spans="2:26" ht="13.5" hidden="1"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spans="2:26" ht="13.5" hidden="1"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spans="2:26" ht="13.5" hidden="1"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spans="2:26" ht="13.5" hidden="1"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spans="2:26" ht="13.5" hidden="1"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spans="2:26" ht="13.5" hidden="1"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spans="2:26" ht="13.5" hidden="1"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spans="2:26" ht="13.5" hidden="1"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spans="2:26" ht="13.5" hidden="1"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spans="2:26" ht="13.5" hidden="1"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spans="2:26" ht="13.5" hidden="1"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spans="2:26" ht="13.5" hidden="1"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spans="2:26" ht="13.5" hidden="1"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spans="2:26" ht="13.5" hidden="1"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spans="2:26" ht="13.5" hidden="1"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spans="2:26" ht="13.5" hidden="1"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spans="2:26" ht="13.5" hidden="1"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spans="2:26" ht="13.5" hidden="1"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spans="2:26" ht="13.5" hidden="1"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spans="2:26" ht="13.5" hidden="1"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spans="2:26" ht="13.5" hidden="1"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spans="2:26" ht="13.5" hidden="1"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spans="2:26" ht="13.5" hidden="1"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spans="2:26" ht="13.5" hidden="1"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spans="2:26" ht="13.5" hidden="1"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spans="2:26" ht="13.5" hidden="1"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spans="2:26" ht="13.5" hidden="1"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spans="2:26" ht="13.5" hidden="1"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spans="2:26" ht="13.5" hidden="1"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spans="2:26" ht="13.5" hidden="1"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spans="2:26" ht="13.5" hidden="1"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spans="2:26" ht="13.5" hidden="1"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spans="2:26" ht="13.5" hidden="1"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spans="2:26" ht="13.5" hidden="1"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spans="2:26" ht="13.5" hidden="1"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spans="2:26" ht="13.5" hidden="1"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spans="2:26" ht="13.5" hidden="1"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spans="2:26" ht="13.5" hidden="1"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spans="2:26" ht="13.5" hidden="1"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spans="2:26" ht="13.5" hidden="1"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spans="2:26" ht="13.5" hidden="1"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spans="2:26" ht="13.5" hidden="1"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spans="2:26" ht="13.5" hidden="1"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spans="2:26" ht="13.5" hidden="1"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spans="2:26" ht="13.5" hidden="1"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spans="2:26" ht="13.5" hidden="1"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spans="2:26" ht="13.5" hidden="1"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spans="2:26" ht="13.5" hidden="1"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spans="2:26" ht="13.5" hidden="1"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spans="2:26" ht="13.5" hidden="1"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spans="2:26" ht="13.5" hidden="1"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spans="2:26" ht="13.5" hidden="1"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spans="2:26" ht="13.5" hidden="1"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spans="2:26" ht="13.5" hidden="1"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spans="2:26" ht="13.5" hidden="1"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spans="2:26" ht="13.5" hidden="1"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spans="2:26" ht="13.5" hidden="1"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spans="2:26" ht="13.5" hidden="1"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spans="2:26" ht="13.5" hidden="1"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spans="2:26" ht="13.5" hidden="1"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spans="2:26" ht="13.5" hidden="1"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spans="2:26" ht="13.5" hidden="1"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spans="2:26" ht="13.5" hidden="1"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spans="2:26" ht="13.5" hidden="1"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spans="2:26" ht="13.5" hidden="1"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spans="2:26" ht="13.5" hidden="1"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spans="2:26" ht="13.5" hidden="1"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spans="2:26" ht="13.5" hidden="1"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spans="2:26" ht="13.5" hidden="1"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spans="2:26" ht="13.5" hidden="1"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spans="2:26" ht="13.5" hidden="1"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spans="2:26" ht="13.5" hidden="1"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spans="2:26" ht="13.5" hidden="1"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spans="2:26" ht="13.5" hidden="1"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spans="2:26" ht="13.5" hidden="1"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spans="2:26" ht="13.5" hidden="1"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spans="2:26" ht="13.5" hidden="1"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spans="2:26" ht="13.5" hidden="1"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spans="2:26" ht="13.5" hidden="1"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spans="2:26" ht="13.5" hidden="1"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spans="2:26" ht="13.5" hidden="1"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spans="2:26" ht="13.5" hidden="1"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spans="2:26" ht="13.5" hidden="1"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spans="2:26" ht="13.5" hidden="1"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spans="2:26" ht="13.5" hidden="1"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spans="2:26" ht="13.5" hidden="1"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spans="2:26" ht="13.5" hidden="1"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spans="2:26" ht="13.5" hidden="1"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spans="2:26" ht="13.5" hidden="1"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spans="2:26" ht="13.5" hidden="1"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spans="2:26" ht="13.5" hidden="1"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spans="2:26" ht="13.5" hidden="1"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spans="2:26" ht="13.5" hidden="1"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spans="2:26" ht="13.5" hidden="1"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spans="2:26" ht="13.5" hidden="1"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spans="2:26" ht="13.5" hidden="1"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spans="2:26" ht="13.5" hidden="1"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spans="2:26" ht="13.5" hidden="1"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spans="2:26" ht="13.5" hidden="1"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spans="2:26" ht="13.5" hidden="1"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spans="2:26" ht="13.5" hidden="1"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spans="2:26" ht="13.5" hidden="1"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spans="2:26" ht="13.5" hidden="1"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spans="2:26" ht="13.5" hidden="1"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spans="2:26" ht="13.5" hidden="1"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spans="2:26" ht="13.5" hidden="1"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spans="2:26" ht="13.5" hidden="1"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spans="2:26" ht="13.5" hidden="1"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spans="2:26" ht="13.5" hidden="1"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spans="2:26" ht="13.5" hidden="1"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spans="2:26" ht="13.5" hidden="1"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spans="2:26" ht="13.5" hidden="1"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spans="2:26" ht="13.5" hidden="1"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spans="2:26" ht="13.5" hidden="1"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spans="2:26" ht="13.5" hidden="1"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spans="2:26" ht="13.5" hidden="1"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spans="2:26" ht="13.5" hidden="1"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spans="2:26" ht="13.5" hidden="1"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spans="2:26" ht="13.5" hidden="1"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spans="2:26" ht="13.5" hidden="1"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spans="2:26" ht="13.5" hidden="1"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spans="2:26" ht="13.5" hidden="1"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spans="2:26" ht="13.5" hidden="1"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spans="2:26" ht="13.5" hidden="1"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spans="2:26" ht="13.5" hidden="1"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spans="2:26" ht="13.5" hidden="1"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spans="2:26" ht="13.5" hidden="1"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spans="2:26" ht="13.5" hidden="1"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spans="2:26" ht="13.5" hidden="1"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spans="2:26" ht="13.5" hidden="1"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spans="2:26" ht="13.5" hidden="1"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spans="2:26" ht="13.5" hidden="1"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spans="2:26" ht="13.5" hidden="1"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spans="2:26" ht="13.5" hidden="1"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spans="2:26" ht="13.5" hidden="1"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spans="2:26" ht="13.5" hidden="1"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spans="2:26" ht="13.5" hidden="1"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spans="2:26" ht="13.5" hidden="1"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spans="2:26" ht="13.5" hidden="1"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spans="2:26" ht="13.5" hidden="1"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spans="2:26" ht="13.5" hidden="1"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spans="2:26" ht="13.5" hidden="1"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spans="2:26" ht="13.5" hidden="1"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spans="2:26" ht="13.5" hidden="1"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spans="2:26" ht="13.5" hidden="1"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spans="2:26" ht="13.5" hidden="1"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spans="2:26" ht="13.5" hidden="1"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spans="2:26" ht="13.5" hidden="1"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spans="2:26" ht="13.5" hidden="1"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spans="2:26" ht="13.5" hidden="1"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spans="2:26" ht="13.5" hidden="1"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spans="2:26" ht="13.5" hidden="1"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spans="2:26" ht="13.5" hidden="1"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spans="2:26" ht="13.5" hidden="1"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spans="2:26" ht="13.5" hidden="1"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spans="2:26" ht="13.5" hidden="1"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spans="2:26" ht="13.5" hidden="1"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spans="2:26" ht="13.5" hidden="1"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spans="2:26" ht="13.5" hidden="1"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spans="2:26" ht="13.5" hidden="1"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spans="2:26" ht="13.5" hidden="1"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spans="2:26" ht="13.5" hidden="1"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spans="2:26" ht="13.5" hidden="1"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spans="2:26" ht="13.5" hidden="1"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spans="2:26" ht="13.5" hidden="1"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spans="2:26" ht="13.5" hidden="1"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spans="2:26" ht="13.5" hidden="1"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spans="2:26" ht="13.5" hidden="1"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spans="2:26" ht="13.5" hidden="1"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spans="2:26" ht="13.5" hidden="1"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spans="2:26" ht="13.5" hidden="1"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spans="2:26" ht="13.5" hidden="1"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spans="2:26" ht="13.5" hidden="1"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spans="2:26" ht="13.5" hidden="1"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spans="2:26" ht="13.5" hidden="1"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spans="2:26" ht="13.5" hidden="1"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spans="2:26" ht="13.5" hidden="1"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spans="2:26" ht="13.5" hidden="1"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spans="2:26" ht="13.5" hidden="1"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spans="2:26" ht="13.5" hidden="1"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spans="2:26" ht="13.5" hidden="1"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spans="2:26" ht="13.5" hidden="1"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spans="2:26" ht="13.5" hidden="1"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spans="2:26" ht="13.5" hidden="1"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spans="2:26" ht="13.5" hidden="1"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spans="2:26" ht="13.5" hidden="1"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spans="2:26" ht="13.5" hidden="1"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spans="2:26" ht="13.5" hidden="1"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spans="2:26" ht="13.5" hidden="1"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spans="2:26" ht="13.5" hidden="1"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spans="2:26" ht="13.5" hidden="1"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spans="2:26" ht="13.5" hidden="1"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spans="2:26" ht="13.5" hidden="1"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spans="2:26" ht="13.5" hidden="1"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spans="2:26" ht="13.5" hidden="1"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spans="2:26" ht="13.5" hidden="1"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spans="2:26" ht="13.5" hidden="1"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spans="2:26" ht="13.5" hidden="1"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spans="2:26" ht="13.5" hidden="1"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spans="2:26" ht="13.5" hidden="1"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spans="2:26" ht="13.5" hidden="1"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spans="2:26" ht="13.5" hidden="1"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spans="2:26" ht="13.5" hidden="1"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spans="2:26" ht="13.5" hidden="1"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spans="2:26" ht="13.5" hidden="1"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spans="2:26" ht="13.5" hidden="1"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spans="2:26" ht="13.5" hidden="1"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spans="2:26" ht="13.5" hidden="1"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spans="2:26" ht="13.5" hidden="1"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spans="2:26" ht="13.5" hidden="1"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spans="2:26" ht="13.5" hidden="1"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spans="2:26" ht="13.5" hidden="1"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spans="2:26" ht="13.5" hidden="1"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spans="2:26" ht="13.5" hidden="1"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spans="2:26" ht="13.5" hidden="1"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spans="2:26" ht="13.5" hidden="1"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spans="2:26" ht="13.5" hidden="1"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spans="2:26" ht="13.5" hidden="1"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spans="2:26" ht="13.5" hidden="1"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spans="2:26" ht="13.5" hidden="1"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spans="2:26" ht="13.5" hidden="1"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spans="2:26" ht="13.5" hidden="1"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spans="2:26" ht="13.5" hidden="1"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spans="2:26" ht="13.5" hidden="1"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spans="2:26" ht="13.5" hidden="1"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spans="2:26" ht="13.5" hidden="1"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spans="2:26" ht="13.5" hidden="1"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spans="2:26" ht="13.5" hidden="1"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spans="2:26" ht="13.5" hidden="1"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spans="2:26" ht="13.5" hidden="1"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spans="2:26" ht="13.5" hidden="1"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spans="2:26" ht="13.5" hidden="1"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spans="2:26" ht="13.5" hidden="1"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spans="2:26" ht="13.5" hidden="1"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spans="2:26" ht="13.5" hidden="1"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spans="2:26" ht="13.5" hidden="1"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spans="2:26" ht="13.5" hidden="1"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spans="2:26" ht="13.5" hidden="1"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spans="2:26" ht="13.5" hidden="1"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spans="2:26" ht="13.5" hidden="1"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spans="2:26" ht="13.5" hidden="1"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spans="2:26" ht="13.5" hidden="1"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spans="2:26" ht="13.5" hidden="1"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spans="2:26" ht="13.5" hidden="1"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spans="2:26" ht="13.5" hidden="1"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spans="2:26" ht="13.5" hidden="1"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spans="2:26" ht="13.5" hidden="1"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spans="2:26" ht="13.5" hidden="1"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spans="2:26" ht="13.5" hidden="1"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spans="2:26" ht="13.5" hidden="1"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spans="2:26" ht="13.5" hidden="1"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spans="2:26" ht="13.5" hidden="1"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spans="2:26" ht="13.5" hidden="1"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spans="2:26" ht="13.5" hidden="1"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spans="2:26" ht="13.5" hidden="1"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spans="2:26" ht="13.5" hidden="1"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spans="2:26" ht="13.5" hidden="1"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spans="2:26" ht="13.5" hidden="1"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spans="2:26" ht="13.5" hidden="1"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spans="2:26" ht="13.5" hidden="1"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spans="2:26" ht="13.5" hidden="1"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spans="2:26" ht="13.5" hidden="1"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spans="2:26" ht="13.5" hidden="1"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spans="2:26" ht="13.5" hidden="1"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spans="2:26" ht="13.5" hidden="1"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spans="2:26" ht="13.5" hidden="1"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spans="2:26" ht="13.5" hidden="1"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spans="2:26" ht="13.5" hidden="1"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spans="2:26" ht="13.5" hidden="1"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spans="2:26" ht="13.5" hidden="1"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spans="2:26" ht="13.5" hidden="1"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spans="2:26" ht="13.5" hidden="1"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spans="2:26" ht="13.5" hidden="1"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spans="2:26" ht="13.5" hidden="1"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spans="2:26" ht="13.5" hidden="1"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spans="2:26" ht="13.5" hidden="1"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spans="2:26" ht="13.5" hidden="1"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spans="2:26" ht="13.5" hidden="1"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spans="2:26" ht="13.5" hidden="1"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spans="2:26" ht="13.5" hidden="1"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spans="2:26" ht="13.5" hidden="1"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spans="2:26" ht="13.5" hidden="1"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spans="2:26" ht="13.5" hidden="1"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spans="2:26" ht="13.5" hidden="1"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spans="2:26" ht="13.5" hidden="1"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spans="2:26" ht="13.5" hidden="1"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spans="2:26" ht="13.5" hidden="1"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spans="2:26" ht="13.5" hidden="1"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spans="2:26" ht="13.5" hidden="1"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spans="2:26" ht="13.5" hidden="1"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spans="2:26" ht="13.5" hidden="1"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spans="2:26" ht="13.5" hidden="1"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spans="2:26" ht="13.5" hidden="1"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spans="2:26" ht="13.5" hidden="1"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spans="2:26" ht="13.5" hidden="1"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spans="2:26" ht="13.5" hidden="1"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spans="2:26" ht="13.5" hidden="1"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spans="2:26" ht="13.5" hidden="1"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spans="2:26" ht="13.5" hidden="1"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spans="2:26" ht="13.5" hidden="1"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spans="2:26" ht="13.5" hidden="1"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spans="2:26" ht="13.5" hidden="1"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spans="2:26" ht="13.5" hidden="1"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spans="2:26" ht="13.5" hidden="1"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spans="2:26" ht="13.5" hidden="1"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spans="2:26" ht="13.5" hidden="1"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spans="2:26" ht="13.5" hidden="1"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spans="2:26" ht="13.5" hidden="1"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spans="2:26" ht="13.5" hidden="1"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spans="2:26" ht="13.5" hidden="1"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spans="2:26" ht="13.5" hidden="1"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spans="2:26" ht="13.5" hidden="1"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spans="2:26" ht="13.5" hidden="1"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spans="2:26" ht="13.5" hidden="1"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spans="2:26" ht="13.5" hidden="1"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spans="2:26" ht="13.5" hidden="1"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spans="2:26" ht="13.5" hidden="1"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spans="2:26" ht="13.5" hidden="1"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spans="2:26" ht="13.5" hidden="1"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spans="2:26" ht="13.5" hidden="1"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spans="2:26" ht="13.5" hidden="1"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spans="2:26" ht="13.5" hidden="1"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spans="2:26" ht="13.5" hidden="1"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spans="2:26" ht="13.5" hidden="1"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spans="2:26" ht="13.5" hidden="1"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spans="2:26" ht="13.5" hidden="1"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spans="2:26" ht="13.5" hidden="1"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spans="2:26" ht="13.5" hidden="1"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spans="2:26" ht="13.5" hidden="1"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spans="2:26" ht="13.5" hidden="1"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spans="2:26" ht="13.5" hidden="1"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spans="2:26" ht="13.5" hidden="1"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spans="2:26" ht="13.5" hidden="1"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spans="2:26" ht="13.5" hidden="1"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spans="2:26" ht="13.5" hidden="1"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spans="2:26" ht="13.5" hidden="1"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spans="2:26" ht="13.5" hidden="1"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spans="2:26" ht="13.5" hidden="1"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spans="2:26" ht="13.5" hidden="1"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spans="2:26" ht="13.5" hidden="1"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spans="2:26" ht="13.5" hidden="1"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spans="2:26" ht="13.5" hidden="1"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spans="2:26" ht="13.5" hidden="1"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spans="2:26" ht="13.5" hidden="1"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spans="2:26" ht="13.5" hidden="1"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spans="2:26" ht="13.5" hidden="1"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spans="2:26" ht="13.5" hidden="1"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spans="2:26" ht="13.5" hidden="1"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spans="2:26" ht="13.5" hidden="1"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spans="2:26" ht="13.5" hidden="1"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spans="2:26" ht="13.5" hidden="1"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spans="2:26" ht="13.5" hidden="1"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spans="2:26" ht="13.5" hidden="1"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spans="2:26" ht="13.5" hidden="1"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spans="2:26" ht="13.5" hidden="1"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spans="2:26" ht="13.5" hidden="1"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spans="2:26" ht="13.5" hidden="1"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spans="2:26" ht="13.5" hidden="1"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spans="2:26" ht="13.5" hidden="1"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spans="2:26" ht="13.5" hidden="1"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spans="2:26" ht="13.5" hidden="1"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spans="2:26" ht="13.5" hidden="1"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spans="2:26" ht="13.5" hidden="1"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spans="2:26" ht="13.5" hidden="1"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spans="2:26" ht="13.5" hidden="1"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spans="2:26" ht="13.5" hidden="1"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spans="2:26" ht="13.5" hidden="1"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spans="2:26" ht="13.5" hidden="1"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spans="2:26" ht="13.5" hidden="1"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spans="2:26" ht="13.5" hidden="1"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spans="2:26" ht="13.5" hidden="1"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spans="2:26" ht="13.5" hidden="1"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spans="2:26" ht="13.5" hidden="1"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spans="2:26" ht="13.5" hidden="1"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spans="2:26" ht="13.5" hidden="1"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spans="2:26" ht="13.5" hidden="1"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spans="2:26" ht="13.5" hidden="1"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spans="2:26" ht="13.5" hidden="1"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spans="2:26" ht="13.5" hidden="1"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spans="2:26" ht="13.5" hidden="1"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spans="2:26" ht="13.5" hidden="1"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spans="2:26" ht="13.5" hidden="1"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spans="2:26" ht="13.5" hidden="1"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spans="2:26" ht="13.5" hidden="1"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spans="2:26" ht="13.5" hidden="1"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spans="2:26" ht="13.5" hidden="1"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spans="2:26" ht="13.5" hidden="1"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spans="2:26" ht="13.5" hidden="1"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spans="2:26" ht="13.5" hidden="1"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spans="2:26" ht="13.5" hidden="1"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spans="2:26" ht="13.5" hidden="1"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spans="2:26" ht="13.5" hidden="1"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spans="2:26" ht="13.5" hidden="1"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spans="2:26" ht="13.5" hidden="1"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spans="2:26" ht="13.5" hidden="1"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spans="2:26" ht="13.5" hidden="1"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spans="2:26" ht="13.5" hidden="1"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spans="2:26" ht="13.5" hidden="1"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spans="2:26" ht="13.5" hidden="1"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spans="2:26" ht="13.5" hidden="1"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spans="2:26" ht="13.5" hidden="1"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spans="2:26" ht="13.5" hidden="1"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spans="2:26" ht="13.5" hidden="1"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spans="2:26" ht="13.5" hidden="1"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spans="2:26" ht="13.5" hidden="1"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spans="2:26" ht="13.5" hidden="1"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spans="2:26" ht="13.5" hidden="1"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spans="2:26" ht="13.5" hidden="1"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spans="2:26" ht="13.5" hidden="1"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spans="2:26" ht="13.5" hidden="1"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spans="2:26" ht="13.5" hidden="1"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spans="2:26" ht="13.5" hidden="1"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spans="2:26" ht="13.5" hidden="1"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spans="2:26" ht="13.5" hidden="1"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spans="2:26" ht="13.5" hidden="1"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spans="2:26" ht="13.5" hidden="1"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spans="2:26" ht="13.5" hidden="1"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spans="2:26" ht="13.5" hidden="1"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spans="2:26" ht="13.5" hidden="1"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spans="2:26" ht="13.5" hidden="1"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spans="2:26" ht="13.5" hidden="1"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spans="2:26" ht="13.5" hidden="1"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spans="2:26" ht="13.5" hidden="1"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spans="2:26" ht="13.5" hidden="1"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spans="2:26" ht="13.5" hidden="1"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spans="2:26" ht="13.5" hidden="1"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spans="2:26" ht="13.5" hidden="1"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spans="2:26" ht="13.5" hidden="1"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spans="2:26" ht="13.5" hidden="1"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spans="2:26" ht="13.5" hidden="1"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spans="2:26" ht="13.5" hidden="1"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spans="2:26" ht="13.5" hidden="1"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spans="2:26" ht="13.5" hidden="1"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spans="2:26" ht="13.5" hidden="1"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spans="2:26" ht="13.5" hidden="1"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spans="2:26" ht="13.5" hidden="1"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spans="2:26" ht="13.5" hidden="1"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spans="2:26" ht="13.5" hidden="1"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spans="2:26" ht="13.5" hidden="1"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spans="2:26" ht="13.5" hidden="1"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spans="2:26" ht="13.5" hidden="1"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spans="2:26" ht="13.5" hidden="1"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spans="2:26" ht="13.5" hidden="1"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spans="2:26" ht="13.5" hidden="1"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spans="2:26" ht="13.5" hidden="1"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spans="2:26" ht="13.5" hidden="1"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spans="2:26" ht="13.5" hidden="1"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spans="2:26" ht="13.5" hidden="1"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spans="2:26" ht="13.5" hidden="1"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spans="2:26" ht="13.5" hidden="1"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spans="2:26" ht="13.5" hidden="1"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spans="2:26" ht="13.5" hidden="1"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spans="2:26" ht="13.5" hidden="1"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spans="2:26" ht="13.5" hidden="1"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spans="2:26" ht="13.5" hidden="1"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spans="2:26" ht="13.5" hidden="1"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spans="2:26" ht="13.5" hidden="1"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spans="2:26" ht="13.5" hidden="1"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spans="2:26" ht="13.5" hidden="1"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spans="2:26" ht="13.5" hidden="1"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spans="2:26" ht="13.5" hidden="1"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spans="2:26" ht="13.5" hidden="1"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spans="2:26" ht="13.5" hidden="1"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spans="2:26" ht="13.5" hidden="1"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spans="2:26" ht="13.5" hidden="1"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spans="2:26" ht="13.5" hidden="1"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spans="2:26" ht="13.5" hidden="1"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spans="2:26" ht="13.5" hidden="1"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spans="2:26" ht="13.5" hidden="1"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spans="2:26" ht="13.5" hidden="1"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spans="2:26" ht="13.5" hidden="1"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spans="2:26" ht="13.5" hidden="1"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spans="2:26" ht="13.5" hidden="1"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spans="2:26" ht="13.5" hidden="1"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spans="2:26" ht="13.5" hidden="1"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spans="2:26" ht="13.5" hidden="1"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spans="2:26" ht="13.5" hidden="1"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spans="2:26" ht="13.5" hidden="1"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spans="2:26" ht="13.5" hidden="1"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spans="2:26" ht="13.5" hidden="1"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spans="2:26" ht="13.5" hidden="1"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spans="2:26" ht="13.5" hidden="1"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spans="2:26" ht="13.5" hidden="1"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spans="2:26" ht="13.5" hidden="1"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spans="2:26" ht="13.5" hidden="1"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spans="2:26" ht="13.5" hidden="1"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spans="2:26" ht="13.5" hidden="1"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spans="2:26" ht="13.5" hidden="1"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spans="2:26" ht="13.5" hidden="1"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spans="2:26" ht="13.5" hidden="1"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spans="2:26" ht="13.5" hidden="1"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spans="2:26" ht="13.5" hidden="1"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spans="2:26" ht="13.5" hidden="1"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spans="2:26" ht="13.5" hidden="1"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spans="2:26" ht="13.5" hidden="1"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spans="2:26" ht="13.5" hidden="1"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spans="2:26" ht="13.5" hidden="1"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spans="2:26" ht="13.5" hidden="1"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spans="2:26" ht="13.5" hidden="1"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spans="2:26" ht="13.5" hidden="1"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spans="2:26" ht="13.5" hidden="1"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spans="2:26" ht="13.5" hidden="1"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spans="2:26" ht="13.5" hidden="1"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spans="2:26" ht="13.5" hidden="1"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spans="2:26" ht="13.5" hidden="1"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spans="2:26" ht="13.5" hidden="1"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spans="2:26" ht="13.5" hidden="1"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spans="2:26" ht="13.5" hidden="1"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spans="2:26" ht="13.5" hidden="1"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spans="2:26" ht="13.5" hidden="1"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spans="2:26" ht="13.5" hidden="1"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</sheetData>
  <sheetProtection algorithmName="SHA-512" hashValue="ffklhGBwMGSSEPjNJ/x+dYkymb+kyK0hK9+PTkzL/k0FQ4iMPQ/5a2E1kIvv3TrYcTf88b5hNO3378p15n52ug==" saltValue="L0DcQY4952eugFNR1Du0Og==" spinCount="100000" sheet="1" objects="1" scenarios="1" selectLockedCells="1"/>
  <mergeCells count="127">
    <mergeCell ref="M74:M75"/>
    <mergeCell ref="N74:N75"/>
    <mergeCell ref="L76:P76"/>
    <mergeCell ref="B78:B81"/>
    <mergeCell ref="D59:I59"/>
    <mergeCell ref="L59:P59"/>
    <mergeCell ref="B61:B77"/>
    <mergeCell ref="L64:L65"/>
    <mergeCell ref="M64:N64"/>
    <mergeCell ref="O64:P64"/>
    <mergeCell ref="L70:L71"/>
    <mergeCell ref="M70:N70"/>
    <mergeCell ref="O70:P70"/>
    <mergeCell ref="L74:L75"/>
    <mergeCell ref="L55:M55"/>
    <mergeCell ref="D56:F56"/>
    <mergeCell ref="L56:M56"/>
    <mergeCell ref="N56:P56"/>
    <mergeCell ref="D57:F57"/>
    <mergeCell ref="G57:I57"/>
    <mergeCell ref="B50:B60"/>
    <mergeCell ref="D51:F51"/>
    <mergeCell ref="L51:M51"/>
    <mergeCell ref="D52:F52"/>
    <mergeCell ref="L52:M52"/>
    <mergeCell ref="D53:F53"/>
    <mergeCell ref="L53:M53"/>
    <mergeCell ref="D54:F54"/>
    <mergeCell ref="L54:M54"/>
    <mergeCell ref="D55:F55"/>
    <mergeCell ref="D36:H36"/>
    <mergeCell ref="L36:N36"/>
    <mergeCell ref="O36:P36"/>
    <mergeCell ref="B38:B41"/>
    <mergeCell ref="B42:B49"/>
    <mergeCell ref="D45:F45"/>
    <mergeCell ref="G45:H45"/>
    <mergeCell ref="L45:M45"/>
    <mergeCell ref="N45:O45"/>
    <mergeCell ref="D46:E46"/>
    <mergeCell ref="G46:H46"/>
    <mergeCell ref="I46:I48"/>
    <mergeCell ref="N46:O46"/>
    <mergeCell ref="P46:P48"/>
    <mergeCell ref="D47:E47"/>
    <mergeCell ref="G47:H47"/>
    <mergeCell ref="N47:O47"/>
    <mergeCell ref="D48:E48"/>
    <mergeCell ref="G48:H48"/>
    <mergeCell ref="N48:O48"/>
    <mergeCell ref="L23:L32"/>
    <mergeCell ref="O23:P25"/>
    <mergeCell ref="M26:M27"/>
    <mergeCell ref="O26:P26"/>
    <mergeCell ref="F27:F28"/>
    <mergeCell ref="I27:I28"/>
    <mergeCell ref="O27:P28"/>
    <mergeCell ref="F29:F30"/>
    <mergeCell ref="O29:P29"/>
    <mergeCell ref="O30:P30"/>
    <mergeCell ref="D19:G19"/>
    <mergeCell ref="H19:I19"/>
    <mergeCell ref="L19:N19"/>
    <mergeCell ref="O19:P19"/>
    <mergeCell ref="B21:B37"/>
    <mergeCell ref="O22:P22"/>
    <mergeCell ref="D23:D33"/>
    <mergeCell ref="E23:E32"/>
    <mergeCell ref="F23:F26"/>
    <mergeCell ref="I23:I25"/>
    <mergeCell ref="B15:B20"/>
    <mergeCell ref="D34:H34"/>
    <mergeCell ref="L34:N34"/>
    <mergeCell ref="O34:P34"/>
    <mergeCell ref="D35:H35"/>
    <mergeCell ref="L35:N35"/>
    <mergeCell ref="O35:P35"/>
    <mergeCell ref="O31:P31"/>
    <mergeCell ref="F32:H32"/>
    <mergeCell ref="M32:N32"/>
    <mergeCell ref="O32:P32"/>
    <mergeCell ref="F33:H33"/>
    <mergeCell ref="M33:N33"/>
    <mergeCell ref="O33:P33"/>
    <mergeCell ref="D18:G18"/>
    <mergeCell ref="H18:I18"/>
    <mergeCell ref="L18:N18"/>
    <mergeCell ref="O18:P18"/>
    <mergeCell ref="G12:I12"/>
    <mergeCell ref="D13:F13"/>
    <mergeCell ref="G13:I13"/>
    <mergeCell ref="L13:M13"/>
    <mergeCell ref="N13:P13"/>
    <mergeCell ref="D16:G16"/>
    <mergeCell ref="H16:I16"/>
    <mergeCell ref="L16:N16"/>
    <mergeCell ref="O16:P16"/>
    <mergeCell ref="B10:B14"/>
    <mergeCell ref="D11:F11"/>
    <mergeCell ref="G11:I11"/>
    <mergeCell ref="L11:M12"/>
    <mergeCell ref="N11:P12"/>
    <mergeCell ref="D12:F12"/>
    <mergeCell ref="D17:G17"/>
    <mergeCell ref="H17:I17"/>
    <mergeCell ref="L17:N17"/>
    <mergeCell ref="O17:P17"/>
    <mergeCell ref="L6:N6"/>
    <mergeCell ref="O6:P6"/>
    <mergeCell ref="D7:G7"/>
    <mergeCell ref="H7:I7"/>
    <mergeCell ref="L7:N7"/>
    <mergeCell ref="O7:P7"/>
    <mergeCell ref="B2:Q2"/>
    <mergeCell ref="C3:J3"/>
    <mergeCell ref="K3:Q3"/>
    <mergeCell ref="B4:B9"/>
    <mergeCell ref="D5:G5"/>
    <mergeCell ref="H5:I5"/>
    <mergeCell ref="L5:N5"/>
    <mergeCell ref="O5:P5"/>
    <mergeCell ref="D6:G6"/>
    <mergeCell ref="H6:I6"/>
    <mergeCell ref="D8:G8"/>
    <mergeCell ref="H8:I8"/>
    <mergeCell ref="L8:N8"/>
    <mergeCell ref="O8:P8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6</vt:i4>
      </vt:variant>
    </vt:vector>
  </HeadingPairs>
  <TitlesOfParts>
    <vt:vector size="14" baseType="lpstr">
      <vt:lpstr>교육과정편제표(뷰티디자인과)</vt:lpstr>
      <vt:lpstr>실무과목 능력단위(뷰티디자인과)</vt:lpstr>
      <vt:lpstr>교육과정편제표(스마트경영과)</vt:lpstr>
      <vt:lpstr>실무과목 능력단위(스마트경영과)</vt:lpstr>
      <vt:lpstr>교육과정편제표(융합미디어과)</vt:lpstr>
      <vt:lpstr>실무과목 능력단위(융합미디어과)</vt:lpstr>
      <vt:lpstr>삭제금지</vt:lpstr>
      <vt:lpstr>(참고1) 편성 기준🔐</vt:lpstr>
      <vt:lpstr>'교육과정편제표(뷰티디자인과)'!Print_Area</vt:lpstr>
      <vt:lpstr>'교육과정편제표(스마트경영과)'!Print_Area</vt:lpstr>
      <vt:lpstr>'교육과정편제표(융합미디어과)'!Print_Area</vt:lpstr>
      <vt:lpstr>'실무과목 능력단위(뷰티디자인과)'!Print_Area</vt:lpstr>
      <vt:lpstr>'실무과목 능력단위(스마트경영과)'!Print_Area</vt:lpstr>
      <vt:lpstr>'실무과목 능력단위(융합미디어과)'!Print_Area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KRIVET</dc:creator>
  <cp:lastModifiedBy>user</cp:lastModifiedBy>
  <cp:lastPrinted>2021-10-27T23:58:37Z</cp:lastPrinted>
  <dcterms:created xsi:type="dcterms:W3CDTF">2020-03-04T02:26:59Z</dcterms:created>
  <dcterms:modified xsi:type="dcterms:W3CDTF">2026-10-27T07:00:35Z</dcterms:modified>
</cp:coreProperties>
</file>